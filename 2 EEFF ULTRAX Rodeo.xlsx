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8_{86C79557-2DBF-4F89-8495-23A16C874D3C}" xr6:coauthVersionLast="47" xr6:coauthVersionMax="47" xr10:uidLastSave="{00000000-0000-0000-0000-000000000000}"/>
  <bookViews>
    <workbookView xWindow="-120" yWindow="-120" windowWidth="29040" windowHeight="16440" tabRatio="948" xr2:uid="{00000000-000D-0000-FFFF-FFFF00000000}"/>
  </bookViews>
  <sheets>
    <sheet name="EERR RODEO" sheetId="30" r:id="rId1"/>
    <sheet name="N EERR RODEO" sheetId="31" state="hidden" r:id="rId2"/>
    <sheet name="PRESUPUESTO ULTRAX" sheetId="2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1" l="1"/>
  <c r="F29" i="31"/>
  <c r="F38" i="31"/>
  <c r="B3" i="30" l="1"/>
  <c r="B3" i="31"/>
  <c r="CO66" i="30" l="1"/>
  <c r="CO65" i="30"/>
  <c r="CH65" i="30"/>
  <c r="CH66" i="30"/>
  <c r="CA65" i="30"/>
  <c r="CA66" i="30"/>
  <c r="BQ65" i="30"/>
  <c r="BQ66" i="30"/>
  <c r="BJ65" i="30"/>
  <c r="BJ66" i="30"/>
  <c r="BC65" i="30"/>
  <c r="BC66" i="30"/>
  <c r="AM65" i="30"/>
  <c r="AM66" i="30"/>
  <c r="AF65" i="30"/>
  <c r="AF66" i="30"/>
  <c r="Y65" i="30"/>
  <c r="Y66" i="30"/>
  <c r="O65" i="30"/>
  <c r="O66" i="30"/>
  <c r="M193" i="31" l="1"/>
  <c r="N193" i="31"/>
  <c r="M188" i="31"/>
  <c r="N188" i="31"/>
  <c r="M172" i="31"/>
  <c r="N172" i="31"/>
  <c r="M139" i="31"/>
  <c r="N139" i="31"/>
  <c r="M95" i="31"/>
  <c r="N95" i="31"/>
  <c r="M38" i="31"/>
  <c r="N38" i="31"/>
  <c r="N29" i="31"/>
  <c r="N18" i="31"/>
  <c r="N37" i="31" l="1"/>
  <c r="N36" i="31" s="1"/>
  <c r="M37" i="31"/>
  <c r="M36" i="31" s="1"/>
  <c r="H66" i="30"/>
  <c r="H65" i="30"/>
  <c r="E66" i="30"/>
  <c r="E65" i="30"/>
  <c r="B65" i="30"/>
  <c r="B66" i="30"/>
  <c r="O203" i="31" l="1"/>
  <c r="O202" i="31"/>
  <c r="O201" i="31"/>
  <c r="O200" i="31"/>
  <c r="O199" i="31"/>
  <c r="O198" i="31"/>
  <c r="O197" i="31"/>
  <c r="O196" i="31"/>
  <c r="O195" i="31"/>
  <c r="O194" i="31"/>
  <c r="L193" i="31"/>
  <c r="K193" i="31"/>
  <c r="J193" i="31"/>
  <c r="I193" i="31"/>
  <c r="H193" i="31"/>
  <c r="G193" i="31"/>
  <c r="F193" i="31"/>
  <c r="B193" i="31"/>
  <c r="O192" i="31"/>
  <c r="O191" i="31"/>
  <c r="O190" i="31"/>
  <c r="O189" i="31"/>
  <c r="L188" i="31"/>
  <c r="K188" i="31"/>
  <c r="J188" i="31"/>
  <c r="I188" i="31"/>
  <c r="H188" i="31"/>
  <c r="G188" i="31"/>
  <c r="F188" i="31"/>
  <c r="B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L172" i="31"/>
  <c r="K172" i="31"/>
  <c r="J172" i="31"/>
  <c r="I172" i="31"/>
  <c r="H172" i="31"/>
  <c r="G172" i="31"/>
  <c r="F172" i="31"/>
  <c r="B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L139" i="31"/>
  <c r="K139" i="31"/>
  <c r="J139" i="31"/>
  <c r="I139" i="31"/>
  <c r="H139" i="31"/>
  <c r="G139" i="31"/>
  <c r="F139" i="31"/>
  <c r="B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L95" i="31"/>
  <c r="K95" i="31"/>
  <c r="J95" i="31"/>
  <c r="I95" i="31"/>
  <c r="H95" i="31"/>
  <c r="G95" i="31"/>
  <c r="F95" i="31"/>
  <c r="F37" i="31" s="1"/>
  <c r="F36" i="31" s="1"/>
  <c r="B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L38" i="31"/>
  <c r="K38" i="31"/>
  <c r="J38" i="31"/>
  <c r="I38" i="31"/>
  <c r="H38" i="31"/>
  <c r="G38" i="31"/>
  <c r="G37" i="31" s="1"/>
  <c r="B38" i="31"/>
  <c r="O35" i="31"/>
  <c r="O33" i="31"/>
  <c r="O32" i="31"/>
  <c r="O31" i="31"/>
  <c r="O30" i="31"/>
  <c r="M29" i="31"/>
  <c r="L29" i="31"/>
  <c r="K29" i="31"/>
  <c r="J29" i="31"/>
  <c r="I29" i="31"/>
  <c r="H29" i="31"/>
  <c r="G29" i="31"/>
  <c r="B29" i="31"/>
  <c r="O28" i="31"/>
  <c r="O27" i="31"/>
  <c r="O26" i="31"/>
  <c r="O25" i="31"/>
  <c r="O24" i="31"/>
  <c r="O23" i="31"/>
  <c r="O22" i="31"/>
  <c r="O21" i="31"/>
  <c r="O20" i="31"/>
  <c r="O19" i="31"/>
  <c r="M18" i="31"/>
  <c r="L18" i="31"/>
  <c r="K18" i="31"/>
  <c r="J18" i="31"/>
  <c r="I18" i="31"/>
  <c r="H18" i="31"/>
  <c r="H4" i="31" s="1"/>
  <c r="H34" i="31" s="1"/>
  <c r="G18" i="31"/>
  <c r="B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N5" i="31"/>
  <c r="M5" i="31"/>
  <c r="L5" i="31"/>
  <c r="K5" i="31"/>
  <c r="K4" i="31" s="1"/>
  <c r="K34" i="31" s="1"/>
  <c r="J5" i="31"/>
  <c r="I5" i="31"/>
  <c r="I4" i="31" s="1"/>
  <c r="I34" i="31" s="1"/>
  <c r="H5" i="31"/>
  <c r="G5" i="31"/>
  <c r="F5" i="31"/>
  <c r="E5" i="31"/>
  <c r="E4" i="31" s="1"/>
  <c r="D5" i="31"/>
  <c r="D4" i="31" s="1"/>
  <c r="C5" i="31"/>
  <c r="C4" i="31" s="1"/>
  <c r="B5" i="31"/>
  <c r="AZ141" i="30"/>
  <c r="CH138" i="30"/>
  <c r="CA138" i="30"/>
  <c r="BQ138" i="30"/>
  <c r="CD138" i="30" s="1"/>
  <c r="BM138" i="30"/>
  <c r="BJ138" i="30"/>
  <c r="BC138" i="30"/>
  <c r="AT138" i="30"/>
  <c r="AZ138" i="30" s="1"/>
  <c r="BX138" i="30" s="1"/>
  <c r="AM138" i="30"/>
  <c r="BF138" i="30" s="1"/>
  <c r="AF138" i="30"/>
  <c r="Y138" i="30"/>
  <c r="O138" i="30"/>
  <c r="AB138" i="30" s="1"/>
  <c r="H138" i="30"/>
  <c r="E138" i="30"/>
  <c r="B138" i="30"/>
  <c r="CR136" i="30"/>
  <c r="CL136" i="30"/>
  <c r="CS136" i="30" s="1"/>
  <c r="CK136" i="30"/>
  <c r="CD136" i="30"/>
  <c r="BT136" i="30"/>
  <c r="BM136" i="30"/>
  <c r="BF136" i="30"/>
  <c r="AT136" i="30"/>
  <c r="AZ136" i="30" s="1"/>
  <c r="AP136" i="30"/>
  <c r="AJ136" i="30"/>
  <c r="AQ136" i="30" s="1"/>
  <c r="BG136" i="30" s="1"/>
  <c r="BN136" i="30" s="1"/>
  <c r="BU136" i="30" s="1"/>
  <c r="AI136" i="30"/>
  <c r="AB136" i="30"/>
  <c r="X136" i="30"/>
  <c r="R136" i="30"/>
  <c r="K136" i="30"/>
  <c r="CR135" i="30"/>
  <c r="CL135" i="30"/>
  <c r="CS135" i="30" s="1"/>
  <c r="CK135" i="30"/>
  <c r="CD135" i="30"/>
  <c r="BT135" i="30"/>
  <c r="BM135" i="30"/>
  <c r="BF135" i="30"/>
  <c r="AT135" i="30"/>
  <c r="AP135" i="30"/>
  <c r="AJ135" i="30"/>
  <c r="AQ135" i="30" s="1"/>
  <c r="BG135" i="30" s="1"/>
  <c r="BN135" i="30" s="1"/>
  <c r="BU135" i="30" s="1"/>
  <c r="AI135" i="30"/>
  <c r="AB135" i="30"/>
  <c r="X135" i="30"/>
  <c r="R135" i="30"/>
  <c r="K135" i="30"/>
  <c r="CO134" i="30"/>
  <c r="CH134" i="30"/>
  <c r="CA134" i="30"/>
  <c r="CD134" i="30" s="1"/>
  <c r="BQ134" i="30"/>
  <c r="BJ134" i="30"/>
  <c r="BT134" i="30" s="1"/>
  <c r="BC134" i="30"/>
  <c r="AT134" i="30"/>
  <c r="AM134" i="30"/>
  <c r="AF134" i="30"/>
  <c r="AP134" i="30" s="1"/>
  <c r="Y134" i="30"/>
  <c r="O134" i="30"/>
  <c r="H134" i="30"/>
  <c r="E134" i="30"/>
  <c r="B134" i="30"/>
  <c r="CO133" i="30"/>
  <c r="CH133" i="30"/>
  <c r="CA133" i="30"/>
  <c r="BX133" i="30"/>
  <c r="BQ133" i="30"/>
  <c r="BJ133" i="30"/>
  <c r="BC133" i="30"/>
  <c r="AT133" i="30"/>
  <c r="AZ133" i="30" s="1"/>
  <c r="CV133" i="30" s="1"/>
  <c r="AM133" i="30"/>
  <c r="AF133" i="30"/>
  <c r="Y133" i="30"/>
  <c r="O133" i="30"/>
  <c r="H133" i="30"/>
  <c r="E133" i="30"/>
  <c r="B133" i="30"/>
  <c r="CO132" i="30"/>
  <c r="CH132" i="30"/>
  <c r="CR132" i="30" s="1"/>
  <c r="CA132" i="30"/>
  <c r="CK132" i="30" s="1"/>
  <c r="BQ132" i="30"/>
  <c r="BJ132" i="30"/>
  <c r="BC132" i="30"/>
  <c r="AT132" i="30"/>
  <c r="AM132" i="30"/>
  <c r="AF132" i="30"/>
  <c r="AP132" i="30" s="1"/>
  <c r="Y132" i="30"/>
  <c r="O132" i="30"/>
  <c r="H132" i="30"/>
  <c r="E132" i="30"/>
  <c r="B132" i="30"/>
  <c r="CO131" i="30"/>
  <c r="CH131" i="30"/>
  <c r="CA131" i="30"/>
  <c r="BX131" i="30"/>
  <c r="BQ131" i="30"/>
  <c r="BJ131" i="30"/>
  <c r="BC131" i="30"/>
  <c r="AZ131" i="30"/>
  <c r="CV131" i="30" s="1"/>
  <c r="AT131" i="30"/>
  <c r="AM131" i="30"/>
  <c r="AF131" i="30"/>
  <c r="Y131" i="30"/>
  <c r="O131" i="30"/>
  <c r="H131" i="30"/>
  <c r="E131" i="30"/>
  <c r="B131" i="30"/>
  <c r="CO130" i="30"/>
  <c r="CH130" i="30"/>
  <c r="CA130" i="30"/>
  <c r="BQ130" i="30"/>
  <c r="CD130" i="30" s="1"/>
  <c r="BJ130" i="30"/>
  <c r="BC130" i="30"/>
  <c r="AZ130" i="30"/>
  <c r="AT130" i="30"/>
  <c r="AM130" i="30"/>
  <c r="AF130" i="30"/>
  <c r="Y130" i="30"/>
  <c r="AI130" i="30" s="1"/>
  <c r="O130" i="30"/>
  <c r="H130" i="30"/>
  <c r="E130" i="30"/>
  <c r="B130" i="30"/>
  <c r="CO129" i="30"/>
  <c r="CH129" i="30"/>
  <c r="CA129" i="30"/>
  <c r="BQ129" i="30"/>
  <c r="BJ129" i="30"/>
  <c r="BT129" i="30" s="1"/>
  <c r="BF129" i="30"/>
  <c r="BC129" i="30"/>
  <c r="AZ129" i="30"/>
  <c r="AT129" i="30"/>
  <c r="AM129" i="30"/>
  <c r="AF129" i="30"/>
  <c r="AP129" i="30" s="1"/>
  <c r="Y129" i="30"/>
  <c r="AI129" i="30" s="1"/>
  <c r="O129" i="30"/>
  <c r="H129" i="30"/>
  <c r="E129" i="30"/>
  <c r="B129" i="30"/>
  <c r="CO128" i="30"/>
  <c r="CH128" i="30"/>
  <c r="CA128" i="30"/>
  <c r="BQ128" i="30"/>
  <c r="BJ128" i="30"/>
  <c r="BT128" i="30" s="1"/>
  <c r="BC128" i="30"/>
  <c r="AT128" i="30"/>
  <c r="AM128" i="30"/>
  <c r="AF128" i="30"/>
  <c r="Y128" i="30"/>
  <c r="O128" i="30"/>
  <c r="H128" i="30"/>
  <c r="E128" i="30"/>
  <c r="B128" i="30"/>
  <c r="CO127" i="30"/>
  <c r="CH127" i="30"/>
  <c r="CA127" i="30"/>
  <c r="BQ127" i="30"/>
  <c r="BJ127" i="30"/>
  <c r="BC127" i="30"/>
  <c r="BM127" i="30" s="1"/>
  <c r="AT127" i="30"/>
  <c r="AM127" i="30"/>
  <c r="AF127" i="30"/>
  <c r="Y127" i="30"/>
  <c r="O127" i="30"/>
  <c r="H127" i="30"/>
  <c r="E127" i="30"/>
  <c r="B127" i="30"/>
  <c r="CO126" i="30"/>
  <c r="CH126" i="30"/>
  <c r="CA126" i="30"/>
  <c r="BQ126" i="30"/>
  <c r="BJ126" i="30"/>
  <c r="BC126" i="30"/>
  <c r="BM126" i="30" s="1"/>
  <c r="AT126" i="30"/>
  <c r="AZ126" i="30" s="1"/>
  <c r="AM126" i="30"/>
  <c r="AF126" i="30"/>
  <c r="AF125" i="30" s="1"/>
  <c r="Y126" i="30"/>
  <c r="O126" i="30"/>
  <c r="H126" i="30"/>
  <c r="E126" i="30"/>
  <c r="B126" i="30"/>
  <c r="V125" i="30"/>
  <c r="CO123" i="30"/>
  <c r="CH123" i="30"/>
  <c r="CA123" i="30"/>
  <c r="BQ123" i="30"/>
  <c r="CD123" i="30" s="1"/>
  <c r="BJ123" i="30"/>
  <c r="BC123" i="30"/>
  <c r="AZ123" i="30"/>
  <c r="AT123" i="30"/>
  <c r="AM123" i="30"/>
  <c r="AF123" i="30"/>
  <c r="Y123" i="30"/>
  <c r="O123" i="30"/>
  <c r="AB123" i="30" s="1"/>
  <c r="H123" i="30"/>
  <c r="E123" i="30"/>
  <c r="B123" i="30"/>
  <c r="CO122" i="30"/>
  <c r="CH122" i="30"/>
  <c r="CA122" i="30"/>
  <c r="BQ122" i="30"/>
  <c r="CD122" i="30" s="1"/>
  <c r="BJ122" i="30"/>
  <c r="BC122" i="30"/>
  <c r="AT122" i="30"/>
  <c r="AM122" i="30"/>
  <c r="BF122" i="30" s="1"/>
  <c r="AF122" i="30"/>
  <c r="Y122" i="30"/>
  <c r="O122" i="30"/>
  <c r="H122" i="30"/>
  <c r="E122" i="30"/>
  <c r="B122" i="30"/>
  <c r="CO121" i="30"/>
  <c r="CH121" i="30"/>
  <c r="CA121" i="30"/>
  <c r="BQ121" i="30"/>
  <c r="BJ121" i="30"/>
  <c r="BC121" i="30"/>
  <c r="AT121" i="30"/>
  <c r="AM121" i="30"/>
  <c r="BF121" i="30" s="1"/>
  <c r="AF121" i="30"/>
  <c r="AP121" i="30" s="1"/>
  <c r="Y121" i="30"/>
  <c r="O121" i="30"/>
  <c r="AB121" i="30" s="1"/>
  <c r="H121" i="30"/>
  <c r="E121" i="30"/>
  <c r="B121" i="30"/>
  <c r="CO120" i="30"/>
  <c r="CH120" i="30"/>
  <c r="CA120" i="30"/>
  <c r="BQ120" i="30"/>
  <c r="BJ120" i="30"/>
  <c r="BC120" i="30"/>
  <c r="BM120" i="30" s="1"/>
  <c r="AT120" i="30"/>
  <c r="AM120" i="30"/>
  <c r="BF120" i="30" s="1"/>
  <c r="AF120" i="30"/>
  <c r="AP120" i="30" s="1"/>
  <c r="Y120" i="30"/>
  <c r="AI120" i="30" s="1"/>
  <c r="O120" i="30"/>
  <c r="H120" i="30"/>
  <c r="E120" i="30"/>
  <c r="B120" i="30"/>
  <c r="CO119" i="30"/>
  <c r="CH119" i="30"/>
  <c r="CA119" i="30"/>
  <c r="BQ119" i="30"/>
  <c r="BJ119" i="30"/>
  <c r="BC119" i="30"/>
  <c r="AT119" i="30"/>
  <c r="AM119" i="30"/>
  <c r="AF119" i="30"/>
  <c r="Y119" i="30"/>
  <c r="O119" i="30"/>
  <c r="H119" i="30"/>
  <c r="E119" i="30"/>
  <c r="B119" i="30"/>
  <c r="CO118" i="30"/>
  <c r="CH118" i="30"/>
  <c r="CA118" i="30"/>
  <c r="BQ118" i="30"/>
  <c r="BJ118" i="30"/>
  <c r="BC118" i="30"/>
  <c r="AT118" i="30"/>
  <c r="AM118" i="30"/>
  <c r="AF118" i="30"/>
  <c r="AP118" i="30" s="1"/>
  <c r="Y118" i="30"/>
  <c r="O118" i="30"/>
  <c r="H118" i="30"/>
  <c r="E118" i="30"/>
  <c r="B118" i="30"/>
  <c r="B116" i="30" s="1"/>
  <c r="CO117" i="30"/>
  <c r="CH117" i="30"/>
  <c r="CA117" i="30"/>
  <c r="CD117" i="30" s="1"/>
  <c r="BQ117" i="30"/>
  <c r="BJ117" i="30"/>
  <c r="BC117" i="30"/>
  <c r="AT117" i="30"/>
  <c r="AM117" i="30"/>
  <c r="AF117" i="30"/>
  <c r="AP117" i="30" s="1"/>
  <c r="Y117" i="30"/>
  <c r="O117" i="30"/>
  <c r="H117" i="30"/>
  <c r="E117" i="30"/>
  <c r="B117" i="30"/>
  <c r="Y116" i="30"/>
  <c r="V116" i="30"/>
  <c r="CX115" i="30"/>
  <c r="CR115" i="30"/>
  <c r="CK115" i="30"/>
  <c r="BZ115" i="30"/>
  <c r="BT115" i="30"/>
  <c r="BM115" i="30"/>
  <c r="AP115" i="30"/>
  <c r="AI115" i="30"/>
  <c r="CO111" i="30"/>
  <c r="CH111" i="30"/>
  <c r="CA111" i="30"/>
  <c r="BQ111" i="30"/>
  <c r="BJ111" i="30"/>
  <c r="BM111" i="30" s="1"/>
  <c r="BC111" i="30"/>
  <c r="AT111" i="30"/>
  <c r="AZ111" i="30" s="1"/>
  <c r="BX111" i="30" s="1"/>
  <c r="AM111" i="30"/>
  <c r="AF111" i="30"/>
  <c r="Y111" i="30"/>
  <c r="O111" i="30"/>
  <c r="AB111" i="30" s="1"/>
  <c r="H111" i="30"/>
  <c r="E111" i="30"/>
  <c r="B111" i="30"/>
  <c r="CO110" i="30"/>
  <c r="CH110" i="30"/>
  <c r="CA110" i="30"/>
  <c r="BQ110" i="30"/>
  <c r="BJ110" i="30"/>
  <c r="BM110" i="30" s="1"/>
  <c r="BC110" i="30"/>
  <c r="AT110" i="30"/>
  <c r="AZ110" i="30" s="1"/>
  <c r="BX110" i="30" s="1"/>
  <c r="AM110" i="30"/>
  <c r="AF110" i="30"/>
  <c r="Y110" i="30"/>
  <c r="O110" i="30"/>
  <c r="H110" i="30"/>
  <c r="E110" i="30"/>
  <c r="B110" i="30"/>
  <c r="CR108" i="30"/>
  <c r="CL108" i="30"/>
  <c r="CS108" i="30" s="1"/>
  <c r="CK108" i="30"/>
  <c r="CD108" i="30"/>
  <c r="BT108" i="30"/>
  <c r="BM108" i="30"/>
  <c r="BF108" i="30"/>
  <c r="AT108" i="30"/>
  <c r="AP108" i="30"/>
  <c r="AJ108" i="30"/>
  <c r="AQ108" i="30" s="1"/>
  <c r="BG108" i="30" s="1"/>
  <c r="BN108" i="30" s="1"/>
  <c r="BU108" i="30" s="1"/>
  <c r="AI108" i="30"/>
  <c r="AB108" i="30"/>
  <c r="X108" i="30"/>
  <c r="R108" i="30"/>
  <c r="K108" i="30"/>
  <c r="CR107" i="30"/>
  <c r="CL107" i="30"/>
  <c r="CS107" i="30" s="1"/>
  <c r="CK107" i="30"/>
  <c r="CD107" i="30"/>
  <c r="BT107" i="30"/>
  <c r="BM107" i="30"/>
  <c r="BF107" i="30"/>
  <c r="AT107" i="30"/>
  <c r="AP107" i="30"/>
  <c r="AJ107" i="30"/>
  <c r="AQ107" i="30" s="1"/>
  <c r="AI107" i="30"/>
  <c r="AB107" i="30"/>
  <c r="X107" i="30"/>
  <c r="R107" i="30"/>
  <c r="K107" i="30"/>
  <c r="CO106" i="30"/>
  <c r="CH106" i="30"/>
  <c r="CH104" i="30" s="1"/>
  <c r="CA106" i="30"/>
  <c r="BQ106" i="30"/>
  <c r="CD106" i="30" s="1"/>
  <c r="BJ106" i="30"/>
  <c r="BC106" i="30"/>
  <c r="AZ106" i="30"/>
  <c r="AT106" i="30"/>
  <c r="AM106" i="30"/>
  <c r="AF106" i="30"/>
  <c r="Y106" i="30"/>
  <c r="O106" i="30"/>
  <c r="H106" i="30"/>
  <c r="E106" i="30"/>
  <c r="B106" i="30"/>
  <c r="CO105" i="30"/>
  <c r="CO104" i="30" s="1"/>
  <c r="CR104" i="30" s="1"/>
  <c r="CH105" i="30"/>
  <c r="CA105" i="30"/>
  <c r="CA104" i="30" s="1"/>
  <c r="CK104" i="30" s="1"/>
  <c r="BQ105" i="30"/>
  <c r="BJ105" i="30"/>
  <c r="BJ104" i="30" s="1"/>
  <c r="BC105" i="30"/>
  <c r="BM105" i="30" s="1"/>
  <c r="AZ105" i="30"/>
  <c r="AT105" i="30"/>
  <c r="AM105" i="30"/>
  <c r="AF105" i="30"/>
  <c r="AF104" i="30" s="1"/>
  <c r="AI104" i="30" s="1"/>
  <c r="Y105" i="30"/>
  <c r="O105" i="30"/>
  <c r="H105" i="30"/>
  <c r="E105" i="30"/>
  <c r="B105" i="30"/>
  <c r="Y104" i="30"/>
  <c r="V104" i="30"/>
  <c r="CR103" i="30"/>
  <c r="CK103" i="30"/>
  <c r="CD103" i="30"/>
  <c r="BT103" i="30"/>
  <c r="BM103" i="30"/>
  <c r="BF103" i="30"/>
  <c r="BB103" i="30"/>
  <c r="AP103" i="30"/>
  <c r="AI103" i="30"/>
  <c r="AC103" i="30"/>
  <c r="AJ103" i="30" s="1"/>
  <c r="AQ103" i="30" s="1"/>
  <c r="AB103" i="30"/>
  <c r="X103" i="30"/>
  <c r="R103" i="30"/>
  <c r="K103" i="30"/>
  <c r="CO102" i="30"/>
  <c r="CH102" i="30"/>
  <c r="CA102" i="30"/>
  <c r="BQ102" i="30"/>
  <c r="BJ102" i="30"/>
  <c r="BC102" i="30"/>
  <c r="AT102" i="30"/>
  <c r="AM102" i="30"/>
  <c r="AF102" i="30"/>
  <c r="Y102" i="30"/>
  <c r="O102" i="30"/>
  <c r="H102" i="30"/>
  <c r="L102" i="30" s="1"/>
  <c r="E102" i="30"/>
  <c r="B102" i="30"/>
  <c r="CO101" i="30"/>
  <c r="CH101" i="30"/>
  <c r="CA101" i="30"/>
  <c r="CK101" i="30" s="1"/>
  <c r="BQ101" i="30"/>
  <c r="BJ101" i="30"/>
  <c r="BC101" i="30"/>
  <c r="AT101" i="30"/>
  <c r="AM101" i="30"/>
  <c r="AF101" i="30"/>
  <c r="AI101" i="30" s="1"/>
  <c r="Y101" i="30"/>
  <c r="O101" i="30"/>
  <c r="AB101" i="30" s="1"/>
  <c r="H101" i="30"/>
  <c r="E101" i="30"/>
  <c r="B101" i="30"/>
  <c r="CO100" i="30"/>
  <c r="CH100" i="30"/>
  <c r="CA100" i="30"/>
  <c r="BQ100" i="30"/>
  <c r="BJ100" i="30"/>
  <c r="BC100" i="30"/>
  <c r="AT100" i="30"/>
  <c r="AM100" i="30"/>
  <c r="AF100" i="30"/>
  <c r="Y100" i="30"/>
  <c r="AI100" i="30" s="1"/>
  <c r="O100" i="30"/>
  <c r="H100" i="30"/>
  <c r="E100" i="30"/>
  <c r="B100" i="30"/>
  <c r="CO99" i="30"/>
  <c r="CH99" i="30"/>
  <c r="CA99" i="30"/>
  <c r="BQ99" i="30"/>
  <c r="CD99" i="30" s="1"/>
  <c r="BJ99" i="30"/>
  <c r="BC99" i="30"/>
  <c r="BM99" i="30" s="1"/>
  <c r="AT99" i="30"/>
  <c r="AM99" i="30"/>
  <c r="AF99" i="30"/>
  <c r="Y99" i="30"/>
  <c r="O99" i="30"/>
  <c r="H99" i="30"/>
  <c r="E99" i="30"/>
  <c r="B99" i="30"/>
  <c r="CO98" i="30"/>
  <c r="CH98" i="30"/>
  <c r="CA98" i="30"/>
  <c r="BQ98" i="30"/>
  <c r="CD98" i="30" s="1"/>
  <c r="BJ98" i="30"/>
  <c r="BC98" i="30"/>
  <c r="AT98" i="30"/>
  <c r="AM98" i="30"/>
  <c r="AF98" i="30"/>
  <c r="Y98" i="30"/>
  <c r="O98" i="30"/>
  <c r="H98" i="30"/>
  <c r="E98" i="30"/>
  <c r="B98" i="30"/>
  <c r="CO97" i="30"/>
  <c r="CH97" i="30"/>
  <c r="CA97" i="30"/>
  <c r="BQ97" i="30"/>
  <c r="BJ97" i="30"/>
  <c r="BC97" i="30"/>
  <c r="BM97" i="30" s="1"/>
  <c r="AT97" i="30"/>
  <c r="AZ97" i="30" s="1"/>
  <c r="CV97" i="30" s="1"/>
  <c r="AM97" i="30"/>
  <c r="AF97" i="30"/>
  <c r="Y97" i="30"/>
  <c r="O97" i="30"/>
  <c r="H97" i="30"/>
  <c r="E97" i="30"/>
  <c r="B97" i="30"/>
  <c r="CO96" i="30"/>
  <c r="CH96" i="30"/>
  <c r="CK96" i="30" s="1"/>
  <c r="CA96" i="30"/>
  <c r="BQ96" i="30"/>
  <c r="BJ96" i="30"/>
  <c r="BC96" i="30"/>
  <c r="AZ96" i="30"/>
  <c r="CV96" i="30" s="1"/>
  <c r="AT96" i="30"/>
  <c r="AM96" i="30"/>
  <c r="BF96" i="30" s="1"/>
  <c r="AF96" i="30"/>
  <c r="Y96" i="30"/>
  <c r="O96" i="30"/>
  <c r="H96" i="30"/>
  <c r="E96" i="30"/>
  <c r="B96" i="30"/>
  <c r="CO95" i="30"/>
  <c r="CR95" i="30" s="1"/>
  <c r="CH95" i="30"/>
  <c r="CA95" i="30"/>
  <c r="BQ95" i="30"/>
  <c r="BJ95" i="30"/>
  <c r="BC95" i="30"/>
  <c r="BM95" i="30" s="1"/>
  <c r="AZ95" i="30"/>
  <c r="CV95" i="30" s="1"/>
  <c r="AT95" i="30"/>
  <c r="AM95" i="30"/>
  <c r="BF95" i="30" s="1"/>
  <c r="AF95" i="30"/>
  <c r="Y95" i="30"/>
  <c r="O95" i="30"/>
  <c r="H95" i="30"/>
  <c r="E95" i="30"/>
  <c r="B95" i="30"/>
  <c r="CO94" i="30"/>
  <c r="CO93" i="30" s="1"/>
  <c r="CH94" i="30"/>
  <c r="CA94" i="30"/>
  <c r="BQ94" i="30"/>
  <c r="BJ94" i="30"/>
  <c r="BC94" i="30"/>
  <c r="BM94" i="30" s="1"/>
  <c r="AZ94" i="30"/>
  <c r="CV94" i="30" s="1"/>
  <c r="AT94" i="30"/>
  <c r="AM94" i="30"/>
  <c r="AF94" i="30"/>
  <c r="Y94" i="30"/>
  <c r="O94" i="30"/>
  <c r="H94" i="30"/>
  <c r="E94" i="30"/>
  <c r="B94" i="30"/>
  <c r="V93" i="30"/>
  <c r="CR92" i="30"/>
  <c r="CK92" i="30"/>
  <c r="CD92" i="30"/>
  <c r="BT92" i="30"/>
  <c r="BM92" i="30"/>
  <c r="BF92" i="30"/>
  <c r="AT92" i="30"/>
  <c r="AP92" i="30"/>
  <c r="AJ92" i="30"/>
  <c r="AQ92" i="30" s="1"/>
  <c r="BG92" i="30" s="1"/>
  <c r="BN92" i="30" s="1"/>
  <c r="BU92" i="30" s="1"/>
  <c r="CE92" i="30" s="1"/>
  <c r="CL92" i="30" s="1"/>
  <c r="CS92" i="30" s="1"/>
  <c r="AI92" i="30"/>
  <c r="AB92" i="30"/>
  <c r="X92" i="30"/>
  <c r="R92" i="30"/>
  <c r="K92" i="30"/>
  <c r="CO91" i="30"/>
  <c r="CH91" i="30"/>
  <c r="CA91" i="30"/>
  <c r="BQ91" i="30"/>
  <c r="BJ91" i="30"/>
  <c r="BC91" i="30"/>
  <c r="AT91" i="30"/>
  <c r="AM91" i="30"/>
  <c r="AF91" i="30"/>
  <c r="AI91" i="30" s="1"/>
  <c r="Y91" i="30"/>
  <c r="O91" i="30"/>
  <c r="AB91" i="30" s="1"/>
  <c r="H91" i="30"/>
  <c r="E91" i="30"/>
  <c r="B91" i="30"/>
  <c r="CO90" i="30"/>
  <c r="CH90" i="30"/>
  <c r="CA90" i="30"/>
  <c r="BQ90" i="30"/>
  <c r="BJ90" i="30"/>
  <c r="BC90" i="30"/>
  <c r="AT90" i="30"/>
  <c r="AM90" i="30"/>
  <c r="AF90" i="30"/>
  <c r="Y90" i="30"/>
  <c r="AI90" i="30" s="1"/>
  <c r="O90" i="30"/>
  <c r="H90" i="30"/>
  <c r="E90" i="30"/>
  <c r="B90" i="30"/>
  <c r="CO89" i="30"/>
  <c r="CH89" i="30"/>
  <c r="CA89" i="30"/>
  <c r="BQ89" i="30"/>
  <c r="BJ89" i="30"/>
  <c r="BT89" i="30" s="1"/>
  <c r="BC89" i="30"/>
  <c r="AT89" i="30"/>
  <c r="AM89" i="30"/>
  <c r="AF89" i="30"/>
  <c r="AF83" i="30" s="1"/>
  <c r="Y89" i="30"/>
  <c r="AI89" i="30" s="1"/>
  <c r="O89" i="30"/>
  <c r="AB89" i="30" s="1"/>
  <c r="H89" i="30"/>
  <c r="E89" i="30"/>
  <c r="B89" i="30"/>
  <c r="CO88" i="30"/>
  <c r="CH88" i="30"/>
  <c r="CA88" i="30"/>
  <c r="BQ88" i="30"/>
  <c r="BJ88" i="30"/>
  <c r="BT88" i="30" s="1"/>
  <c r="BC88" i="30"/>
  <c r="AT88" i="30"/>
  <c r="AM88" i="30"/>
  <c r="AF88" i="30"/>
  <c r="Y88" i="30"/>
  <c r="AI88" i="30" s="1"/>
  <c r="O88" i="30"/>
  <c r="H88" i="30"/>
  <c r="K88" i="30" s="1"/>
  <c r="E88" i="30"/>
  <c r="B88" i="30"/>
  <c r="CO87" i="30"/>
  <c r="CH87" i="30"/>
  <c r="CA87" i="30"/>
  <c r="BQ87" i="30"/>
  <c r="BJ87" i="30"/>
  <c r="BC87" i="30"/>
  <c r="BM87" i="30" s="1"/>
  <c r="AT87" i="30"/>
  <c r="AZ87" i="30" s="1"/>
  <c r="AM87" i="30"/>
  <c r="AF87" i="30"/>
  <c r="AP87" i="30" s="1"/>
  <c r="Y87" i="30"/>
  <c r="O87" i="30"/>
  <c r="H87" i="30"/>
  <c r="E87" i="30"/>
  <c r="B87" i="30"/>
  <c r="CO86" i="30"/>
  <c r="CH86" i="30"/>
  <c r="CA86" i="30"/>
  <c r="BQ86" i="30"/>
  <c r="BM86" i="30"/>
  <c r="BJ86" i="30"/>
  <c r="BC86" i="30"/>
  <c r="AT86" i="30"/>
  <c r="AZ86" i="30" s="1"/>
  <c r="AM86" i="30"/>
  <c r="BF86" i="30" s="1"/>
  <c r="AF86" i="30"/>
  <c r="Y86" i="30"/>
  <c r="O86" i="30"/>
  <c r="H86" i="30"/>
  <c r="E86" i="30"/>
  <c r="B86" i="30"/>
  <c r="CO85" i="30"/>
  <c r="CH85" i="30"/>
  <c r="CA85" i="30"/>
  <c r="BT85" i="30"/>
  <c r="BQ85" i="30"/>
  <c r="BJ85" i="30"/>
  <c r="BC85" i="30"/>
  <c r="AT85" i="30"/>
  <c r="AZ85" i="30" s="1"/>
  <c r="AM85" i="30"/>
  <c r="BF85" i="30" s="1"/>
  <c r="AF85" i="30"/>
  <c r="Y85" i="30"/>
  <c r="O85" i="30"/>
  <c r="H85" i="30"/>
  <c r="E85" i="30"/>
  <c r="B85" i="30"/>
  <c r="CO84" i="30"/>
  <c r="CH84" i="30"/>
  <c r="CA84" i="30"/>
  <c r="BQ84" i="30"/>
  <c r="BQ83" i="30" s="1"/>
  <c r="BJ84" i="30"/>
  <c r="BJ83" i="30" s="1"/>
  <c r="BC84" i="30"/>
  <c r="BM84" i="30" s="1"/>
  <c r="AT84" i="30"/>
  <c r="AZ84" i="30" s="1"/>
  <c r="AM84" i="30"/>
  <c r="AF84" i="30"/>
  <c r="AP84" i="30" s="1"/>
  <c r="Y84" i="30"/>
  <c r="Y83" i="30" s="1"/>
  <c r="O84" i="30"/>
  <c r="H84" i="30"/>
  <c r="E84" i="30"/>
  <c r="B84" i="30"/>
  <c r="V83" i="30"/>
  <c r="CR82" i="30"/>
  <c r="CL82" i="30"/>
  <c r="CS82" i="30" s="1"/>
  <c r="CK82" i="30"/>
  <c r="CD82" i="30"/>
  <c r="BT82" i="30"/>
  <c r="BM82" i="30"/>
  <c r="BF82" i="30"/>
  <c r="AT82" i="30"/>
  <c r="AP82" i="30"/>
  <c r="AJ82" i="30"/>
  <c r="AQ82" i="30" s="1"/>
  <c r="AI82" i="30"/>
  <c r="AB82" i="30"/>
  <c r="X82" i="30"/>
  <c r="R82" i="30"/>
  <c r="K82" i="30"/>
  <c r="CO81" i="30"/>
  <c r="CH81" i="30"/>
  <c r="CA81" i="30"/>
  <c r="BQ81" i="30"/>
  <c r="CD81" i="30" s="1"/>
  <c r="BJ81" i="30"/>
  <c r="BC81" i="30"/>
  <c r="AT81" i="30"/>
  <c r="AZ81" i="30" s="1"/>
  <c r="AM81" i="30"/>
  <c r="BF81" i="30" s="1"/>
  <c r="AF81" i="30"/>
  <c r="Y81" i="30"/>
  <c r="O81" i="30"/>
  <c r="H81" i="30"/>
  <c r="R81" i="30" s="1"/>
  <c r="E81" i="30"/>
  <c r="B81" i="30"/>
  <c r="CO80" i="30"/>
  <c r="CH80" i="30"/>
  <c r="CA80" i="30"/>
  <c r="BQ80" i="30"/>
  <c r="BJ80" i="30"/>
  <c r="BC80" i="30"/>
  <c r="AT80" i="30"/>
  <c r="AZ80" i="30" s="1"/>
  <c r="AM80" i="30"/>
  <c r="BF80" i="30" s="1"/>
  <c r="AF80" i="30"/>
  <c r="AP80" i="30" s="1"/>
  <c r="Y80" i="30"/>
  <c r="O80" i="30"/>
  <c r="H80" i="30"/>
  <c r="E80" i="30"/>
  <c r="B80" i="30"/>
  <c r="CO79" i="30"/>
  <c r="CH79" i="30"/>
  <c r="CA79" i="30"/>
  <c r="BQ79" i="30"/>
  <c r="CD79" i="30" s="1"/>
  <c r="BJ79" i="30"/>
  <c r="BC79" i="30"/>
  <c r="AT79" i="30"/>
  <c r="AZ79" i="30" s="1"/>
  <c r="AM79" i="30"/>
  <c r="BF79" i="30" s="1"/>
  <c r="AF79" i="30"/>
  <c r="Y79" i="30"/>
  <c r="O79" i="30"/>
  <c r="H79" i="30"/>
  <c r="E79" i="30"/>
  <c r="B79" i="30"/>
  <c r="CO78" i="30"/>
  <c r="CH78" i="30"/>
  <c r="CA78" i="30"/>
  <c r="CK78" i="30" s="1"/>
  <c r="BQ78" i="30"/>
  <c r="BJ78" i="30"/>
  <c r="BM78" i="30" s="1"/>
  <c r="BC78" i="30"/>
  <c r="AT78" i="30"/>
  <c r="AZ78" i="30" s="1"/>
  <c r="AM78" i="30"/>
  <c r="BF78" i="30" s="1"/>
  <c r="AF78" i="30"/>
  <c r="AP78" i="30" s="1"/>
  <c r="Y78" i="30"/>
  <c r="O78" i="30"/>
  <c r="H78" i="30"/>
  <c r="E78" i="30"/>
  <c r="B78" i="30"/>
  <c r="CO77" i="30"/>
  <c r="CH77" i="30"/>
  <c r="CA77" i="30"/>
  <c r="BQ77" i="30"/>
  <c r="BJ77" i="30"/>
  <c r="BC77" i="30"/>
  <c r="AT77" i="30"/>
  <c r="AM77" i="30"/>
  <c r="AF77" i="30"/>
  <c r="Y77" i="30"/>
  <c r="O77" i="30"/>
  <c r="H77" i="30"/>
  <c r="E77" i="30"/>
  <c r="B77" i="30"/>
  <c r="CO76" i="30"/>
  <c r="CH76" i="30"/>
  <c r="CA76" i="30"/>
  <c r="BQ76" i="30"/>
  <c r="CD76" i="30" s="1"/>
  <c r="BJ76" i="30"/>
  <c r="BC76" i="30"/>
  <c r="AT76" i="30"/>
  <c r="AM76" i="30"/>
  <c r="AF76" i="30"/>
  <c r="Y76" i="30"/>
  <c r="O76" i="30"/>
  <c r="H76" i="30"/>
  <c r="E76" i="30"/>
  <c r="B76" i="30"/>
  <c r="CO75" i="30"/>
  <c r="CH75" i="30"/>
  <c r="CA75" i="30"/>
  <c r="BQ75" i="30"/>
  <c r="BJ75" i="30"/>
  <c r="BC75" i="30"/>
  <c r="AT75" i="30"/>
  <c r="AP75" i="30"/>
  <c r="AM75" i="30"/>
  <c r="BF75" i="30" s="1"/>
  <c r="AF75" i="30"/>
  <c r="AI75" i="30" s="1"/>
  <c r="Y75" i="30"/>
  <c r="O75" i="30"/>
  <c r="H75" i="30"/>
  <c r="R75" i="30" s="1"/>
  <c r="E75" i="30"/>
  <c r="B75" i="30"/>
  <c r="CO74" i="30"/>
  <c r="CH74" i="30"/>
  <c r="CA74" i="30"/>
  <c r="BQ74" i="30"/>
  <c r="BJ74" i="30"/>
  <c r="BC74" i="30"/>
  <c r="BM74" i="30" s="1"/>
  <c r="AT74" i="30"/>
  <c r="AP74" i="30"/>
  <c r="AM74" i="30"/>
  <c r="BF74" i="30" s="1"/>
  <c r="AF74" i="30"/>
  <c r="Y74" i="30"/>
  <c r="O74" i="30"/>
  <c r="H74" i="30"/>
  <c r="E74" i="30"/>
  <c r="B74" i="30"/>
  <c r="CO73" i="30"/>
  <c r="CH73" i="30"/>
  <c r="CA73" i="30"/>
  <c r="BQ73" i="30"/>
  <c r="BJ73" i="30"/>
  <c r="BC73" i="30"/>
  <c r="AT73" i="30"/>
  <c r="AM73" i="30"/>
  <c r="BF73" i="30" s="1"/>
  <c r="AF73" i="30"/>
  <c r="AF68" i="30" s="1"/>
  <c r="Y73" i="30"/>
  <c r="O73" i="30"/>
  <c r="H73" i="30"/>
  <c r="E73" i="30"/>
  <c r="B73" i="30"/>
  <c r="CO72" i="30"/>
  <c r="CH72" i="30"/>
  <c r="CA72" i="30"/>
  <c r="BQ72" i="30"/>
  <c r="BJ72" i="30"/>
  <c r="BC72" i="30"/>
  <c r="AT72" i="30"/>
  <c r="AM72" i="30"/>
  <c r="AF72" i="30"/>
  <c r="Y72" i="30"/>
  <c r="O72" i="30"/>
  <c r="H72" i="30"/>
  <c r="E72" i="30"/>
  <c r="B72" i="30"/>
  <c r="CO71" i="30"/>
  <c r="CH71" i="30"/>
  <c r="CA71" i="30"/>
  <c r="BQ71" i="30"/>
  <c r="BJ71" i="30"/>
  <c r="BC71" i="30"/>
  <c r="AT71" i="30"/>
  <c r="AM71" i="30"/>
  <c r="AF71" i="30"/>
  <c r="AP71" i="30" s="1"/>
  <c r="Y71" i="30"/>
  <c r="O71" i="30"/>
  <c r="AB71" i="30" s="1"/>
  <c r="H71" i="30"/>
  <c r="E71" i="30"/>
  <c r="B71" i="30"/>
  <c r="CO70" i="30"/>
  <c r="CH70" i="30"/>
  <c r="CA70" i="30"/>
  <c r="BQ70" i="30"/>
  <c r="BJ70" i="30"/>
  <c r="BM70" i="30" s="1"/>
  <c r="BC70" i="30"/>
  <c r="AT70" i="30"/>
  <c r="AM70" i="30"/>
  <c r="BF70" i="30" s="1"/>
  <c r="AF70" i="30"/>
  <c r="Y70" i="30"/>
  <c r="AI70" i="30" s="1"/>
  <c r="O70" i="30"/>
  <c r="H70" i="30"/>
  <c r="E70" i="30"/>
  <c r="B70" i="30"/>
  <c r="CO69" i="30"/>
  <c r="CH69" i="30"/>
  <c r="CA69" i="30"/>
  <c r="BQ69" i="30"/>
  <c r="BM69" i="30"/>
  <c r="BJ69" i="30"/>
  <c r="BT69" i="30" s="1"/>
  <c r="BC69" i="30"/>
  <c r="AZ69" i="30"/>
  <c r="BX69" i="30" s="1"/>
  <c r="AT69" i="30"/>
  <c r="AM69" i="30"/>
  <c r="BF69" i="30" s="1"/>
  <c r="AF69" i="30"/>
  <c r="Y69" i="30"/>
  <c r="AI69" i="30" s="1"/>
  <c r="O69" i="30"/>
  <c r="H69" i="30"/>
  <c r="E69" i="30"/>
  <c r="B69" i="30"/>
  <c r="V68" i="30"/>
  <c r="CR67" i="30"/>
  <c r="CL67" i="30"/>
  <c r="CS67" i="30" s="1"/>
  <c r="CK67" i="30"/>
  <c r="CD67" i="30"/>
  <c r="BT67" i="30"/>
  <c r="BM67" i="30"/>
  <c r="BF67" i="30"/>
  <c r="AT67" i="30"/>
  <c r="AP67" i="30"/>
  <c r="AJ67" i="30"/>
  <c r="AQ67" i="30" s="1"/>
  <c r="AI67" i="30"/>
  <c r="AB67" i="30"/>
  <c r="X67" i="30"/>
  <c r="R67" i="30"/>
  <c r="K67" i="30"/>
  <c r="CR66" i="30"/>
  <c r="CK66" i="30"/>
  <c r="CD66" i="30"/>
  <c r="BT66" i="30"/>
  <c r="BM66" i="30"/>
  <c r="BF66" i="30"/>
  <c r="AT66" i="30"/>
  <c r="AZ66" i="30" s="1"/>
  <c r="CV66" i="30" s="1"/>
  <c r="AP66" i="30"/>
  <c r="AI66" i="30"/>
  <c r="AB66" i="30"/>
  <c r="R66" i="30"/>
  <c r="L66" i="30"/>
  <c r="S66" i="30" s="1"/>
  <c r="K66" i="30"/>
  <c r="BT65" i="30"/>
  <c r="BM65" i="30"/>
  <c r="AZ65" i="30"/>
  <c r="AT65" i="30"/>
  <c r="BF65" i="30"/>
  <c r="AP65" i="30"/>
  <c r="AI65" i="30"/>
  <c r="AB65" i="30"/>
  <c r="K65" i="30"/>
  <c r="CO64" i="30"/>
  <c r="CH64" i="30"/>
  <c r="CA64" i="30"/>
  <c r="BQ64" i="30"/>
  <c r="BJ64" i="30"/>
  <c r="BT64" i="30" s="1"/>
  <c r="BC64" i="30"/>
  <c r="AT64" i="30"/>
  <c r="AZ64" i="30" s="1"/>
  <c r="BX64" i="30" s="1"/>
  <c r="AM64" i="30"/>
  <c r="BF64" i="30" s="1"/>
  <c r="AF64" i="30"/>
  <c r="Y64" i="30"/>
  <c r="O64" i="30"/>
  <c r="H64" i="30"/>
  <c r="E64" i="30"/>
  <c r="B64" i="30"/>
  <c r="CO63" i="30"/>
  <c r="CH63" i="30"/>
  <c r="CA63" i="30"/>
  <c r="BQ63" i="30"/>
  <c r="BJ63" i="30"/>
  <c r="BT63" i="30" s="1"/>
  <c r="BC63" i="30"/>
  <c r="BM63" i="30" s="1"/>
  <c r="AZ63" i="30"/>
  <c r="BX63" i="30" s="1"/>
  <c r="AT63" i="30"/>
  <c r="AM63" i="30"/>
  <c r="BF63" i="30" s="1"/>
  <c r="AF63" i="30"/>
  <c r="Y63" i="30"/>
  <c r="O63" i="30"/>
  <c r="H63" i="30"/>
  <c r="E63" i="30"/>
  <c r="B63" i="30"/>
  <c r="CO62" i="30"/>
  <c r="CH62" i="30"/>
  <c r="CA62" i="30"/>
  <c r="BQ62" i="30"/>
  <c r="BJ62" i="30"/>
  <c r="BT62" i="30" s="1"/>
  <c r="BC62" i="30"/>
  <c r="AZ62" i="30"/>
  <c r="CV62" i="30" s="1"/>
  <c r="AT62" i="30"/>
  <c r="AM62" i="30"/>
  <c r="AF62" i="30"/>
  <c r="Y62" i="30"/>
  <c r="O62" i="30"/>
  <c r="H62" i="30"/>
  <c r="E62" i="30"/>
  <c r="K62" i="30" s="1"/>
  <c r="B62" i="30"/>
  <c r="CO61" i="30"/>
  <c r="CH61" i="30"/>
  <c r="CA61" i="30"/>
  <c r="BQ61" i="30"/>
  <c r="BT61" i="30" s="1"/>
  <c r="BJ61" i="30"/>
  <c r="BC61" i="30"/>
  <c r="BM61" i="30" s="1"/>
  <c r="AT61" i="30"/>
  <c r="AZ61" i="30" s="1"/>
  <c r="AM61" i="30"/>
  <c r="AF61" i="30"/>
  <c r="Y61" i="30"/>
  <c r="O61" i="30"/>
  <c r="H61" i="30"/>
  <c r="E61" i="30"/>
  <c r="B61" i="30"/>
  <c r="CO60" i="30"/>
  <c r="CH60" i="30"/>
  <c r="CA60" i="30"/>
  <c r="BQ60" i="30"/>
  <c r="BJ60" i="30"/>
  <c r="BT60" i="30" s="1"/>
  <c r="BC60" i="30"/>
  <c r="AT60" i="30"/>
  <c r="AZ60" i="30" s="1"/>
  <c r="BX60" i="30" s="1"/>
  <c r="AM60" i="30"/>
  <c r="AF60" i="30"/>
  <c r="AP60" i="30" s="1"/>
  <c r="Y60" i="30"/>
  <c r="O60" i="30"/>
  <c r="H60" i="30"/>
  <c r="E60" i="30"/>
  <c r="B60" i="30"/>
  <c r="CO59" i="30"/>
  <c r="CH59" i="30"/>
  <c r="CA59" i="30"/>
  <c r="BQ59" i="30"/>
  <c r="BJ59" i="30"/>
  <c r="BC59" i="30"/>
  <c r="AZ59" i="30"/>
  <c r="BX59" i="30" s="1"/>
  <c r="AT59" i="30"/>
  <c r="AM59" i="30"/>
  <c r="BF59" i="30" s="1"/>
  <c r="AF59" i="30"/>
  <c r="Y59" i="30"/>
  <c r="AI59" i="30" s="1"/>
  <c r="O59" i="30"/>
  <c r="H59" i="30"/>
  <c r="E59" i="30"/>
  <c r="B59" i="30"/>
  <c r="CO58" i="30"/>
  <c r="CH58" i="30"/>
  <c r="CA58" i="30"/>
  <c r="BQ58" i="30"/>
  <c r="BJ58" i="30"/>
  <c r="BM58" i="30" s="1"/>
  <c r="BC58" i="30"/>
  <c r="AZ58" i="30"/>
  <c r="BX58" i="30" s="1"/>
  <c r="AT58" i="30"/>
  <c r="AM58" i="30"/>
  <c r="BF58" i="30" s="1"/>
  <c r="AF58" i="30"/>
  <c r="Y58" i="30"/>
  <c r="AI58" i="30" s="1"/>
  <c r="O58" i="30"/>
  <c r="H58" i="30"/>
  <c r="E58" i="30"/>
  <c r="B58" i="30"/>
  <c r="CO57" i="30"/>
  <c r="CH57" i="30"/>
  <c r="CA57" i="30"/>
  <c r="BQ57" i="30"/>
  <c r="BJ57" i="30"/>
  <c r="BC57" i="30"/>
  <c r="AT57" i="30"/>
  <c r="AZ57" i="30" s="1"/>
  <c r="BX57" i="30" s="1"/>
  <c r="AM57" i="30"/>
  <c r="AF57" i="30"/>
  <c r="AP57" i="30" s="1"/>
  <c r="Y57" i="30"/>
  <c r="O57" i="30"/>
  <c r="AB57" i="30" s="1"/>
  <c r="H57" i="30"/>
  <c r="E57" i="30"/>
  <c r="B57" i="30"/>
  <c r="CO56" i="30"/>
  <c r="CH56" i="30"/>
  <c r="CA56" i="30"/>
  <c r="BQ56" i="30"/>
  <c r="BJ56" i="30"/>
  <c r="BC56" i="30"/>
  <c r="BM56" i="30" s="1"/>
  <c r="AT56" i="30"/>
  <c r="AZ56" i="30" s="1"/>
  <c r="BX56" i="30" s="1"/>
  <c r="AM56" i="30"/>
  <c r="AF56" i="30"/>
  <c r="AP56" i="30" s="1"/>
  <c r="Y56" i="30"/>
  <c r="O56" i="30"/>
  <c r="H56" i="30"/>
  <c r="E56" i="30"/>
  <c r="B56" i="30"/>
  <c r="CO55" i="30"/>
  <c r="CH55" i="30"/>
  <c r="CA55" i="30"/>
  <c r="CK55" i="30" s="1"/>
  <c r="BQ55" i="30"/>
  <c r="BJ55" i="30"/>
  <c r="BC55" i="30"/>
  <c r="AZ55" i="30"/>
  <c r="BX55" i="30" s="1"/>
  <c r="AT55" i="30"/>
  <c r="AM55" i="30"/>
  <c r="BF55" i="30" s="1"/>
  <c r="AF55" i="30"/>
  <c r="Y55" i="30"/>
  <c r="AI55" i="30" s="1"/>
  <c r="O55" i="30"/>
  <c r="H55" i="30"/>
  <c r="E55" i="30"/>
  <c r="B55" i="30"/>
  <c r="CO54" i="30"/>
  <c r="CH54" i="30"/>
  <c r="CA54" i="30"/>
  <c r="BT54" i="30"/>
  <c r="BQ54" i="30"/>
  <c r="BJ54" i="30"/>
  <c r="BC54" i="30"/>
  <c r="AZ54" i="30"/>
  <c r="BX54" i="30" s="1"/>
  <c r="AT54" i="30"/>
  <c r="AM54" i="30"/>
  <c r="BF54" i="30" s="1"/>
  <c r="AF54" i="30"/>
  <c r="Y54" i="30"/>
  <c r="AI54" i="30" s="1"/>
  <c r="O54" i="30"/>
  <c r="H54" i="30"/>
  <c r="E54" i="30"/>
  <c r="B54" i="30"/>
  <c r="CO53" i="30"/>
  <c r="CH53" i="30"/>
  <c r="CA53" i="30"/>
  <c r="BQ53" i="30"/>
  <c r="BT53" i="30" s="1"/>
  <c r="BJ53" i="30"/>
  <c r="BC53" i="30"/>
  <c r="AZ53" i="30"/>
  <c r="BX53" i="30" s="1"/>
  <c r="AT53" i="30"/>
  <c r="AM53" i="30"/>
  <c r="AF53" i="30"/>
  <c r="AP53" i="30" s="1"/>
  <c r="Y53" i="30"/>
  <c r="O53" i="30"/>
  <c r="H53" i="30"/>
  <c r="E53" i="30"/>
  <c r="B53" i="30"/>
  <c r="CO52" i="30"/>
  <c r="CH52" i="30"/>
  <c r="CA52" i="30"/>
  <c r="BQ52" i="30"/>
  <c r="BM52" i="30"/>
  <c r="BJ52" i="30"/>
  <c r="BC52" i="30"/>
  <c r="AZ52" i="30"/>
  <c r="BX52" i="30" s="1"/>
  <c r="AT52" i="30"/>
  <c r="AM52" i="30"/>
  <c r="AF52" i="30"/>
  <c r="AP52" i="30" s="1"/>
  <c r="Y52" i="30"/>
  <c r="O52" i="30"/>
  <c r="H52" i="30"/>
  <c r="E52" i="30"/>
  <c r="B52" i="30"/>
  <c r="CO51" i="30"/>
  <c r="CH51" i="30"/>
  <c r="CA51" i="30"/>
  <c r="BQ51" i="30"/>
  <c r="BJ51" i="30"/>
  <c r="BT51" i="30" s="1"/>
  <c r="BC51" i="30"/>
  <c r="AT51" i="30"/>
  <c r="AZ51" i="30" s="1"/>
  <c r="AM51" i="30"/>
  <c r="BF51" i="30" s="1"/>
  <c r="AF51" i="30"/>
  <c r="Y51" i="30"/>
  <c r="O51" i="30"/>
  <c r="H51" i="30"/>
  <c r="E51" i="30"/>
  <c r="B51" i="30"/>
  <c r="CO50" i="30"/>
  <c r="CH50" i="30"/>
  <c r="CA50" i="30"/>
  <c r="BQ50" i="30"/>
  <c r="BJ50" i="30"/>
  <c r="BC50" i="30"/>
  <c r="BM50" i="30" s="1"/>
  <c r="AZ50" i="30"/>
  <c r="BX50" i="30" s="1"/>
  <c r="AT50" i="30"/>
  <c r="AM50" i="30"/>
  <c r="AF50" i="30"/>
  <c r="Y50" i="30"/>
  <c r="O50" i="30"/>
  <c r="AB50" i="30" s="1"/>
  <c r="H50" i="30"/>
  <c r="E50" i="30"/>
  <c r="L50" i="30" s="1"/>
  <c r="B50" i="30"/>
  <c r="CO49" i="30"/>
  <c r="CH49" i="30"/>
  <c r="CA49" i="30"/>
  <c r="BQ49" i="30"/>
  <c r="BT49" i="30" s="1"/>
  <c r="BJ49" i="30"/>
  <c r="BC49" i="30"/>
  <c r="AZ49" i="30"/>
  <c r="CV49" i="30" s="1"/>
  <c r="AT49" i="30"/>
  <c r="AM49" i="30"/>
  <c r="BF49" i="30" s="1"/>
  <c r="AF49" i="30"/>
  <c r="AP49" i="30" s="1"/>
  <c r="Y49" i="30"/>
  <c r="O49" i="30"/>
  <c r="H49" i="30"/>
  <c r="E49" i="30"/>
  <c r="B49" i="30"/>
  <c r="CO48" i="30"/>
  <c r="CH48" i="30"/>
  <c r="CA48" i="30"/>
  <c r="BQ48" i="30"/>
  <c r="BJ48" i="30"/>
  <c r="BC48" i="30"/>
  <c r="AT48" i="30"/>
  <c r="AZ48" i="30" s="1"/>
  <c r="AM48" i="30"/>
  <c r="BF48" i="30" s="1"/>
  <c r="AF48" i="30"/>
  <c r="Y48" i="30"/>
  <c r="O48" i="30"/>
  <c r="H48" i="30"/>
  <c r="E48" i="30"/>
  <c r="B48" i="30"/>
  <c r="CO47" i="30"/>
  <c r="CH47" i="30"/>
  <c r="CA47" i="30"/>
  <c r="BQ47" i="30"/>
  <c r="BJ47" i="30"/>
  <c r="BM47" i="30" s="1"/>
  <c r="BF47" i="30"/>
  <c r="BC47" i="30"/>
  <c r="AT47" i="30"/>
  <c r="AZ47" i="30" s="1"/>
  <c r="BX47" i="30" s="1"/>
  <c r="AM47" i="30"/>
  <c r="AF47" i="30"/>
  <c r="Y47" i="30"/>
  <c r="O47" i="30"/>
  <c r="H47" i="30"/>
  <c r="L47" i="30" s="1"/>
  <c r="E47" i="30"/>
  <c r="B47" i="30"/>
  <c r="CO46" i="30"/>
  <c r="CH46" i="30"/>
  <c r="CA46" i="30"/>
  <c r="BQ46" i="30"/>
  <c r="BJ46" i="30"/>
  <c r="BC46" i="30"/>
  <c r="AZ46" i="30"/>
  <c r="AT46" i="30"/>
  <c r="AM46" i="30"/>
  <c r="AF46" i="30"/>
  <c r="Y46" i="30"/>
  <c r="O46" i="30"/>
  <c r="H46" i="30"/>
  <c r="E46" i="30"/>
  <c r="B46" i="30"/>
  <c r="CO45" i="30"/>
  <c r="CH45" i="30"/>
  <c r="CA45" i="30"/>
  <c r="CD45" i="30" s="1"/>
  <c r="BQ45" i="30"/>
  <c r="BJ45" i="30"/>
  <c r="BT45" i="30" s="1"/>
  <c r="BC45" i="30"/>
  <c r="AT45" i="30"/>
  <c r="AM45" i="30"/>
  <c r="AF45" i="30"/>
  <c r="Y45" i="30"/>
  <c r="O45" i="30"/>
  <c r="R45" i="30" s="1"/>
  <c r="H45" i="30"/>
  <c r="E45" i="30"/>
  <c r="B45" i="30"/>
  <c r="CO44" i="30"/>
  <c r="CH44" i="30"/>
  <c r="CA44" i="30"/>
  <c r="BQ44" i="30"/>
  <c r="BJ44" i="30"/>
  <c r="BC44" i="30"/>
  <c r="AT44" i="30"/>
  <c r="AM44" i="30"/>
  <c r="BF44" i="30" s="1"/>
  <c r="AF44" i="30"/>
  <c r="Y44" i="30"/>
  <c r="O44" i="30"/>
  <c r="H44" i="30"/>
  <c r="E44" i="30"/>
  <c r="B44" i="30"/>
  <c r="CO43" i="30"/>
  <c r="CH43" i="30"/>
  <c r="CR43" i="30" s="1"/>
  <c r="CA43" i="30"/>
  <c r="BQ43" i="30"/>
  <c r="BJ43" i="30"/>
  <c r="BT43" i="30" s="1"/>
  <c r="BC43" i="30"/>
  <c r="AT43" i="30"/>
  <c r="AM43" i="30"/>
  <c r="BF43" i="30" s="1"/>
  <c r="AF43" i="30"/>
  <c r="Y43" i="30"/>
  <c r="O43" i="30"/>
  <c r="H43" i="30"/>
  <c r="E43" i="30"/>
  <c r="B43" i="30"/>
  <c r="CO42" i="30"/>
  <c r="CH42" i="30"/>
  <c r="CA42" i="30"/>
  <c r="BQ42" i="30"/>
  <c r="BJ42" i="30"/>
  <c r="BC42" i="30"/>
  <c r="AT42" i="30"/>
  <c r="AM42" i="30"/>
  <c r="AF42" i="30"/>
  <c r="AP42" i="30" s="1"/>
  <c r="Y42" i="30"/>
  <c r="O42" i="30"/>
  <c r="H42" i="30"/>
  <c r="E42" i="30"/>
  <c r="B42" i="30"/>
  <c r="CO41" i="30"/>
  <c r="CH41" i="30"/>
  <c r="CA41" i="30"/>
  <c r="CD41" i="30" s="1"/>
  <c r="BQ41" i="30"/>
  <c r="BJ41" i="30"/>
  <c r="BC41" i="30"/>
  <c r="AT41" i="30"/>
  <c r="AM41" i="30"/>
  <c r="AF41" i="30"/>
  <c r="Y41" i="30"/>
  <c r="O41" i="30"/>
  <c r="H41" i="30"/>
  <c r="E41" i="30"/>
  <c r="B41" i="30"/>
  <c r="B39" i="30" s="1"/>
  <c r="CO40" i="30"/>
  <c r="CH40" i="30"/>
  <c r="CA40" i="30"/>
  <c r="BQ40" i="30"/>
  <c r="BJ40" i="30"/>
  <c r="BC40" i="30"/>
  <c r="AT40" i="30"/>
  <c r="AM40" i="30"/>
  <c r="BF40" i="30" s="1"/>
  <c r="AF40" i="30"/>
  <c r="Y40" i="30"/>
  <c r="O40" i="30"/>
  <c r="H40" i="30"/>
  <c r="E40" i="30"/>
  <c r="B40" i="30"/>
  <c r="BJ39" i="30"/>
  <c r="BC39" i="30"/>
  <c r="V39" i="30"/>
  <c r="CX37" i="30"/>
  <c r="CR37" i="30"/>
  <c r="CK37" i="30"/>
  <c r="BZ37" i="30"/>
  <c r="BT37" i="30"/>
  <c r="BM37" i="30"/>
  <c r="AP37" i="30"/>
  <c r="AI37" i="30"/>
  <c r="CS32" i="30"/>
  <c r="CX32" i="30" s="1"/>
  <c r="CR32" i="30"/>
  <c r="CL32" i="30"/>
  <c r="CK32" i="30"/>
  <c r="CD32" i="30"/>
  <c r="BZ32" i="30"/>
  <c r="BT32" i="30"/>
  <c r="BN32" i="30"/>
  <c r="BU32" i="30" s="1"/>
  <c r="BM32" i="30"/>
  <c r="BG32" i="30"/>
  <c r="BF32" i="30"/>
  <c r="BB32" i="30"/>
  <c r="AP32" i="30"/>
  <c r="AJ32" i="30"/>
  <c r="AQ32" i="30" s="1"/>
  <c r="AV32" i="30" s="1"/>
  <c r="AI32" i="30"/>
  <c r="AB32" i="30"/>
  <c r="X32" i="30"/>
  <c r="K32" i="30"/>
  <c r="CR31" i="30"/>
  <c r="CL31" i="30"/>
  <c r="CS31" i="30" s="1"/>
  <c r="CK31" i="30"/>
  <c r="CD31" i="30"/>
  <c r="BT31" i="30"/>
  <c r="BM31" i="30"/>
  <c r="BF31" i="30"/>
  <c r="AZ31" i="30"/>
  <c r="AT31" i="30"/>
  <c r="AQ31" i="30"/>
  <c r="AP31" i="30"/>
  <c r="AJ31" i="30"/>
  <c r="AI31" i="30"/>
  <c r="AB31" i="30"/>
  <c r="X31" i="30"/>
  <c r="R31" i="30"/>
  <c r="K31" i="30"/>
  <c r="CO30" i="30"/>
  <c r="CO29" i="30" s="1"/>
  <c r="CH30" i="30"/>
  <c r="CA30" i="30"/>
  <c r="CA29" i="30" s="1"/>
  <c r="BT30" i="30"/>
  <c r="BQ30" i="30"/>
  <c r="BJ30" i="30"/>
  <c r="BJ29" i="30" s="1"/>
  <c r="BC30" i="30"/>
  <c r="BC29" i="30" s="1"/>
  <c r="AT30" i="30"/>
  <c r="AM30" i="30"/>
  <c r="AF30" i="30"/>
  <c r="AF29" i="30" s="1"/>
  <c r="Y30" i="30"/>
  <c r="Y29" i="30" s="1"/>
  <c r="O30" i="30"/>
  <c r="O29" i="30" s="1"/>
  <c r="H30" i="30"/>
  <c r="E30" i="30"/>
  <c r="B30" i="30"/>
  <c r="B29" i="30" s="1"/>
  <c r="V29" i="30"/>
  <c r="CR28" i="30"/>
  <c r="CL28" i="30"/>
  <c r="CS28" i="30" s="1"/>
  <c r="CK28" i="30"/>
  <c r="CD28" i="30"/>
  <c r="BT28" i="30"/>
  <c r="BM28" i="30"/>
  <c r="BF28" i="30"/>
  <c r="AT28" i="30"/>
  <c r="AP28" i="30"/>
  <c r="AJ28" i="30"/>
  <c r="AQ28" i="30" s="1"/>
  <c r="AI28" i="30"/>
  <c r="AB28" i="30"/>
  <c r="X28" i="30"/>
  <c r="R28" i="30"/>
  <c r="K28" i="30"/>
  <c r="CO27" i="30"/>
  <c r="CO26" i="30" s="1"/>
  <c r="CH27" i="30"/>
  <c r="CH26" i="30" s="1"/>
  <c r="CA27" i="30"/>
  <c r="BQ27" i="30"/>
  <c r="BJ27" i="30"/>
  <c r="BJ26" i="30" s="1"/>
  <c r="BC27" i="30"/>
  <c r="BC26" i="30" s="1"/>
  <c r="AT27" i="30"/>
  <c r="AZ27" i="30" s="1"/>
  <c r="AM27" i="30"/>
  <c r="AM26" i="30" s="1"/>
  <c r="AF27" i="30"/>
  <c r="Y27" i="30"/>
  <c r="Y26" i="30" s="1"/>
  <c r="O27" i="30"/>
  <c r="O26" i="30" s="1"/>
  <c r="H27" i="30"/>
  <c r="H26" i="30" s="1"/>
  <c r="E27" i="30"/>
  <c r="E26" i="30" s="1"/>
  <c r="B27" i="30"/>
  <c r="V26" i="30"/>
  <c r="B26" i="30"/>
  <c r="CR25" i="30"/>
  <c r="CL25" i="30"/>
  <c r="CS25" i="30" s="1"/>
  <c r="CK25" i="30"/>
  <c r="CD25" i="30"/>
  <c r="BT25" i="30"/>
  <c r="BM25" i="30"/>
  <c r="BF25" i="30"/>
  <c r="AZ25" i="30"/>
  <c r="CV25" i="30" s="1"/>
  <c r="AT25" i="30"/>
  <c r="AP25" i="30"/>
  <c r="AJ25" i="30"/>
  <c r="AQ25" i="30" s="1"/>
  <c r="AV25" i="30" s="1"/>
  <c r="AI25" i="30"/>
  <c r="AB25" i="30"/>
  <c r="X25" i="30"/>
  <c r="R25" i="30"/>
  <c r="K25" i="30"/>
  <c r="CO24" i="30"/>
  <c r="CO23" i="30" s="1"/>
  <c r="CH24" i="30"/>
  <c r="CH23" i="30" s="1"/>
  <c r="CA24" i="30"/>
  <c r="BQ24" i="30"/>
  <c r="BQ23" i="30" s="1"/>
  <c r="BJ24" i="30"/>
  <c r="BJ23" i="30" s="1"/>
  <c r="BC24" i="30"/>
  <c r="BC23" i="30" s="1"/>
  <c r="AM24" i="30"/>
  <c r="BF24" i="30" s="1"/>
  <c r="AF24" i="30"/>
  <c r="Y24" i="30"/>
  <c r="V24" i="30"/>
  <c r="AT24" i="30" s="1"/>
  <c r="O24" i="30"/>
  <c r="O23" i="30" s="1"/>
  <c r="H24" i="30"/>
  <c r="H23" i="30" s="1"/>
  <c r="E24" i="30"/>
  <c r="B24" i="30"/>
  <c r="AF23" i="30"/>
  <c r="B23" i="30"/>
  <c r="B22" i="30" s="1"/>
  <c r="CS21" i="30"/>
  <c r="CR21" i="30"/>
  <c r="CL21" i="30"/>
  <c r="CK21" i="30"/>
  <c r="CD21" i="30"/>
  <c r="BT21" i="30"/>
  <c r="BM21" i="30"/>
  <c r="BF21" i="30"/>
  <c r="AT21" i="30"/>
  <c r="AZ21" i="30" s="1"/>
  <c r="CV21" i="30" s="1"/>
  <c r="CX21" i="30" s="1"/>
  <c r="AP21" i="30"/>
  <c r="AJ21" i="30"/>
  <c r="AQ21" i="30" s="1"/>
  <c r="AI21" i="30"/>
  <c r="AB21" i="30"/>
  <c r="X21" i="30"/>
  <c r="R21" i="30"/>
  <c r="K21" i="30"/>
  <c r="CV20" i="30"/>
  <c r="CS20" i="30"/>
  <c r="CR20" i="30"/>
  <c r="CL20" i="30"/>
  <c r="CK20" i="30"/>
  <c r="CD20" i="30"/>
  <c r="BT20" i="30"/>
  <c r="BM20" i="30"/>
  <c r="BF20" i="30"/>
  <c r="AZ20" i="30"/>
  <c r="AT20" i="30"/>
  <c r="AP20" i="30"/>
  <c r="AJ20" i="30"/>
  <c r="AQ20" i="30" s="1"/>
  <c r="AI20" i="30"/>
  <c r="AB20" i="30"/>
  <c r="X20" i="30"/>
  <c r="R20" i="30"/>
  <c r="K20" i="30"/>
  <c r="CO19" i="30"/>
  <c r="CO18" i="30" s="1"/>
  <c r="CH19" i="30"/>
  <c r="CH18" i="30" s="1"/>
  <c r="CA19" i="30"/>
  <c r="CA18" i="30" s="1"/>
  <c r="BQ19" i="30"/>
  <c r="BJ19" i="30"/>
  <c r="BC19" i="30"/>
  <c r="BC18" i="30" s="1"/>
  <c r="AZ19" i="30"/>
  <c r="AT19" i="30"/>
  <c r="AT18" i="30" s="1"/>
  <c r="AM19" i="30"/>
  <c r="AM18" i="30" s="1"/>
  <c r="AF19" i="30"/>
  <c r="AF18" i="30" s="1"/>
  <c r="Y19" i="30"/>
  <c r="O19" i="30"/>
  <c r="AB19" i="30" s="1"/>
  <c r="H19" i="30"/>
  <c r="H18" i="30" s="1"/>
  <c r="E19" i="30"/>
  <c r="E18" i="30" s="1"/>
  <c r="B19" i="30"/>
  <c r="B18" i="30" s="1"/>
  <c r="V18" i="30"/>
  <c r="CR17" i="30"/>
  <c r="CL17" i="30"/>
  <c r="CS17" i="30" s="1"/>
  <c r="CK17" i="30"/>
  <c r="CD17" i="30"/>
  <c r="BT17" i="30"/>
  <c r="BM17" i="30"/>
  <c r="BF17" i="30"/>
  <c r="AT17" i="30"/>
  <c r="AZ17" i="30" s="1"/>
  <c r="AP17" i="30"/>
  <c r="AJ17" i="30"/>
  <c r="AQ17" i="30" s="1"/>
  <c r="AI17" i="30"/>
  <c r="AB17" i="30"/>
  <c r="X17" i="30"/>
  <c r="R17" i="30"/>
  <c r="K17" i="30"/>
  <c r="CO16" i="30"/>
  <c r="CO15" i="30" s="1"/>
  <c r="CH16" i="30"/>
  <c r="CH15" i="30" s="1"/>
  <c r="CA16" i="30"/>
  <c r="CA15" i="30" s="1"/>
  <c r="BQ16" i="30"/>
  <c r="BQ15" i="30" s="1"/>
  <c r="BJ16" i="30"/>
  <c r="BJ15" i="30" s="1"/>
  <c r="BC16" i="30"/>
  <c r="AZ16" i="30"/>
  <c r="AT16" i="30"/>
  <c r="AT15" i="30" s="1"/>
  <c r="AM16" i="30"/>
  <c r="AM15" i="30" s="1"/>
  <c r="AF16" i="30"/>
  <c r="AF15" i="30" s="1"/>
  <c r="AG30" i="30" s="1"/>
  <c r="Y16" i="30"/>
  <c r="Y15" i="30" s="1"/>
  <c r="O16" i="30"/>
  <c r="O15" i="30" s="1"/>
  <c r="H16" i="30"/>
  <c r="E16" i="30"/>
  <c r="B16" i="30"/>
  <c r="B15" i="30" s="1"/>
  <c r="BC15" i="30"/>
  <c r="V15" i="30"/>
  <c r="W30" i="30" s="1"/>
  <c r="E15" i="30"/>
  <c r="CR14" i="30"/>
  <c r="CL14" i="30"/>
  <c r="CS14" i="30" s="1"/>
  <c r="CK14" i="30"/>
  <c r="CD14" i="30"/>
  <c r="BT14" i="30"/>
  <c r="BM14" i="30"/>
  <c r="BF14" i="30"/>
  <c r="AZ14" i="30"/>
  <c r="CV14" i="30" s="1"/>
  <c r="AT14" i="30"/>
  <c r="AQ14" i="30"/>
  <c r="AP14" i="30"/>
  <c r="AJ14" i="30"/>
  <c r="AI14" i="30"/>
  <c r="AB14" i="30"/>
  <c r="X14" i="30"/>
  <c r="R14" i="30"/>
  <c r="K14" i="30"/>
  <c r="CO13" i="30"/>
  <c r="CH13" i="30"/>
  <c r="CA13" i="30"/>
  <c r="BQ13" i="30"/>
  <c r="BJ13" i="30"/>
  <c r="BC13" i="30"/>
  <c r="BM13" i="30" s="1"/>
  <c r="AT13" i="30"/>
  <c r="AM13" i="30"/>
  <c r="AF13" i="30"/>
  <c r="Y13" i="30"/>
  <c r="O13" i="30"/>
  <c r="AB13" i="30" s="1"/>
  <c r="H13" i="30"/>
  <c r="E13" i="30"/>
  <c r="B13" i="30"/>
  <c r="CO12" i="30"/>
  <c r="CH12" i="30"/>
  <c r="CA12" i="30"/>
  <c r="BX12" i="30"/>
  <c r="BQ12" i="30"/>
  <c r="BJ12" i="30"/>
  <c r="BC12" i="30"/>
  <c r="AT12" i="30"/>
  <c r="AZ12" i="30" s="1"/>
  <c r="CV12" i="30" s="1"/>
  <c r="AM12" i="30"/>
  <c r="AF12" i="30"/>
  <c r="AP12" i="30" s="1"/>
  <c r="Y12" i="30"/>
  <c r="O12" i="30"/>
  <c r="AB12" i="30" s="1"/>
  <c r="H12" i="30"/>
  <c r="E12" i="30"/>
  <c r="B12" i="30"/>
  <c r="CO11" i="30"/>
  <c r="CH11" i="30"/>
  <c r="CA11" i="30"/>
  <c r="BQ11" i="30"/>
  <c r="BJ11" i="30"/>
  <c r="BC11" i="30"/>
  <c r="AZ11" i="30"/>
  <c r="BX11" i="30" s="1"/>
  <c r="AT11" i="30"/>
  <c r="AT10" i="30" s="1"/>
  <c r="AM11" i="30"/>
  <c r="AF11" i="30"/>
  <c r="AP11" i="30" s="1"/>
  <c r="Y11" i="30"/>
  <c r="O11" i="30"/>
  <c r="AB11" i="30" s="1"/>
  <c r="H11" i="30"/>
  <c r="E11" i="30"/>
  <c r="B11" i="30"/>
  <c r="B10" i="30" s="1"/>
  <c r="B34" i="30" s="1"/>
  <c r="AF10" i="30"/>
  <c r="V10" i="30"/>
  <c r="CR9" i="30"/>
  <c r="CL9" i="30"/>
  <c r="CS9" i="30" s="1"/>
  <c r="CK9" i="30"/>
  <c r="CD9" i="30"/>
  <c r="BT9" i="30"/>
  <c r="BM9" i="30"/>
  <c r="BF9" i="30"/>
  <c r="AT9" i="30"/>
  <c r="AZ9" i="30" s="1"/>
  <c r="AP9" i="30"/>
  <c r="AJ9" i="30"/>
  <c r="AQ9" i="30" s="1"/>
  <c r="BG9" i="30" s="1"/>
  <c r="BN9" i="30" s="1"/>
  <c r="BU9" i="30" s="1"/>
  <c r="AI9" i="30"/>
  <c r="AB9" i="30"/>
  <c r="X9" i="30"/>
  <c r="R9" i="30"/>
  <c r="K9" i="30"/>
  <c r="CO8" i="30"/>
  <c r="CH8" i="30"/>
  <c r="CA8" i="30"/>
  <c r="BQ8" i="30"/>
  <c r="BJ8" i="30"/>
  <c r="BC8" i="30"/>
  <c r="AZ8" i="30"/>
  <c r="CV8" i="30" s="1"/>
  <c r="AT8" i="30"/>
  <c r="AM8" i="30"/>
  <c r="AF8" i="30"/>
  <c r="Y8" i="30"/>
  <c r="O8" i="30"/>
  <c r="H8" i="30"/>
  <c r="E8" i="30"/>
  <c r="B8" i="30"/>
  <c r="CO7" i="30"/>
  <c r="CH7" i="30"/>
  <c r="CA7" i="30"/>
  <c r="BQ7" i="30"/>
  <c r="BJ7" i="30"/>
  <c r="BC7" i="30"/>
  <c r="AZ7" i="30"/>
  <c r="CV7" i="30" s="1"/>
  <c r="AT7" i="30"/>
  <c r="AM7" i="30"/>
  <c r="AF7" i="30"/>
  <c r="Y7" i="30"/>
  <c r="O7" i="30"/>
  <c r="H7" i="30"/>
  <c r="E7" i="30"/>
  <c r="B7" i="30"/>
  <c r="CO6" i="30"/>
  <c r="CH6" i="30"/>
  <c r="CA6" i="30"/>
  <c r="BQ6" i="30"/>
  <c r="BJ6" i="30"/>
  <c r="BC6" i="30"/>
  <c r="AT6" i="30"/>
  <c r="AZ6" i="30" s="1"/>
  <c r="CV6" i="30" s="1"/>
  <c r="AM6" i="30"/>
  <c r="BF6" i="30" s="1"/>
  <c r="AF6" i="30"/>
  <c r="Y6" i="30"/>
  <c r="AI6" i="30" s="1"/>
  <c r="O6" i="30"/>
  <c r="H6" i="30"/>
  <c r="E6" i="30"/>
  <c r="B6" i="30"/>
  <c r="B5" i="30" s="1"/>
  <c r="AT5" i="30"/>
  <c r="AT4" i="30" s="1"/>
  <c r="AU70" i="30" s="1"/>
  <c r="V5" i="30"/>
  <c r="V4" i="30" s="1"/>
  <c r="BG82" i="30" l="1"/>
  <c r="BN82" i="30" s="1"/>
  <c r="BU82" i="30" s="1"/>
  <c r="AW82" i="30"/>
  <c r="W7" i="30"/>
  <c r="W4" i="30"/>
  <c r="W13" i="30"/>
  <c r="W12" i="30"/>
  <c r="W11" i="30"/>
  <c r="W5" i="30"/>
  <c r="BG28" i="30"/>
  <c r="BN28" i="30" s="1"/>
  <c r="BU28" i="30" s="1"/>
  <c r="AW28" i="30"/>
  <c r="BX9" i="30"/>
  <c r="BB9" i="30"/>
  <c r="CX25" i="30"/>
  <c r="CV126" i="30"/>
  <c r="BX126" i="30"/>
  <c r="BF45" i="30"/>
  <c r="K58" i="30"/>
  <c r="K59" i="30"/>
  <c r="R60" i="30"/>
  <c r="AB61" i="30"/>
  <c r="AP62" i="30"/>
  <c r="AP63" i="30"/>
  <c r="AI64" i="30"/>
  <c r="BF99" i="30"/>
  <c r="BF106" i="30"/>
  <c r="AI122" i="30"/>
  <c r="BF123" i="30"/>
  <c r="AP127" i="30"/>
  <c r="BM131" i="30"/>
  <c r="BT132" i="30"/>
  <c r="BT13" i="30"/>
  <c r="AV17" i="30"/>
  <c r="CD30" i="30"/>
  <c r="AP44" i="30"/>
  <c r="AI61" i="30"/>
  <c r="AP64" i="30"/>
  <c r="AP76" i="30"/>
  <c r="AI95" i="30"/>
  <c r="AP97" i="30"/>
  <c r="CD102" i="30"/>
  <c r="AB120" i="30"/>
  <c r="BT131" i="30"/>
  <c r="AI43" i="30"/>
  <c r="BT46" i="30"/>
  <c r="K54" i="30"/>
  <c r="K55" i="30"/>
  <c r="AB58" i="30"/>
  <c r="AB59" i="30"/>
  <c r="AI60" i="30"/>
  <c r="AP61" i="30"/>
  <c r="AP94" i="30"/>
  <c r="AF93" i="30"/>
  <c r="CD101" i="30"/>
  <c r="BQ29" i="30"/>
  <c r="CD29" i="30" s="1"/>
  <c r="R52" i="30"/>
  <c r="AB54" i="30"/>
  <c r="AB55" i="30"/>
  <c r="AI56" i="30"/>
  <c r="AP59" i="30"/>
  <c r="BM62" i="30"/>
  <c r="BM64" i="30"/>
  <c r="R89" i="30"/>
  <c r="AB90" i="30"/>
  <c r="I37" i="31"/>
  <c r="I36" i="31" s="1"/>
  <c r="BT127" i="30"/>
  <c r="CD128" i="30"/>
  <c r="CK138" i="30"/>
  <c r="W8" i="30"/>
  <c r="AI7" i="30"/>
  <c r="V23" i="30"/>
  <c r="AI41" i="30"/>
  <c r="BF42" i="30"/>
  <c r="CR45" i="30"/>
  <c r="AI52" i="30"/>
  <c r="AP55" i="30"/>
  <c r="BF56" i="30"/>
  <c r="BF57" i="30"/>
  <c r="BM60" i="30"/>
  <c r="AI71" i="30"/>
  <c r="BM73" i="30"/>
  <c r="AB81" i="30"/>
  <c r="B83" i="30"/>
  <c r="AB88" i="30"/>
  <c r="BM96" i="30"/>
  <c r="BC104" i="30"/>
  <c r="CD105" i="30"/>
  <c r="CK106" i="30"/>
  <c r="CD110" i="30"/>
  <c r="CD111" i="30"/>
  <c r="R117" i="30"/>
  <c r="CR130" i="30"/>
  <c r="K37" i="31"/>
  <c r="AV28" i="30"/>
  <c r="AP19" i="30"/>
  <c r="BF7" i="30"/>
  <c r="BF8" i="30"/>
  <c r="AV21" i="30"/>
  <c r="BF27" i="30"/>
  <c r="AM39" i="30"/>
  <c r="BM42" i="30"/>
  <c r="BF52" i="30"/>
  <c r="BF53" i="30"/>
  <c r="AP70" i="30"/>
  <c r="BF71" i="30"/>
  <c r="CK75" i="30"/>
  <c r="K78" i="30"/>
  <c r="AI80" i="30"/>
  <c r="AP81" i="30"/>
  <c r="AB87" i="30"/>
  <c r="BM91" i="30"/>
  <c r="CR106" i="30"/>
  <c r="B125" i="30"/>
  <c r="AZ28" i="30"/>
  <c r="AP40" i="30"/>
  <c r="S47" i="30"/>
  <c r="X47" i="30" s="1"/>
  <c r="AB48" i="30"/>
  <c r="AP50" i="30"/>
  <c r="BM57" i="30"/>
  <c r="BT59" i="30"/>
  <c r="BT72" i="30"/>
  <c r="CR74" i="30"/>
  <c r="R78" i="30"/>
  <c r="AV82" i="30"/>
  <c r="AB85" i="30"/>
  <c r="AB86" i="30"/>
  <c r="BT91" i="30"/>
  <c r="K131" i="30"/>
  <c r="M4" i="31"/>
  <c r="BM27" i="30"/>
  <c r="BF50" i="30"/>
  <c r="BT56" i="30"/>
  <c r="L111" i="30"/>
  <c r="BF117" i="30"/>
  <c r="BM8" i="30"/>
  <c r="BF19" i="30"/>
  <c r="BT41" i="30"/>
  <c r="AP48" i="30"/>
  <c r="BM53" i="30"/>
  <c r="BM54" i="30"/>
  <c r="BT55" i="30"/>
  <c r="BT57" i="30"/>
  <c r="BT58" i="30"/>
  <c r="CK59" i="30"/>
  <c r="AI78" i="30"/>
  <c r="AP79" i="30"/>
  <c r="BM81" i="30"/>
  <c r="AZ82" i="30"/>
  <c r="CV82" i="30" s="1"/>
  <c r="CX82" i="30" s="1"/>
  <c r="AP85" i="30"/>
  <c r="BT90" i="30"/>
  <c r="BT118" i="30"/>
  <c r="BM6" i="30"/>
  <c r="BT8" i="30"/>
  <c r="AI12" i="30"/>
  <c r="AI13" i="30"/>
  <c r="AP47" i="30"/>
  <c r="AV136" i="30"/>
  <c r="BF131" i="30"/>
  <c r="BX8" i="30"/>
  <c r="AV14" i="30"/>
  <c r="AI24" i="30"/>
  <c r="AV31" i="30"/>
  <c r="CR41" i="30"/>
  <c r="AI45" i="30"/>
  <c r="BF46" i="30"/>
  <c r="BM48" i="30"/>
  <c r="BM49" i="30"/>
  <c r="BT52" i="30"/>
  <c r="K61" i="30"/>
  <c r="AB62" i="30"/>
  <c r="AB63" i="30"/>
  <c r="CR71" i="30"/>
  <c r="AP77" i="30"/>
  <c r="BM79" i="30"/>
  <c r="BM80" i="30"/>
  <c r="CK81" i="30"/>
  <c r="BM85" i="30"/>
  <c r="L94" i="30"/>
  <c r="L95" i="30"/>
  <c r="L96" i="30"/>
  <c r="AI99" i="30"/>
  <c r="AP100" i="30"/>
  <c r="BF101" i="30"/>
  <c r="AI106" i="30"/>
  <c r="AP110" i="30"/>
  <c r="AP111" i="30"/>
  <c r="AI123" i="30"/>
  <c r="AB126" i="30"/>
  <c r="AP128" i="30"/>
  <c r="BF130" i="30"/>
  <c r="G4" i="31"/>
  <c r="G34" i="31" s="1"/>
  <c r="G204" i="31" s="1"/>
  <c r="G206" i="31" s="1"/>
  <c r="CK8" i="30"/>
  <c r="CX14" i="30"/>
  <c r="AP24" i="30"/>
  <c r="BM29" i="30"/>
  <c r="AB64" i="30"/>
  <c r="AI76" i="30"/>
  <c r="BF77" i="30"/>
  <c r="BT79" i="30"/>
  <c r="BT86" i="30"/>
  <c r="CD87" i="30"/>
  <c r="AI98" i="30"/>
  <c r="AP99" i="30"/>
  <c r="BF100" i="30"/>
  <c r="AI105" i="30"/>
  <c r="BF110" i="30"/>
  <c r="BF111" i="30"/>
  <c r="AB122" i="30"/>
  <c r="AI127" i="30"/>
  <c r="BM132" i="30"/>
  <c r="O104" i="30"/>
  <c r="AB104" i="30" s="1"/>
  <c r="S111" i="30"/>
  <c r="AC111" i="30" s="1"/>
  <c r="AJ111" i="30" s="1"/>
  <c r="AQ111" i="30" s="1"/>
  <c r="R16" i="30"/>
  <c r="R90" i="30"/>
  <c r="R100" i="30"/>
  <c r="R111" i="30"/>
  <c r="R70" i="30"/>
  <c r="R101" i="30"/>
  <c r="R42" i="30"/>
  <c r="R44" i="30"/>
  <c r="R56" i="30"/>
  <c r="R57" i="30"/>
  <c r="R64" i="30"/>
  <c r="R72" i="30"/>
  <c r="R98" i="30"/>
  <c r="S102" i="30"/>
  <c r="AC102" i="30" s="1"/>
  <c r="AJ102" i="30" s="1"/>
  <c r="AQ102" i="30" s="1"/>
  <c r="AV102" i="30" s="1"/>
  <c r="R106" i="30"/>
  <c r="R118" i="30"/>
  <c r="O188" i="31"/>
  <c r="R69" i="30"/>
  <c r="R77" i="30"/>
  <c r="R91" i="30"/>
  <c r="S96" i="30"/>
  <c r="AC96" i="30" s="1"/>
  <c r="AJ96" i="30" s="1"/>
  <c r="AQ96" i="30" s="1"/>
  <c r="R105" i="30"/>
  <c r="R121" i="30"/>
  <c r="R123" i="30"/>
  <c r="R13" i="30"/>
  <c r="O125" i="30"/>
  <c r="AB125" i="30" s="1"/>
  <c r="R30" i="30"/>
  <c r="R43" i="30"/>
  <c r="AB131" i="30"/>
  <c r="S50" i="30"/>
  <c r="X50" i="30" s="1"/>
  <c r="R53" i="30"/>
  <c r="AB8" i="30"/>
  <c r="R6" i="30"/>
  <c r="AB16" i="30"/>
  <c r="O22" i="30"/>
  <c r="AB30" i="30"/>
  <c r="AB51" i="30"/>
  <c r="Y125" i="30"/>
  <c r="AB133" i="30"/>
  <c r="AB132" i="30"/>
  <c r="R134" i="30"/>
  <c r="R8" i="30"/>
  <c r="AB40" i="30"/>
  <c r="AB42" i="30"/>
  <c r="AB44" i="30"/>
  <c r="AB47" i="30"/>
  <c r="AB53" i="30"/>
  <c r="AB127" i="30"/>
  <c r="R128" i="30"/>
  <c r="AB130" i="30"/>
  <c r="Y10" i="30"/>
  <c r="K63" i="30"/>
  <c r="K81" i="30"/>
  <c r="L100" i="30"/>
  <c r="S100" i="30" s="1"/>
  <c r="AC100" i="30" s="1"/>
  <c r="AJ100" i="30" s="1"/>
  <c r="AQ100" i="30" s="1"/>
  <c r="AV100" i="30" s="1"/>
  <c r="K121" i="30"/>
  <c r="K123" i="30"/>
  <c r="K70" i="30"/>
  <c r="K76" i="30"/>
  <c r="L51" i="30"/>
  <c r="S51" i="30" s="1"/>
  <c r="X51" i="30" s="1"/>
  <c r="K56" i="30"/>
  <c r="K64" i="30"/>
  <c r="K84" i="30"/>
  <c r="H104" i="30"/>
  <c r="R104" i="30" s="1"/>
  <c r="O95" i="31"/>
  <c r="K69" i="30"/>
  <c r="L110" i="30"/>
  <c r="S110" i="30" s="1"/>
  <c r="X110" i="30" s="1"/>
  <c r="K52" i="30"/>
  <c r="K60" i="30"/>
  <c r="K85" i="30"/>
  <c r="K86" i="30"/>
  <c r="L97" i="30"/>
  <c r="S97" i="30" s="1"/>
  <c r="AC97" i="30" s="1"/>
  <c r="AJ97" i="30" s="1"/>
  <c r="AQ97" i="30" s="1"/>
  <c r="K127" i="30"/>
  <c r="K134" i="30"/>
  <c r="R41" i="30"/>
  <c r="L24" i="30"/>
  <c r="S24" i="30" s="1"/>
  <c r="X24" i="30" s="1"/>
  <c r="K26" i="30"/>
  <c r="L27" i="30"/>
  <c r="K129" i="30"/>
  <c r="R11" i="30"/>
  <c r="K13" i="30"/>
  <c r="O35" i="30"/>
  <c r="P35" i="30" s="1"/>
  <c r="H29" i="30"/>
  <c r="R29" i="30" s="1"/>
  <c r="R127" i="30"/>
  <c r="L132" i="30"/>
  <c r="AB134" i="30"/>
  <c r="R7" i="30"/>
  <c r="L16" i="30"/>
  <c r="S16" i="30" s="1"/>
  <c r="AC16" i="30" s="1"/>
  <c r="L30" i="30"/>
  <c r="R40" i="30"/>
  <c r="L128" i="30"/>
  <c r="S128" i="30" s="1"/>
  <c r="AC128" i="30" s="1"/>
  <c r="AJ128" i="30" s="1"/>
  <c r="AQ128" i="30" s="1"/>
  <c r="AV128" i="30" s="1"/>
  <c r="K87" i="30"/>
  <c r="K126" i="30"/>
  <c r="E10" i="30"/>
  <c r="E104" i="30"/>
  <c r="L106" i="30"/>
  <c r="S106" i="30" s="1"/>
  <c r="AC106" i="30" s="1"/>
  <c r="AJ106" i="30" s="1"/>
  <c r="AQ106" i="30" s="1"/>
  <c r="L119" i="30"/>
  <c r="S119" i="30" s="1"/>
  <c r="X119" i="30" s="1"/>
  <c r="O139" i="31"/>
  <c r="K110" i="30"/>
  <c r="K50" i="30"/>
  <c r="L12" i="30"/>
  <c r="S12" i="30" s="1"/>
  <c r="E29" i="30"/>
  <c r="F29" i="30" s="1"/>
  <c r="E83" i="30"/>
  <c r="O5" i="31"/>
  <c r="O29" i="31"/>
  <c r="BF118" i="30"/>
  <c r="AI121" i="30"/>
  <c r="AF116" i="30"/>
  <c r="AI116" i="30" s="1"/>
  <c r="AB117" i="30"/>
  <c r="AB118" i="30"/>
  <c r="R119" i="30"/>
  <c r="L121" i="30"/>
  <c r="S121" i="30" s="1"/>
  <c r="X121" i="30" s="1"/>
  <c r="BM121" i="30"/>
  <c r="O193" i="31"/>
  <c r="AI117" i="30"/>
  <c r="AI118" i="30"/>
  <c r="CK118" i="30"/>
  <c r="AI119" i="30"/>
  <c r="BM119" i="30"/>
  <c r="R122" i="30"/>
  <c r="AP123" i="30"/>
  <c r="G36" i="31"/>
  <c r="K36" i="31"/>
  <c r="K204" i="31" s="1"/>
  <c r="K206" i="31" s="1"/>
  <c r="BQ104" i="30"/>
  <c r="CD104" i="30" s="1"/>
  <c r="B104" i="30"/>
  <c r="CR105" i="30"/>
  <c r="AB106" i="30"/>
  <c r="BM106" i="30"/>
  <c r="BM104" i="30"/>
  <c r="L105" i="30"/>
  <c r="CK105" i="30"/>
  <c r="AB105" i="30"/>
  <c r="BF97" i="30"/>
  <c r="CK97" i="30"/>
  <c r="L98" i="30"/>
  <c r="S98" i="30" s="1"/>
  <c r="AB100" i="30"/>
  <c r="BM100" i="30"/>
  <c r="O172" i="31"/>
  <c r="BF94" i="30"/>
  <c r="AP95" i="30"/>
  <c r="CK95" i="30"/>
  <c r="AI96" i="30"/>
  <c r="AB99" i="30"/>
  <c r="CK99" i="30"/>
  <c r="K100" i="30"/>
  <c r="R102" i="30"/>
  <c r="S95" i="30"/>
  <c r="AC95" i="30" s="1"/>
  <c r="AJ95" i="30" s="1"/>
  <c r="AQ95" i="30" s="1"/>
  <c r="AP96" i="30"/>
  <c r="AI97" i="30"/>
  <c r="B93" i="30"/>
  <c r="AI102" i="30"/>
  <c r="BM102" i="30"/>
  <c r="AC110" i="30"/>
  <c r="AJ110" i="30" s="1"/>
  <c r="AQ110" i="30" s="1"/>
  <c r="BG110" i="30" s="1"/>
  <c r="H83" i="30"/>
  <c r="BT83" i="30"/>
  <c r="BF84" i="30"/>
  <c r="BT84" i="30"/>
  <c r="BF87" i="30"/>
  <c r="BT87" i="30"/>
  <c r="BT110" i="30"/>
  <c r="K111" i="30"/>
  <c r="BT111" i="30"/>
  <c r="CR85" i="30"/>
  <c r="AP86" i="30"/>
  <c r="R110" i="30"/>
  <c r="BM89" i="30"/>
  <c r="BM90" i="30"/>
  <c r="AB110" i="30"/>
  <c r="AI111" i="30"/>
  <c r="AP69" i="30"/>
  <c r="B68" i="30"/>
  <c r="AI73" i="30"/>
  <c r="CD73" i="30"/>
  <c r="AI74" i="30"/>
  <c r="AB75" i="30"/>
  <c r="R76" i="30"/>
  <c r="K77" i="30"/>
  <c r="AI77" i="30"/>
  <c r="BT78" i="30"/>
  <c r="K80" i="30"/>
  <c r="AI81" i="30"/>
  <c r="BT73" i="30"/>
  <c r="R74" i="30"/>
  <c r="L76" i="30"/>
  <c r="S76" i="30" s="1"/>
  <c r="X76" i="30" s="1"/>
  <c r="BF76" i="30"/>
  <c r="R80" i="30"/>
  <c r="O68" i="30"/>
  <c r="AB70" i="30"/>
  <c r="R71" i="30"/>
  <c r="K72" i="30"/>
  <c r="R73" i="30"/>
  <c r="L74" i="30"/>
  <c r="S74" i="30" s="1"/>
  <c r="X74" i="30" s="1"/>
  <c r="L77" i="30"/>
  <c r="S77" i="30" s="1"/>
  <c r="X77" i="30" s="1"/>
  <c r="AI79" i="30"/>
  <c r="L78" i="30"/>
  <c r="S78" i="30" s="1"/>
  <c r="X78" i="30" s="1"/>
  <c r="CD40" i="30"/>
  <c r="AP41" i="30"/>
  <c r="AI42" i="30"/>
  <c r="AP43" i="30"/>
  <c r="AI44" i="30"/>
  <c r="CD44" i="30"/>
  <c r="AP45" i="30"/>
  <c r="BM51" i="30"/>
  <c r="K53" i="30"/>
  <c r="BM55" i="30"/>
  <c r="K57" i="30"/>
  <c r="BM59" i="30"/>
  <c r="BF62" i="30"/>
  <c r="R55" i="30"/>
  <c r="R59" i="30"/>
  <c r="BF60" i="30"/>
  <c r="R63" i="30"/>
  <c r="O38" i="31"/>
  <c r="BF41" i="30"/>
  <c r="AI40" i="30"/>
  <c r="BT40" i="30"/>
  <c r="AB41" i="30"/>
  <c r="BT42" i="30"/>
  <c r="AB43" i="30"/>
  <c r="BM43" i="30"/>
  <c r="BT44" i="30"/>
  <c r="AB45" i="30"/>
  <c r="L46" i="30"/>
  <c r="S46" i="30" s="1"/>
  <c r="AC46" i="30" s="1"/>
  <c r="AJ46" i="30" s="1"/>
  <c r="AQ46" i="30" s="1"/>
  <c r="CK46" i="30"/>
  <c r="AP51" i="30"/>
  <c r="AB52" i="30"/>
  <c r="AI53" i="30"/>
  <c r="R54" i="30"/>
  <c r="AP54" i="30"/>
  <c r="AB56" i="30"/>
  <c r="CK56" i="30"/>
  <c r="AI57" i="30"/>
  <c r="R58" i="30"/>
  <c r="AP58" i="30"/>
  <c r="AB60" i="30"/>
  <c r="BF61" i="30"/>
  <c r="I204" i="31"/>
  <c r="I206" i="31" s="1"/>
  <c r="B37" i="31"/>
  <c r="B36" i="31" s="1"/>
  <c r="J37" i="31"/>
  <c r="J36" i="31" s="1"/>
  <c r="E23" i="30"/>
  <c r="K23" i="30" s="1"/>
  <c r="Y23" i="30"/>
  <c r="AI30" i="30"/>
  <c r="BM30" i="30"/>
  <c r="AM23" i="30"/>
  <c r="O18" i="31"/>
  <c r="BJ125" i="30"/>
  <c r="AI128" i="30"/>
  <c r="S132" i="30"/>
  <c r="X132" i="30" s="1"/>
  <c r="R132" i="30"/>
  <c r="AI132" i="30"/>
  <c r="L133" i="30"/>
  <c r="S133" i="30" s="1"/>
  <c r="AC133" i="30" s="1"/>
  <c r="AJ133" i="30" s="1"/>
  <c r="AQ133" i="30" s="1"/>
  <c r="BT133" i="30"/>
  <c r="AM125" i="30"/>
  <c r="AP125" i="30" s="1"/>
  <c r="L127" i="30"/>
  <c r="S127" i="30" s="1"/>
  <c r="AC127" i="30" s="1"/>
  <c r="AJ127" i="30" s="1"/>
  <c r="AQ127" i="30" s="1"/>
  <c r="K128" i="30"/>
  <c r="BF128" i="30"/>
  <c r="BM129" i="30"/>
  <c r="L130" i="30"/>
  <c r="S130" i="30" s="1"/>
  <c r="X130" i="30" s="1"/>
  <c r="AP130" i="30"/>
  <c r="L131" i="30"/>
  <c r="S131" i="30" s="1"/>
  <c r="AC131" i="30" s="1"/>
  <c r="AJ131" i="30" s="1"/>
  <c r="AQ131" i="30" s="1"/>
  <c r="AI134" i="30"/>
  <c r="L126" i="30"/>
  <c r="BF127" i="30"/>
  <c r="AB128" i="30"/>
  <c r="R130" i="30"/>
  <c r="AP131" i="30"/>
  <c r="CD131" i="30"/>
  <c r="K132" i="30"/>
  <c r="BM133" i="30"/>
  <c r="L134" i="30"/>
  <c r="S134" i="30" s="1"/>
  <c r="BM134" i="30"/>
  <c r="B4" i="31"/>
  <c r="B34" i="31" s="1"/>
  <c r="B204" i="31" s="1"/>
  <c r="B206" i="31" s="1"/>
  <c r="F4" i="31"/>
  <c r="F34" i="31" s="1"/>
  <c r="J4" i="31"/>
  <c r="J34" i="31" s="1"/>
  <c r="K6" i="30"/>
  <c r="CD6" i="30"/>
  <c r="K7" i="30"/>
  <c r="AP7" i="30"/>
  <c r="BM7" i="30"/>
  <c r="CK7" i="30"/>
  <c r="E5" i="30"/>
  <c r="AI8" i="30"/>
  <c r="K11" i="30"/>
  <c r="AI11" i="30"/>
  <c r="CK11" i="30"/>
  <c r="K12" i="30"/>
  <c r="BF12" i="30"/>
  <c r="BT12" i="30"/>
  <c r="O18" i="30"/>
  <c r="M34" i="31"/>
  <c r="M204" i="31" s="1"/>
  <c r="M206" i="31" s="1"/>
  <c r="AP10" i="30"/>
  <c r="CD13" i="30"/>
  <c r="AI15" i="30"/>
  <c r="AP16" i="30"/>
  <c r="AP18" i="30"/>
  <c r="P30" i="30"/>
  <c r="L4" i="31"/>
  <c r="L34" i="31" s="1"/>
  <c r="H5" i="30"/>
  <c r="I24" i="30" s="1"/>
  <c r="BC5" i="30"/>
  <c r="BC33" i="30" s="1"/>
  <c r="AP6" i="30"/>
  <c r="BT6" i="30"/>
  <c r="AB7" i="30"/>
  <c r="BT7" i="30"/>
  <c r="AP8" i="30"/>
  <c r="H10" i="30"/>
  <c r="H34" i="30" s="1"/>
  <c r="AM10" i="30"/>
  <c r="AM34" i="30" s="1"/>
  <c r="AN34" i="30" s="1"/>
  <c r="BT11" i="30"/>
  <c r="CR11" i="30"/>
  <c r="BM12" i="30"/>
  <c r="CK12" i="30"/>
  <c r="L13" i="30"/>
  <c r="S13" i="30" s="1"/>
  <c r="X13" i="30" s="1"/>
  <c r="H15" i="30"/>
  <c r="R15" i="30" s="1"/>
  <c r="K16" i="30"/>
  <c r="AB15" i="30"/>
  <c r="R19" i="30"/>
  <c r="R18" i="30"/>
  <c r="P29" i="30"/>
  <c r="BF39" i="30"/>
  <c r="CO5" i="30"/>
  <c r="CR27" i="30"/>
  <c r="CR47" i="30"/>
  <c r="CO83" i="30"/>
  <c r="CR86" i="30"/>
  <c r="CR110" i="30"/>
  <c r="BG67" i="30"/>
  <c r="BN67" i="30" s="1"/>
  <c r="BU67" i="30" s="1"/>
  <c r="AW67" i="30"/>
  <c r="AV67" i="30"/>
  <c r="AZ67" i="30"/>
  <c r="CV67" i="30" s="1"/>
  <c r="CX67" i="30" s="1"/>
  <c r="BX49" i="30"/>
  <c r="CR122" i="30"/>
  <c r="CO116" i="30"/>
  <c r="CR111" i="30"/>
  <c r="CR84" i="30"/>
  <c r="CR87" i="30"/>
  <c r="CR89" i="30"/>
  <c r="CR90" i="30"/>
  <c r="CR91" i="30"/>
  <c r="CR69" i="30"/>
  <c r="CR75" i="30"/>
  <c r="CR78" i="30"/>
  <c r="CR79" i="30"/>
  <c r="CR70" i="30"/>
  <c r="CR64" i="30"/>
  <c r="CR60" i="30"/>
  <c r="CR63" i="30"/>
  <c r="CR51" i="30"/>
  <c r="CR52" i="30"/>
  <c r="CR53" i="30"/>
  <c r="CR54" i="30"/>
  <c r="CR55" i="30"/>
  <c r="CR56" i="30"/>
  <c r="CR57" i="30"/>
  <c r="CR58" i="30"/>
  <c r="CR59" i="30"/>
  <c r="CR62" i="30"/>
  <c r="CR65" i="30"/>
  <c r="CR40" i="30"/>
  <c r="CR42" i="30"/>
  <c r="CR44" i="30"/>
  <c r="CR61" i="30"/>
  <c r="CR23" i="30"/>
  <c r="CO22" i="30"/>
  <c r="CR126" i="30"/>
  <c r="CR127" i="30"/>
  <c r="CR129" i="30"/>
  <c r="CR131" i="30"/>
  <c r="N4" i="31"/>
  <c r="N34" i="31" s="1"/>
  <c r="N204" i="31" s="1"/>
  <c r="CR133" i="30"/>
  <c r="CR128" i="30"/>
  <c r="CR12" i="30"/>
  <c r="CO10" i="30"/>
  <c r="CP26" i="30" s="1"/>
  <c r="CR8" i="30"/>
  <c r="CR6" i="30"/>
  <c r="CR7" i="30"/>
  <c r="CO33" i="30"/>
  <c r="CK119" i="30"/>
  <c r="CK122" i="30"/>
  <c r="CK98" i="30"/>
  <c r="CR96" i="30"/>
  <c r="CR94" i="30"/>
  <c r="CR97" i="30"/>
  <c r="CK102" i="30"/>
  <c r="CK94" i="30"/>
  <c r="CK86" i="30"/>
  <c r="CK87" i="30"/>
  <c r="CK84" i="30"/>
  <c r="CK85" i="30"/>
  <c r="CK72" i="30"/>
  <c r="CK79" i="30"/>
  <c r="CK76" i="30"/>
  <c r="CK77" i="30"/>
  <c r="CK69" i="30"/>
  <c r="CK71" i="30"/>
  <c r="CK74" i="30"/>
  <c r="CK80" i="30"/>
  <c r="CK52" i="30"/>
  <c r="CK60" i="30"/>
  <c r="CR49" i="30"/>
  <c r="CK47" i="30"/>
  <c r="CK50" i="30"/>
  <c r="CK48" i="30"/>
  <c r="CR50" i="30"/>
  <c r="CK54" i="30"/>
  <c r="CK58" i="30"/>
  <c r="CK61" i="30"/>
  <c r="CK62" i="30"/>
  <c r="CK63" i="30"/>
  <c r="CK64" i="30"/>
  <c r="CK42" i="30"/>
  <c r="CK51" i="30"/>
  <c r="CR48" i="30"/>
  <c r="CK43" i="30"/>
  <c r="CK49" i="30"/>
  <c r="CK53" i="30"/>
  <c r="CK57" i="30"/>
  <c r="CK65" i="30"/>
  <c r="CR24" i="30"/>
  <c r="CK24" i="30"/>
  <c r="CK128" i="30"/>
  <c r="CK130" i="30"/>
  <c r="CK126" i="30"/>
  <c r="CH125" i="30"/>
  <c r="CK127" i="30"/>
  <c r="CK133" i="30"/>
  <c r="CK129" i="30"/>
  <c r="CK18" i="30"/>
  <c r="CR16" i="30"/>
  <c r="CR19" i="30"/>
  <c r="CD118" i="30"/>
  <c r="CD119" i="30"/>
  <c r="CD120" i="30"/>
  <c r="CK110" i="30"/>
  <c r="CD85" i="30"/>
  <c r="CD86" i="30"/>
  <c r="CK111" i="30"/>
  <c r="CD84" i="30"/>
  <c r="CD69" i="30"/>
  <c r="CD77" i="30"/>
  <c r="CD75" i="30"/>
  <c r="CD72" i="30"/>
  <c r="CD71" i="30"/>
  <c r="CD78" i="30"/>
  <c r="CD80" i="30"/>
  <c r="CD43" i="30"/>
  <c r="CD56" i="30"/>
  <c r="CD54" i="30"/>
  <c r="CD47" i="30"/>
  <c r="CD52" i="30"/>
  <c r="CD61" i="30"/>
  <c r="CD62" i="30"/>
  <c r="CD63" i="30"/>
  <c r="CD46" i="30"/>
  <c r="CD58" i="30"/>
  <c r="CD42" i="30"/>
  <c r="CA39" i="30"/>
  <c r="CD49" i="30"/>
  <c r="CD53" i="30"/>
  <c r="CD55" i="30"/>
  <c r="CD57" i="30"/>
  <c r="CD59" i="30"/>
  <c r="CD64" i="30"/>
  <c r="CD50" i="30"/>
  <c r="CD51" i="30"/>
  <c r="CD60" i="30"/>
  <c r="CD65" i="30"/>
  <c r="CA23" i="30"/>
  <c r="CK23" i="30" s="1"/>
  <c r="CD24" i="30"/>
  <c r="CD129" i="30"/>
  <c r="CD127" i="30"/>
  <c r="CD132" i="30"/>
  <c r="CK6" i="30"/>
  <c r="CD8" i="30"/>
  <c r="CD15" i="30"/>
  <c r="CK16" i="30"/>
  <c r="CD7" i="30"/>
  <c r="CK19" i="30"/>
  <c r="CA10" i="30"/>
  <c r="CD16" i="30"/>
  <c r="CD19" i="30"/>
  <c r="CD11" i="30"/>
  <c r="AT83" i="30"/>
  <c r="CV5" i="30"/>
  <c r="BZ9" i="30"/>
  <c r="X16" i="30"/>
  <c r="F24" i="30"/>
  <c r="K5" i="30"/>
  <c r="E4" i="30"/>
  <c r="F8" i="30"/>
  <c r="CP27" i="30"/>
  <c r="B35" i="30"/>
  <c r="C35" i="30" s="1"/>
  <c r="C30" i="30"/>
  <c r="C29" i="30"/>
  <c r="B4" i="30"/>
  <c r="K8" i="30"/>
  <c r="Z26" i="30"/>
  <c r="AN26" i="30"/>
  <c r="CR13" i="30"/>
  <c r="CK13" i="30"/>
  <c r="BC35" i="30"/>
  <c r="BD29" i="30"/>
  <c r="BD30" i="30"/>
  <c r="AI16" i="30"/>
  <c r="BX16" i="30"/>
  <c r="AZ15" i="30"/>
  <c r="CK15" i="30"/>
  <c r="CA35" i="30"/>
  <c r="CB35" i="30" s="1"/>
  <c r="CB29" i="30"/>
  <c r="BG20" i="30"/>
  <c r="BN20" i="30" s="1"/>
  <c r="BU20" i="30" s="1"/>
  <c r="AW20" i="30"/>
  <c r="AU24" i="30"/>
  <c r="Z27" i="30"/>
  <c r="V38" i="30"/>
  <c r="L43" i="30"/>
  <c r="S43" i="30" s="1"/>
  <c r="K43" i="30"/>
  <c r="AU4" i="30"/>
  <c r="O5" i="30"/>
  <c r="Y5" i="30"/>
  <c r="AU5" i="30"/>
  <c r="AZ5" i="30"/>
  <c r="BJ5" i="30"/>
  <c r="BX7" i="30"/>
  <c r="L8" i="30"/>
  <c r="S8" i="30" s="1"/>
  <c r="O10" i="30"/>
  <c r="AI10" i="30"/>
  <c r="BC10" i="30"/>
  <c r="BJ10" i="30"/>
  <c r="BQ10" i="30"/>
  <c r="AU11" i="30"/>
  <c r="BF11" i="30"/>
  <c r="BM11" i="30"/>
  <c r="CH10" i="30"/>
  <c r="CV11" i="30"/>
  <c r="BF15" i="30"/>
  <c r="AN30" i="30"/>
  <c r="BM16" i="30"/>
  <c r="BF16" i="30"/>
  <c r="CV16" i="30"/>
  <c r="BX17" i="30"/>
  <c r="CV17" i="30"/>
  <c r="CX17" i="30" s="1"/>
  <c r="L19" i="30"/>
  <c r="AU19" i="30"/>
  <c r="CR18" i="30"/>
  <c r="CX20" i="30"/>
  <c r="BT23" i="30"/>
  <c r="BM23" i="30"/>
  <c r="AT23" i="30"/>
  <c r="AZ24" i="30"/>
  <c r="BT24" i="30"/>
  <c r="BM24" i="30"/>
  <c r="I26" i="30"/>
  <c r="C27" i="30"/>
  <c r="R27" i="30"/>
  <c r="AB27" i="30"/>
  <c r="AP27" i="30"/>
  <c r="AI27" i="30"/>
  <c r="AF26" i="30"/>
  <c r="AI26" i="30" s="1"/>
  <c r="CV27" i="30"/>
  <c r="BX27" i="30"/>
  <c r="CD27" i="30"/>
  <c r="BT27" i="30"/>
  <c r="BQ26" i="30"/>
  <c r="BT26" i="30" s="1"/>
  <c r="CR26" i="30"/>
  <c r="K30" i="30"/>
  <c r="BR30" i="30"/>
  <c r="CB30" i="30"/>
  <c r="CV31" i="30"/>
  <c r="CX31" i="30" s="1"/>
  <c r="BX31" i="30"/>
  <c r="C34" i="30"/>
  <c r="Y34" i="30"/>
  <c r="L40" i="30"/>
  <c r="E39" i="30"/>
  <c r="K40" i="30"/>
  <c r="BM40" i="30"/>
  <c r="CK40" i="30"/>
  <c r="AZ43" i="30"/>
  <c r="L44" i="30"/>
  <c r="S44" i="30" s="1"/>
  <c r="K44" i="30"/>
  <c r="BM44" i="30"/>
  <c r="CK44" i="30"/>
  <c r="AC47" i="30"/>
  <c r="AJ47" i="30" s="1"/>
  <c r="AQ47" i="30" s="1"/>
  <c r="R49" i="30"/>
  <c r="L49" i="30"/>
  <c r="S49" i="30" s="1"/>
  <c r="H39" i="30"/>
  <c r="K49" i="30"/>
  <c r="AU133" i="30"/>
  <c r="AU134" i="30"/>
  <c r="AU131" i="30"/>
  <c r="AU138" i="30"/>
  <c r="AU132" i="30"/>
  <c r="AU126" i="30"/>
  <c r="AU130" i="30"/>
  <c r="AU127" i="30"/>
  <c r="AU123" i="30"/>
  <c r="AU128" i="30"/>
  <c r="AU120" i="30"/>
  <c r="AU129" i="30"/>
  <c r="AU119" i="30"/>
  <c r="AU122" i="30"/>
  <c r="AU118" i="30"/>
  <c r="AU117" i="30"/>
  <c r="AU111" i="30"/>
  <c r="AU110" i="30"/>
  <c r="AU121" i="30"/>
  <c r="AU106" i="30"/>
  <c r="AU105" i="30"/>
  <c r="AU99" i="30"/>
  <c r="AU102" i="30"/>
  <c r="AU98" i="30"/>
  <c r="AU97" i="30"/>
  <c r="AU96" i="30"/>
  <c r="AU95" i="30"/>
  <c r="AU94" i="30"/>
  <c r="AU101" i="30"/>
  <c r="AU87" i="30"/>
  <c r="AU86" i="30"/>
  <c r="AU85" i="30"/>
  <c r="AU84" i="30"/>
  <c r="AU83" i="30"/>
  <c r="AU81" i="30"/>
  <c r="AU80" i="30"/>
  <c r="AU79" i="30"/>
  <c r="AU78" i="30"/>
  <c r="AU77" i="30"/>
  <c r="AU76" i="30"/>
  <c r="AU100" i="30"/>
  <c r="AU73" i="30"/>
  <c r="AU69" i="30"/>
  <c r="AU65" i="30"/>
  <c r="AU64" i="30"/>
  <c r="AU63" i="30"/>
  <c r="AU62" i="30"/>
  <c r="AU61" i="30"/>
  <c r="AU60" i="30"/>
  <c r="AU59" i="30"/>
  <c r="AU58" i="30"/>
  <c r="AU57" i="30"/>
  <c r="AU56" i="30"/>
  <c r="AU55" i="30"/>
  <c r="AU54" i="30"/>
  <c r="AU53" i="30"/>
  <c r="AU52" i="30"/>
  <c r="AU51" i="30"/>
  <c r="AU50" i="30"/>
  <c r="AU49" i="30"/>
  <c r="AU48" i="30"/>
  <c r="AU47" i="30"/>
  <c r="AU46" i="30"/>
  <c r="AU72" i="30"/>
  <c r="AU75" i="30"/>
  <c r="AU71" i="30"/>
  <c r="AU89" i="30"/>
  <c r="AU12" i="30"/>
  <c r="AU88" i="30"/>
  <c r="AU66" i="30"/>
  <c r="AU15" i="30"/>
  <c r="AU13" i="30"/>
  <c r="AU91" i="30"/>
  <c r="AU45" i="30"/>
  <c r="AU44" i="30"/>
  <c r="AU43" i="30"/>
  <c r="AU42" i="30"/>
  <c r="AU41" i="30"/>
  <c r="AU40" i="30"/>
  <c r="AU18" i="30"/>
  <c r="B33" i="30"/>
  <c r="C33" i="30" s="1"/>
  <c r="AG27" i="30"/>
  <c r="CD12" i="30"/>
  <c r="AU30" i="30"/>
  <c r="Z30" i="30"/>
  <c r="BK30" i="30"/>
  <c r="AU23" i="30"/>
  <c r="L23" i="30"/>
  <c r="I27" i="30"/>
  <c r="BC22" i="30"/>
  <c r="BM26" i="30"/>
  <c r="CO39" i="30"/>
  <c r="CR46" i="30"/>
  <c r="BX48" i="30"/>
  <c r="CV48" i="30"/>
  <c r="AI49" i="30"/>
  <c r="Y39" i="30"/>
  <c r="AB49" i="30"/>
  <c r="BX62" i="30"/>
  <c r="AC66" i="30"/>
  <c r="AJ66" i="30" s="1"/>
  <c r="AQ66" i="30" s="1"/>
  <c r="X66" i="30"/>
  <c r="W138" i="30"/>
  <c r="W134" i="30"/>
  <c r="W133" i="30"/>
  <c r="W128" i="30"/>
  <c r="W132" i="30"/>
  <c r="W129" i="30"/>
  <c r="W125" i="30"/>
  <c r="W123" i="30"/>
  <c r="W130" i="30"/>
  <c r="W127" i="30"/>
  <c r="W126" i="30"/>
  <c r="W119" i="30"/>
  <c r="W131" i="30"/>
  <c r="W122" i="30"/>
  <c r="W121" i="30"/>
  <c r="W118" i="30"/>
  <c r="W117" i="30"/>
  <c r="W116" i="30"/>
  <c r="W111" i="30"/>
  <c r="W110" i="30"/>
  <c r="W120" i="30"/>
  <c r="W102" i="30"/>
  <c r="W98" i="30"/>
  <c r="W106" i="30"/>
  <c r="W105" i="30"/>
  <c r="W101" i="30"/>
  <c r="W97" i="30"/>
  <c r="W96" i="30"/>
  <c r="W95" i="30"/>
  <c r="W94" i="30"/>
  <c r="W93" i="30"/>
  <c r="W100" i="30"/>
  <c r="W99" i="30"/>
  <c r="W87" i="30"/>
  <c r="W86" i="30"/>
  <c r="W85" i="30"/>
  <c r="W84" i="30"/>
  <c r="W83" i="30"/>
  <c r="W91" i="30"/>
  <c r="W90" i="30"/>
  <c r="W89" i="30"/>
  <c r="W81" i="30"/>
  <c r="W80" i="30"/>
  <c r="W79" i="30"/>
  <c r="W78" i="30"/>
  <c r="W77" i="30"/>
  <c r="W76" i="30"/>
  <c r="W88" i="30"/>
  <c r="W72" i="30"/>
  <c r="W70" i="30"/>
  <c r="W69" i="30"/>
  <c r="W68" i="30"/>
  <c r="W66" i="30"/>
  <c r="W65" i="30"/>
  <c r="W64" i="30"/>
  <c r="W63" i="30"/>
  <c r="W62" i="30"/>
  <c r="W61" i="30"/>
  <c r="W60" i="30"/>
  <c r="W59" i="30"/>
  <c r="W58" i="30"/>
  <c r="W57" i="30"/>
  <c r="W56" i="30"/>
  <c r="W55" i="30"/>
  <c r="W54" i="30"/>
  <c r="W53" i="30"/>
  <c r="W52" i="30"/>
  <c r="W51" i="30"/>
  <c r="W50" i="30"/>
  <c r="W49" i="30"/>
  <c r="W48" i="30"/>
  <c r="W47" i="30"/>
  <c r="W46" i="30"/>
  <c r="W75" i="30"/>
  <c r="W71" i="30"/>
  <c r="W104" i="30"/>
  <c r="W74" i="30"/>
  <c r="W73" i="30"/>
  <c r="W18" i="30"/>
  <c r="W16" i="30"/>
  <c r="W10" i="30"/>
  <c r="W19" i="30"/>
  <c r="W45" i="30"/>
  <c r="W44" i="30"/>
  <c r="W43" i="30"/>
  <c r="W42" i="30"/>
  <c r="W41" i="30"/>
  <c r="W40" i="30"/>
  <c r="W39" i="30"/>
  <c r="W33" i="30"/>
  <c r="W24" i="30"/>
  <c r="W23" i="30"/>
  <c r="V33" i="30"/>
  <c r="AF5" i="30"/>
  <c r="BQ5" i="30"/>
  <c r="CA5" i="30"/>
  <c r="W6" i="30"/>
  <c r="AB6" i="30"/>
  <c r="BX6" i="30"/>
  <c r="L7" i="30"/>
  <c r="S7" i="30" s="1"/>
  <c r="AU8" i="30"/>
  <c r="CP8" i="30"/>
  <c r="AV9" i="30"/>
  <c r="CV9" i="30"/>
  <c r="CX9" i="30" s="1"/>
  <c r="F27" i="30"/>
  <c r="F26" i="30"/>
  <c r="E34" i="30"/>
  <c r="K34" i="30" s="1"/>
  <c r="K10" i="30"/>
  <c r="W26" i="30"/>
  <c r="V34" i="30"/>
  <c r="W34" i="30" s="1"/>
  <c r="W27" i="30"/>
  <c r="L11" i="30"/>
  <c r="R12" i="30"/>
  <c r="AZ13" i="30"/>
  <c r="BG14" i="30"/>
  <c r="BN14" i="30" s="1"/>
  <c r="BU14" i="30" s="1"/>
  <c r="AW14" i="30"/>
  <c r="BB14" i="30" s="1"/>
  <c r="BX14" i="30"/>
  <c r="BT15" i="30"/>
  <c r="CO35" i="30"/>
  <c r="CP35" i="30" s="1"/>
  <c r="CP29" i="30"/>
  <c r="CP30" i="30"/>
  <c r="AU16" i="30"/>
  <c r="AI19" i="30"/>
  <c r="Y18" i="30"/>
  <c r="AI18" i="30" s="1"/>
  <c r="BF18" i="30"/>
  <c r="BX19" i="30"/>
  <c r="AZ18" i="30"/>
  <c r="BT19" i="30"/>
  <c r="BM19" i="30"/>
  <c r="BJ18" i="30"/>
  <c r="BM18" i="30" s="1"/>
  <c r="CV19" i="30"/>
  <c r="BJ22" i="30"/>
  <c r="I23" i="30"/>
  <c r="C26" i="30"/>
  <c r="AB26" i="30"/>
  <c r="R26" i="30"/>
  <c r="S27" i="30"/>
  <c r="L26" i="30"/>
  <c r="V22" i="30"/>
  <c r="V36" i="30" s="1"/>
  <c r="BK29" i="30"/>
  <c r="AI29" i="30"/>
  <c r="AB29" i="30"/>
  <c r="BT29" i="30"/>
  <c r="I34" i="30"/>
  <c r="BD35" i="30"/>
  <c r="BM39" i="30"/>
  <c r="AZ40" i="30"/>
  <c r="L41" i="30"/>
  <c r="S41" i="30" s="1"/>
  <c r="K41" i="30"/>
  <c r="BM41" i="30"/>
  <c r="CK41" i="30"/>
  <c r="AZ44" i="30"/>
  <c r="L45" i="30"/>
  <c r="S45" i="30" s="1"/>
  <c r="K45" i="30"/>
  <c r="BM45" i="30"/>
  <c r="CK45" i="30"/>
  <c r="AB46" i="30"/>
  <c r="O39" i="30"/>
  <c r="AF39" i="30"/>
  <c r="AP46" i="30"/>
  <c r="CD48" i="30"/>
  <c r="BQ39" i="30"/>
  <c r="BT39" i="30" s="1"/>
  <c r="BT48" i="30"/>
  <c r="AU74" i="30"/>
  <c r="R79" i="30"/>
  <c r="L79" i="30"/>
  <c r="S79" i="30" s="1"/>
  <c r="H68" i="30"/>
  <c r="CK100" i="30"/>
  <c r="CA93" i="30"/>
  <c r="K101" i="30"/>
  <c r="L101" i="30"/>
  <c r="S101" i="30" s="1"/>
  <c r="E93" i="30"/>
  <c r="AU6" i="30"/>
  <c r="AU10" i="30"/>
  <c r="I29" i="30"/>
  <c r="BT16" i="30"/>
  <c r="BB20" i="30"/>
  <c r="Y35" i="30"/>
  <c r="AZ42" i="30"/>
  <c r="R5" i="30"/>
  <c r="AM5" i="30"/>
  <c r="CH5" i="30"/>
  <c r="L6" i="30"/>
  <c r="AU7" i="30"/>
  <c r="C8" i="30"/>
  <c r="I8" i="30"/>
  <c r="R10" i="30"/>
  <c r="AU27" i="30"/>
  <c r="AZ10" i="30"/>
  <c r="BF10" i="30"/>
  <c r="CB27" i="30"/>
  <c r="BF13" i="30"/>
  <c r="AP13" i="30"/>
  <c r="W15" i="30"/>
  <c r="BM15" i="30"/>
  <c r="CR15" i="30"/>
  <c r="CI30" i="30"/>
  <c r="AP15" i="30"/>
  <c r="AF35" i="30"/>
  <c r="AG35" i="30" s="1"/>
  <c r="AG29" i="30"/>
  <c r="BQ35" i="30"/>
  <c r="BR29" i="30"/>
  <c r="BG17" i="30"/>
  <c r="BN17" i="30" s="1"/>
  <c r="BU17" i="30" s="1"/>
  <c r="AW17" i="30"/>
  <c r="BB17" i="30" s="1"/>
  <c r="K18" i="30"/>
  <c r="AV20" i="30"/>
  <c r="BG21" i="30"/>
  <c r="BN21" i="30" s="1"/>
  <c r="BU21" i="30" s="1"/>
  <c r="AW21" i="30"/>
  <c r="BB21" i="30" s="1"/>
  <c r="C23" i="30"/>
  <c r="AB23" i="30"/>
  <c r="R23" i="30"/>
  <c r="CP23" i="30"/>
  <c r="C24" i="30"/>
  <c r="AB24" i="30"/>
  <c r="R24" i="30"/>
  <c r="BD24" i="30"/>
  <c r="CP24" i="30"/>
  <c r="BG25" i="30"/>
  <c r="BN25" i="30" s="1"/>
  <c r="BU25" i="30" s="1"/>
  <c r="AW25" i="30"/>
  <c r="BB25" i="30"/>
  <c r="BF26" i="30"/>
  <c r="CK27" i="30"/>
  <c r="CA26" i="30"/>
  <c r="CB26" i="30" s="1"/>
  <c r="Z29" i="30"/>
  <c r="S30" i="30"/>
  <c r="L29" i="30"/>
  <c r="BF30" i="30"/>
  <c r="AP30" i="30"/>
  <c r="AM29" i="30"/>
  <c r="CR30" i="30"/>
  <c r="CK30" i="30"/>
  <c r="CH29" i="30"/>
  <c r="CR29" i="30" s="1"/>
  <c r="BG31" i="30"/>
  <c r="BN31" i="30" s="1"/>
  <c r="BU31" i="30" s="1"/>
  <c r="AW31" i="30"/>
  <c r="BB31" i="30" s="1"/>
  <c r="CP33" i="30"/>
  <c r="BJ35" i="30"/>
  <c r="W38" i="30"/>
  <c r="AT39" i="30"/>
  <c r="CH39" i="30"/>
  <c r="CK39" i="30" s="1"/>
  <c r="AZ41" i="30"/>
  <c r="L42" i="30"/>
  <c r="S42" i="30" s="1"/>
  <c r="K42" i="30"/>
  <c r="AZ45" i="30"/>
  <c r="CV46" i="30"/>
  <c r="BX46" i="30"/>
  <c r="CR73" i="30"/>
  <c r="CK73" i="30"/>
  <c r="CH68" i="30"/>
  <c r="O83" i="30"/>
  <c r="AB84" i="30"/>
  <c r="AU90" i="30"/>
  <c r="BF98" i="30"/>
  <c r="AP98" i="30"/>
  <c r="AM93" i="30"/>
  <c r="K24" i="30"/>
  <c r="K27" i="30"/>
  <c r="BX28" i="30"/>
  <c r="BZ28" i="30" s="1"/>
  <c r="W29" i="30"/>
  <c r="F30" i="30"/>
  <c r="V35" i="30"/>
  <c r="W35" i="30" s="1"/>
  <c r="K46" i="30"/>
  <c r="R48" i="30"/>
  <c r="AI48" i="30"/>
  <c r="BX51" i="30"/>
  <c r="CV61" i="30"/>
  <c r="CV65" i="30"/>
  <c r="CK70" i="30"/>
  <c r="CA68" i="30"/>
  <c r="K71" i="30"/>
  <c r="L71" i="30"/>
  <c r="S71" i="30" s="1"/>
  <c r="E68" i="30"/>
  <c r="K68" i="30" s="1"/>
  <c r="K75" i="30"/>
  <c r="L75" i="30"/>
  <c r="S75" i="30" s="1"/>
  <c r="BX85" i="30"/>
  <c r="CV85" i="30"/>
  <c r="BX87" i="30"/>
  <c r="CV87" i="30"/>
  <c r="X97" i="30"/>
  <c r="BQ18" i="30"/>
  <c r="CD18" i="30" s="1"/>
  <c r="K19" i="30"/>
  <c r="BX20" i="30"/>
  <c r="BZ20" i="30" s="1"/>
  <c r="BX21" i="30"/>
  <c r="BX25" i="30"/>
  <c r="AT29" i="30"/>
  <c r="AU29" i="30" s="1"/>
  <c r="AZ30" i="30"/>
  <c r="R47" i="30"/>
  <c r="AI47" i="30"/>
  <c r="BT47" i="30"/>
  <c r="CV47" i="30"/>
  <c r="K48" i="30"/>
  <c r="R51" i="30"/>
  <c r="AI51" i="30"/>
  <c r="CV60" i="30"/>
  <c r="R62" i="30"/>
  <c r="AI63" i="30"/>
  <c r="CV64" i="30"/>
  <c r="AB69" i="30"/>
  <c r="AZ71" i="30"/>
  <c r="AT68" i="30"/>
  <c r="AZ75" i="30"/>
  <c r="AT26" i="30"/>
  <c r="AT34" i="30" s="1"/>
  <c r="R46" i="30"/>
  <c r="AI46" i="30"/>
  <c r="BM46" i="30"/>
  <c r="K47" i="30"/>
  <c r="L48" i="30"/>
  <c r="S48" i="30" s="1"/>
  <c r="R50" i="30"/>
  <c r="AI50" i="30"/>
  <c r="BT50" i="30"/>
  <c r="CV50" i="30"/>
  <c r="K51" i="30"/>
  <c r="CV51" i="30"/>
  <c r="CV52" i="30"/>
  <c r="CV53" i="30"/>
  <c r="CV54" i="30"/>
  <c r="CV55" i="30"/>
  <c r="CV56" i="30"/>
  <c r="CV57" i="30"/>
  <c r="CV58" i="30"/>
  <c r="CV59" i="30"/>
  <c r="R61" i="30"/>
  <c r="BX61" i="30"/>
  <c r="AI62" i="30"/>
  <c r="CV63" i="30"/>
  <c r="R65" i="30"/>
  <c r="BX65" i="30"/>
  <c r="CV69" i="30"/>
  <c r="CD70" i="30"/>
  <c r="BQ68" i="30"/>
  <c r="BT71" i="30"/>
  <c r="BM71" i="30"/>
  <c r="BJ68" i="30"/>
  <c r="BT68" i="30" s="1"/>
  <c r="AI72" i="30"/>
  <c r="Y68" i="30"/>
  <c r="AM68" i="30"/>
  <c r="BF72" i="30"/>
  <c r="AP72" i="30"/>
  <c r="BM72" i="30"/>
  <c r="BC68" i="30"/>
  <c r="CO68" i="30"/>
  <c r="CD74" i="30"/>
  <c r="BT75" i="30"/>
  <c r="BM75" i="30"/>
  <c r="CV81" i="30"/>
  <c r="BX81" i="30"/>
  <c r="BX84" i="30"/>
  <c r="CV84" i="30"/>
  <c r="BX86" i="30"/>
  <c r="CV86" i="30"/>
  <c r="CR88" i="30"/>
  <c r="CH83" i="30"/>
  <c r="L52" i="30"/>
  <c r="S52" i="30" s="1"/>
  <c r="L53" i="30"/>
  <c r="S53" i="30" s="1"/>
  <c r="L54" i="30"/>
  <c r="S54" i="30" s="1"/>
  <c r="L55" i="30"/>
  <c r="S55" i="30" s="1"/>
  <c r="L56" i="30"/>
  <c r="S56" i="30" s="1"/>
  <c r="L57" i="30"/>
  <c r="S57" i="30" s="1"/>
  <c r="L58" i="30"/>
  <c r="S58" i="30" s="1"/>
  <c r="L59" i="30"/>
  <c r="S59" i="30" s="1"/>
  <c r="L60" i="30"/>
  <c r="S60" i="30" s="1"/>
  <c r="L61" i="30"/>
  <c r="S61" i="30" s="1"/>
  <c r="L62" i="30"/>
  <c r="S62" i="30" s="1"/>
  <c r="L63" i="30"/>
  <c r="S63" i="30" s="1"/>
  <c r="L64" i="30"/>
  <c r="S64" i="30" s="1"/>
  <c r="L65" i="30"/>
  <c r="S65" i="30" s="1"/>
  <c r="L69" i="30"/>
  <c r="L70" i="30"/>
  <c r="S70" i="30" s="1"/>
  <c r="AB72" i="30"/>
  <c r="AZ72" i="30"/>
  <c r="AZ76" i="30"/>
  <c r="AZ77" i="30"/>
  <c r="AB78" i="30"/>
  <c r="CV78" i="30"/>
  <c r="BX78" i="30"/>
  <c r="BM88" i="30"/>
  <c r="BC83" i="30"/>
  <c r="BM83" i="30" s="1"/>
  <c r="AI94" i="30"/>
  <c r="Y93" i="30"/>
  <c r="AI93" i="30" s="1"/>
  <c r="X96" i="30"/>
  <c r="BX66" i="30"/>
  <c r="L72" i="30"/>
  <c r="S72" i="30" s="1"/>
  <c r="K73" i="30"/>
  <c r="AB73" i="30"/>
  <c r="AZ73" i="30"/>
  <c r="BT76" i="30"/>
  <c r="BT77" i="30"/>
  <c r="AB79" i="30"/>
  <c r="CV79" i="30"/>
  <c r="BX79" i="30"/>
  <c r="L80" i="30"/>
  <c r="S80" i="30" s="1"/>
  <c r="BT80" i="30"/>
  <c r="CR80" i="30"/>
  <c r="BB82" i="30"/>
  <c r="AI83" i="30"/>
  <c r="R84" i="30"/>
  <c r="R85" i="30"/>
  <c r="R86" i="30"/>
  <c r="R87" i="30"/>
  <c r="R88" i="30"/>
  <c r="AM83" i="30"/>
  <c r="BF83" i="30" s="1"/>
  <c r="BF88" i="30"/>
  <c r="AP88" i="30"/>
  <c r="BF89" i="30"/>
  <c r="AP89" i="30"/>
  <c r="BF90" i="30"/>
  <c r="AP90" i="30"/>
  <c r="BF91" i="30"/>
  <c r="AP91" i="30"/>
  <c r="BM98" i="30"/>
  <c r="BC93" i="30"/>
  <c r="AZ108" i="30"/>
  <c r="AV108" i="30"/>
  <c r="AZ70" i="30"/>
  <c r="BT70" i="30"/>
  <c r="CR72" i="30"/>
  <c r="L73" i="30"/>
  <c r="S73" i="30" s="1"/>
  <c r="AP73" i="30"/>
  <c r="K74" i="30"/>
  <c r="AB74" i="30"/>
  <c r="AZ74" i="30"/>
  <c r="BT74" i="30"/>
  <c r="AB76" i="30"/>
  <c r="BM76" i="30"/>
  <c r="CR76" i="30"/>
  <c r="AB77" i="30"/>
  <c r="BM77" i="30"/>
  <c r="CR77" i="30"/>
  <c r="K79" i="30"/>
  <c r="AB80" i="30"/>
  <c r="CV80" i="30"/>
  <c r="BX80" i="30"/>
  <c r="L81" i="30"/>
  <c r="S81" i="30" s="1"/>
  <c r="BT81" i="30"/>
  <c r="CR81" i="30"/>
  <c r="K83" i="30"/>
  <c r="AI84" i="30"/>
  <c r="AI85" i="30"/>
  <c r="AI86" i="30"/>
  <c r="AI87" i="30"/>
  <c r="S94" i="30"/>
  <c r="BX82" i="30"/>
  <c r="BZ82" i="30" s="1"/>
  <c r="L84" i="30"/>
  <c r="L85" i="30"/>
  <c r="S85" i="30" s="1"/>
  <c r="L86" i="30"/>
  <c r="S86" i="30" s="1"/>
  <c r="L87" i="30"/>
  <c r="S87" i="30" s="1"/>
  <c r="L88" i="30"/>
  <c r="S88" i="30" s="1"/>
  <c r="CK88" i="30"/>
  <c r="CK89" i="30"/>
  <c r="CK90" i="30"/>
  <c r="CD91" i="30"/>
  <c r="CK91" i="30"/>
  <c r="AZ92" i="30"/>
  <c r="AV92" i="30"/>
  <c r="AP93" i="30"/>
  <c r="AB94" i="30"/>
  <c r="BT94" i="30"/>
  <c r="CD94" i="30"/>
  <c r="AB95" i="30"/>
  <c r="BT95" i="30"/>
  <c r="CD95" i="30"/>
  <c r="AB96" i="30"/>
  <c r="BT96" i="30"/>
  <c r="CD96" i="30"/>
  <c r="AB97" i="30"/>
  <c r="BT97" i="30"/>
  <c r="CD97" i="30"/>
  <c r="AZ101" i="30"/>
  <c r="AT93" i="30"/>
  <c r="BT101" i="30"/>
  <c r="BJ93" i="30"/>
  <c r="CD88" i="30"/>
  <c r="CD89" i="30"/>
  <c r="CD90" i="30"/>
  <c r="CR99" i="30"/>
  <c r="CH93" i="30"/>
  <c r="CR93" i="30" s="1"/>
  <c r="CD100" i="30"/>
  <c r="BF102" i="30"/>
  <c r="AP102" i="30"/>
  <c r="AV110" i="30"/>
  <c r="BG111" i="30"/>
  <c r="BN111" i="30" s="1"/>
  <c r="BU111" i="30" s="1"/>
  <c r="CE111" i="30" s="1"/>
  <c r="CL111" i="30" s="1"/>
  <c r="CS111" i="30" s="1"/>
  <c r="AW111" i="30"/>
  <c r="BB111" i="30" s="1"/>
  <c r="BT123" i="30"/>
  <c r="BM123" i="30"/>
  <c r="CA83" i="30"/>
  <c r="AZ88" i="30"/>
  <c r="L89" i="30"/>
  <c r="S89" i="30" s="1"/>
  <c r="K89" i="30"/>
  <c r="AZ89" i="30"/>
  <c r="L90" i="30"/>
  <c r="S90" i="30" s="1"/>
  <c r="K90" i="30"/>
  <c r="AZ90" i="30"/>
  <c r="L91" i="30"/>
  <c r="S91" i="30" s="1"/>
  <c r="K91" i="30"/>
  <c r="AZ91" i="30"/>
  <c r="BQ93" i="30"/>
  <c r="K94" i="30"/>
  <c r="H93" i="30"/>
  <c r="R94" i="30"/>
  <c r="K95" i="30"/>
  <c r="R95" i="30"/>
  <c r="K96" i="30"/>
  <c r="R96" i="30"/>
  <c r="K97" i="30"/>
  <c r="R97" i="30"/>
  <c r="X98" i="30"/>
  <c r="AC98" i="30"/>
  <c r="AJ98" i="30" s="1"/>
  <c r="AQ98" i="30" s="1"/>
  <c r="L99" i="30"/>
  <c r="S99" i="30" s="1"/>
  <c r="R99" i="30"/>
  <c r="BM101" i="30"/>
  <c r="BF105" i="30"/>
  <c r="AM104" i="30"/>
  <c r="BF104" i="30" s="1"/>
  <c r="AV111" i="30"/>
  <c r="CR120" i="30"/>
  <c r="CH116" i="30"/>
  <c r="K98" i="30"/>
  <c r="AB98" i="30"/>
  <c r="AZ98" i="30"/>
  <c r="BT98" i="30"/>
  <c r="CR100" i="30"/>
  <c r="AP101" i="30"/>
  <c r="K102" i="30"/>
  <c r="AB102" i="30"/>
  <c r="AZ102" i="30"/>
  <c r="BT102" i="30"/>
  <c r="X106" i="30"/>
  <c r="AZ107" i="30"/>
  <c r="AT104" i="30"/>
  <c r="AV107" i="30"/>
  <c r="AI110" i="30"/>
  <c r="CV111" i="30"/>
  <c r="CV123" i="30"/>
  <c r="BX123" i="30"/>
  <c r="AW92" i="30"/>
  <c r="O93" i="30"/>
  <c r="AB93" i="30" s="1"/>
  <c r="K99" i="30"/>
  <c r="AZ99" i="30"/>
  <c r="BT99" i="30"/>
  <c r="CR101" i="30"/>
  <c r="AV103" i="30"/>
  <c r="BG103" i="30"/>
  <c r="BN103" i="30" s="1"/>
  <c r="BU103" i="30" s="1"/>
  <c r="AP105" i="30"/>
  <c r="AP106" i="30"/>
  <c r="CV110" i="30"/>
  <c r="BX94" i="30"/>
  <c r="BX95" i="30"/>
  <c r="BX96" i="30"/>
  <c r="BX97" i="30"/>
  <c r="CR98" i="30"/>
  <c r="AZ100" i="30"/>
  <c r="BT100" i="30"/>
  <c r="CR102" i="30"/>
  <c r="BG107" i="30"/>
  <c r="BN107" i="30" s="1"/>
  <c r="BU107" i="30" s="1"/>
  <c r="AW107" i="30"/>
  <c r="X111" i="30"/>
  <c r="BT104" i="30"/>
  <c r="K105" i="30"/>
  <c r="BT105" i="30"/>
  <c r="BX105" i="30"/>
  <c r="CV105" i="30"/>
  <c r="K106" i="30"/>
  <c r="BT106" i="30"/>
  <c r="BX106" i="30"/>
  <c r="CV106" i="30"/>
  <c r="AZ118" i="30"/>
  <c r="L120" i="30"/>
  <c r="S120" i="30" s="1"/>
  <c r="H116" i="30"/>
  <c r="R120" i="30"/>
  <c r="CK121" i="30"/>
  <c r="CA116" i="30"/>
  <c r="K122" i="30"/>
  <c r="L122" i="30"/>
  <c r="S122" i="30" s="1"/>
  <c r="AZ122" i="30"/>
  <c r="BT122" i="30"/>
  <c r="BM122" i="30"/>
  <c r="AZ117" i="30"/>
  <c r="L118" i="30"/>
  <c r="S118" i="30" s="1"/>
  <c r="K118" i="30"/>
  <c r="BF119" i="30"/>
  <c r="AP119" i="30"/>
  <c r="AM116" i="30"/>
  <c r="CK120" i="30"/>
  <c r="CK123" i="30"/>
  <c r="CR123" i="30"/>
  <c r="BX130" i="30"/>
  <c r="CV130" i="30"/>
  <c r="E116" i="30"/>
  <c r="AT116" i="30"/>
  <c r="BJ116" i="30"/>
  <c r="L117" i="30"/>
  <c r="K117" i="30"/>
  <c r="BM117" i="30"/>
  <c r="BT117" i="30"/>
  <c r="CK117" i="30"/>
  <c r="CR117" i="30"/>
  <c r="BM118" i="30"/>
  <c r="BQ116" i="30"/>
  <c r="CD121" i="30"/>
  <c r="O116" i="30"/>
  <c r="AB116" i="30" s="1"/>
  <c r="BC116" i="30"/>
  <c r="K119" i="30"/>
  <c r="AB119" i="30"/>
  <c r="AZ119" i="30"/>
  <c r="BT119" i="30"/>
  <c r="CR121" i="30"/>
  <c r="AP122" i="30"/>
  <c r="L123" i="30"/>
  <c r="S123" i="30" s="1"/>
  <c r="CR118" i="30"/>
  <c r="K120" i="30"/>
  <c r="AZ120" i="30"/>
  <c r="BT120" i="30"/>
  <c r="CD126" i="30"/>
  <c r="BQ125" i="30"/>
  <c r="BT125" i="30" s="1"/>
  <c r="CR119" i="30"/>
  <c r="AZ121" i="30"/>
  <c r="BT121" i="30"/>
  <c r="BF126" i="30"/>
  <c r="AC130" i="30"/>
  <c r="AJ130" i="30" s="1"/>
  <c r="AQ130" i="30" s="1"/>
  <c r="AP126" i="30"/>
  <c r="BT126" i="30"/>
  <c r="BM128" i="30"/>
  <c r="BC125" i="30"/>
  <c r="BM125" i="30" s="1"/>
  <c r="CO125" i="30"/>
  <c r="R129" i="30"/>
  <c r="L129" i="30"/>
  <c r="S129" i="30" s="1"/>
  <c r="H125" i="30"/>
  <c r="BX129" i="30"/>
  <c r="CV129" i="30"/>
  <c r="AI125" i="30"/>
  <c r="S126" i="30"/>
  <c r="AI126" i="30"/>
  <c r="E125" i="30"/>
  <c r="CA125" i="30"/>
  <c r="R126" i="30"/>
  <c r="AT125" i="30"/>
  <c r="AZ128" i="30"/>
  <c r="AB129" i="30"/>
  <c r="AI133" i="30"/>
  <c r="K130" i="30"/>
  <c r="BT130" i="30"/>
  <c r="AI131" i="30"/>
  <c r="AZ132" i="30"/>
  <c r="R133" i="30"/>
  <c r="AZ135" i="30"/>
  <c r="AV135" i="30"/>
  <c r="K138" i="30"/>
  <c r="R138" i="30"/>
  <c r="L138" i="30"/>
  <c r="S138" i="30" s="1"/>
  <c r="AZ127" i="30"/>
  <c r="BM130" i="30"/>
  <c r="R131" i="30"/>
  <c r="CK131" i="30"/>
  <c r="BF132" i="30"/>
  <c r="BF133" i="30"/>
  <c r="CD133" i="30"/>
  <c r="K133" i="30"/>
  <c r="AP133" i="30"/>
  <c r="BF134" i="30"/>
  <c r="AZ134" i="30"/>
  <c r="CR134" i="30"/>
  <c r="CK134" i="30"/>
  <c r="AP138" i="30"/>
  <c r="AI138" i="30"/>
  <c r="BB136" i="30"/>
  <c r="BX136" i="30"/>
  <c r="BZ136" i="30" s="1"/>
  <c r="CV136" i="30"/>
  <c r="CX136" i="30" s="1"/>
  <c r="CV138" i="30"/>
  <c r="BB138" i="30"/>
  <c r="BT138" i="30"/>
  <c r="E204" i="31"/>
  <c r="E206" i="31" s="1"/>
  <c r="H37" i="31"/>
  <c r="H36" i="31" s="1"/>
  <c r="H204" i="31" s="1"/>
  <c r="H206" i="31" s="1"/>
  <c r="L37" i="31"/>
  <c r="L36" i="31" s="1"/>
  <c r="B38" i="30" l="1"/>
  <c r="B124" i="30" s="1"/>
  <c r="D101" i="30" s="1"/>
  <c r="L204" i="31"/>
  <c r="L206" i="31" s="1"/>
  <c r="CK116" i="30"/>
  <c r="AG26" i="30"/>
  <c r="BB28" i="30"/>
  <c r="AZ26" i="30"/>
  <c r="CV28" i="30"/>
  <c r="CX28" i="30" s="1"/>
  <c r="AC76" i="30"/>
  <c r="AJ76" i="30" s="1"/>
  <c r="AQ76" i="30" s="1"/>
  <c r="AV76" i="30" s="1"/>
  <c r="X128" i="30"/>
  <c r="X100" i="30"/>
  <c r="X102" i="30"/>
  <c r="R68" i="30"/>
  <c r="AC50" i="30"/>
  <c r="AJ50" i="30" s="1"/>
  <c r="AQ50" i="30" s="1"/>
  <c r="X133" i="30"/>
  <c r="AC78" i="30"/>
  <c r="AJ78" i="30" s="1"/>
  <c r="AQ78" i="30" s="1"/>
  <c r="BG78" i="30" s="1"/>
  <c r="BN78" i="30" s="1"/>
  <c r="BU78" i="30" s="1"/>
  <c r="CE78" i="30" s="1"/>
  <c r="CL78" i="30" s="1"/>
  <c r="CS78" i="30" s="1"/>
  <c r="CX78" i="30" s="1"/>
  <c r="X46" i="30"/>
  <c r="BZ111" i="30"/>
  <c r="I30" i="30"/>
  <c r="K15" i="30"/>
  <c r="K104" i="30"/>
  <c r="K125" i="30"/>
  <c r="AC77" i="30"/>
  <c r="AJ77" i="30" s="1"/>
  <c r="AQ77" i="30" s="1"/>
  <c r="AV77" i="30" s="1"/>
  <c r="H35" i="30"/>
  <c r="AC51" i="30"/>
  <c r="AJ51" i="30" s="1"/>
  <c r="AQ51" i="30" s="1"/>
  <c r="S15" i="30"/>
  <c r="L104" i="30"/>
  <c r="L15" i="30"/>
  <c r="AC13" i="30"/>
  <c r="AJ13" i="30" s="1"/>
  <c r="AQ13" i="30" s="1"/>
  <c r="AV13" i="30" s="1"/>
  <c r="O4" i="31"/>
  <c r="O34" i="31" s="1"/>
  <c r="H22" i="30"/>
  <c r="R22" i="30" s="1"/>
  <c r="AW110" i="30"/>
  <c r="BB110" i="30" s="1"/>
  <c r="AC74" i="30"/>
  <c r="AJ74" i="30" s="1"/>
  <c r="AQ74" i="30" s="1"/>
  <c r="AV74" i="30" s="1"/>
  <c r="X127" i="30"/>
  <c r="X131" i="30"/>
  <c r="AC132" i="30"/>
  <c r="AJ132" i="30" s="1"/>
  <c r="AQ132" i="30" s="1"/>
  <c r="AV132" i="30" s="1"/>
  <c r="AC119" i="30"/>
  <c r="AJ119" i="30" s="1"/>
  <c r="AQ119" i="30" s="1"/>
  <c r="AV119" i="30" s="1"/>
  <c r="S105" i="30"/>
  <c r="AC105" i="30" s="1"/>
  <c r="E35" i="30"/>
  <c r="F35" i="30" s="1"/>
  <c r="K29" i="30"/>
  <c r="E33" i="30"/>
  <c r="E22" i="30"/>
  <c r="O37" i="31"/>
  <c r="O36" i="31" s="1"/>
  <c r="X95" i="30"/>
  <c r="F23" i="30"/>
  <c r="AC121" i="30"/>
  <c r="AJ121" i="30" s="1"/>
  <c r="AQ121" i="30" s="1"/>
  <c r="AV121" i="30" s="1"/>
  <c r="K116" i="30"/>
  <c r="F204" i="31"/>
  <c r="F206" i="31" s="1"/>
  <c r="D72" i="30"/>
  <c r="D118" i="30"/>
  <c r="D120" i="30"/>
  <c r="D105" i="30"/>
  <c r="D98" i="30"/>
  <c r="D94" i="30"/>
  <c r="D85" i="30"/>
  <c r="D71" i="30"/>
  <c r="D78" i="30"/>
  <c r="D70" i="30"/>
  <c r="D63" i="30"/>
  <c r="D59" i="30"/>
  <c r="D55" i="30"/>
  <c r="D51" i="30"/>
  <c r="D43" i="30"/>
  <c r="D81" i="30"/>
  <c r="D39" i="30"/>
  <c r="D100" i="30"/>
  <c r="D138" i="30"/>
  <c r="D117" i="30"/>
  <c r="D123" i="30"/>
  <c r="D111" i="30"/>
  <c r="D93" i="30"/>
  <c r="D89" i="30"/>
  <c r="D97" i="30"/>
  <c r="D88" i="30"/>
  <c r="D84" i="30"/>
  <c r="D83" i="30"/>
  <c r="D77" i="30"/>
  <c r="D69" i="30"/>
  <c r="D62" i="30"/>
  <c r="D58" i="30"/>
  <c r="D42" i="30"/>
  <c r="D68" i="30"/>
  <c r="D49" i="30"/>
  <c r="D124" i="30"/>
  <c r="D121" i="30"/>
  <c r="D119" i="30"/>
  <c r="D110" i="30"/>
  <c r="D99" i="30"/>
  <c r="D96" i="30"/>
  <c r="D87" i="30"/>
  <c r="D80" i="30"/>
  <c r="D79" i="30"/>
  <c r="D76" i="30"/>
  <c r="D65" i="30"/>
  <c r="D57" i="30"/>
  <c r="D53" i="30"/>
  <c r="D45" i="30"/>
  <c r="D41" i="30"/>
  <c r="D66" i="30"/>
  <c r="D38" i="30"/>
  <c r="D122" i="30"/>
  <c r="D106" i="30"/>
  <c r="D91" i="30"/>
  <c r="D95" i="30"/>
  <c r="D75" i="30"/>
  <c r="D73" i="30"/>
  <c r="D60" i="30"/>
  <c r="D52" i="30"/>
  <c r="D40" i="30"/>
  <c r="D104" i="30"/>
  <c r="D102" i="30"/>
  <c r="D86" i="30"/>
  <c r="D74" i="30"/>
  <c r="D64" i="30"/>
  <c r="D56" i="30"/>
  <c r="D44" i="30"/>
  <c r="D48" i="30"/>
  <c r="J204" i="31"/>
  <c r="J206" i="31" s="1"/>
  <c r="CH35" i="30"/>
  <c r="CR35" i="30" s="1"/>
  <c r="AI23" i="30"/>
  <c r="Y22" i="30"/>
  <c r="AB22" i="30" s="1"/>
  <c r="AF34" i="30"/>
  <c r="AG34" i="30" s="1"/>
  <c r="AI34" i="30"/>
  <c r="BF23" i="30"/>
  <c r="AP23" i="30"/>
  <c r="AC134" i="30"/>
  <c r="AJ134" i="30" s="1"/>
  <c r="AQ134" i="30" s="1"/>
  <c r="X134" i="30"/>
  <c r="BD23" i="30"/>
  <c r="CD35" i="30"/>
  <c r="BM5" i="30"/>
  <c r="AI35" i="30"/>
  <c r="BD33" i="30"/>
  <c r="AP34" i="30"/>
  <c r="AN27" i="30"/>
  <c r="BD8" i="30"/>
  <c r="H33" i="30"/>
  <c r="I33" i="30" s="1"/>
  <c r="H4" i="30"/>
  <c r="I116" i="30" s="1"/>
  <c r="CO34" i="30"/>
  <c r="CP34" i="30" s="1"/>
  <c r="CR116" i="30"/>
  <c r="CR83" i="30"/>
  <c r="CO4" i="30"/>
  <c r="BX67" i="30"/>
  <c r="BZ67" i="30" s="1"/>
  <c r="BB67" i="30"/>
  <c r="CX111" i="30"/>
  <c r="CR125" i="30"/>
  <c r="CK125" i="30"/>
  <c r="CD93" i="30"/>
  <c r="CD23" i="30"/>
  <c r="X91" i="30"/>
  <c r="AC91" i="30"/>
  <c r="AJ91" i="30" s="1"/>
  <c r="AQ91" i="30" s="1"/>
  <c r="AZ83" i="30"/>
  <c r="AP83" i="30"/>
  <c r="BG130" i="30"/>
  <c r="BN130" i="30" s="1"/>
  <c r="BU130" i="30" s="1"/>
  <c r="CE130" i="30" s="1"/>
  <c r="CL130" i="30" s="1"/>
  <c r="CS130" i="30" s="1"/>
  <c r="CX130" i="30" s="1"/>
  <c r="AW130" i="30"/>
  <c r="BB130" i="30" s="1"/>
  <c r="AV130" i="30"/>
  <c r="CV119" i="30"/>
  <c r="BX119" i="30"/>
  <c r="CV99" i="30"/>
  <c r="BX99" i="30"/>
  <c r="X99" i="30"/>
  <c r="AC99" i="30"/>
  <c r="AJ99" i="30" s="1"/>
  <c r="AQ99" i="30" s="1"/>
  <c r="CK83" i="30"/>
  <c r="CD83" i="30"/>
  <c r="CV92" i="30"/>
  <c r="CX92" i="30" s="1"/>
  <c r="BX92" i="30"/>
  <c r="BZ92" i="30" s="1"/>
  <c r="BB92" i="30"/>
  <c r="R35" i="30"/>
  <c r="I35" i="30"/>
  <c r="D204" i="31"/>
  <c r="D206" i="31" s="1"/>
  <c r="AV131" i="30"/>
  <c r="BG131" i="30"/>
  <c r="BN131" i="30" s="1"/>
  <c r="BU131" i="30" s="1"/>
  <c r="AW131" i="30"/>
  <c r="BB131" i="30" s="1"/>
  <c r="CV120" i="30"/>
  <c r="BX120" i="30"/>
  <c r="BX107" i="30"/>
  <c r="BZ107" i="30" s="1"/>
  <c r="CV107" i="30"/>
  <c r="CX107" i="30" s="1"/>
  <c r="AZ104" i="30"/>
  <c r="BB107" i="30"/>
  <c r="CV134" i="30"/>
  <c r="BX134" i="30"/>
  <c r="CV127" i="30"/>
  <c r="BX127" i="30"/>
  <c r="AZ125" i="30"/>
  <c r="AC138" i="30"/>
  <c r="AJ138" i="30" s="1"/>
  <c r="AQ138" i="30" s="1"/>
  <c r="X138" i="30"/>
  <c r="BX135" i="30"/>
  <c r="BZ135" i="30" s="1"/>
  <c r="CV135" i="30"/>
  <c r="CX135" i="30" s="1"/>
  <c r="BB135" i="30"/>
  <c r="AU125" i="30"/>
  <c r="R125" i="30"/>
  <c r="BF125" i="30"/>
  <c r="S117" i="30"/>
  <c r="L116" i="30"/>
  <c r="CV117" i="30"/>
  <c r="BX117" i="30"/>
  <c r="AZ116" i="30"/>
  <c r="BX122" i="30"/>
  <c r="CV122" i="30"/>
  <c r="R116" i="30"/>
  <c r="CV102" i="30"/>
  <c r="BX102" i="30"/>
  <c r="BG100" i="30"/>
  <c r="BN100" i="30" s="1"/>
  <c r="BU100" i="30" s="1"/>
  <c r="CE100" i="30" s="1"/>
  <c r="CL100" i="30" s="1"/>
  <c r="CS100" i="30" s="1"/>
  <c r="AW100" i="30"/>
  <c r="BB100" i="30" s="1"/>
  <c r="BG98" i="30"/>
  <c r="BN98" i="30" s="1"/>
  <c r="BU98" i="30" s="1"/>
  <c r="CE98" i="30" s="1"/>
  <c r="CL98" i="30" s="1"/>
  <c r="CS98" i="30" s="1"/>
  <c r="AW98" i="30"/>
  <c r="BB98" i="30" s="1"/>
  <c r="CV90" i="30"/>
  <c r="BX90" i="30"/>
  <c r="BT93" i="30"/>
  <c r="CV101" i="30"/>
  <c r="BX101" i="30"/>
  <c r="AC85" i="30"/>
  <c r="AJ85" i="30" s="1"/>
  <c r="AQ85" i="30" s="1"/>
  <c r="X85" i="30"/>
  <c r="X94" i="30"/>
  <c r="S93" i="30"/>
  <c r="X93" i="30" s="1"/>
  <c r="AC94" i="30"/>
  <c r="X81" i="30"/>
  <c r="AC81" i="30"/>
  <c r="AJ81" i="30" s="1"/>
  <c r="AQ81" i="30" s="1"/>
  <c r="CV70" i="30"/>
  <c r="BX70" i="30"/>
  <c r="AZ68" i="30"/>
  <c r="BM93" i="30"/>
  <c r="X72" i="30"/>
  <c r="AC72" i="30"/>
  <c r="AJ72" i="30" s="1"/>
  <c r="AQ72" i="30" s="1"/>
  <c r="AW78" i="30"/>
  <c r="BB78" i="30" s="1"/>
  <c r="CK68" i="30"/>
  <c r="CA38" i="30"/>
  <c r="K35" i="30"/>
  <c r="AB83" i="30"/>
  <c r="R83" i="30"/>
  <c r="BT35" i="30"/>
  <c r="BK35" i="30"/>
  <c r="BF29" i="30"/>
  <c r="AM35" i="30"/>
  <c r="AP29" i="30"/>
  <c r="AN29" i="30"/>
  <c r="AM22" i="30"/>
  <c r="BF22" i="30" s="1"/>
  <c r="S29" i="30"/>
  <c r="X29" i="30" s="1"/>
  <c r="AC30" i="30"/>
  <c r="X30" i="30"/>
  <c r="BG133" i="30"/>
  <c r="BN133" i="30" s="1"/>
  <c r="BU133" i="30" s="1"/>
  <c r="AW133" i="30"/>
  <c r="BB133" i="30" s="1"/>
  <c r="AV133" i="30"/>
  <c r="BX104" i="30"/>
  <c r="CV98" i="30"/>
  <c r="BX98" i="30"/>
  <c r="AZ93" i="30"/>
  <c r="AC86" i="30"/>
  <c r="AJ86" i="30" s="1"/>
  <c r="AQ86" i="30" s="1"/>
  <c r="X86" i="30"/>
  <c r="AU68" i="30"/>
  <c r="AC129" i="30"/>
  <c r="AJ129" i="30" s="1"/>
  <c r="AQ129" i="30" s="1"/>
  <c r="X129" i="30"/>
  <c r="BG128" i="30"/>
  <c r="BN128" i="30" s="1"/>
  <c r="BU128" i="30" s="1"/>
  <c r="CE128" i="30" s="1"/>
  <c r="CL128" i="30" s="1"/>
  <c r="CS128" i="30" s="1"/>
  <c r="AW128" i="30"/>
  <c r="CD116" i="30"/>
  <c r="BT116" i="30"/>
  <c r="X122" i="30"/>
  <c r="AC122" i="30"/>
  <c r="AJ122" i="30" s="1"/>
  <c r="AQ122" i="30" s="1"/>
  <c r="BG121" i="30"/>
  <c r="BN121" i="30" s="1"/>
  <c r="BU121" i="30" s="1"/>
  <c r="CE121" i="30" s="1"/>
  <c r="CL121" i="30" s="1"/>
  <c r="CS121" i="30" s="1"/>
  <c r="X120" i="30"/>
  <c r="AC120" i="30"/>
  <c r="AJ120" i="30" s="1"/>
  <c r="AQ120" i="30" s="1"/>
  <c r="CV118" i="30"/>
  <c r="BX118" i="30"/>
  <c r="X105" i="30"/>
  <c r="S104" i="30"/>
  <c r="X104" i="30" s="1"/>
  <c r="R93" i="30"/>
  <c r="CV91" i="30"/>
  <c r="BX91" i="30"/>
  <c r="BG91" i="30"/>
  <c r="BN91" i="30" s="1"/>
  <c r="BU91" i="30" s="1"/>
  <c r="CE91" i="30" s="1"/>
  <c r="CL91" i="30" s="1"/>
  <c r="CS91" i="30" s="1"/>
  <c r="AC89" i="30"/>
  <c r="AJ89" i="30" s="1"/>
  <c r="AQ89" i="30" s="1"/>
  <c r="X89" i="30"/>
  <c r="BN110" i="30"/>
  <c r="CV74" i="30"/>
  <c r="BX74" i="30"/>
  <c r="X73" i="30"/>
  <c r="AC73" i="30"/>
  <c r="AJ73" i="30" s="1"/>
  <c r="AQ73" i="30" s="1"/>
  <c r="BG77" i="30"/>
  <c r="BN77" i="30" s="1"/>
  <c r="BU77" i="30" s="1"/>
  <c r="CE77" i="30" s="1"/>
  <c r="CL77" i="30" s="1"/>
  <c r="CS77" i="30" s="1"/>
  <c r="AW77" i="30"/>
  <c r="BB77" i="30" s="1"/>
  <c r="CV73" i="30"/>
  <c r="BX73" i="30"/>
  <c r="CV77" i="30"/>
  <c r="BX77" i="30"/>
  <c r="CV72" i="30"/>
  <c r="BX72" i="30"/>
  <c r="BZ25" i="30"/>
  <c r="CV41" i="30"/>
  <c r="BX41" i="30"/>
  <c r="V113" i="30"/>
  <c r="V109" i="30"/>
  <c r="V114" i="30"/>
  <c r="W36" i="30"/>
  <c r="S125" i="30"/>
  <c r="X125" i="30" s="1"/>
  <c r="AC126" i="30"/>
  <c r="X126" i="30"/>
  <c r="CV89" i="30"/>
  <c r="BX89" i="30"/>
  <c r="L93" i="30"/>
  <c r="C204" i="31"/>
  <c r="CV132" i="30"/>
  <c r="BX132" i="30"/>
  <c r="BX128" i="30"/>
  <c r="BB128" i="30"/>
  <c r="CV128" i="30"/>
  <c r="AW127" i="30"/>
  <c r="BB127" i="30" s="1"/>
  <c r="BG127" i="30"/>
  <c r="BN127" i="30" s="1"/>
  <c r="BU127" i="30" s="1"/>
  <c r="CE127" i="30" s="1"/>
  <c r="CL127" i="30" s="1"/>
  <c r="CS127" i="30" s="1"/>
  <c r="L125" i="30"/>
  <c r="AV127" i="30"/>
  <c r="CV121" i="30"/>
  <c r="BX121" i="30"/>
  <c r="CD125" i="30"/>
  <c r="AC123" i="30"/>
  <c r="AJ123" i="30" s="1"/>
  <c r="AQ123" i="30" s="1"/>
  <c r="X123" i="30"/>
  <c r="BM116" i="30"/>
  <c r="AU116" i="30"/>
  <c r="BF116" i="30"/>
  <c r="AP116" i="30"/>
  <c r="AC118" i="30"/>
  <c r="AJ118" i="30" s="1"/>
  <c r="AQ118" i="30" s="1"/>
  <c r="X118" i="30"/>
  <c r="BG119" i="30"/>
  <c r="BN119" i="30" s="1"/>
  <c r="BU119" i="30" s="1"/>
  <c r="CE119" i="30" s="1"/>
  <c r="CL119" i="30" s="1"/>
  <c r="CS119" i="30" s="1"/>
  <c r="CV104" i="30"/>
  <c r="CV100" i="30"/>
  <c r="BX100" i="30"/>
  <c r="BZ100" i="30" s="1"/>
  <c r="BZ103" i="30"/>
  <c r="CE103" i="30"/>
  <c r="CL103" i="30" s="1"/>
  <c r="CS103" i="30" s="1"/>
  <c r="CX103" i="30" s="1"/>
  <c r="AU104" i="30"/>
  <c r="AW106" i="30"/>
  <c r="BB106" i="30" s="1"/>
  <c r="AV106" i="30"/>
  <c r="BG106" i="30"/>
  <c r="BN106" i="30" s="1"/>
  <c r="BU106" i="30" s="1"/>
  <c r="CE106" i="30" s="1"/>
  <c r="CL106" i="30" s="1"/>
  <c r="CS106" i="30" s="1"/>
  <c r="CX106" i="30" s="1"/>
  <c r="AV98" i="30"/>
  <c r="AC90" i="30"/>
  <c r="AJ90" i="30" s="1"/>
  <c r="AQ90" i="30" s="1"/>
  <c r="X90" i="30"/>
  <c r="CV88" i="30"/>
  <c r="BX88" i="30"/>
  <c r="AV78" i="30"/>
  <c r="AP104" i="30"/>
  <c r="BG102" i="30"/>
  <c r="BN102" i="30" s="1"/>
  <c r="BU102" i="30" s="1"/>
  <c r="CE102" i="30" s="1"/>
  <c r="CL102" i="30" s="1"/>
  <c r="CS102" i="30" s="1"/>
  <c r="AW102" i="30"/>
  <c r="BB102" i="30" s="1"/>
  <c r="AU93" i="30"/>
  <c r="AC87" i="30"/>
  <c r="AJ87" i="30" s="1"/>
  <c r="AQ87" i="30" s="1"/>
  <c r="X87" i="30"/>
  <c r="AV95" i="30"/>
  <c r="BG95" i="30"/>
  <c r="BN95" i="30" s="1"/>
  <c r="BU95" i="30" s="1"/>
  <c r="CE95" i="30" s="1"/>
  <c r="CL95" i="30" s="1"/>
  <c r="CS95" i="30" s="1"/>
  <c r="CX95" i="30" s="1"/>
  <c r="AW95" i="30"/>
  <c r="BB95" i="30" s="1"/>
  <c r="AV96" i="30"/>
  <c r="BG96" i="30"/>
  <c r="BN96" i="30" s="1"/>
  <c r="BU96" i="30" s="1"/>
  <c r="CE96" i="30" s="1"/>
  <c r="CL96" i="30" s="1"/>
  <c r="CS96" i="30" s="1"/>
  <c r="CX96" i="30" s="1"/>
  <c r="AW96" i="30"/>
  <c r="BB96" i="30" s="1"/>
  <c r="AC65" i="30"/>
  <c r="AJ65" i="30" s="1"/>
  <c r="AQ65" i="30" s="1"/>
  <c r="X65" i="30"/>
  <c r="AC61" i="30"/>
  <c r="AJ61" i="30" s="1"/>
  <c r="AQ61" i="30" s="1"/>
  <c r="X61" i="30"/>
  <c r="AC57" i="30"/>
  <c r="AJ57" i="30" s="1"/>
  <c r="AQ57" i="30" s="1"/>
  <c r="X57" i="30"/>
  <c r="AC53" i="30"/>
  <c r="AJ53" i="30" s="1"/>
  <c r="AQ53" i="30" s="1"/>
  <c r="X53" i="30"/>
  <c r="BM68" i="30"/>
  <c r="BC38" i="30"/>
  <c r="BF68" i="30"/>
  <c r="AM38" i="30"/>
  <c r="AP68" i="30"/>
  <c r="AU34" i="30"/>
  <c r="AC88" i="30"/>
  <c r="AJ88" i="30" s="1"/>
  <c r="AQ88" i="30" s="1"/>
  <c r="X88" i="30"/>
  <c r="S84" i="30"/>
  <c r="L83" i="30"/>
  <c r="BB108" i="30"/>
  <c r="BX108" i="30"/>
  <c r="BZ108" i="30" s="1"/>
  <c r="CV108" i="30"/>
  <c r="CX108" i="30" s="1"/>
  <c r="X80" i="30"/>
  <c r="AC80" i="30"/>
  <c r="AJ80" i="30" s="1"/>
  <c r="AQ80" i="30" s="1"/>
  <c r="BG76" i="30"/>
  <c r="BN76" i="30" s="1"/>
  <c r="BU76" i="30" s="1"/>
  <c r="CE76" i="30" s="1"/>
  <c r="CL76" i="30" s="1"/>
  <c r="CS76" i="30" s="1"/>
  <c r="AW76" i="30"/>
  <c r="BB76" i="30" s="1"/>
  <c r="CV76" i="30"/>
  <c r="BX76" i="30"/>
  <c r="AC70" i="30"/>
  <c r="AJ70" i="30" s="1"/>
  <c r="AQ70" i="30" s="1"/>
  <c r="X70" i="30"/>
  <c r="AC64" i="30"/>
  <c r="AJ64" i="30" s="1"/>
  <c r="AQ64" i="30" s="1"/>
  <c r="X64" i="30"/>
  <c r="AC60" i="30"/>
  <c r="AJ60" i="30" s="1"/>
  <c r="AQ60" i="30" s="1"/>
  <c r="X60" i="30"/>
  <c r="AC56" i="30"/>
  <c r="AJ56" i="30" s="1"/>
  <c r="AQ56" i="30" s="1"/>
  <c r="X56" i="30"/>
  <c r="AC52" i="30"/>
  <c r="AJ52" i="30" s="1"/>
  <c r="AQ52" i="30" s="1"/>
  <c r="X52" i="30"/>
  <c r="AI68" i="30"/>
  <c r="AB68" i="30"/>
  <c r="AC48" i="30"/>
  <c r="AJ48" i="30" s="1"/>
  <c r="AQ48" i="30" s="1"/>
  <c r="X48" i="30"/>
  <c r="BZ21" i="30"/>
  <c r="AV97" i="30"/>
  <c r="BG97" i="30"/>
  <c r="BN97" i="30" s="1"/>
  <c r="BU97" i="30" s="1"/>
  <c r="CE97" i="30" s="1"/>
  <c r="CL97" i="30" s="1"/>
  <c r="CS97" i="30" s="1"/>
  <c r="CX97" i="30" s="1"/>
  <c r="AW97" i="30"/>
  <c r="BB97" i="30" s="1"/>
  <c r="X75" i="30"/>
  <c r="AC75" i="30"/>
  <c r="AJ75" i="30" s="1"/>
  <c r="AQ75" i="30" s="1"/>
  <c r="CR68" i="30"/>
  <c r="BG46" i="30"/>
  <c r="BN46" i="30" s="1"/>
  <c r="BU46" i="30" s="1"/>
  <c r="CE46" i="30" s="1"/>
  <c r="CL46" i="30" s="1"/>
  <c r="CS46" i="30" s="1"/>
  <c r="CX46" i="30" s="1"/>
  <c r="AW46" i="30"/>
  <c r="BB46" i="30" s="1"/>
  <c r="AP35" i="30"/>
  <c r="CI29" i="30"/>
  <c r="AC12" i="30"/>
  <c r="AJ12" i="30" s="1"/>
  <c r="AQ12" i="30" s="1"/>
  <c r="X12" i="30"/>
  <c r="AN24" i="30"/>
  <c r="AN23" i="30"/>
  <c r="AM33" i="30"/>
  <c r="BF33" i="30" s="1"/>
  <c r="AM4" i="30"/>
  <c r="BF5" i="30"/>
  <c r="AN8" i="30"/>
  <c r="BJ38" i="30"/>
  <c r="K93" i="30"/>
  <c r="BG50" i="30"/>
  <c r="BN50" i="30" s="1"/>
  <c r="BU50" i="30" s="1"/>
  <c r="AW50" i="30"/>
  <c r="BB50" i="30" s="1"/>
  <c r="AV50" i="30"/>
  <c r="BQ38" i="30"/>
  <c r="CD39" i="30"/>
  <c r="AF38" i="30"/>
  <c r="AP39" i="30"/>
  <c r="BT18" i="30"/>
  <c r="CV13" i="30"/>
  <c r="CV10" i="30" s="1"/>
  <c r="BX13" i="30"/>
  <c r="L10" i="30"/>
  <c r="S11" i="30"/>
  <c r="BX5" i="30"/>
  <c r="CB24" i="30"/>
  <c r="CB23" i="30"/>
  <c r="CA33" i="30"/>
  <c r="CB33" i="30" s="1"/>
  <c r="CA4" i="30"/>
  <c r="CK5" i="30"/>
  <c r="CB8" i="30"/>
  <c r="CO38" i="30"/>
  <c r="CO124" i="30" s="1"/>
  <c r="L22" i="30"/>
  <c r="BG51" i="30"/>
  <c r="BN51" i="30" s="1"/>
  <c r="BU51" i="30" s="1"/>
  <c r="CE51" i="30" s="1"/>
  <c r="CL51" i="30" s="1"/>
  <c r="CS51" i="30" s="1"/>
  <c r="CX51" i="30" s="1"/>
  <c r="AV51" i="30"/>
  <c r="AW51" i="30"/>
  <c r="BB51" i="30" s="1"/>
  <c r="CK29" i="30"/>
  <c r="CV26" i="30"/>
  <c r="BX24" i="30"/>
  <c r="CV24" i="30"/>
  <c r="CW24" i="30" s="1"/>
  <c r="AZ23" i="30"/>
  <c r="BZ17" i="30"/>
  <c r="BC34" i="30"/>
  <c r="BD27" i="30"/>
  <c r="BM10" i="30"/>
  <c r="BD26" i="30"/>
  <c r="BC4" i="30"/>
  <c r="Z24" i="30"/>
  <c r="Z23" i="30"/>
  <c r="Z8" i="30"/>
  <c r="Y33" i="30"/>
  <c r="AI5" i="30"/>
  <c r="Y4" i="30"/>
  <c r="V124" i="30"/>
  <c r="Z34" i="30"/>
  <c r="F33" i="30"/>
  <c r="T30" i="30"/>
  <c r="T29" i="30"/>
  <c r="X15" i="30"/>
  <c r="BG13" i="30"/>
  <c r="BN13" i="30" s="1"/>
  <c r="BU13" i="30" s="1"/>
  <c r="CE13" i="30" s="1"/>
  <c r="CL13" i="30" s="1"/>
  <c r="CS13" i="30" s="1"/>
  <c r="AW13" i="30"/>
  <c r="BB13" i="30" s="1"/>
  <c r="S69" i="30"/>
  <c r="L68" i="30"/>
  <c r="AC63" i="30"/>
  <c r="AJ63" i="30" s="1"/>
  <c r="AQ63" i="30" s="1"/>
  <c r="X63" i="30"/>
  <c r="AC59" i="30"/>
  <c r="AJ59" i="30" s="1"/>
  <c r="AQ59" i="30" s="1"/>
  <c r="X59" i="30"/>
  <c r="AC55" i="30"/>
  <c r="AJ55" i="30" s="1"/>
  <c r="AQ55" i="30" s="1"/>
  <c r="X55" i="30"/>
  <c r="CD68" i="30"/>
  <c r="CV71" i="30"/>
  <c r="BX71" i="30"/>
  <c r="AZ29" i="30"/>
  <c r="BA29" i="30" s="1"/>
  <c r="CV30" i="30"/>
  <c r="BX30" i="30"/>
  <c r="X71" i="30"/>
  <c r="AC71" i="30"/>
  <c r="AJ71" i="30" s="1"/>
  <c r="AQ71" i="30" s="1"/>
  <c r="AC42" i="30"/>
  <c r="AJ42" i="30" s="1"/>
  <c r="AQ42" i="30" s="1"/>
  <c r="X42" i="30"/>
  <c r="CH38" i="30"/>
  <c r="CR39" i="30"/>
  <c r="CA22" i="30"/>
  <c r="CK26" i="30"/>
  <c r="L5" i="30"/>
  <c r="S6" i="30"/>
  <c r="X101" i="30"/>
  <c r="AC101" i="30"/>
  <c r="AJ101" i="30" s="1"/>
  <c r="AQ101" i="30" s="1"/>
  <c r="AB39" i="30"/>
  <c r="O38" i="30"/>
  <c r="CV44" i="30"/>
  <c r="BX44" i="30"/>
  <c r="AC41" i="30"/>
  <c r="AJ41" i="30" s="1"/>
  <c r="AQ41" i="30" s="1"/>
  <c r="X41" i="30"/>
  <c r="BX18" i="30"/>
  <c r="AB18" i="30"/>
  <c r="BZ14" i="30"/>
  <c r="F34" i="30"/>
  <c r="BR24" i="30"/>
  <c r="BR23" i="30"/>
  <c r="BQ33" i="30"/>
  <c r="BQ4" i="30"/>
  <c r="BR8" i="30"/>
  <c r="CD5" i="30"/>
  <c r="AC24" i="30"/>
  <c r="S23" i="30"/>
  <c r="Z35" i="30"/>
  <c r="CV43" i="30"/>
  <c r="BX43" i="30"/>
  <c r="BZ31" i="30"/>
  <c r="AF22" i="30"/>
  <c r="AP26" i="30"/>
  <c r="L18" i="30"/>
  <c r="S19" i="30"/>
  <c r="CV15" i="30"/>
  <c r="AC8" i="30"/>
  <c r="AJ8" i="30" s="1"/>
  <c r="AQ8" i="30" s="1"/>
  <c r="X8" i="30"/>
  <c r="BK24" i="30"/>
  <c r="BK23" i="30"/>
  <c r="BK8" i="30"/>
  <c r="BT5" i="30"/>
  <c r="BJ33" i="30"/>
  <c r="BJ4" i="30"/>
  <c r="P24" i="30"/>
  <c r="P23" i="30"/>
  <c r="AB5" i="30"/>
  <c r="O4" i="30"/>
  <c r="O33" i="30"/>
  <c r="P8" i="30"/>
  <c r="BA30" i="30"/>
  <c r="C138" i="30"/>
  <c r="C134" i="30"/>
  <c r="C132" i="30"/>
  <c r="C133" i="30"/>
  <c r="C127" i="30"/>
  <c r="C128" i="30"/>
  <c r="C129" i="30"/>
  <c r="C131" i="30"/>
  <c r="C130" i="30"/>
  <c r="C122" i="30"/>
  <c r="C121" i="30"/>
  <c r="C120" i="30"/>
  <c r="C119" i="30"/>
  <c r="C125" i="30"/>
  <c r="C126" i="30"/>
  <c r="C123" i="30"/>
  <c r="C124" i="30"/>
  <c r="C118" i="30"/>
  <c r="C117" i="30"/>
  <c r="C116" i="30"/>
  <c r="C102" i="30"/>
  <c r="C101" i="30"/>
  <c r="C100" i="30"/>
  <c r="C99" i="30"/>
  <c r="C106" i="30"/>
  <c r="C105" i="30"/>
  <c r="C98" i="30"/>
  <c r="C97" i="30"/>
  <c r="C96" i="30"/>
  <c r="C95" i="30"/>
  <c r="C94" i="30"/>
  <c r="C93" i="30"/>
  <c r="C110" i="30"/>
  <c r="C91" i="30"/>
  <c r="C90" i="30"/>
  <c r="C89" i="30"/>
  <c r="C83" i="30"/>
  <c r="C81" i="30"/>
  <c r="C80" i="30"/>
  <c r="C79" i="30"/>
  <c r="C78" i="30"/>
  <c r="C77" i="30"/>
  <c r="C76" i="30"/>
  <c r="C75" i="30"/>
  <c r="C74" i="30"/>
  <c r="C73" i="30"/>
  <c r="C72" i="30"/>
  <c r="C71" i="30"/>
  <c r="C104" i="30"/>
  <c r="C111" i="30"/>
  <c r="C88" i="30"/>
  <c r="C87" i="30"/>
  <c r="C86" i="30"/>
  <c r="C85" i="30"/>
  <c r="C84" i="30"/>
  <c r="C68" i="30"/>
  <c r="C66" i="30"/>
  <c r="C62" i="30"/>
  <c r="C50" i="30"/>
  <c r="C46" i="30"/>
  <c r="B36" i="30"/>
  <c r="C13" i="30"/>
  <c r="C63" i="30"/>
  <c r="C51" i="30"/>
  <c r="C47" i="30"/>
  <c r="C45" i="30"/>
  <c r="C44" i="30"/>
  <c r="C43" i="30"/>
  <c r="C42" i="30"/>
  <c r="C41" i="30"/>
  <c r="C40" i="30"/>
  <c r="C16" i="30"/>
  <c r="C15" i="30"/>
  <c r="C70" i="30"/>
  <c r="C69" i="30"/>
  <c r="C64" i="30"/>
  <c r="C60" i="30"/>
  <c r="C59" i="30"/>
  <c r="C58" i="30"/>
  <c r="C57" i="30"/>
  <c r="C56" i="30"/>
  <c r="C55" i="30"/>
  <c r="C54" i="30"/>
  <c r="C53" i="30"/>
  <c r="C52" i="30"/>
  <c r="C48" i="30"/>
  <c r="C39" i="30"/>
  <c r="C19" i="30"/>
  <c r="C18" i="30"/>
  <c r="C49" i="30"/>
  <c r="C7" i="30"/>
  <c r="C38" i="30"/>
  <c r="C22" i="30"/>
  <c r="C65" i="30"/>
  <c r="C61" i="30"/>
  <c r="C12" i="30"/>
  <c r="C11" i="30"/>
  <c r="C10" i="30"/>
  <c r="C6" i="30"/>
  <c r="C5" i="30"/>
  <c r="C4" i="30"/>
  <c r="CP133" i="30"/>
  <c r="CP134" i="30"/>
  <c r="CP131" i="30"/>
  <c r="CP132" i="30"/>
  <c r="CP130" i="30"/>
  <c r="CP126" i="30"/>
  <c r="CP127" i="30"/>
  <c r="CP128" i="30"/>
  <c r="CP129" i="30"/>
  <c r="CP123" i="30"/>
  <c r="CP125" i="30"/>
  <c r="CP121" i="30"/>
  <c r="CP120" i="30"/>
  <c r="CP119" i="30"/>
  <c r="CP116" i="30"/>
  <c r="CP106" i="30"/>
  <c r="CP105" i="30"/>
  <c r="CP104" i="30"/>
  <c r="CP117" i="30"/>
  <c r="CP111" i="30"/>
  <c r="CP110" i="30"/>
  <c r="CP100" i="30"/>
  <c r="CP91" i="30"/>
  <c r="CP99" i="30"/>
  <c r="CP122" i="30"/>
  <c r="CP118" i="30"/>
  <c r="CP102" i="30"/>
  <c r="CP98" i="30"/>
  <c r="CP97" i="30"/>
  <c r="CP96" i="30"/>
  <c r="CP95" i="30"/>
  <c r="CP94" i="30"/>
  <c r="CP93" i="30"/>
  <c r="CP87" i="30"/>
  <c r="CP86" i="30"/>
  <c r="CP85" i="30"/>
  <c r="CP84" i="30"/>
  <c r="CP83" i="30"/>
  <c r="CP90" i="30"/>
  <c r="CP89" i="30"/>
  <c r="CP88" i="30"/>
  <c r="CP81" i="30"/>
  <c r="CP80" i="30"/>
  <c r="CP79" i="30"/>
  <c r="CP78" i="30"/>
  <c r="CP77" i="30"/>
  <c r="CP76" i="30"/>
  <c r="CP75" i="30"/>
  <c r="CP74" i="30"/>
  <c r="CP70" i="30"/>
  <c r="CP101" i="30"/>
  <c r="CP73" i="30"/>
  <c r="CP69" i="30"/>
  <c r="CP68" i="30"/>
  <c r="CP65" i="30"/>
  <c r="CP64" i="30"/>
  <c r="CP63" i="30"/>
  <c r="CP62" i="30"/>
  <c r="CP61" i="30"/>
  <c r="CP60" i="30"/>
  <c r="CP59" i="30"/>
  <c r="CP58" i="30"/>
  <c r="CP57" i="30"/>
  <c r="CP56" i="30"/>
  <c r="CP55" i="30"/>
  <c r="CP54" i="30"/>
  <c r="CP53" i="30"/>
  <c r="CP52" i="30"/>
  <c r="CP51" i="30"/>
  <c r="CP50" i="30"/>
  <c r="CP49" i="30"/>
  <c r="CP48" i="30"/>
  <c r="CP47" i="30"/>
  <c r="CP46" i="30"/>
  <c r="CP72" i="30"/>
  <c r="CP66" i="30"/>
  <c r="CP45" i="30"/>
  <c r="CO36" i="30"/>
  <c r="CP12" i="30"/>
  <c r="CP15" i="30"/>
  <c r="CP13" i="30"/>
  <c r="CP71" i="30"/>
  <c r="CP18" i="30"/>
  <c r="CP41" i="30"/>
  <c r="CP16" i="30"/>
  <c r="CP10" i="30"/>
  <c r="CP7" i="30"/>
  <c r="CP42" i="30"/>
  <c r="CP44" i="30"/>
  <c r="CP40" i="30"/>
  <c r="CP11" i="30"/>
  <c r="CP19" i="30"/>
  <c r="CP43" i="30"/>
  <c r="CP39" i="30"/>
  <c r="CP5" i="30"/>
  <c r="CP4" i="30"/>
  <c r="CP22" i="30"/>
  <c r="CP6" i="30"/>
  <c r="AC15" i="30"/>
  <c r="AJ16" i="30"/>
  <c r="CW8" i="30"/>
  <c r="AC62" i="30"/>
  <c r="AJ62" i="30" s="1"/>
  <c r="AQ62" i="30" s="1"/>
  <c r="X62" i="30"/>
  <c r="AC58" i="30"/>
  <c r="AJ58" i="30" s="1"/>
  <c r="AQ58" i="30" s="1"/>
  <c r="X58" i="30"/>
  <c r="AC54" i="30"/>
  <c r="AJ54" i="30" s="1"/>
  <c r="AQ54" i="30" s="1"/>
  <c r="X54" i="30"/>
  <c r="CV75" i="30"/>
  <c r="BX75" i="30"/>
  <c r="BG74" i="30"/>
  <c r="BN74" i="30" s="1"/>
  <c r="BU74" i="30" s="1"/>
  <c r="CE74" i="30" s="1"/>
  <c r="CL74" i="30" s="1"/>
  <c r="CS74" i="30" s="1"/>
  <c r="AW74" i="30"/>
  <c r="BB74" i="30" s="1"/>
  <c r="BF93" i="30"/>
  <c r="CV45" i="30"/>
  <c r="BX45" i="30"/>
  <c r="AT38" i="30"/>
  <c r="BR35" i="30"/>
  <c r="CA34" i="30"/>
  <c r="BA26" i="30"/>
  <c r="BA27" i="30"/>
  <c r="AZ34" i="30"/>
  <c r="BA34" i="30" s="1"/>
  <c r="CI24" i="30"/>
  <c r="CI23" i="30"/>
  <c r="CH33" i="30"/>
  <c r="CR33" i="30" s="1"/>
  <c r="CH4" i="30"/>
  <c r="CR5" i="30"/>
  <c r="CI8" i="30"/>
  <c r="CV42" i="30"/>
  <c r="BX42" i="30"/>
  <c r="AV46" i="30"/>
  <c r="AB35" i="30"/>
  <c r="W22" i="30"/>
  <c r="BG66" i="30"/>
  <c r="BN66" i="30" s="1"/>
  <c r="BU66" i="30" s="1"/>
  <c r="CE66" i="30" s="1"/>
  <c r="CL66" i="30" s="1"/>
  <c r="CS66" i="30" s="1"/>
  <c r="CX66" i="30" s="1"/>
  <c r="AW66" i="30"/>
  <c r="BB66" i="30" s="1"/>
  <c r="AV66" i="30"/>
  <c r="Y38" i="30"/>
  <c r="AI39" i="30"/>
  <c r="BM22" i="30"/>
  <c r="AT35" i="30"/>
  <c r="H38" i="30"/>
  <c r="R39" i="30"/>
  <c r="BG47" i="30"/>
  <c r="BN47" i="30" s="1"/>
  <c r="BU47" i="30" s="1"/>
  <c r="AV47" i="30"/>
  <c r="AW47" i="30"/>
  <c r="BB47" i="30" s="1"/>
  <c r="E38" i="30"/>
  <c r="F38" i="30" s="1"/>
  <c r="K39" i="30"/>
  <c r="CH22" i="30"/>
  <c r="CR22" i="30" s="1"/>
  <c r="AT22" i="30"/>
  <c r="L35" i="30"/>
  <c r="M35" i="30" s="1"/>
  <c r="M30" i="30"/>
  <c r="M29" i="30"/>
  <c r="CI26" i="30"/>
  <c r="CH34" i="30"/>
  <c r="CR34" i="30" s="1"/>
  <c r="CI27" i="30"/>
  <c r="CK10" i="30"/>
  <c r="CR10" i="30"/>
  <c r="BR26" i="30"/>
  <c r="BQ34" i="30"/>
  <c r="BR27" i="30"/>
  <c r="CD10" i="30"/>
  <c r="BA24" i="30"/>
  <c r="BA8" i="30"/>
  <c r="AZ4" i="30"/>
  <c r="AC43" i="30"/>
  <c r="AJ43" i="30" s="1"/>
  <c r="AQ43" i="30" s="1"/>
  <c r="X43" i="30"/>
  <c r="CK35" i="30"/>
  <c r="CK93" i="30"/>
  <c r="X79" i="30"/>
  <c r="AC79" i="30"/>
  <c r="AJ79" i="30" s="1"/>
  <c r="AQ79" i="30" s="1"/>
  <c r="AC45" i="30"/>
  <c r="AJ45" i="30" s="1"/>
  <c r="AQ45" i="30" s="1"/>
  <c r="X45" i="30"/>
  <c r="CV40" i="30"/>
  <c r="BX40" i="30"/>
  <c r="AZ39" i="30"/>
  <c r="S26" i="30"/>
  <c r="X26" i="30" s="1"/>
  <c r="AC27" i="30"/>
  <c r="X27" i="30"/>
  <c r="CV18" i="30"/>
  <c r="AC7" i="30"/>
  <c r="AJ7" i="30" s="1"/>
  <c r="AQ7" i="30" s="1"/>
  <c r="X7" i="30"/>
  <c r="AG24" i="30"/>
  <c r="AG23" i="30"/>
  <c r="AF33" i="30"/>
  <c r="AP33" i="30" s="1"/>
  <c r="AG8" i="30"/>
  <c r="AF4" i="30"/>
  <c r="AP5" i="30"/>
  <c r="AU39" i="30"/>
  <c r="X49" i="30"/>
  <c r="AC49" i="30"/>
  <c r="AJ49" i="30" s="1"/>
  <c r="AQ49" i="30" s="1"/>
  <c r="AC44" i="30"/>
  <c r="AJ44" i="30" s="1"/>
  <c r="AQ44" i="30" s="1"/>
  <c r="X44" i="30"/>
  <c r="S40" i="30"/>
  <c r="L39" i="30"/>
  <c r="CD26" i="30"/>
  <c r="BQ22" i="30"/>
  <c r="BT22" i="30" s="1"/>
  <c r="BX26" i="30"/>
  <c r="AU26" i="30"/>
  <c r="BK26" i="30"/>
  <c r="BK27" i="30"/>
  <c r="BJ34" i="30"/>
  <c r="BK34" i="30" s="1"/>
  <c r="BT10" i="30"/>
  <c r="AB10" i="30"/>
  <c r="P27" i="30"/>
  <c r="P26" i="30"/>
  <c r="O34" i="30"/>
  <c r="BX15" i="30"/>
  <c r="BM35" i="30"/>
  <c r="BF34" i="30"/>
  <c r="AT33" i="30"/>
  <c r="F138" i="30"/>
  <c r="F134" i="30"/>
  <c r="F131" i="30"/>
  <c r="F132" i="30"/>
  <c r="F129" i="30"/>
  <c r="F130" i="30"/>
  <c r="F126" i="30"/>
  <c r="F125" i="30"/>
  <c r="F123" i="30"/>
  <c r="F127" i="30"/>
  <c r="F133" i="30"/>
  <c r="F128" i="30"/>
  <c r="F120" i="30"/>
  <c r="F119" i="30"/>
  <c r="F122" i="30"/>
  <c r="F118" i="30"/>
  <c r="F117" i="30"/>
  <c r="F121" i="30"/>
  <c r="F111" i="30"/>
  <c r="F110" i="30"/>
  <c r="F104" i="30"/>
  <c r="F99" i="30"/>
  <c r="F102" i="30"/>
  <c r="F98" i="30"/>
  <c r="F97" i="30"/>
  <c r="F96" i="30"/>
  <c r="F95" i="30"/>
  <c r="F94" i="30"/>
  <c r="F101" i="30"/>
  <c r="F93" i="30"/>
  <c r="F116" i="30"/>
  <c r="F105" i="30"/>
  <c r="F88" i="30"/>
  <c r="F87" i="30"/>
  <c r="F86" i="30"/>
  <c r="F85" i="30"/>
  <c r="F84" i="30"/>
  <c r="F83" i="30"/>
  <c r="F81" i="30"/>
  <c r="F80" i="30"/>
  <c r="F79" i="30"/>
  <c r="F78" i="30"/>
  <c r="F77" i="30"/>
  <c r="F76" i="30"/>
  <c r="F106" i="30"/>
  <c r="F100" i="30"/>
  <c r="F73" i="30"/>
  <c r="F70" i="30"/>
  <c r="F69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72" i="30"/>
  <c r="F68" i="30"/>
  <c r="F91" i="30"/>
  <c r="F90" i="30"/>
  <c r="F89" i="30"/>
  <c r="F75" i="30"/>
  <c r="F71" i="30"/>
  <c r="F66" i="30"/>
  <c r="F74" i="30"/>
  <c r="F19" i="30"/>
  <c r="F18" i="30"/>
  <c r="F11" i="30"/>
  <c r="F22" i="30"/>
  <c r="F45" i="30"/>
  <c r="F44" i="30"/>
  <c r="F43" i="30"/>
  <c r="F42" i="30"/>
  <c r="F41" i="30"/>
  <c r="F40" i="30"/>
  <c r="F15" i="30"/>
  <c r="F12" i="30"/>
  <c r="F10" i="30"/>
  <c r="F6" i="30"/>
  <c r="F5" i="30"/>
  <c r="F4" i="30"/>
  <c r="F13" i="30"/>
  <c r="F7" i="30"/>
  <c r="K4" i="30"/>
  <c r="F39" i="30"/>
  <c r="F16" i="30"/>
  <c r="CV68" i="30" l="1"/>
  <c r="CI35" i="30"/>
  <c r="O204" i="31"/>
  <c r="I125" i="30"/>
  <c r="AG33" i="30"/>
  <c r="D47" i="30"/>
  <c r="D46" i="30"/>
  <c r="D90" i="30"/>
  <c r="I93" i="30"/>
  <c r="D116" i="30"/>
  <c r="D61" i="30"/>
  <c r="D54" i="30"/>
  <c r="D50" i="30"/>
  <c r="D141" i="30" s="1"/>
  <c r="BG132" i="30"/>
  <c r="BN132" i="30" s="1"/>
  <c r="BU132" i="30" s="1"/>
  <c r="CE132" i="30" s="1"/>
  <c r="CL132" i="30" s="1"/>
  <c r="CS132" i="30" s="1"/>
  <c r="K22" i="30"/>
  <c r="E36" i="30"/>
  <c r="BZ77" i="30"/>
  <c r="S35" i="30"/>
  <c r="BZ130" i="30"/>
  <c r="AW121" i="30"/>
  <c r="BB121" i="30" s="1"/>
  <c r="AW119" i="30"/>
  <c r="BB119" i="30" s="1"/>
  <c r="AW132" i="30"/>
  <c r="BB132" i="30" s="1"/>
  <c r="BZ78" i="30"/>
  <c r="BZ121" i="30"/>
  <c r="BZ95" i="30"/>
  <c r="BZ98" i="30"/>
  <c r="K33" i="30"/>
  <c r="BZ128" i="30"/>
  <c r="BZ132" i="30"/>
  <c r="AW134" i="30"/>
  <c r="BB134" i="30" s="1"/>
  <c r="BG134" i="30"/>
  <c r="BN134" i="30" s="1"/>
  <c r="BU134" i="30" s="1"/>
  <c r="CE134" i="30" s="1"/>
  <c r="CL134" i="30" s="1"/>
  <c r="CS134" i="30" s="1"/>
  <c r="CX134" i="30" s="1"/>
  <c r="AV134" i="30"/>
  <c r="CP124" i="30"/>
  <c r="AN33" i="30"/>
  <c r="I43" i="30"/>
  <c r="I94" i="30"/>
  <c r="I71" i="30"/>
  <c r="I22" i="30"/>
  <c r="I5" i="30"/>
  <c r="I12" i="30"/>
  <c r="I45" i="30"/>
  <c r="I138" i="30"/>
  <c r="I127" i="30"/>
  <c r="I126" i="30"/>
  <c r="I120" i="30"/>
  <c r="I111" i="30"/>
  <c r="I101" i="30"/>
  <c r="I97" i="30"/>
  <c r="I102" i="30"/>
  <c r="I88" i="30"/>
  <c r="I79" i="30"/>
  <c r="I58" i="30"/>
  <c r="H36" i="30"/>
  <c r="I36" i="30" s="1"/>
  <c r="I10" i="30"/>
  <c r="I42" i="30"/>
  <c r="I132" i="30"/>
  <c r="I128" i="30"/>
  <c r="I123" i="30"/>
  <c r="I106" i="30"/>
  <c r="I110" i="30"/>
  <c r="I118" i="30"/>
  <c r="I96" i="30"/>
  <c r="I91" i="30"/>
  <c r="I87" i="30"/>
  <c r="I83" i="30"/>
  <c r="I78" i="30"/>
  <c r="I66" i="30"/>
  <c r="I65" i="30"/>
  <c r="I61" i="30"/>
  <c r="I57" i="30"/>
  <c r="I53" i="30"/>
  <c r="I49" i="30"/>
  <c r="I68" i="30"/>
  <c r="I13" i="30"/>
  <c r="I19" i="30"/>
  <c r="I41" i="30"/>
  <c r="I77" i="30"/>
  <c r="I134" i="30"/>
  <c r="I130" i="30"/>
  <c r="I119" i="30"/>
  <c r="I99" i="30"/>
  <c r="I85" i="30"/>
  <c r="I75" i="30"/>
  <c r="I63" i="30"/>
  <c r="I55" i="30"/>
  <c r="I47" i="30"/>
  <c r="I15" i="30"/>
  <c r="I84" i="30"/>
  <c r="I62" i="30"/>
  <c r="I54" i="30"/>
  <c r="I50" i="30"/>
  <c r="I76" i="30"/>
  <c r="I11" i="30"/>
  <c r="I4" i="30"/>
  <c r="I6" i="30"/>
  <c r="I133" i="30"/>
  <c r="I129" i="30"/>
  <c r="I122" i="30"/>
  <c r="I105" i="30"/>
  <c r="I104" i="30"/>
  <c r="I100" i="30"/>
  <c r="I95" i="30"/>
  <c r="I90" i="30"/>
  <c r="I86" i="30"/>
  <c r="I81" i="30"/>
  <c r="I98" i="30"/>
  <c r="I74" i="30"/>
  <c r="I64" i="30"/>
  <c r="I60" i="30"/>
  <c r="I56" i="30"/>
  <c r="I52" i="30"/>
  <c r="I48" i="30"/>
  <c r="I72" i="30"/>
  <c r="I16" i="30"/>
  <c r="I18" i="30"/>
  <c r="I40" i="30"/>
  <c r="I44" i="30"/>
  <c r="I46" i="30"/>
  <c r="I7" i="30"/>
  <c r="I131" i="30"/>
  <c r="I121" i="30"/>
  <c r="I117" i="30"/>
  <c r="I89" i="30"/>
  <c r="I80" i="30"/>
  <c r="I70" i="30"/>
  <c r="I59" i="30"/>
  <c r="I51" i="30"/>
  <c r="I39" i="30"/>
  <c r="I69" i="30"/>
  <c r="I73" i="30"/>
  <c r="AI33" i="30"/>
  <c r="CP38" i="30"/>
  <c r="CX121" i="30"/>
  <c r="CX100" i="30"/>
  <c r="CI34" i="30"/>
  <c r="CI33" i="30"/>
  <c r="CD22" i="30"/>
  <c r="CX128" i="30"/>
  <c r="CD33" i="30"/>
  <c r="CD34" i="30"/>
  <c r="BX83" i="30"/>
  <c r="AW91" i="30"/>
  <c r="BB91" i="30" s="1"/>
  <c r="AV91" i="30"/>
  <c r="L38" i="30"/>
  <c r="L124" i="30" s="1"/>
  <c r="N122" i="30" s="1"/>
  <c r="AG138" i="30"/>
  <c r="AG134" i="30"/>
  <c r="AG133" i="30"/>
  <c r="AG130" i="30"/>
  <c r="AG128" i="30"/>
  <c r="AG129" i="30"/>
  <c r="AG125" i="30"/>
  <c r="AG131" i="30"/>
  <c r="AG132" i="30"/>
  <c r="AG126" i="30"/>
  <c r="AG127" i="30"/>
  <c r="AG119" i="30"/>
  <c r="AG118" i="30"/>
  <c r="AG117" i="30"/>
  <c r="AG122" i="30"/>
  <c r="AG121" i="30"/>
  <c r="AG116" i="30"/>
  <c r="AG106" i="30"/>
  <c r="AG105" i="30"/>
  <c r="AG104" i="30"/>
  <c r="AG120" i="30"/>
  <c r="AG111" i="30"/>
  <c r="AG110" i="30"/>
  <c r="AG102" i="30"/>
  <c r="AG98" i="30"/>
  <c r="AG123" i="30"/>
  <c r="AG101" i="30"/>
  <c r="AG91" i="30"/>
  <c r="AG90" i="30"/>
  <c r="AG89" i="30"/>
  <c r="AG88" i="30"/>
  <c r="AG100" i="30"/>
  <c r="AG99" i="30"/>
  <c r="AG97" i="30"/>
  <c r="AG96" i="30"/>
  <c r="AG95" i="30"/>
  <c r="AG94" i="30"/>
  <c r="AG93" i="30"/>
  <c r="AG87" i="30"/>
  <c r="AG86" i="30"/>
  <c r="AG85" i="30"/>
  <c r="AG84" i="30"/>
  <c r="AG83" i="30"/>
  <c r="AG78" i="30"/>
  <c r="AG72" i="30"/>
  <c r="AG66" i="30"/>
  <c r="AG81" i="30"/>
  <c r="AG75" i="30"/>
  <c r="AG71" i="30"/>
  <c r="AG80" i="30"/>
  <c r="AG77" i="30"/>
  <c r="AG76" i="30"/>
  <c r="AG74" i="30"/>
  <c r="AG70" i="30"/>
  <c r="AG69" i="30"/>
  <c r="AG68" i="30"/>
  <c r="AG65" i="30"/>
  <c r="AG64" i="30"/>
  <c r="AG63" i="30"/>
  <c r="AG62" i="30"/>
  <c r="AG61" i="30"/>
  <c r="AG60" i="30"/>
  <c r="AG59" i="30"/>
  <c r="AG58" i="30"/>
  <c r="AG57" i="30"/>
  <c r="AG56" i="30"/>
  <c r="AG55" i="30"/>
  <c r="AG54" i="30"/>
  <c r="AG53" i="30"/>
  <c r="AG52" i="30"/>
  <c r="AG73" i="30"/>
  <c r="AG50" i="30"/>
  <c r="AG45" i="30"/>
  <c r="AG44" i="30"/>
  <c r="AG43" i="30"/>
  <c r="AG42" i="30"/>
  <c r="AG41" i="30"/>
  <c r="AG40" i="30"/>
  <c r="AG39" i="30"/>
  <c r="AG18" i="30"/>
  <c r="AG16" i="30"/>
  <c r="AG10" i="30"/>
  <c r="AG51" i="30"/>
  <c r="AG47" i="30"/>
  <c r="AG38" i="30"/>
  <c r="AG22" i="30"/>
  <c r="AG19" i="30"/>
  <c r="AG79" i="30"/>
  <c r="AG48" i="30"/>
  <c r="AG46" i="30"/>
  <c r="AF36" i="30"/>
  <c r="AG36" i="30" s="1"/>
  <c r="AG15" i="30"/>
  <c r="AG12" i="30"/>
  <c r="AG5" i="30"/>
  <c r="AG4" i="30"/>
  <c r="AG49" i="30"/>
  <c r="AG6" i="30"/>
  <c r="AG13" i="30"/>
  <c r="AG11" i="30"/>
  <c r="AG7" i="30"/>
  <c r="AP4" i="30"/>
  <c r="BG79" i="30"/>
  <c r="BN79" i="30" s="1"/>
  <c r="BU79" i="30" s="1"/>
  <c r="AW79" i="30"/>
  <c r="BB79" i="30" s="1"/>
  <c r="AV79" i="30"/>
  <c r="CO113" i="30"/>
  <c r="CP113" i="30" s="1"/>
  <c r="CO109" i="30"/>
  <c r="CO114" i="30"/>
  <c r="CP114" i="30" s="1"/>
  <c r="B114" i="30"/>
  <c r="C114" i="30" s="1"/>
  <c r="B113" i="30"/>
  <c r="C113" i="30" s="1"/>
  <c r="B109" i="30"/>
  <c r="BK138" i="30"/>
  <c r="BK134" i="30"/>
  <c r="BK132" i="30"/>
  <c r="BK133" i="30"/>
  <c r="BK127" i="30"/>
  <c r="BK130" i="30"/>
  <c r="BK128" i="30"/>
  <c r="BK123" i="30"/>
  <c r="BK129" i="30"/>
  <c r="BK131" i="30"/>
  <c r="BK126" i="30"/>
  <c r="BK125" i="30"/>
  <c r="BK120" i="30"/>
  <c r="BK119" i="30"/>
  <c r="BK122" i="30"/>
  <c r="BK118" i="30"/>
  <c r="BK117" i="30"/>
  <c r="BK116" i="30"/>
  <c r="BK111" i="30"/>
  <c r="BK110" i="30"/>
  <c r="BK121" i="30"/>
  <c r="BK99" i="30"/>
  <c r="BK102" i="30"/>
  <c r="BK98" i="30"/>
  <c r="BK97" i="30"/>
  <c r="BK96" i="30"/>
  <c r="BK95" i="30"/>
  <c r="BK94" i="30"/>
  <c r="BK93" i="30"/>
  <c r="BK106" i="30"/>
  <c r="BK105" i="30"/>
  <c r="BK104" i="30"/>
  <c r="BK101" i="30"/>
  <c r="BK87" i="30"/>
  <c r="BK86" i="30"/>
  <c r="BK85" i="30"/>
  <c r="BK84" i="30"/>
  <c r="BK83" i="30"/>
  <c r="BK81" i="30"/>
  <c r="BK80" i="30"/>
  <c r="BK79" i="30"/>
  <c r="BK78" i="30"/>
  <c r="BK77" i="30"/>
  <c r="BK76" i="30"/>
  <c r="BK100" i="30"/>
  <c r="BK91" i="30"/>
  <c r="BK90" i="30"/>
  <c r="BK89" i="30"/>
  <c r="BK88" i="30"/>
  <c r="BK73" i="30"/>
  <c r="BK69" i="30"/>
  <c r="BK68" i="30"/>
  <c r="BK65" i="30"/>
  <c r="BK64" i="30"/>
  <c r="BK63" i="30"/>
  <c r="BK62" i="30"/>
  <c r="BK61" i="30"/>
  <c r="BK60" i="30"/>
  <c r="BK59" i="30"/>
  <c r="BK58" i="30"/>
  <c r="BK57" i="30"/>
  <c r="BK56" i="30"/>
  <c r="BK55" i="30"/>
  <c r="BK54" i="30"/>
  <c r="BK53" i="30"/>
  <c r="BK52" i="30"/>
  <c r="BK51" i="30"/>
  <c r="BK50" i="30"/>
  <c r="BK49" i="30"/>
  <c r="BK48" i="30"/>
  <c r="BK47" i="30"/>
  <c r="BK46" i="30"/>
  <c r="BK72" i="30"/>
  <c r="BK66" i="30"/>
  <c r="BK75" i="30"/>
  <c r="BK71" i="30"/>
  <c r="BK15" i="30"/>
  <c r="BK13" i="30"/>
  <c r="BK18" i="30"/>
  <c r="BK16" i="30"/>
  <c r="BK74" i="30"/>
  <c r="BK70" i="30"/>
  <c r="BK45" i="30"/>
  <c r="BK44" i="30"/>
  <c r="BK43" i="30"/>
  <c r="BK42" i="30"/>
  <c r="BK41" i="30"/>
  <c r="BK40" i="30"/>
  <c r="BK39" i="30"/>
  <c r="BK22" i="30"/>
  <c r="BK19" i="30"/>
  <c r="BK11" i="30"/>
  <c r="BK7" i="30"/>
  <c r="BJ36" i="30"/>
  <c r="BK36" i="30" s="1"/>
  <c r="BK10" i="30"/>
  <c r="BK5" i="30"/>
  <c r="BK4" i="30"/>
  <c r="BT4" i="30"/>
  <c r="BK38" i="30"/>
  <c r="BK12" i="30"/>
  <c r="BK6" i="30"/>
  <c r="S68" i="30"/>
  <c r="X68" i="30" s="1"/>
  <c r="AC69" i="30"/>
  <c r="X69" i="30"/>
  <c r="Z33" i="30"/>
  <c r="AZ22" i="30"/>
  <c r="CB138" i="30"/>
  <c r="CB134" i="30"/>
  <c r="CB130" i="30"/>
  <c r="CB131" i="30"/>
  <c r="CB128" i="30"/>
  <c r="CB129" i="30"/>
  <c r="CB125" i="30"/>
  <c r="CB133" i="30"/>
  <c r="CB132" i="30"/>
  <c r="CB126" i="30"/>
  <c r="CB122" i="30"/>
  <c r="CB121" i="30"/>
  <c r="CB120" i="30"/>
  <c r="CB119" i="30"/>
  <c r="CB118" i="30"/>
  <c r="CB127" i="30"/>
  <c r="CB117" i="30"/>
  <c r="CB116" i="30"/>
  <c r="CB102" i="30"/>
  <c r="CB101" i="30"/>
  <c r="CB100" i="30"/>
  <c r="CB99" i="30"/>
  <c r="CB98" i="30"/>
  <c r="CB106" i="30"/>
  <c r="CB105" i="30"/>
  <c r="CB104" i="30"/>
  <c r="CB123" i="30"/>
  <c r="CB97" i="30"/>
  <c r="CB96" i="30"/>
  <c r="CB95" i="30"/>
  <c r="CB94" i="30"/>
  <c r="CB93" i="30"/>
  <c r="CB110" i="30"/>
  <c r="CB111" i="30"/>
  <c r="CB91" i="30"/>
  <c r="CB90" i="30"/>
  <c r="CB89" i="30"/>
  <c r="CB88" i="30"/>
  <c r="CB81" i="30"/>
  <c r="CB80" i="30"/>
  <c r="CB79" i="30"/>
  <c r="CB78" i="30"/>
  <c r="CB77" i="30"/>
  <c r="CB76" i="30"/>
  <c r="CB75" i="30"/>
  <c r="CB74" i="30"/>
  <c r="CB73" i="30"/>
  <c r="CB72" i="30"/>
  <c r="CB71" i="30"/>
  <c r="CB70" i="30"/>
  <c r="CB83" i="30"/>
  <c r="CB87" i="30"/>
  <c r="CB86" i="30"/>
  <c r="CB85" i="30"/>
  <c r="CB84" i="30"/>
  <c r="CB66" i="30"/>
  <c r="CB69" i="30"/>
  <c r="CB63" i="30"/>
  <c r="CB59" i="30"/>
  <c r="CB58" i="30"/>
  <c r="CB57" i="30"/>
  <c r="CB56" i="30"/>
  <c r="CB55" i="30"/>
  <c r="CB54" i="30"/>
  <c r="CB53" i="30"/>
  <c r="CB52" i="30"/>
  <c r="CB51" i="30"/>
  <c r="CB47" i="30"/>
  <c r="CB18" i="30"/>
  <c r="CB16" i="30"/>
  <c r="CB10" i="30"/>
  <c r="CB68" i="30"/>
  <c r="CB64" i="30"/>
  <c r="CB60" i="30"/>
  <c r="CB48" i="30"/>
  <c r="CB45" i="30"/>
  <c r="CB44" i="30"/>
  <c r="CB43" i="30"/>
  <c r="CB42" i="30"/>
  <c r="CB41" i="30"/>
  <c r="CB40" i="30"/>
  <c r="CB39" i="30"/>
  <c r="CB22" i="30"/>
  <c r="CB19" i="30"/>
  <c r="CB65" i="30"/>
  <c r="CB61" i="30"/>
  <c r="CB49" i="30"/>
  <c r="CB38" i="30"/>
  <c r="CA36" i="30"/>
  <c r="CB62" i="30"/>
  <c r="CB12" i="30"/>
  <c r="CB5" i="30"/>
  <c r="CB4" i="30"/>
  <c r="CB13" i="30"/>
  <c r="CB11" i="30"/>
  <c r="CB6" i="30"/>
  <c r="CB50" i="30"/>
  <c r="CB46" i="30"/>
  <c r="CB15" i="30"/>
  <c r="CB7" i="30"/>
  <c r="CK4" i="30"/>
  <c r="BQ124" i="30"/>
  <c r="BR124" i="30" s="1"/>
  <c r="CD38" i="30"/>
  <c r="AN138" i="30"/>
  <c r="AN134" i="30"/>
  <c r="AN130" i="30"/>
  <c r="AN131" i="30"/>
  <c r="AN133" i="30"/>
  <c r="AN132" i="30"/>
  <c r="AN129" i="30"/>
  <c r="AN125" i="30"/>
  <c r="AN126" i="30"/>
  <c r="AN127" i="30"/>
  <c r="AN122" i="30"/>
  <c r="AN121" i="30"/>
  <c r="AN120" i="30"/>
  <c r="AN119" i="30"/>
  <c r="AN128" i="30"/>
  <c r="AN118" i="30"/>
  <c r="AN117" i="30"/>
  <c r="AN116" i="30"/>
  <c r="AN123" i="30"/>
  <c r="AN102" i="30"/>
  <c r="AN101" i="30"/>
  <c r="AN100" i="30"/>
  <c r="AN99" i="30"/>
  <c r="AN98" i="30"/>
  <c r="AN106" i="30"/>
  <c r="AN105" i="30"/>
  <c r="AN104" i="30"/>
  <c r="AN97" i="30"/>
  <c r="AN96" i="30"/>
  <c r="AN95" i="30"/>
  <c r="AN94" i="30"/>
  <c r="AN93" i="30"/>
  <c r="AN110" i="30"/>
  <c r="AN111" i="30"/>
  <c r="AN91" i="30"/>
  <c r="AN90" i="30"/>
  <c r="AN89" i="30"/>
  <c r="AN88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83" i="30"/>
  <c r="AN66" i="30"/>
  <c r="AN87" i="30"/>
  <c r="AN85" i="30"/>
  <c r="AN63" i="30"/>
  <c r="AN50" i="30"/>
  <c r="AN46" i="30"/>
  <c r="AN22" i="30"/>
  <c r="AN19" i="30"/>
  <c r="AN11" i="30"/>
  <c r="AN69" i="30"/>
  <c r="AN64" i="30"/>
  <c r="AN60" i="30"/>
  <c r="AN59" i="30"/>
  <c r="AN58" i="30"/>
  <c r="AN57" i="30"/>
  <c r="AN56" i="30"/>
  <c r="AN55" i="30"/>
  <c r="AN54" i="30"/>
  <c r="AN53" i="30"/>
  <c r="AN52" i="30"/>
  <c r="AN51" i="30"/>
  <c r="AN47" i="30"/>
  <c r="AN45" i="30"/>
  <c r="AN44" i="30"/>
  <c r="AN43" i="30"/>
  <c r="AN42" i="30"/>
  <c r="AN41" i="30"/>
  <c r="AN40" i="30"/>
  <c r="AN39" i="30"/>
  <c r="AM36" i="30"/>
  <c r="AN86" i="30"/>
  <c r="AN84" i="30"/>
  <c r="AN65" i="30"/>
  <c r="AN61" i="30"/>
  <c r="AN48" i="30"/>
  <c r="AN38" i="30"/>
  <c r="AN16" i="30"/>
  <c r="AN12" i="30"/>
  <c r="AN6" i="30"/>
  <c r="AN18" i="30"/>
  <c r="AN13" i="30"/>
  <c r="AN4" i="30"/>
  <c r="AN62" i="30"/>
  <c r="AN15" i="30"/>
  <c r="AN7" i="30"/>
  <c r="BF4" i="30"/>
  <c r="AN5" i="30"/>
  <c r="AN68" i="30"/>
  <c r="AN49" i="30"/>
  <c r="AN10" i="30"/>
  <c r="AM124" i="30"/>
  <c r="BF38" i="30"/>
  <c r="BG57" i="30"/>
  <c r="BN57" i="30" s="1"/>
  <c r="BU57" i="30" s="1"/>
  <c r="AW57" i="30"/>
  <c r="BB57" i="30" s="1"/>
  <c r="AV57" i="30"/>
  <c r="BG65" i="30"/>
  <c r="BN65" i="30" s="1"/>
  <c r="BU65" i="30" s="1"/>
  <c r="AW65" i="30"/>
  <c r="BB65" i="30" s="1"/>
  <c r="AV65" i="30"/>
  <c r="C206" i="31"/>
  <c r="BZ66" i="30"/>
  <c r="AW89" i="30"/>
  <c r="BB89" i="30" s="1"/>
  <c r="BG89" i="30"/>
  <c r="BN89" i="30" s="1"/>
  <c r="BU89" i="30" s="1"/>
  <c r="CE89" i="30" s="1"/>
  <c r="CL89" i="30" s="1"/>
  <c r="CS89" i="30" s="1"/>
  <c r="CX89" i="30" s="1"/>
  <c r="AV89" i="30"/>
  <c r="CX91" i="30"/>
  <c r="BF35" i="30"/>
  <c r="AN35" i="30"/>
  <c r="CA124" i="30"/>
  <c r="CK38" i="30"/>
  <c r="BG72" i="30"/>
  <c r="BN72" i="30" s="1"/>
  <c r="BU72" i="30" s="1"/>
  <c r="CE72" i="30" s="1"/>
  <c r="CL72" i="30" s="1"/>
  <c r="CS72" i="30" s="1"/>
  <c r="CX72" i="30" s="1"/>
  <c r="AW72" i="30"/>
  <c r="BB72" i="30" s="1"/>
  <c r="AV72" i="30"/>
  <c r="BZ97" i="30"/>
  <c r="BX116" i="30"/>
  <c r="AC117" i="30"/>
  <c r="X117" i="30"/>
  <c r="S116" i="30"/>
  <c r="X116" i="30" s="1"/>
  <c r="AC40" i="30"/>
  <c r="X40" i="30"/>
  <c r="S39" i="30"/>
  <c r="BX39" i="30"/>
  <c r="CE47" i="30"/>
  <c r="CL47" i="30" s="1"/>
  <c r="CS47" i="30" s="1"/>
  <c r="CX47" i="30" s="1"/>
  <c r="BZ47" i="30"/>
  <c r="M27" i="30"/>
  <c r="M26" i="30"/>
  <c r="L34" i="30"/>
  <c r="M34" i="30" s="1"/>
  <c r="F141" i="30"/>
  <c r="AU33" i="30"/>
  <c r="CV39" i="30"/>
  <c r="AW43" i="30"/>
  <c r="BB43" i="30" s="1"/>
  <c r="BG43" i="30"/>
  <c r="BN43" i="30" s="1"/>
  <c r="BU43" i="30" s="1"/>
  <c r="CE43" i="30" s="1"/>
  <c r="CL43" i="30" s="1"/>
  <c r="CS43" i="30" s="1"/>
  <c r="CX43" i="30" s="1"/>
  <c r="AV43" i="30"/>
  <c r="AZ33" i="30"/>
  <c r="E124" i="30"/>
  <c r="K38" i="30"/>
  <c r="CI138" i="30"/>
  <c r="CI134" i="30"/>
  <c r="CI130" i="30"/>
  <c r="CI131" i="30"/>
  <c r="CI129" i="30"/>
  <c r="CI125" i="30"/>
  <c r="CI126" i="30"/>
  <c r="CI123" i="30"/>
  <c r="CI127" i="30"/>
  <c r="CI133" i="30"/>
  <c r="CI128" i="30"/>
  <c r="CI132" i="30"/>
  <c r="CI122" i="30"/>
  <c r="CI118" i="30"/>
  <c r="CI121" i="30"/>
  <c r="CI120" i="30"/>
  <c r="CI117" i="30"/>
  <c r="CI116" i="30"/>
  <c r="CI111" i="30"/>
  <c r="CI110" i="30"/>
  <c r="CI101" i="30"/>
  <c r="CI119" i="30"/>
  <c r="CI100" i="30"/>
  <c r="CI97" i="30"/>
  <c r="CI96" i="30"/>
  <c r="CI95" i="30"/>
  <c r="CI94" i="30"/>
  <c r="CI93" i="30"/>
  <c r="CI106" i="30"/>
  <c r="CI105" i="30"/>
  <c r="CI104" i="30"/>
  <c r="CI99" i="30"/>
  <c r="CI87" i="30"/>
  <c r="CI86" i="30"/>
  <c r="CI85" i="30"/>
  <c r="CI84" i="30"/>
  <c r="CI83" i="30"/>
  <c r="CI98" i="30"/>
  <c r="CI81" i="30"/>
  <c r="CI80" i="30"/>
  <c r="CI79" i="30"/>
  <c r="CI78" i="30"/>
  <c r="CI77" i="30"/>
  <c r="CI76" i="30"/>
  <c r="CI90" i="30"/>
  <c r="CI89" i="30"/>
  <c r="CI88" i="30"/>
  <c r="CI102" i="30"/>
  <c r="CI75" i="30"/>
  <c r="CI71" i="30"/>
  <c r="CI69" i="30"/>
  <c r="CI68" i="30"/>
  <c r="CI66" i="30"/>
  <c r="CI65" i="30"/>
  <c r="CI64" i="30"/>
  <c r="CI63" i="30"/>
  <c r="CI62" i="30"/>
  <c r="CI61" i="30"/>
  <c r="CI60" i="30"/>
  <c r="CI59" i="30"/>
  <c r="CI58" i="30"/>
  <c r="CI57" i="30"/>
  <c r="CI56" i="30"/>
  <c r="CI55" i="30"/>
  <c r="CI54" i="30"/>
  <c r="CI53" i="30"/>
  <c r="CI52" i="30"/>
  <c r="CI51" i="30"/>
  <c r="CI50" i="30"/>
  <c r="CI49" i="30"/>
  <c r="CI48" i="30"/>
  <c r="CI47" i="30"/>
  <c r="CI46" i="30"/>
  <c r="CI74" i="30"/>
  <c r="CI70" i="30"/>
  <c r="CI73" i="30"/>
  <c r="CI91" i="30"/>
  <c r="CI22" i="30"/>
  <c r="CI19" i="30"/>
  <c r="CI11" i="30"/>
  <c r="CH36" i="30"/>
  <c r="CI72" i="30"/>
  <c r="CI45" i="30"/>
  <c r="CI44" i="30"/>
  <c r="CI43" i="30"/>
  <c r="CI42" i="30"/>
  <c r="CI41" i="30"/>
  <c r="CI40" i="30"/>
  <c r="CI39" i="30"/>
  <c r="CI38" i="30"/>
  <c r="CI12" i="30"/>
  <c r="CI10" i="30"/>
  <c r="CI6" i="30"/>
  <c r="CI5" i="30"/>
  <c r="CI7" i="30"/>
  <c r="CR4" i="30"/>
  <c r="CI16" i="30"/>
  <c r="CI15" i="30"/>
  <c r="CI18" i="30"/>
  <c r="CI13" i="30"/>
  <c r="CI4" i="30"/>
  <c r="BG54" i="30"/>
  <c r="BN54" i="30" s="1"/>
  <c r="BU54" i="30" s="1"/>
  <c r="AW54" i="30"/>
  <c r="BB54" i="30" s="1"/>
  <c r="AV54" i="30"/>
  <c r="BG62" i="30"/>
  <c r="BN62" i="30" s="1"/>
  <c r="BU62" i="30" s="1"/>
  <c r="AW62" i="30"/>
  <c r="BB62" i="30" s="1"/>
  <c r="AV62" i="30"/>
  <c r="AQ16" i="30"/>
  <c r="AJ15" i="30"/>
  <c r="CP36" i="30"/>
  <c r="BT33" i="30"/>
  <c r="BM33" i="30"/>
  <c r="CW26" i="30"/>
  <c r="CV34" i="30"/>
  <c r="CW34" i="30" s="1"/>
  <c r="CW27" i="30"/>
  <c r="AC19" i="30"/>
  <c r="X19" i="30"/>
  <c r="S18" i="30"/>
  <c r="X18" i="30" s="1"/>
  <c r="CK22" i="30"/>
  <c r="AW42" i="30"/>
  <c r="BB42" i="30" s="1"/>
  <c r="BG42" i="30"/>
  <c r="BN42" i="30" s="1"/>
  <c r="BU42" i="30" s="1"/>
  <c r="CE42" i="30" s="1"/>
  <c r="CL42" i="30" s="1"/>
  <c r="CS42" i="30" s="1"/>
  <c r="AV42" i="30"/>
  <c r="BD133" i="30"/>
  <c r="BD138" i="30"/>
  <c r="BD134" i="30"/>
  <c r="BD131" i="30"/>
  <c r="BD132" i="30"/>
  <c r="BD130" i="30"/>
  <c r="BD126" i="30"/>
  <c r="BD127" i="30"/>
  <c r="BD128" i="30"/>
  <c r="BD129" i="30"/>
  <c r="BD122" i="30"/>
  <c r="BD121" i="30"/>
  <c r="BD120" i="30"/>
  <c r="BD119" i="30"/>
  <c r="BD118" i="30"/>
  <c r="BD125" i="30"/>
  <c r="BD123" i="30"/>
  <c r="BD117" i="30"/>
  <c r="BD116" i="30"/>
  <c r="BD102" i="30"/>
  <c r="BD101" i="30"/>
  <c r="BD100" i="30"/>
  <c r="BD99" i="30"/>
  <c r="BD98" i="30"/>
  <c r="BD106" i="30"/>
  <c r="BD105" i="30"/>
  <c r="BD104" i="30"/>
  <c r="BD111" i="30"/>
  <c r="BD97" i="30"/>
  <c r="BD96" i="30"/>
  <c r="BD95" i="30"/>
  <c r="BD94" i="30"/>
  <c r="BD93" i="30"/>
  <c r="BD91" i="30"/>
  <c r="BD90" i="30"/>
  <c r="BD89" i="30"/>
  <c r="BD88" i="30"/>
  <c r="BD110" i="30"/>
  <c r="BD81" i="30"/>
  <c r="BD80" i="30"/>
  <c r="BD79" i="30"/>
  <c r="BD78" i="30"/>
  <c r="BD77" i="30"/>
  <c r="BD76" i="30"/>
  <c r="BD75" i="30"/>
  <c r="BD74" i="30"/>
  <c r="BD73" i="30"/>
  <c r="BD72" i="30"/>
  <c r="BD71" i="30"/>
  <c r="BD70" i="30"/>
  <c r="BD83" i="30"/>
  <c r="BD87" i="30"/>
  <c r="BD86" i="30"/>
  <c r="BD85" i="30"/>
  <c r="BD84" i="30"/>
  <c r="BD65" i="30"/>
  <c r="BD61" i="30"/>
  <c r="BD48" i="30"/>
  <c r="BC36" i="30"/>
  <c r="BD12" i="30"/>
  <c r="BD62" i="30"/>
  <c r="BD49" i="30"/>
  <c r="BD45" i="30"/>
  <c r="BD44" i="30"/>
  <c r="BD43" i="30"/>
  <c r="BD42" i="30"/>
  <c r="BD41" i="30"/>
  <c r="BD40" i="30"/>
  <c r="BD39" i="30"/>
  <c r="BD15" i="30"/>
  <c r="BD13" i="30"/>
  <c r="BD66" i="30"/>
  <c r="BD63" i="30"/>
  <c r="BD50" i="30"/>
  <c r="BD38" i="30"/>
  <c r="BD18" i="30"/>
  <c r="BD7" i="30"/>
  <c r="BM4" i="30"/>
  <c r="BD6" i="30"/>
  <c r="BD69" i="30"/>
  <c r="BD68" i="30"/>
  <c r="BD51" i="30"/>
  <c r="BD47" i="30"/>
  <c r="BD16" i="30"/>
  <c r="BD10" i="30"/>
  <c r="BD19" i="30"/>
  <c r="BD64" i="30"/>
  <c r="BD60" i="30"/>
  <c r="BD59" i="30"/>
  <c r="BD58" i="30"/>
  <c r="BD57" i="30"/>
  <c r="BD56" i="30"/>
  <c r="BD55" i="30"/>
  <c r="BD54" i="30"/>
  <c r="BD53" i="30"/>
  <c r="BD52" i="30"/>
  <c r="BD46" i="30"/>
  <c r="BD22" i="30"/>
  <c r="BD5" i="30"/>
  <c r="BD4" i="30"/>
  <c r="BD11" i="30"/>
  <c r="CV23" i="30"/>
  <c r="CK33" i="30"/>
  <c r="BJ124" i="30"/>
  <c r="BK124" i="30" s="1"/>
  <c r="BT38" i="30"/>
  <c r="BG75" i="30"/>
  <c r="BN75" i="30" s="1"/>
  <c r="BU75" i="30" s="1"/>
  <c r="CE75" i="30" s="1"/>
  <c r="CL75" i="30" s="1"/>
  <c r="CS75" i="30" s="1"/>
  <c r="CX75" i="30" s="1"/>
  <c r="AW75" i="30"/>
  <c r="BB75" i="30" s="1"/>
  <c r="AV75" i="30"/>
  <c r="BG48" i="30"/>
  <c r="BN48" i="30" s="1"/>
  <c r="BU48" i="30" s="1"/>
  <c r="AW48" i="30"/>
  <c r="BB48" i="30" s="1"/>
  <c r="AV48" i="30"/>
  <c r="BG56" i="30"/>
  <c r="BN56" i="30" s="1"/>
  <c r="BU56" i="30" s="1"/>
  <c r="AW56" i="30"/>
  <c r="BB56" i="30" s="1"/>
  <c r="AV56" i="30"/>
  <c r="BG64" i="30"/>
  <c r="BN64" i="30" s="1"/>
  <c r="BU64" i="30" s="1"/>
  <c r="AW64" i="30"/>
  <c r="BB64" i="30" s="1"/>
  <c r="AV64" i="30"/>
  <c r="BZ76" i="30"/>
  <c r="BG80" i="30"/>
  <c r="BN80" i="30" s="1"/>
  <c r="BU80" i="30" s="1"/>
  <c r="AW80" i="30"/>
  <c r="BB80" i="30" s="1"/>
  <c r="AV80" i="30"/>
  <c r="AW88" i="30"/>
  <c r="BB88" i="30" s="1"/>
  <c r="BG88" i="30"/>
  <c r="BN88" i="30" s="1"/>
  <c r="BU88" i="30" s="1"/>
  <c r="CE88" i="30" s="1"/>
  <c r="CL88" i="30" s="1"/>
  <c r="CS88" i="30" s="1"/>
  <c r="CX88" i="30" s="1"/>
  <c r="AV88" i="30"/>
  <c r="AJ126" i="30"/>
  <c r="AC125" i="30"/>
  <c r="W114" i="30"/>
  <c r="AC104" i="30"/>
  <c r="AJ105" i="30"/>
  <c r="CE133" i="30"/>
  <c r="CL133" i="30" s="1"/>
  <c r="CS133" i="30" s="1"/>
  <c r="CX133" i="30" s="1"/>
  <c r="BZ133" i="30"/>
  <c r="BX68" i="30"/>
  <c r="AJ94" i="30"/>
  <c r="AC93" i="30"/>
  <c r="BG85" i="30"/>
  <c r="BN85" i="30" s="1"/>
  <c r="BU85" i="30" s="1"/>
  <c r="AW85" i="30"/>
  <c r="BB85" i="30" s="1"/>
  <c r="AV85" i="30"/>
  <c r="CV116" i="30"/>
  <c r="BZ127" i="30"/>
  <c r="BX125" i="30"/>
  <c r="BG99" i="30"/>
  <c r="BN99" i="30" s="1"/>
  <c r="BU99" i="30" s="1"/>
  <c r="CE99" i="30" s="1"/>
  <c r="CL99" i="30" s="1"/>
  <c r="CS99" i="30" s="1"/>
  <c r="CX99" i="30" s="1"/>
  <c r="AW99" i="30"/>
  <c r="BB99" i="30" s="1"/>
  <c r="AV99" i="30"/>
  <c r="BZ119" i="30"/>
  <c r="AV8" i="30"/>
  <c r="BG8" i="30"/>
  <c r="BN8" i="30" s="1"/>
  <c r="BU8" i="30" s="1"/>
  <c r="AW8" i="30"/>
  <c r="BB8" i="30" s="1"/>
  <c r="AP22" i="30"/>
  <c r="AI22" i="30"/>
  <c r="BG101" i="30"/>
  <c r="BN101" i="30" s="1"/>
  <c r="BU101" i="30" s="1"/>
  <c r="CE101" i="30" s="1"/>
  <c r="CL101" i="30" s="1"/>
  <c r="CS101" i="30" s="1"/>
  <c r="CX101" i="30" s="1"/>
  <c r="AW101" i="30"/>
  <c r="BB101" i="30" s="1"/>
  <c r="AV101" i="30"/>
  <c r="CV29" i="30"/>
  <c r="BG59" i="30"/>
  <c r="BN59" i="30" s="1"/>
  <c r="BU59" i="30" s="1"/>
  <c r="AW59" i="30"/>
  <c r="BB59" i="30" s="1"/>
  <c r="AV59" i="30"/>
  <c r="BT34" i="30"/>
  <c r="AW44" i="30"/>
  <c r="BB44" i="30" s="1"/>
  <c r="BG44" i="30"/>
  <c r="BN44" i="30" s="1"/>
  <c r="BU44" i="30" s="1"/>
  <c r="CE44" i="30" s="1"/>
  <c r="CL44" i="30" s="1"/>
  <c r="CS44" i="30" s="1"/>
  <c r="CX44" i="30" s="1"/>
  <c r="AV44" i="30"/>
  <c r="BA138" i="30"/>
  <c r="BA134" i="30"/>
  <c r="BA133" i="30"/>
  <c r="BA132" i="30"/>
  <c r="BA127" i="30"/>
  <c r="BA131" i="30"/>
  <c r="BA128" i="30"/>
  <c r="BA130" i="30"/>
  <c r="BA129" i="30"/>
  <c r="BA126" i="30"/>
  <c r="BA125" i="30"/>
  <c r="BA120" i="30"/>
  <c r="BA117" i="30"/>
  <c r="BA116" i="30"/>
  <c r="BA119" i="30"/>
  <c r="BA123" i="30"/>
  <c r="BA122" i="30"/>
  <c r="BA118" i="30"/>
  <c r="BA121" i="30"/>
  <c r="BA106" i="30"/>
  <c r="BA105" i="30"/>
  <c r="BA104" i="30"/>
  <c r="BA111" i="30"/>
  <c r="BA110" i="30"/>
  <c r="BA99" i="30"/>
  <c r="BA102" i="30"/>
  <c r="BA98" i="30"/>
  <c r="BA91" i="30"/>
  <c r="BA90" i="30"/>
  <c r="BA89" i="30"/>
  <c r="BA88" i="30"/>
  <c r="BA101" i="30"/>
  <c r="BA97" i="30"/>
  <c r="BA96" i="30"/>
  <c r="BA95" i="30"/>
  <c r="BA94" i="30"/>
  <c r="BA93" i="30"/>
  <c r="BA100" i="30"/>
  <c r="BA87" i="30"/>
  <c r="BA86" i="30"/>
  <c r="BA85" i="30"/>
  <c r="BA84" i="30"/>
  <c r="BA83" i="30"/>
  <c r="BA78" i="30"/>
  <c r="BA73" i="30"/>
  <c r="BA81" i="30"/>
  <c r="BA72" i="30"/>
  <c r="BA66" i="30"/>
  <c r="BA80" i="30"/>
  <c r="BA75" i="30"/>
  <c r="BA71" i="30"/>
  <c r="BA69" i="30"/>
  <c r="BA68" i="30"/>
  <c r="BA65" i="30"/>
  <c r="BA64" i="30"/>
  <c r="BA63" i="30"/>
  <c r="BA62" i="30"/>
  <c r="BA61" i="30"/>
  <c r="BA60" i="30"/>
  <c r="BA59" i="30"/>
  <c r="BA58" i="30"/>
  <c r="BA57" i="30"/>
  <c r="BA56" i="30"/>
  <c r="BA55" i="30"/>
  <c r="BA54" i="30"/>
  <c r="BA53" i="30"/>
  <c r="BA52" i="30"/>
  <c r="BA77" i="30"/>
  <c r="BA50" i="30"/>
  <c r="BA45" i="30"/>
  <c r="BA44" i="30"/>
  <c r="BA43" i="30"/>
  <c r="BA42" i="30"/>
  <c r="BA41" i="30"/>
  <c r="BA40" i="30"/>
  <c r="BA39" i="30"/>
  <c r="BA15" i="30"/>
  <c r="BA13" i="30"/>
  <c r="BA51" i="30"/>
  <c r="BA47" i="30"/>
  <c r="BA18" i="30"/>
  <c r="BA16" i="30"/>
  <c r="BA79" i="30"/>
  <c r="BA74" i="30"/>
  <c r="BA70" i="30"/>
  <c r="BA48" i="30"/>
  <c r="BA46" i="30"/>
  <c r="BA22" i="30"/>
  <c r="BA19" i="30"/>
  <c r="BA49" i="30"/>
  <c r="AZ36" i="30"/>
  <c r="BA36" i="30" s="1"/>
  <c r="BA7" i="30"/>
  <c r="BA12" i="30"/>
  <c r="BA5" i="30"/>
  <c r="BA4" i="30"/>
  <c r="BA10" i="30"/>
  <c r="BA76" i="30"/>
  <c r="BA11" i="30"/>
  <c r="BA6" i="30"/>
  <c r="BA23" i="30"/>
  <c r="BR34" i="30"/>
  <c r="AU22" i="30"/>
  <c r="AT36" i="30"/>
  <c r="H124" i="30"/>
  <c r="R38" i="30"/>
  <c r="I38" i="30"/>
  <c r="Y124" i="30"/>
  <c r="Z124" i="30" s="1"/>
  <c r="AI38" i="30"/>
  <c r="W141" i="30"/>
  <c r="CX42" i="30"/>
  <c r="CV4" i="30"/>
  <c r="AD30" i="30"/>
  <c r="C36" i="30"/>
  <c r="AB33" i="30"/>
  <c r="R33" i="30"/>
  <c r="BK33" i="30"/>
  <c r="S22" i="30"/>
  <c r="X22" i="30" s="1"/>
  <c r="X23" i="30"/>
  <c r="AW41" i="30"/>
  <c r="BB41" i="30" s="1"/>
  <c r="BG41" i="30"/>
  <c r="BN41" i="30" s="1"/>
  <c r="BU41" i="30" s="1"/>
  <c r="CE41" i="30" s="1"/>
  <c r="CL41" i="30" s="1"/>
  <c r="CS41" i="30" s="1"/>
  <c r="CX41" i="30" s="1"/>
  <c r="AV41" i="30"/>
  <c r="O124" i="30"/>
  <c r="P124" i="30" s="1"/>
  <c r="AB38" i="30"/>
  <c r="AC6" i="30"/>
  <c r="X6" i="30"/>
  <c r="S5" i="30"/>
  <c r="BG55" i="30"/>
  <c r="BN55" i="30" s="1"/>
  <c r="BU55" i="30" s="1"/>
  <c r="AW55" i="30"/>
  <c r="BB55" i="30" s="1"/>
  <c r="AV55" i="30"/>
  <c r="BG63" i="30"/>
  <c r="BN63" i="30" s="1"/>
  <c r="BU63" i="30" s="1"/>
  <c r="AW63" i="30"/>
  <c r="BB63" i="30" s="1"/>
  <c r="AV63" i="30"/>
  <c r="Z138" i="30"/>
  <c r="Z134" i="30"/>
  <c r="Z132" i="30"/>
  <c r="Z133" i="30"/>
  <c r="Z127" i="30"/>
  <c r="Z131" i="30"/>
  <c r="Z128" i="30"/>
  <c r="Z129" i="30"/>
  <c r="Z126" i="30"/>
  <c r="Z125" i="30"/>
  <c r="Z130" i="30"/>
  <c r="Z121" i="30"/>
  <c r="Z120" i="30"/>
  <c r="Z119" i="30"/>
  <c r="Z122" i="30"/>
  <c r="Z117" i="30"/>
  <c r="Z106" i="30"/>
  <c r="Z105" i="30"/>
  <c r="Z104" i="30"/>
  <c r="Z123" i="30"/>
  <c r="Z118" i="30"/>
  <c r="Z116" i="30"/>
  <c r="Z111" i="30"/>
  <c r="Z110" i="30"/>
  <c r="Z100" i="30"/>
  <c r="Z99" i="30"/>
  <c r="Z102" i="30"/>
  <c r="Z98" i="30"/>
  <c r="Z97" i="30"/>
  <c r="Z96" i="30"/>
  <c r="Z95" i="30"/>
  <c r="Z94" i="30"/>
  <c r="Z93" i="30"/>
  <c r="Z101" i="30"/>
  <c r="Z87" i="30"/>
  <c r="Z86" i="30"/>
  <c r="Z85" i="30"/>
  <c r="Z84" i="30"/>
  <c r="Z83" i="30"/>
  <c r="Z81" i="30"/>
  <c r="Z80" i="30"/>
  <c r="Z79" i="30"/>
  <c r="Z78" i="30"/>
  <c r="Z91" i="30"/>
  <c r="Z90" i="30"/>
  <c r="Z89" i="30"/>
  <c r="Z88" i="30"/>
  <c r="Z74" i="30"/>
  <c r="Z73" i="30"/>
  <c r="Z70" i="30"/>
  <c r="Z69" i="30"/>
  <c r="Z68" i="30"/>
  <c r="Z65" i="30"/>
  <c r="Z64" i="30"/>
  <c r="Z63" i="30"/>
  <c r="Z62" i="30"/>
  <c r="Z61" i="30"/>
  <c r="Z60" i="30"/>
  <c r="Z59" i="30"/>
  <c r="Z58" i="30"/>
  <c r="Z57" i="30"/>
  <c r="Z56" i="30"/>
  <c r="Z55" i="30"/>
  <c r="Z54" i="30"/>
  <c r="Z53" i="30"/>
  <c r="Z52" i="30"/>
  <c r="Z51" i="30"/>
  <c r="Z50" i="30"/>
  <c r="Z49" i="30"/>
  <c r="Z48" i="30"/>
  <c r="Z47" i="30"/>
  <c r="Z77" i="30"/>
  <c r="Z76" i="30"/>
  <c r="Z72" i="30"/>
  <c r="Z66" i="30"/>
  <c r="Z75" i="30"/>
  <c r="Z71" i="30"/>
  <c r="Z38" i="30"/>
  <c r="Z15" i="30"/>
  <c r="Z13" i="30"/>
  <c r="Z18" i="30"/>
  <c r="Z16" i="30"/>
  <c r="Z22" i="30"/>
  <c r="Z19" i="30"/>
  <c r="Z45" i="30"/>
  <c r="Z41" i="30"/>
  <c r="Y36" i="30"/>
  <c r="Z36" i="30" s="1"/>
  <c r="Z12" i="30"/>
  <c r="Z44" i="30"/>
  <c r="Z40" i="30"/>
  <c r="Z5" i="30"/>
  <c r="Z4" i="30"/>
  <c r="Z46" i="30"/>
  <c r="Z43" i="30"/>
  <c r="Z39" i="30"/>
  <c r="Z11" i="30"/>
  <c r="Z10" i="30"/>
  <c r="Z6" i="30"/>
  <c r="Z42" i="30"/>
  <c r="Z7" i="30"/>
  <c r="AI4" i="30"/>
  <c r="BM34" i="30"/>
  <c r="BY24" i="30"/>
  <c r="BY8" i="30"/>
  <c r="BZ13" i="30"/>
  <c r="BX10" i="30"/>
  <c r="AF124" i="30"/>
  <c r="AG124" i="30" s="1"/>
  <c r="AP38" i="30"/>
  <c r="AV12" i="30"/>
  <c r="BG12" i="30"/>
  <c r="BN12" i="30" s="1"/>
  <c r="BU12" i="30" s="1"/>
  <c r="AW12" i="30"/>
  <c r="BB12" i="30" s="1"/>
  <c r="CX76" i="30"/>
  <c r="BC124" i="30"/>
  <c r="BD124" i="30" s="1"/>
  <c r="BM38" i="30"/>
  <c r="BG53" i="30"/>
  <c r="BN53" i="30" s="1"/>
  <c r="BU53" i="30" s="1"/>
  <c r="AW53" i="30"/>
  <c r="BB53" i="30" s="1"/>
  <c r="AV53" i="30"/>
  <c r="BG61" i="30"/>
  <c r="BN61" i="30" s="1"/>
  <c r="BU61" i="30" s="1"/>
  <c r="AW61" i="30"/>
  <c r="BB61" i="30" s="1"/>
  <c r="AV61" i="30"/>
  <c r="AW90" i="30"/>
  <c r="BB90" i="30" s="1"/>
  <c r="BG90" i="30"/>
  <c r="BN90" i="30" s="1"/>
  <c r="BU90" i="30" s="1"/>
  <c r="CE90" i="30" s="1"/>
  <c r="CL90" i="30" s="1"/>
  <c r="CS90" i="30" s="1"/>
  <c r="CX90" i="30" s="1"/>
  <c r="AV90" i="30"/>
  <c r="V112" i="30"/>
  <c r="W109" i="30"/>
  <c r="CX77" i="30"/>
  <c r="BZ74" i="30"/>
  <c r="BU110" i="30"/>
  <c r="BG129" i="30"/>
  <c r="BN129" i="30" s="1"/>
  <c r="BU129" i="30" s="1"/>
  <c r="AW129" i="30"/>
  <c r="BB129" i="30" s="1"/>
  <c r="AV129" i="30"/>
  <c r="BZ106" i="30"/>
  <c r="BZ102" i="30"/>
  <c r="BG138" i="30"/>
  <c r="BN138" i="30" s="1"/>
  <c r="BU138" i="30" s="1"/>
  <c r="AV138" i="30"/>
  <c r="CX127" i="30"/>
  <c r="CV125" i="30"/>
  <c r="CX119" i="30"/>
  <c r="BY30" i="30"/>
  <c r="AB34" i="30"/>
  <c r="R34" i="30"/>
  <c r="AJ27" i="30"/>
  <c r="AC26" i="30"/>
  <c r="E114" i="30"/>
  <c r="E113" i="30"/>
  <c r="E109" i="30"/>
  <c r="F36" i="30"/>
  <c r="P34" i="30"/>
  <c r="N118" i="30"/>
  <c r="N55" i="30"/>
  <c r="N44" i="30"/>
  <c r="BG49" i="30"/>
  <c r="BN49" i="30" s="1"/>
  <c r="BU49" i="30" s="1"/>
  <c r="AW49" i="30"/>
  <c r="BB49" i="30" s="1"/>
  <c r="AV49" i="30"/>
  <c r="BG7" i="30"/>
  <c r="BN7" i="30" s="1"/>
  <c r="BU7" i="30" s="1"/>
  <c r="AW7" i="30"/>
  <c r="BB7" i="30" s="1"/>
  <c r="AV7" i="30"/>
  <c r="AZ38" i="30"/>
  <c r="BA38" i="30" s="1"/>
  <c r="AW45" i="30"/>
  <c r="BB45" i="30" s="1"/>
  <c r="BG45" i="30"/>
  <c r="BN45" i="30" s="1"/>
  <c r="BU45" i="30" s="1"/>
  <c r="CE45" i="30" s="1"/>
  <c r="CL45" i="30" s="1"/>
  <c r="CS45" i="30" s="1"/>
  <c r="CX45" i="30" s="1"/>
  <c r="AV45" i="30"/>
  <c r="AU35" i="30"/>
  <c r="CK34" i="30"/>
  <c r="CB34" i="30"/>
  <c r="AT124" i="30"/>
  <c r="AU38" i="30"/>
  <c r="BG58" i="30"/>
  <c r="BN58" i="30" s="1"/>
  <c r="BU58" i="30" s="1"/>
  <c r="AW58" i="30"/>
  <c r="BB58" i="30" s="1"/>
  <c r="AV58" i="30"/>
  <c r="CV33" i="30"/>
  <c r="C141" i="30"/>
  <c r="C142" i="30"/>
  <c r="AZ35" i="30"/>
  <c r="P138" i="30"/>
  <c r="P133" i="30"/>
  <c r="P128" i="30"/>
  <c r="P134" i="30"/>
  <c r="P131" i="30"/>
  <c r="P129" i="30"/>
  <c r="P130" i="30"/>
  <c r="P127" i="30"/>
  <c r="P126" i="30"/>
  <c r="P125" i="30"/>
  <c r="P132" i="30"/>
  <c r="P123" i="30"/>
  <c r="P120" i="30"/>
  <c r="P118" i="30"/>
  <c r="P117" i="30"/>
  <c r="P119" i="30"/>
  <c r="P116" i="30"/>
  <c r="P122" i="30"/>
  <c r="P121" i="30"/>
  <c r="P106" i="30"/>
  <c r="P105" i="30"/>
  <c r="P111" i="30"/>
  <c r="P110" i="30"/>
  <c r="P104" i="30"/>
  <c r="P99" i="30"/>
  <c r="P93" i="30"/>
  <c r="P102" i="30"/>
  <c r="P98" i="30"/>
  <c r="P91" i="30"/>
  <c r="P90" i="30"/>
  <c r="P89" i="30"/>
  <c r="P88" i="30"/>
  <c r="P101" i="30"/>
  <c r="P97" i="30"/>
  <c r="P96" i="30"/>
  <c r="P95" i="30"/>
  <c r="P94" i="30"/>
  <c r="P100" i="30"/>
  <c r="P87" i="30"/>
  <c r="P86" i="30"/>
  <c r="P85" i="30"/>
  <c r="P84" i="30"/>
  <c r="P79" i="30"/>
  <c r="P73" i="30"/>
  <c r="P83" i="30"/>
  <c r="P78" i="30"/>
  <c r="P72" i="30"/>
  <c r="P81" i="30"/>
  <c r="P75" i="30"/>
  <c r="P71" i="30"/>
  <c r="P70" i="30"/>
  <c r="P69" i="30"/>
  <c r="P66" i="30"/>
  <c r="P65" i="30"/>
  <c r="P64" i="30"/>
  <c r="P63" i="30"/>
  <c r="P62" i="30"/>
  <c r="P61" i="30"/>
  <c r="P60" i="30"/>
  <c r="P59" i="30"/>
  <c r="P58" i="30"/>
  <c r="P57" i="30"/>
  <c r="P56" i="30"/>
  <c r="P55" i="30"/>
  <c r="P54" i="30"/>
  <c r="P53" i="30"/>
  <c r="P52" i="30"/>
  <c r="P80" i="30"/>
  <c r="P77" i="30"/>
  <c r="P74" i="30"/>
  <c r="P50" i="30"/>
  <c r="P45" i="30"/>
  <c r="P44" i="30"/>
  <c r="P43" i="30"/>
  <c r="P42" i="30"/>
  <c r="P41" i="30"/>
  <c r="P40" i="30"/>
  <c r="P16" i="30"/>
  <c r="P15" i="30"/>
  <c r="P51" i="30"/>
  <c r="P47" i="30"/>
  <c r="P39" i="30"/>
  <c r="P19" i="30"/>
  <c r="P18" i="30"/>
  <c r="P68" i="30"/>
  <c r="P48" i="30"/>
  <c r="P46" i="30"/>
  <c r="P38" i="30"/>
  <c r="P22" i="30"/>
  <c r="P76" i="30"/>
  <c r="P49" i="30"/>
  <c r="AB4" i="30"/>
  <c r="P10" i="30"/>
  <c r="P6" i="30"/>
  <c r="P5" i="30"/>
  <c r="P4" i="30"/>
  <c r="P13" i="30"/>
  <c r="P11" i="30"/>
  <c r="O36" i="30"/>
  <c r="P36" i="30" s="1"/>
  <c r="P12" i="30"/>
  <c r="P7" i="30"/>
  <c r="R4" i="30"/>
  <c r="P33" i="30"/>
  <c r="CW30" i="30"/>
  <c r="CV35" i="30"/>
  <c r="CW29" i="30"/>
  <c r="AC23" i="30"/>
  <c r="AJ24" i="30"/>
  <c r="BR138" i="30"/>
  <c r="BR134" i="30"/>
  <c r="BR133" i="30"/>
  <c r="BR130" i="30"/>
  <c r="BR131" i="30"/>
  <c r="BR128" i="30"/>
  <c r="BR129" i="30"/>
  <c r="BR125" i="30"/>
  <c r="BR126" i="30"/>
  <c r="BR127" i="30"/>
  <c r="BR132" i="30"/>
  <c r="BR119" i="30"/>
  <c r="BR122" i="30"/>
  <c r="BR118" i="30"/>
  <c r="BR123" i="30"/>
  <c r="BR121" i="30"/>
  <c r="BR106" i="30"/>
  <c r="BR105" i="30"/>
  <c r="BR104" i="30"/>
  <c r="BR117" i="30"/>
  <c r="BR111" i="30"/>
  <c r="BR110" i="30"/>
  <c r="BR116" i="30"/>
  <c r="BR102" i="30"/>
  <c r="BR98" i="30"/>
  <c r="BR91" i="30"/>
  <c r="BR120" i="30"/>
  <c r="BR101" i="30"/>
  <c r="BR100" i="30"/>
  <c r="BR97" i="30"/>
  <c r="BR96" i="30"/>
  <c r="BR95" i="30"/>
  <c r="BR94" i="30"/>
  <c r="BR93" i="30"/>
  <c r="BR99" i="30"/>
  <c r="BR87" i="30"/>
  <c r="BR86" i="30"/>
  <c r="BR85" i="30"/>
  <c r="BR84" i="30"/>
  <c r="BR83" i="30"/>
  <c r="BR81" i="30"/>
  <c r="BR80" i="30"/>
  <c r="BR79" i="30"/>
  <c r="BR78" i="30"/>
  <c r="BR72" i="30"/>
  <c r="BR77" i="30"/>
  <c r="BR76" i="30"/>
  <c r="BR75" i="30"/>
  <c r="BR71" i="30"/>
  <c r="BR69" i="30"/>
  <c r="BR68" i="30"/>
  <c r="BR65" i="30"/>
  <c r="BR64" i="30"/>
  <c r="BR63" i="30"/>
  <c r="BR62" i="30"/>
  <c r="BR61" i="30"/>
  <c r="BR60" i="30"/>
  <c r="BR59" i="30"/>
  <c r="BR58" i="30"/>
  <c r="BR57" i="30"/>
  <c r="BR56" i="30"/>
  <c r="BR55" i="30"/>
  <c r="BR54" i="30"/>
  <c r="BR53" i="30"/>
  <c r="BR52" i="30"/>
  <c r="BR51" i="30"/>
  <c r="BR50" i="30"/>
  <c r="BR49" i="30"/>
  <c r="BR48" i="30"/>
  <c r="BR47" i="30"/>
  <c r="BR46" i="30"/>
  <c r="BR90" i="30"/>
  <c r="BR89" i="30"/>
  <c r="BR88" i="30"/>
  <c r="BR74" i="30"/>
  <c r="BR70" i="30"/>
  <c r="BR73" i="30"/>
  <c r="BR38" i="30"/>
  <c r="BR18" i="30"/>
  <c r="BR16" i="30"/>
  <c r="BR10" i="30"/>
  <c r="BR22" i="30"/>
  <c r="BR19" i="30"/>
  <c r="BR66" i="30"/>
  <c r="BQ36" i="30"/>
  <c r="BR36" i="30" s="1"/>
  <c r="BR45" i="30"/>
  <c r="BR41" i="30"/>
  <c r="BR5" i="30"/>
  <c r="BR4" i="30"/>
  <c r="BR44" i="30"/>
  <c r="BR40" i="30"/>
  <c r="BR39" i="30"/>
  <c r="BR6" i="30"/>
  <c r="BR42" i="30"/>
  <c r="BR11" i="30"/>
  <c r="CD4" i="30"/>
  <c r="BR43" i="30"/>
  <c r="BR15" i="30"/>
  <c r="BR13" i="30"/>
  <c r="BR12" i="30"/>
  <c r="BR7" i="30"/>
  <c r="BR33" i="30"/>
  <c r="M24" i="30"/>
  <c r="M23" i="30"/>
  <c r="L33" i="30"/>
  <c r="M33" i="30" s="1"/>
  <c r="L4" i="30"/>
  <c r="M8" i="30"/>
  <c r="CH124" i="30"/>
  <c r="CI124" i="30" s="1"/>
  <c r="CR38" i="30"/>
  <c r="BG71" i="30"/>
  <c r="BN71" i="30" s="1"/>
  <c r="BU71" i="30" s="1"/>
  <c r="CE71" i="30" s="1"/>
  <c r="CL71" i="30" s="1"/>
  <c r="CS71" i="30" s="1"/>
  <c r="CX71" i="30" s="1"/>
  <c r="AW71" i="30"/>
  <c r="BB71" i="30" s="1"/>
  <c r="AV71" i="30"/>
  <c r="BX29" i="30"/>
  <c r="BX35" i="30" s="1"/>
  <c r="V140" i="30"/>
  <c r="W124" i="30"/>
  <c r="W142" i="30" s="1"/>
  <c r="BD34" i="30"/>
  <c r="BX23" i="30"/>
  <c r="BX33" i="30" s="1"/>
  <c r="CQ124" i="30"/>
  <c r="CQ123" i="30"/>
  <c r="CQ122" i="30"/>
  <c r="CQ120" i="30"/>
  <c r="CQ119" i="30"/>
  <c r="CQ118" i="30"/>
  <c r="CQ117" i="30"/>
  <c r="CQ116" i="30"/>
  <c r="CQ111" i="30"/>
  <c r="CQ110" i="30"/>
  <c r="CQ121" i="30"/>
  <c r="CQ99" i="30"/>
  <c r="CQ102" i="30"/>
  <c r="CQ98" i="30"/>
  <c r="CQ97" i="30"/>
  <c r="CQ96" i="30"/>
  <c r="CQ95" i="30"/>
  <c r="CQ94" i="30"/>
  <c r="CQ93" i="30"/>
  <c r="CQ101" i="30"/>
  <c r="CQ91" i="30"/>
  <c r="CQ87" i="30"/>
  <c r="CQ86" i="30"/>
  <c r="CQ85" i="30"/>
  <c r="CQ84" i="30"/>
  <c r="CQ83" i="30"/>
  <c r="CQ105" i="30"/>
  <c r="CQ90" i="30"/>
  <c r="CQ89" i="30"/>
  <c r="CQ88" i="30"/>
  <c r="CQ81" i="30"/>
  <c r="CQ80" i="30"/>
  <c r="CQ79" i="30"/>
  <c r="CQ78" i="30"/>
  <c r="CQ77" i="30"/>
  <c r="CQ76" i="30"/>
  <c r="CQ75" i="30"/>
  <c r="CQ100" i="30"/>
  <c r="CQ73" i="30"/>
  <c r="CQ69" i="30"/>
  <c r="CQ68" i="30"/>
  <c r="CQ65" i="30"/>
  <c r="CQ64" i="30"/>
  <c r="CQ63" i="30"/>
  <c r="CQ62" i="30"/>
  <c r="CQ61" i="30"/>
  <c r="CQ60" i="30"/>
  <c r="CQ59" i="30"/>
  <c r="CQ58" i="30"/>
  <c r="CQ57" i="30"/>
  <c r="CQ56" i="30"/>
  <c r="CQ55" i="30"/>
  <c r="CQ54" i="30"/>
  <c r="CQ53" i="30"/>
  <c r="CQ52" i="30"/>
  <c r="CQ51" i="30"/>
  <c r="CQ50" i="30"/>
  <c r="CQ49" i="30"/>
  <c r="CQ48" i="30"/>
  <c r="CQ47" i="30"/>
  <c r="CQ46" i="30"/>
  <c r="CQ45" i="30"/>
  <c r="CQ106" i="30"/>
  <c r="CQ72" i="30"/>
  <c r="CQ66" i="30"/>
  <c r="CQ104" i="30"/>
  <c r="CQ71" i="30"/>
  <c r="CQ74" i="30"/>
  <c r="CQ70" i="30"/>
  <c r="CQ44" i="30"/>
  <c r="CQ43" i="30"/>
  <c r="CQ42" i="30"/>
  <c r="CQ41" i="30"/>
  <c r="CQ40" i="30"/>
  <c r="CQ39" i="30"/>
  <c r="CQ38" i="30"/>
  <c r="AC11" i="30"/>
  <c r="X11" i="30"/>
  <c r="S10" i="30"/>
  <c r="CX13" i="30"/>
  <c r="CE50" i="30"/>
  <c r="CL50" i="30" s="1"/>
  <c r="CS50" i="30" s="1"/>
  <c r="CX50" i="30" s="1"/>
  <c r="BZ50" i="30"/>
  <c r="H113" i="30"/>
  <c r="BZ46" i="30"/>
  <c r="BG52" i="30"/>
  <c r="BN52" i="30" s="1"/>
  <c r="BU52" i="30" s="1"/>
  <c r="AW52" i="30"/>
  <c r="BB52" i="30" s="1"/>
  <c r="AV52" i="30"/>
  <c r="BG60" i="30"/>
  <c r="BN60" i="30" s="1"/>
  <c r="BU60" i="30" s="1"/>
  <c r="AW60" i="30"/>
  <c r="BB60" i="30" s="1"/>
  <c r="AV60" i="30"/>
  <c r="BG70" i="30"/>
  <c r="BN70" i="30" s="1"/>
  <c r="BU70" i="30" s="1"/>
  <c r="CE70" i="30" s="1"/>
  <c r="CL70" i="30" s="1"/>
  <c r="CS70" i="30" s="1"/>
  <c r="CX70" i="30" s="1"/>
  <c r="AW70" i="30"/>
  <c r="BB70" i="30" s="1"/>
  <c r="AV70" i="30"/>
  <c r="S83" i="30"/>
  <c r="X83" i="30" s="1"/>
  <c r="AC84" i="30"/>
  <c r="X84" i="30"/>
  <c r="BG87" i="30"/>
  <c r="BN87" i="30" s="1"/>
  <c r="BU87" i="30" s="1"/>
  <c r="AW87" i="30"/>
  <c r="BB87" i="30" s="1"/>
  <c r="AV87" i="30"/>
  <c r="CV83" i="30"/>
  <c r="BG118" i="30"/>
  <c r="BN118" i="30" s="1"/>
  <c r="BU118" i="30" s="1"/>
  <c r="CE118" i="30" s="1"/>
  <c r="CL118" i="30" s="1"/>
  <c r="CS118" i="30" s="1"/>
  <c r="CX118" i="30" s="1"/>
  <c r="AW118" i="30"/>
  <c r="BB118" i="30" s="1"/>
  <c r="AV118" i="30"/>
  <c r="BG123" i="30"/>
  <c r="BN123" i="30" s="1"/>
  <c r="BU123" i="30" s="1"/>
  <c r="AW123" i="30"/>
  <c r="BB123" i="30" s="1"/>
  <c r="AV123" i="30"/>
  <c r="CX132" i="30"/>
  <c r="W113" i="30"/>
  <c r="BG73" i="30"/>
  <c r="BN73" i="30" s="1"/>
  <c r="BU73" i="30" s="1"/>
  <c r="CE73" i="30" s="1"/>
  <c r="CL73" i="30" s="1"/>
  <c r="CS73" i="30" s="1"/>
  <c r="CX73" i="30" s="1"/>
  <c r="AW73" i="30"/>
  <c r="BB73" i="30" s="1"/>
  <c r="AV73" i="30"/>
  <c r="CX74" i="30"/>
  <c r="BZ91" i="30"/>
  <c r="BZ96" i="30"/>
  <c r="AW120" i="30"/>
  <c r="BB120" i="30" s="1"/>
  <c r="BG120" i="30"/>
  <c r="BN120" i="30" s="1"/>
  <c r="BU120" i="30" s="1"/>
  <c r="CE120" i="30" s="1"/>
  <c r="CL120" i="30" s="1"/>
  <c r="CS120" i="30" s="1"/>
  <c r="CX120" i="30" s="1"/>
  <c r="AV120" i="30"/>
  <c r="BG122" i="30"/>
  <c r="BN122" i="30" s="1"/>
  <c r="BU122" i="30" s="1"/>
  <c r="CE122" i="30" s="1"/>
  <c r="CL122" i="30" s="1"/>
  <c r="CS122" i="30" s="1"/>
  <c r="CX122" i="30" s="1"/>
  <c r="AW122" i="30"/>
  <c r="BB122" i="30" s="1"/>
  <c r="AV122" i="30"/>
  <c r="BZ51" i="30"/>
  <c r="BG86" i="30"/>
  <c r="BN86" i="30" s="1"/>
  <c r="BU86" i="30" s="1"/>
  <c r="AW86" i="30"/>
  <c r="BB86" i="30" s="1"/>
  <c r="AV86" i="30"/>
  <c r="CX98" i="30"/>
  <c r="CV93" i="30"/>
  <c r="AJ30" i="30"/>
  <c r="AC29" i="30"/>
  <c r="AD29" i="30" s="1"/>
  <c r="BG81" i="30"/>
  <c r="BN81" i="30" s="1"/>
  <c r="BU81" i="30" s="1"/>
  <c r="AW81" i="30"/>
  <c r="BB81" i="30" s="1"/>
  <c r="AV81" i="30"/>
  <c r="CX102" i="30"/>
  <c r="CE131" i="30"/>
  <c r="CL131" i="30" s="1"/>
  <c r="CS131" i="30" s="1"/>
  <c r="CX131" i="30" s="1"/>
  <c r="BZ131" i="30"/>
  <c r="BX93" i="30"/>
  <c r="N90" i="30" l="1"/>
  <c r="BZ43" i="30"/>
  <c r="N93" i="30"/>
  <c r="K36" i="30"/>
  <c r="H109" i="30"/>
  <c r="I141" i="30"/>
  <c r="H114" i="30"/>
  <c r="I114" i="30" s="1"/>
  <c r="T35" i="30"/>
  <c r="X35" i="30"/>
  <c r="BZ101" i="30"/>
  <c r="N73" i="30"/>
  <c r="N77" i="30"/>
  <c r="N95" i="30"/>
  <c r="N47" i="30"/>
  <c r="N63" i="30"/>
  <c r="N81" i="30"/>
  <c r="N101" i="30"/>
  <c r="N59" i="30"/>
  <c r="N123" i="30"/>
  <c r="N40" i="30"/>
  <c r="N51" i="30"/>
  <c r="N70" i="30"/>
  <c r="N86" i="30"/>
  <c r="N110" i="30"/>
  <c r="BZ72" i="30"/>
  <c r="BZ134" i="30"/>
  <c r="O205" i="31"/>
  <c r="N206" i="31"/>
  <c r="CO138" i="30"/>
  <c r="BZ42" i="30"/>
  <c r="N41" i="30"/>
  <c r="N45" i="30"/>
  <c r="N68" i="30"/>
  <c r="N48" i="30"/>
  <c r="N52" i="30"/>
  <c r="N56" i="30"/>
  <c r="N60" i="30"/>
  <c r="N64" i="30"/>
  <c r="N71" i="30"/>
  <c r="N91" i="30"/>
  <c r="N78" i="30"/>
  <c r="N83" i="30"/>
  <c r="N87" i="30"/>
  <c r="N99" i="30"/>
  <c r="N96" i="30"/>
  <c r="N105" i="30"/>
  <c r="N111" i="30"/>
  <c r="N120" i="30"/>
  <c r="N124" i="30"/>
  <c r="N72" i="30"/>
  <c r="N42" i="30"/>
  <c r="N66" i="30"/>
  <c r="N74" i="30"/>
  <c r="N49" i="30"/>
  <c r="N53" i="30"/>
  <c r="N57" i="30"/>
  <c r="N61" i="30"/>
  <c r="N65" i="30"/>
  <c r="N75" i="30"/>
  <c r="N98" i="30"/>
  <c r="N79" i="30"/>
  <c r="N84" i="30"/>
  <c r="N88" i="30"/>
  <c r="N116" i="30"/>
  <c r="N97" i="30"/>
  <c r="N106" i="30"/>
  <c r="N119" i="30"/>
  <c r="N121" i="30"/>
  <c r="N138" i="30"/>
  <c r="N39" i="30"/>
  <c r="N43" i="30"/>
  <c r="N38" i="30"/>
  <c r="N46" i="30"/>
  <c r="N50" i="30"/>
  <c r="N54" i="30"/>
  <c r="N58" i="30"/>
  <c r="N62" i="30"/>
  <c r="N69" i="30"/>
  <c r="N89" i="30"/>
  <c r="N76" i="30"/>
  <c r="N80" i="30"/>
  <c r="N85" i="30"/>
  <c r="N102" i="30"/>
  <c r="N94" i="30"/>
  <c r="N100" i="30"/>
  <c r="N104" i="30"/>
  <c r="N117" i="30"/>
  <c r="BZ90" i="30"/>
  <c r="BZ88" i="30"/>
  <c r="BZ89" i="30"/>
  <c r="BY33" i="30"/>
  <c r="K114" i="30"/>
  <c r="F114" i="30"/>
  <c r="CE129" i="30"/>
  <c r="CL129" i="30" s="1"/>
  <c r="CS129" i="30" s="1"/>
  <c r="CX129" i="30" s="1"/>
  <c r="BZ129" i="30"/>
  <c r="H112" i="30"/>
  <c r="I109" i="30"/>
  <c r="CE63" i="30"/>
  <c r="CL63" i="30" s="1"/>
  <c r="CS63" i="30" s="1"/>
  <c r="CX63" i="30" s="1"/>
  <c r="BZ63" i="30"/>
  <c r="AC35" i="30"/>
  <c r="AD35" i="30" s="1"/>
  <c r="J138" i="30"/>
  <c r="R124" i="30"/>
  <c r="J124" i="30"/>
  <c r="J123" i="30"/>
  <c r="J121" i="30"/>
  <c r="J120" i="30"/>
  <c r="J119" i="30"/>
  <c r="J118" i="30"/>
  <c r="J117" i="30"/>
  <c r="J122" i="30"/>
  <c r="J111" i="30"/>
  <c r="J110" i="30"/>
  <c r="J104" i="30"/>
  <c r="J116" i="30"/>
  <c r="J100" i="30"/>
  <c r="J106" i="30"/>
  <c r="J105" i="30"/>
  <c r="J99" i="30"/>
  <c r="J97" i="30"/>
  <c r="J96" i="30"/>
  <c r="J95" i="30"/>
  <c r="J94" i="30"/>
  <c r="J102" i="30"/>
  <c r="J98" i="30"/>
  <c r="J93" i="30"/>
  <c r="J91" i="30"/>
  <c r="J90" i="30"/>
  <c r="J89" i="30"/>
  <c r="J88" i="30"/>
  <c r="J87" i="30"/>
  <c r="J86" i="30"/>
  <c r="J85" i="30"/>
  <c r="J84" i="30"/>
  <c r="J101" i="30"/>
  <c r="J83" i="30"/>
  <c r="J81" i="30"/>
  <c r="J80" i="30"/>
  <c r="J79" i="30"/>
  <c r="J78" i="30"/>
  <c r="J77" i="30"/>
  <c r="J76" i="30"/>
  <c r="J74" i="30"/>
  <c r="J70" i="30"/>
  <c r="J69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73" i="30"/>
  <c r="J68" i="30"/>
  <c r="J72" i="30"/>
  <c r="J75" i="30"/>
  <c r="J71" i="30"/>
  <c r="J66" i="30"/>
  <c r="J38" i="30"/>
  <c r="J45" i="30"/>
  <c r="J44" i="30"/>
  <c r="J43" i="30"/>
  <c r="J42" i="30"/>
  <c r="J41" i="30"/>
  <c r="J40" i="30"/>
  <c r="J39" i="30"/>
  <c r="I124" i="30"/>
  <c r="I142" i="30" s="1"/>
  <c r="CE8" i="30"/>
  <c r="CL8" i="30" s="1"/>
  <c r="CS8" i="30" s="1"/>
  <c r="CX8" i="30" s="1"/>
  <c r="BZ8" i="30"/>
  <c r="BZ122" i="30"/>
  <c r="CE80" i="30"/>
  <c r="CL80" i="30" s="1"/>
  <c r="CS80" i="30" s="1"/>
  <c r="CX80" i="30" s="1"/>
  <c r="BZ80" i="30"/>
  <c r="CE64" i="30"/>
  <c r="CL64" i="30" s="1"/>
  <c r="CS64" i="30" s="1"/>
  <c r="CX64" i="30" s="1"/>
  <c r="BZ64" i="30"/>
  <c r="BD141" i="30"/>
  <c r="BD142" i="30"/>
  <c r="BZ71" i="30"/>
  <c r="CI141" i="30"/>
  <c r="CI142" i="30"/>
  <c r="CH113" i="30"/>
  <c r="CH109" i="30"/>
  <c r="CH114" i="30"/>
  <c r="CR36" i="30"/>
  <c r="CI36" i="30"/>
  <c r="BA33" i="30"/>
  <c r="S38" i="30"/>
  <c r="X39" i="30"/>
  <c r="BZ120" i="30"/>
  <c r="CE57" i="30"/>
  <c r="CL57" i="30" s="1"/>
  <c r="CS57" i="30" s="1"/>
  <c r="CX57" i="30" s="1"/>
  <c r="BZ57" i="30"/>
  <c r="CB141" i="30"/>
  <c r="CA114" i="30"/>
  <c r="CA113" i="30"/>
  <c r="CA109" i="30"/>
  <c r="CK36" i="30"/>
  <c r="BK142" i="30"/>
  <c r="BK141" i="30"/>
  <c r="AG141" i="30"/>
  <c r="AG142" i="30"/>
  <c r="AF114" i="30"/>
  <c r="AF113" i="30"/>
  <c r="AF109" i="30"/>
  <c r="AP36" i="30"/>
  <c r="I113" i="30"/>
  <c r="CJ138" i="30"/>
  <c r="CJ122" i="30"/>
  <c r="CJ121" i="30"/>
  <c r="CJ120" i="30"/>
  <c r="CJ119" i="30"/>
  <c r="CJ118" i="30"/>
  <c r="CR124" i="30"/>
  <c r="CJ124" i="30"/>
  <c r="CJ117" i="30"/>
  <c r="CJ116" i="30"/>
  <c r="CJ123" i="30"/>
  <c r="CJ102" i="30"/>
  <c r="CJ101" i="30"/>
  <c r="CJ100" i="30"/>
  <c r="CJ99" i="30"/>
  <c r="CJ98" i="30"/>
  <c r="CJ106" i="30"/>
  <c r="CJ105" i="30"/>
  <c r="CJ104" i="30"/>
  <c r="CJ97" i="30"/>
  <c r="CJ96" i="30"/>
  <c r="CJ95" i="30"/>
  <c r="CJ94" i="30"/>
  <c r="CJ93" i="30"/>
  <c r="CJ110" i="30"/>
  <c r="CJ111" i="30"/>
  <c r="CJ91" i="30"/>
  <c r="CJ90" i="30"/>
  <c r="CJ89" i="30"/>
  <c r="CJ88" i="30"/>
  <c r="CJ81" i="30"/>
  <c r="CJ80" i="30"/>
  <c r="CJ79" i="30"/>
  <c r="CJ78" i="30"/>
  <c r="CJ77" i="30"/>
  <c r="CJ76" i="30"/>
  <c r="CJ75" i="30"/>
  <c r="CJ74" i="30"/>
  <c r="CJ73" i="30"/>
  <c r="CJ72" i="30"/>
  <c r="CJ71" i="30"/>
  <c r="CJ70" i="30"/>
  <c r="CJ83" i="30"/>
  <c r="CJ66" i="30"/>
  <c r="CJ62" i="30"/>
  <c r="CJ48" i="30"/>
  <c r="CJ86" i="30"/>
  <c r="CJ84" i="30"/>
  <c r="CJ69" i="30"/>
  <c r="CJ63" i="30"/>
  <c r="CJ59" i="30"/>
  <c r="CJ58" i="30"/>
  <c r="CJ57" i="30"/>
  <c r="CJ56" i="30"/>
  <c r="CJ55" i="30"/>
  <c r="CJ54" i="30"/>
  <c r="CJ53" i="30"/>
  <c r="CJ52" i="30"/>
  <c r="CJ51" i="30"/>
  <c r="CJ49" i="30"/>
  <c r="CJ45" i="30"/>
  <c r="CJ44" i="30"/>
  <c r="CJ43" i="30"/>
  <c r="CJ42" i="30"/>
  <c r="CJ41" i="30"/>
  <c r="CJ40" i="30"/>
  <c r="CJ39" i="30"/>
  <c r="CJ64" i="30"/>
  <c r="CJ60" i="30"/>
  <c r="CJ50" i="30"/>
  <c r="CJ46" i="30"/>
  <c r="CJ38" i="30"/>
  <c r="CJ85" i="30"/>
  <c r="CJ68" i="30"/>
  <c r="CJ87" i="30"/>
  <c r="CJ65" i="30"/>
  <c r="CJ61" i="30"/>
  <c r="CJ47" i="30"/>
  <c r="BA35" i="30"/>
  <c r="CE49" i="30"/>
  <c r="CL49" i="30" s="1"/>
  <c r="CS49" i="30" s="1"/>
  <c r="CX49" i="30" s="1"/>
  <c r="BZ49" i="30"/>
  <c r="CE123" i="30"/>
  <c r="CL123" i="30" s="1"/>
  <c r="CS123" i="30" s="1"/>
  <c r="CX123" i="30" s="1"/>
  <c r="BZ123" i="30"/>
  <c r="CE87" i="30"/>
  <c r="CL87" i="30" s="1"/>
  <c r="CS87" i="30" s="1"/>
  <c r="CX87" i="30" s="1"/>
  <c r="BZ87" i="30"/>
  <c r="CQ141" i="30"/>
  <c r="BX22" i="30"/>
  <c r="AQ24" i="30"/>
  <c r="AJ23" i="30"/>
  <c r="O113" i="30"/>
  <c r="R113" i="30" s="1"/>
  <c r="O109" i="30"/>
  <c r="O114" i="30"/>
  <c r="AB36" i="30"/>
  <c r="R36" i="30"/>
  <c r="AU124" i="30"/>
  <c r="CE7" i="30"/>
  <c r="CL7" i="30" s="1"/>
  <c r="CS7" i="30" s="1"/>
  <c r="CX7" i="30" s="1"/>
  <c r="BZ7" i="30"/>
  <c r="BY35" i="30"/>
  <c r="BZ73" i="30"/>
  <c r="CE53" i="30"/>
  <c r="CL53" i="30" s="1"/>
  <c r="CS53" i="30" s="1"/>
  <c r="CX53" i="30" s="1"/>
  <c r="BZ53" i="30"/>
  <c r="BY23" i="30"/>
  <c r="S33" i="30"/>
  <c r="X33" i="30" s="1"/>
  <c r="T8" i="30"/>
  <c r="X5" i="30"/>
  <c r="S4" i="30"/>
  <c r="T33" i="30"/>
  <c r="T24" i="30"/>
  <c r="T23" i="30"/>
  <c r="Q138" i="30"/>
  <c r="Q123" i="30"/>
  <c r="AB124" i="30"/>
  <c r="Q119" i="30"/>
  <c r="Q122" i="30"/>
  <c r="Q124" i="30"/>
  <c r="Q121" i="30"/>
  <c r="Q118" i="30"/>
  <c r="Q106" i="30"/>
  <c r="Q105" i="30"/>
  <c r="Q111" i="30"/>
  <c r="Q110" i="30"/>
  <c r="Q104" i="30"/>
  <c r="Q116" i="30"/>
  <c r="Q117" i="30"/>
  <c r="Q102" i="30"/>
  <c r="Q98" i="30"/>
  <c r="Q101" i="30"/>
  <c r="Q100" i="30"/>
  <c r="Q97" i="30"/>
  <c r="Q96" i="30"/>
  <c r="Q95" i="30"/>
  <c r="Q94" i="30"/>
  <c r="Q91" i="30"/>
  <c r="Q90" i="30"/>
  <c r="Q89" i="30"/>
  <c r="Q120" i="30"/>
  <c r="Q99" i="30"/>
  <c r="Q87" i="30"/>
  <c r="Q86" i="30"/>
  <c r="Q85" i="30"/>
  <c r="Q84" i="30"/>
  <c r="Q88" i="30"/>
  <c r="Q83" i="30"/>
  <c r="Q81" i="30"/>
  <c r="Q80" i="30"/>
  <c r="Q79" i="30"/>
  <c r="Q78" i="30"/>
  <c r="Q93" i="30"/>
  <c r="Q72" i="30"/>
  <c r="Q75" i="30"/>
  <c r="Q71" i="30"/>
  <c r="Q70" i="30"/>
  <c r="Q69" i="30"/>
  <c r="Q66" i="30"/>
  <c r="Q65" i="30"/>
  <c r="Q64" i="30"/>
  <c r="Q63" i="30"/>
  <c r="Q62" i="30"/>
  <c r="Q61" i="30"/>
  <c r="Q60" i="30"/>
  <c r="Q59" i="30"/>
  <c r="Q58" i="30"/>
  <c r="Q57" i="30"/>
  <c r="Q56" i="30"/>
  <c r="Q55" i="30"/>
  <c r="Q54" i="30"/>
  <c r="Q53" i="30"/>
  <c r="Q52" i="30"/>
  <c r="Q51" i="30"/>
  <c r="Q50" i="30"/>
  <c r="Q49" i="30"/>
  <c r="Q48" i="30"/>
  <c r="Q47" i="30"/>
  <c r="Q77" i="30"/>
  <c r="Q76" i="30"/>
  <c r="Q74" i="30"/>
  <c r="Q68" i="30"/>
  <c r="Q39" i="30"/>
  <c r="Q73" i="30"/>
  <c r="Q46" i="30"/>
  <c r="Q38" i="30"/>
  <c r="Q45" i="30"/>
  <c r="Q41" i="30"/>
  <c r="Q44" i="30"/>
  <c r="Q40" i="30"/>
  <c r="Q42" i="30"/>
  <c r="Q43" i="30"/>
  <c r="CW134" i="30"/>
  <c r="CW138" i="30"/>
  <c r="CW133" i="30"/>
  <c r="CW132" i="30"/>
  <c r="CW131" i="30"/>
  <c r="CW127" i="30"/>
  <c r="CW130" i="30"/>
  <c r="CW128" i="30"/>
  <c r="CW129" i="30"/>
  <c r="CW125" i="30"/>
  <c r="CW126" i="30"/>
  <c r="CW120" i="30"/>
  <c r="CW117" i="30"/>
  <c r="CW116" i="30"/>
  <c r="CW119" i="30"/>
  <c r="CW118" i="30"/>
  <c r="CW121" i="30"/>
  <c r="CW106" i="30"/>
  <c r="CW105" i="30"/>
  <c r="CW104" i="30"/>
  <c r="CW122" i="30"/>
  <c r="CW111" i="30"/>
  <c r="CW110" i="30"/>
  <c r="CW123" i="30"/>
  <c r="CW99" i="30"/>
  <c r="CW102" i="30"/>
  <c r="CW98" i="30"/>
  <c r="CW91" i="30"/>
  <c r="CW90" i="30"/>
  <c r="CW89" i="30"/>
  <c r="CW88" i="30"/>
  <c r="CW101" i="30"/>
  <c r="CW97" i="30"/>
  <c r="CW96" i="30"/>
  <c r="CW95" i="30"/>
  <c r="CW94" i="30"/>
  <c r="CW93" i="30"/>
  <c r="CW100" i="30"/>
  <c r="CW87" i="30"/>
  <c r="CW86" i="30"/>
  <c r="CW85" i="30"/>
  <c r="CW84" i="30"/>
  <c r="CW83" i="30"/>
  <c r="CW81" i="30"/>
  <c r="CW77" i="30"/>
  <c r="CW73" i="30"/>
  <c r="CW80" i="30"/>
  <c r="CW76" i="30"/>
  <c r="CW75" i="30"/>
  <c r="CW72" i="30"/>
  <c r="CW79" i="30"/>
  <c r="CW71" i="30"/>
  <c r="CW69" i="30"/>
  <c r="CW68" i="30"/>
  <c r="CW65" i="30"/>
  <c r="CW64" i="30"/>
  <c r="CW63" i="30"/>
  <c r="CW62" i="30"/>
  <c r="CW61" i="30"/>
  <c r="CW60" i="30"/>
  <c r="CW59" i="30"/>
  <c r="CW58" i="30"/>
  <c r="CW57" i="30"/>
  <c r="CW56" i="30"/>
  <c r="CW55" i="30"/>
  <c r="CW54" i="30"/>
  <c r="CW53" i="30"/>
  <c r="CW52" i="30"/>
  <c r="CW51" i="30"/>
  <c r="CW74" i="30"/>
  <c r="CW70" i="30"/>
  <c r="CW47" i="30"/>
  <c r="CW44" i="30"/>
  <c r="CW43" i="30"/>
  <c r="CW42" i="30"/>
  <c r="CW41" i="30"/>
  <c r="CW40" i="30"/>
  <c r="CW39" i="30"/>
  <c r="CW15" i="30"/>
  <c r="CW13" i="30"/>
  <c r="CW48" i="30"/>
  <c r="CW18" i="30"/>
  <c r="CW16" i="30"/>
  <c r="CW78" i="30"/>
  <c r="CW49" i="30"/>
  <c r="CW19" i="30"/>
  <c r="CW66" i="30"/>
  <c r="CW10" i="30"/>
  <c r="CW12" i="30"/>
  <c r="CW11" i="30"/>
  <c r="CW5" i="30"/>
  <c r="CW4" i="30"/>
  <c r="CW45" i="30"/>
  <c r="CW50" i="30"/>
  <c r="CW46" i="30"/>
  <c r="CW6" i="30"/>
  <c r="CW7" i="30"/>
  <c r="AA138" i="30"/>
  <c r="AA123" i="30"/>
  <c r="AI124" i="30"/>
  <c r="AA124" i="30"/>
  <c r="AA120" i="30"/>
  <c r="AA119" i="30"/>
  <c r="AA122" i="30"/>
  <c r="AA118" i="30"/>
  <c r="AA117" i="30"/>
  <c r="AA116" i="30"/>
  <c r="AA121" i="30"/>
  <c r="AA111" i="30"/>
  <c r="AA110" i="30"/>
  <c r="AA99" i="30"/>
  <c r="AA104" i="30"/>
  <c r="AA102" i="30"/>
  <c r="AA98" i="30"/>
  <c r="AA97" i="30"/>
  <c r="AA96" i="30"/>
  <c r="AA95" i="30"/>
  <c r="AA94" i="30"/>
  <c r="AA93" i="30"/>
  <c r="AA101" i="30"/>
  <c r="AA87" i="30"/>
  <c r="AA86" i="30"/>
  <c r="AA85" i="30"/>
  <c r="AA84" i="30"/>
  <c r="AA83" i="30"/>
  <c r="AA106" i="30"/>
  <c r="AA81" i="30"/>
  <c r="AA80" i="30"/>
  <c r="AA79" i="30"/>
  <c r="AA78" i="30"/>
  <c r="AA77" i="30"/>
  <c r="AA76" i="30"/>
  <c r="AA100" i="30"/>
  <c r="AA91" i="30"/>
  <c r="AA90" i="30"/>
  <c r="AA89" i="30"/>
  <c r="AA88" i="30"/>
  <c r="AA73" i="30"/>
  <c r="AA70" i="30"/>
  <c r="AA69" i="30"/>
  <c r="AA68" i="30"/>
  <c r="AA65" i="30"/>
  <c r="AA64" i="30"/>
  <c r="AA63" i="30"/>
  <c r="AA62" i="30"/>
  <c r="AA61" i="30"/>
  <c r="AA60" i="30"/>
  <c r="AA59" i="30"/>
  <c r="AA58" i="30"/>
  <c r="AA57" i="30"/>
  <c r="AA56" i="30"/>
  <c r="AA55" i="30"/>
  <c r="AA54" i="30"/>
  <c r="AA53" i="30"/>
  <c r="AA52" i="30"/>
  <c r="AA51" i="30"/>
  <c r="AA50" i="30"/>
  <c r="AA49" i="30"/>
  <c r="AA48" i="30"/>
  <c r="AA47" i="30"/>
  <c r="AA46" i="30"/>
  <c r="AA72" i="30"/>
  <c r="AA66" i="30"/>
  <c r="AA75" i="30"/>
  <c r="AA71" i="30"/>
  <c r="AA74" i="30"/>
  <c r="AA105" i="30"/>
  <c r="AA45" i="30"/>
  <c r="AA44" i="30"/>
  <c r="AA43" i="30"/>
  <c r="AA42" i="30"/>
  <c r="AA41" i="30"/>
  <c r="AA40" i="30"/>
  <c r="AA39" i="30"/>
  <c r="AA38" i="30"/>
  <c r="AT113" i="30"/>
  <c r="AT109" i="30"/>
  <c r="AT114" i="30"/>
  <c r="AU36" i="30"/>
  <c r="CE59" i="30"/>
  <c r="CL59" i="30" s="1"/>
  <c r="CS59" i="30" s="1"/>
  <c r="CX59" i="30" s="1"/>
  <c r="BZ59" i="30"/>
  <c r="AJ93" i="30"/>
  <c r="AQ94" i="30"/>
  <c r="BZ41" i="30"/>
  <c r="AJ125" i="30"/>
  <c r="AQ126" i="30"/>
  <c r="CV22" i="30"/>
  <c r="CW23" i="30"/>
  <c r="AC18" i="30"/>
  <c r="AJ19" i="30"/>
  <c r="CE54" i="30"/>
  <c r="CL54" i="30" s="1"/>
  <c r="CS54" i="30" s="1"/>
  <c r="CX54" i="30" s="1"/>
  <c r="BZ54" i="30"/>
  <c r="CV38" i="30"/>
  <c r="CW38" i="30" s="1"/>
  <c r="CE65" i="30"/>
  <c r="CL65" i="30" s="1"/>
  <c r="CS65" i="30" s="1"/>
  <c r="CX65" i="30" s="1"/>
  <c r="BZ65" i="30"/>
  <c r="B112" i="30"/>
  <c r="C109" i="30"/>
  <c r="CO112" i="30"/>
  <c r="CP109" i="30"/>
  <c r="CE79" i="30"/>
  <c r="CL79" i="30" s="1"/>
  <c r="CS79" i="30" s="1"/>
  <c r="CX79" i="30" s="1"/>
  <c r="BZ79" i="30"/>
  <c r="S34" i="30"/>
  <c r="X34" i="30" s="1"/>
  <c r="T26" i="30"/>
  <c r="X10" i="30"/>
  <c r="T27" i="30"/>
  <c r="BQ114" i="30"/>
  <c r="BQ113" i="30"/>
  <c r="BQ109" i="30"/>
  <c r="CD36" i="30"/>
  <c r="P141" i="30"/>
  <c r="P142" i="30"/>
  <c r="M138" i="30"/>
  <c r="M134" i="30"/>
  <c r="M131" i="30"/>
  <c r="M132" i="30"/>
  <c r="M133" i="30"/>
  <c r="M130" i="30"/>
  <c r="M126" i="30"/>
  <c r="M125" i="30"/>
  <c r="M127" i="30"/>
  <c r="M128" i="30"/>
  <c r="M129" i="30"/>
  <c r="M124" i="30"/>
  <c r="M119" i="30"/>
  <c r="M122" i="30"/>
  <c r="M123" i="30"/>
  <c r="M121" i="30"/>
  <c r="M116" i="30"/>
  <c r="M106" i="30"/>
  <c r="M105" i="30"/>
  <c r="M120" i="30"/>
  <c r="M117" i="30"/>
  <c r="M111" i="30"/>
  <c r="M110" i="30"/>
  <c r="M104" i="30"/>
  <c r="M118" i="30"/>
  <c r="M102" i="30"/>
  <c r="M98" i="30"/>
  <c r="M101" i="30"/>
  <c r="M100" i="30"/>
  <c r="M97" i="30"/>
  <c r="M96" i="30"/>
  <c r="M95" i="30"/>
  <c r="M94" i="30"/>
  <c r="M93" i="30"/>
  <c r="M88" i="30"/>
  <c r="M87" i="30"/>
  <c r="M86" i="30"/>
  <c r="M85" i="30"/>
  <c r="M84" i="30"/>
  <c r="M83" i="30"/>
  <c r="M81" i="30"/>
  <c r="M80" i="30"/>
  <c r="M79" i="30"/>
  <c r="M78" i="30"/>
  <c r="M91" i="30"/>
  <c r="M90" i="30"/>
  <c r="M89" i="30"/>
  <c r="M72" i="30"/>
  <c r="M66" i="30"/>
  <c r="M77" i="30"/>
  <c r="M76" i="30"/>
  <c r="M75" i="30"/>
  <c r="M71" i="30"/>
  <c r="M70" i="30"/>
  <c r="M69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99" i="30"/>
  <c r="M74" i="30"/>
  <c r="M68" i="30"/>
  <c r="M46" i="30"/>
  <c r="M39" i="30"/>
  <c r="M22" i="30"/>
  <c r="M12" i="30"/>
  <c r="M38" i="30"/>
  <c r="L36" i="30"/>
  <c r="M43" i="30"/>
  <c r="M19" i="30"/>
  <c r="M16" i="30"/>
  <c r="M7" i="30"/>
  <c r="M10" i="30"/>
  <c r="M6" i="30"/>
  <c r="M42" i="30"/>
  <c r="M15" i="30"/>
  <c r="M13" i="30"/>
  <c r="M11" i="30"/>
  <c r="M73" i="30"/>
  <c r="M5" i="30"/>
  <c r="M45" i="30"/>
  <c r="M41" i="30"/>
  <c r="M18" i="30"/>
  <c r="M44" i="30"/>
  <c r="M40" i="30"/>
  <c r="M4" i="30"/>
  <c r="AC22" i="30"/>
  <c r="CE58" i="30"/>
  <c r="CL58" i="30" s="1"/>
  <c r="CS58" i="30" s="1"/>
  <c r="CX58" i="30" s="1"/>
  <c r="BZ58" i="30"/>
  <c r="AZ124" i="30"/>
  <c r="E112" i="30"/>
  <c r="K109" i="30"/>
  <c r="F109" i="30"/>
  <c r="AJ26" i="30"/>
  <c r="AQ27" i="30"/>
  <c r="CE138" i="30"/>
  <c r="CL138" i="30" s="1"/>
  <c r="BZ138" i="30"/>
  <c r="V137" i="30"/>
  <c r="W112" i="30"/>
  <c r="CE61" i="30"/>
  <c r="CL61" i="30" s="1"/>
  <c r="CS61" i="30" s="1"/>
  <c r="CX61" i="30" s="1"/>
  <c r="BZ61" i="30"/>
  <c r="CE12" i="30"/>
  <c r="CL12" i="30" s="1"/>
  <c r="CS12" i="30" s="1"/>
  <c r="CX12" i="30" s="1"/>
  <c r="BZ12" i="30"/>
  <c r="AH138" i="30"/>
  <c r="AP124" i="30"/>
  <c r="AH124" i="30"/>
  <c r="AH123" i="30"/>
  <c r="AH122" i="30"/>
  <c r="AH121" i="30"/>
  <c r="AH120" i="30"/>
  <c r="AH116" i="30"/>
  <c r="AH106" i="30"/>
  <c r="AH105" i="30"/>
  <c r="AH104" i="30"/>
  <c r="AH117" i="30"/>
  <c r="AH111" i="30"/>
  <c r="AH110" i="30"/>
  <c r="AH119" i="30"/>
  <c r="AH118" i="30"/>
  <c r="AH101" i="30"/>
  <c r="AH100" i="30"/>
  <c r="AH99" i="30"/>
  <c r="AH97" i="30"/>
  <c r="AH96" i="30"/>
  <c r="AH95" i="30"/>
  <c r="AH94" i="30"/>
  <c r="AH93" i="30"/>
  <c r="AH98" i="30"/>
  <c r="AH87" i="30"/>
  <c r="AH86" i="30"/>
  <c r="AH85" i="30"/>
  <c r="AH84" i="30"/>
  <c r="AH83" i="30"/>
  <c r="AH102" i="30"/>
  <c r="AH91" i="30"/>
  <c r="AH90" i="30"/>
  <c r="AH89" i="30"/>
  <c r="AH88" i="30"/>
  <c r="AH81" i="30"/>
  <c r="AH80" i="30"/>
  <c r="AH79" i="30"/>
  <c r="AH78" i="30"/>
  <c r="AH75" i="30"/>
  <c r="AH71" i="30"/>
  <c r="AH77" i="30"/>
  <c r="AH76" i="30"/>
  <c r="AH74" i="30"/>
  <c r="AH70" i="30"/>
  <c r="AH69" i="30"/>
  <c r="AH68" i="30"/>
  <c r="AH65" i="30"/>
  <c r="AH64" i="30"/>
  <c r="AH63" i="30"/>
  <c r="AH62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H47" i="30"/>
  <c r="AH73" i="30"/>
  <c r="AH38" i="30"/>
  <c r="AH72" i="30"/>
  <c r="AH46" i="30"/>
  <c r="AH42" i="30"/>
  <c r="AH39" i="30"/>
  <c r="AH66" i="30"/>
  <c r="AH45" i="30"/>
  <c r="AH41" i="30"/>
  <c r="AH43" i="30"/>
  <c r="AH44" i="30"/>
  <c r="AH40" i="30"/>
  <c r="Z142" i="30"/>
  <c r="Z141" i="30"/>
  <c r="AU141" i="30"/>
  <c r="AU142" i="30"/>
  <c r="BZ118" i="30"/>
  <c r="CE48" i="30"/>
  <c r="CL48" i="30" s="1"/>
  <c r="CS48" i="30" s="1"/>
  <c r="CX48" i="30" s="1"/>
  <c r="BZ48" i="30"/>
  <c r="BC113" i="30"/>
  <c r="BC109" i="30"/>
  <c r="BC114" i="30"/>
  <c r="BM36" i="30"/>
  <c r="AK30" i="30"/>
  <c r="CE62" i="30"/>
  <c r="CL62" i="30" s="1"/>
  <c r="CS62" i="30" s="1"/>
  <c r="CX62" i="30" s="1"/>
  <c r="BZ62" i="30"/>
  <c r="BZ75" i="30"/>
  <c r="AC39" i="30"/>
  <c r="AJ40" i="30"/>
  <c r="CC138" i="30"/>
  <c r="CK124" i="30"/>
  <c r="CC124" i="30"/>
  <c r="CC119" i="30"/>
  <c r="CC117" i="30"/>
  <c r="CC116" i="30"/>
  <c r="CC122" i="30"/>
  <c r="CC118" i="30"/>
  <c r="CC123" i="30"/>
  <c r="CC121" i="30"/>
  <c r="CC120" i="30"/>
  <c r="CC106" i="30"/>
  <c r="CC105" i="30"/>
  <c r="CC104" i="30"/>
  <c r="CC111" i="30"/>
  <c r="CC110" i="30"/>
  <c r="CC102" i="30"/>
  <c r="CC98" i="30"/>
  <c r="CC101" i="30"/>
  <c r="CC91" i="30"/>
  <c r="CC90" i="30"/>
  <c r="CC89" i="30"/>
  <c r="CC88" i="30"/>
  <c r="CC100" i="30"/>
  <c r="CC93" i="30"/>
  <c r="CC99" i="30"/>
  <c r="CC97" i="30"/>
  <c r="CC96" i="30"/>
  <c r="CC95" i="30"/>
  <c r="CC94" i="30"/>
  <c r="CC87" i="30"/>
  <c r="CC86" i="30"/>
  <c r="CC85" i="30"/>
  <c r="CC84" i="30"/>
  <c r="CC83" i="30"/>
  <c r="CC79" i="30"/>
  <c r="CC72" i="30"/>
  <c r="CC78" i="30"/>
  <c r="CC75" i="30"/>
  <c r="CC71" i="30"/>
  <c r="CC66" i="30"/>
  <c r="CC81" i="30"/>
  <c r="CC74" i="30"/>
  <c r="CC70" i="30"/>
  <c r="CC69" i="30"/>
  <c r="CC68" i="30"/>
  <c r="CC65" i="30"/>
  <c r="CC64" i="30"/>
  <c r="CC63" i="30"/>
  <c r="CC62" i="30"/>
  <c r="CC61" i="30"/>
  <c r="CC60" i="30"/>
  <c r="CC59" i="30"/>
  <c r="CC58" i="30"/>
  <c r="CC57" i="30"/>
  <c r="CC56" i="30"/>
  <c r="CC55" i="30"/>
  <c r="CC54" i="30"/>
  <c r="CC53" i="30"/>
  <c r="CC52" i="30"/>
  <c r="CC51" i="30"/>
  <c r="CC77" i="30"/>
  <c r="CC48" i="30"/>
  <c r="CC45" i="30"/>
  <c r="CC44" i="30"/>
  <c r="CC43" i="30"/>
  <c r="CC42" i="30"/>
  <c r="CC41" i="30"/>
  <c r="CC40" i="30"/>
  <c r="CC39" i="30"/>
  <c r="CC73" i="30"/>
  <c r="CC49" i="30"/>
  <c r="CC38" i="30"/>
  <c r="CC80" i="30"/>
  <c r="CC50" i="30"/>
  <c r="CC46" i="30"/>
  <c r="CC47" i="30"/>
  <c r="CC76" i="30"/>
  <c r="AO138" i="30"/>
  <c r="BF124" i="30"/>
  <c r="AO124" i="30"/>
  <c r="AO121" i="30"/>
  <c r="AO118" i="30"/>
  <c r="AO117" i="30"/>
  <c r="AO116" i="30"/>
  <c r="AO123" i="30"/>
  <c r="AO120" i="30"/>
  <c r="AO119" i="30"/>
  <c r="AO106" i="30"/>
  <c r="AO105" i="30"/>
  <c r="AO104" i="30"/>
  <c r="AO111" i="30"/>
  <c r="AO110" i="30"/>
  <c r="AO100" i="30"/>
  <c r="AO99" i="30"/>
  <c r="AO91" i="30"/>
  <c r="AO90" i="30"/>
  <c r="AO89" i="30"/>
  <c r="AO88" i="30"/>
  <c r="AO102" i="30"/>
  <c r="AO98" i="30"/>
  <c r="AO97" i="30"/>
  <c r="AO96" i="30"/>
  <c r="AO95" i="30"/>
  <c r="AO94" i="30"/>
  <c r="AO87" i="30"/>
  <c r="AO86" i="30"/>
  <c r="AO85" i="30"/>
  <c r="AO84" i="30"/>
  <c r="AO83" i="30"/>
  <c r="AO93" i="30"/>
  <c r="AO79" i="30"/>
  <c r="AO74" i="30"/>
  <c r="AO70" i="30"/>
  <c r="AO78" i="30"/>
  <c r="AO77" i="30"/>
  <c r="AO76" i="30"/>
  <c r="AO73" i="30"/>
  <c r="AO66" i="30"/>
  <c r="AO101" i="30"/>
  <c r="AO81" i="30"/>
  <c r="AO72" i="30"/>
  <c r="AO69" i="30"/>
  <c r="AO68" i="30"/>
  <c r="AO65" i="30"/>
  <c r="AO64" i="30"/>
  <c r="AO63" i="30"/>
  <c r="AO62" i="30"/>
  <c r="AO61" i="30"/>
  <c r="AO60" i="30"/>
  <c r="AO59" i="30"/>
  <c r="AO58" i="30"/>
  <c r="AO57" i="30"/>
  <c r="AO56" i="30"/>
  <c r="AO55" i="30"/>
  <c r="AO54" i="30"/>
  <c r="AO53" i="30"/>
  <c r="AO52" i="30"/>
  <c r="AO80" i="30"/>
  <c r="AO51" i="30"/>
  <c r="AO47" i="30"/>
  <c r="AO45" i="30"/>
  <c r="AO44" i="30"/>
  <c r="AO43" i="30"/>
  <c r="AO42" i="30"/>
  <c r="AO41" i="30"/>
  <c r="AO40" i="30"/>
  <c r="AO39" i="30"/>
  <c r="AO48" i="30"/>
  <c r="AO38" i="30"/>
  <c r="AO49" i="30"/>
  <c r="AO75" i="30"/>
  <c r="AO50" i="30"/>
  <c r="AO71" i="30"/>
  <c r="AO46" i="30"/>
  <c r="AO122" i="30"/>
  <c r="AC68" i="30"/>
  <c r="AJ69" i="30"/>
  <c r="BR142" i="30"/>
  <c r="BR141" i="30"/>
  <c r="CE52" i="30"/>
  <c r="CL52" i="30" s="1"/>
  <c r="CS52" i="30" s="1"/>
  <c r="CX52" i="30" s="1"/>
  <c r="BZ52" i="30"/>
  <c r="AQ30" i="30"/>
  <c r="AJ29" i="30"/>
  <c r="AK29" i="30" s="1"/>
  <c r="CE60" i="30"/>
  <c r="CL60" i="30" s="1"/>
  <c r="CS60" i="30" s="1"/>
  <c r="CX60" i="30" s="1"/>
  <c r="BZ60" i="30"/>
  <c r="AJ11" i="30"/>
  <c r="AC10" i="30"/>
  <c r="CE81" i="30"/>
  <c r="CL81" i="30" s="1"/>
  <c r="CS81" i="30" s="1"/>
  <c r="CX81" i="30" s="1"/>
  <c r="BZ81" i="30"/>
  <c r="CE86" i="30"/>
  <c r="CL86" i="30" s="1"/>
  <c r="CS86" i="30" s="1"/>
  <c r="CX86" i="30" s="1"/>
  <c r="BZ86" i="30"/>
  <c r="AC83" i="30"/>
  <c r="AJ84" i="30"/>
  <c r="CW35" i="30"/>
  <c r="CW33" i="30"/>
  <c r="K113" i="30"/>
  <c r="F113" i="30"/>
  <c r="BY29" i="30"/>
  <c r="CE110" i="30"/>
  <c r="BZ110" i="30"/>
  <c r="BE138" i="30"/>
  <c r="BM124" i="30"/>
  <c r="BE124" i="30"/>
  <c r="BE121" i="30"/>
  <c r="BE117" i="30"/>
  <c r="BE116" i="30"/>
  <c r="BE120" i="30"/>
  <c r="BE119" i="30"/>
  <c r="BE123" i="30"/>
  <c r="BE106" i="30"/>
  <c r="BE105" i="30"/>
  <c r="BE104" i="30"/>
  <c r="BE111" i="30"/>
  <c r="BE110" i="30"/>
  <c r="BE122" i="30"/>
  <c r="BE118" i="30"/>
  <c r="BE100" i="30"/>
  <c r="BE99" i="30"/>
  <c r="BE91" i="30"/>
  <c r="BE90" i="30"/>
  <c r="BE89" i="30"/>
  <c r="BE88" i="30"/>
  <c r="BE102" i="30"/>
  <c r="BE98" i="30"/>
  <c r="BE97" i="30"/>
  <c r="BE96" i="30"/>
  <c r="BE95" i="30"/>
  <c r="BE94" i="30"/>
  <c r="BE87" i="30"/>
  <c r="BE86" i="30"/>
  <c r="BE85" i="30"/>
  <c r="BE84" i="30"/>
  <c r="BE83" i="30"/>
  <c r="BE80" i="30"/>
  <c r="BE77" i="30"/>
  <c r="BE76" i="30"/>
  <c r="BE74" i="30"/>
  <c r="BE70" i="30"/>
  <c r="BE79" i="30"/>
  <c r="BE73" i="30"/>
  <c r="BE78" i="30"/>
  <c r="BE72" i="30"/>
  <c r="BE69" i="30"/>
  <c r="BE68" i="30"/>
  <c r="BE66" i="30"/>
  <c r="BE65" i="30"/>
  <c r="BE64" i="30"/>
  <c r="BE63" i="30"/>
  <c r="BE62" i="30"/>
  <c r="BE61" i="30"/>
  <c r="BE60" i="30"/>
  <c r="BE59" i="30"/>
  <c r="BE58" i="30"/>
  <c r="BE57" i="30"/>
  <c r="BE56" i="30"/>
  <c r="BE55" i="30"/>
  <c r="BE54" i="30"/>
  <c r="BE53" i="30"/>
  <c r="BE52" i="30"/>
  <c r="BE51" i="30"/>
  <c r="BE49" i="30"/>
  <c r="BE45" i="30"/>
  <c r="BE44" i="30"/>
  <c r="BE43" i="30"/>
  <c r="BE42" i="30"/>
  <c r="BE41" i="30"/>
  <c r="BE40" i="30"/>
  <c r="BE39" i="30"/>
  <c r="BE101" i="30"/>
  <c r="BE93" i="30"/>
  <c r="BE50" i="30"/>
  <c r="BE38" i="30"/>
  <c r="BE81" i="30"/>
  <c r="BE75" i="30"/>
  <c r="BE71" i="30"/>
  <c r="BE47" i="30"/>
  <c r="BE46" i="30"/>
  <c r="BE48" i="30"/>
  <c r="BY26" i="30"/>
  <c r="BX34" i="30"/>
  <c r="BY34" i="30" s="1"/>
  <c r="BY27" i="30"/>
  <c r="BX4" i="30"/>
  <c r="Y114" i="30"/>
  <c r="Y113" i="30"/>
  <c r="Y109" i="30"/>
  <c r="AI36" i="30"/>
  <c r="CE55" i="30"/>
  <c r="CL55" i="30" s="1"/>
  <c r="CS55" i="30" s="1"/>
  <c r="CX55" i="30" s="1"/>
  <c r="BZ55" i="30"/>
  <c r="AJ6" i="30"/>
  <c r="AC5" i="30"/>
  <c r="BA141" i="30"/>
  <c r="AZ114" i="30"/>
  <c r="AZ113" i="30"/>
  <c r="AZ109" i="30"/>
  <c r="CE85" i="30"/>
  <c r="CL85" i="30" s="1"/>
  <c r="CS85" i="30" s="1"/>
  <c r="CX85" i="30" s="1"/>
  <c r="BZ85" i="30"/>
  <c r="BZ70" i="30"/>
  <c r="AJ104" i="30"/>
  <c r="AQ105" i="30"/>
  <c r="CE56" i="30"/>
  <c r="CL56" i="30" s="1"/>
  <c r="CS56" i="30" s="1"/>
  <c r="CX56" i="30" s="1"/>
  <c r="BZ56" i="30"/>
  <c r="BL138" i="30"/>
  <c r="BL123" i="30"/>
  <c r="BL122" i="30"/>
  <c r="BL121" i="30"/>
  <c r="BL120" i="30"/>
  <c r="BL119" i="30"/>
  <c r="BL118" i="30"/>
  <c r="BT124" i="30"/>
  <c r="BL124" i="30"/>
  <c r="BL117" i="30"/>
  <c r="BL116" i="30"/>
  <c r="BL102" i="30"/>
  <c r="BL101" i="30"/>
  <c r="BL100" i="30"/>
  <c r="BL99" i="30"/>
  <c r="BL98" i="30"/>
  <c r="BL106" i="30"/>
  <c r="BL105" i="30"/>
  <c r="BL104" i="30"/>
  <c r="BL111" i="30"/>
  <c r="BL97" i="30"/>
  <c r="BL96" i="30"/>
  <c r="BL95" i="30"/>
  <c r="BL94" i="30"/>
  <c r="BL93" i="30"/>
  <c r="BL91" i="30"/>
  <c r="BL90" i="30"/>
  <c r="BL89" i="30"/>
  <c r="BL88" i="30"/>
  <c r="BL81" i="30"/>
  <c r="BL80" i="30"/>
  <c r="BL79" i="30"/>
  <c r="BL78" i="30"/>
  <c r="BL77" i="30"/>
  <c r="BL76" i="30"/>
  <c r="BL75" i="30"/>
  <c r="BL74" i="30"/>
  <c r="BL73" i="30"/>
  <c r="BL72" i="30"/>
  <c r="BL71" i="30"/>
  <c r="BL70" i="30"/>
  <c r="BL110" i="30"/>
  <c r="BL66" i="30"/>
  <c r="BL87" i="30"/>
  <c r="BL86" i="30"/>
  <c r="BL85" i="30"/>
  <c r="BL84" i="30"/>
  <c r="BL83" i="30"/>
  <c r="BL64" i="30"/>
  <c r="BL60" i="30"/>
  <c r="BL50" i="30"/>
  <c r="BL68" i="30"/>
  <c r="BL65" i="30"/>
  <c r="BL61" i="30"/>
  <c r="BL47" i="30"/>
  <c r="BL46" i="30"/>
  <c r="BL45" i="30"/>
  <c r="BL44" i="30"/>
  <c r="BL43" i="30"/>
  <c r="BL42" i="30"/>
  <c r="BL41" i="30"/>
  <c r="BL40" i="30"/>
  <c r="BL39" i="30"/>
  <c r="BL62" i="30"/>
  <c r="BL48" i="30"/>
  <c r="BL38" i="30"/>
  <c r="BL49" i="30"/>
  <c r="BL59" i="30"/>
  <c r="BL57" i="30"/>
  <c r="BL55" i="30"/>
  <c r="BL53" i="30"/>
  <c r="BL69" i="30"/>
  <c r="BL51" i="30"/>
  <c r="BL63" i="30"/>
  <c r="BL58" i="30"/>
  <c r="BL56" i="30"/>
  <c r="BL54" i="30"/>
  <c r="BL52" i="30"/>
  <c r="BD36" i="30"/>
  <c r="BG16" i="30"/>
  <c r="AW16" i="30"/>
  <c r="AQ15" i="30"/>
  <c r="AV16" i="30"/>
  <c r="BZ45" i="30"/>
  <c r="G138" i="30"/>
  <c r="G123" i="30"/>
  <c r="G122" i="30"/>
  <c r="G121" i="30"/>
  <c r="G120" i="30"/>
  <c r="G119" i="30"/>
  <c r="K124" i="30"/>
  <c r="G118" i="30"/>
  <c r="G117" i="30"/>
  <c r="G116" i="30"/>
  <c r="G102" i="30"/>
  <c r="G101" i="30"/>
  <c r="G100" i="30"/>
  <c r="G99" i="30"/>
  <c r="G98" i="30"/>
  <c r="G124" i="30"/>
  <c r="G106" i="30"/>
  <c r="G105" i="30"/>
  <c r="G110" i="30"/>
  <c r="G97" i="30"/>
  <c r="G96" i="30"/>
  <c r="G95" i="30"/>
  <c r="G94" i="30"/>
  <c r="G111" i="30"/>
  <c r="G104" i="30"/>
  <c r="G93" i="30"/>
  <c r="G91" i="30"/>
  <c r="G90" i="30"/>
  <c r="G89" i="30"/>
  <c r="G83" i="30"/>
  <c r="G81" i="30"/>
  <c r="G80" i="30"/>
  <c r="G79" i="30"/>
  <c r="G78" i="30"/>
  <c r="G77" i="30"/>
  <c r="G76" i="30"/>
  <c r="G75" i="30"/>
  <c r="G74" i="30"/>
  <c r="G73" i="30"/>
  <c r="G72" i="30"/>
  <c r="G71" i="30"/>
  <c r="G68" i="30"/>
  <c r="G66" i="30"/>
  <c r="G88" i="30"/>
  <c r="G87" i="30"/>
  <c r="G86" i="30"/>
  <c r="G85" i="30"/>
  <c r="G84" i="30"/>
  <c r="G70" i="30"/>
  <c r="G69" i="30"/>
  <c r="G64" i="30"/>
  <c r="G60" i="30"/>
  <c r="G59" i="30"/>
  <c r="G58" i="30"/>
  <c r="G57" i="30"/>
  <c r="G56" i="30"/>
  <c r="G55" i="30"/>
  <c r="G54" i="30"/>
  <c r="G53" i="30"/>
  <c r="G52" i="30"/>
  <c r="G49" i="30"/>
  <c r="G65" i="30"/>
  <c r="G61" i="30"/>
  <c r="G50" i="30"/>
  <c r="G46" i="30"/>
  <c r="G45" i="30"/>
  <c r="G44" i="30"/>
  <c r="G43" i="30"/>
  <c r="G42" i="30"/>
  <c r="G41" i="30"/>
  <c r="G40" i="30"/>
  <c r="G62" i="30"/>
  <c r="G51" i="30"/>
  <c r="G47" i="30"/>
  <c r="G39" i="30"/>
  <c r="G63" i="30"/>
  <c r="G48" i="30"/>
  <c r="G38" i="30"/>
  <c r="F124" i="30"/>
  <c r="F142" i="30" s="1"/>
  <c r="BZ44" i="30"/>
  <c r="BX38" i="30"/>
  <c r="BZ99" i="30"/>
  <c r="AJ117" i="30"/>
  <c r="AC116" i="30"/>
  <c r="AN141" i="30"/>
  <c r="AM114" i="30"/>
  <c r="AM113" i="30"/>
  <c r="AM109" i="30"/>
  <c r="BF36" i="30"/>
  <c r="AN36" i="30"/>
  <c r="AN124" i="30"/>
  <c r="AN142" i="30" s="1"/>
  <c r="BS138" i="30"/>
  <c r="BS124" i="30"/>
  <c r="CD124" i="30"/>
  <c r="BS123" i="30"/>
  <c r="BS122" i="30"/>
  <c r="BS118" i="30"/>
  <c r="BS121" i="30"/>
  <c r="BS120" i="30"/>
  <c r="BS117" i="30"/>
  <c r="BS116" i="30"/>
  <c r="BS119" i="30"/>
  <c r="BS111" i="30"/>
  <c r="BS110" i="30"/>
  <c r="BS101" i="30"/>
  <c r="BS100" i="30"/>
  <c r="BS97" i="30"/>
  <c r="BS96" i="30"/>
  <c r="BS95" i="30"/>
  <c r="BS94" i="30"/>
  <c r="BS93" i="30"/>
  <c r="BS99" i="30"/>
  <c r="BS102" i="30"/>
  <c r="BS91" i="30"/>
  <c r="BS87" i="30"/>
  <c r="BS86" i="30"/>
  <c r="BS85" i="30"/>
  <c r="BS84" i="30"/>
  <c r="BS83" i="30"/>
  <c r="BS105" i="30"/>
  <c r="BS81" i="30"/>
  <c r="BS80" i="30"/>
  <c r="BS79" i="30"/>
  <c r="BS78" i="30"/>
  <c r="BS77" i="30"/>
  <c r="BS76" i="30"/>
  <c r="BS98" i="30"/>
  <c r="BS90" i="30"/>
  <c r="BS89" i="30"/>
  <c r="BS88" i="30"/>
  <c r="BS75" i="30"/>
  <c r="BS71" i="30"/>
  <c r="BS69" i="30"/>
  <c r="BS68" i="30"/>
  <c r="BS65" i="30"/>
  <c r="BS64" i="30"/>
  <c r="BS63" i="30"/>
  <c r="BS62" i="30"/>
  <c r="BS61" i="30"/>
  <c r="BS60" i="30"/>
  <c r="BS59" i="30"/>
  <c r="BS58" i="30"/>
  <c r="BS57" i="30"/>
  <c r="BS56" i="30"/>
  <c r="BS55" i="30"/>
  <c r="BS54" i="30"/>
  <c r="BS53" i="30"/>
  <c r="BS52" i="30"/>
  <c r="BS51" i="30"/>
  <c r="BS50" i="30"/>
  <c r="BS49" i="30"/>
  <c r="BS48" i="30"/>
  <c r="BS47" i="30"/>
  <c r="BS46" i="30"/>
  <c r="BS106" i="30"/>
  <c r="BS74" i="30"/>
  <c r="BS70" i="30"/>
  <c r="BS104" i="30"/>
  <c r="BS73" i="30"/>
  <c r="BS66" i="30"/>
  <c r="BS45" i="30"/>
  <c r="BS44" i="30"/>
  <c r="BS43" i="30"/>
  <c r="BS42" i="30"/>
  <c r="BS41" i="30"/>
  <c r="BS40" i="30"/>
  <c r="BS39" i="30"/>
  <c r="BS38" i="30"/>
  <c r="BS72" i="30"/>
  <c r="CB36" i="30"/>
  <c r="CB124" i="30"/>
  <c r="CB142" i="30" s="1"/>
  <c r="BJ114" i="30"/>
  <c r="BJ109" i="30"/>
  <c r="BJ113" i="30"/>
  <c r="BT36" i="30"/>
  <c r="T34" i="30" l="1"/>
  <c r="AJ35" i="30"/>
  <c r="AK35" i="30" s="1"/>
  <c r="O206" i="31"/>
  <c r="CS138" i="30"/>
  <c r="CX138" i="30" s="1"/>
  <c r="CR138" i="30"/>
  <c r="CP138" i="30"/>
  <c r="CQ138" i="30"/>
  <c r="N141" i="30"/>
  <c r="BS141" i="30"/>
  <c r="AA141" i="30"/>
  <c r="BT113" i="30"/>
  <c r="BK113" i="30"/>
  <c r="BF114" i="30"/>
  <c r="AN114" i="30"/>
  <c r="AJ116" i="30"/>
  <c r="AQ117" i="30"/>
  <c r="BN16" i="30"/>
  <c r="BG15" i="30"/>
  <c r="AC33" i="30"/>
  <c r="AD33" i="30" s="1"/>
  <c r="AD24" i="30"/>
  <c r="AD23" i="30"/>
  <c r="AD8" i="30"/>
  <c r="AC4" i="30"/>
  <c r="BM114" i="30"/>
  <c r="BD114" i="30"/>
  <c r="BA124" i="30"/>
  <c r="BA142" i="30" s="1"/>
  <c r="CD109" i="30"/>
  <c r="BQ112" i="30"/>
  <c r="BR109" i="30"/>
  <c r="AT112" i="30"/>
  <c r="AU109" i="30"/>
  <c r="AJ22" i="30"/>
  <c r="AP114" i="30"/>
  <c r="AG114" i="30"/>
  <c r="CK114" i="30"/>
  <c r="CB114" i="30"/>
  <c r="CR114" i="30"/>
  <c r="CI114" i="30"/>
  <c r="H137" i="30"/>
  <c r="I112" i="30"/>
  <c r="BY138" i="30"/>
  <c r="BY130" i="30"/>
  <c r="BY134" i="30"/>
  <c r="BY133" i="30"/>
  <c r="BY131" i="30"/>
  <c r="BY132" i="30"/>
  <c r="BY129" i="30"/>
  <c r="BY125" i="30"/>
  <c r="BY126" i="30"/>
  <c r="BY127" i="30"/>
  <c r="BY128" i="30"/>
  <c r="BY122" i="30"/>
  <c r="BY118" i="30"/>
  <c r="BY117" i="30"/>
  <c r="BY116" i="30"/>
  <c r="BY121" i="30"/>
  <c r="BY123" i="30"/>
  <c r="BY120" i="30"/>
  <c r="BY106" i="30"/>
  <c r="BY105" i="30"/>
  <c r="BY104" i="30"/>
  <c r="BY111" i="30"/>
  <c r="BY110" i="30"/>
  <c r="BY101" i="30"/>
  <c r="BY119" i="30"/>
  <c r="BY100" i="30"/>
  <c r="BY91" i="30"/>
  <c r="BY90" i="30"/>
  <c r="BY89" i="30"/>
  <c r="BY88" i="30"/>
  <c r="BY99" i="30"/>
  <c r="BY97" i="30"/>
  <c r="BY96" i="30"/>
  <c r="BY95" i="30"/>
  <c r="BY94" i="30"/>
  <c r="BY98" i="30"/>
  <c r="BY93" i="30"/>
  <c r="BY87" i="30"/>
  <c r="BY86" i="30"/>
  <c r="BY85" i="30"/>
  <c r="BY84" i="30"/>
  <c r="BY83" i="30"/>
  <c r="BY102" i="30"/>
  <c r="BY81" i="30"/>
  <c r="BY75" i="30"/>
  <c r="BY71" i="30"/>
  <c r="BY66" i="30"/>
  <c r="BY80" i="30"/>
  <c r="BY74" i="30"/>
  <c r="BY70" i="30"/>
  <c r="BY79" i="30"/>
  <c r="BY77" i="30"/>
  <c r="BY76" i="30"/>
  <c r="BY73" i="30"/>
  <c r="BY69" i="30"/>
  <c r="BY68" i="30"/>
  <c r="BY65" i="30"/>
  <c r="BY64" i="30"/>
  <c r="BY63" i="30"/>
  <c r="BY62" i="30"/>
  <c r="BY61" i="30"/>
  <c r="BY60" i="30"/>
  <c r="BY59" i="30"/>
  <c r="BY58" i="30"/>
  <c r="BY57" i="30"/>
  <c r="BY56" i="30"/>
  <c r="BY55" i="30"/>
  <c r="BY54" i="30"/>
  <c r="BY53" i="30"/>
  <c r="BY52" i="30"/>
  <c r="BY51" i="30"/>
  <c r="BY49" i="30"/>
  <c r="BY45" i="30"/>
  <c r="BY44" i="30"/>
  <c r="BY43" i="30"/>
  <c r="BY42" i="30"/>
  <c r="BY41" i="30"/>
  <c r="BY40" i="30"/>
  <c r="BY39" i="30"/>
  <c r="BY36" i="30"/>
  <c r="BY22" i="30"/>
  <c r="BY19" i="30"/>
  <c r="BY11" i="30"/>
  <c r="BY50" i="30"/>
  <c r="BY46" i="30"/>
  <c r="BY38" i="30"/>
  <c r="BX36" i="30"/>
  <c r="BY72" i="30"/>
  <c r="BY47" i="30"/>
  <c r="BY78" i="30"/>
  <c r="BY48" i="30"/>
  <c r="BY18" i="30"/>
  <c r="BY6" i="30"/>
  <c r="BY15" i="30"/>
  <c r="BY5" i="30"/>
  <c r="BY16" i="30"/>
  <c r="BY7" i="30"/>
  <c r="BY13" i="30"/>
  <c r="BY12" i="30"/>
  <c r="BY10" i="30"/>
  <c r="BY4" i="30"/>
  <c r="AQ11" i="30"/>
  <c r="AJ10" i="30"/>
  <c r="AW30" i="30"/>
  <c r="AQ29" i="30"/>
  <c r="AV29" i="30" s="1"/>
  <c r="BG30" i="30"/>
  <c r="AV30" i="30"/>
  <c r="G141" i="30"/>
  <c r="BA114" i="30"/>
  <c r="AQ6" i="30"/>
  <c r="AJ5" i="30"/>
  <c r="AI109" i="30"/>
  <c r="Y112" i="30"/>
  <c r="Z109" i="30"/>
  <c r="BE141" i="30"/>
  <c r="CC141" i="30"/>
  <c r="BC112" i="30"/>
  <c r="BM109" i="30"/>
  <c r="BD109" i="30"/>
  <c r="M142" i="30"/>
  <c r="M141" i="30"/>
  <c r="CD113" i="30"/>
  <c r="BR113" i="30"/>
  <c r="B137" i="30"/>
  <c r="C112" i="30"/>
  <c r="AQ19" i="30"/>
  <c r="AJ18" i="30"/>
  <c r="AV94" i="30"/>
  <c r="BG94" i="30"/>
  <c r="AQ93" i="30"/>
  <c r="AV93" i="30" s="1"/>
  <c r="AW94" i="30"/>
  <c r="AU113" i="30"/>
  <c r="AB114" i="30"/>
  <c r="P114" i="30"/>
  <c r="R114" i="30"/>
  <c r="BG24" i="30"/>
  <c r="AW24" i="30"/>
  <c r="AQ23" i="30"/>
  <c r="AV24" i="30"/>
  <c r="CJ141" i="30"/>
  <c r="CH112" i="30"/>
  <c r="CR109" i="30"/>
  <c r="CI109" i="30"/>
  <c r="BT109" i="30"/>
  <c r="BJ112" i="30"/>
  <c r="BK109" i="30"/>
  <c r="BT114" i="30"/>
  <c r="BK114" i="30"/>
  <c r="AM112" i="30"/>
  <c r="BF109" i="30"/>
  <c r="AN109" i="30"/>
  <c r="AR30" i="30"/>
  <c r="AV15" i="30"/>
  <c r="AI113" i="30"/>
  <c r="Z113" i="30"/>
  <c r="CL110" i="30"/>
  <c r="AJ39" i="30"/>
  <c r="AQ40" i="30"/>
  <c r="BM113" i="30"/>
  <c r="BD113" i="30"/>
  <c r="BG27" i="30"/>
  <c r="AW27" i="30"/>
  <c r="AQ26" i="30"/>
  <c r="AV26" i="30" s="1"/>
  <c r="AV27" i="30"/>
  <c r="E137" i="30"/>
  <c r="K112" i="30"/>
  <c r="F112" i="30"/>
  <c r="CD114" i="30"/>
  <c r="BR114" i="30"/>
  <c r="CV124" i="30"/>
  <c r="BG126" i="30"/>
  <c r="AW126" i="30"/>
  <c r="AQ125" i="30"/>
  <c r="AV125" i="30" s="1"/>
  <c r="AV126" i="30"/>
  <c r="CV36" i="30"/>
  <c r="CW22" i="30"/>
  <c r="CW141" i="30" s="1"/>
  <c r="T138" i="30"/>
  <c r="T134" i="30"/>
  <c r="T132" i="30"/>
  <c r="T133" i="30"/>
  <c r="T131" i="30"/>
  <c r="T127" i="30"/>
  <c r="T128" i="30"/>
  <c r="T129" i="30"/>
  <c r="T121" i="30"/>
  <c r="T118" i="30"/>
  <c r="T117" i="30"/>
  <c r="T130" i="30"/>
  <c r="T126" i="30"/>
  <c r="T120" i="30"/>
  <c r="T116" i="30"/>
  <c r="T125" i="30"/>
  <c r="T123" i="30"/>
  <c r="T119" i="30"/>
  <c r="T106" i="30"/>
  <c r="T105" i="30"/>
  <c r="T122" i="30"/>
  <c r="T111" i="30"/>
  <c r="T110" i="30"/>
  <c r="T104" i="30"/>
  <c r="T100" i="30"/>
  <c r="T93" i="30"/>
  <c r="T99" i="30"/>
  <c r="T91" i="30"/>
  <c r="T90" i="30"/>
  <c r="T89" i="30"/>
  <c r="T88" i="30"/>
  <c r="T102" i="30"/>
  <c r="T98" i="30"/>
  <c r="T97" i="30"/>
  <c r="T96" i="30"/>
  <c r="T95" i="30"/>
  <c r="T94" i="30"/>
  <c r="T101" i="30"/>
  <c r="T87" i="30"/>
  <c r="T86" i="30"/>
  <c r="T85" i="30"/>
  <c r="T84" i="30"/>
  <c r="T83" i="30"/>
  <c r="T78" i="30"/>
  <c r="T74" i="30"/>
  <c r="T81" i="30"/>
  <c r="T77" i="30"/>
  <c r="T76" i="30"/>
  <c r="T73" i="30"/>
  <c r="T80" i="30"/>
  <c r="T72" i="30"/>
  <c r="T70" i="30"/>
  <c r="T69" i="30"/>
  <c r="T66" i="30"/>
  <c r="T65" i="30"/>
  <c r="T64" i="30"/>
  <c r="T63" i="30"/>
  <c r="T62" i="30"/>
  <c r="T61" i="30"/>
  <c r="T60" i="30"/>
  <c r="T59" i="30"/>
  <c r="T58" i="30"/>
  <c r="T57" i="30"/>
  <c r="T56" i="30"/>
  <c r="T55" i="30"/>
  <c r="T54" i="30"/>
  <c r="T53" i="30"/>
  <c r="T52" i="30"/>
  <c r="T48" i="30"/>
  <c r="T45" i="30"/>
  <c r="T44" i="30"/>
  <c r="T43" i="30"/>
  <c r="T42" i="30"/>
  <c r="T41" i="30"/>
  <c r="T40" i="30"/>
  <c r="S36" i="30"/>
  <c r="T13" i="30"/>
  <c r="T79" i="30"/>
  <c r="T68" i="30"/>
  <c r="T49" i="30"/>
  <c r="T39" i="30"/>
  <c r="T16" i="30"/>
  <c r="T15" i="30"/>
  <c r="T75" i="30"/>
  <c r="T71" i="30"/>
  <c r="T50" i="30"/>
  <c r="T38" i="30"/>
  <c r="T19" i="30"/>
  <c r="T18" i="30"/>
  <c r="T51" i="30"/>
  <c r="T47" i="30"/>
  <c r="T46" i="30"/>
  <c r="T12" i="30"/>
  <c r="T7" i="30"/>
  <c r="X4" i="30"/>
  <c r="T36" i="30"/>
  <c r="T22" i="30"/>
  <c r="T11" i="30"/>
  <c r="T10" i="30"/>
  <c r="T6" i="30"/>
  <c r="T5" i="30"/>
  <c r="T4" i="30"/>
  <c r="AB109" i="30"/>
  <c r="O112" i="30"/>
  <c r="P109" i="30"/>
  <c r="AF112" i="30"/>
  <c r="AP109" i="30"/>
  <c r="AG109" i="30"/>
  <c r="CA112" i="30"/>
  <c r="CK109" i="30"/>
  <c r="CB109" i="30"/>
  <c r="CR113" i="30"/>
  <c r="CI113" i="30"/>
  <c r="J141" i="30"/>
  <c r="BA113" i="30"/>
  <c r="BF113" i="30"/>
  <c r="AN113" i="30"/>
  <c r="BX124" i="30"/>
  <c r="AW15" i="30"/>
  <c r="BB16" i="30"/>
  <c r="BL141" i="30"/>
  <c r="AW105" i="30"/>
  <c r="AV105" i="30"/>
  <c r="BG105" i="30"/>
  <c r="AQ104" i="30"/>
  <c r="AV104" i="30" s="1"/>
  <c r="AZ112" i="30"/>
  <c r="BA109" i="30"/>
  <c r="AI114" i="30"/>
  <c r="Z114" i="30"/>
  <c r="AQ84" i="30"/>
  <c r="AJ83" i="30"/>
  <c r="AC34" i="30"/>
  <c r="AD34" i="30" s="1"/>
  <c r="AD27" i="30"/>
  <c r="AD26" i="30"/>
  <c r="AQ69" i="30"/>
  <c r="AJ68" i="30"/>
  <c r="AO141" i="30"/>
  <c r="AC38" i="30"/>
  <c r="AC124" i="30" s="1"/>
  <c r="AH141" i="30"/>
  <c r="V139" i="30"/>
  <c r="W137" i="30"/>
  <c r="L114" i="30"/>
  <c r="M114" i="30" s="1"/>
  <c r="L113" i="30"/>
  <c r="M113" i="30" s="1"/>
  <c r="L109" i="30"/>
  <c r="M36" i="30"/>
  <c r="CO137" i="30"/>
  <c r="CP112" i="30"/>
  <c r="AU114" i="30"/>
  <c r="Q141" i="30"/>
  <c r="AB113" i="30"/>
  <c r="P113" i="30"/>
  <c r="AP113" i="30"/>
  <c r="AG113" i="30"/>
  <c r="CK113" i="30"/>
  <c r="CB113" i="30"/>
  <c r="S124" i="30"/>
  <c r="X38" i="30"/>
  <c r="R109" i="30"/>
  <c r="AQ35" i="30" l="1"/>
  <c r="AV35" i="30" s="1"/>
  <c r="CP142" i="30"/>
  <c r="CP141" i="30"/>
  <c r="AX30" i="30"/>
  <c r="BB15" i="30"/>
  <c r="B139" i="30"/>
  <c r="C139" i="30" s="1"/>
  <c r="C137" i="30"/>
  <c r="BY141" i="30"/>
  <c r="BQ137" i="30"/>
  <c r="CD112" i="30"/>
  <c r="BR112" i="30"/>
  <c r="BH30" i="30"/>
  <c r="CS110" i="30"/>
  <c r="U138" i="30"/>
  <c r="U120" i="30"/>
  <c r="U124" i="30"/>
  <c r="U123" i="30"/>
  <c r="U119" i="30"/>
  <c r="U122" i="30"/>
  <c r="U116" i="30"/>
  <c r="U106" i="30"/>
  <c r="U105" i="30"/>
  <c r="U111" i="30"/>
  <c r="U110" i="30"/>
  <c r="U104" i="30"/>
  <c r="U121" i="30"/>
  <c r="U117" i="30"/>
  <c r="U99" i="30"/>
  <c r="U102" i="30"/>
  <c r="U98" i="30"/>
  <c r="U101" i="30"/>
  <c r="U97" i="30"/>
  <c r="U96" i="30"/>
  <c r="U95" i="30"/>
  <c r="U94" i="30"/>
  <c r="U100" i="30"/>
  <c r="U87" i="30"/>
  <c r="U86" i="30"/>
  <c r="U85" i="30"/>
  <c r="U84" i="30"/>
  <c r="U93" i="30"/>
  <c r="U91" i="30"/>
  <c r="U90" i="30"/>
  <c r="U89" i="30"/>
  <c r="U83" i="30"/>
  <c r="U81" i="30"/>
  <c r="U80" i="30"/>
  <c r="U79" i="30"/>
  <c r="U78" i="30"/>
  <c r="U77" i="30"/>
  <c r="U76" i="30"/>
  <c r="U73" i="30"/>
  <c r="U72" i="30"/>
  <c r="U70" i="30"/>
  <c r="U69" i="30"/>
  <c r="U66" i="30"/>
  <c r="U65" i="30"/>
  <c r="U64" i="30"/>
  <c r="U63" i="30"/>
  <c r="U62" i="30"/>
  <c r="U61" i="30"/>
  <c r="U60" i="30"/>
  <c r="U59" i="30"/>
  <c r="U58" i="30"/>
  <c r="U57" i="30"/>
  <c r="U56" i="30"/>
  <c r="U55" i="30"/>
  <c r="U54" i="30"/>
  <c r="U53" i="30"/>
  <c r="U52" i="30"/>
  <c r="U51" i="30"/>
  <c r="U50" i="30"/>
  <c r="U49" i="30"/>
  <c r="U48" i="30"/>
  <c r="U47" i="30"/>
  <c r="U118" i="30"/>
  <c r="U88" i="30"/>
  <c r="U75" i="30"/>
  <c r="U71" i="30"/>
  <c r="U68" i="30"/>
  <c r="U39" i="30"/>
  <c r="U38" i="30"/>
  <c r="U46" i="30"/>
  <c r="U74" i="30"/>
  <c r="U43" i="30"/>
  <c r="U42" i="30"/>
  <c r="U44" i="30"/>
  <c r="U40" i="30"/>
  <c r="U45" i="30"/>
  <c r="U41" i="30"/>
  <c r="X124" i="30"/>
  <c r="CO139" i="30"/>
  <c r="CP139" i="30" s="1"/>
  <c r="CP137" i="30"/>
  <c r="BG69" i="30"/>
  <c r="AQ68" i="30"/>
  <c r="AV68" i="30" s="1"/>
  <c r="AW69" i="30"/>
  <c r="AV69" i="30"/>
  <c r="AW104" i="30"/>
  <c r="BB104" i="30" s="1"/>
  <c r="BB105" i="30"/>
  <c r="O137" i="30"/>
  <c r="R137" i="30" s="1"/>
  <c r="AB112" i="30"/>
  <c r="P112" i="30"/>
  <c r="S114" i="30"/>
  <c r="S113" i="30"/>
  <c r="S109" i="30"/>
  <c r="X36" i="30"/>
  <c r="T124" i="30"/>
  <c r="T142" i="30" s="1"/>
  <c r="CW124" i="30"/>
  <c r="CW142" i="30" s="1"/>
  <c r="AW26" i="30"/>
  <c r="BB26" i="30" s="1"/>
  <c r="BB27" i="30"/>
  <c r="AW40" i="30"/>
  <c r="BG40" i="30"/>
  <c r="AQ39" i="30"/>
  <c r="AV40" i="30"/>
  <c r="AR29" i="30"/>
  <c r="AQ22" i="30"/>
  <c r="AV22" i="30" s="1"/>
  <c r="AV23" i="30"/>
  <c r="AW93" i="30"/>
  <c r="BB93" i="30" s="1"/>
  <c r="BB94" i="30"/>
  <c r="AK24" i="30"/>
  <c r="AK23" i="30"/>
  <c r="AK8" i="30"/>
  <c r="AJ33" i="30"/>
  <c r="AK33" i="30" s="1"/>
  <c r="AJ4" i="30"/>
  <c r="AW29" i="30"/>
  <c r="BB29" i="30" s="1"/>
  <c r="BB30" i="30"/>
  <c r="AT137" i="30"/>
  <c r="AU112" i="30"/>
  <c r="BN15" i="30"/>
  <c r="BU16" i="30"/>
  <c r="AW125" i="30"/>
  <c r="BB125" i="30" s="1"/>
  <c r="BB126" i="30"/>
  <c r="E139" i="30"/>
  <c r="K137" i="30"/>
  <c r="F137" i="30"/>
  <c r="BN27" i="30"/>
  <c r="BG26" i="30"/>
  <c r="AJ38" i="30"/>
  <c r="AJ124" i="30" s="1"/>
  <c r="AM137" i="30"/>
  <c r="BF112" i="30"/>
  <c r="AN112" i="30"/>
  <c r="BJ137" i="30"/>
  <c r="BT112" i="30"/>
  <c r="BK112" i="30"/>
  <c r="CH137" i="30"/>
  <c r="CR112" i="30"/>
  <c r="CI112" i="30"/>
  <c r="AW23" i="30"/>
  <c r="BB24" i="30"/>
  <c r="BG19" i="30"/>
  <c r="AW19" i="30"/>
  <c r="AQ18" i="30"/>
  <c r="AV18" i="30" s="1"/>
  <c r="AV19" i="30"/>
  <c r="BG6" i="30"/>
  <c r="AW6" i="30"/>
  <c r="AQ5" i="30"/>
  <c r="AV6" i="30"/>
  <c r="AK26" i="30"/>
  <c r="AJ34" i="30"/>
  <c r="AK34" i="30" s="1"/>
  <c r="AK27" i="30"/>
  <c r="R112" i="30"/>
  <c r="AD138" i="30"/>
  <c r="AD131" i="30"/>
  <c r="AD132" i="30"/>
  <c r="AD126" i="30"/>
  <c r="AD133" i="30"/>
  <c r="AD130" i="30"/>
  <c r="AD127" i="30"/>
  <c r="AD124" i="30"/>
  <c r="AD134" i="30"/>
  <c r="AD128" i="30"/>
  <c r="AD129" i="30"/>
  <c r="AD122" i="30"/>
  <c r="AD123" i="30"/>
  <c r="AD121" i="30"/>
  <c r="AD120" i="30"/>
  <c r="AD119" i="30"/>
  <c r="AD118" i="30"/>
  <c r="AD106" i="30"/>
  <c r="AD105" i="30"/>
  <c r="AD104" i="30"/>
  <c r="AD111" i="30"/>
  <c r="AD110" i="30"/>
  <c r="AD125" i="30"/>
  <c r="AD101" i="30"/>
  <c r="AD100" i="30"/>
  <c r="AD117" i="30"/>
  <c r="AD99" i="30"/>
  <c r="AD97" i="30"/>
  <c r="AD96" i="30"/>
  <c r="AD95" i="30"/>
  <c r="AD94" i="30"/>
  <c r="AD93" i="30"/>
  <c r="AD102" i="30"/>
  <c r="AD116" i="30"/>
  <c r="AD91" i="30"/>
  <c r="AD90" i="30"/>
  <c r="AD89" i="30"/>
  <c r="AD88" i="30"/>
  <c r="AD87" i="30"/>
  <c r="AD86" i="30"/>
  <c r="AD85" i="30"/>
  <c r="AD84" i="30"/>
  <c r="AD83" i="30"/>
  <c r="AD98" i="30"/>
  <c r="AD81" i="30"/>
  <c r="AD80" i="30"/>
  <c r="AD79" i="30"/>
  <c r="AD78" i="30"/>
  <c r="AD77" i="30"/>
  <c r="AD76" i="30"/>
  <c r="AD75" i="30"/>
  <c r="AD71" i="30"/>
  <c r="AD74" i="30"/>
  <c r="AD70" i="30"/>
  <c r="AD69" i="30"/>
  <c r="AD68" i="30"/>
  <c r="AD65" i="30"/>
  <c r="AD64" i="30"/>
  <c r="AD63" i="30"/>
  <c r="AD62" i="30"/>
  <c r="AD61" i="30"/>
  <c r="AD60" i="30"/>
  <c r="AD59" i="30"/>
  <c r="AD58" i="30"/>
  <c r="AD57" i="30"/>
  <c r="AD56" i="30"/>
  <c r="AD55" i="30"/>
  <c r="AD54" i="30"/>
  <c r="AD53" i="30"/>
  <c r="AD52" i="30"/>
  <c r="AD51" i="30"/>
  <c r="AD50" i="30"/>
  <c r="AD49" i="30"/>
  <c r="AD48" i="30"/>
  <c r="AD47" i="30"/>
  <c r="AD73" i="30"/>
  <c r="AD66" i="30"/>
  <c r="AD46" i="30"/>
  <c r="AD38" i="30"/>
  <c r="AC36" i="30"/>
  <c r="AD12" i="30"/>
  <c r="AD15" i="30"/>
  <c r="AD13" i="30"/>
  <c r="AD18" i="30"/>
  <c r="AD44" i="30"/>
  <c r="AD40" i="30"/>
  <c r="AD19" i="30"/>
  <c r="AD11" i="30"/>
  <c r="AD10" i="30"/>
  <c r="AD7" i="30"/>
  <c r="AD43" i="30"/>
  <c r="AD39" i="30"/>
  <c r="AD16" i="30"/>
  <c r="AD45" i="30"/>
  <c r="AD41" i="30"/>
  <c r="AD36" i="30"/>
  <c r="AD72" i="30"/>
  <c r="AD42" i="30"/>
  <c r="AD5" i="30"/>
  <c r="AD4" i="30"/>
  <c r="AD22" i="30"/>
  <c r="AD6" i="30"/>
  <c r="AW117" i="30"/>
  <c r="BG117" i="30"/>
  <c r="AQ116" i="30"/>
  <c r="AV116" i="30" s="1"/>
  <c r="AV117" i="30"/>
  <c r="AZ137" i="30"/>
  <c r="BA112" i="30"/>
  <c r="CA137" i="30"/>
  <c r="CK112" i="30"/>
  <c r="CB112" i="30"/>
  <c r="AE138" i="30"/>
  <c r="AE123" i="30"/>
  <c r="AE124" i="30"/>
  <c r="AE121" i="30"/>
  <c r="AE120" i="30"/>
  <c r="AE119" i="30"/>
  <c r="AE118" i="30"/>
  <c r="AE117" i="30"/>
  <c r="AE116" i="30"/>
  <c r="AE111" i="30"/>
  <c r="AE110" i="30"/>
  <c r="AE104" i="30"/>
  <c r="AE100" i="30"/>
  <c r="AE99" i="30"/>
  <c r="AE97" i="30"/>
  <c r="AE96" i="30"/>
  <c r="AE95" i="30"/>
  <c r="AE94" i="30"/>
  <c r="AE93" i="30"/>
  <c r="AE106" i="30"/>
  <c r="AE105" i="30"/>
  <c r="AE102" i="30"/>
  <c r="AE98" i="30"/>
  <c r="AE91" i="30"/>
  <c r="AE90" i="30"/>
  <c r="AE89" i="30"/>
  <c r="AE88" i="30"/>
  <c r="AE87" i="30"/>
  <c r="AE86" i="30"/>
  <c r="AE85" i="30"/>
  <c r="AE84" i="30"/>
  <c r="AE83" i="30"/>
  <c r="AE81" i="30"/>
  <c r="AE80" i="30"/>
  <c r="AE79" i="30"/>
  <c r="AE78" i="30"/>
  <c r="AE77" i="30"/>
  <c r="AE76" i="30"/>
  <c r="AE74" i="30"/>
  <c r="AE70" i="30"/>
  <c r="AE69" i="30"/>
  <c r="AE68" i="30"/>
  <c r="AE65" i="30"/>
  <c r="AE64" i="30"/>
  <c r="AE63" i="30"/>
  <c r="AE62" i="30"/>
  <c r="AE61" i="30"/>
  <c r="AE60" i="30"/>
  <c r="AE59" i="30"/>
  <c r="AE58" i="30"/>
  <c r="AE57" i="30"/>
  <c r="AE56" i="30"/>
  <c r="AE55" i="30"/>
  <c r="AE54" i="30"/>
  <c r="AE53" i="30"/>
  <c r="AE52" i="30"/>
  <c r="AE51" i="30"/>
  <c r="AE50" i="30"/>
  <c r="AE49" i="30"/>
  <c r="AE48" i="30"/>
  <c r="AE47" i="30"/>
  <c r="AE46" i="30"/>
  <c r="AE73" i="30"/>
  <c r="AE66" i="30"/>
  <c r="AE101" i="30"/>
  <c r="AE72" i="30"/>
  <c r="AE45" i="30"/>
  <c r="AE44" i="30"/>
  <c r="AE43" i="30"/>
  <c r="AE42" i="30"/>
  <c r="AE41" i="30"/>
  <c r="AE40" i="30"/>
  <c r="AE39" i="30"/>
  <c r="AE75" i="30"/>
  <c r="AE122" i="30"/>
  <c r="AE71" i="30"/>
  <c r="AE38" i="30"/>
  <c r="L112" i="30"/>
  <c r="M109" i="30"/>
  <c r="W139" i="30"/>
  <c r="BG84" i="30"/>
  <c r="AQ83" i="30"/>
  <c r="AV83" i="30" s="1"/>
  <c r="AW84" i="30"/>
  <c r="AV84" i="30"/>
  <c r="BN105" i="30"/>
  <c r="BG104" i="30"/>
  <c r="AF137" i="30"/>
  <c r="AP112" i="30"/>
  <c r="AG112" i="30"/>
  <c r="T141" i="30"/>
  <c r="CV114" i="30"/>
  <c r="CV113" i="30"/>
  <c r="CV109" i="30"/>
  <c r="CW36" i="30"/>
  <c r="BN126" i="30"/>
  <c r="BG125" i="30"/>
  <c r="AR35" i="30"/>
  <c r="BN24" i="30"/>
  <c r="BG23" i="30"/>
  <c r="BG93" i="30"/>
  <c r="BN94" i="30"/>
  <c r="BC137" i="30"/>
  <c r="BM112" i="30"/>
  <c r="BD112" i="30"/>
  <c r="Y137" i="30"/>
  <c r="AI112" i="30"/>
  <c r="Z112" i="30"/>
  <c r="BN30" i="30"/>
  <c r="BG29" i="30"/>
  <c r="BG35" i="30" s="1"/>
  <c r="BH35" i="30" s="1"/>
  <c r="AW11" i="30"/>
  <c r="BG11" i="30"/>
  <c r="AV11" i="30"/>
  <c r="AQ10" i="30"/>
  <c r="BX114" i="30"/>
  <c r="BX113" i="30"/>
  <c r="BX109" i="30"/>
  <c r="BY124" i="30"/>
  <c r="BY142" i="30" s="1"/>
  <c r="H139" i="30"/>
  <c r="I137" i="30"/>
  <c r="BG22" i="30" l="1"/>
  <c r="I139" i="30"/>
  <c r="CW113" i="30"/>
  <c r="L137" i="30"/>
  <c r="M112" i="30"/>
  <c r="AW116" i="30"/>
  <c r="BB116" i="30" s="1"/>
  <c r="BB117" i="30"/>
  <c r="AM139" i="30"/>
  <c r="BF137" i="30"/>
  <c r="AN137" i="30"/>
  <c r="AK138" i="30"/>
  <c r="AK134" i="30"/>
  <c r="AK132" i="30"/>
  <c r="AK133" i="30"/>
  <c r="AK127" i="30"/>
  <c r="AK131" i="30"/>
  <c r="AK128" i="30"/>
  <c r="AK130" i="30"/>
  <c r="AK129" i="30"/>
  <c r="AK126" i="30"/>
  <c r="AK125" i="30"/>
  <c r="AK120" i="30"/>
  <c r="AK118" i="30"/>
  <c r="AK117" i="30"/>
  <c r="AK123" i="30"/>
  <c r="AK119" i="30"/>
  <c r="AK124" i="30"/>
  <c r="AK122" i="30"/>
  <c r="AK106" i="30"/>
  <c r="AK105" i="30"/>
  <c r="AK104" i="30"/>
  <c r="AK121" i="30"/>
  <c r="AK111" i="30"/>
  <c r="AK110" i="30"/>
  <c r="AK99" i="30"/>
  <c r="AK116" i="30"/>
  <c r="AK102" i="30"/>
  <c r="AK98" i="30"/>
  <c r="AK91" i="30"/>
  <c r="AK90" i="30"/>
  <c r="AK89" i="30"/>
  <c r="AK88" i="30"/>
  <c r="AK101" i="30"/>
  <c r="AK93" i="30"/>
  <c r="AK87" i="30"/>
  <c r="AK86" i="30"/>
  <c r="AK85" i="30"/>
  <c r="AK84" i="30"/>
  <c r="AK83" i="30"/>
  <c r="AK100" i="30"/>
  <c r="AK94" i="30"/>
  <c r="AK81" i="30"/>
  <c r="AK77" i="30"/>
  <c r="AK76" i="30"/>
  <c r="AK73" i="30"/>
  <c r="AK66" i="30"/>
  <c r="AK95" i="30"/>
  <c r="AK80" i="30"/>
  <c r="AK72" i="30"/>
  <c r="AK96" i="30"/>
  <c r="AK79" i="30"/>
  <c r="AK75" i="30"/>
  <c r="AK71" i="30"/>
  <c r="AK69" i="30"/>
  <c r="AK68" i="30"/>
  <c r="AK65" i="30"/>
  <c r="AK64" i="30"/>
  <c r="AK63" i="30"/>
  <c r="AK62" i="30"/>
  <c r="AK61" i="30"/>
  <c r="AK60" i="30"/>
  <c r="AK59" i="30"/>
  <c r="AK58" i="30"/>
  <c r="AK57" i="30"/>
  <c r="AK56" i="30"/>
  <c r="AK55" i="30"/>
  <c r="AK54" i="30"/>
  <c r="AK53" i="30"/>
  <c r="AK52" i="30"/>
  <c r="AK48" i="30"/>
  <c r="AK45" i="30"/>
  <c r="AK44" i="30"/>
  <c r="AK43" i="30"/>
  <c r="AK42" i="30"/>
  <c r="AK41" i="30"/>
  <c r="AK40" i="30"/>
  <c r="AK39" i="30"/>
  <c r="AK15" i="30"/>
  <c r="AK13" i="30"/>
  <c r="AK78" i="30"/>
  <c r="AK49" i="30"/>
  <c r="AK38" i="30"/>
  <c r="AK18" i="30"/>
  <c r="AK16" i="30"/>
  <c r="AK97" i="30"/>
  <c r="AK50" i="30"/>
  <c r="AK22" i="30"/>
  <c r="AK19" i="30"/>
  <c r="AK51" i="30"/>
  <c r="AK47" i="30"/>
  <c r="AK46" i="30"/>
  <c r="AK11" i="30"/>
  <c r="AK10" i="30"/>
  <c r="AK74" i="30"/>
  <c r="AK5" i="30"/>
  <c r="AK4" i="30"/>
  <c r="AK70" i="30"/>
  <c r="AJ36" i="30"/>
  <c r="AK12" i="30"/>
  <c r="AK6" i="30"/>
  <c r="AK7" i="30"/>
  <c r="AW10" i="30"/>
  <c r="BB11" i="30"/>
  <c r="BN23" i="30"/>
  <c r="BU24" i="30"/>
  <c r="CW114" i="30"/>
  <c r="CA139" i="30"/>
  <c r="CK137" i="30"/>
  <c r="CB137" i="30"/>
  <c r="BN6" i="30"/>
  <c r="BG5" i="30"/>
  <c r="BN19" i="30"/>
  <c r="BG18" i="30"/>
  <c r="BJ139" i="30"/>
  <c r="BT137" i="30"/>
  <c r="BK137" i="30"/>
  <c r="AL138" i="30"/>
  <c r="AL124" i="30"/>
  <c r="AL123" i="30"/>
  <c r="AL119" i="30"/>
  <c r="AL122" i="30"/>
  <c r="AL121" i="30"/>
  <c r="AL120" i="30"/>
  <c r="AL117" i="30"/>
  <c r="AL106" i="30"/>
  <c r="AL105" i="30"/>
  <c r="AL104" i="30"/>
  <c r="AL118" i="30"/>
  <c r="AL111" i="30"/>
  <c r="AL110" i="30"/>
  <c r="AL116" i="30"/>
  <c r="AL102" i="30"/>
  <c r="AL98" i="30"/>
  <c r="AL101" i="30"/>
  <c r="AL100" i="30"/>
  <c r="AL97" i="30"/>
  <c r="AL96" i="30"/>
  <c r="AL95" i="30"/>
  <c r="AL94" i="30"/>
  <c r="AL93" i="30"/>
  <c r="AL91" i="30"/>
  <c r="AL90" i="30"/>
  <c r="AL89" i="30"/>
  <c r="AL88" i="30"/>
  <c r="AL87" i="30"/>
  <c r="AL86" i="30"/>
  <c r="AL85" i="30"/>
  <c r="AL84" i="30"/>
  <c r="AL83" i="30"/>
  <c r="AL99" i="30"/>
  <c r="AL81" i="30"/>
  <c r="AL80" i="30"/>
  <c r="AL79" i="30"/>
  <c r="AL78" i="30"/>
  <c r="AL72" i="30"/>
  <c r="AL75" i="30"/>
  <c r="AL71" i="30"/>
  <c r="AL69" i="30"/>
  <c r="AL68" i="30"/>
  <c r="AL65" i="30"/>
  <c r="AL64" i="30"/>
  <c r="AL63" i="30"/>
  <c r="AL62" i="30"/>
  <c r="AL61" i="30"/>
  <c r="AL60" i="30"/>
  <c r="AL59" i="30"/>
  <c r="AL58" i="30"/>
  <c r="AL57" i="30"/>
  <c r="AL56" i="30"/>
  <c r="AL55" i="30"/>
  <c r="AL54" i="30"/>
  <c r="AL53" i="30"/>
  <c r="AL52" i="30"/>
  <c r="AL51" i="30"/>
  <c r="AL50" i="30"/>
  <c r="AL49" i="30"/>
  <c r="AL48" i="30"/>
  <c r="AL47" i="30"/>
  <c r="AL74" i="30"/>
  <c r="AL70" i="30"/>
  <c r="AL76" i="30"/>
  <c r="AL38" i="30"/>
  <c r="AL77" i="30"/>
  <c r="AL66" i="30"/>
  <c r="AL46" i="30"/>
  <c r="AL44" i="30"/>
  <c r="AL40" i="30"/>
  <c r="AL43" i="30"/>
  <c r="AL73" i="30"/>
  <c r="AL45" i="30"/>
  <c r="AL41" i="30"/>
  <c r="AL42" i="30"/>
  <c r="AL39" i="30"/>
  <c r="BU15" i="30"/>
  <c r="CE16" i="30"/>
  <c r="BZ16" i="30"/>
  <c r="AT139" i="30"/>
  <c r="AU137" i="30"/>
  <c r="BG39" i="30"/>
  <c r="BN40" i="30"/>
  <c r="BG68" i="30"/>
  <c r="BN69" i="30"/>
  <c r="BH29" i="30"/>
  <c r="AX29" i="30"/>
  <c r="BN84" i="30"/>
  <c r="BG83" i="30"/>
  <c r="AQ38" i="30"/>
  <c r="AV39" i="30"/>
  <c r="AR26" i="30"/>
  <c r="AQ34" i="30"/>
  <c r="AV34" i="30" s="1"/>
  <c r="AR27" i="30"/>
  <c r="AV10" i="30"/>
  <c r="BN93" i="30"/>
  <c r="BU94" i="30"/>
  <c r="AF139" i="30"/>
  <c r="AP137" i="30"/>
  <c r="AG137" i="30"/>
  <c r="CH139" i="30"/>
  <c r="CR137" i="30"/>
  <c r="CI137" i="30"/>
  <c r="K139" i="30"/>
  <c r="F139" i="30"/>
  <c r="BO30" i="30"/>
  <c r="AW39" i="30"/>
  <c r="BB40" i="30"/>
  <c r="S112" i="30"/>
  <c r="X109" i="30"/>
  <c r="T109" i="30"/>
  <c r="BQ139" i="30"/>
  <c r="CD137" i="30"/>
  <c r="BR137" i="30"/>
  <c r="AW35" i="30"/>
  <c r="BY113" i="30"/>
  <c r="BN11" i="30"/>
  <c r="BG10" i="30"/>
  <c r="BU126" i="30"/>
  <c r="BN125" i="30"/>
  <c r="BN104" i="30"/>
  <c r="BU105" i="30"/>
  <c r="AZ139" i="30"/>
  <c r="BA137" i="30"/>
  <c r="AW5" i="30"/>
  <c r="BB6" i="30"/>
  <c r="AW18" i="30"/>
  <c r="BB18" i="30" s="1"/>
  <c r="BB19" i="30"/>
  <c r="X114" i="30"/>
  <c r="T114" i="30"/>
  <c r="BY114" i="30"/>
  <c r="BC139" i="30"/>
  <c r="BM137" i="30"/>
  <c r="BD137" i="30"/>
  <c r="Y139" i="30"/>
  <c r="AI137" i="30"/>
  <c r="Z137" i="30"/>
  <c r="BB84" i="30"/>
  <c r="AW83" i="30"/>
  <c r="BB83" i="30" s="1"/>
  <c r="BX112" i="30"/>
  <c r="BY109" i="30"/>
  <c r="BU30" i="30"/>
  <c r="BN29" i="30"/>
  <c r="BO29" i="30" s="1"/>
  <c r="CV112" i="30"/>
  <c r="CW109" i="30"/>
  <c r="AE141" i="30"/>
  <c r="BG116" i="30"/>
  <c r="BN117" i="30"/>
  <c r="AD142" i="30"/>
  <c r="AD141" i="30"/>
  <c r="AC113" i="30"/>
  <c r="AD113" i="30" s="1"/>
  <c r="AC109" i="30"/>
  <c r="AC114" i="30"/>
  <c r="AD114" i="30" s="1"/>
  <c r="AR24" i="30"/>
  <c r="AR23" i="30"/>
  <c r="AQ33" i="30"/>
  <c r="AV33" i="30" s="1"/>
  <c r="AR8" i="30"/>
  <c r="AQ4" i="30"/>
  <c r="AV5" i="30"/>
  <c r="AW22" i="30"/>
  <c r="BB22" i="30" s="1"/>
  <c r="BB23" i="30"/>
  <c r="BU27" i="30"/>
  <c r="BN26" i="30"/>
  <c r="X113" i="30"/>
  <c r="T113" i="30"/>
  <c r="O139" i="30"/>
  <c r="AB137" i="30"/>
  <c r="P137" i="30"/>
  <c r="AW68" i="30"/>
  <c r="BB68" i="30" s="1"/>
  <c r="BB69" i="30"/>
  <c r="U141" i="30"/>
  <c r="CX110" i="30"/>
  <c r="BG38" i="30" l="1"/>
  <c r="BG124" i="30" s="1"/>
  <c r="BU29" i="30"/>
  <c r="BZ29" i="30" s="1"/>
  <c r="CE30" i="30"/>
  <c r="BZ30" i="30"/>
  <c r="AI139" i="30"/>
  <c r="Z139" i="30"/>
  <c r="CE94" i="30"/>
  <c r="BU93" i="30"/>
  <c r="BZ93" i="30" s="1"/>
  <c r="BZ94" i="30"/>
  <c r="AC112" i="30"/>
  <c r="AD109" i="30"/>
  <c r="CV137" i="30"/>
  <c r="CW112" i="30"/>
  <c r="AR33" i="30"/>
  <c r="BX137" i="30"/>
  <c r="BY112" i="30"/>
  <c r="BM139" i="30"/>
  <c r="BD139" i="30"/>
  <c r="AX24" i="30"/>
  <c r="AX23" i="30"/>
  <c r="AW33" i="30"/>
  <c r="BB33" i="30" s="1"/>
  <c r="AW4" i="30"/>
  <c r="AX8" i="30"/>
  <c r="BB5" i="30"/>
  <c r="BU104" i="30"/>
  <c r="BZ104" i="30" s="1"/>
  <c r="CE105" i="30"/>
  <c r="BZ105" i="30"/>
  <c r="BH26" i="30"/>
  <c r="BG34" i="30"/>
  <c r="BH34" i="30" s="1"/>
  <c r="BH27" i="30"/>
  <c r="BB35" i="30"/>
  <c r="AX35" i="30"/>
  <c r="AW38" i="30"/>
  <c r="BB39" i="30"/>
  <c r="BN35" i="30"/>
  <c r="BO35" i="30" s="1"/>
  <c r="AP139" i="30"/>
  <c r="AG139" i="30"/>
  <c r="BU40" i="30"/>
  <c r="BN39" i="30"/>
  <c r="AT141" i="30"/>
  <c r="AU139" i="30"/>
  <c r="AX26" i="30"/>
  <c r="AW34" i="30"/>
  <c r="BB34" i="30" s="1"/>
  <c r="AX27" i="30"/>
  <c r="BB10" i="30"/>
  <c r="AJ114" i="30"/>
  <c r="AK114" i="30" s="1"/>
  <c r="AJ113" i="30"/>
  <c r="AK113" i="30" s="1"/>
  <c r="AJ109" i="30"/>
  <c r="AK36" i="30"/>
  <c r="BN10" i="30"/>
  <c r="BU11" i="30"/>
  <c r="CR139" i="30"/>
  <c r="CI139" i="30"/>
  <c r="AQ124" i="30"/>
  <c r="AV38" i="30"/>
  <c r="BU19" i="30"/>
  <c r="BN18" i="30"/>
  <c r="CE24" i="30"/>
  <c r="BU23" i="30"/>
  <c r="BZ24" i="30"/>
  <c r="S137" i="30"/>
  <c r="X112" i="30"/>
  <c r="T112" i="30"/>
  <c r="BN68" i="30"/>
  <c r="BU69" i="30"/>
  <c r="CL16" i="30"/>
  <c r="CE15" i="30"/>
  <c r="AL141" i="30"/>
  <c r="BH24" i="30"/>
  <c r="BH23" i="30"/>
  <c r="BG33" i="30"/>
  <c r="BH33" i="30" s="1"/>
  <c r="BG4" i="30"/>
  <c r="BH8" i="30"/>
  <c r="CK139" i="30"/>
  <c r="CB139" i="30"/>
  <c r="BN22" i="30"/>
  <c r="AK142" i="30"/>
  <c r="AK141" i="30"/>
  <c r="BU117" i="30"/>
  <c r="BN116" i="30"/>
  <c r="AB139" i="30"/>
  <c r="P139" i="30"/>
  <c r="CE27" i="30"/>
  <c r="BU26" i="30"/>
  <c r="BZ26" i="30" s="1"/>
  <c r="BZ27" i="30"/>
  <c r="AR138" i="30"/>
  <c r="AR133" i="30"/>
  <c r="AR130" i="30"/>
  <c r="AR134" i="30"/>
  <c r="AR128" i="30"/>
  <c r="AR129" i="30"/>
  <c r="AR125" i="30"/>
  <c r="AR131" i="30"/>
  <c r="AR123" i="30"/>
  <c r="AR122" i="30"/>
  <c r="AR121" i="30"/>
  <c r="AR120" i="30"/>
  <c r="AR119" i="30"/>
  <c r="AR132" i="30"/>
  <c r="AR126" i="30"/>
  <c r="AR124" i="30"/>
  <c r="AR118" i="30"/>
  <c r="AR117" i="30"/>
  <c r="AR116" i="30"/>
  <c r="AR102" i="30"/>
  <c r="AR101" i="30"/>
  <c r="AR100" i="30"/>
  <c r="AR99" i="30"/>
  <c r="AR98" i="30"/>
  <c r="AR127" i="30"/>
  <c r="AR106" i="30"/>
  <c r="AR105" i="30"/>
  <c r="AR104" i="30"/>
  <c r="AR110" i="30"/>
  <c r="AR97" i="30"/>
  <c r="AR96" i="30"/>
  <c r="AR95" i="30"/>
  <c r="AR94" i="30"/>
  <c r="AR93" i="30"/>
  <c r="AR111" i="30"/>
  <c r="AR91" i="30"/>
  <c r="AR90" i="30"/>
  <c r="AR89" i="30"/>
  <c r="AR88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83" i="30"/>
  <c r="AR87" i="30"/>
  <c r="AR86" i="30"/>
  <c r="AR85" i="30"/>
  <c r="AR84" i="30"/>
  <c r="AR66" i="30"/>
  <c r="AR69" i="30"/>
  <c r="AR64" i="30"/>
  <c r="AR60" i="30"/>
  <c r="AR59" i="30"/>
  <c r="AR58" i="30"/>
  <c r="AR57" i="30"/>
  <c r="AR56" i="30"/>
  <c r="AR55" i="30"/>
  <c r="AR54" i="30"/>
  <c r="AR53" i="30"/>
  <c r="AR52" i="30"/>
  <c r="AR48" i="30"/>
  <c r="AR18" i="30"/>
  <c r="AR16" i="30"/>
  <c r="AR10" i="30"/>
  <c r="AR65" i="30"/>
  <c r="AR61" i="30"/>
  <c r="AR49" i="30"/>
  <c r="AR46" i="30"/>
  <c r="AR45" i="30"/>
  <c r="AR44" i="30"/>
  <c r="AR43" i="30"/>
  <c r="AR42" i="30"/>
  <c r="AR41" i="30"/>
  <c r="AR40" i="30"/>
  <c r="AR39" i="30"/>
  <c r="AR22" i="30"/>
  <c r="AR19" i="30"/>
  <c r="AR68" i="30"/>
  <c r="AR62" i="30"/>
  <c r="AR50" i="30"/>
  <c r="AR38" i="30"/>
  <c r="AQ36" i="30"/>
  <c r="AR36" i="30" s="1"/>
  <c r="AR63" i="30"/>
  <c r="AR15" i="30"/>
  <c r="AR11" i="30"/>
  <c r="AR5" i="30"/>
  <c r="AR4" i="30"/>
  <c r="AR6" i="30"/>
  <c r="AR51" i="30"/>
  <c r="AR47" i="30"/>
  <c r="AR13" i="30"/>
  <c r="AR12" i="30"/>
  <c r="AR7" i="30"/>
  <c r="AV4" i="30"/>
  <c r="CV141" i="30"/>
  <c r="BX141" i="30"/>
  <c r="BA139" i="30"/>
  <c r="CE126" i="30"/>
  <c r="BU125" i="30"/>
  <c r="BZ125" i="30" s="1"/>
  <c r="BZ126" i="30"/>
  <c r="CD139" i="30"/>
  <c r="BR139" i="30"/>
  <c r="AR34" i="30"/>
  <c r="BU84" i="30"/>
  <c r="BN83" i="30"/>
  <c r="BV30" i="30"/>
  <c r="BU35" i="30"/>
  <c r="BZ35" i="30" s="1"/>
  <c r="BV29" i="30"/>
  <c r="BZ15" i="30"/>
  <c r="BT139" i="30"/>
  <c r="BK139" i="30"/>
  <c r="BN5" i="30"/>
  <c r="BU6" i="30"/>
  <c r="BF139" i="30"/>
  <c r="AN139" i="30"/>
  <c r="L139" i="30"/>
  <c r="M139" i="30" s="1"/>
  <c r="M137" i="30"/>
  <c r="R139" i="30"/>
  <c r="BI122" i="30" l="1"/>
  <c r="BI124" i="30"/>
  <c r="BI119" i="30"/>
  <c r="BI91" i="30"/>
  <c r="BI99" i="30"/>
  <c r="BI95" i="30"/>
  <c r="BI87" i="30"/>
  <c r="BI83" i="30"/>
  <c r="BI81" i="30"/>
  <c r="BI77" i="30"/>
  <c r="BI68" i="30"/>
  <c r="BI63" i="30"/>
  <c r="BI59" i="30"/>
  <c r="BI55" i="30"/>
  <c r="BI51" i="30"/>
  <c r="BI43" i="30"/>
  <c r="BI39" i="30"/>
  <c r="BI79" i="30"/>
  <c r="BI123" i="30"/>
  <c r="BI106" i="30"/>
  <c r="BI90" i="30"/>
  <c r="BI102" i="30"/>
  <c r="BI94" i="30"/>
  <c r="BI86" i="30"/>
  <c r="BI78" i="30"/>
  <c r="BI74" i="30"/>
  <c r="BI76" i="30"/>
  <c r="BI66" i="30"/>
  <c r="BI62" i="30"/>
  <c r="BI58" i="30"/>
  <c r="BI54" i="30"/>
  <c r="BI48" i="30"/>
  <c r="BI42" i="30"/>
  <c r="BI49" i="30"/>
  <c r="BI72" i="30"/>
  <c r="BI117" i="30"/>
  <c r="BI111" i="30"/>
  <c r="BI89" i="30"/>
  <c r="BI97" i="30"/>
  <c r="BI98" i="30"/>
  <c r="BI85" i="30"/>
  <c r="BI75" i="30"/>
  <c r="BI70" i="30"/>
  <c r="BI73" i="30"/>
  <c r="BI65" i="30"/>
  <c r="BI61" i="30"/>
  <c r="BI57" i="30"/>
  <c r="BI53" i="30"/>
  <c r="BI45" i="30"/>
  <c r="BI41" i="30"/>
  <c r="BI38" i="30"/>
  <c r="BI46" i="30"/>
  <c r="BI116" i="30"/>
  <c r="BI110" i="30"/>
  <c r="BI88" i="30"/>
  <c r="BI96" i="30"/>
  <c r="BI93" i="30"/>
  <c r="BI84" i="30"/>
  <c r="BI71" i="30"/>
  <c r="BI80" i="30"/>
  <c r="BI69" i="30"/>
  <c r="BI64" i="30"/>
  <c r="BI60" i="30"/>
  <c r="BI56" i="30"/>
  <c r="BI52" i="30"/>
  <c r="BI44" i="30"/>
  <c r="BI40" i="30"/>
  <c r="BI50" i="30"/>
  <c r="BI47" i="30"/>
  <c r="BI100" i="30"/>
  <c r="BI104" i="30"/>
  <c r="BI120" i="30"/>
  <c r="BI118" i="30"/>
  <c r="BI138" i="30"/>
  <c r="BI101" i="30"/>
  <c r="BI105" i="30"/>
  <c r="BI121" i="30"/>
  <c r="BV35" i="30"/>
  <c r="AX34" i="30"/>
  <c r="CE6" i="30"/>
  <c r="BU5" i="30"/>
  <c r="BZ6" i="30"/>
  <c r="CL126" i="30"/>
  <c r="CE125" i="30"/>
  <c r="BU116" i="30"/>
  <c r="BZ116" i="30" s="1"/>
  <c r="CE117" i="30"/>
  <c r="BZ117" i="30"/>
  <c r="CE84" i="30"/>
  <c r="BZ84" i="30"/>
  <c r="BU83" i="30"/>
  <c r="BZ83" i="30" s="1"/>
  <c r="CS16" i="30"/>
  <c r="CL15" i="30"/>
  <c r="CL24" i="30"/>
  <c r="CE23" i="30"/>
  <c r="CE11" i="30"/>
  <c r="BU10" i="30"/>
  <c r="BZ11" i="30"/>
  <c r="AW124" i="30"/>
  <c r="BB38" i="30"/>
  <c r="CL105" i="30"/>
  <c r="CE104" i="30"/>
  <c r="AX138" i="30"/>
  <c r="AX130" i="30"/>
  <c r="AX133" i="30"/>
  <c r="AX131" i="30"/>
  <c r="AX132" i="30"/>
  <c r="AX129" i="30"/>
  <c r="AX125" i="30"/>
  <c r="AX126" i="30"/>
  <c r="AX134" i="30"/>
  <c r="AX127" i="30"/>
  <c r="AX123" i="30"/>
  <c r="AX122" i="30"/>
  <c r="AX118" i="30"/>
  <c r="AX121" i="30"/>
  <c r="AX120" i="30"/>
  <c r="AX117" i="30"/>
  <c r="AX106" i="30"/>
  <c r="AX105" i="30"/>
  <c r="AX104" i="30"/>
  <c r="AX111" i="30"/>
  <c r="AX110" i="30"/>
  <c r="AX119" i="30"/>
  <c r="AX116" i="30"/>
  <c r="AX101" i="30"/>
  <c r="AX100" i="30"/>
  <c r="AX99" i="30"/>
  <c r="AX97" i="30"/>
  <c r="AX96" i="30"/>
  <c r="AX95" i="30"/>
  <c r="AX94" i="30"/>
  <c r="AX93" i="30"/>
  <c r="AX98" i="30"/>
  <c r="AX87" i="30"/>
  <c r="AX86" i="30"/>
  <c r="AX85" i="30"/>
  <c r="AX84" i="30"/>
  <c r="AX83" i="30"/>
  <c r="AX102" i="30"/>
  <c r="AX91" i="30"/>
  <c r="AX90" i="30"/>
  <c r="AX89" i="30"/>
  <c r="AX88" i="30"/>
  <c r="AX81" i="30"/>
  <c r="AX80" i="30"/>
  <c r="AX79" i="30"/>
  <c r="AX78" i="30"/>
  <c r="AX77" i="30"/>
  <c r="AX76" i="30"/>
  <c r="AX75" i="30"/>
  <c r="AX71" i="30"/>
  <c r="AX66" i="30"/>
  <c r="AX74" i="30"/>
  <c r="AX70" i="30"/>
  <c r="AX69" i="30"/>
  <c r="AX68" i="30"/>
  <c r="AX65" i="30"/>
  <c r="AX64" i="30"/>
  <c r="AX63" i="30"/>
  <c r="AX62" i="30"/>
  <c r="AX61" i="30"/>
  <c r="AX60" i="30"/>
  <c r="AX59" i="30"/>
  <c r="AX58" i="30"/>
  <c r="AX57" i="30"/>
  <c r="AX56" i="30"/>
  <c r="AX55" i="30"/>
  <c r="AX54" i="30"/>
  <c r="AX53" i="30"/>
  <c r="AX52" i="30"/>
  <c r="AX51" i="30"/>
  <c r="AX50" i="30"/>
  <c r="AX49" i="30"/>
  <c r="AX48" i="30"/>
  <c r="AX47" i="30"/>
  <c r="AX73" i="30"/>
  <c r="AX46" i="30"/>
  <c r="AX38" i="30"/>
  <c r="AX22" i="30"/>
  <c r="AX19" i="30"/>
  <c r="AX11" i="30"/>
  <c r="AX72" i="30"/>
  <c r="AW36" i="30"/>
  <c r="AX36" i="30" s="1"/>
  <c r="AX44" i="30"/>
  <c r="AX40" i="30"/>
  <c r="AX16" i="30"/>
  <c r="AX6" i="30"/>
  <c r="AX43" i="30"/>
  <c r="AX18" i="30"/>
  <c r="AX15" i="30"/>
  <c r="AX10" i="30"/>
  <c r="AX7" i="30"/>
  <c r="AX45" i="30"/>
  <c r="AX41" i="30"/>
  <c r="AX39" i="30"/>
  <c r="AX13" i="30"/>
  <c r="AX5" i="30"/>
  <c r="AX4" i="30"/>
  <c r="AX42" i="30"/>
  <c r="AX12" i="30"/>
  <c r="AX128" i="30"/>
  <c r="BB4" i="30"/>
  <c r="AX33" i="30"/>
  <c r="BH138" i="30"/>
  <c r="BH130" i="30"/>
  <c r="BH134" i="30"/>
  <c r="BH131" i="30"/>
  <c r="BH132" i="30"/>
  <c r="BH129" i="30"/>
  <c r="BH125" i="30"/>
  <c r="BH133" i="30"/>
  <c r="BH126" i="30"/>
  <c r="BH127" i="30"/>
  <c r="BH122" i="30"/>
  <c r="BH121" i="30"/>
  <c r="BH120" i="30"/>
  <c r="BH119" i="30"/>
  <c r="BH118" i="30"/>
  <c r="BH128" i="30"/>
  <c r="BH123" i="30"/>
  <c r="BH117" i="30"/>
  <c r="BH116" i="30"/>
  <c r="BH124" i="30"/>
  <c r="BH102" i="30"/>
  <c r="BH101" i="30"/>
  <c r="BH100" i="30"/>
  <c r="BH99" i="30"/>
  <c r="BH98" i="30"/>
  <c r="BH106" i="30"/>
  <c r="BH105" i="30"/>
  <c r="BH104" i="30"/>
  <c r="BH97" i="30"/>
  <c r="BH96" i="30"/>
  <c r="BH95" i="30"/>
  <c r="BH94" i="30"/>
  <c r="BH93" i="30"/>
  <c r="BH110" i="30"/>
  <c r="BH111" i="30"/>
  <c r="BH91" i="30"/>
  <c r="BH90" i="30"/>
  <c r="BH89" i="30"/>
  <c r="BH88" i="30"/>
  <c r="BH81" i="30"/>
  <c r="BH80" i="30"/>
  <c r="BH79" i="30"/>
  <c r="BH78" i="30"/>
  <c r="BH77" i="30"/>
  <c r="BH76" i="30"/>
  <c r="BH75" i="30"/>
  <c r="BH74" i="30"/>
  <c r="BH73" i="30"/>
  <c r="BH72" i="30"/>
  <c r="BH71" i="30"/>
  <c r="BH70" i="30"/>
  <c r="BH66" i="30"/>
  <c r="BH62" i="30"/>
  <c r="BH47" i="30"/>
  <c r="BH46" i="30"/>
  <c r="BH22" i="30"/>
  <c r="BH19" i="30"/>
  <c r="BH11" i="30"/>
  <c r="BH86" i="30"/>
  <c r="BH84" i="30"/>
  <c r="BH69" i="30"/>
  <c r="BH63" i="30"/>
  <c r="BH59" i="30"/>
  <c r="BH58" i="30"/>
  <c r="BH57" i="30"/>
  <c r="BH56" i="30"/>
  <c r="BH55" i="30"/>
  <c r="BH54" i="30"/>
  <c r="BH53" i="30"/>
  <c r="BH52" i="30"/>
  <c r="BH51" i="30"/>
  <c r="BH48" i="30"/>
  <c r="BH45" i="30"/>
  <c r="BH44" i="30"/>
  <c r="BH43" i="30"/>
  <c r="BH42" i="30"/>
  <c r="BH41" i="30"/>
  <c r="BH40" i="30"/>
  <c r="BH39" i="30"/>
  <c r="BG36" i="30"/>
  <c r="BH83" i="30"/>
  <c r="BH68" i="30"/>
  <c r="BH64" i="30"/>
  <c r="BH60" i="30"/>
  <c r="BH49" i="30"/>
  <c r="BH38" i="30"/>
  <c r="BH16" i="30"/>
  <c r="BH12" i="30"/>
  <c r="BH6" i="30"/>
  <c r="BH87" i="30"/>
  <c r="BH50" i="30"/>
  <c r="BH15" i="30"/>
  <c r="BH7" i="30"/>
  <c r="BH5" i="30"/>
  <c r="BH4" i="30"/>
  <c r="BH85" i="30"/>
  <c r="BH65" i="30"/>
  <c r="BH61" i="30"/>
  <c r="BH18" i="30"/>
  <c r="BH13" i="30"/>
  <c r="BH10" i="30"/>
  <c r="CE69" i="30"/>
  <c r="BU68" i="30"/>
  <c r="BZ68" i="30" s="1"/>
  <c r="BZ69" i="30"/>
  <c r="S139" i="30"/>
  <c r="T137" i="30"/>
  <c r="X137" i="30"/>
  <c r="AS138" i="30"/>
  <c r="AS124" i="30"/>
  <c r="AS122" i="30"/>
  <c r="AS118" i="30"/>
  <c r="AS117" i="30"/>
  <c r="AS116" i="30"/>
  <c r="AS121" i="30"/>
  <c r="AS120" i="30"/>
  <c r="AS119" i="30"/>
  <c r="AS123" i="30"/>
  <c r="AS106" i="30"/>
  <c r="AS105" i="30"/>
  <c r="AS104" i="30"/>
  <c r="AS111" i="30"/>
  <c r="AS110" i="30"/>
  <c r="AS101" i="30"/>
  <c r="AS100" i="30"/>
  <c r="AS91" i="30"/>
  <c r="AS90" i="30"/>
  <c r="AS89" i="30"/>
  <c r="AS88" i="30"/>
  <c r="AS99" i="30"/>
  <c r="AS102" i="30"/>
  <c r="AS97" i="30"/>
  <c r="AS96" i="30"/>
  <c r="AS95" i="30"/>
  <c r="AS94" i="30"/>
  <c r="AS98" i="30"/>
  <c r="AS93" i="30"/>
  <c r="AS87" i="30"/>
  <c r="AS86" i="30"/>
  <c r="AS85" i="30"/>
  <c r="AS84" i="30"/>
  <c r="AS83" i="30"/>
  <c r="AS81" i="30"/>
  <c r="AS75" i="30"/>
  <c r="AS71" i="30"/>
  <c r="AS80" i="30"/>
  <c r="AS74" i="30"/>
  <c r="AS70" i="30"/>
  <c r="AS66" i="30"/>
  <c r="AS79" i="30"/>
  <c r="AS73" i="30"/>
  <c r="AS69" i="30"/>
  <c r="AS68" i="30"/>
  <c r="AS65" i="30"/>
  <c r="AS64" i="30"/>
  <c r="AS63" i="30"/>
  <c r="AS62" i="30"/>
  <c r="AS61" i="30"/>
  <c r="AS60" i="30"/>
  <c r="AS59" i="30"/>
  <c r="AS58" i="30"/>
  <c r="AS57" i="30"/>
  <c r="AS56" i="30"/>
  <c r="AS55" i="30"/>
  <c r="AS54" i="30"/>
  <c r="AS53" i="30"/>
  <c r="AS52" i="30"/>
  <c r="AS49" i="30"/>
  <c r="AS46" i="30"/>
  <c r="AS45" i="30"/>
  <c r="AS44" i="30"/>
  <c r="AS43" i="30"/>
  <c r="AS42" i="30"/>
  <c r="AS41" i="30"/>
  <c r="AS40" i="30"/>
  <c r="AS39" i="30"/>
  <c r="AS76" i="30"/>
  <c r="AS50" i="30"/>
  <c r="AS38" i="30"/>
  <c r="AS78" i="30"/>
  <c r="AS77" i="30"/>
  <c r="AS51" i="30"/>
  <c r="AS47" i="30"/>
  <c r="AS48" i="30"/>
  <c r="AS72" i="30"/>
  <c r="AV124" i="30"/>
  <c r="BN34" i="30"/>
  <c r="BO34" i="30" s="1"/>
  <c r="BO27" i="30"/>
  <c r="BO26" i="30"/>
  <c r="BX139" i="30"/>
  <c r="BY137" i="30"/>
  <c r="CV139" i="30"/>
  <c r="CW137" i="30"/>
  <c r="BU18" i="30"/>
  <c r="BZ18" i="30" s="1"/>
  <c r="CE19" i="30"/>
  <c r="BZ19" i="30"/>
  <c r="BN38" i="30"/>
  <c r="BN124" i="30" s="1"/>
  <c r="CE93" i="30"/>
  <c r="CL94" i="30"/>
  <c r="CL30" i="30"/>
  <c r="CE29" i="30"/>
  <c r="CF29" i="30" s="1"/>
  <c r="AR141" i="30"/>
  <c r="AR142" i="30"/>
  <c r="CE26" i="30"/>
  <c r="CL27" i="30"/>
  <c r="BN33" i="30"/>
  <c r="BO33" i="30" s="1"/>
  <c r="BN4" i="30"/>
  <c r="BO24" i="30"/>
  <c r="BO23" i="30"/>
  <c r="BO8" i="30"/>
  <c r="AQ113" i="30"/>
  <c r="AQ109" i="30"/>
  <c r="AQ114" i="30"/>
  <c r="AV36" i="30"/>
  <c r="CF30" i="30"/>
  <c r="BU22" i="30"/>
  <c r="BZ22" i="30" s="1"/>
  <c r="BZ23" i="30"/>
  <c r="AJ112" i="30"/>
  <c r="AK109" i="30"/>
  <c r="BU39" i="30"/>
  <c r="CE40" i="30"/>
  <c r="BZ40" i="30"/>
  <c r="AC137" i="30"/>
  <c r="AD112" i="30"/>
  <c r="BI141" i="30" l="1"/>
  <c r="CE35" i="30"/>
  <c r="CF35" i="30" s="1"/>
  <c r="BH141" i="30"/>
  <c r="BH142" i="30"/>
  <c r="AC139" i="30"/>
  <c r="AD139" i="30" s="1"/>
  <c r="AD137" i="30"/>
  <c r="AJ137" i="30"/>
  <c r="AK112" i="30"/>
  <c r="BO138" i="30"/>
  <c r="BO133" i="30"/>
  <c r="BO134" i="30"/>
  <c r="BO131" i="30"/>
  <c r="BO132" i="30"/>
  <c r="BO130" i="30"/>
  <c r="BO126" i="30"/>
  <c r="BO124" i="30"/>
  <c r="BO127" i="30"/>
  <c r="BO123" i="30"/>
  <c r="BO128" i="30"/>
  <c r="BO129" i="30"/>
  <c r="BO125" i="30"/>
  <c r="BO121" i="30"/>
  <c r="BO120" i="30"/>
  <c r="BO119" i="30"/>
  <c r="BO117" i="30"/>
  <c r="BO116" i="30"/>
  <c r="BO111" i="30"/>
  <c r="BO110" i="30"/>
  <c r="BO122" i="30"/>
  <c r="BO118" i="30"/>
  <c r="BO100" i="30"/>
  <c r="BO106" i="30"/>
  <c r="BO105" i="30"/>
  <c r="BO104" i="30"/>
  <c r="BO99" i="30"/>
  <c r="BO97" i="30"/>
  <c r="BO96" i="30"/>
  <c r="BO95" i="30"/>
  <c r="BO94" i="30"/>
  <c r="BO93" i="30"/>
  <c r="BO102" i="30"/>
  <c r="BO98" i="30"/>
  <c r="BO87" i="30"/>
  <c r="BO86" i="30"/>
  <c r="BO85" i="30"/>
  <c r="BO84" i="30"/>
  <c r="BO83" i="30"/>
  <c r="BO101" i="30"/>
  <c r="BO90" i="30"/>
  <c r="BO89" i="30"/>
  <c r="BO88" i="30"/>
  <c r="BO81" i="30"/>
  <c r="BO80" i="30"/>
  <c r="BO79" i="30"/>
  <c r="BO78" i="30"/>
  <c r="BO77" i="30"/>
  <c r="BO76" i="30"/>
  <c r="BO91" i="30"/>
  <c r="BO74" i="30"/>
  <c r="BO70" i="30"/>
  <c r="BO69" i="30"/>
  <c r="BO68" i="30"/>
  <c r="BO65" i="30"/>
  <c r="BO64" i="30"/>
  <c r="BO63" i="30"/>
  <c r="BO62" i="30"/>
  <c r="BO61" i="30"/>
  <c r="BO60" i="30"/>
  <c r="BO59" i="30"/>
  <c r="BO58" i="30"/>
  <c r="BO57" i="30"/>
  <c r="BO56" i="30"/>
  <c r="BO55" i="30"/>
  <c r="BO54" i="30"/>
  <c r="BO53" i="30"/>
  <c r="BO52" i="30"/>
  <c r="BO51" i="30"/>
  <c r="BO50" i="30"/>
  <c r="BO49" i="30"/>
  <c r="BO48" i="30"/>
  <c r="BO47" i="30"/>
  <c r="BO46" i="30"/>
  <c r="BO73" i="30"/>
  <c r="BO66" i="30"/>
  <c r="BO72" i="30"/>
  <c r="BN36" i="30"/>
  <c r="BO36" i="30" s="1"/>
  <c r="BO12" i="30"/>
  <c r="BO15" i="30"/>
  <c r="BO13" i="30"/>
  <c r="BO45" i="30"/>
  <c r="BO44" i="30"/>
  <c r="BO43" i="30"/>
  <c r="BO42" i="30"/>
  <c r="BO41" i="30"/>
  <c r="BO40" i="30"/>
  <c r="BO39" i="30"/>
  <c r="BO18" i="30"/>
  <c r="BO71" i="30"/>
  <c r="BO22" i="30"/>
  <c r="BO19" i="30"/>
  <c r="BO7" i="30"/>
  <c r="BO6" i="30"/>
  <c r="BO38" i="30"/>
  <c r="BO16" i="30"/>
  <c r="BO11" i="30"/>
  <c r="BO75" i="30"/>
  <c r="BO5" i="30"/>
  <c r="BO4" i="30"/>
  <c r="BO10" i="30"/>
  <c r="CL93" i="30"/>
  <c r="CS94" i="30"/>
  <c r="CL19" i="30"/>
  <c r="CE18" i="30"/>
  <c r="CW139" i="30"/>
  <c r="T139" i="30"/>
  <c r="X139" i="30"/>
  <c r="AW113" i="30"/>
  <c r="AW109" i="30"/>
  <c r="AW114" i="30"/>
  <c r="BB36" i="30"/>
  <c r="CL11" i="30"/>
  <c r="CE10" i="30"/>
  <c r="CS15" i="30"/>
  <c r="CX16" i="30"/>
  <c r="CS126" i="30"/>
  <c r="CL125" i="30"/>
  <c r="BG114" i="30"/>
  <c r="BH114" i="30" s="1"/>
  <c r="BG113" i="30"/>
  <c r="BH113" i="30" s="1"/>
  <c r="BG109" i="30"/>
  <c r="AX141" i="30"/>
  <c r="AY138" i="30"/>
  <c r="AY123" i="30"/>
  <c r="AY124" i="30"/>
  <c r="AY121" i="30"/>
  <c r="AY120" i="30"/>
  <c r="AY119" i="30"/>
  <c r="AY117" i="30"/>
  <c r="AY116" i="30"/>
  <c r="AY111" i="30"/>
  <c r="AY110" i="30"/>
  <c r="AY122" i="30"/>
  <c r="AY118" i="30"/>
  <c r="AY100" i="30"/>
  <c r="AY99" i="30"/>
  <c r="AY97" i="30"/>
  <c r="AY96" i="30"/>
  <c r="AY95" i="30"/>
  <c r="AY94" i="30"/>
  <c r="AY93" i="30"/>
  <c r="AY104" i="30"/>
  <c r="AY102" i="30"/>
  <c r="AY98" i="30"/>
  <c r="AY106" i="30"/>
  <c r="AY87" i="30"/>
  <c r="AY86" i="30"/>
  <c r="AY85" i="30"/>
  <c r="AY84" i="30"/>
  <c r="AY83" i="30"/>
  <c r="AY101" i="30"/>
  <c r="AY91" i="30"/>
  <c r="AY90" i="30"/>
  <c r="AY89" i="30"/>
  <c r="AY88" i="30"/>
  <c r="AY81" i="30"/>
  <c r="AY80" i="30"/>
  <c r="AY79" i="30"/>
  <c r="AY78" i="30"/>
  <c r="AY77" i="30"/>
  <c r="AY76" i="30"/>
  <c r="AY105" i="30"/>
  <c r="AY74" i="30"/>
  <c r="AY70" i="30"/>
  <c r="AY69" i="30"/>
  <c r="AY68" i="30"/>
  <c r="AY65" i="30"/>
  <c r="AY64" i="30"/>
  <c r="AY63" i="30"/>
  <c r="AY62" i="30"/>
  <c r="AY61" i="30"/>
  <c r="AY60" i="30"/>
  <c r="AY59" i="30"/>
  <c r="AY58" i="30"/>
  <c r="AY57" i="30"/>
  <c r="AY56" i="30"/>
  <c r="AY55" i="30"/>
  <c r="AY54" i="30"/>
  <c r="AY53" i="30"/>
  <c r="AY52" i="30"/>
  <c r="AY51" i="30"/>
  <c r="AY50" i="30"/>
  <c r="AY49" i="30"/>
  <c r="AY48" i="30"/>
  <c r="AY47" i="30"/>
  <c r="AY46" i="30"/>
  <c r="AY73" i="30"/>
  <c r="AY72" i="30"/>
  <c r="AY75" i="30"/>
  <c r="AY71" i="30"/>
  <c r="AY66" i="30"/>
  <c r="AY45" i="30"/>
  <c r="AY44" i="30"/>
  <c r="AY43" i="30"/>
  <c r="AY42" i="30"/>
  <c r="AY41" i="30"/>
  <c r="AY40" i="30"/>
  <c r="AY39" i="30"/>
  <c r="AY38" i="30"/>
  <c r="BB124" i="30"/>
  <c r="CE22" i="30"/>
  <c r="CE116" i="30"/>
  <c r="CL117" i="30"/>
  <c r="CE39" i="30"/>
  <c r="CL40" i="30"/>
  <c r="CS24" i="30"/>
  <c r="CL23" i="30"/>
  <c r="BV24" i="30"/>
  <c r="BV23" i="30"/>
  <c r="BU33" i="30"/>
  <c r="BZ33" i="30" s="1"/>
  <c r="BV8" i="30"/>
  <c r="BU4" i="30"/>
  <c r="BZ5" i="30"/>
  <c r="AV114" i="30"/>
  <c r="AR114" i="30"/>
  <c r="BU38" i="30"/>
  <c r="BZ39" i="30"/>
  <c r="AQ112" i="30"/>
  <c r="AV109" i="30"/>
  <c r="AR109" i="30"/>
  <c r="CS27" i="30"/>
  <c r="CL26" i="30"/>
  <c r="BP138" i="30"/>
  <c r="BP122" i="30"/>
  <c r="BP121" i="30"/>
  <c r="BP120" i="30"/>
  <c r="BP119" i="30"/>
  <c r="BP118" i="30"/>
  <c r="BP123" i="30"/>
  <c r="BP124" i="30"/>
  <c r="BP117" i="30"/>
  <c r="BP116" i="30"/>
  <c r="BP102" i="30"/>
  <c r="BP101" i="30"/>
  <c r="BP100" i="30"/>
  <c r="BP99" i="30"/>
  <c r="BP98" i="30"/>
  <c r="BP106" i="30"/>
  <c r="BP105" i="30"/>
  <c r="BP104" i="30"/>
  <c r="BP97" i="30"/>
  <c r="BP96" i="30"/>
  <c r="BP95" i="30"/>
  <c r="BP94" i="30"/>
  <c r="BP93" i="30"/>
  <c r="BP110" i="30"/>
  <c r="BP91" i="30"/>
  <c r="BP90" i="30"/>
  <c r="BP89" i="30"/>
  <c r="BP88" i="30"/>
  <c r="BP81" i="30"/>
  <c r="BP80" i="30"/>
  <c r="BP79" i="30"/>
  <c r="BP78" i="30"/>
  <c r="BP77" i="30"/>
  <c r="BP76" i="30"/>
  <c r="BP75" i="30"/>
  <c r="BP74" i="30"/>
  <c r="BP73" i="30"/>
  <c r="BP72" i="30"/>
  <c r="BP71" i="30"/>
  <c r="BP70" i="30"/>
  <c r="BP111" i="30"/>
  <c r="BP83" i="30"/>
  <c r="BP66" i="30"/>
  <c r="BP87" i="30"/>
  <c r="BP85" i="30"/>
  <c r="BP68" i="30"/>
  <c r="BP62" i="30"/>
  <c r="BP48" i="30"/>
  <c r="BP69" i="30"/>
  <c r="BP63" i="30"/>
  <c r="BP59" i="30"/>
  <c r="BP58" i="30"/>
  <c r="BP57" i="30"/>
  <c r="BP56" i="30"/>
  <c r="BP55" i="30"/>
  <c r="BP54" i="30"/>
  <c r="BP53" i="30"/>
  <c r="BP52" i="30"/>
  <c r="BP51" i="30"/>
  <c r="BP49" i="30"/>
  <c r="BP45" i="30"/>
  <c r="BP44" i="30"/>
  <c r="BP43" i="30"/>
  <c r="BP42" i="30"/>
  <c r="BP41" i="30"/>
  <c r="BP40" i="30"/>
  <c r="BP39" i="30"/>
  <c r="BP86" i="30"/>
  <c r="BP84" i="30"/>
  <c r="BP64" i="30"/>
  <c r="BP60" i="30"/>
  <c r="BP50" i="30"/>
  <c r="BP46" i="30"/>
  <c r="BP38" i="30"/>
  <c r="BP47" i="30"/>
  <c r="BP65" i="30"/>
  <c r="BP61" i="30"/>
  <c r="BH36" i="30"/>
  <c r="AV113" i="30"/>
  <c r="AR113" i="30"/>
  <c r="CL29" i="30"/>
  <c r="CM29" i="30" s="1"/>
  <c r="CS30" i="30"/>
  <c r="BY139" i="30"/>
  <c r="AS141" i="30"/>
  <c r="CE68" i="30"/>
  <c r="CL69" i="30"/>
  <c r="AX124" i="30"/>
  <c r="AX142" i="30" s="1"/>
  <c r="CL104" i="30"/>
  <c r="CS105" i="30"/>
  <c r="BV26" i="30"/>
  <c r="BU34" i="30"/>
  <c r="BZ34" i="30" s="1"/>
  <c r="BV27" i="30"/>
  <c r="BZ10" i="30"/>
  <c r="CM30" i="30"/>
  <c r="CL84" i="30"/>
  <c r="CE83" i="30"/>
  <c r="CL6" i="30"/>
  <c r="CE5" i="30"/>
  <c r="CL35" i="30" l="1"/>
  <c r="CM35" i="30" s="1"/>
  <c r="BV33" i="30"/>
  <c r="CS84" i="30"/>
  <c r="CL83" i="30"/>
  <c r="AQ137" i="30"/>
  <c r="AV112" i="30"/>
  <c r="AR112" i="30"/>
  <c r="CL22" i="30"/>
  <c r="CS6" i="30"/>
  <c r="CL5" i="30"/>
  <c r="CS104" i="30"/>
  <c r="CX104" i="30" s="1"/>
  <c r="CX105" i="30"/>
  <c r="CS29" i="30"/>
  <c r="CX29" i="30" s="1"/>
  <c r="CX30" i="30"/>
  <c r="BP141" i="30"/>
  <c r="BU124" i="30"/>
  <c r="BZ38" i="30"/>
  <c r="BV138" i="30"/>
  <c r="BV134" i="30"/>
  <c r="BV132" i="30"/>
  <c r="BV127" i="30"/>
  <c r="BV133" i="30"/>
  <c r="BV130" i="30"/>
  <c r="BV128" i="30"/>
  <c r="BV129" i="30"/>
  <c r="BV123" i="30"/>
  <c r="BV131" i="30"/>
  <c r="BV126" i="30"/>
  <c r="BV125" i="30"/>
  <c r="BV120" i="30"/>
  <c r="BV119" i="30"/>
  <c r="BV122" i="30"/>
  <c r="BV118" i="30"/>
  <c r="BV117" i="30"/>
  <c r="BV106" i="30"/>
  <c r="BV105" i="30"/>
  <c r="BV104" i="30"/>
  <c r="BV116" i="30"/>
  <c r="BV111" i="30"/>
  <c r="BV110" i="30"/>
  <c r="BV99" i="30"/>
  <c r="BV91" i="30"/>
  <c r="BV121" i="30"/>
  <c r="BV102" i="30"/>
  <c r="BV98" i="30"/>
  <c r="BV101" i="30"/>
  <c r="BV97" i="30"/>
  <c r="BV96" i="30"/>
  <c r="BV95" i="30"/>
  <c r="BV94" i="30"/>
  <c r="BV93" i="30"/>
  <c r="BV100" i="30"/>
  <c r="BV90" i="30"/>
  <c r="BV89" i="30"/>
  <c r="BV88" i="30"/>
  <c r="BV87" i="30"/>
  <c r="BV86" i="30"/>
  <c r="BV85" i="30"/>
  <c r="BV84" i="30"/>
  <c r="BV83" i="30"/>
  <c r="BV81" i="30"/>
  <c r="BV80" i="30"/>
  <c r="BV79" i="30"/>
  <c r="BV78" i="30"/>
  <c r="BV73" i="30"/>
  <c r="BV72" i="30"/>
  <c r="BV69" i="30"/>
  <c r="BV68" i="30"/>
  <c r="BV65" i="30"/>
  <c r="BV64" i="30"/>
  <c r="BV63" i="30"/>
  <c r="BV62" i="30"/>
  <c r="BV61" i="30"/>
  <c r="BV60" i="30"/>
  <c r="BV59" i="30"/>
  <c r="BV58" i="30"/>
  <c r="BV57" i="30"/>
  <c r="BV56" i="30"/>
  <c r="BV55" i="30"/>
  <c r="BV54" i="30"/>
  <c r="BV53" i="30"/>
  <c r="BV52" i="30"/>
  <c r="BV51" i="30"/>
  <c r="BV50" i="30"/>
  <c r="BV49" i="30"/>
  <c r="BV48" i="30"/>
  <c r="BV47" i="30"/>
  <c r="BV46" i="30"/>
  <c r="BV75" i="30"/>
  <c r="BV71" i="30"/>
  <c r="BV66" i="30"/>
  <c r="BV38" i="30"/>
  <c r="BV15" i="30"/>
  <c r="BV13" i="30"/>
  <c r="BV76" i="30"/>
  <c r="BV18" i="30"/>
  <c r="BV16" i="30"/>
  <c r="BV77" i="30"/>
  <c r="BV22" i="30"/>
  <c r="BV19" i="30"/>
  <c r="BV70" i="30"/>
  <c r="BV44" i="30"/>
  <c r="BV40" i="30"/>
  <c r="BV39" i="30"/>
  <c r="BV12" i="30"/>
  <c r="BV43" i="30"/>
  <c r="BV11" i="30"/>
  <c r="BV5" i="30"/>
  <c r="BV4" i="30"/>
  <c r="BV45" i="30"/>
  <c r="BV41" i="30"/>
  <c r="BU36" i="30"/>
  <c r="BV36" i="30" s="1"/>
  <c r="BV10" i="30"/>
  <c r="BV7" i="30"/>
  <c r="BV42" i="30"/>
  <c r="BV6" i="30"/>
  <c r="BV74" i="30"/>
  <c r="BZ4" i="30"/>
  <c r="CS40" i="30"/>
  <c r="CL39" i="30"/>
  <c r="AY141" i="30"/>
  <c r="CF26" i="30"/>
  <c r="CE34" i="30"/>
  <c r="CF34" i="30" s="1"/>
  <c r="CF27" i="30"/>
  <c r="AW112" i="30"/>
  <c r="BB109" i="30"/>
  <c r="AX109" i="30"/>
  <c r="CS93" i="30"/>
  <c r="CX93" i="30" s="1"/>
  <c r="CX94" i="30"/>
  <c r="CE38" i="30"/>
  <c r="CE124" i="30" s="1"/>
  <c r="BG112" i="30"/>
  <c r="BH109" i="30"/>
  <c r="CS125" i="30"/>
  <c r="CX125" i="30" s="1"/>
  <c r="CX126" i="30"/>
  <c r="CS11" i="30"/>
  <c r="CL10" i="30"/>
  <c r="BB113" i="30"/>
  <c r="AX113" i="30"/>
  <c r="BN113" i="30"/>
  <c r="BO113" i="30" s="1"/>
  <c r="BN109" i="30"/>
  <c r="BN114" i="30"/>
  <c r="BO114" i="30" s="1"/>
  <c r="CS117" i="30"/>
  <c r="CL116" i="30"/>
  <c r="CF24" i="30"/>
  <c r="CF23" i="30"/>
  <c r="CF8" i="30"/>
  <c r="CE33" i="30"/>
  <c r="CF33" i="30" s="1"/>
  <c r="CE4" i="30"/>
  <c r="BV34" i="30"/>
  <c r="CL68" i="30"/>
  <c r="CS69" i="30"/>
  <c r="CS26" i="30"/>
  <c r="CX26" i="30" s="1"/>
  <c r="CX27" i="30"/>
  <c r="CS23" i="30"/>
  <c r="CX24" i="30"/>
  <c r="CT29" i="30"/>
  <c r="CT30" i="30"/>
  <c r="CX15" i="30"/>
  <c r="BB114" i="30"/>
  <c r="AX114" i="30"/>
  <c r="CS19" i="30"/>
  <c r="CL18" i="30"/>
  <c r="BO142" i="30"/>
  <c r="BO141" i="30"/>
  <c r="AJ139" i="30"/>
  <c r="AK139" i="30" s="1"/>
  <c r="AK137" i="30"/>
  <c r="CS35" i="30" l="1"/>
  <c r="CX35" i="30" s="1"/>
  <c r="CS18" i="30"/>
  <c r="CX18" i="30" s="1"/>
  <c r="CX19" i="30"/>
  <c r="BV141" i="30"/>
  <c r="CS5" i="30"/>
  <c r="CX6" i="30"/>
  <c r="AQ139" i="30"/>
  <c r="AV137" i="30"/>
  <c r="AR137" i="30"/>
  <c r="CF134" i="30"/>
  <c r="CF138" i="30"/>
  <c r="CF132" i="30"/>
  <c r="CF133" i="30"/>
  <c r="CF127" i="30"/>
  <c r="CF130" i="30"/>
  <c r="CF128" i="30"/>
  <c r="CF129" i="30"/>
  <c r="CF123" i="30"/>
  <c r="CF122" i="30"/>
  <c r="CF121" i="30"/>
  <c r="CF120" i="30"/>
  <c r="CF119" i="30"/>
  <c r="CF118" i="30"/>
  <c r="CF131" i="30"/>
  <c r="CF125" i="30"/>
  <c r="CF117" i="30"/>
  <c r="CF116" i="30"/>
  <c r="CF126" i="30"/>
  <c r="CF102" i="30"/>
  <c r="CF101" i="30"/>
  <c r="CF100" i="30"/>
  <c r="CF99" i="30"/>
  <c r="CF98" i="30"/>
  <c r="CF124" i="30"/>
  <c r="CF106" i="30"/>
  <c r="CF105" i="30"/>
  <c r="CF104" i="30"/>
  <c r="CF111" i="30"/>
  <c r="CF97" i="30"/>
  <c r="CF96" i="30"/>
  <c r="CF95" i="30"/>
  <c r="CF94" i="30"/>
  <c r="CF93" i="30"/>
  <c r="CF91" i="30"/>
  <c r="CF90" i="30"/>
  <c r="CF89" i="30"/>
  <c r="CF88" i="30"/>
  <c r="CF81" i="30"/>
  <c r="CF80" i="30"/>
  <c r="CF79" i="30"/>
  <c r="CF78" i="30"/>
  <c r="CF77" i="30"/>
  <c r="CF76" i="30"/>
  <c r="CF75" i="30"/>
  <c r="CF74" i="30"/>
  <c r="CF73" i="30"/>
  <c r="CF72" i="30"/>
  <c r="CF71" i="30"/>
  <c r="CF70" i="30"/>
  <c r="CF87" i="30"/>
  <c r="CF86" i="30"/>
  <c r="CF85" i="30"/>
  <c r="CF84" i="30"/>
  <c r="CF110" i="30"/>
  <c r="CF66" i="30"/>
  <c r="CF68" i="30"/>
  <c r="CF64" i="30"/>
  <c r="CF60" i="30"/>
  <c r="CF49" i="30"/>
  <c r="CF15" i="30"/>
  <c r="CF13" i="30"/>
  <c r="CF65" i="30"/>
  <c r="CF61" i="30"/>
  <c r="CF50" i="30"/>
  <c r="CF46" i="30"/>
  <c r="CF45" i="30"/>
  <c r="CF44" i="30"/>
  <c r="CF43" i="30"/>
  <c r="CF42" i="30"/>
  <c r="CF41" i="30"/>
  <c r="CF40" i="30"/>
  <c r="CF39" i="30"/>
  <c r="CF18" i="30"/>
  <c r="CF16" i="30"/>
  <c r="CF83" i="30"/>
  <c r="CF62" i="30"/>
  <c r="CF47" i="30"/>
  <c r="CF38" i="30"/>
  <c r="CF22" i="30"/>
  <c r="CF19" i="30"/>
  <c r="CF69" i="30"/>
  <c r="CF7" i="30"/>
  <c r="CF63" i="30"/>
  <c r="CF59" i="30"/>
  <c r="CF58" i="30"/>
  <c r="CF57" i="30"/>
  <c r="CF56" i="30"/>
  <c r="CF55" i="30"/>
  <c r="CF54" i="30"/>
  <c r="CF53" i="30"/>
  <c r="CF52" i="30"/>
  <c r="CF51" i="30"/>
  <c r="CE36" i="30"/>
  <c r="CF36" i="30" s="1"/>
  <c r="CF10" i="30"/>
  <c r="CF5" i="30"/>
  <c r="CF4" i="30"/>
  <c r="CF48" i="30"/>
  <c r="CF12" i="30"/>
  <c r="CF6" i="30"/>
  <c r="CF11" i="30"/>
  <c r="AW137" i="30"/>
  <c r="BB112" i="30"/>
  <c r="AX112" i="30"/>
  <c r="CM24" i="30"/>
  <c r="CM23" i="30"/>
  <c r="CL33" i="30"/>
  <c r="CM33" i="30" s="1"/>
  <c r="CM8" i="30"/>
  <c r="CL4" i="30"/>
  <c r="BN112" i="30"/>
  <c r="BO109" i="30"/>
  <c r="BU114" i="30"/>
  <c r="BU113" i="30"/>
  <c r="BU109" i="30"/>
  <c r="BZ36" i="30"/>
  <c r="BW138" i="30"/>
  <c r="BW124" i="30"/>
  <c r="BW123" i="30"/>
  <c r="BW119" i="30"/>
  <c r="BW122" i="30"/>
  <c r="BW118" i="30"/>
  <c r="BW121" i="30"/>
  <c r="BW117" i="30"/>
  <c r="BW116" i="30"/>
  <c r="BW111" i="30"/>
  <c r="BW110" i="30"/>
  <c r="BW120" i="30"/>
  <c r="BW102" i="30"/>
  <c r="BW98" i="30"/>
  <c r="BW101" i="30"/>
  <c r="BW97" i="30"/>
  <c r="BW96" i="30"/>
  <c r="BW95" i="30"/>
  <c r="BW94" i="30"/>
  <c r="BW93" i="30"/>
  <c r="BW106" i="30"/>
  <c r="BW105" i="30"/>
  <c r="BW104" i="30"/>
  <c r="BW100" i="30"/>
  <c r="BW99" i="30"/>
  <c r="BW90" i="30"/>
  <c r="BW89" i="30"/>
  <c r="BW88" i="30"/>
  <c r="BW87" i="30"/>
  <c r="BW86" i="30"/>
  <c r="BW85" i="30"/>
  <c r="BW84" i="30"/>
  <c r="BW83" i="30"/>
  <c r="BW81" i="30"/>
  <c r="BW80" i="30"/>
  <c r="BW79" i="30"/>
  <c r="BW78" i="30"/>
  <c r="BW77" i="30"/>
  <c r="BW76" i="30"/>
  <c r="BW72" i="30"/>
  <c r="BW69" i="30"/>
  <c r="BW68" i="30"/>
  <c r="BW65" i="30"/>
  <c r="BW64" i="30"/>
  <c r="BW63" i="30"/>
  <c r="BW62" i="30"/>
  <c r="BW61" i="30"/>
  <c r="BW60" i="30"/>
  <c r="BW59" i="30"/>
  <c r="BW58" i="30"/>
  <c r="BW57" i="30"/>
  <c r="BW56" i="30"/>
  <c r="BW55" i="30"/>
  <c r="BW54" i="30"/>
  <c r="BW53" i="30"/>
  <c r="BW52" i="30"/>
  <c r="BW51" i="30"/>
  <c r="BW50" i="30"/>
  <c r="BW49" i="30"/>
  <c r="BW48" i="30"/>
  <c r="BW47" i="30"/>
  <c r="BW46" i="30"/>
  <c r="BW75" i="30"/>
  <c r="BW71" i="30"/>
  <c r="BW91" i="30"/>
  <c r="BW74" i="30"/>
  <c r="BW70" i="30"/>
  <c r="BW66" i="30"/>
  <c r="BW45" i="30"/>
  <c r="BW44" i="30"/>
  <c r="BW43" i="30"/>
  <c r="BW42" i="30"/>
  <c r="BW41" i="30"/>
  <c r="BW40" i="30"/>
  <c r="BW39" i="30"/>
  <c r="BW73" i="30"/>
  <c r="BW38" i="30"/>
  <c r="BZ124" i="30"/>
  <c r="CS68" i="30"/>
  <c r="CX68" i="30" s="1"/>
  <c r="CX69" i="30"/>
  <c r="CM26" i="30"/>
  <c r="CL34" i="30"/>
  <c r="CM34" i="30" s="1"/>
  <c r="CM27" i="30"/>
  <c r="CS22" i="30"/>
  <c r="CX22" i="30" s="1"/>
  <c r="CX23" i="30"/>
  <c r="CS10" i="30"/>
  <c r="CX11" i="30"/>
  <c r="BG137" i="30"/>
  <c r="BH112" i="30"/>
  <c r="CL38" i="30"/>
  <c r="CL124" i="30" s="1"/>
  <c r="CS116" i="30"/>
  <c r="CX116" i="30" s="1"/>
  <c r="CX117" i="30"/>
  <c r="CG138" i="30"/>
  <c r="CG124" i="30"/>
  <c r="CG123" i="30"/>
  <c r="CG120" i="30"/>
  <c r="CG117" i="30"/>
  <c r="CG116" i="30"/>
  <c r="CG119" i="30"/>
  <c r="CG122" i="30"/>
  <c r="CG118" i="30"/>
  <c r="CG121" i="30"/>
  <c r="CG106" i="30"/>
  <c r="CG105" i="30"/>
  <c r="CG104" i="30"/>
  <c r="CG111" i="30"/>
  <c r="CG110" i="30"/>
  <c r="CG99" i="30"/>
  <c r="CG102" i="30"/>
  <c r="CG98" i="30"/>
  <c r="CG91" i="30"/>
  <c r="CG90" i="30"/>
  <c r="CG89" i="30"/>
  <c r="CG88" i="30"/>
  <c r="CG101" i="30"/>
  <c r="CG93" i="30"/>
  <c r="CG97" i="30"/>
  <c r="CG96" i="30"/>
  <c r="CG95" i="30"/>
  <c r="CG94" i="30"/>
  <c r="CG100" i="30"/>
  <c r="CG87" i="30"/>
  <c r="CG86" i="30"/>
  <c r="CG85" i="30"/>
  <c r="CG84" i="30"/>
  <c r="CG83" i="30"/>
  <c r="CG78" i="30"/>
  <c r="CG73" i="30"/>
  <c r="CG81" i="30"/>
  <c r="CG77" i="30"/>
  <c r="CG76" i="30"/>
  <c r="CG72" i="30"/>
  <c r="CG66" i="30"/>
  <c r="CG80" i="30"/>
  <c r="CG75" i="30"/>
  <c r="CG71" i="30"/>
  <c r="CG69" i="30"/>
  <c r="CG68" i="30"/>
  <c r="CG65" i="30"/>
  <c r="CG64" i="30"/>
  <c r="CG63" i="30"/>
  <c r="CG62" i="30"/>
  <c r="CG61" i="30"/>
  <c r="CG60" i="30"/>
  <c r="CG59" i="30"/>
  <c r="CG58" i="30"/>
  <c r="CG57" i="30"/>
  <c r="CG56" i="30"/>
  <c r="CG55" i="30"/>
  <c r="CG54" i="30"/>
  <c r="CG53" i="30"/>
  <c r="CG52" i="30"/>
  <c r="CG51" i="30"/>
  <c r="CG50" i="30"/>
  <c r="CG46" i="30"/>
  <c r="CG45" i="30"/>
  <c r="CG44" i="30"/>
  <c r="CG43" i="30"/>
  <c r="CG42" i="30"/>
  <c r="CG41" i="30"/>
  <c r="CG40" i="30"/>
  <c r="CG39" i="30"/>
  <c r="CG79" i="30"/>
  <c r="CG74" i="30"/>
  <c r="CG70" i="30"/>
  <c r="CG47" i="30"/>
  <c r="CG38" i="30"/>
  <c r="CG48" i="30"/>
  <c r="CG49" i="30"/>
  <c r="CS39" i="30"/>
  <c r="CX40" i="30"/>
  <c r="BV124" i="30"/>
  <c r="BV142" i="30" s="1"/>
  <c r="CX84" i="30"/>
  <c r="CS83" i="30"/>
  <c r="CX83" i="30" s="1"/>
  <c r="CT35" i="30" l="1"/>
  <c r="CS38" i="30"/>
  <c r="CX39" i="30"/>
  <c r="CN138" i="30"/>
  <c r="CN121" i="30"/>
  <c r="CN120" i="30"/>
  <c r="CN119" i="30"/>
  <c r="CN118" i="30"/>
  <c r="CN123" i="30"/>
  <c r="CN122" i="30"/>
  <c r="CN117" i="30"/>
  <c r="CN116" i="30"/>
  <c r="CN124" i="30"/>
  <c r="CN102" i="30"/>
  <c r="CN101" i="30"/>
  <c r="CN100" i="30"/>
  <c r="CN99" i="30"/>
  <c r="CN98" i="30"/>
  <c r="CN106" i="30"/>
  <c r="CN105" i="30"/>
  <c r="CN104" i="30"/>
  <c r="CN110" i="30"/>
  <c r="CN97" i="30"/>
  <c r="CN96" i="30"/>
  <c r="CN95" i="30"/>
  <c r="CN94" i="30"/>
  <c r="CN93" i="30"/>
  <c r="CN111" i="30"/>
  <c r="CN91" i="30"/>
  <c r="CN90" i="30"/>
  <c r="CN89" i="30"/>
  <c r="CN88" i="30"/>
  <c r="CN81" i="30"/>
  <c r="CN80" i="30"/>
  <c r="CN79" i="30"/>
  <c r="CN78" i="30"/>
  <c r="CN77" i="30"/>
  <c r="CN76" i="30"/>
  <c r="CN75" i="30"/>
  <c r="CN74" i="30"/>
  <c r="CN73" i="30"/>
  <c r="CN72" i="30"/>
  <c r="CN71" i="30"/>
  <c r="CN70" i="30"/>
  <c r="CN87" i="30"/>
  <c r="CN86" i="30"/>
  <c r="CN85" i="30"/>
  <c r="CN84" i="30"/>
  <c r="CN83" i="30"/>
  <c r="CN64" i="30"/>
  <c r="CN60" i="30"/>
  <c r="CN50" i="30"/>
  <c r="CN46" i="30"/>
  <c r="CN65" i="30"/>
  <c r="CN61" i="30"/>
  <c r="CN47" i="30"/>
  <c r="CN44" i="30"/>
  <c r="CN43" i="30"/>
  <c r="CN42" i="30"/>
  <c r="CN41" i="30"/>
  <c r="CN40" i="30"/>
  <c r="CN39" i="30"/>
  <c r="CN68" i="30"/>
  <c r="CN66" i="30"/>
  <c r="CN62" i="30"/>
  <c r="CN48" i="30"/>
  <c r="CN45" i="30"/>
  <c r="CN38" i="30"/>
  <c r="CN69" i="30"/>
  <c r="CN49" i="30"/>
  <c r="CN63" i="30"/>
  <c r="CN59" i="30"/>
  <c r="CN58" i="30"/>
  <c r="CN57" i="30"/>
  <c r="CN56" i="30"/>
  <c r="CN55" i="30"/>
  <c r="CN54" i="30"/>
  <c r="CN53" i="30"/>
  <c r="CN52" i="30"/>
  <c r="CN51" i="30"/>
  <c r="CG141" i="30"/>
  <c r="BW141" i="30"/>
  <c r="CT26" i="30"/>
  <c r="CS34" i="30"/>
  <c r="CX34" i="30" s="1"/>
  <c r="CT27" i="30"/>
  <c r="CX10" i="30"/>
  <c r="BU112" i="30"/>
  <c r="BZ109" i="30"/>
  <c r="BV109" i="30"/>
  <c r="BN137" i="30"/>
  <c r="BO112" i="30"/>
  <c r="AQ140" i="30"/>
  <c r="AR139" i="30"/>
  <c r="AV139" i="30"/>
  <c r="BZ113" i="30"/>
  <c r="BV113" i="30"/>
  <c r="CM138" i="30"/>
  <c r="CM134" i="30"/>
  <c r="CM133" i="30"/>
  <c r="CM130" i="30"/>
  <c r="CM131" i="30"/>
  <c r="CM128" i="30"/>
  <c r="CM124" i="30"/>
  <c r="CM129" i="30"/>
  <c r="CM125" i="30"/>
  <c r="CM123" i="30"/>
  <c r="CM122" i="30"/>
  <c r="CM132" i="30"/>
  <c r="CM126" i="30"/>
  <c r="CM119" i="30"/>
  <c r="CM127" i="30"/>
  <c r="CM118" i="30"/>
  <c r="CM121" i="30"/>
  <c r="CM117" i="30"/>
  <c r="CM116" i="30"/>
  <c r="CM111" i="30"/>
  <c r="CM110" i="30"/>
  <c r="CM120" i="30"/>
  <c r="CM102" i="30"/>
  <c r="CM98" i="30"/>
  <c r="CM106" i="30"/>
  <c r="CM105" i="30"/>
  <c r="CM104" i="30"/>
  <c r="CM101" i="30"/>
  <c r="CM97" i="30"/>
  <c r="CM96" i="30"/>
  <c r="CM95" i="30"/>
  <c r="CM94" i="30"/>
  <c r="CM93" i="30"/>
  <c r="CM100" i="30"/>
  <c r="CM99" i="30"/>
  <c r="CM90" i="30"/>
  <c r="CM89" i="30"/>
  <c r="CM88" i="30"/>
  <c r="CM87" i="30"/>
  <c r="CM86" i="30"/>
  <c r="CM85" i="30"/>
  <c r="CM84" i="30"/>
  <c r="CM83" i="30"/>
  <c r="CM81" i="30"/>
  <c r="CM80" i="30"/>
  <c r="CM79" i="30"/>
  <c r="CM78" i="30"/>
  <c r="CM77" i="30"/>
  <c r="CM76" i="30"/>
  <c r="CM75" i="30"/>
  <c r="CM91" i="30"/>
  <c r="CM72" i="30"/>
  <c r="CM69" i="30"/>
  <c r="CM68" i="30"/>
  <c r="CM66" i="30"/>
  <c r="CM65" i="30"/>
  <c r="CM64" i="30"/>
  <c r="CM63" i="30"/>
  <c r="CM62" i="30"/>
  <c r="CM61" i="30"/>
  <c r="CM60" i="30"/>
  <c r="CM59" i="30"/>
  <c r="CM58" i="30"/>
  <c r="CM57" i="30"/>
  <c r="CM56" i="30"/>
  <c r="CM55" i="30"/>
  <c r="CM54" i="30"/>
  <c r="CM53" i="30"/>
  <c r="CM52" i="30"/>
  <c r="CM51" i="30"/>
  <c r="CM50" i="30"/>
  <c r="CM49" i="30"/>
  <c r="CM48" i="30"/>
  <c r="CM47" i="30"/>
  <c r="CM46" i="30"/>
  <c r="CM45" i="30"/>
  <c r="CM71" i="30"/>
  <c r="CM74" i="30"/>
  <c r="CM70" i="30"/>
  <c r="CM18" i="30"/>
  <c r="CM16" i="30"/>
  <c r="CM10" i="30"/>
  <c r="CM22" i="30"/>
  <c r="CM19" i="30"/>
  <c r="CM73" i="30"/>
  <c r="CM44" i="30"/>
  <c r="CM43" i="30"/>
  <c r="CM42" i="30"/>
  <c r="CM41" i="30"/>
  <c r="CM40" i="30"/>
  <c r="CM39" i="30"/>
  <c r="CL36" i="30"/>
  <c r="CM5" i="30"/>
  <c r="CM4" i="30"/>
  <c r="CM11" i="30"/>
  <c r="CM13" i="30"/>
  <c r="CM6" i="30"/>
  <c r="CM38" i="30"/>
  <c r="CM15" i="30"/>
  <c r="CM12" i="30"/>
  <c r="CM7" i="30"/>
  <c r="AW139" i="30"/>
  <c r="BB137" i="30"/>
  <c r="AX137" i="30"/>
  <c r="CE114" i="30"/>
  <c r="CF114" i="30" s="1"/>
  <c r="CE113" i="30"/>
  <c r="CF113" i="30" s="1"/>
  <c r="CE109" i="30"/>
  <c r="BG139" i="30"/>
  <c r="BH137" i="30"/>
  <c r="BZ114" i="30"/>
  <c r="BV114" i="30"/>
  <c r="CF142" i="30"/>
  <c r="CF141" i="30"/>
  <c r="CT24" i="30"/>
  <c r="CT23" i="30"/>
  <c r="CS33" i="30"/>
  <c r="CX33" i="30" s="1"/>
  <c r="CS4" i="30"/>
  <c r="CT8" i="30"/>
  <c r="CX5" i="30"/>
  <c r="CT34" i="30" l="1"/>
  <c r="CL114" i="30"/>
  <c r="CM114" i="30" s="1"/>
  <c r="CL113" i="30"/>
  <c r="CM113" i="30" s="1"/>
  <c r="CL109" i="30"/>
  <c r="CE112" i="30"/>
  <c r="CF109" i="30"/>
  <c r="CN141" i="30"/>
  <c r="BG140" i="30"/>
  <c r="BH139" i="30"/>
  <c r="BU137" i="30"/>
  <c r="BZ112" i="30"/>
  <c r="BV112" i="30"/>
  <c r="BN139" i="30"/>
  <c r="BO139" i="30" s="1"/>
  <c r="BO137" i="30"/>
  <c r="CT138" i="30"/>
  <c r="CT134" i="30"/>
  <c r="CT130" i="30"/>
  <c r="CT133" i="30"/>
  <c r="CT131" i="30"/>
  <c r="CT129" i="30"/>
  <c r="CT125" i="30"/>
  <c r="CT126" i="30"/>
  <c r="CT127" i="30"/>
  <c r="CT132" i="30"/>
  <c r="CT122" i="30"/>
  <c r="CT128" i="30"/>
  <c r="CT123" i="30"/>
  <c r="CT118" i="30"/>
  <c r="CT121" i="30"/>
  <c r="CT120" i="30"/>
  <c r="CT117" i="30"/>
  <c r="CT106" i="30"/>
  <c r="CT105" i="30"/>
  <c r="CT104" i="30"/>
  <c r="CT119" i="30"/>
  <c r="CT111" i="30"/>
  <c r="CT110" i="30"/>
  <c r="CT101" i="30"/>
  <c r="CT91" i="30"/>
  <c r="CT116" i="30"/>
  <c r="CT100" i="30"/>
  <c r="CT99" i="30"/>
  <c r="CT97" i="30"/>
  <c r="CT96" i="30"/>
  <c r="CT95" i="30"/>
  <c r="CT94" i="30"/>
  <c r="CT93" i="30"/>
  <c r="CT90" i="30"/>
  <c r="CT89" i="30"/>
  <c r="CT88" i="30"/>
  <c r="CT102" i="30"/>
  <c r="CT87" i="30"/>
  <c r="CT86" i="30"/>
  <c r="CT85" i="30"/>
  <c r="CT84" i="30"/>
  <c r="CT83" i="30"/>
  <c r="CT81" i="30"/>
  <c r="CT80" i="30"/>
  <c r="CT79" i="30"/>
  <c r="CT78" i="30"/>
  <c r="CT77" i="30"/>
  <c r="CT71" i="30"/>
  <c r="CT74" i="30"/>
  <c r="CT70" i="30"/>
  <c r="CT69" i="30"/>
  <c r="CT68" i="30"/>
  <c r="CT65" i="30"/>
  <c r="CT64" i="30"/>
  <c r="CT63" i="30"/>
  <c r="CT62" i="30"/>
  <c r="CT61" i="30"/>
  <c r="CT60" i="30"/>
  <c r="CT59" i="30"/>
  <c r="CT58" i="30"/>
  <c r="CT57" i="30"/>
  <c r="CT56" i="30"/>
  <c r="CT55" i="30"/>
  <c r="CT54" i="30"/>
  <c r="CT53" i="30"/>
  <c r="CT52" i="30"/>
  <c r="CT51" i="30"/>
  <c r="CT50" i="30"/>
  <c r="CT49" i="30"/>
  <c r="CT48" i="30"/>
  <c r="CT47" i="30"/>
  <c r="CT46" i="30"/>
  <c r="CT98" i="30"/>
  <c r="CT76" i="30"/>
  <c r="CT75" i="30"/>
  <c r="CT73" i="30"/>
  <c r="CT66" i="30"/>
  <c r="CT38" i="30"/>
  <c r="CT22" i="30"/>
  <c r="CT19" i="30"/>
  <c r="CT11" i="30"/>
  <c r="CT45" i="30"/>
  <c r="CS36" i="30"/>
  <c r="CT36" i="30" s="1"/>
  <c r="CT44" i="30"/>
  <c r="CT40" i="30"/>
  <c r="CT18" i="30"/>
  <c r="CT6" i="30"/>
  <c r="CT43" i="30"/>
  <c r="CT39" i="30"/>
  <c r="CT7" i="30"/>
  <c r="CT72" i="30"/>
  <c r="CT15" i="30"/>
  <c r="CT5" i="30"/>
  <c r="CT42" i="30"/>
  <c r="CT13" i="30"/>
  <c r="CT12" i="30"/>
  <c r="CT10" i="30"/>
  <c r="CT41" i="30"/>
  <c r="CT16" i="30"/>
  <c r="CT4" i="30"/>
  <c r="CX4" i="30"/>
  <c r="CT33" i="30"/>
  <c r="BB139" i="30"/>
  <c r="AX139" i="30"/>
  <c r="CM142" i="30"/>
  <c r="CM141" i="30"/>
  <c r="CM36" i="30"/>
  <c r="CS124" i="30"/>
  <c r="CT124" i="30" s="1"/>
  <c r="CX38" i="30"/>
  <c r="CS114" i="30" l="1"/>
  <c r="CS113" i="30"/>
  <c r="CS109" i="30"/>
  <c r="CX36" i="30"/>
  <c r="CE137" i="30"/>
  <c r="CF112" i="30"/>
  <c r="CL112" i="30"/>
  <c r="CM109" i="30"/>
  <c r="CU138" i="30"/>
  <c r="CU124" i="30"/>
  <c r="CU123" i="30"/>
  <c r="CU122" i="30"/>
  <c r="CU121" i="30"/>
  <c r="CU120" i="30"/>
  <c r="CU119" i="30"/>
  <c r="CU117" i="30"/>
  <c r="CU116" i="30"/>
  <c r="CU111" i="30"/>
  <c r="CU110" i="30"/>
  <c r="CU118" i="30"/>
  <c r="CU100" i="30"/>
  <c r="CU99" i="30"/>
  <c r="CU97" i="30"/>
  <c r="CU96" i="30"/>
  <c r="CU95" i="30"/>
  <c r="CU94" i="30"/>
  <c r="CU93" i="30"/>
  <c r="CU106" i="30"/>
  <c r="CU105" i="30"/>
  <c r="CU104" i="30"/>
  <c r="CU102" i="30"/>
  <c r="CU98" i="30"/>
  <c r="CU87" i="30"/>
  <c r="CU86" i="30"/>
  <c r="CU85" i="30"/>
  <c r="CU84" i="30"/>
  <c r="CU83" i="30"/>
  <c r="CU81" i="30"/>
  <c r="CU80" i="30"/>
  <c r="CU79" i="30"/>
  <c r="CU78" i="30"/>
  <c r="CU77" i="30"/>
  <c r="CU76" i="30"/>
  <c r="CU75" i="30"/>
  <c r="CU101" i="30"/>
  <c r="CU74" i="30"/>
  <c r="CU70" i="30"/>
  <c r="CU69" i="30"/>
  <c r="CU68" i="30"/>
  <c r="CU65" i="30"/>
  <c r="CU64" i="30"/>
  <c r="CU63" i="30"/>
  <c r="CU62" i="30"/>
  <c r="CU61" i="30"/>
  <c r="CU60" i="30"/>
  <c r="CU59" i="30"/>
  <c r="CU58" i="30"/>
  <c r="CU57" i="30"/>
  <c r="CU56" i="30"/>
  <c r="CU55" i="30"/>
  <c r="CU54" i="30"/>
  <c r="CU53" i="30"/>
  <c r="CU52" i="30"/>
  <c r="CU51" i="30"/>
  <c r="CU50" i="30"/>
  <c r="CU49" i="30"/>
  <c r="CU48" i="30"/>
  <c r="CU47" i="30"/>
  <c r="CU46" i="30"/>
  <c r="CU45" i="30"/>
  <c r="CU91" i="30"/>
  <c r="CU90" i="30"/>
  <c r="CU89" i="30"/>
  <c r="CU88" i="30"/>
  <c r="CU73" i="30"/>
  <c r="CU66" i="30"/>
  <c r="CU72" i="30"/>
  <c r="CU71" i="30"/>
  <c r="CU44" i="30"/>
  <c r="CU43" i="30"/>
  <c r="CU42" i="30"/>
  <c r="CU41" i="30"/>
  <c r="CU40" i="30"/>
  <c r="CU39" i="30"/>
  <c r="CU38" i="30"/>
  <c r="CX124" i="30"/>
  <c r="CT141" i="30"/>
  <c r="CT142" i="30"/>
  <c r="BU139" i="30"/>
  <c r="BZ137" i="30"/>
  <c r="BV137" i="30"/>
  <c r="CU141" i="30" l="1"/>
  <c r="CL137" i="30"/>
  <c r="CM112" i="30"/>
  <c r="CS112" i="30"/>
  <c r="CX109" i="30"/>
  <c r="CT109" i="30"/>
  <c r="CX113" i="30"/>
  <c r="CT113" i="30"/>
  <c r="BZ139" i="30"/>
  <c r="BV139" i="30"/>
  <c r="CE139" i="30"/>
  <c r="CF139" i="30" s="1"/>
  <c r="CF137" i="30"/>
  <c r="CX114" i="30"/>
  <c r="CT114" i="30"/>
  <c r="CS137" i="30" l="1"/>
  <c r="CX112" i="30"/>
  <c r="CT112" i="30"/>
  <c r="CL139" i="30"/>
  <c r="CM139" i="30" s="1"/>
  <c r="CM137" i="30"/>
  <c r="CS139" i="30" l="1"/>
  <c r="CX137" i="30"/>
  <c r="CT137" i="30"/>
  <c r="CX139" i="30" l="1"/>
  <c r="CT139" i="30"/>
  <c r="AW7" i="26" l="1"/>
  <c r="BH141" i="26" l="1"/>
  <c r="AW25" i="26"/>
  <c r="AM142" i="26" l="1"/>
  <c r="AN142" i="26" s="1"/>
  <c r="AF142" i="26"/>
  <c r="AG142" i="26" s="1"/>
  <c r="AC142" i="26"/>
  <c r="AP142" i="26" s="1"/>
  <c r="Y142" i="26"/>
  <c r="Z142" i="26" s="1"/>
  <c r="S142" i="26"/>
  <c r="O142" i="26"/>
  <c r="AB142" i="26" s="1"/>
  <c r="L142" i="26"/>
  <c r="H142" i="26"/>
  <c r="I142" i="26" s="1"/>
  <c r="E142" i="26"/>
  <c r="K142" i="26" s="1"/>
  <c r="B142" i="26"/>
  <c r="C142" i="26" s="1"/>
  <c r="BF141" i="26"/>
  <c r="AW141" i="26" s="1"/>
  <c r="P142" i="26" l="1"/>
  <c r="F142" i="26"/>
  <c r="R142" i="26"/>
  <c r="AJ142" i="26"/>
  <c r="AQ142" i="26" l="1"/>
  <c r="AB138" i="26" l="1"/>
  <c r="V138" i="26"/>
  <c r="AT138" i="26" s="1"/>
  <c r="R138" i="26"/>
  <c r="L138" i="26"/>
  <c r="S138" i="26" s="1"/>
  <c r="AC138" i="26" s="1"/>
  <c r="K138" i="26"/>
  <c r="AT136" i="26"/>
  <c r="AP136" i="26"/>
  <c r="AJ136" i="26"/>
  <c r="AQ136" i="26" s="1"/>
  <c r="AI136" i="26"/>
  <c r="AB136" i="26"/>
  <c r="X136" i="26"/>
  <c r="R136" i="26"/>
  <c r="K136" i="26"/>
  <c r="AT135" i="26"/>
  <c r="AV135" i="26" s="1"/>
  <c r="AP135" i="26"/>
  <c r="AJ135" i="26"/>
  <c r="AQ135" i="26" s="1"/>
  <c r="AI135" i="26"/>
  <c r="AB135" i="26"/>
  <c r="X135" i="26"/>
  <c r="R135" i="26"/>
  <c r="K135" i="26"/>
  <c r="AT134" i="26"/>
  <c r="AZ134" i="26" s="1"/>
  <c r="AI134" i="26"/>
  <c r="AB134" i="26"/>
  <c r="R134" i="26"/>
  <c r="L134" i="26"/>
  <c r="S134" i="26" s="1"/>
  <c r="X134" i="26" s="1"/>
  <c r="K134" i="26"/>
  <c r="AT133" i="26"/>
  <c r="AZ133" i="26" s="1"/>
  <c r="AI133" i="26"/>
  <c r="AB133" i="26"/>
  <c r="R133" i="26"/>
  <c r="L133" i="26"/>
  <c r="S133" i="26" s="1"/>
  <c r="X133" i="26" s="1"/>
  <c r="K133" i="26"/>
  <c r="AT132" i="26"/>
  <c r="AZ132" i="26" s="1"/>
  <c r="AI132" i="26"/>
  <c r="AB132" i="26"/>
  <c r="R132" i="26"/>
  <c r="L132" i="26"/>
  <c r="S132" i="26" s="1"/>
  <c r="X132" i="26" s="1"/>
  <c r="K132" i="26"/>
  <c r="AT131" i="26"/>
  <c r="AZ131" i="26" s="1"/>
  <c r="AI131" i="26"/>
  <c r="AB131" i="26"/>
  <c r="R131" i="26"/>
  <c r="L131" i="26"/>
  <c r="S131" i="26" s="1"/>
  <c r="X131" i="26" s="1"/>
  <c r="K131" i="26"/>
  <c r="AT130" i="26"/>
  <c r="AZ130" i="26" s="1"/>
  <c r="AI130" i="26"/>
  <c r="AB130" i="26"/>
  <c r="R130" i="26"/>
  <c r="L130" i="26"/>
  <c r="S130" i="26" s="1"/>
  <c r="X130" i="26" s="1"/>
  <c r="K130" i="26"/>
  <c r="AT129" i="26"/>
  <c r="AZ129" i="26" s="1"/>
  <c r="AI129" i="26"/>
  <c r="AB129" i="26"/>
  <c r="R129" i="26"/>
  <c r="L129" i="26"/>
  <c r="S129" i="26" s="1"/>
  <c r="X129" i="26" s="1"/>
  <c r="K129" i="26"/>
  <c r="AT128" i="26"/>
  <c r="AZ128" i="26" s="1"/>
  <c r="AI128" i="26"/>
  <c r="AB128" i="26"/>
  <c r="R128" i="26"/>
  <c r="L128" i="26"/>
  <c r="S128" i="26" s="1"/>
  <c r="AC128" i="26" s="1"/>
  <c r="K128" i="26"/>
  <c r="AT127" i="26"/>
  <c r="AZ127" i="26" s="1"/>
  <c r="AI127" i="26"/>
  <c r="AB127" i="26"/>
  <c r="R127" i="26"/>
  <c r="L127" i="26"/>
  <c r="S127" i="26" s="1"/>
  <c r="AC127" i="26" s="1"/>
  <c r="K127" i="26"/>
  <c r="AT126" i="26"/>
  <c r="AI126" i="26"/>
  <c r="AB126" i="26"/>
  <c r="R126" i="26"/>
  <c r="L126" i="26"/>
  <c r="S126" i="26" s="1"/>
  <c r="X126" i="26" s="1"/>
  <c r="K126" i="26"/>
  <c r="AM125" i="26"/>
  <c r="AF125" i="26"/>
  <c r="Y125" i="26"/>
  <c r="V125" i="26"/>
  <c r="O125" i="26"/>
  <c r="H125" i="26"/>
  <c r="E125" i="26"/>
  <c r="K125" i="26" s="1"/>
  <c r="B125" i="26"/>
  <c r="AT123" i="26"/>
  <c r="AZ123" i="26" s="1"/>
  <c r="AI123" i="26"/>
  <c r="AB123" i="26"/>
  <c r="R123" i="26"/>
  <c r="L123" i="26"/>
  <c r="S123" i="26" s="1"/>
  <c r="K123" i="26"/>
  <c r="AT122" i="26"/>
  <c r="AZ122" i="26" s="1"/>
  <c r="AI122" i="26"/>
  <c r="AB122" i="26"/>
  <c r="R122" i="26"/>
  <c r="L122" i="26"/>
  <c r="S122" i="26" s="1"/>
  <c r="K122" i="26"/>
  <c r="AT121" i="26"/>
  <c r="AI121" i="26"/>
  <c r="AB121" i="26"/>
  <c r="R121" i="26"/>
  <c r="L121" i="26"/>
  <c r="S121" i="26" s="1"/>
  <c r="AC121" i="26" s="1"/>
  <c r="K121" i="26"/>
  <c r="AB120" i="26"/>
  <c r="V120" i="26"/>
  <c r="AT120" i="26" s="1"/>
  <c r="R120" i="26"/>
  <c r="L120" i="26"/>
  <c r="S120" i="26" s="1"/>
  <c r="K120" i="26"/>
  <c r="AT119" i="26"/>
  <c r="AZ119" i="26" s="1"/>
  <c r="AI119" i="26"/>
  <c r="AB119" i="26"/>
  <c r="R119" i="26"/>
  <c r="L119" i="26"/>
  <c r="S119" i="26" s="1"/>
  <c r="K119" i="26"/>
  <c r="AT118" i="26"/>
  <c r="AI118" i="26"/>
  <c r="AB118" i="26"/>
  <c r="R118" i="26"/>
  <c r="L118" i="26"/>
  <c r="S118" i="26" s="1"/>
  <c r="AC118" i="26" s="1"/>
  <c r="AJ118" i="26" s="1"/>
  <c r="AQ118" i="26" s="1"/>
  <c r="AW118" i="26" s="1"/>
  <c r="K118" i="26"/>
  <c r="Y117" i="26"/>
  <c r="V117" i="26"/>
  <c r="AT117" i="26" s="1"/>
  <c r="R117" i="26"/>
  <c r="L117" i="26"/>
  <c r="K117" i="26"/>
  <c r="AM116" i="26"/>
  <c r="AF116" i="26"/>
  <c r="O116" i="26"/>
  <c r="H116" i="26"/>
  <c r="E116" i="26"/>
  <c r="K116" i="26" s="1"/>
  <c r="B116" i="26"/>
  <c r="BB115" i="26"/>
  <c r="AP115" i="26"/>
  <c r="AJ115" i="26"/>
  <c r="AQ115" i="26" s="1"/>
  <c r="AV115" i="26" s="1"/>
  <c r="AI115" i="26"/>
  <c r="AB115" i="26"/>
  <c r="X115" i="26"/>
  <c r="AT111" i="26"/>
  <c r="AZ111" i="26" s="1"/>
  <c r="AI111" i="26"/>
  <c r="AB111" i="26"/>
  <c r="R111" i="26"/>
  <c r="L111" i="26"/>
  <c r="S111" i="26" s="1"/>
  <c r="K111" i="26"/>
  <c r="AB110" i="26"/>
  <c r="V110" i="26"/>
  <c r="R110" i="26"/>
  <c r="L110" i="26"/>
  <c r="S110" i="26" s="1"/>
  <c r="AC110" i="26" s="1"/>
  <c r="K110" i="26"/>
  <c r="AT108" i="26"/>
  <c r="AP108" i="26"/>
  <c r="AJ108" i="26"/>
  <c r="AQ108" i="26" s="1"/>
  <c r="AI108" i="26"/>
  <c r="AB108" i="26"/>
  <c r="X108" i="26"/>
  <c r="R108" i="26"/>
  <c r="K108" i="26"/>
  <c r="AT107" i="26"/>
  <c r="AZ107" i="26" s="1"/>
  <c r="AP107" i="26"/>
  <c r="AJ107" i="26"/>
  <c r="AQ107" i="26" s="1"/>
  <c r="AW107" i="26" s="1"/>
  <c r="AI107" i="26"/>
  <c r="AB107" i="26"/>
  <c r="X107" i="26"/>
  <c r="R107" i="26"/>
  <c r="K107" i="26"/>
  <c r="AT106" i="26"/>
  <c r="AZ106" i="26" s="1"/>
  <c r="AI106" i="26"/>
  <c r="AB106" i="26"/>
  <c r="R106" i="26"/>
  <c r="L106" i="26"/>
  <c r="S106" i="26" s="1"/>
  <c r="K106" i="26"/>
  <c r="AT105" i="26"/>
  <c r="AZ105" i="26" s="1"/>
  <c r="AI105" i="26"/>
  <c r="AB105" i="26"/>
  <c r="R105" i="26"/>
  <c r="L105" i="26"/>
  <c r="K105" i="26"/>
  <c r="AM104" i="26"/>
  <c r="AF104" i="26"/>
  <c r="Y104" i="26"/>
  <c r="V104" i="26"/>
  <c r="O104" i="26"/>
  <c r="AB104" i="26" s="1"/>
  <c r="H104" i="26"/>
  <c r="E104" i="26"/>
  <c r="B104" i="26"/>
  <c r="BB103" i="26"/>
  <c r="AI103" i="26"/>
  <c r="AC103" i="26"/>
  <c r="AJ103" i="26" s="1"/>
  <c r="AQ103" i="26" s="1"/>
  <c r="AV103" i="26" s="1"/>
  <c r="AB103" i="26"/>
  <c r="X103" i="26"/>
  <c r="R103" i="26"/>
  <c r="K103" i="26"/>
  <c r="AT102" i="26"/>
  <c r="AI102" i="26"/>
  <c r="AB102" i="26"/>
  <c r="R102" i="26"/>
  <c r="L102" i="26"/>
  <c r="S102" i="26" s="1"/>
  <c r="AC102" i="26" s="1"/>
  <c r="K102" i="26"/>
  <c r="AT101" i="26"/>
  <c r="AZ101" i="26" s="1"/>
  <c r="AI101" i="26"/>
  <c r="AB101" i="26"/>
  <c r="R101" i="26"/>
  <c r="L101" i="26"/>
  <c r="S101" i="26" s="1"/>
  <c r="K101" i="26"/>
  <c r="AT100" i="26"/>
  <c r="AZ100" i="26" s="1"/>
  <c r="AI100" i="26"/>
  <c r="AB100" i="26"/>
  <c r="R100" i="26"/>
  <c r="L100" i="26"/>
  <c r="S100" i="26" s="1"/>
  <c r="K100" i="26"/>
  <c r="AT99" i="26"/>
  <c r="AZ99" i="26" s="1"/>
  <c r="AI99" i="26"/>
  <c r="AB99" i="26"/>
  <c r="R99" i="26"/>
  <c r="L99" i="26"/>
  <c r="S99" i="26" s="1"/>
  <c r="K99" i="26"/>
  <c r="AT98" i="26"/>
  <c r="AI98" i="26"/>
  <c r="AB98" i="26"/>
  <c r="R98" i="26"/>
  <c r="L98" i="26"/>
  <c r="S98" i="26" s="1"/>
  <c r="AC98" i="26" s="1"/>
  <c r="K98" i="26"/>
  <c r="AT97" i="26"/>
  <c r="AZ97" i="26" s="1"/>
  <c r="AI97" i="26"/>
  <c r="AB97" i="26"/>
  <c r="R97" i="26"/>
  <c r="L97" i="26"/>
  <c r="S97" i="26" s="1"/>
  <c r="K97" i="26"/>
  <c r="AT96" i="26"/>
  <c r="AZ96" i="26" s="1"/>
  <c r="AI96" i="26"/>
  <c r="AB96" i="26"/>
  <c r="R96" i="26"/>
  <c r="L96" i="26"/>
  <c r="S96" i="26" s="1"/>
  <c r="K96" i="26"/>
  <c r="B96" i="26"/>
  <c r="B93" i="26" s="1"/>
  <c r="AT95" i="26"/>
  <c r="AZ95" i="26" s="1"/>
  <c r="AB95" i="26"/>
  <c r="V95" i="26"/>
  <c r="AI95" i="26" s="1"/>
  <c r="R95" i="26"/>
  <c r="L95" i="26"/>
  <c r="K95" i="26"/>
  <c r="AT94" i="26"/>
  <c r="AI94" i="26"/>
  <c r="AB94" i="26"/>
  <c r="R94" i="26"/>
  <c r="L94" i="26"/>
  <c r="S94" i="26" s="1"/>
  <c r="K94" i="26"/>
  <c r="AM93" i="26"/>
  <c r="AF93" i="26"/>
  <c r="Y93" i="26"/>
  <c r="V93" i="26"/>
  <c r="AI93" i="26" s="1"/>
  <c r="O93" i="26"/>
  <c r="H93" i="26"/>
  <c r="E93" i="26"/>
  <c r="AT92" i="26"/>
  <c r="AP92" i="26"/>
  <c r="AJ92" i="26"/>
  <c r="AQ92" i="26" s="1"/>
  <c r="AW92" i="26" s="1"/>
  <c r="AI92" i="26"/>
  <c r="AB92" i="26"/>
  <c r="X92" i="26"/>
  <c r="R92" i="26"/>
  <c r="K92" i="26"/>
  <c r="AT91" i="26"/>
  <c r="AZ91" i="26" s="1"/>
  <c r="AI91" i="26"/>
  <c r="AB91" i="26"/>
  <c r="R91" i="26"/>
  <c r="L91" i="26"/>
  <c r="S91" i="26" s="1"/>
  <c r="K91" i="26"/>
  <c r="AT90" i="26"/>
  <c r="AI90" i="26"/>
  <c r="AB90" i="26"/>
  <c r="R90" i="26"/>
  <c r="L90" i="26"/>
  <c r="S90" i="26" s="1"/>
  <c r="AC90" i="26" s="1"/>
  <c r="K90" i="26"/>
  <c r="AT89" i="26"/>
  <c r="AZ89" i="26" s="1"/>
  <c r="AI89" i="26"/>
  <c r="AB89" i="26"/>
  <c r="R89" i="26"/>
  <c r="L89" i="26"/>
  <c r="S89" i="26" s="1"/>
  <c r="K89" i="26"/>
  <c r="AT88" i="26"/>
  <c r="AZ88" i="26" s="1"/>
  <c r="AI88" i="26"/>
  <c r="AB88" i="26"/>
  <c r="R88" i="26"/>
  <c r="L88" i="26"/>
  <c r="S88" i="26" s="1"/>
  <c r="K88" i="26"/>
  <c r="AB87" i="26"/>
  <c r="V87" i="26"/>
  <c r="R87" i="26"/>
  <c r="L87" i="26"/>
  <c r="S87" i="26" s="1"/>
  <c r="K87" i="26"/>
  <c r="AT86" i="26"/>
  <c r="AZ86" i="26" s="1"/>
  <c r="AI86" i="26"/>
  <c r="AB86" i="26"/>
  <c r="R86" i="26"/>
  <c r="L86" i="26"/>
  <c r="K86" i="26"/>
  <c r="AT85" i="26"/>
  <c r="AI85" i="26"/>
  <c r="AB85" i="26"/>
  <c r="R85" i="26"/>
  <c r="L85" i="26"/>
  <c r="S85" i="26" s="1"/>
  <c r="K85" i="26"/>
  <c r="AM84" i="26"/>
  <c r="AF84" i="26"/>
  <c r="Y84" i="26"/>
  <c r="O84" i="26"/>
  <c r="H84" i="26"/>
  <c r="E84" i="26"/>
  <c r="B84" i="26"/>
  <c r="AT83" i="26"/>
  <c r="AZ83" i="26" s="1"/>
  <c r="AP83" i="26"/>
  <c r="AJ83" i="26"/>
  <c r="AQ83" i="26" s="1"/>
  <c r="AW83" i="26" s="1"/>
  <c r="BB83" i="26" s="1"/>
  <c r="AI83" i="26"/>
  <c r="AB83" i="26"/>
  <c r="X83" i="26"/>
  <c r="R83" i="26"/>
  <c r="K83" i="26"/>
  <c r="AB82" i="26"/>
  <c r="V82" i="26"/>
  <c r="R82" i="26"/>
  <c r="E82" i="26"/>
  <c r="L82" i="26" s="1"/>
  <c r="S82" i="26" s="1"/>
  <c r="AC82" i="26" s="1"/>
  <c r="AP82" i="26" s="1"/>
  <c r="B82" i="26"/>
  <c r="AB81" i="26"/>
  <c r="V81" i="26"/>
  <c r="R81" i="26"/>
  <c r="L81" i="26"/>
  <c r="S81" i="26" s="1"/>
  <c r="AC81" i="26" s="1"/>
  <c r="AP81" i="26" s="1"/>
  <c r="K81" i="26"/>
  <c r="AI80" i="26"/>
  <c r="AB80" i="26"/>
  <c r="V80" i="26"/>
  <c r="AT80" i="26" s="1"/>
  <c r="R80" i="26"/>
  <c r="L80" i="26"/>
  <c r="S80" i="26" s="1"/>
  <c r="K80" i="26"/>
  <c r="AB79" i="26"/>
  <c r="V79" i="26"/>
  <c r="R79" i="26"/>
  <c r="L79" i="26"/>
  <c r="S79" i="26" s="1"/>
  <c r="AC79" i="26" s="1"/>
  <c r="AP79" i="26" s="1"/>
  <c r="K79" i="26"/>
  <c r="AB78" i="26"/>
  <c r="V78" i="26"/>
  <c r="AT78" i="26" s="1"/>
  <c r="R78" i="26"/>
  <c r="L78" i="26"/>
  <c r="S78" i="26" s="1"/>
  <c r="X78" i="26" s="1"/>
  <c r="K78" i="26"/>
  <c r="AT77" i="26"/>
  <c r="AZ77" i="26" s="1"/>
  <c r="AW77" i="26" s="1"/>
  <c r="AI77" i="26"/>
  <c r="AB77" i="26"/>
  <c r="R77" i="26"/>
  <c r="L77" i="26"/>
  <c r="S77" i="26" s="1"/>
  <c r="K77" i="26"/>
  <c r="AB76" i="26"/>
  <c r="V76" i="26"/>
  <c r="AI76" i="26" s="1"/>
  <c r="R76" i="26"/>
  <c r="L76" i="26"/>
  <c r="S76" i="26" s="1"/>
  <c r="K76" i="26"/>
  <c r="AB75" i="26"/>
  <c r="V75" i="26"/>
  <c r="AI75" i="26" s="1"/>
  <c r="R75" i="26"/>
  <c r="L75" i="26"/>
  <c r="S75" i="26" s="1"/>
  <c r="AC75" i="26" s="1"/>
  <c r="K75" i="26"/>
  <c r="AT74" i="26"/>
  <c r="AB74" i="26"/>
  <c r="V74" i="26"/>
  <c r="AI74" i="26" s="1"/>
  <c r="R74" i="26"/>
  <c r="L74" i="26"/>
  <c r="S74" i="26" s="1"/>
  <c r="AC74" i="26" s="1"/>
  <c r="K74" i="26"/>
  <c r="AB73" i="26"/>
  <c r="V73" i="26"/>
  <c r="R73" i="26"/>
  <c r="L73" i="26"/>
  <c r="S73" i="26" s="1"/>
  <c r="AC73" i="26" s="1"/>
  <c r="AP73" i="26" s="1"/>
  <c r="K73" i="26"/>
  <c r="AB72" i="26"/>
  <c r="V72" i="26"/>
  <c r="AI72" i="26" s="1"/>
  <c r="R72" i="26"/>
  <c r="L72" i="26"/>
  <c r="S72" i="26" s="1"/>
  <c r="AC72" i="26" s="1"/>
  <c r="K72" i="26"/>
  <c r="AB71" i="26"/>
  <c r="S71" i="26"/>
  <c r="AC71" i="26" s="1"/>
  <c r="R71" i="26"/>
  <c r="L71" i="26"/>
  <c r="K71" i="26"/>
  <c r="AB70" i="26"/>
  <c r="V70" i="26"/>
  <c r="V71" i="26" s="1"/>
  <c r="R70" i="26"/>
  <c r="L70" i="26"/>
  <c r="S70" i="26" s="1"/>
  <c r="K70" i="26"/>
  <c r="AM69" i="26"/>
  <c r="AF69" i="26"/>
  <c r="Y69" i="26"/>
  <c r="O69" i="26"/>
  <c r="H69" i="26"/>
  <c r="E69" i="26"/>
  <c r="B69" i="26"/>
  <c r="AT68" i="26"/>
  <c r="AZ68" i="26" s="1"/>
  <c r="AP68" i="26"/>
  <c r="AJ68" i="26"/>
  <c r="AQ68" i="26" s="1"/>
  <c r="AW68" i="26" s="1"/>
  <c r="AI68" i="26"/>
  <c r="AB68" i="26"/>
  <c r="X68" i="26"/>
  <c r="R68" i="26"/>
  <c r="K68" i="26"/>
  <c r="AT67" i="26"/>
  <c r="AZ67" i="26" s="1"/>
  <c r="AI67" i="26"/>
  <c r="AB67" i="26"/>
  <c r="R67" i="26"/>
  <c r="L67" i="26"/>
  <c r="S67" i="26" s="1"/>
  <c r="K67" i="26"/>
  <c r="AB66" i="26"/>
  <c r="V66" i="26"/>
  <c r="R66" i="26"/>
  <c r="L66" i="26"/>
  <c r="S66" i="26" s="1"/>
  <c r="AC66" i="26" s="1"/>
  <c r="AP66" i="26" s="1"/>
  <c r="K66" i="26"/>
  <c r="AT65" i="26"/>
  <c r="AZ65" i="26" s="1"/>
  <c r="AI65" i="26"/>
  <c r="AB65" i="26"/>
  <c r="R65" i="26"/>
  <c r="L65" i="26"/>
  <c r="S65" i="26" s="1"/>
  <c r="K65" i="26"/>
  <c r="AB64" i="26"/>
  <c r="V64" i="26"/>
  <c r="AT64" i="26" s="1"/>
  <c r="R64" i="26"/>
  <c r="L64" i="26"/>
  <c r="S64" i="26" s="1"/>
  <c r="AC64" i="26" s="1"/>
  <c r="K64" i="26"/>
  <c r="AT63" i="26"/>
  <c r="AZ63" i="26" s="1"/>
  <c r="AI63" i="26"/>
  <c r="AB63" i="26"/>
  <c r="R63" i="26"/>
  <c r="L63" i="26"/>
  <c r="S63" i="26" s="1"/>
  <c r="AC63" i="26" s="1"/>
  <c r="K63" i="26"/>
  <c r="AT62" i="26"/>
  <c r="AZ62" i="26" s="1"/>
  <c r="AI62" i="26"/>
  <c r="AB62" i="26"/>
  <c r="R62" i="26"/>
  <c r="L62" i="26"/>
  <c r="S62" i="26" s="1"/>
  <c r="AC62" i="26" s="1"/>
  <c r="K62" i="26"/>
  <c r="AB61" i="26"/>
  <c r="V61" i="26"/>
  <c r="AI61" i="26" s="1"/>
  <c r="R61" i="26"/>
  <c r="L61" i="26"/>
  <c r="S61" i="26" s="1"/>
  <c r="AC61" i="26" s="1"/>
  <c r="K61" i="26"/>
  <c r="AB60" i="26"/>
  <c r="V60" i="26"/>
  <c r="AT60" i="26" s="1"/>
  <c r="R60" i="26"/>
  <c r="L60" i="26"/>
  <c r="S60" i="26" s="1"/>
  <c r="K60" i="26"/>
  <c r="AT59" i="26"/>
  <c r="AZ59" i="26" s="1"/>
  <c r="AW59" i="26" s="1"/>
  <c r="AI59" i="26"/>
  <c r="AB59" i="26"/>
  <c r="R59" i="26"/>
  <c r="L59" i="26"/>
  <c r="S59" i="26" s="1"/>
  <c r="K59" i="26"/>
  <c r="AT58" i="26"/>
  <c r="AZ58" i="26" s="1"/>
  <c r="AW58" i="26" s="1"/>
  <c r="AI58" i="26"/>
  <c r="AB58" i="26"/>
  <c r="R58" i="26"/>
  <c r="L58" i="26"/>
  <c r="S58" i="26" s="1"/>
  <c r="K58" i="26"/>
  <c r="AT57" i="26"/>
  <c r="AZ57" i="26" s="1"/>
  <c r="AW57" i="26" s="1"/>
  <c r="AI57" i="26"/>
  <c r="AB57" i="26"/>
  <c r="R57" i="26"/>
  <c r="L57" i="26"/>
  <c r="S57" i="26" s="1"/>
  <c r="AC57" i="26" s="1"/>
  <c r="K57" i="26"/>
  <c r="AT56" i="26"/>
  <c r="AZ56" i="26" s="1"/>
  <c r="AW56" i="26" s="1"/>
  <c r="AI56" i="26"/>
  <c r="AB56" i="26"/>
  <c r="R56" i="26"/>
  <c r="L56" i="26"/>
  <c r="S56" i="26" s="1"/>
  <c r="K56" i="26"/>
  <c r="AT55" i="26"/>
  <c r="AZ55" i="26" s="1"/>
  <c r="AW55" i="26" s="1"/>
  <c r="AI55" i="26"/>
  <c r="AB55" i="26"/>
  <c r="R55" i="26"/>
  <c r="L55" i="26"/>
  <c r="S55" i="26" s="1"/>
  <c r="K55" i="26"/>
  <c r="AB54" i="26"/>
  <c r="V54" i="26"/>
  <c r="AT54" i="26" s="1"/>
  <c r="R54" i="26"/>
  <c r="L54" i="26"/>
  <c r="S54" i="26" s="1"/>
  <c r="AC54" i="26" s="1"/>
  <c r="K54" i="26"/>
  <c r="AT53" i="26"/>
  <c r="AZ53" i="26" s="1"/>
  <c r="AW53" i="26" s="1"/>
  <c r="AI53" i="26"/>
  <c r="AB53" i="26"/>
  <c r="R53" i="26"/>
  <c r="L53" i="26"/>
  <c r="S53" i="26" s="1"/>
  <c r="K53" i="26"/>
  <c r="AB52" i="26"/>
  <c r="V52" i="26"/>
  <c r="AI52" i="26" s="1"/>
  <c r="R52" i="26"/>
  <c r="L52" i="26"/>
  <c r="S52" i="26" s="1"/>
  <c r="AC52" i="26" s="1"/>
  <c r="K52" i="26"/>
  <c r="AT51" i="26"/>
  <c r="AZ51" i="26" s="1"/>
  <c r="AW51" i="26" s="1"/>
  <c r="AI51" i="26"/>
  <c r="AB51" i="26"/>
  <c r="R51" i="26"/>
  <c r="L51" i="26"/>
  <c r="S51" i="26" s="1"/>
  <c r="AC51" i="26" s="1"/>
  <c r="K51" i="26"/>
  <c r="AT50" i="26"/>
  <c r="AZ50" i="26" s="1"/>
  <c r="AW50" i="26" s="1"/>
  <c r="AI50" i="26"/>
  <c r="AB50" i="26"/>
  <c r="R50" i="26"/>
  <c r="L50" i="26"/>
  <c r="S50" i="26" s="1"/>
  <c r="K50" i="26"/>
  <c r="AB49" i="26"/>
  <c r="V49" i="26"/>
  <c r="R49" i="26"/>
  <c r="L49" i="26"/>
  <c r="S49" i="26" s="1"/>
  <c r="AC49" i="26" s="1"/>
  <c r="K49" i="26"/>
  <c r="AB48" i="26"/>
  <c r="V48" i="26"/>
  <c r="AT48" i="26" s="1"/>
  <c r="R48" i="26"/>
  <c r="L48" i="26"/>
  <c r="S48" i="26" s="1"/>
  <c r="K48" i="26"/>
  <c r="AB47" i="26"/>
  <c r="V47" i="26"/>
  <c r="AI47" i="26" s="1"/>
  <c r="R47" i="26"/>
  <c r="L47" i="26"/>
  <c r="S47" i="26" s="1"/>
  <c r="AC47" i="26" s="1"/>
  <c r="K47" i="26"/>
  <c r="AB46" i="26"/>
  <c r="V46" i="26"/>
  <c r="AT46" i="26" s="1"/>
  <c r="R46" i="26"/>
  <c r="L46" i="26"/>
  <c r="S46" i="26" s="1"/>
  <c r="K46" i="26"/>
  <c r="AB45" i="26"/>
  <c r="V45" i="26"/>
  <c r="AI45" i="26" s="1"/>
  <c r="R45" i="26"/>
  <c r="L45" i="26"/>
  <c r="S45" i="26" s="1"/>
  <c r="AC45" i="26" s="1"/>
  <c r="K45" i="26"/>
  <c r="AB44" i="26"/>
  <c r="V44" i="26"/>
  <c r="AT44" i="26" s="1"/>
  <c r="R44" i="26"/>
  <c r="L44" i="26"/>
  <c r="S44" i="26" s="1"/>
  <c r="K44" i="26"/>
  <c r="AT43" i="26"/>
  <c r="AZ43" i="26" s="1"/>
  <c r="AB43" i="26"/>
  <c r="V43" i="26"/>
  <c r="AI43" i="26" s="1"/>
  <c r="R43" i="26"/>
  <c r="L43" i="26"/>
  <c r="S43" i="26" s="1"/>
  <c r="AC43" i="26" s="1"/>
  <c r="K43" i="26"/>
  <c r="AB42" i="26"/>
  <c r="V42" i="26"/>
  <c r="AT42" i="26" s="1"/>
  <c r="R42" i="26"/>
  <c r="L42" i="26"/>
  <c r="S42" i="26" s="1"/>
  <c r="K42" i="26"/>
  <c r="AB41" i="26"/>
  <c r="V41" i="26"/>
  <c r="AI41" i="26" s="1"/>
  <c r="R41" i="26"/>
  <c r="L41" i="26"/>
  <c r="S41" i="26" s="1"/>
  <c r="K41" i="26"/>
  <c r="AM40" i="26"/>
  <c r="AF40" i="26"/>
  <c r="AF39" i="26" s="1"/>
  <c r="AF124" i="26" s="1"/>
  <c r="Y40" i="26"/>
  <c r="O40" i="26"/>
  <c r="H40" i="26"/>
  <c r="E40" i="26"/>
  <c r="B40" i="26"/>
  <c r="BB38" i="26"/>
  <c r="AP38" i="26"/>
  <c r="AJ38" i="26"/>
  <c r="AQ38" i="26" s="1"/>
  <c r="AV38" i="26" s="1"/>
  <c r="AI38" i="26"/>
  <c r="AB38" i="26"/>
  <c r="X38" i="26"/>
  <c r="BB33" i="26"/>
  <c r="AP33" i="26"/>
  <c r="AJ33" i="26"/>
  <c r="AQ33" i="26" s="1"/>
  <c r="AV33" i="26" s="1"/>
  <c r="AI33" i="26"/>
  <c r="AB33" i="26"/>
  <c r="X33" i="26"/>
  <c r="K33" i="26"/>
  <c r="AT32" i="26"/>
  <c r="AZ32" i="26" s="1"/>
  <c r="AP32" i="26"/>
  <c r="AJ32" i="26"/>
  <c r="AQ32" i="26" s="1"/>
  <c r="AI32" i="26"/>
  <c r="AB32" i="26"/>
  <c r="X32" i="26"/>
  <c r="R32" i="26"/>
  <c r="K32" i="26"/>
  <c r="AT31" i="26"/>
  <c r="AI31" i="26"/>
  <c r="AB31" i="26"/>
  <c r="R31" i="26"/>
  <c r="L31" i="26"/>
  <c r="S31" i="26" s="1"/>
  <c r="K31" i="26"/>
  <c r="AM30" i="26"/>
  <c r="AF30" i="26"/>
  <c r="Y30" i="26"/>
  <c r="V30" i="26"/>
  <c r="O30" i="26"/>
  <c r="H30" i="26"/>
  <c r="E30" i="26"/>
  <c r="B30" i="26"/>
  <c r="AT29" i="26"/>
  <c r="AZ29" i="26" s="1"/>
  <c r="AP29" i="26"/>
  <c r="AJ29" i="26"/>
  <c r="AQ29" i="26" s="1"/>
  <c r="AI29" i="26"/>
  <c r="AB29" i="26"/>
  <c r="X29" i="26"/>
  <c r="R29" i="26"/>
  <c r="K29" i="26"/>
  <c r="AT28" i="26"/>
  <c r="AZ28" i="26" s="1"/>
  <c r="AI28" i="26"/>
  <c r="AB28" i="26"/>
  <c r="R28" i="26"/>
  <c r="L28" i="26"/>
  <c r="S28" i="26" s="1"/>
  <c r="K28" i="26"/>
  <c r="AM27" i="26"/>
  <c r="AF27" i="26"/>
  <c r="Y27" i="26"/>
  <c r="V27" i="26"/>
  <c r="O27" i="26"/>
  <c r="H27" i="26"/>
  <c r="E27" i="26"/>
  <c r="B27" i="26"/>
  <c r="AT26" i="26"/>
  <c r="AZ26" i="26" s="1"/>
  <c r="AP26" i="26"/>
  <c r="AJ26" i="26"/>
  <c r="AQ26" i="26" s="1"/>
  <c r="AW26" i="26" s="1"/>
  <c r="AI26" i="26"/>
  <c r="AB26" i="26"/>
  <c r="X26" i="26"/>
  <c r="R26" i="26"/>
  <c r="K26" i="26"/>
  <c r="AB25" i="26"/>
  <c r="R25" i="26"/>
  <c r="L25" i="26"/>
  <c r="S25" i="26" s="1"/>
  <c r="K25" i="26"/>
  <c r="AM24" i="26"/>
  <c r="AM23" i="26" s="1"/>
  <c r="AF24" i="26"/>
  <c r="Y24" i="26"/>
  <c r="O24" i="26"/>
  <c r="H24" i="26"/>
  <c r="E24" i="26"/>
  <c r="B24" i="26"/>
  <c r="AT22" i="26"/>
  <c r="AZ22" i="26" s="1"/>
  <c r="AP22" i="26"/>
  <c r="AJ22" i="26"/>
  <c r="AQ22" i="26" s="1"/>
  <c r="AW22" i="26" s="1"/>
  <c r="AI22" i="26"/>
  <c r="AB22" i="26"/>
  <c r="X22" i="26"/>
  <c r="R22" i="26"/>
  <c r="K22" i="26"/>
  <c r="AT21" i="26"/>
  <c r="AZ21" i="26" s="1"/>
  <c r="AP21" i="26"/>
  <c r="AJ21" i="26"/>
  <c r="AQ21" i="26" s="1"/>
  <c r="AV21" i="26" s="1"/>
  <c r="AI21" i="26"/>
  <c r="AB21" i="26"/>
  <c r="X21" i="26"/>
  <c r="R21" i="26"/>
  <c r="K21" i="26"/>
  <c r="AT20" i="26"/>
  <c r="AI20" i="26"/>
  <c r="AB20" i="26"/>
  <c r="R20" i="26"/>
  <c r="L20" i="26"/>
  <c r="S20" i="26" s="1"/>
  <c r="AC20" i="26" s="1"/>
  <c r="K20" i="26"/>
  <c r="AM19" i="26"/>
  <c r="AF19" i="26"/>
  <c r="Y19" i="26"/>
  <c r="V19" i="26"/>
  <c r="O19" i="26"/>
  <c r="L19" i="26"/>
  <c r="H19" i="26"/>
  <c r="E19" i="26"/>
  <c r="B19" i="26"/>
  <c r="AT18" i="26"/>
  <c r="AZ18" i="26" s="1"/>
  <c r="AP18" i="26"/>
  <c r="AJ18" i="26"/>
  <c r="AQ18" i="26" s="1"/>
  <c r="AW18" i="26" s="1"/>
  <c r="AI18" i="26"/>
  <c r="AB18" i="26"/>
  <c r="X18" i="26"/>
  <c r="R18" i="26"/>
  <c r="K18" i="26"/>
  <c r="AT17" i="26"/>
  <c r="AZ17" i="26" s="1"/>
  <c r="AI17" i="26"/>
  <c r="AB17" i="26"/>
  <c r="R17" i="26"/>
  <c r="L17" i="26"/>
  <c r="S17" i="26" s="1"/>
  <c r="S16" i="26" s="1"/>
  <c r="K17" i="26"/>
  <c r="AT16" i="26"/>
  <c r="AM16" i="26"/>
  <c r="AF16" i="26"/>
  <c r="Y16" i="26"/>
  <c r="Y36" i="26" s="1"/>
  <c r="Z36" i="26" s="1"/>
  <c r="V16" i="26"/>
  <c r="O16" i="26"/>
  <c r="H16" i="26"/>
  <c r="E16" i="26"/>
  <c r="B16" i="26"/>
  <c r="C31" i="26" s="1"/>
  <c r="AT15" i="26"/>
  <c r="AZ15" i="26" s="1"/>
  <c r="AP15" i="26"/>
  <c r="AJ15" i="26"/>
  <c r="AQ15" i="26" s="1"/>
  <c r="AW15" i="26" s="1"/>
  <c r="AI15" i="26"/>
  <c r="AB15" i="26"/>
  <c r="X15" i="26"/>
  <c r="R15" i="26"/>
  <c r="K15" i="26"/>
  <c r="AT14" i="26"/>
  <c r="AI14" i="26"/>
  <c r="AB14" i="26"/>
  <c r="R14" i="26"/>
  <c r="L14" i="26"/>
  <c r="S14" i="26" s="1"/>
  <c r="AC14" i="26" s="1"/>
  <c r="K14" i="26"/>
  <c r="AT13" i="26"/>
  <c r="AI13" i="26"/>
  <c r="AB13" i="26"/>
  <c r="R13" i="26"/>
  <c r="L13" i="26"/>
  <c r="S13" i="26" s="1"/>
  <c r="K13" i="26"/>
  <c r="AT12" i="26"/>
  <c r="AT11" i="26" s="1"/>
  <c r="AU28" i="26" s="1"/>
  <c r="AI12" i="26"/>
  <c r="AB12" i="26"/>
  <c r="R12" i="26"/>
  <c r="L12" i="26"/>
  <c r="K12" i="26"/>
  <c r="AM11" i="26"/>
  <c r="AF11" i="26"/>
  <c r="AG28" i="26" s="1"/>
  <c r="Y11" i="26"/>
  <c r="Y35" i="26" s="1"/>
  <c r="Z35" i="26" s="1"/>
  <c r="V11" i="26"/>
  <c r="O11" i="26"/>
  <c r="P28" i="26" s="1"/>
  <c r="H11" i="26"/>
  <c r="I27" i="26" s="1"/>
  <c r="E11" i="26"/>
  <c r="F28" i="26" s="1"/>
  <c r="B11" i="26"/>
  <c r="AT10" i="26"/>
  <c r="AP10" i="26"/>
  <c r="AJ10" i="26"/>
  <c r="AQ10" i="26" s="1"/>
  <c r="AI10" i="26"/>
  <c r="AB10" i="26"/>
  <c r="X10" i="26"/>
  <c r="R10" i="26"/>
  <c r="K10" i="26"/>
  <c r="AT9" i="26"/>
  <c r="AI9" i="26"/>
  <c r="AB9" i="26"/>
  <c r="R9" i="26"/>
  <c r="L9" i="26"/>
  <c r="S9" i="26" s="1"/>
  <c r="AC9" i="26" s="1"/>
  <c r="K9" i="26"/>
  <c r="AT8" i="26"/>
  <c r="AI8" i="26"/>
  <c r="AB8" i="26"/>
  <c r="R8" i="26"/>
  <c r="L8" i="26"/>
  <c r="K8" i="26"/>
  <c r="AB7" i="26"/>
  <c r="V7" i="26"/>
  <c r="V25" i="26" s="1"/>
  <c r="R7" i="26"/>
  <c r="L7" i="26"/>
  <c r="K7" i="26"/>
  <c r="AM6" i="26"/>
  <c r="AF6" i="26"/>
  <c r="AG25" i="26" s="1"/>
  <c r="Y6" i="26"/>
  <c r="O6" i="26"/>
  <c r="H6" i="26"/>
  <c r="E6" i="26"/>
  <c r="F25" i="26" s="1"/>
  <c r="B6" i="26"/>
  <c r="C25" i="26" s="1"/>
  <c r="K93" i="26" l="1"/>
  <c r="K69" i="26"/>
  <c r="R93" i="26"/>
  <c r="R69" i="26"/>
  <c r="H5" i="26"/>
  <c r="I122" i="26" s="1"/>
  <c r="AT41" i="26"/>
  <c r="AZ41" i="26" s="1"/>
  <c r="AT47" i="26"/>
  <c r="AZ47" i="26" s="1"/>
  <c r="AI78" i="26"/>
  <c r="AT125" i="26"/>
  <c r="AV136" i="26"/>
  <c r="L16" i="26"/>
  <c r="AT45" i="26"/>
  <c r="AZ45" i="26" s="1"/>
  <c r="AW45" i="26" s="1"/>
  <c r="AI70" i="26"/>
  <c r="AT76" i="26"/>
  <c r="AT19" i="26"/>
  <c r="O39" i="26"/>
  <c r="AT104" i="26"/>
  <c r="L11" i="26"/>
  <c r="M28" i="26" s="1"/>
  <c r="AB125" i="26"/>
  <c r="AT7" i="26"/>
  <c r="X80" i="26"/>
  <c r="V116" i="26"/>
  <c r="AI125" i="26"/>
  <c r="X123" i="26"/>
  <c r="AC123" i="26"/>
  <c r="AP110" i="26"/>
  <c r="AJ110" i="26"/>
  <c r="AQ110" i="26" s="1"/>
  <c r="AW110" i="26" s="1"/>
  <c r="W27" i="26"/>
  <c r="B39" i="26"/>
  <c r="B124" i="26" s="1"/>
  <c r="D45" i="26" s="1"/>
  <c r="Y39" i="26"/>
  <c r="Z39" i="26" s="1"/>
  <c r="V6" i="26"/>
  <c r="W25" i="26" s="1"/>
  <c r="R16" i="26"/>
  <c r="L27" i="26"/>
  <c r="AI30" i="26"/>
  <c r="L84" i="26"/>
  <c r="R125" i="26"/>
  <c r="AI42" i="26"/>
  <c r="AI44" i="26"/>
  <c r="AI46" i="26"/>
  <c r="AI48" i="26"/>
  <c r="AB69" i="26"/>
  <c r="AB84" i="26"/>
  <c r="AB93" i="26"/>
  <c r="AT116" i="26"/>
  <c r="X120" i="26"/>
  <c r="AI120" i="26"/>
  <c r="L125" i="26"/>
  <c r="X138" i="26"/>
  <c r="AU31" i="26"/>
  <c r="S12" i="26"/>
  <c r="AC12" i="26" s="1"/>
  <c r="AJ12" i="26" s="1"/>
  <c r="AQ12" i="26" s="1"/>
  <c r="AW12" i="26" s="1"/>
  <c r="E35" i="26"/>
  <c r="V35" i="26"/>
  <c r="R24" i="26"/>
  <c r="AB30" i="26"/>
  <c r="AC25" i="26"/>
  <c r="AJ25" i="26" s="1"/>
  <c r="AQ25" i="26" s="1"/>
  <c r="S24" i="26"/>
  <c r="H23" i="26"/>
  <c r="L24" i="26"/>
  <c r="L34" i="26" s="1"/>
  <c r="M34" i="26" s="1"/>
  <c r="B23" i="26"/>
  <c r="AB24" i="26"/>
  <c r="AZ31" i="26"/>
  <c r="K30" i="26"/>
  <c r="S8" i="26"/>
  <c r="T142" i="26" s="1"/>
  <c r="M142" i="26"/>
  <c r="AB11" i="26"/>
  <c r="Z31" i="26"/>
  <c r="Y5" i="26"/>
  <c r="Z132" i="26" s="1"/>
  <c r="K16" i="26"/>
  <c r="F24" i="26"/>
  <c r="AG24" i="26"/>
  <c r="AP49" i="26"/>
  <c r="AJ49" i="26"/>
  <c r="AQ49" i="26" s="1"/>
  <c r="AW49" i="26" s="1"/>
  <c r="E39" i="26"/>
  <c r="E124" i="26" s="1"/>
  <c r="G40" i="26" s="1"/>
  <c r="AB40" i="26"/>
  <c r="K40" i="26"/>
  <c r="X127" i="26"/>
  <c r="X128" i="26"/>
  <c r="AC130" i="26"/>
  <c r="AC131" i="26"/>
  <c r="AP131" i="26" s="1"/>
  <c r="AC132" i="26"/>
  <c r="AP132" i="26" s="1"/>
  <c r="AZ135" i="26"/>
  <c r="BB135" i="26" s="1"/>
  <c r="AZ136" i="26"/>
  <c r="BB136" i="26" s="1"/>
  <c r="AJ121" i="26"/>
  <c r="AQ121" i="26" s="1"/>
  <c r="AW121" i="26" s="1"/>
  <c r="AP121" i="26"/>
  <c r="AC120" i="26"/>
  <c r="AP118" i="26"/>
  <c r="K104" i="26"/>
  <c r="AM39" i="26"/>
  <c r="AM124" i="26" s="1"/>
  <c r="AO138" i="26" s="1"/>
  <c r="R104" i="26"/>
  <c r="AV107" i="26"/>
  <c r="AJ102" i="26"/>
  <c r="AQ102" i="26" s="1"/>
  <c r="AW102" i="26" s="1"/>
  <c r="AP102" i="26"/>
  <c r="AP103" i="26"/>
  <c r="X87" i="26"/>
  <c r="AC87" i="26"/>
  <c r="AJ90" i="26"/>
  <c r="AQ90" i="26" s="1"/>
  <c r="AW90" i="26" s="1"/>
  <c r="AP90" i="26"/>
  <c r="K84" i="26"/>
  <c r="AC78" i="26"/>
  <c r="AC80" i="26"/>
  <c r="AJ80" i="26" s="1"/>
  <c r="AQ80" i="26" s="1"/>
  <c r="AV80" i="26" s="1"/>
  <c r="X60" i="26"/>
  <c r="AC60" i="26"/>
  <c r="AP60" i="26" s="1"/>
  <c r="L40" i="26"/>
  <c r="D41" i="26"/>
  <c r="K24" i="26"/>
  <c r="AV26" i="26"/>
  <c r="AT27" i="26"/>
  <c r="AU27" i="26" s="1"/>
  <c r="R30" i="26"/>
  <c r="O36" i="26"/>
  <c r="AT30" i="26"/>
  <c r="AU30" i="26" s="1"/>
  <c r="AC19" i="26"/>
  <c r="AP19" i="26" s="1"/>
  <c r="AP20" i="26"/>
  <c r="AB16" i="26"/>
  <c r="AZ20" i="26"/>
  <c r="AZ19" i="26" s="1"/>
  <c r="AM34" i="26"/>
  <c r="C30" i="26"/>
  <c r="L6" i="26"/>
  <c r="K11" i="26"/>
  <c r="AI11" i="26"/>
  <c r="BB15" i="26"/>
  <c r="BB22" i="26"/>
  <c r="AF35" i="26"/>
  <c r="AG35" i="26" s="1"/>
  <c r="W28" i="26"/>
  <c r="AP25" i="26"/>
  <c r="I138" i="26"/>
  <c r="I134" i="26"/>
  <c r="I127" i="26"/>
  <c r="I126" i="26"/>
  <c r="I123" i="26"/>
  <c r="I129" i="26"/>
  <c r="I125" i="26"/>
  <c r="I132" i="26"/>
  <c r="I131" i="26"/>
  <c r="I130" i="26"/>
  <c r="I116" i="26"/>
  <c r="I120" i="26"/>
  <c r="I117" i="26"/>
  <c r="I133" i="26"/>
  <c r="I104" i="26"/>
  <c r="I101" i="26"/>
  <c r="I97" i="26"/>
  <c r="I128" i="26"/>
  <c r="I121" i="26"/>
  <c r="I118" i="26"/>
  <c r="I111" i="26"/>
  <c r="I106" i="26"/>
  <c r="I105" i="26"/>
  <c r="I99" i="26"/>
  <c r="I89" i="26"/>
  <c r="I86" i="26"/>
  <c r="I93" i="26"/>
  <c r="I110" i="26"/>
  <c r="I102" i="26"/>
  <c r="I95" i="26"/>
  <c r="I91" i="26"/>
  <c r="I87" i="26"/>
  <c r="I85" i="26"/>
  <c r="I76" i="26"/>
  <c r="I74" i="26"/>
  <c r="I80" i="26"/>
  <c r="I78" i="26"/>
  <c r="I96" i="26"/>
  <c r="I94" i="26"/>
  <c r="I90" i="26"/>
  <c r="I77" i="26"/>
  <c r="I82" i="26"/>
  <c r="I71" i="26"/>
  <c r="I69" i="26"/>
  <c r="I65" i="26"/>
  <c r="I67" i="26"/>
  <c r="I81" i="26"/>
  <c r="I79" i="26"/>
  <c r="I73" i="26"/>
  <c r="I72" i="26"/>
  <c r="I70" i="26"/>
  <c r="I84" i="26"/>
  <c r="I75" i="26"/>
  <c r="I64" i="26"/>
  <c r="I61" i="26"/>
  <c r="I52" i="26"/>
  <c r="I63" i="26"/>
  <c r="I57" i="26"/>
  <c r="I54" i="26"/>
  <c r="I51" i="26"/>
  <c r="I62" i="26"/>
  <c r="I60" i="26"/>
  <c r="I56" i="26"/>
  <c r="I53" i="26"/>
  <c r="I50" i="26"/>
  <c r="I66" i="26"/>
  <c r="I59" i="26"/>
  <c r="I55" i="26"/>
  <c r="I47" i="26"/>
  <c r="I45" i="26"/>
  <c r="I41" i="26"/>
  <c r="I16" i="26"/>
  <c r="I14" i="26"/>
  <c r="I13" i="26"/>
  <c r="I12" i="26"/>
  <c r="I9" i="26"/>
  <c r="I8" i="26"/>
  <c r="I49" i="26"/>
  <c r="I48" i="26"/>
  <c r="I46" i="26"/>
  <c r="I44" i="26"/>
  <c r="I42" i="26"/>
  <c r="I40" i="26"/>
  <c r="H37" i="26"/>
  <c r="I37" i="26" s="1"/>
  <c r="I23" i="26"/>
  <c r="I7" i="26"/>
  <c r="I20" i="26"/>
  <c r="I17" i="26"/>
  <c r="I19" i="26"/>
  <c r="I6" i="26"/>
  <c r="Z134" i="26"/>
  <c r="Z133" i="26"/>
  <c r="Z130" i="26"/>
  <c r="Z129" i="26"/>
  <c r="Z125" i="26"/>
  <c r="Z127" i="26"/>
  <c r="Z123" i="26"/>
  <c r="Z122" i="26"/>
  <c r="Z120" i="26"/>
  <c r="Z117" i="26"/>
  <c r="Z102" i="26"/>
  <c r="Z111" i="26"/>
  <c r="Z106" i="26"/>
  <c r="Z91" i="26"/>
  <c r="Z87" i="26"/>
  <c r="Z94" i="26"/>
  <c r="Z90" i="26"/>
  <c r="Z86" i="26"/>
  <c r="Z84" i="26"/>
  <c r="Z81" i="26"/>
  <c r="Z79" i="26"/>
  <c r="Z76" i="26"/>
  <c r="Z74" i="26"/>
  <c r="Z80" i="26"/>
  <c r="Z78" i="26"/>
  <c r="Z75" i="26"/>
  <c r="Z62" i="26"/>
  <c r="Z56" i="26"/>
  <c r="Z65" i="26"/>
  <c r="Z64" i="26"/>
  <c r="Z55" i="26"/>
  <c r="Z52" i="26"/>
  <c r="Z58" i="26"/>
  <c r="Z54" i="26"/>
  <c r="Z57" i="26"/>
  <c r="Z51" i="26"/>
  <c r="Z44" i="26"/>
  <c r="Z42" i="26"/>
  <c r="Z43" i="26"/>
  <c r="Z41" i="26"/>
  <c r="Z14" i="26"/>
  <c r="Z12" i="26"/>
  <c r="Z16" i="26"/>
  <c r="Z9" i="26"/>
  <c r="AC13" i="26"/>
  <c r="X13" i="26"/>
  <c r="L5" i="26"/>
  <c r="M25" i="26"/>
  <c r="C28" i="26"/>
  <c r="B35" i="26"/>
  <c r="C35" i="26" s="1"/>
  <c r="AB36" i="26"/>
  <c r="P36" i="26"/>
  <c r="E34" i="26"/>
  <c r="F34" i="26" s="1"/>
  <c r="AI19" i="26"/>
  <c r="AW21" i="26"/>
  <c r="X9" i="26"/>
  <c r="T31" i="26"/>
  <c r="BB18" i="26"/>
  <c r="AV32" i="26"/>
  <c r="AW32" i="26"/>
  <c r="BB32" i="26" s="1"/>
  <c r="AH122" i="26"/>
  <c r="AH123" i="26"/>
  <c r="AH119" i="26"/>
  <c r="AH124" i="26"/>
  <c r="AH121" i="26"/>
  <c r="AH118" i="26"/>
  <c r="AH120" i="26"/>
  <c r="AH111" i="26"/>
  <c r="AH106" i="26"/>
  <c r="AH100" i="26"/>
  <c r="AH110" i="26"/>
  <c r="AH105" i="26"/>
  <c r="AH138" i="26"/>
  <c r="AH102" i="26"/>
  <c r="AH98" i="26"/>
  <c r="AH95" i="26"/>
  <c r="AH93" i="26"/>
  <c r="AH88" i="26"/>
  <c r="AH85" i="26"/>
  <c r="AH104" i="26"/>
  <c r="AH91" i="26"/>
  <c r="AH117" i="26"/>
  <c r="AH96" i="26"/>
  <c r="AH94" i="26"/>
  <c r="AH90" i="26"/>
  <c r="AH84" i="26"/>
  <c r="AH75" i="26"/>
  <c r="AH73" i="26"/>
  <c r="AH82" i="26"/>
  <c r="AH81" i="26"/>
  <c r="AH79" i="26"/>
  <c r="AH77" i="26"/>
  <c r="AH87" i="26"/>
  <c r="AH76" i="26"/>
  <c r="AH86" i="26"/>
  <c r="AH70" i="26"/>
  <c r="AH67" i="26"/>
  <c r="AH64" i="26"/>
  <c r="AH101" i="26"/>
  <c r="AH99" i="26"/>
  <c r="AH97" i="26"/>
  <c r="AH80" i="26"/>
  <c r="AH78" i="26"/>
  <c r="AH66" i="26"/>
  <c r="AH71" i="26"/>
  <c r="AH116" i="26"/>
  <c r="AH89" i="26"/>
  <c r="AH74" i="26"/>
  <c r="AH72" i="26"/>
  <c r="AH69" i="26"/>
  <c r="AH65" i="26"/>
  <c r="AH63" i="26"/>
  <c r="AH60" i="26"/>
  <c r="AH57" i="26"/>
  <c r="AH51" i="26"/>
  <c r="AH62" i="26"/>
  <c r="AH56" i="26"/>
  <c r="AH53" i="26"/>
  <c r="AH50" i="26"/>
  <c r="AH61" i="26"/>
  <c r="AH59" i="26"/>
  <c r="AH55" i="26"/>
  <c r="AH52" i="26"/>
  <c r="AH49" i="26"/>
  <c r="AH58" i="26"/>
  <c r="AH54" i="26"/>
  <c r="AH46" i="26"/>
  <c r="AH44" i="26"/>
  <c r="AH42" i="26"/>
  <c r="AH48" i="26"/>
  <c r="AH40" i="26"/>
  <c r="AH47" i="26"/>
  <c r="AH45" i="26"/>
  <c r="AH43" i="26"/>
  <c r="AH41" i="26"/>
  <c r="AH39" i="26"/>
  <c r="AZ10" i="26"/>
  <c r="BB10" i="26" s="1"/>
  <c r="AV10" i="26"/>
  <c r="O35" i="26"/>
  <c r="AN28" i="26"/>
  <c r="AN27" i="26"/>
  <c r="AM5" i="26"/>
  <c r="AM35" i="26"/>
  <c r="AN35" i="26" s="1"/>
  <c r="X14" i="26"/>
  <c r="AZ16" i="26"/>
  <c r="S19" i="26"/>
  <c r="X19" i="26" s="1"/>
  <c r="X20" i="26"/>
  <c r="AV22" i="26"/>
  <c r="AN24" i="26"/>
  <c r="X25" i="26"/>
  <c r="W35" i="26"/>
  <c r="S27" i="26"/>
  <c r="X27" i="26" s="1"/>
  <c r="AC28" i="26"/>
  <c r="X28" i="26"/>
  <c r="O124" i="26"/>
  <c r="AB39" i="26"/>
  <c r="AO122" i="26"/>
  <c r="AO120" i="26"/>
  <c r="AO98" i="26"/>
  <c r="AO100" i="26"/>
  <c r="AO93" i="26"/>
  <c r="AO88" i="26"/>
  <c r="AO74" i="26"/>
  <c r="AO99" i="26"/>
  <c r="AO78" i="26"/>
  <c r="AO73" i="26"/>
  <c r="AO81" i="26"/>
  <c r="AO59" i="26"/>
  <c r="AO54" i="26"/>
  <c r="AO57" i="26"/>
  <c r="AO53" i="26"/>
  <c r="AO47" i="26"/>
  <c r="AO48" i="26"/>
  <c r="AO40" i="26"/>
  <c r="AZ42" i="26"/>
  <c r="AC44" i="26"/>
  <c r="X44" i="26"/>
  <c r="AZ46" i="26"/>
  <c r="AC48" i="26"/>
  <c r="X48" i="26"/>
  <c r="AZ8" i="26"/>
  <c r="AF34" i="26"/>
  <c r="AG34" i="26" s="1"/>
  <c r="B5" i="26"/>
  <c r="B34" i="26"/>
  <c r="C34" i="26" s="1"/>
  <c r="C24" i="26"/>
  <c r="AT6" i="26"/>
  <c r="AJ14" i="26"/>
  <c r="AQ14" i="26" s="1"/>
  <c r="AW14" i="26" s="1"/>
  <c r="AP14" i="26"/>
  <c r="X17" i="26"/>
  <c r="AB19" i="26"/>
  <c r="R19" i="26"/>
  <c r="AJ19" i="26"/>
  <c r="AQ19" i="26" s="1"/>
  <c r="AV19" i="26" s="1"/>
  <c r="BB21" i="26"/>
  <c r="BB26" i="26"/>
  <c r="AP43" i="26"/>
  <c r="AJ43" i="26"/>
  <c r="AQ43" i="26" s="1"/>
  <c r="AW43" i="26" s="1"/>
  <c r="BB43" i="26" s="1"/>
  <c r="AP47" i="26"/>
  <c r="AJ47" i="26"/>
  <c r="AQ47" i="26" s="1"/>
  <c r="AW47" i="26" s="1"/>
  <c r="BB47" i="26" s="1"/>
  <c r="O5" i="26"/>
  <c r="AN34" i="26"/>
  <c r="AZ7" i="26"/>
  <c r="AZ9" i="26"/>
  <c r="O34" i="26"/>
  <c r="P34" i="26" s="1"/>
  <c r="P25" i="26"/>
  <c r="P24" i="26"/>
  <c r="AB6" i="26"/>
  <c r="S7" i="26"/>
  <c r="I28" i="26"/>
  <c r="H35" i="26"/>
  <c r="I35" i="26" s="1"/>
  <c r="R11" i="26"/>
  <c r="AZ12" i="26"/>
  <c r="AZ14" i="26"/>
  <c r="AV15" i="26"/>
  <c r="E36" i="26"/>
  <c r="F36" i="26" s="1"/>
  <c r="F30" i="26"/>
  <c r="E5" i="26"/>
  <c r="F31" i="26"/>
  <c r="M31" i="26"/>
  <c r="V36" i="26"/>
  <c r="W36" i="26" s="1"/>
  <c r="W30" i="26"/>
  <c r="V5" i="26"/>
  <c r="W31" i="26"/>
  <c r="AI16" i="26"/>
  <c r="X16" i="26"/>
  <c r="AM36" i="26"/>
  <c r="AN36" i="26" s="1"/>
  <c r="AN31" i="26"/>
  <c r="AN30" i="26"/>
  <c r="AC17" i="26"/>
  <c r="AV18" i="26"/>
  <c r="K19" i="26"/>
  <c r="AJ20" i="26"/>
  <c r="AQ20" i="26" s="1"/>
  <c r="C27" i="26"/>
  <c r="Z27" i="26"/>
  <c r="Y23" i="26"/>
  <c r="Y37" i="26" s="1"/>
  <c r="AZ27" i="26"/>
  <c r="AV29" i="26"/>
  <c r="AW29" i="26"/>
  <c r="BB29" i="26" s="1"/>
  <c r="AZ30" i="26"/>
  <c r="S40" i="26"/>
  <c r="AP45" i="26"/>
  <c r="AJ45" i="26"/>
  <c r="AQ45" i="26" s="1"/>
  <c r="BB45" i="26" s="1"/>
  <c r="I25" i="26"/>
  <c r="R6" i="26"/>
  <c r="H34" i="26"/>
  <c r="I24" i="26"/>
  <c r="AJ9" i="26"/>
  <c r="AQ9" i="26" s="1"/>
  <c r="AW9" i="26" s="1"/>
  <c r="AP9" i="26"/>
  <c r="M27" i="26"/>
  <c r="L35" i="26"/>
  <c r="M35" i="26" s="1"/>
  <c r="AF36" i="26"/>
  <c r="AG36" i="26" s="1"/>
  <c r="AG31" i="26"/>
  <c r="AG30" i="26"/>
  <c r="AF5" i="26"/>
  <c r="F35" i="26"/>
  <c r="S30" i="26"/>
  <c r="X30" i="26" s="1"/>
  <c r="X31" i="26"/>
  <c r="AC31" i="26"/>
  <c r="AC42" i="26"/>
  <c r="X42" i="26"/>
  <c r="AZ44" i="26"/>
  <c r="AC46" i="26"/>
  <c r="X46" i="26"/>
  <c r="Y34" i="26"/>
  <c r="Z34" i="26" s="1"/>
  <c r="Z24" i="26"/>
  <c r="Z25" i="26"/>
  <c r="AB27" i="26"/>
  <c r="R27" i="26"/>
  <c r="O23" i="26"/>
  <c r="P27" i="26"/>
  <c r="AI25" i="26"/>
  <c r="V24" i="26"/>
  <c r="V34" i="26" s="1"/>
  <c r="AT25" i="26"/>
  <c r="AZ13" i="26"/>
  <c r="I30" i="26"/>
  <c r="K6" i="26"/>
  <c r="AI7" i="26"/>
  <c r="AN25" i="26"/>
  <c r="F27" i="26"/>
  <c r="AG27" i="26"/>
  <c r="P30" i="26"/>
  <c r="Z30" i="26"/>
  <c r="I31" i="26"/>
  <c r="P31" i="26"/>
  <c r="B36" i="26"/>
  <c r="C36" i="26" s="1"/>
  <c r="H36" i="26"/>
  <c r="R36" i="26" s="1"/>
  <c r="D138" i="26"/>
  <c r="D124" i="26"/>
  <c r="D123" i="26"/>
  <c r="D120" i="26"/>
  <c r="D122" i="26"/>
  <c r="D119" i="26"/>
  <c r="D117" i="26"/>
  <c r="D121" i="26"/>
  <c r="D118" i="26"/>
  <c r="D111" i="26"/>
  <c r="D106" i="26"/>
  <c r="D100" i="26"/>
  <c r="D105" i="26"/>
  <c r="D104" i="26"/>
  <c r="D110" i="26"/>
  <c r="D102" i="26"/>
  <c r="D98" i="26"/>
  <c r="D88" i="26"/>
  <c r="D85" i="26"/>
  <c r="D84" i="26"/>
  <c r="D101" i="26"/>
  <c r="D95" i="26"/>
  <c r="D99" i="26"/>
  <c r="D97" i="26"/>
  <c r="D96" i="26"/>
  <c r="D94" i="26"/>
  <c r="D93" i="26"/>
  <c r="D90" i="26"/>
  <c r="D87" i="26"/>
  <c r="D80" i="26"/>
  <c r="D78" i="26"/>
  <c r="D89" i="26"/>
  <c r="D77" i="26"/>
  <c r="D75" i="26"/>
  <c r="D73" i="26"/>
  <c r="D86" i="26"/>
  <c r="D81" i="26"/>
  <c r="D67" i="26"/>
  <c r="D72" i="26"/>
  <c r="D70" i="26"/>
  <c r="D69" i="26"/>
  <c r="D82" i="26"/>
  <c r="D76" i="26"/>
  <c r="D74" i="26"/>
  <c r="D71" i="26"/>
  <c r="D66" i="26"/>
  <c r="D63" i="26"/>
  <c r="D57" i="26"/>
  <c r="D54" i="26"/>
  <c r="D51" i="26"/>
  <c r="D62" i="26"/>
  <c r="D60" i="26"/>
  <c r="D53" i="26"/>
  <c r="D50" i="26"/>
  <c r="D59" i="26"/>
  <c r="D55" i="26"/>
  <c r="D65" i="26"/>
  <c r="D64" i="26"/>
  <c r="D61" i="26"/>
  <c r="D58" i="26"/>
  <c r="D52" i="26"/>
  <c r="D49" i="26"/>
  <c r="X41" i="26"/>
  <c r="AC41" i="26"/>
  <c r="X43" i="26"/>
  <c r="X45" i="26"/>
  <c r="X47" i="26"/>
  <c r="AZ48" i="26"/>
  <c r="AW48" i="26" s="1"/>
  <c r="AZ54" i="26"/>
  <c r="AW54" i="26" s="1"/>
  <c r="AJ61" i="26"/>
  <c r="AQ61" i="26" s="1"/>
  <c r="AW61" i="26" s="1"/>
  <c r="AP61" i="26"/>
  <c r="AP64" i="26"/>
  <c r="AJ64" i="26"/>
  <c r="AQ64" i="26" s="1"/>
  <c r="AW64" i="26" s="1"/>
  <c r="K27" i="26"/>
  <c r="E23" i="26"/>
  <c r="K23" i="26" s="1"/>
  <c r="AF23" i="26"/>
  <c r="AI27" i="26"/>
  <c r="Z28" i="26"/>
  <c r="L30" i="26"/>
  <c r="M30" i="26" s="1"/>
  <c r="G39" i="26"/>
  <c r="R40" i="26"/>
  <c r="V40" i="26"/>
  <c r="G41" i="26"/>
  <c r="G43" i="26"/>
  <c r="D44" i="26"/>
  <c r="G45" i="26"/>
  <c r="D46" i="26"/>
  <c r="G47" i="26"/>
  <c r="D48" i="26"/>
  <c r="AC50" i="26"/>
  <c r="X50" i="26"/>
  <c r="AC56" i="26"/>
  <c r="X56" i="26"/>
  <c r="AC59" i="26"/>
  <c r="X59" i="26"/>
  <c r="AC65" i="26"/>
  <c r="X65" i="26"/>
  <c r="H39" i="26"/>
  <c r="AI49" i="26"/>
  <c r="X49" i="26"/>
  <c r="AT49" i="26"/>
  <c r="AP51" i="26"/>
  <c r="AJ51" i="26"/>
  <c r="AQ51" i="26" s="1"/>
  <c r="AJ52" i="26"/>
  <c r="AQ52" i="26" s="1"/>
  <c r="AP52" i="26"/>
  <c r="AC53" i="26"/>
  <c r="X53" i="26"/>
  <c r="AP57" i="26"/>
  <c r="AJ57" i="26"/>
  <c r="AQ57" i="26" s="1"/>
  <c r="BB57" i="26" s="1"/>
  <c r="AZ64" i="26"/>
  <c r="G138" i="26"/>
  <c r="G123" i="26"/>
  <c r="G121" i="26"/>
  <c r="G118" i="26"/>
  <c r="G120" i="26"/>
  <c r="G124" i="26"/>
  <c r="G117" i="26"/>
  <c r="G116" i="26"/>
  <c r="G110" i="26"/>
  <c r="G102" i="26"/>
  <c r="G98" i="26"/>
  <c r="G101" i="26"/>
  <c r="G122" i="26"/>
  <c r="G119" i="26"/>
  <c r="G111" i="26"/>
  <c r="G106" i="26"/>
  <c r="G104" i="26"/>
  <c r="G100" i="26"/>
  <c r="G96" i="26"/>
  <c r="G94" i="26"/>
  <c r="G90" i="26"/>
  <c r="G87" i="26"/>
  <c r="G99" i="26"/>
  <c r="G97" i="26"/>
  <c r="G89" i="26"/>
  <c r="G105" i="26"/>
  <c r="G88" i="26"/>
  <c r="G85" i="26"/>
  <c r="G95" i="26"/>
  <c r="G82" i="26"/>
  <c r="G81" i="26"/>
  <c r="G79" i="26"/>
  <c r="G86" i="26"/>
  <c r="G84" i="26"/>
  <c r="G76" i="26"/>
  <c r="G74" i="26"/>
  <c r="G80" i="26"/>
  <c r="G78" i="26"/>
  <c r="G75" i="26"/>
  <c r="G66" i="26"/>
  <c r="G93" i="26"/>
  <c r="G91" i="26"/>
  <c r="G71" i="26"/>
  <c r="G69" i="26"/>
  <c r="G67" i="26"/>
  <c r="G77" i="26"/>
  <c r="G73" i="26"/>
  <c r="G72" i="26"/>
  <c r="G70" i="26"/>
  <c r="G59" i="26"/>
  <c r="G55" i="26"/>
  <c r="G65" i="26"/>
  <c r="G64" i="26"/>
  <c r="G61" i="26"/>
  <c r="G58" i="26"/>
  <c r="G52" i="26"/>
  <c r="G49" i="26"/>
  <c r="G63" i="26"/>
  <c r="G57" i="26"/>
  <c r="G54" i="26"/>
  <c r="G51" i="26"/>
  <c r="G62" i="26"/>
  <c r="G60" i="26"/>
  <c r="G56" i="26"/>
  <c r="G53" i="26"/>
  <c r="G50" i="26"/>
  <c r="G42" i="26"/>
  <c r="G44" i="26"/>
  <c r="G46" i="26"/>
  <c r="G48" i="26"/>
  <c r="AP54" i="26"/>
  <c r="AJ54" i="26"/>
  <c r="AQ54" i="26" s="1"/>
  <c r="AC55" i="26"/>
  <c r="X55" i="26"/>
  <c r="AC58" i="26"/>
  <c r="X58" i="26"/>
  <c r="AZ60" i="26"/>
  <c r="AP62" i="26"/>
  <c r="AJ62" i="26"/>
  <c r="AQ62" i="26" s="1"/>
  <c r="AP63" i="26"/>
  <c r="AJ63" i="26"/>
  <c r="AQ63" i="26" s="1"/>
  <c r="AW63" i="26" s="1"/>
  <c r="BB63" i="26" s="1"/>
  <c r="AT52" i="26"/>
  <c r="X54" i="26"/>
  <c r="AI60" i="26"/>
  <c r="AT61" i="26"/>
  <c r="AI66" i="26"/>
  <c r="X66" i="26"/>
  <c r="AT66" i="26"/>
  <c r="X52" i="26"/>
  <c r="AI54" i="26"/>
  <c r="X61" i="26"/>
  <c r="X64" i="26"/>
  <c r="AI64" i="26"/>
  <c r="AC67" i="26"/>
  <c r="X67" i="26"/>
  <c r="AI71" i="26"/>
  <c r="X71" i="26"/>
  <c r="AT71" i="26"/>
  <c r="V69" i="26"/>
  <c r="X62" i="26"/>
  <c r="AJ66" i="26"/>
  <c r="AQ66" i="26" s="1"/>
  <c r="AW66" i="26" s="1"/>
  <c r="AV68" i="26"/>
  <c r="AJ72" i="26"/>
  <c r="AQ72" i="26" s="1"/>
  <c r="AP72" i="26"/>
  <c r="AJ74" i="26"/>
  <c r="AQ74" i="26" s="1"/>
  <c r="AP74" i="26"/>
  <c r="X51" i="26"/>
  <c r="X57" i="26"/>
  <c r="X63" i="26"/>
  <c r="BB68" i="26"/>
  <c r="AC70" i="26"/>
  <c r="S69" i="26"/>
  <c r="AJ71" i="26"/>
  <c r="AQ71" i="26" s="1"/>
  <c r="AP71" i="26"/>
  <c r="X73" i="26"/>
  <c r="AT73" i="26"/>
  <c r="X74" i="26"/>
  <c r="AZ85" i="26"/>
  <c r="AI104" i="26"/>
  <c r="AZ74" i="26"/>
  <c r="AW74" i="26" s="1"/>
  <c r="AZ76" i="26"/>
  <c r="AW76" i="26" s="1"/>
  <c r="AP78" i="26"/>
  <c r="AJ78" i="26"/>
  <c r="AQ78" i="26" s="1"/>
  <c r="AP80" i="26"/>
  <c r="AT93" i="26"/>
  <c r="AZ94" i="26"/>
  <c r="L69" i="26"/>
  <c r="AT70" i="26"/>
  <c r="X72" i="26"/>
  <c r="AT72" i="26"/>
  <c r="AI73" i="26"/>
  <c r="AP75" i="26"/>
  <c r="AJ75" i="26"/>
  <c r="AQ75" i="26" s="1"/>
  <c r="AW75" i="26" s="1"/>
  <c r="AC76" i="26"/>
  <c r="X76" i="26"/>
  <c r="AC77" i="26"/>
  <c r="X77" i="26"/>
  <c r="AZ78" i="26"/>
  <c r="AW78" i="26" s="1"/>
  <c r="AZ80" i="26"/>
  <c r="AI82" i="26"/>
  <c r="X82" i="26"/>
  <c r="AT82" i="26"/>
  <c r="AJ82" i="26"/>
  <c r="AQ82" i="26" s="1"/>
  <c r="AW82" i="26" s="1"/>
  <c r="AC89" i="26"/>
  <c r="X89" i="26"/>
  <c r="X70" i="26"/>
  <c r="AJ73" i="26"/>
  <c r="AQ73" i="26" s="1"/>
  <c r="X75" i="26"/>
  <c r="AI79" i="26"/>
  <c r="X79" i="26"/>
  <c r="AT79" i="26"/>
  <c r="AJ79" i="26"/>
  <c r="AQ79" i="26" s="1"/>
  <c r="AI81" i="26"/>
  <c r="X81" i="26"/>
  <c r="AT81" i="26"/>
  <c r="AJ81" i="26"/>
  <c r="AQ81" i="26" s="1"/>
  <c r="X97" i="26"/>
  <c r="AC97" i="26"/>
  <c r="X99" i="26"/>
  <c r="AC99" i="26"/>
  <c r="AC85" i="26"/>
  <c r="X85" i="26"/>
  <c r="S86" i="26"/>
  <c r="AZ90" i="26"/>
  <c r="S95" i="26"/>
  <c r="L93" i="26"/>
  <c r="AJ98" i="26"/>
  <c r="AQ98" i="26" s="1"/>
  <c r="AW98" i="26" s="1"/>
  <c r="AP98" i="26"/>
  <c r="AZ98" i="26"/>
  <c r="R116" i="26"/>
  <c r="AT75" i="26"/>
  <c r="K82" i="26"/>
  <c r="AC91" i="26"/>
  <c r="X91" i="26"/>
  <c r="AC101" i="26"/>
  <c r="X101" i="26"/>
  <c r="AV83" i="26"/>
  <c r="R84" i="26"/>
  <c r="AI87" i="26"/>
  <c r="AT87" i="26"/>
  <c r="V84" i="26"/>
  <c r="AC88" i="26"/>
  <c r="X88" i="26"/>
  <c r="AV92" i="26"/>
  <c r="AC94" i="26"/>
  <c r="X94" i="26"/>
  <c r="AC96" i="26"/>
  <c r="X96" i="26"/>
  <c r="AC100" i="26"/>
  <c r="X100" i="26"/>
  <c r="X90" i="26"/>
  <c r="AZ92" i="26"/>
  <c r="BB92" i="26" s="1"/>
  <c r="AZ102" i="26"/>
  <c r="BB102" i="26" s="1"/>
  <c r="AV102" i="26"/>
  <c r="BB107" i="26"/>
  <c r="AZ108" i="26"/>
  <c r="BB108" i="26" s="1"/>
  <c r="AV108" i="26"/>
  <c r="AZ104" i="26"/>
  <c r="S105" i="26"/>
  <c r="L104" i="26"/>
  <c r="AC106" i="26"/>
  <c r="X106" i="26"/>
  <c r="AI110" i="26"/>
  <c r="X110" i="26"/>
  <c r="AT110" i="26"/>
  <c r="AC111" i="26"/>
  <c r="X111" i="26"/>
  <c r="X98" i="26"/>
  <c r="X102" i="26"/>
  <c r="S117" i="26"/>
  <c r="X117" i="26" s="1"/>
  <c r="L116" i="26"/>
  <c r="AZ117" i="26"/>
  <c r="AZ138" i="26"/>
  <c r="BB138" i="26" s="1"/>
  <c r="AB117" i="26"/>
  <c r="Y116" i="26"/>
  <c r="Z116" i="26" s="1"/>
  <c r="AZ118" i="26"/>
  <c r="BB118" i="26" s="1"/>
  <c r="AV118" i="26"/>
  <c r="AP120" i="26"/>
  <c r="AJ120" i="26"/>
  <c r="AQ120" i="26" s="1"/>
  <c r="AV120" i="26" s="1"/>
  <c r="AZ121" i="26"/>
  <c r="BB121" i="26" s="1"/>
  <c r="AV121" i="26"/>
  <c r="AP123" i="26"/>
  <c r="AJ123" i="26"/>
  <c r="AQ123" i="26" s="1"/>
  <c r="AI116" i="26"/>
  <c r="AC119" i="26"/>
  <c r="X119" i="26"/>
  <c r="AZ120" i="26"/>
  <c r="AC122" i="26"/>
  <c r="X122" i="26"/>
  <c r="AJ132" i="26"/>
  <c r="AQ132" i="26" s="1"/>
  <c r="AI117" i="26"/>
  <c r="X118" i="26"/>
  <c r="X121" i="26"/>
  <c r="AP128" i="26"/>
  <c r="AJ128" i="26"/>
  <c r="AQ128" i="26" s="1"/>
  <c r="AC129" i="26"/>
  <c r="AC126" i="26"/>
  <c r="S125" i="26"/>
  <c r="X125" i="26" s="1"/>
  <c r="AJ127" i="26"/>
  <c r="AQ127" i="26" s="1"/>
  <c r="AP127" i="26"/>
  <c r="AZ126" i="26"/>
  <c r="AC134" i="26"/>
  <c r="AJ131" i="26"/>
  <c r="AQ131" i="26" s="1"/>
  <c r="AC133" i="26"/>
  <c r="AP138" i="26"/>
  <c r="AJ138" i="26"/>
  <c r="AQ138" i="26" s="1"/>
  <c r="AV138" i="26" s="1"/>
  <c r="AI138" i="26"/>
  <c r="D47" i="26" l="1"/>
  <c r="D40" i="26"/>
  <c r="D39" i="26"/>
  <c r="D43" i="26"/>
  <c r="AV45" i="26"/>
  <c r="X8" i="26"/>
  <c r="AT35" i="26"/>
  <c r="AU35" i="26" s="1"/>
  <c r="AC8" i="26"/>
  <c r="AD142" i="26" s="1"/>
  <c r="I98" i="26"/>
  <c r="I119" i="26"/>
  <c r="AC24" i="26"/>
  <c r="AV57" i="26"/>
  <c r="D42" i="26"/>
  <c r="D141" i="26" s="1"/>
  <c r="D56" i="26"/>
  <c r="D79" i="26"/>
  <c r="D91" i="26"/>
  <c r="D116" i="26"/>
  <c r="AO71" i="26"/>
  <c r="Z11" i="26"/>
  <c r="Z73" i="26"/>
  <c r="Z99" i="26"/>
  <c r="I11" i="26"/>
  <c r="I43" i="26"/>
  <c r="I58" i="26"/>
  <c r="I88" i="26"/>
  <c r="I100" i="26"/>
  <c r="AV90" i="26"/>
  <c r="AO42" i="26"/>
  <c r="AO41" i="26"/>
  <c r="AO39" i="26"/>
  <c r="AO56" i="26"/>
  <c r="AO60" i="26"/>
  <c r="AO58" i="26"/>
  <c r="AO61" i="26"/>
  <c r="AO87" i="26"/>
  <c r="AO86" i="26"/>
  <c r="AO77" i="26"/>
  <c r="AO80" i="26"/>
  <c r="AO105" i="26"/>
  <c r="AO76" i="26"/>
  <c r="AO95" i="26"/>
  <c r="AO90" i="26"/>
  <c r="AO106" i="26"/>
  <c r="AO102" i="26"/>
  <c r="AO116" i="26"/>
  <c r="AO123" i="26"/>
  <c r="AC11" i="26"/>
  <c r="BB90" i="26"/>
  <c r="K35" i="26"/>
  <c r="AV14" i="26"/>
  <c r="AO44" i="26"/>
  <c r="AO43" i="26"/>
  <c r="AO49" i="26"/>
  <c r="AO62" i="26"/>
  <c r="AO63" i="26"/>
  <c r="AO52" i="26"/>
  <c r="AO66" i="26"/>
  <c r="AO67" i="26"/>
  <c r="AO65" i="26"/>
  <c r="AO82" i="26"/>
  <c r="AO84" i="26"/>
  <c r="AO119" i="26"/>
  <c r="AO91" i="26"/>
  <c r="AO110" i="26"/>
  <c r="AO94" i="26"/>
  <c r="AO111" i="26"/>
  <c r="AO104" i="26"/>
  <c r="AO118" i="26"/>
  <c r="AO124" i="26"/>
  <c r="M24" i="26"/>
  <c r="AI6" i="26"/>
  <c r="AV98" i="26"/>
  <c r="AV47" i="26"/>
  <c r="AO46" i="26"/>
  <c r="AO45" i="26"/>
  <c r="AO50" i="26"/>
  <c r="AO51" i="26"/>
  <c r="AO64" i="26"/>
  <c r="AO55" i="26"/>
  <c r="AO79" i="26"/>
  <c r="AO70" i="26"/>
  <c r="AO69" i="26"/>
  <c r="AO75" i="26"/>
  <c r="AO97" i="26"/>
  <c r="AO72" i="26"/>
  <c r="AO85" i="26"/>
  <c r="AO89" i="26"/>
  <c r="AO96" i="26"/>
  <c r="AO101" i="26"/>
  <c r="AO117" i="26"/>
  <c r="AO121" i="26"/>
  <c r="AV43" i="26"/>
  <c r="AP12" i="26"/>
  <c r="Z8" i="26"/>
  <c r="Z19" i="26"/>
  <c r="Z6" i="26"/>
  <c r="Z20" i="26"/>
  <c r="Z45" i="26"/>
  <c r="Z46" i="26"/>
  <c r="Z60" i="26"/>
  <c r="Z67" i="26"/>
  <c r="Z59" i="26"/>
  <c r="Z50" i="26"/>
  <c r="Z69" i="26"/>
  <c r="Z71" i="26"/>
  <c r="Z88" i="26"/>
  <c r="Z95" i="26"/>
  <c r="Z82" i="26"/>
  <c r="Z89" i="26"/>
  <c r="Z96" i="26"/>
  <c r="Z93" i="26"/>
  <c r="Z97" i="26"/>
  <c r="Z105" i="26"/>
  <c r="Z118" i="26"/>
  <c r="Z119" i="26"/>
  <c r="Z138" i="26"/>
  <c r="Z131" i="26"/>
  <c r="BB14" i="26"/>
  <c r="X12" i="26"/>
  <c r="S11" i="26"/>
  <c r="Z13" i="26"/>
  <c r="Z7" i="26"/>
  <c r="Z17" i="26"/>
  <c r="Z40" i="26"/>
  <c r="Z47" i="26"/>
  <c r="Z48" i="26"/>
  <c r="Z63" i="26"/>
  <c r="Z49" i="26"/>
  <c r="Z61" i="26"/>
  <c r="Z53" i="26"/>
  <c r="Z70" i="26"/>
  <c r="Z66" i="26"/>
  <c r="Z72" i="26"/>
  <c r="Z77" i="26"/>
  <c r="Z85" i="26"/>
  <c r="Z100" i="26"/>
  <c r="Z104" i="26"/>
  <c r="Z98" i="26"/>
  <c r="Z101" i="26"/>
  <c r="Z110" i="26"/>
  <c r="Z121" i="26"/>
  <c r="Z126" i="26"/>
  <c r="Z128" i="26"/>
  <c r="AT36" i="26"/>
  <c r="AU36" i="26" s="1"/>
  <c r="AW24" i="26"/>
  <c r="AJ60" i="26"/>
  <c r="AQ60" i="26" s="1"/>
  <c r="AW60" i="26" s="1"/>
  <c r="BB60" i="26" s="1"/>
  <c r="BB64" i="26"/>
  <c r="AV63" i="26"/>
  <c r="AV64" i="26"/>
  <c r="AT40" i="26"/>
  <c r="AJ130" i="26"/>
  <c r="AQ130" i="26" s="1"/>
  <c r="AP130" i="26"/>
  <c r="AW120" i="26"/>
  <c r="BB120" i="26" s="1"/>
  <c r="Y124" i="26"/>
  <c r="Z124" i="26" s="1"/>
  <c r="BB98" i="26"/>
  <c r="L39" i="26"/>
  <c r="L124" i="26" s="1"/>
  <c r="N120" i="26" s="1"/>
  <c r="AP87" i="26"/>
  <c r="AJ87" i="26"/>
  <c r="AQ87" i="26" s="1"/>
  <c r="AW87" i="26" s="1"/>
  <c r="AW80" i="26"/>
  <c r="BB80" i="26" s="1"/>
  <c r="AH141" i="26"/>
  <c r="S23" i="26"/>
  <c r="R34" i="26"/>
  <c r="AI35" i="26"/>
  <c r="AV9" i="26"/>
  <c r="AV12" i="26"/>
  <c r="AI34" i="26"/>
  <c r="W34" i="26"/>
  <c r="Y114" i="26"/>
  <c r="Z114" i="26" s="1"/>
  <c r="Y109" i="26"/>
  <c r="Y113" i="26"/>
  <c r="Z113" i="26" s="1"/>
  <c r="Z37" i="26"/>
  <c r="AJ126" i="26"/>
  <c r="AQ126" i="26" s="1"/>
  <c r="AP126" i="26"/>
  <c r="AC125" i="26"/>
  <c r="AP122" i="26"/>
  <c r="AJ122" i="26"/>
  <c r="AQ122" i="26" s="1"/>
  <c r="AP119" i="26"/>
  <c r="AJ119" i="26"/>
  <c r="AQ119" i="26" s="1"/>
  <c r="AP77" i="26"/>
  <c r="AJ77" i="26"/>
  <c r="AQ77" i="26" s="1"/>
  <c r="AW127" i="26"/>
  <c r="BB127" i="26" s="1"/>
  <c r="AV127" i="26"/>
  <c r="AW132" i="26"/>
  <c r="BB132" i="26" s="1"/>
  <c r="AV132" i="26"/>
  <c r="BB54" i="26"/>
  <c r="AP133" i="26"/>
  <c r="AJ133" i="26"/>
  <c r="AQ133" i="26" s="1"/>
  <c r="AP134" i="26"/>
  <c r="AJ134" i="26"/>
  <c r="AQ134" i="26" s="1"/>
  <c r="AW128" i="26"/>
  <c r="BB128" i="26" s="1"/>
  <c r="AV128" i="26"/>
  <c r="AW123" i="26"/>
  <c r="BB123" i="26" s="1"/>
  <c r="AV123" i="26"/>
  <c r="AC117" i="26"/>
  <c r="S116" i="26"/>
  <c r="X116" i="26" s="1"/>
  <c r="AP100" i="26"/>
  <c r="AJ100" i="26"/>
  <c r="AQ100" i="26" s="1"/>
  <c r="AJ94" i="26"/>
  <c r="AQ94" i="26" s="1"/>
  <c r="AP94" i="26"/>
  <c r="AJ88" i="26"/>
  <c r="AQ88" i="26" s="1"/>
  <c r="AP88" i="26"/>
  <c r="AP91" i="26"/>
  <c r="AJ91" i="26"/>
  <c r="AQ91" i="26" s="1"/>
  <c r="AB116" i="26"/>
  <c r="X86" i="26"/>
  <c r="AC86" i="26"/>
  <c r="AC84" i="26" s="1"/>
  <c r="S84" i="26"/>
  <c r="AZ81" i="26"/>
  <c r="AV81" i="26"/>
  <c r="AZ79" i="26"/>
  <c r="AV79" i="26"/>
  <c r="AP89" i="26"/>
  <c r="AJ89" i="26"/>
  <c r="AQ89" i="26" s="1"/>
  <c r="BB78" i="26"/>
  <c r="AJ76" i="26"/>
  <c r="AQ76" i="26" s="1"/>
  <c r="AP76" i="26"/>
  <c r="AZ72" i="26"/>
  <c r="AV72" i="26"/>
  <c r="BB74" i="26"/>
  <c r="AC69" i="26"/>
  <c r="AP70" i="26"/>
  <c r="AJ70" i="26"/>
  <c r="AQ70" i="26" s="1"/>
  <c r="AW70" i="26" s="1"/>
  <c r="AZ66" i="26"/>
  <c r="BB66" i="26" s="1"/>
  <c r="AV66" i="26"/>
  <c r="AZ61" i="26"/>
  <c r="BB61" i="26" s="1"/>
  <c r="AV61" i="26"/>
  <c r="AZ52" i="26"/>
  <c r="AV52" i="26"/>
  <c r="AV62" i="26"/>
  <c r="AW62" i="26"/>
  <c r="BB62" i="26" s="1"/>
  <c r="H124" i="26"/>
  <c r="R39" i="26"/>
  <c r="AJ59" i="26"/>
  <c r="AQ59" i="26" s="1"/>
  <c r="AP59" i="26"/>
  <c r="AP42" i="26"/>
  <c r="AJ42" i="26"/>
  <c r="AQ42" i="26" s="1"/>
  <c r="L36" i="26"/>
  <c r="M36" i="26" s="1"/>
  <c r="R35" i="26"/>
  <c r="AP44" i="26"/>
  <c r="AJ44" i="26"/>
  <c r="AQ44" i="26" s="1"/>
  <c r="AN134" i="26"/>
  <c r="AN133" i="26"/>
  <c r="AN132" i="26"/>
  <c r="AN131" i="26"/>
  <c r="AN130" i="26"/>
  <c r="AN129" i="26"/>
  <c r="AN128" i="26"/>
  <c r="AN127" i="26"/>
  <c r="AN138" i="26"/>
  <c r="AN124" i="26"/>
  <c r="AN126" i="26"/>
  <c r="AN125" i="26"/>
  <c r="AN119" i="26"/>
  <c r="AN122" i="26"/>
  <c r="AN121" i="26"/>
  <c r="AN118" i="26"/>
  <c r="AN116" i="26"/>
  <c r="AN123" i="26"/>
  <c r="AN120" i="26"/>
  <c r="AN117" i="26"/>
  <c r="AN110" i="26"/>
  <c r="AN105" i="26"/>
  <c r="AN99" i="26"/>
  <c r="AN104" i="26"/>
  <c r="AN102" i="26"/>
  <c r="AN101" i="26"/>
  <c r="AN97" i="26"/>
  <c r="AN111" i="26"/>
  <c r="AN106" i="26"/>
  <c r="AN91" i="26"/>
  <c r="AN87" i="26"/>
  <c r="AN84" i="26"/>
  <c r="AN96" i="26"/>
  <c r="AN94" i="26"/>
  <c r="AN90" i="26"/>
  <c r="AN100" i="26"/>
  <c r="AN98" i="26"/>
  <c r="AN93" i="26"/>
  <c r="AN89" i="26"/>
  <c r="AN86" i="26"/>
  <c r="AN88" i="26"/>
  <c r="AN82" i="26"/>
  <c r="AN81" i="26"/>
  <c r="AN79" i="26"/>
  <c r="AN77" i="26"/>
  <c r="AN95" i="26"/>
  <c r="AN76" i="26"/>
  <c r="AN74" i="26"/>
  <c r="AN72" i="26"/>
  <c r="AN85" i="26"/>
  <c r="AN80" i="26"/>
  <c r="AN78" i="26"/>
  <c r="AN66" i="26"/>
  <c r="AN71" i="26"/>
  <c r="AN69" i="26"/>
  <c r="AN75" i="26"/>
  <c r="AN73" i="26"/>
  <c r="AN70" i="26"/>
  <c r="AN62" i="26"/>
  <c r="AN56" i="26"/>
  <c r="AN53" i="26"/>
  <c r="AN50" i="26"/>
  <c r="AN65" i="26"/>
  <c r="AN61" i="26"/>
  <c r="AN59" i="26"/>
  <c r="AN55" i="26"/>
  <c r="AN52" i="26"/>
  <c r="AN49" i="26"/>
  <c r="AN67" i="26"/>
  <c r="AN58" i="26"/>
  <c r="AN54" i="26"/>
  <c r="AN64" i="26"/>
  <c r="AN63" i="26"/>
  <c r="AN60" i="26"/>
  <c r="AN57" i="26"/>
  <c r="AN51" i="26"/>
  <c r="AN48" i="26"/>
  <c r="AN46" i="26"/>
  <c r="AN44" i="26"/>
  <c r="AN42" i="26"/>
  <c r="AN40" i="26"/>
  <c r="AM37" i="26"/>
  <c r="AN39" i="26"/>
  <c r="AN47" i="26"/>
  <c r="AN45" i="26"/>
  <c r="AN43" i="26"/>
  <c r="AN41" i="26"/>
  <c r="AN20" i="26"/>
  <c r="AN19" i="26"/>
  <c r="AN37" i="26"/>
  <c r="AN17" i="26"/>
  <c r="AN16" i="26"/>
  <c r="AN9" i="26"/>
  <c r="AN13" i="26"/>
  <c r="AN11" i="26"/>
  <c r="AN6" i="26"/>
  <c r="AN8" i="26"/>
  <c r="AN12" i="26"/>
  <c r="AN7" i="26"/>
  <c r="AN23" i="26"/>
  <c r="AN14" i="26"/>
  <c r="S36" i="26"/>
  <c r="T36" i="26" s="1"/>
  <c r="K34" i="26"/>
  <c r="M134" i="26"/>
  <c r="M133" i="26"/>
  <c r="M132" i="26"/>
  <c r="M138" i="26"/>
  <c r="M131" i="26"/>
  <c r="M130" i="26"/>
  <c r="M128" i="26"/>
  <c r="M123" i="26"/>
  <c r="M127" i="26"/>
  <c r="M126" i="26"/>
  <c r="M129" i="26"/>
  <c r="M125" i="26"/>
  <c r="M116" i="26"/>
  <c r="M120" i="26"/>
  <c r="M122" i="26"/>
  <c r="M119" i="26"/>
  <c r="M117" i="26"/>
  <c r="M104" i="26"/>
  <c r="M101" i="26"/>
  <c r="M97" i="26"/>
  <c r="M111" i="26"/>
  <c r="M106" i="26"/>
  <c r="M121" i="26"/>
  <c r="M118" i="26"/>
  <c r="M105" i="26"/>
  <c r="M99" i="26"/>
  <c r="M89" i="26"/>
  <c r="M86" i="26"/>
  <c r="M93" i="26"/>
  <c r="M100" i="26"/>
  <c r="M98" i="26"/>
  <c r="M95" i="26"/>
  <c r="M91" i="26"/>
  <c r="M102" i="26"/>
  <c r="M84" i="26"/>
  <c r="M76" i="26"/>
  <c r="M74" i="26"/>
  <c r="M87" i="26"/>
  <c r="M85" i="26"/>
  <c r="M80" i="26"/>
  <c r="M78" i="26"/>
  <c r="M110" i="26"/>
  <c r="M77" i="26"/>
  <c r="M90" i="26"/>
  <c r="M75" i="26"/>
  <c r="M71" i="26"/>
  <c r="M69" i="26"/>
  <c r="M65" i="26"/>
  <c r="M67" i="26"/>
  <c r="M88" i="26"/>
  <c r="M72" i="26"/>
  <c r="M70" i="26"/>
  <c r="M96" i="26"/>
  <c r="M94" i="26"/>
  <c r="M82" i="26"/>
  <c r="M81" i="26"/>
  <c r="M79" i="26"/>
  <c r="M73" i="26"/>
  <c r="M64" i="26"/>
  <c r="M61" i="26"/>
  <c r="M58" i="26"/>
  <c r="M52" i="26"/>
  <c r="M63" i="26"/>
  <c r="M57" i="26"/>
  <c r="M54" i="26"/>
  <c r="M51" i="26"/>
  <c r="M62" i="26"/>
  <c r="M60" i="26"/>
  <c r="M56" i="26"/>
  <c r="M53" i="26"/>
  <c r="M50" i="26"/>
  <c r="M66" i="26"/>
  <c r="M59" i="26"/>
  <c r="M55" i="26"/>
  <c r="M49" i="26"/>
  <c r="M47" i="26"/>
  <c r="M45" i="26"/>
  <c r="M43" i="26"/>
  <c r="M41" i="26"/>
  <c r="M19" i="26"/>
  <c r="M17" i="26"/>
  <c r="M48" i="26"/>
  <c r="M46" i="26"/>
  <c r="M44" i="26"/>
  <c r="M42" i="26"/>
  <c r="M40" i="26"/>
  <c r="M16" i="26"/>
  <c r="M14" i="26"/>
  <c r="M13" i="26"/>
  <c r="M12" i="26"/>
  <c r="M9" i="26"/>
  <c r="M8" i="26"/>
  <c r="M20" i="26"/>
  <c r="M11" i="26"/>
  <c r="M7" i="26"/>
  <c r="M6" i="26"/>
  <c r="AJ13" i="26"/>
  <c r="AQ13" i="26" s="1"/>
  <c r="AP13" i="26"/>
  <c r="L23" i="26"/>
  <c r="M23" i="26" s="1"/>
  <c r="H113" i="26"/>
  <c r="H114" i="26"/>
  <c r="H109" i="26"/>
  <c r="AJ8" i="26"/>
  <c r="AP8" i="26"/>
  <c r="AZ125" i="26"/>
  <c r="AZ75" i="26"/>
  <c r="BB75" i="26" s="1"/>
  <c r="AV75" i="26"/>
  <c r="AC95" i="26"/>
  <c r="AC93" i="26" s="1"/>
  <c r="X95" i="26"/>
  <c r="S93" i="26"/>
  <c r="X93" i="26" s="1"/>
  <c r="AJ129" i="26"/>
  <c r="AQ129" i="26" s="1"/>
  <c r="AP129" i="26"/>
  <c r="AV78" i="26"/>
  <c r="AV74" i="26"/>
  <c r="AZ73" i="26"/>
  <c r="AV73" i="26"/>
  <c r="AP67" i="26"/>
  <c r="AJ67" i="26"/>
  <c r="AQ67" i="26" s="1"/>
  <c r="AW67" i="26" s="1"/>
  <c r="AP111" i="26"/>
  <c r="AJ111" i="26"/>
  <c r="AQ111" i="26" s="1"/>
  <c r="AC105" i="26"/>
  <c r="X105" i="26"/>
  <c r="S104" i="26"/>
  <c r="X104" i="26" s="1"/>
  <c r="X84" i="26"/>
  <c r="AI84" i="26"/>
  <c r="AP101" i="26"/>
  <c r="AJ101" i="26"/>
  <c r="AQ101" i="26" s="1"/>
  <c r="AP97" i="26"/>
  <c r="AJ97" i="26"/>
  <c r="AQ97" i="26" s="1"/>
  <c r="X69" i="26"/>
  <c r="AI69" i="26"/>
  <c r="AJ55" i="26"/>
  <c r="AQ55" i="26" s="1"/>
  <c r="AP55" i="26"/>
  <c r="AZ49" i="26"/>
  <c r="AV49" i="26"/>
  <c r="AP50" i="26"/>
  <c r="AJ50" i="26"/>
  <c r="AQ50" i="26" s="1"/>
  <c r="G141" i="26"/>
  <c r="K39" i="26"/>
  <c r="AP41" i="26"/>
  <c r="AJ41" i="26"/>
  <c r="AQ41" i="26" s="1"/>
  <c r="AC40" i="26"/>
  <c r="AP31" i="26"/>
  <c r="AC30" i="26"/>
  <c r="AJ31" i="26"/>
  <c r="AQ31" i="26" s="1"/>
  <c r="I34" i="26"/>
  <c r="AP17" i="26"/>
  <c r="AC16" i="26"/>
  <c r="AJ17" i="26"/>
  <c r="AQ17" i="26" s="1"/>
  <c r="W138" i="26"/>
  <c r="W131" i="26"/>
  <c r="W130" i="26"/>
  <c r="W128" i="26"/>
  <c r="W127" i="26"/>
  <c r="W126" i="26"/>
  <c r="W123" i="26"/>
  <c r="W132" i="26"/>
  <c r="W122" i="26"/>
  <c r="W133" i="26"/>
  <c r="W129" i="26"/>
  <c r="W125" i="26"/>
  <c r="W120" i="26"/>
  <c r="W117" i="26"/>
  <c r="W119" i="26"/>
  <c r="W101" i="26"/>
  <c r="W97" i="26"/>
  <c r="W134" i="26"/>
  <c r="W111" i="26"/>
  <c r="W106" i="26"/>
  <c r="W100" i="26"/>
  <c r="W110" i="26"/>
  <c r="W105" i="26"/>
  <c r="W104" i="26"/>
  <c r="W99" i="26"/>
  <c r="W118" i="26"/>
  <c r="W102" i="26"/>
  <c r="W89" i="26"/>
  <c r="W86" i="26"/>
  <c r="W116" i="26"/>
  <c r="W98" i="26"/>
  <c r="W95" i="26"/>
  <c r="W121" i="26"/>
  <c r="W91" i="26"/>
  <c r="W87" i="26"/>
  <c r="W90" i="26"/>
  <c r="W80" i="26"/>
  <c r="W78" i="26"/>
  <c r="W96" i="26"/>
  <c r="W94" i="26"/>
  <c r="W93" i="26"/>
  <c r="W85" i="26"/>
  <c r="W75" i="26"/>
  <c r="W73" i="26"/>
  <c r="W82" i="26"/>
  <c r="W81" i="26"/>
  <c r="W79" i="26"/>
  <c r="W77" i="26"/>
  <c r="W88" i="26"/>
  <c r="W74" i="26"/>
  <c r="W65" i="26"/>
  <c r="W84" i="26"/>
  <c r="W70" i="26"/>
  <c r="W67" i="26"/>
  <c r="W72" i="26"/>
  <c r="W69" i="26"/>
  <c r="W76" i="26"/>
  <c r="W71" i="26"/>
  <c r="W58" i="26"/>
  <c r="W54" i="26"/>
  <c r="W63" i="26"/>
  <c r="W60" i="26"/>
  <c r="W57" i="26"/>
  <c r="W51" i="26"/>
  <c r="W66" i="26"/>
  <c r="W62" i="26"/>
  <c r="W56" i="26"/>
  <c r="W53" i="26"/>
  <c r="W50" i="26"/>
  <c r="W64" i="26"/>
  <c r="W61" i="26"/>
  <c r="W59" i="26"/>
  <c r="W55" i="26"/>
  <c r="W52" i="26"/>
  <c r="W49" i="26"/>
  <c r="W47" i="26"/>
  <c r="W45" i="26"/>
  <c r="W43" i="26"/>
  <c r="W41" i="26"/>
  <c r="W40" i="26"/>
  <c r="W48" i="26"/>
  <c r="W46" i="26"/>
  <c r="W44" i="26"/>
  <c r="W42" i="26"/>
  <c r="W14" i="26"/>
  <c r="W13" i="26"/>
  <c r="W12" i="26"/>
  <c r="W9" i="26"/>
  <c r="W8" i="26"/>
  <c r="W7" i="26"/>
  <c r="W6" i="26"/>
  <c r="W19" i="26"/>
  <c r="W20" i="26"/>
  <c r="W17" i="26"/>
  <c r="W16" i="26"/>
  <c r="W11" i="26"/>
  <c r="AI5" i="26"/>
  <c r="K36" i="26"/>
  <c r="AZ11" i="26"/>
  <c r="BB12" i="26"/>
  <c r="BB9" i="26"/>
  <c r="AU25" i="26"/>
  <c r="AT5" i="26"/>
  <c r="C138" i="26"/>
  <c r="C134" i="26"/>
  <c r="C133" i="26"/>
  <c r="C132" i="26"/>
  <c r="C131" i="26"/>
  <c r="C130" i="26"/>
  <c r="C129" i="26"/>
  <c r="C128" i="26"/>
  <c r="C123" i="26"/>
  <c r="C125" i="26"/>
  <c r="C127" i="26"/>
  <c r="C126" i="26"/>
  <c r="C124" i="26"/>
  <c r="C120" i="26"/>
  <c r="C122" i="26"/>
  <c r="C119" i="26"/>
  <c r="C117" i="26"/>
  <c r="C101" i="26"/>
  <c r="C97" i="26"/>
  <c r="C111" i="26"/>
  <c r="C106" i="26"/>
  <c r="C121" i="26"/>
  <c r="C118" i="26"/>
  <c r="C105" i="26"/>
  <c r="C104" i="26"/>
  <c r="C99" i="26"/>
  <c r="C89" i="26"/>
  <c r="C86" i="26"/>
  <c r="C95" i="26"/>
  <c r="C91" i="26"/>
  <c r="C88" i="26"/>
  <c r="C84" i="26"/>
  <c r="C82" i="26"/>
  <c r="C76" i="26"/>
  <c r="C74" i="26"/>
  <c r="C110" i="26"/>
  <c r="C93" i="26"/>
  <c r="C80" i="26"/>
  <c r="C78" i="26"/>
  <c r="C116" i="26"/>
  <c r="C100" i="26"/>
  <c r="C98" i="26"/>
  <c r="C87" i="26"/>
  <c r="C85" i="26"/>
  <c r="C77" i="26"/>
  <c r="C73" i="26"/>
  <c r="C71" i="26"/>
  <c r="C65" i="26"/>
  <c r="C102" i="26"/>
  <c r="C75" i="26"/>
  <c r="C67" i="26"/>
  <c r="C96" i="26"/>
  <c r="C94" i="26"/>
  <c r="C72" i="26"/>
  <c r="C70" i="26"/>
  <c r="C69" i="26"/>
  <c r="C90" i="26"/>
  <c r="C81" i="26"/>
  <c r="C79" i="26"/>
  <c r="C64" i="26"/>
  <c r="C61" i="26"/>
  <c r="C58" i="26"/>
  <c r="C52" i="26"/>
  <c r="C66" i="26"/>
  <c r="C63" i="26"/>
  <c r="C57" i="26"/>
  <c r="C54" i="26"/>
  <c r="C51" i="26"/>
  <c r="C62" i="26"/>
  <c r="C60" i="26"/>
  <c r="C56" i="26"/>
  <c r="C53" i="26"/>
  <c r="C50" i="26"/>
  <c r="C59" i="26"/>
  <c r="C55" i="26"/>
  <c r="C49" i="26"/>
  <c r="C47" i="26"/>
  <c r="C45" i="26"/>
  <c r="C43" i="26"/>
  <c r="C41" i="26"/>
  <c r="C40" i="26"/>
  <c r="C39" i="26"/>
  <c r="C20" i="26"/>
  <c r="C16" i="26"/>
  <c r="C48" i="26"/>
  <c r="C46" i="26"/>
  <c r="C44" i="26"/>
  <c r="C42" i="26"/>
  <c r="B37" i="26"/>
  <c r="C37" i="26" s="1"/>
  <c r="C23" i="26"/>
  <c r="C17" i="26"/>
  <c r="C11" i="26"/>
  <c r="C9" i="26"/>
  <c r="C19" i="26"/>
  <c r="C13" i="26"/>
  <c r="C6" i="26"/>
  <c r="C12" i="26"/>
  <c r="C8" i="26"/>
  <c r="C14" i="26"/>
  <c r="C7" i="26"/>
  <c r="AC27" i="26"/>
  <c r="AC35" i="26" s="1"/>
  <c r="AD35" i="26" s="1"/>
  <c r="AJ28" i="26"/>
  <c r="AQ28" i="26" s="1"/>
  <c r="AP28" i="26"/>
  <c r="AZ36" i="26"/>
  <c r="BA31" i="26"/>
  <c r="BA30" i="26"/>
  <c r="Z5" i="26"/>
  <c r="I5" i="26"/>
  <c r="AP24" i="26"/>
  <c r="AJ24" i="26"/>
  <c r="AQ24" i="26" s="1"/>
  <c r="AW131" i="26"/>
  <c r="BB131" i="26" s="1"/>
  <c r="AV131" i="26"/>
  <c r="AZ116" i="26"/>
  <c r="AZ110" i="26"/>
  <c r="AV110" i="26"/>
  <c r="AT84" i="26"/>
  <c r="AJ96" i="26"/>
  <c r="AQ96" i="26" s="1"/>
  <c r="AP96" i="26"/>
  <c r="AZ87" i="26"/>
  <c r="BB87" i="26" s="1"/>
  <c r="AV87" i="26"/>
  <c r="AJ85" i="26"/>
  <c r="AQ85" i="26" s="1"/>
  <c r="AP85" i="26"/>
  <c r="AZ82" i="26"/>
  <c r="BB82" i="26" s="1"/>
  <c r="AV82" i="26"/>
  <c r="AZ70" i="26"/>
  <c r="AV70" i="26"/>
  <c r="AT69" i="26"/>
  <c r="AZ93" i="26"/>
  <c r="AZ71" i="26"/>
  <c r="AV71" i="26"/>
  <c r="AP58" i="26"/>
  <c r="AJ58" i="26"/>
  <c r="AQ58" i="26" s="1"/>
  <c r="AA102" i="26"/>
  <c r="AA74" i="26"/>
  <c r="AA86" i="26"/>
  <c r="AA60" i="26"/>
  <c r="AA44" i="26"/>
  <c r="AP53" i="26"/>
  <c r="AJ53" i="26"/>
  <c r="AQ53" i="26" s="1"/>
  <c r="BB51" i="26"/>
  <c r="AV51" i="26"/>
  <c r="AP65" i="26"/>
  <c r="AJ65" i="26"/>
  <c r="AQ65" i="26" s="1"/>
  <c r="AV54" i="26"/>
  <c r="AZ25" i="26"/>
  <c r="AV25" i="26"/>
  <c r="AT24" i="26"/>
  <c r="AB23" i="26"/>
  <c r="R23" i="26"/>
  <c r="AW20" i="26"/>
  <c r="AV20" i="26"/>
  <c r="P133" i="26"/>
  <c r="P127" i="26"/>
  <c r="P126" i="26"/>
  <c r="P125" i="26"/>
  <c r="P134" i="26"/>
  <c r="P129" i="26"/>
  <c r="P124" i="26"/>
  <c r="P128" i="26"/>
  <c r="P122" i="26"/>
  <c r="P119" i="26"/>
  <c r="P117" i="26"/>
  <c r="P131" i="26"/>
  <c r="P130" i="26"/>
  <c r="P121" i="26"/>
  <c r="P118" i="26"/>
  <c r="P116" i="26"/>
  <c r="P138" i="26"/>
  <c r="P132" i="26"/>
  <c r="P123" i="26"/>
  <c r="P105" i="26"/>
  <c r="P99" i="26"/>
  <c r="P110" i="26"/>
  <c r="P104" i="26"/>
  <c r="P102" i="26"/>
  <c r="P101" i="26"/>
  <c r="P97" i="26"/>
  <c r="P95" i="26"/>
  <c r="P91" i="26"/>
  <c r="P84" i="26"/>
  <c r="P100" i="26"/>
  <c r="P98" i="26"/>
  <c r="P96" i="26"/>
  <c r="P94" i="26"/>
  <c r="P90" i="26"/>
  <c r="P120" i="26"/>
  <c r="P93" i="26"/>
  <c r="P89" i="26"/>
  <c r="P86" i="26"/>
  <c r="P106" i="26"/>
  <c r="P87" i="26"/>
  <c r="P85" i="26"/>
  <c r="P77" i="26"/>
  <c r="P75" i="26"/>
  <c r="P73" i="26"/>
  <c r="P82" i="26"/>
  <c r="P81" i="26"/>
  <c r="P79" i="26"/>
  <c r="P88" i="26"/>
  <c r="P76" i="26"/>
  <c r="P80" i="26"/>
  <c r="P78" i="26"/>
  <c r="P72" i="26"/>
  <c r="P70" i="26"/>
  <c r="P74" i="26"/>
  <c r="P69" i="26"/>
  <c r="P66" i="26"/>
  <c r="P111" i="26"/>
  <c r="P71" i="26"/>
  <c r="P65" i="26"/>
  <c r="P62" i="26"/>
  <c r="P60" i="26"/>
  <c r="P56" i="26"/>
  <c r="P53" i="26"/>
  <c r="P50" i="26"/>
  <c r="P67" i="26"/>
  <c r="P59" i="26"/>
  <c r="P55" i="26"/>
  <c r="P64" i="26"/>
  <c r="P61" i="26"/>
  <c r="P58" i="26"/>
  <c r="P52" i="26"/>
  <c r="P49" i="26"/>
  <c r="P63" i="26"/>
  <c r="P57" i="26"/>
  <c r="P54" i="26"/>
  <c r="P51" i="26"/>
  <c r="P40" i="26"/>
  <c r="P48" i="26"/>
  <c r="P46" i="26"/>
  <c r="P44" i="26"/>
  <c r="P42" i="26"/>
  <c r="P39" i="26"/>
  <c r="O37" i="26"/>
  <c r="P37" i="26" s="1"/>
  <c r="P23" i="26"/>
  <c r="P14" i="26"/>
  <c r="P13" i="26"/>
  <c r="P12" i="26"/>
  <c r="P11" i="26"/>
  <c r="P9" i="26"/>
  <c r="P8" i="26"/>
  <c r="AB5" i="26"/>
  <c r="P47" i="26"/>
  <c r="P45" i="26"/>
  <c r="P43" i="26"/>
  <c r="P41" i="26"/>
  <c r="P7" i="26"/>
  <c r="P6" i="26"/>
  <c r="P20" i="26"/>
  <c r="P16" i="26"/>
  <c r="P19" i="26"/>
  <c r="P17" i="26"/>
  <c r="I36" i="26"/>
  <c r="AO141" i="26"/>
  <c r="Q138" i="26"/>
  <c r="Q124" i="26"/>
  <c r="Q123" i="26"/>
  <c r="Q121" i="26"/>
  <c r="Q118" i="26"/>
  <c r="Q116" i="26"/>
  <c r="Q120" i="26"/>
  <c r="Q110" i="26"/>
  <c r="Q104" i="26"/>
  <c r="Q102" i="26"/>
  <c r="Q98" i="26"/>
  <c r="Q117" i="26"/>
  <c r="Q101" i="26"/>
  <c r="Q111" i="26"/>
  <c r="Q106" i="26"/>
  <c r="Q100" i="26"/>
  <c r="Q99" i="26"/>
  <c r="Q97" i="26"/>
  <c r="Q96" i="26"/>
  <c r="Q94" i="26"/>
  <c r="Q90" i="26"/>
  <c r="Q87" i="26"/>
  <c r="Q122" i="26"/>
  <c r="Q93" i="26"/>
  <c r="Q89" i="26"/>
  <c r="Q88" i="26"/>
  <c r="Q85" i="26"/>
  <c r="Q91" i="26"/>
  <c r="Q86" i="26"/>
  <c r="Q82" i="26"/>
  <c r="Q81" i="26"/>
  <c r="Q79" i="26"/>
  <c r="Q119" i="26"/>
  <c r="Q105" i="26"/>
  <c r="Q95" i="26"/>
  <c r="Q76" i="26"/>
  <c r="Q74" i="26"/>
  <c r="Q84" i="26"/>
  <c r="Q80" i="26"/>
  <c r="Q78" i="26"/>
  <c r="Q77" i="26"/>
  <c r="Q69" i="26"/>
  <c r="Q66" i="26"/>
  <c r="Q71" i="26"/>
  <c r="Q73" i="26"/>
  <c r="Q67" i="26"/>
  <c r="Q75" i="26"/>
  <c r="Q72" i="26"/>
  <c r="Q70" i="26"/>
  <c r="Q59" i="26"/>
  <c r="Q55" i="26"/>
  <c r="Q64" i="26"/>
  <c r="Q61" i="26"/>
  <c r="Q58" i="26"/>
  <c r="Q52" i="26"/>
  <c r="Q49" i="26"/>
  <c r="Q63" i="26"/>
  <c r="Q57" i="26"/>
  <c r="Q54" i="26"/>
  <c r="Q51" i="26"/>
  <c r="Q65" i="26"/>
  <c r="Q62" i="26"/>
  <c r="Q60" i="26"/>
  <c r="Q56" i="26"/>
  <c r="Q53" i="26"/>
  <c r="Q50" i="26"/>
  <c r="Q48" i="26"/>
  <c r="Q46" i="26"/>
  <c r="Q44" i="26"/>
  <c r="Q42" i="26"/>
  <c r="Q39" i="26"/>
  <c r="Q47" i="26"/>
  <c r="Q45" i="26"/>
  <c r="Q43" i="26"/>
  <c r="Q41" i="26"/>
  <c r="Q40" i="26"/>
  <c r="T30" i="26"/>
  <c r="S35" i="26"/>
  <c r="X35" i="26" s="1"/>
  <c r="X11" i="26"/>
  <c r="T27" i="26"/>
  <c r="T28" i="26"/>
  <c r="Z23" i="26"/>
  <c r="AD28" i="26"/>
  <c r="AP11" i="26"/>
  <c r="AJ11" i="26"/>
  <c r="AD27" i="26"/>
  <c r="AP106" i="26"/>
  <c r="AJ106" i="26"/>
  <c r="AQ106" i="26" s="1"/>
  <c r="AP99" i="26"/>
  <c r="AJ99" i="26"/>
  <c r="AQ99" i="26" s="1"/>
  <c r="AP56" i="26"/>
  <c r="AJ56" i="26"/>
  <c r="AQ56" i="26" s="1"/>
  <c r="X40" i="26"/>
  <c r="AI40" i="26"/>
  <c r="V39" i="26"/>
  <c r="W39" i="26" s="1"/>
  <c r="V23" i="26"/>
  <c r="W24" i="26"/>
  <c r="X24" i="26"/>
  <c r="AI24" i="26"/>
  <c r="AP46" i="26"/>
  <c r="AJ46" i="26"/>
  <c r="AQ46" i="26" s="1"/>
  <c r="AG138" i="26"/>
  <c r="AG134" i="26"/>
  <c r="AG133" i="26"/>
  <c r="AG132" i="26"/>
  <c r="AG131" i="26"/>
  <c r="AG130" i="26"/>
  <c r="AG129" i="26"/>
  <c r="AG128" i="26"/>
  <c r="AG124" i="26"/>
  <c r="AG123" i="26"/>
  <c r="AG122" i="26"/>
  <c r="AG127" i="26"/>
  <c r="AG126" i="26"/>
  <c r="AG125" i="26"/>
  <c r="AG120" i="26"/>
  <c r="AG117" i="26"/>
  <c r="AG116" i="26"/>
  <c r="AG119" i="26"/>
  <c r="AG104" i="26"/>
  <c r="AG101" i="26"/>
  <c r="AG97" i="26"/>
  <c r="AG121" i="26"/>
  <c r="AG118" i="26"/>
  <c r="AG111" i="26"/>
  <c r="AG106" i="26"/>
  <c r="AG100" i="26"/>
  <c r="AG110" i="26"/>
  <c r="AG105" i="26"/>
  <c r="AG99" i="26"/>
  <c r="AG89" i="26"/>
  <c r="AG86" i="26"/>
  <c r="AG98" i="26"/>
  <c r="AG95" i="26"/>
  <c r="AG93" i="26"/>
  <c r="AG102" i="26"/>
  <c r="AG91" i="26"/>
  <c r="AG87" i="26"/>
  <c r="AG80" i="26"/>
  <c r="AG78" i="26"/>
  <c r="AG85" i="26"/>
  <c r="AG84" i="26"/>
  <c r="AG75" i="26"/>
  <c r="AG73" i="26"/>
  <c r="AG90" i="26"/>
  <c r="AG82" i="26"/>
  <c r="AG81" i="26"/>
  <c r="AG79" i="26"/>
  <c r="AG77" i="26"/>
  <c r="AG96" i="26"/>
  <c r="AG94" i="26"/>
  <c r="AG74" i="26"/>
  <c r="AG72" i="26"/>
  <c r="AG69" i="26"/>
  <c r="AG65" i="26"/>
  <c r="AG76" i="26"/>
  <c r="AG70" i="26"/>
  <c r="AG67" i="26"/>
  <c r="AG88" i="26"/>
  <c r="AG71" i="26"/>
  <c r="AG58" i="26"/>
  <c r="AG54" i="26"/>
  <c r="AG63" i="26"/>
  <c r="AG60" i="26"/>
  <c r="AG57" i="26"/>
  <c r="AG51" i="26"/>
  <c r="AG48" i="26"/>
  <c r="AG66" i="26"/>
  <c r="AG62" i="26"/>
  <c r="AG56" i="26"/>
  <c r="AG53" i="26"/>
  <c r="AG50" i="26"/>
  <c r="AG64" i="26"/>
  <c r="AG61" i="26"/>
  <c r="AG59" i="26"/>
  <c r="AG55" i="26"/>
  <c r="AG52" i="26"/>
  <c r="AG49" i="26"/>
  <c r="AG47" i="26"/>
  <c r="AG45" i="26"/>
  <c r="AG43" i="26"/>
  <c r="AG41" i="26"/>
  <c r="AG39" i="26"/>
  <c r="AF37" i="26"/>
  <c r="AG37" i="26" s="1"/>
  <c r="AG46" i="26"/>
  <c r="AG44" i="26"/>
  <c r="AG42" i="26"/>
  <c r="AG20" i="26"/>
  <c r="AG6" i="26"/>
  <c r="AG40" i="26"/>
  <c r="AG19" i="26"/>
  <c r="AG17" i="26"/>
  <c r="AG16" i="26"/>
  <c r="AG13" i="26"/>
  <c r="AG23" i="26"/>
  <c r="AG8" i="26"/>
  <c r="AG11" i="26"/>
  <c r="AG14" i="26"/>
  <c r="AG12" i="26"/>
  <c r="AG7" i="26"/>
  <c r="AG9" i="26"/>
  <c r="AI36" i="26"/>
  <c r="F134" i="26"/>
  <c r="F133" i="26"/>
  <c r="F132" i="26"/>
  <c r="F131" i="26"/>
  <c r="F130" i="26"/>
  <c r="F128" i="26"/>
  <c r="F127" i="26"/>
  <c r="F126" i="26"/>
  <c r="F138" i="26"/>
  <c r="F129" i="26"/>
  <c r="F124" i="26"/>
  <c r="F122" i="26"/>
  <c r="F119" i="26"/>
  <c r="F117" i="26"/>
  <c r="F121" i="26"/>
  <c r="F118" i="26"/>
  <c r="F125" i="26"/>
  <c r="F105" i="26"/>
  <c r="F99" i="26"/>
  <c r="F116" i="26"/>
  <c r="F110" i="26"/>
  <c r="F102" i="26"/>
  <c r="F123" i="26"/>
  <c r="F120" i="26"/>
  <c r="F101" i="26"/>
  <c r="F97" i="26"/>
  <c r="F95" i="26"/>
  <c r="F93" i="26"/>
  <c r="F91" i="26"/>
  <c r="F104" i="26"/>
  <c r="F96" i="26"/>
  <c r="F94" i="26"/>
  <c r="F90" i="26"/>
  <c r="F111" i="26"/>
  <c r="F106" i="26"/>
  <c r="F100" i="26"/>
  <c r="F98" i="26"/>
  <c r="F89" i="26"/>
  <c r="F86" i="26"/>
  <c r="F77" i="26"/>
  <c r="F75" i="26"/>
  <c r="F73" i="26"/>
  <c r="F87" i="26"/>
  <c r="F85" i="26"/>
  <c r="F82" i="26"/>
  <c r="F81" i="26"/>
  <c r="F79" i="26"/>
  <c r="F84" i="26"/>
  <c r="F76" i="26"/>
  <c r="F72" i="26"/>
  <c r="F70" i="26"/>
  <c r="F88" i="26"/>
  <c r="F66" i="26"/>
  <c r="F74" i="26"/>
  <c r="F71" i="26"/>
  <c r="F80" i="26"/>
  <c r="F78" i="26"/>
  <c r="F67" i="26"/>
  <c r="F62" i="26"/>
  <c r="F60" i="26"/>
  <c r="F56" i="26"/>
  <c r="F53" i="26"/>
  <c r="F69" i="26"/>
  <c r="F59" i="26"/>
  <c r="F55" i="26"/>
  <c r="F65" i="26"/>
  <c r="F64" i="26"/>
  <c r="F61" i="26"/>
  <c r="F58" i="26"/>
  <c r="F52" i="26"/>
  <c r="F49" i="26"/>
  <c r="F63" i="26"/>
  <c r="F57" i="26"/>
  <c r="F54" i="26"/>
  <c r="F51" i="26"/>
  <c r="F50" i="26"/>
  <c r="F48" i="26"/>
  <c r="F46" i="26"/>
  <c r="F44" i="26"/>
  <c r="F42" i="26"/>
  <c r="E37" i="26"/>
  <c r="F37" i="26" s="1"/>
  <c r="F40" i="26"/>
  <c r="F17" i="26"/>
  <c r="F6" i="26"/>
  <c r="F47" i="26"/>
  <c r="F45" i="26"/>
  <c r="F43" i="26"/>
  <c r="F41" i="26"/>
  <c r="F39" i="26"/>
  <c r="F19" i="26"/>
  <c r="F14" i="26"/>
  <c r="F13" i="26"/>
  <c r="F12" i="26"/>
  <c r="F9" i="26"/>
  <c r="F8" i="26"/>
  <c r="K5" i="26"/>
  <c r="F20" i="26"/>
  <c r="F23" i="26"/>
  <c r="F16" i="26"/>
  <c r="F11" i="26"/>
  <c r="F7" i="26"/>
  <c r="AC7" i="26"/>
  <c r="S6" i="26"/>
  <c r="X7" i="26"/>
  <c r="AB34" i="26"/>
  <c r="AZ6" i="26"/>
  <c r="AP48" i="26"/>
  <c r="AJ48" i="26"/>
  <c r="AQ48" i="26" s="1"/>
  <c r="P35" i="26"/>
  <c r="AB35" i="26"/>
  <c r="R5" i="26"/>
  <c r="I39" i="26"/>
  <c r="AT39" i="26" l="1"/>
  <c r="AV60" i="26"/>
  <c r="AA40" i="26"/>
  <c r="AA71" i="26"/>
  <c r="AA120" i="26"/>
  <c r="AA47" i="26"/>
  <c r="AA61" i="26"/>
  <c r="AA87" i="26"/>
  <c r="AA96" i="26"/>
  <c r="AA122" i="26"/>
  <c r="AA66" i="26"/>
  <c r="AA95" i="26"/>
  <c r="AA56" i="26"/>
  <c r="AA81" i="26"/>
  <c r="AA84" i="26"/>
  <c r="AA106" i="26"/>
  <c r="AA46" i="26"/>
  <c r="AA41" i="26"/>
  <c r="AA49" i="26"/>
  <c r="AA62" i="26"/>
  <c r="AA63" i="26"/>
  <c r="AA52" i="26"/>
  <c r="AA64" i="26"/>
  <c r="AA67" i="26"/>
  <c r="AA93" i="26"/>
  <c r="AA72" i="26"/>
  <c r="AA110" i="26"/>
  <c r="AA91" i="26"/>
  <c r="AA76" i="26"/>
  <c r="AA89" i="26"/>
  <c r="AA105" i="26"/>
  <c r="AA111" i="26"/>
  <c r="AA119" i="26"/>
  <c r="AA124" i="26"/>
  <c r="AA123" i="26"/>
  <c r="AB124" i="26"/>
  <c r="AA48" i="26"/>
  <c r="AA43" i="26"/>
  <c r="AA50" i="26"/>
  <c r="AA51" i="26"/>
  <c r="AA54" i="26"/>
  <c r="AA55" i="26"/>
  <c r="AA65" i="26"/>
  <c r="AA69" i="26"/>
  <c r="AA73" i="26"/>
  <c r="AA82" i="26"/>
  <c r="AA78" i="26"/>
  <c r="AA97" i="26"/>
  <c r="AA85" i="26"/>
  <c r="AA90" i="26"/>
  <c r="AA100" i="26"/>
  <c r="AA101" i="26"/>
  <c r="AA116" i="26"/>
  <c r="AA118" i="26"/>
  <c r="AA138" i="26"/>
  <c r="AA42" i="26"/>
  <c r="AA39" i="26"/>
  <c r="AA45" i="26"/>
  <c r="AA53" i="26"/>
  <c r="AA57" i="26"/>
  <c r="AA58" i="26"/>
  <c r="AA59" i="26"/>
  <c r="AA79" i="26"/>
  <c r="AA70" i="26"/>
  <c r="AA77" i="26"/>
  <c r="AA75" i="26"/>
  <c r="AA80" i="26"/>
  <c r="AA99" i="26"/>
  <c r="AA88" i="26"/>
  <c r="AA94" i="26"/>
  <c r="AA104" i="26"/>
  <c r="AA98" i="26"/>
  <c r="AA117" i="26"/>
  <c r="AA121" i="26"/>
  <c r="AC23" i="26"/>
  <c r="AP23" i="26" s="1"/>
  <c r="X36" i="26"/>
  <c r="AQ8" i="26"/>
  <c r="AR142" i="26" s="1"/>
  <c r="AK142" i="26"/>
  <c r="AW52" i="26"/>
  <c r="BB52" i="26" s="1"/>
  <c r="N45" i="26"/>
  <c r="N51" i="26"/>
  <c r="N86" i="26"/>
  <c r="N46" i="26"/>
  <c r="N56" i="26"/>
  <c r="N81" i="26"/>
  <c r="N58" i="26"/>
  <c r="N69" i="26"/>
  <c r="N90" i="26"/>
  <c r="N39" i="26"/>
  <c r="N59" i="26"/>
  <c r="N70" i="26"/>
  <c r="N95" i="26"/>
  <c r="N85" i="26"/>
  <c r="M39" i="26"/>
  <c r="N40" i="26"/>
  <c r="N48" i="26"/>
  <c r="N47" i="26"/>
  <c r="N61" i="26"/>
  <c r="N66" i="26"/>
  <c r="N60" i="26"/>
  <c r="N54" i="26"/>
  <c r="N71" i="26"/>
  <c r="N72" i="26"/>
  <c r="N82" i="26"/>
  <c r="N78" i="26"/>
  <c r="N94" i="26"/>
  <c r="N97" i="26"/>
  <c r="N93" i="26"/>
  <c r="N100" i="26"/>
  <c r="N121" i="26"/>
  <c r="M124" i="26"/>
  <c r="N42" i="26"/>
  <c r="N41" i="26"/>
  <c r="N49" i="26"/>
  <c r="N64" i="26"/>
  <c r="N50" i="26"/>
  <c r="N62" i="26"/>
  <c r="N57" i="26"/>
  <c r="N76" i="26"/>
  <c r="N67" i="26"/>
  <c r="N75" i="26"/>
  <c r="N80" i="26"/>
  <c r="N96" i="26"/>
  <c r="N101" i="26"/>
  <c r="N98" i="26"/>
  <c r="N106" i="26"/>
  <c r="N119" i="26"/>
  <c r="N105" i="26"/>
  <c r="N118" i="26"/>
  <c r="N44" i="26"/>
  <c r="N43" i="26"/>
  <c r="N52" i="26"/>
  <c r="N55" i="26"/>
  <c r="N53" i="26"/>
  <c r="N65" i="26"/>
  <c r="N63" i="26"/>
  <c r="N74" i="26"/>
  <c r="N79" i="26"/>
  <c r="N77" i="26"/>
  <c r="N84" i="26"/>
  <c r="N91" i="26"/>
  <c r="N123" i="26"/>
  <c r="N102" i="26"/>
  <c r="N116" i="26"/>
  <c r="N122" i="26"/>
  <c r="AW130" i="26"/>
  <c r="BB130" i="26" s="1"/>
  <c r="AV130" i="26"/>
  <c r="N124" i="26"/>
  <c r="N73" i="26"/>
  <c r="N89" i="26"/>
  <c r="N87" i="26"/>
  <c r="N104" i="26"/>
  <c r="N99" i="26"/>
  <c r="N88" i="26"/>
  <c r="N110" i="26"/>
  <c r="N111" i="26"/>
  <c r="N117" i="26"/>
  <c r="N138" i="26"/>
  <c r="S39" i="26"/>
  <c r="S124" i="26" s="1"/>
  <c r="U138" i="26" s="1"/>
  <c r="AW79" i="26"/>
  <c r="BB79" i="26" s="1"/>
  <c r="AW72" i="26"/>
  <c r="BB72" i="26" s="1"/>
  <c r="AW71" i="26"/>
  <c r="BB71" i="26" s="1"/>
  <c r="AW73" i="26"/>
  <c r="BB73" i="26" s="1"/>
  <c r="AW81" i="26"/>
  <c r="BB81" i="26" s="1"/>
  <c r="L37" i="26"/>
  <c r="M37" i="26" s="1"/>
  <c r="AN5" i="26"/>
  <c r="P5" i="26"/>
  <c r="AP93" i="26"/>
  <c r="AJ93" i="26"/>
  <c r="AQ93" i="26" s="1"/>
  <c r="AV93" i="26" s="1"/>
  <c r="F5" i="26"/>
  <c r="AW46" i="26"/>
  <c r="BB46" i="26" s="1"/>
  <c r="AV46" i="26"/>
  <c r="AW99" i="26"/>
  <c r="BB99" i="26" s="1"/>
  <c r="AV99" i="26"/>
  <c r="T35" i="26"/>
  <c r="Q141" i="26"/>
  <c r="AW19" i="26"/>
  <c r="BB19" i="26" s="1"/>
  <c r="BB20" i="26"/>
  <c r="AV24" i="26"/>
  <c r="AT23" i="26"/>
  <c r="AU23" i="26" s="1"/>
  <c r="C5" i="26"/>
  <c r="AP30" i="26"/>
  <c r="AJ30" i="26"/>
  <c r="AQ30" i="26" s="1"/>
  <c r="AV30" i="26" s="1"/>
  <c r="BB55" i="26"/>
  <c r="AV55" i="26"/>
  <c r="AV97" i="26"/>
  <c r="AW97" i="26"/>
  <c r="BB97" i="26" s="1"/>
  <c r="AC104" i="26"/>
  <c r="AC39" i="26" s="1"/>
  <c r="AP105" i="26"/>
  <c r="AJ105" i="26"/>
  <c r="AQ105" i="26" s="1"/>
  <c r="BB67" i="26"/>
  <c r="AV67" i="26"/>
  <c r="I113" i="26"/>
  <c r="M5" i="26"/>
  <c r="AM114" i="26"/>
  <c r="AN114" i="26" s="1"/>
  <c r="AM109" i="26"/>
  <c r="AM113" i="26"/>
  <c r="AN113" i="26" s="1"/>
  <c r="AW44" i="26"/>
  <c r="BB44" i="26" s="1"/>
  <c r="AV44" i="26"/>
  <c r="AP86" i="26"/>
  <c r="AJ86" i="26"/>
  <c r="AQ86" i="26" s="1"/>
  <c r="BB77" i="26"/>
  <c r="AV77" i="26"/>
  <c r="AV122" i="26"/>
  <c r="AW122" i="26"/>
  <c r="BB122" i="26" s="1"/>
  <c r="AW126" i="26"/>
  <c r="AV126" i="26"/>
  <c r="AJ7" i="26"/>
  <c r="AP7" i="26"/>
  <c r="AC6" i="26"/>
  <c r="BB48" i="26"/>
  <c r="AV48" i="26"/>
  <c r="E114" i="26"/>
  <c r="E109" i="26"/>
  <c r="E113" i="26"/>
  <c r="K37" i="26"/>
  <c r="BA25" i="26"/>
  <c r="AZ5" i="26"/>
  <c r="S34" i="26"/>
  <c r="X34" i="26" s="1"/>
  <c r="T25" i="26"/>
  <c r="T24" i="26"/>
  <c r="X6" i="26"/>
  <c r="S5" i="26"/>
  <c r="AG5" i="26"/>
  <c r="AI23" i="26"/>
  <c r="X23" i="26"/>
  <c r="AV56" i="26"/>
  <c r="BB56" i="26"/>
  <c r="AP35" i="26"/>
  <c r="AJ35" i="26"/>
  <c r="AQ35" i="26" s="1"/>
  <c r="AV35" i="26" s="1"/>
  <c r="O114" i="26"/>
  <c r="R114" i="26" s="1"/>
  <c r="O109" i="26"/>
  <c r="R109" i="26" s="1"/>
  <c r="O113" i="26"/>
  <c r="R113" i="26" s="1"/>
  <c r="AB37" i="26"/>
  <c r="AT124" i="26"/>
  <c r="AU124" i="26" s="1"/>
  <c r="BB58" i="26"/>
  <c r="AV58" i="26"/>
  <c r="BB110" i="26"/>
  <c r="AZ84" i="26"/>
  <c r="I141" i="26"/>
  <c r="AV28" i="26"/>
  <c r="AW28" i="26"/>
  <c r="AU24" i="26"/>
  <c r="W5" i="26"/>
  <c r="V37" i="26"/>
  <c r="AJ40" i="26"/>
  <c r="AQ40" i="26" s="1"/>
  <c r="AV40" i="26" s="1"/>
  <c r="AP40" i="26"/>
  <c r="AJ84" i="26"/>
  <c r="AQ84" i="26" s="1"/>
  <c r="AP84" i="26"/>
  <c r="R37" i="26"/>
  <c r="BB59" i="26"/>
  <c r="AV59" i="26"/>
  <c r="AW89" i="26"/>
  <c r="BB89" i="26" s="1"/>
  <c r="AV89" i="26"/>
  <c r="AW94" i="26"/>
  <c r="AV94" i="26"/>
  <c r="AW133" i="26"/>
  <c r="BB133" i="26" s="1"/>
  <c r="AV133" i="26"/>
  <c r="AF114" i="26"/>
  <c r="AG114" i="26" s="1"/>
  <c r="AF109" i="26"/>
  <c r="AF113" i="26"/>
  <c r="AG113" i="26" s="1"/>
  <c r="V124" i="26"/>
  <c r="AI39" i="26"/>
  <c r="AW106" i="26"/>
  <c r="BB106" i="26" s="1"/>
  <c r="AV106" i="26"/>
  <c r="AQ11" i="26"/>
  <c r="AK28" i="26"/>
  <c r="BB25" i="26"/>
  <c r="AZ24" i="26"/>
  <c r="AZ34" i="26" s="1"/>
  <c r="BB70" i="26"/>
  <c r="AZ69" i="26"/>
  <c r="AW85" i="26"/>
  <c r="BB85" i="26" s="1"/>
  <c r="AV85" i="26"/>
  <c r="AW96" i="26"/>
  <c r="BB96" i="26" s="1"/>
  <c r="AV96" i="26"/>
  <c r="Z141" i="26"/>
  <c r="AP27" i="26"/>
  <c r="AJ27" i="26"/>
  <c r="AQ27" i="26" s="1"/>
  <c r="AV27" i="26" s="1"/>
  <c r="AT34" i="26"/>
  <c r="W23" i="26"/>
  <c r="AV17" i="26"/>
  <c r="AW17" i="26"/>
  <c r="AW41" i="26"/>
  <c r="AV41" i="26"/>
  <c r="BB49" i="26"/>
  <c r="AZ40" i="26"/>
  <c r="AW101" i="26"/>
  <c r="BB101" i="26" s="1"/>
  <c r="AV101" i="26"/>
  <c r="AW111" i="26"/>
  <c r="AV111" i="26"/>
  <c r="AP95" i="26"/>
  <c r="AJ95" i="26"/>
  <c r="AQ95" i="26" s="1"/>
  <c r="H112" i="26"/>
  <c r="I109" i="26"/>
  <c r="AN141" i="26"/>
  <c r="AW42" i="26"/>
  <c r="BB42" i="26" s="1"/>
  <c r="AV42" i="26"/>
  <c r="AJ69" i="26"/>
  <c r="AQ69" i="26" s="1"/>
  <c r="AV69" i="26" s="1"/>
  <c r="AP69" i="26"/>
  <c r="AW88" i="26"/>
  <c r="BB88" i="26" s="1"/>
  <c r="AV88" i="26"/>
  <c r="AW100" i="26"/>
  <c r="BB100" i="26" s="1"/>
  <c r="AV100" i="26"/>
  <c r="AP117" i="26"/>
  <c r="AC116" i="26"/>
  <c r="AJ117" i="26"/>
  <c r="AQ117" i="26" s="1"/>
  <c r="AW119" i="26"/>
  <c r="BB119" i="26" s="1"/>
  <c r="AV119" i="26"/>
  <c r="AP125" i="26"/>
  <c r="AJ125" i="26"/>
  <c r="AQ125" i="26" s="1"/>
  <c r="AV125" i="26" s="1"/>
  <c r="P141" i="26"/>
  <c r="AW65" i="26"/>
  <c r="BB65" i="26" s="1"/>
  <c r="AV65" i="26"/>
  <c r="AV53" i="26"/>
  <c r="BB53" i="26"/>
  <c r="AV84" i="26"/>
  <c r="BA36" i="26"/>
  <c r="B113" i="26"/>
  <c r="C113" i="26" s="1"/>
  <c r="B114" i="26"/>
  <c r="C114" i="26" s="1"/>
  <c r="B109" i="26"/>
  <c r="AU134" i="26"/>
  <c r="AU133" i="26"/>
  <c r="AU132" i="26"/>
  <c r="AU131" i="26"/>
  <c r="AU138" i="26"/>
  <c r="AU130" i="26"/>
  <c r="AU128" i="26"/>
  <c r="AU122" i="26"/>
  <c r="AU126" i="26"/>
  <c r="AU125" i="26"/>
  <c r="AU129" i="26"/>
  <c r="AU127" i="26"/>
  <c r="AU119" i="26"/>
  <c r="AU123" i="26"/>
  <c r="AU121" i="26"/>
  <c r="AU118" i="26"/>
  <c r="AU116" i="26"/>
  <c r="AU120" i="26"/>
  <c r="AU117" i="26"/>
  <c r="AU111" i="26"/>
  <c r="AU106" i="26"/>
  <c r="AU100" i="26"/>
  <c r="AU110" i="26"/>
  <c r="AU105" i="26"/>
  <c r="AU104" i="26"/>
  <c r="AU102" i="26"/>
  <c r="AU98" i="26"/>
  <c r="AU95" i="26"/>
  <c r="AU88" i="26"/>
  <c r="AU85" i="26"/>
  <c r="AU91" i="26"/>
  <c r="AU101" i="26"/>
  <c r="AU94" i="26"/>
  <c r="AU90" i="26"/>
  <c r="AU87" i="26"/>
  <c r="AU75" i="26"/>
  <c r="AU73" i="26"/>
  <c r="AU93" i="26"/>
  <c r="AU82" i="26"/>
  <c r="AU81" i="26"/>
  <c r="AU79" i="26"/>
  <c r="AU77" i="26"/>
  <c r="AU96" i="26"/>
  <c r="AU89" i="26"/>
  <c r="AU84" i="26"/>
  <c r="AU76" i="26"/>
  <c r="AU86" i="26"/>
  <c r="AU72" i="26"/>
  <c r="AU70" i="26"/>
  <c r="AU67" i="26"/>
  <c r="AU64" i="26"/>
  <c r="AU80" i="26"/>
  <c r="AU78" i="26"/>
  <c r="AU74" i="26"/>
  <c r="AU66" i="26"/>
  <c r="AU99" i="26"/>
  <c r="AU97" i="26"/>
  <c r="AU71" i="26"/>
  <c r="AU69" i="26"/>
  <c r="AU63" i="26"/>
  <c r="AU60" i="26"/>
  <c r="AU57" i="26"/>
  <c r="AU51" i="26"/>
  <c r="AU65" i="26"/>
  <c r="AU62" i="26"/>
  <c r="AU56" i="26"/>
  <c r="AU53" i="26"/>
  <c r="AU50" i="26"/>
  <c r="AU61" i="26"/>
  <c r="AU59" i="26"/>
  <c r="AU55" i="26"/>
  <c r="AU52" i="26"/>
  <c r="AU49" i="26"/>
  <c r="AU58" i="26"/>
  <c r="AU54" i="26"/>
  <c r="AU46" i="26"/>
  <c r="AU44" i="26"/>
  <c r="AU42" i="26"/>
  <c r="AU40" i="26"/>
  <c r="AU39" i="26"/>
  <c r="AU17" i="26"/>
  <c r="AU16" i="26"/>
  <c r="AU48" i="26"/>
  <c r="AU47" i="26"/>
  <c r="AU45" i="26"/>
  <c r="AU43" i="26"/>
  <c r="AU41" i="26"/>
  <c r="AU14" i="26"/>
  <c r="AU13" i="26"/>
  <c r="AU12" i="26"/>
  <c r="AU11" i="26"/>
  <c r="AU9" i="26"/>
  <c r="AU8" i="26"/>
  <c r="AU7" i="26"/>
  <c r="AU20" i="26"/>
  <c r="AU19" i="26"/>
  <c r="AU6" i="26"/>
  <c r="BA28" i="26"/>
  <c r="AZ35" i="26"/>
  <c r="BA35" i="26" s="1"/>
  <c r="BA27" i="26"/>
  <c r="AD31" i="26"/>
  <c r="AP16" i="26"/>
  <c r="AJ16" i="26"/>
  <c r="AC36" i="26"/>
  <c r="AD30" i="26"/>
  <c r="AW31" i="26"/>
  <c r="AV31" i="26"/>
  <c r="AV50" i="26"/>
  <c r="BB50" i="26"/>
  <c r="AW129" i="26"/>
  <c r="BB129" i="26" s="1"/>
  <c r="AV129" i="26"/>
  <c r="I114" i="26"/>
  <c r="AW13" i="26"/>
  <c r="AV13" i="26"/>
  <c r="L114" i="26"/>
  <c r="M114" i="26" s="1"/>
  <c r="L109" i="26"/>
  <c r="J138" i="26"/>
  <c r="J120" i="26"/>
  <c r="J122" i="26"/>
  <c r="J119" i="26"/>
  <c r="J117" i="26"/>
  <c r="R124" i="26"/>
  <c r="J124" i="26"/>
  <c r="J123" i="26"/>
  <c r="J121" i="26"/>
  <c r="J118" i="26"/>
  <c r="J111" i="26"/>
  <c r="J106" i="26"/>
  <c r="J100" i="26"/>
  <c r="J105" i="26"/>
  <c r="J116" i="26"/>
  <c r="J110" i="26"/>
  <c r="J102" i="26"/>
  <c r="J98" i="26"/>
  <c r="J101" i="26"/>
  <c r="J99" i="26"/>
  <c r="J97" i="26"/>
  <c r="J93" i="26"/>
  <c r="J88" i="26"/>
  <c r="J85" i="26"/>
  <c r="J95" i="26"/>
  <c r="J91" i="26"/>
  <c r="J96" i="26"/>
  <c r="J94" i="26"/>
  <c r="J90" i="26"/>
  <c r="J87" i="26"/>
  <c r="J89" i="26"/>
  <c r="J86" i="26"/>
  <c r="J80" i="26"/>
  <c r="J78" i="26"/>
  <c r="J77" i="26"/>
  <c r="J75" i="26"/>
  <c r="J73" i="26"/>
  <c r="J104" i="26"/>
  <c r="J84" i="26"/>
  <c r="J82" i="26"/>
  <c r="J81" i="26"/>
  <c r="J79" i="26"/>
  <c r="J67" i="26"/>
  <c r="J74" i="26"/>
  <c r="J72" i="26"/>
  <c r="J70" i="26"/>
  <c r="J76" i="26"/>
  <c r="J71" i="26"/>
  <c r="J69" i="26"/>
  <c r="J65" i="26"/>
  <c r="J63" i="26"/>
  <c r="J57" i="26"/>
  <c r="J54" i="26"/>
  <c r="J51" i="26"/>
  <c r="J62" i="26"/>
  <c r="J60" i="26"/>
  <c r="J56" i="26"/>
  <c r="J53" i="26"/>
  <c r="J50" i="26"/>
  <c r="J66" i="26"/>
  <c r="J59" i="26"/>
  <c r="J55" i="26"/>
  <c r="J64" i="26"/>
  <c r="J61" i="26"/>
  <c r="J58" i="26"/>
  <c r="J52" i="26"/>
  <c r="J49" i="26"/>
  <c r="J47" i="26"/>
  <c r="J45" i="26"/>
  <c r="J43" i="26"/>
  <c r="J41" i="26"/>
  <c r="J48" i="26"/>
  <c r="J46" i="26"/>
  <c r="J44" i="26"/>
  <c r="J42" i="26"/>
  <c r="J40" i="26"/>
  <c r="J39" i="26"/>
  <c r="I124" i="26"/>
  <c r="K124" i="26"/>
  <c r="BB76" i="26"/>
  <c r="AV76" i="26"/>
  <c r="AW91" i="26"/>
  <c r="BB91" i="26" s="1"/>
  <c r="AV91" i="26"/>
  <c r="AW134" i="26"/>
  <c r="BB134" i="26" s="1"/>
  <c r="AV134" i="26"/>
  <c r="Y112" i="26"/>
  <c r="Z109" i="26"/>
  <c r="AJ23" i="26" l="1"/>
  <c r="AQ23" i="26" s="1"/>
  <c r="AW8" i="26"/>
  <c r="BB8" i="26" s="1"/>
  <c r="L113" i="26"/>
  <c r="M113" i="26" s="1"/>
  <c r="AV8" i="26"/>
  <c r="AA141" i="26"/>
  <c r="AT37" i="26"/>
  <c r="AU37" i="26" s="1"/>
  <c r="AK35" i="26"/>
  <c r="AU5" i="26"/>
  <c r="T34" i="26"/>
  <c r="N141" i="26"/>
  <c r="U62" i="26"/>
  <c r="U95" i="26"/>
  <c r="U84" i="26"/>
  <c r="U50" i="26"/>
  <c r="U59" i="26"/>
  <c r="U86" i="26"/>
  <c r="U102" i="26"/>
  <c r="U43" i="26"/>
  <c r="U57" i="26"/>
  <c r="U69" i="26"/>
  <c r="U93" i="26"/>
  <c r="U42" i="26"/>
  <c r="U58" i="26"/>
  <c r="U91" i="26"/>
  <c r="U96" i="26"/>
  <c r="U47" i="26"/>
  <c r="U56" i="26"/>
  <c r="U49" i="26"/>
  <c r="U67" i="26"/>
  <c r="U78" i="26"/>
  <c r="U81" i="26"/>
  <c r="U99" i="26"/>
  <c r="U106" i="26"/>
  <c r="U110" i="26"/>
  <c r="U117" i="26"/>
  <c r="U101" i="26"/>
  <c r="U116" i="26"/>
  <c r="X39" i="26"/>
  <c r="U40" i="26"/>
  <c r="U46" i="26"/>
  <c r="U51" i="26"/>
  <c r="U64" i="26"/>
  <c r="U75" i="26"/>
  <c r="U74" i="26"/>
  <c r="U88" i="26"/>
  <c r="U90" i="26"/>
  <c r="U122" i="26"/>
  <c r="U121" i="26"/>
  <c r="U41" i="26"/>
  <c r="U39" i="26"/>
  <c r="U48" i="26"/>
  <c r="U60" i="26"/>
  <c r="U54" i="26"/>
  <c r="U52" i="26"/>
  <c r="U55" i="26"/>
  <c r="U77" i="26"/>
  <c r="U66" i="26"/>
  <c r="U80" i="26"/>
  <c r="U76" i="26"/>
  <c r="U82" i="26"/>
  <c r="U89" i="26"/>
  <c r="U105" i="26"/>
  <c r="U94" i="26"/>
  <c r="U111" i="26"/>
  <c r="U98" i="26"/>
  <c r="U120" i="26"/>
  <c r="U123" i="26"/>
  <c r="U124" i="26"/>
  <c r="U45" i="26"/>
  <c r="U44" i="26"/>
  <c r="U53" i="26"/>
  <c r="U65" i="26"/>
  <c r="U63" i="26"/>
  <c r="U61" i="26"/>
  <c r="U70" i="26"/>
  <c r="U71" i="26"/>
  <c r="U73" i="26"/>
  <c r="U72" i="26"/>
  <c r="U79" i="26"/>
  <c r="U85" i="26"/>
  <c r="U97" i="26"/>
  <c r="U87" i="26"/>
  <c r="U100" i="26"/>
  <c r="U119" i="26"/>
  <c r="U104" i="26"/>
  <c r="U118" i="26"/>
  <c r="BA34" i="26"/>
  <c r="J141" i="26"/>
  <c r="L112" i="26"/>
  <c r="M109" i="26"/>
  <c r="H137" i="26"/>
  <c r="I112" i="26"/>
  <c r="AZ39" i="26"/>
  <c r="BA39" i="26" s="1"/>
  <c r="AW16" i="26"/>
  <c r="BB17" i="26"/>
  <c r="V140" i="26"/>
  <c r="V142" i="26" s="1"/>
  <c r="X124" i="26"/>
  <c r="AI124" i="26"/>
  <c r="W124" i="26"/>
  <c r="AC124" i="26"/>
  <c r="AJ39" i="26"/>
  <c r="AQ39" i="26" s="1"/>
  <c r="AV39" i="26" s="1"/>
  <c r="AP39" i="26"/>
  <c r="AB113" i="26"/>
  <c r="P113" i="26"/>
  <c r="BA138" i="26"/>
  <c r="BA132" i="26"/>
  <c r="BA128" i="26"/>
  <c r="BA126" i="26"/>
  <c r="BA125" i="26"/>
  <c r="BA133" i="26"/>
  <c r="BA130" i="26"/>
  <c r="BA123" i="26"/>
  <c r="BA129" i="26"/>
  <c r="BA127" i="26"/>
  <c r="BA121" i="26"/>
  <c r="BA118" i="26"/>
  <c r="BA116" i="26"/>
  <c r="BA131" i="26"/>
  <c r="BA122" i="26"/>
  <c r="BA120" i="26"/>
  <c r="BA117" i="26"/>
  <c r="BA134" i="26"/>
  <c r="BA104" i="26"/>
  <c r="BA102" i="26"/>
  <c r="BA98" i="26"/>
  <c r="BA101" i="26"/>
  <c r="BA111" i="26"/>
  <c r="BA106" i="26"/>
  <c r="BA100" i="26"/>
  <c r="BA96" i="26"/>
  <c r="BA99" i="26"/>
  <c r="BA97" i="26"/>
  <c r="BA94" i="26"/>
  <c r="BA90" i="26"/>
  <c r="BA119" i="26"/>
  <c r="BA93" i="26"/>
  <c r="BA89" i="26"/>
  <c r="BA95" i="26"/>
  <c r="BA88" i="26"/>
  <c r="BA85" i="26"/>
  <c r="BA91" i="26"/>
  <c r="BA76" i="26"/>
  <c r="BA74" i="26"/>
  <c r="BA72" i="26"/>
  <c r="BA87" i="26"/>
  <c r="BA80" i="26"/>
  <c r="BA78" i="26"/>
  <c r="BA110" i="26"/>
  <c r="BA75" i="26"/>
  <c r="BA81" i="26"/>
  <c r="BA79" i="26"/>
  <c r="BA77" i="26"/>
  <c r="BA73" i="26"/>
  <c r="BA71" i="26"/>
  <c r="BA69" i="26"/>
  <c r="BA82" i="26"/>
  <c r="BA65" i="26"/>
  <c r="BA86" i="26"/>
  <c r="BA84" i="26"/>
  <c r="BA70" i="26"/>
  <c r="BA67" i="26"/>
  <c r="BA105" i="26"/>
  <c r="BA61" i="26"/>
  <c r="BA59" i="26"/>
  <c r="BA55" i="26"/>
  <c r="BA52" i="26"/>
  <c r="BA66" i="26"/>
  <c r="BA64" i="26"/>
  <c r="BA58" i="26"/>
  <c r="BA54" i="26"/>
  <c r="BA63" i="26"/>
  <c r="BA60" i="26"/>
  <c r="BA57" i="26"/>
  <c r="BA51" i="26"/>
  <c r="BA48" i="26"/>
  <c r="BA62" i="26"/>
  <c r="BA56" i="26"/>
  <c r="BA53" i="26"/>
  <c r="BA50" i="26"/>
  <c r="BA49" i="26"/>
  <c r="BA47" i="26"/>
  <c r="BA45" i="26"/>
  <c r="BA43" i="26"/>
  <c r="BA41" i="26"/>
  <c r="BA14" i="26"/>
  <c r="BA13" i="26"/>
  <c r="BA12" i="26"/>
  <c r="BA11" i="26"/>
  <c r="BA9" i="26"/>
  <c r="BA8" i="26"/>
  <c r="BA7" i="26"/>
  <c r="BA46" i="26"/>
  <c r="BA44" i="26"/>
  <c r="BA42" i="26"/>
  <c r="BA40" i="26"/>
  <c r="BA6" i="26"/>
  <c r="BA17" i="26"/>
  <c r="BA16" i="26"/>
  <c r="BA20" i="26"/>
  <c r="BA19" i="26"/>
  <c r="K109" i="26"/>
  <c r="E112" i="26"/>
  <c r="F109" i="26"/>
  <c r="AC34" i="26"/>
  <c r="AD34" i="26" s="1"/>
  <c r="AD24" i="26"/>
  <c r="AP6" i="26"/>
  <c r="AC5" i="26"/>
  <c r="AD25" i="26"/>
  <c r="AW125" i="26"/>
  <c r="BB125" i="26" s="1"/>
  <c r="BB126" i="26"/>
  <c r="AW105" i="26"/>
  <c r="AV105" i="26"/>
  <c r="Y137" i="26"/>
  <c r="Z112" i="26"/>
  <c r="AP36" i="26"/>
  <c r="AJ36" i="26"/>
  <c r="AQ36" i="26" s="1"/>
  <c r="AV36" i="26" s="1"/>
  <c r="AD36" i="26"/>
  <c r="AW117" i="26"/>
  <c r="AV117" i="26"/>
  <c r="BB111" i="26"/>
  <c r="AK27" i="26"/>
  <c r="AW27" i="26"/>
  <c r="BB28" i="26"/>
  <c r="AB109" i="26"/>
  <c r="O112" i="26"/>
  <c r="R112" i="26" s="1"/>
  <c r="P109" i="26"/>
  <c r="AG141" i="26"/>
  <c r="K114" i="26"/>
  <c r="F114" i="26"/>
  <c r="AV86" i="26"/>
  <c r="AW86" i="26"/>
  <c r="BB86" i="26" s="1"/>
  <c r="M141" i="26"/>
  <c r="C141" i="26"/>
  <c r="F141" i="26"/>
  <c r="AK36" i="26"/>
  <c r="AK31" i="26"/>
  <c r="AK30" i="26"/>
  <c r="AQ16" i="26"/>
  <c r="AJ116" i="26"/>
  <c r="AQ116" i="26" s="1"/>
  <c r="AV116" i="26" s="1"/>
  <c r="AP116" i="26"/>
  <c r="AW95" i="26"/>
  <c r="BB95" i="26" s="1"/>
  <c r="AV95" i="26"/>
  <c r="AZ23" i="26"/>
  <c r="BB24" i="26"/>
  <c r="AR35" i="26"/>
  <c r="AR28" i="26"/>
  <c r="AR27" i="26"/>
  <c r="AV11" i="26"/>
  <c r="AF112" i="26"/>
  <c r="AG109" i="26"/>
  <c r="V114" i="26"/>
  <c r="V109" i="26"/>
  <c r="V113" i="26"/>
  <c r="AI37" i="26"/>
  <c r="W37" i="26"/>
  <c r="AB114" i="26"/>
  <c r="P114" i="26"/>
  <c r="T134" i="26"/>
  <c r="T133" i="26"/>
  <c r="T132" i="26"/>
  <c r="T138" i="26"/>
  <c r="T131" i="26"/>
  <c r="T130" i="26"/>
  <c r="T128" i="26"/>
  <c r="T127" i="26"/>
  <c r="T126" i="26"/>
  <c r="T125" i="26"/>
  <c r="T124" i="26"/>
  <c r="T122" i="26"/>
  <c r="T119" i="26"/>
  <c r="T117" i="26"/>
  <c r="T121" i="26"/>
  <c r="T118" i="26"/>
  <c r="T116" i="26"/>
  <c r="T123" i="26"/>
  <c r="T105" i="26"/>
  <c r="T99" i="26"/>
  <c r="T120" i="26"/>
  <c r="T110" i="26"/>
  <c r="T104" i="26"/>
  <c r="T102" i="26"/>
  <c r="T101" i="26"/>
  <c r="T97" i="26"/>
  <c r="T95" i="26"/>
  <c r="T91" i="26"/>
  <c r="T84" i="26"/>
  <c r="T111" i="26"/>
  <c r="T106" i="26"/>
  <c r="T96" i="26"/>
  <c r="T94" i="26"/>
  <c r="T90" i="26"/>
  <c r="T129" i="26"/>
  <c r="T98" i="26"/>
  <c r="T93" i="26"/>
  <c r="T89" i="26"/>
  <c r="T86" i="26"/>
  <c r="T88" i="26"/>
  <c r="T77" i="26"/>
  <c r="T75" i="26"/>
  <c r="T73" i="26"/>
  <c r="T87" i="26"/>
  <c r="T82" i="26"/>
  <c r="T81" i="26"/>
  <c r="T79" i="26"/>
  <c r="T100" i="26"/>
  <c r="T85" i="26"/>
  <c r="T76" i="26"/>
  <c r="T72" i="26"/>
  <c r="T70" i="26"/>
  <c r="T69" i="26"/>
  <c r="T66" i="26"/>
  <c r="T80" i="26"/>
  <c r="T78" i="26"/>
  <c r="T74" i="26"/>
  <c r="T71" i="26"/>
  <c r="T65" i="26"/>
  <c r="T62" i="26"/>
  <c r="T60" i="26"/>
  <c r="T56" i="26"/>
  <c r="T53" i="26"/>
  <c r="T50" i="26"/>
  <c r="T59" i="26"/>
  <c r="T55" i="26"/>
  <c r="T64" i="26"/>
  <c r="T61" i="26"/>
  <c r="T58" i="26"/>
  <c r="T52" i="26"/>
  <c r="T49" i="26"/>
  <c r="T67" i="26"/>
  <c r="T63" i="26"/>
  <c r="T57" i="26"/>
  <c r="T54" i="26"/>
  <c r="T51" i="26"/>
  <c r="T40" i="26"/>
  <c r="T48" i="26"/>
  <c r="T46" i="26"/>
  <c r="T44" i="26"/>
  <c r="T42" i="26"/>
  <c r="T39" i="26"/>
  <c r="T17" i="26"/>
  <c r="T16" i="26"/>
  <c r="T47" i="26"/>
  <c r="T45" i="26"/>
  <c r="T43" i="26"/>
  <c r="T41" i="26"/>
  <c r="S37" i="26"/>
  <c r="T37" i="26" s="1"/>
  <c r="T23" i="26"/>
  <c r="T14" i="26"/>
  <c r="T13" i="26"/>
  <c r="T12" i="26"/>
  <c r="T11" i="26"/>
  <c r="T9" i="26"/>
  <c r="T8" i="26"/>
  <c r="T19" i="26"/>
  <c r="T6" i="26"/>
  <c r="T7" i="26"/>
  <c r="T20" i="26"/>
  <c r="X5" i="26"/>
  <c r="AQ7" i="26"/>
  <c r="AJ6" i="26"/>
  <c r="AJ104" i="26"/>
  <c r="AQ104" i="26" s="1"/>
  <c r="AV104" i="26" s="1"/>
  <c r="AP104" i="26"/>
  <c r="AW11" i="26"/>
  <c r="BB13" i="26"/>
  <c r="AW30" i="26"/>
  <c r="BB30" i="26" s="1"/>
  <c r="BB31" i="26"/>
  <c r="AU141" i="26"/>
  <c r="B112" i="26"/>
  <c r="C109" i="26"/>
  <c r="AW40" i="26"/>
  <c r="BB41" i="26"/>
  <c r="AU34" i="26"/>
  <c r="AW93" i="26"/>
  <c r="BB93" i="26" s="1"/>
  <c r="BB94" i="26"/>
  <c r="W141" i="26"/>
  <c r="BA24" i="26"/>
  <c r="K113" i="26"/>
  <c r="F113" i="26"/>
  <c r="AW69" i="26"/>
  <c r="BB69" i="26" s="1"/>
  <c r="AM112" i="26"/>
  <c r="AN109" i="26"/>
  <c r="AV23" i="26"/>
  <c r="AT109" i="26" l="1"/>
  <c r="AU109" i="26" s="1"/>
  <c r="AT114" i="26"/>
  <c r="AT113" i="26"/>
  <c r="U141" i="26"/>
  <c r="AI142" i="26"/>
  <c r="W142" i="26"/>
  <c r="X142" i="26"/>
  <c r="B137" i="26"/>
  <c r="C112" i="26"/>
  <c r="AK24" i="26"/>
  <c r="AK25" i="26"/>
  <c r="AJ5" i="26"/>
  <c r="AI113" i="26"/>
  <c r="W113" i="26"/>
  <c r="AF137" i="26"/>
  <c r="AG112" i="26"/>
  <c r="AT112" i="26"/>
  <c r="AW84" i="26"/>
  <c r="BB84" i="26" s="1"/>
  <c r="AP34" i="26"/>
  <c r="AJ34" i="26"/>
  <c r="AQ34" i="26" s="1"/>
  <c r="AV34" i="26" s="1"/>
  <c r="AW36" i="26"/>
  <c r="BB36" i="26" s="1"/>
  <c r="AX31" i="26"/>
  <c r="AX30" i="26"/>
  <c r="BB16" i="26"/>
  <c r="L137" i="26"/>
  <c r="M112" i="26"/>
  <c r="AM137" i="26"/>
  <c r="AN112" i="26"/>
  <c r="AW35" i="26"/>
  <c r="BB35" i="26" s="1"/>
  <c r="AX28" i="26"/>
  <c r="AX27" i="26"/>
  <c r="BB11" i="26"/>
  <c r="AQ6" i="26"/>
  <c r="AV7" i="26"/>
  <c r="T5" i="26"/>
  <c r="V112" i="26"/>
  <c r="AI109" i="26"/>
  <c r="W109" i="26"/>
  <c r="AU114" i="26"/>
  <c r="O137" i="26"/>
  <c r="R137" i="26" s="1"/>
  <c r="AB112" i="26"/>
  <c r="P112" i="26"/>
  <c r="BB27" i="26"/>
  <c r="AW23" i="26"/>
  <c r="BB23" i="26" s="1"/>
  <c r="AW104" i="26"/>
  <c r="BB104" i="26" s="1"/>
  <c r="BB105" i="26"/>
  <c r="AD138" i="26"/>
  <c r="AD134" i="26"/>
  <c r="AD133" i="26"/>
  <c r="AD132" i="26"/>
  <c r="AD131" i="26"/>
  <c r="AD130" i="26"/>
  <c r="AD128" i="26"/>
  <c r="AD125" i="26"/>
  <c r="AD129" i="26"/>
  <c r="AD127" i="26"/>
  <c r="AD126" i="26"/>
  <c r="AD124" i="26"/>
  <c r="AD119" i="26"/>
  <c r="AD122" i="26"/>
  <c r="AD121" i="26"/>
  <c r="AD118" i="26"/>
  <c r="AD123" i="26"/>
  <c r="AD120" i="26"/>
  <c r="AD117" i="26"/>
  <c r="AD110" i="26"/>
  <c r="AD105" i="26"/>
  <c r="AD99" i="26"/>
  <c r="AD116" i="26"/>
  <c r="AD102" i="26"/>
  <c r="AD101" i="26"/>
  <c r="AD97" i="26"/>
  <c r="AD100" i="26"/>
  <c r="AD93" i="26"/>
  <c r="AD91" i="26"/>
  <c r="AD87" i="26"/>
  <c r="AD96" i="26"/>
  <c r="AD94" i="26"/>
  <c r="AD90" i="26"/>
  <c r="AD111" i="26"/>
  <c r="AD106" i="26"/>
  <c r="AD98" i="26"/>
  <c r="AD89" i="26"/>
  <c r="AD86" i="26"/>
  <c r="AD84" i="26"/>
  <c r="AD104" i="26"/>
  <c r="AD88" i="26"/>
  <c r="AD82" i="26"/>
  <c r="AD81" i="26"/>
  <c r="AD79" i="26"/>
  <c r="AD77" i="26"/>
  <c r="AD76" i="26"/>
  <c r="AD74" i="26"/>
  <c r="AD72" i="26"/>
  <c r="AD85" i="26"/>
  <c r="AD80" i="26"/>
  <c r="AD78" i="26"/>
  <c r="AD66" i="26"/>
  <c r="AD75" i="26"/>
  <c r="AD71" i="26"/>
  <c r="AD95" i="26"/>
  <c r="AD73" i="26"/>
  <c r="AD70" i="26"/>
  <c r="AD69" i="26"/>
  <c r="AD67" i="26"/>
  <c r="AD62" i="26"/>
  <c r="AD56" i="26"/>
  <c r="AD53" i="26"/>
  <c r="AD50" i="26"/>
  <c r="AD65" i="26"/>
  <c r="AD64" i="26"/>
  <c r="AD61" i="26"/>
  <c r="AD59" i="26"/>
  <c r="AD55" i="26"/>
  <c r="AD52" i="26"/>
  <c r="AD49" i="26"/>
  <c r="AD58" i="26"/>
  <c r="AD54" i="26"/>
  <c r="AD63" i="26"/>
  <c r="AD60" i="26"/>
  <c r="AD57" i="26"/>
  <c r="AD51" i="26"/>
  <c r="AD48" i="26"/>
  <c r="AD46" i="26"/>
  <c r="AD44" i="26"/>
  <c r="AD42" i="26"/>
  <c r="AD47" i="26"/>
  <c r="AD45" i="26"/>
  <c r="AD43" i="26"/>
  <c r="AD41" i="26"/>
  <c r="AD40" i="26"/>
  <c r="AD16" i="26"/>
  <c r="AD39" i="26"/>
  <c r="AC37" i="26"/>
  <c r="AD37" i="26" s="1"/>
  <c r="AD23" i="26"/>
  <c r="AD20" i="26"/>
  <c r="AD11" i="26"/>
  <c r="AD14" i="26"/>
  <c r="AP5" i="26"/>
  <c r="AD17" i="26"/>
  <c r="AD19" i="26"/>
  <c r="AD13" i="26"/>
  <c r="AD7" i="26"/>
  <c r="AD8" i="26"/>
  <c r="AD6" i="26"/>
  <c r="AD12" i="26"/>
  <c r="AD9" i="26"/>
  <c r="BA5" i="26"/>
  <c r="AE138" i="26"/>
  <c r="AJ124" i="26"/>
  <c r="AE123" i="26"/>
  <c r="AP124" i="26"/>
  <c r="AE122" i="26"/>
  <c r="AE121" i="26"/>
  <c r="AE118" i="26"/>
  <c r="AE120" i="26"/>
  <c r="AE117" i="26"/>
  <c r="AE116" i="26"/>
  <c r="AE102" i="26"/>
  <c r="AE98" i="26"/>
  <c r="AE124" i="26"/>
  <c r="AE101" i="26"/>
  <c r="AE119" i="26"/>
  <c r="AE111" i="26"/>
  <c r="AE106" i="26"/>
  <c r="AE104" i="26"/>
  <c r="AE100" i="26"/>
  <c r="AE110" i="26"/>
  <c r="AE99" i="26"/>
  <c r="AE97" i="26"/>
  <c r="AE96" i="26"/>
  <c r="AE94" i="26"/>
  <c r="AE90" i="26"/>
  <c r="AE89" i="26"/>
  <c r="AE105" i="26"/>
  <c r="AE95" i="26"/>
  <c r="AE88" i="26"/>
  <c r="AE85" i="26"/>
  <c r="AE86" i="26"/>
  <c r="AE76" i="26"/>
  <c r="AE74" i="26"/>
  <c r="AE80" i="26"/>
  <c r="AE78" i="26"/>
  <c r="AE93" i="26"/>
  <c r="AE75" i="26"/>
  <c r="AE91" i="26"/>
  <c r="AE71" i="26"/>
  <c r="AE87" i="26"/>
  <c r="AE81" i="26"/>
  <c r="AE79" i="26"/>
  <c r="AE72" i="26"/>
  <c r="AE65" i="26"/>
  <c r="AE82" i="26"/>
  <c r="AE73" i="26"/>
  <c r="AE70" i="26"/>
  <c r="AE69" i="26"/>
  <c r="AE67" i="26"/>
  <c r="AE84" i="26"/>
  <c r="AE77" i="26"/>
  <c r="AE64" i="26"/>
  <c r="AE61" i="26"/>
  <c r="AE59" i="26"/>
  <c r="AE55" i="26"/>
  <c r="AE52" i="26"/>
  <c r="AE58" i="26"/>
  <c r="AE54" i="26"/>
  <c r="AE63" i="26"/>
  <c r="AE60" i="26"/>
  <c r="AE57" i="26"/>
  <c r="AE51" i="26"/>
  <c r="AE66" i="26"/>
  <c r="AE62" i="26"/>
  <c r="AE56" i="26"/>
  <c r="AE53" i="26"/>
  <c r="AE50" i="26"/>
  <c r="AE47" i="26"/>
  <c r="AE45" i="26"/>
  <c r="AE43" i="26"/>
  <c r="AE41" i="26"/>
  <c r="AE40" i="26"/>
  <c r="AE49" i="26"/>
  <c r="AE39" i="26"/>
  <c r="AE48" i="26"/>
  <c r="AE46" i="26"/>
  <c r="AE44" i="26"/>
  <c r="AE42" i="26"/>
  <c r="BB40" i="26"/>
  <c r="H139" i="26"/>
  <c r="I137" i="26"/>
  <c r="S113" i="26"/>
  <c r="T113" i="26" s="1"/>
  <c r="S114" i="26"/>
  <c r="T114" i="26" s="1"/>
  <c r="S109" i="26"/>
  <c r="X37" i="26"/>
  <c r="AI114" i="26"/>
  <c r="W114" i="26"/>
  <c r="AU113" i="26"/>
  <c r="AW116" i="26"/>
  <c r="BB116" i="26" s="1"/>
  <c r="BB117" i="26"/>
  <c r="BA23" i="26"/>
  <c r="AZ124" i="26"/>
  <c r="AR36" i="26"/>
  <c r="AR31" i="26"/>
  <c r="AR30" i="26"/>
  <c r="AV16" i="26"/>
  <c r="Y139" i="26"/>
  <c r="Z139" i="26" s="1"/>
  <c r="Z137" i="26"/>
  <c r="E137" i="26"/>
  <c r="K112" i="26"/>
  <c r="F112" i="26"/>
  <c r="AZ37" i="26"/>
  <c r="AW39" i="26" l="1"/>
  <c r="BB39" i="26" s="1"/>
  <c r="AD5" i="26"/>
  <c r="X114" i="26"/>
  <c r="AX36" i="26"/>
  <c r="AX35" i="26"/>
  <c r="AZ114" i="26"/>
  <c r="AZ113" i="26"/>
  <c r="AZ109" i="26"/>
  <c r="BA37" i="26"/>
  <c r="AL122" i="26"/>
  <c r="AL138" i="26"/>
  <c r="AQ124" i="26"/>
  <c r="AL124" i="26"/>
  <c r="AL119" i="26"/>
  <c r="AL121" i="26"/>
  <c r="AL118" i="26"/>
  <c r="AL111" i="26"/>
  <c r="AL106" i="26"/>
  <c r="AL100" i="26"/>
  <c r="AL110" i="26"/>
  <c r="AL105" i="26"/>
  <c r="AL120" i="26"/>
  <c r="AL117" i="26"/>
  <c r="AL116" i="26"/>
  <c r="AL102" i="26"/>
  <c r="AL98" i="26"/>
  <c r="AL104" i="26"/>
  <c r="AL99" i="26"/>
  <c r="AL97" i="26"/>
  <c r="AL95" i="26"/>
  <c r="AL93" i="26"/>
  <c r="AL88" i="26"/>
  <c r="AL85" i="26"/>
  <c r="AL101" i="26"/>
  <c r="AL91" i="26"/>
  <c r="AL123" i="26"/>
  <c r="AL96" i="26"/>
  <c r="AL94" i="26"/>
  <c r="AL90" i="26"/>
  <c r="AL84" i="26"/>
  <c r="AL87" i="26"/>
  <c r="AL86" i="26"/>
  <c r="AL75" i="26"/>
  <c r="AL73" i="26"/>
  <c r="AL89" i="26"/>
  <c r="AL82" i="26"/>
  <c r="AL81" i="26"/>
  <c r="AL79" i="26"/>
  <c r="AL77" i="26"/>
  <c r="AL76" i="26"/>
  <c r="AL72" i="26"/>
  <c r="AL70" i="26"/>
  <c r="AL67" i="26"/>
  <c r="AL64" i="26"/>
  <c r="AL74" i="26"/>
  <c r="AL66" i="26"/>
  <c r="AL71" i="26"/>
  <c r="AL80" i="26"/>
  <c r="AL78" i="26"/>
  <c r="AL69" i="26"/>
  <c r="AL63" i="26"/>
  <c r="AL60" i="26"/>
  <c r="AL57" i="26"/>
  <c r="AL51" i="26"/>
  <c r="AL62" i="26"/>
  <c r="AL56" i="26"/>
  <c r="AL53" i="26"/>
  <c r="AL50" i="26"/>
  <c r="AL65" i="26"/>
  <c r="AL61" i="26"/>
  <c r="AL59" i="26"/>
  <c r="AL55" i="26"/>
  <c r="AL52" i="26"/>
  <c r="AL49" i="26"/>
  <c r="AL58" i="26"/>
  <c r="AL54" i="26"/>
  <c r="AL46" i="26"/>
  <c r="AL44" i="26"/>
  <c r="AL42" i="26"/>
  <c r="AL40" i="26"/>
  <c r="AL48" i="26"/>
  <c r="AL47" i="26"/>
  <c r="AL45" i="26"/>
  <c r="AL43" i="26"/>
  <c r="AL41" i="26"/>
  <c r="AL39" i="26"/>
  <c r="AC113" i="26"/>
  <c r="AC114" i="26"/>
  <c r="AC109" i="26"/>
  <c r="AP37" i="26"/>
  <c r="AJ37" i="26"/>
  <c r="AQ37" i="26" s="1"/>
  <c r="AV37" i="26" s="1"/>
  <c r="T141" i="26"/>
  <c r="AT137" i="26"/>
  <c r="AU112" i="26"/>
  <c r="X113" i="26"/>
  <c r="S112" i="26"/>
  <c r="X112" i="26" s="1"/>
  <c r="T109" i="26"/>
  <c r="AD141" i="26"/>
  <c r="AB137" i="26"/>
  <c r="O139" i="26"/>
  <c r="R139" i="26" s="1"/>
  <c r="P137" i="26"/>
  <c r="AW124" i="26"/>
  <c r="BB124" i="26" s="1"/>
  <c r="L139" i="26"/>
  <c r="M139" i="26" s="1"/>
  <c r="M137" i="26"/>
  <c r="AK34" i="26"/>
  <c r="E139" i="26"/>
  <c r="K137" i="26"/>
  <c r="F137" i="26"/>
  <c r="BA124" i="26"/>
  <c r="I139" i="26"/>
  <c r="X109" i="26"/>
  <c r="AW6" i="26"/>
  <c r="BB7" i="26"/>
  <c r="AF139" i="26"/>
  <c r="AG139" i="26" s="1"/>
  <c r="AG137" i="26"/>
  <c r="AK138" i="26"/>
  <c r="AK134" i="26"/>
  <c r="AK133" i="26"/>
  <c r="AK132" i="26"/>
  <c r="AK131" i="26"/>
  <c r="AK130" i="26"/>
  <c r="AK125" i="26"/>
  <c r="AK124" i="26"/>
  <c r="AK123" i="26"/>
  <c r="AK128" i="26"/>
  <c r="AK122" i="26"/>
  <c r="AK120" i="26"/>
  <c r="AK117" i="26"/>
  <c r="AK116" i="26"/>
  <c r="AK127" i="26"/>
  <c r="AK126" i="26"/>
  <c r="AK119" i="26"/>
  <c r="AK129" i="26"/>
  <c r="AK104" i="26"/>
  <c r="AK101" i="26"/>
  <c r="AK97" i="26"/>
  <c r="AK111" i="26"/>
  <c r="AK106" i="26"/>
  <c r="AK100" i="26"/>
  <c r="AK110" i="26"/>
  <c r="AK105" i="26"/>
  <c r="AK99" i="26"/>
  <c r="AK102" i="26"/>
  <c r="AK89" i="26"/>
  <c r="AK86" i="26"/>
  <c r="AK118" i="26"/>
  <c r="AK95" i="26"/>
  <c r="AK93" i="26"/>
  <c r="AK91" i="26"/>
  <c r="AK87" i="26"/>
  <c r="AK121" i="26"/>
  <c r="AK90" i="26"/>
  <c r="AK80" i="26"/>
  <c r="AK78" i="26"/>
  <c r="AK96" i="26"/>
  <c r="AK94" i="26"/>
  <c r="AK88" i="26"/>
  <c r="AK75" i="26"/>
  <c r="AK73" i="26"/>
  <c r="AK82" i="26"/>
  <c r="AK81" i="26"/>
  <c r="AK79" i="26"/>
  <c r="AK77" i="26"/>
  <c r="AK85" i="26"/>
  <c r="AK76" i="26"/>
  <c r="AK69" i="26"/>
  <c r="AK65" i="26"/>
  <c r="AK84" i="26"/>
  <c r="AK72" i="26"/>
  <c r="AK70" i="26"/>
  <c r="AK67" i="26"/>
  <c r="AK74" i="26"/>
  <c r="AK66" i="26"/>
  <c r="AK98" i="26"/>
  <c r="AK71" i="26"/>
  <c r="AK64" i="26"/>
  <c r="AK58" i="26"/>
  <c r="AK54" i="26"/>
  <c r="AK63" i="26"/>
  <c r="AK60" i="26"/>
  <c r="AK57" i="26"/>
  <c r="AK51" i="26"/>
  <c r="AK48" i="26"/>
  <c r="AK62" i="26"/>
  <c r="AK56" i="26"/>
  <c r="AK53" i="26"/>
  <c r="AK50" i="26"/>
  <c r="AK61" i="26"/>
  <c r="AK59" i="26"/>
  <c r="AK55" i="26"/>
  <c r="AK52" i="26"/>
  <c r="AK49" i="26"/>
  <c r="AK47" i="26"/>
  <c r="AK45" i="26"/>
  <c r="AK43" i="26"/>
  <c r="AK41" i="26"/>
  <c r="AK39" i="26"/>
  <c r="AK46" i="26"/>
  <c r="AK44" i="26"/>
  <c r="AK42" i="26"/>
  <c r="AK23" i="26"/>
  <c r="AK11" i="26"/>
  <c r="AK40" i="26"/>
  <c r="AK20" i="26"/>
  <c r="AK6" i="26"/>
  <c r="AK17" i="26"/>
  <c r="AK9" i="26"/>
  <c r="AK7" i="26"/>
  <c r="AK14" i="26"/>
  <c r="AK12" i="26"/>
  <c r="AK19" i="26"/>
  <c r="AK16" i="26"/>
  <c r="AK13" i="26"/>
  <c r="AK8" i="26"/>
  <c r="AE141" i="26"/>
  <c r="V137" i="26"/>
  <c r="AI112" i="26"/>
  <c r="W112" i="26"/>
  <c r="AR34" i="26"/>
  <c r="AR25" i="26"/>
  <c r="AQ5" i="26"/>
  <c r="AR24" i="26"/>
  <c r="AV6" i="26"/>
  <c r="AM139" i="26"/>
  <c r="AN139" i="26" s="1"/>
  <c r="AN137" i="26"/>
  <c r="B139" i="26"/>
  <c r="C139" i="26" s="1"/>
  <c r="C137" i="26"/>
  <c r="AK37" i="26" l="1"/>
  <c r="AL141" i="26"/>
  <c r="AR138" i="26"/>
  <c r="AR134" i="26"/>
  <c r="AR133" i="26"/>
  <c r="AR132" i="26"/>
  <c r="AR131" i="26"/>
  <c r="AR130" i="26"/>
  <c r="AR129" i="26"/>
  <c r="AR127" i="26"/>
  <c r="AR124" i="26"/>
  <c r="AR128" i="26"/>
  <c r="AR123" i="26"/>
  <c r="AR119" i="26"/>
  <c r="AR126" i="26"/>
  <c r="AR125" i="26"/>
  <c r="AR121" i="26"/>
  <c r="AR118" i="26"/>
  <c r="AR116" i="26"/>
  <c r="AR120" i="26"/>
  <c r="AR117" i="26"/>
  <c r="AR110" i="26"/>
  <c r="AR105" i="26"/>
  <c r="AR99" i="26"/>
  <c r="AR104" i="26"/>
  <c r="AR102" i="26"/>
  <c r="AR122" i="26"/>
  <c r="AR101" i="26"/>
  <c r="AR97" i="26"/>
  <c r="AR98" i="26"/>
  <c r="AR91" i="26"/>
  <c r="AR87" i="26"/>
  <c r="AR84" i="26"/>
  <c r="AR100" i="26"/>
  <c r="AR96" i="26"/>
  <c r="AR94" i="26"/>
  <c r="AR90" i="26"/>
  <c r="AR93" i="26"/>
  <c r="AR89" i="26"/>
  <c r="AR86" i="26"/>
  <c r="AR106" i="26"/>
  <c r="AR95" i="26"/>
  <c r="AR85" i="26"/>
  <c r="AR82" i="26"/>
  <c r="AR81" i="26"/>
  <c r="AR79" i="26"/>
  <c r="AR77" i="26"/>
  <c r="AR76" i="26"/>
  <c r="AR74" i="26"/>
  <c r="AR72" i="26"/>
  <c r="AR88" i="26"/>
  <c r="AR80" i="26"/>
  <c r="AR78" i="26"/>
  <c r="AR66" i="26"/>
  <c r="AR73" i="26"/>
  <c r="AR71" i="26"/>
  <c r="AR69" i="26"/>
  <c r="AR111" i="26"/>
  <c r="AR75" i="26"/>
  <c r="AR70" i="26"/>
  <c r="AR64" i="26"/>
  <c r="AR62" i="26"/>
  <c r="AR56" i="26"/>
  <c r="AR53" i="26"/>
  <c r="AR50" i="26"/>
  <c r="AR67" i="26"/>
  <c r="AR61" i="26"/>
  <c r="AR59" i="26"/>
  <c r="AR55" i="26"/>
  <c r="AR52" i="26"/>
  <c r="AR49" i="26"/>
  <c r="AR58" i="26"/>
  <c r="AR54" i="26"/>
  <c r="AR65" i="26"/>
  <c r="AR63" i="26"/>
  <c r="AR60" i="26"/>
  <c r="AR57" i="26"/>
  <c r="AR51" i="26"/>
  <c r="AR48" i="26"/>
  <c r="AR46" i="26"/>
  <c r="AR44" i="26"/>
  <c r="AR42" i="26"/>
  <c r="AR40" i="26"/>
  <c r="AR37" i="26"/>
  <c r="AR39" i="26"/>
  <c r="AR47" i="26"/>
  <c r="AR45" i="26"/>
  <c r="AR43" i="26"/>
  <c r="AR41" i="26"/>
  <c r="AR6" i="26"/>
  <c r="AR20" i="26"/>
  <c r="AR19" i="26"/>
  <c r="AR9" i="26"/>
  <c r="AR7" i="26"/>
  <c r="AR13" i="26"/>
  <c r="AR23" i="26"/>
  <c r="AR8" i="26"/>
  <c r="AR17" i="26"/>
  <c r="AR16" i="26"/>
  <c r="AR14" i="26"/>
  <c r="AR12" i="26"/>
  <c r="AR11" i="26"/>
  <c r="AV5" i="26"/>
  <c r="AP114" i="26"/>
  <c r="AJ114" i="26"/>
  <c r="AD114" i="26"/>
  <c r="AS138" i="26"/>
  <c r="AS124" i="26"/>
  <c r="AS123" i="26"/>
  <c r="AS121" i="26"/>
  <c r="AS118" i="26"/>
  <c r="AS116" i="26"/>
  <c r="AS120" i="26"/>
  <c r="AS117" i="26"/>
  <c r="AS122" i="26"/>
  <c r="AS104" i="26"/>
  <c r="AS102" i="26"/>
  <c r="AS98" i="26"/>
  <c r="AS101" i="26"/>
  <c r="AS119" i="26"/>
  <c r="AS111" i="26"/>
  <c r="AS106" i="26"/>
  <c r="AS100" i="26"/>
  <c r="AS96" i="26"/>
  <c r="AS94" i="26"/>
  <c r="AS90" i="26"/>
  <c r="AS110" i="26"/>
  <c r="AS99" i="26"/>
  <c r="AS97" i="26"/>
  <c r="AS93" i="26"/>
  <c r="AS89" i="26"/>
  <c r="AS105" i="26"/>
  <c r="AS95" i="26"/>
  <c r="AS88" i="26"/>
  <c r="AS85" i="26"/>
  <c r="AS76" i="26"/>
  <c r="AS74" i="26"/>
  <c r="AS72" i="26"/>
  <c r="AS87" i="26"/>
  <c r="AS86" i="26"/>
  <c r="AS80" i="26"/>
  <c r="AS78" i="26"/>
  <c r="AS75" i="26"/>
  <c r="AS73" i="26"/>
  <c r="AS71" i="26"/>
  <c r="AS69" i="26"/>
  <c r="AS65" i="26"/>
  <c r="AS91" i="26"/>
  <c r="AS81" i="26"/>
  <c r="AS79" i="26"/>
  <c r="AS70" i="26"/>
  <c r="AS67" i="26"/>
  <c r="AS84" i="26"/>
  <c r="AS82" i="26"/>
  <c r="AS77" i="26"/>
  <c r="AS61" i="26"/>
  <c r="AS59" i="26"/>
  <c r="AS55" i="26"/>
  <c r="AS52" i="26"/>
  <c r="AS58" i="26"/>
  <c r="AS54" i="26"/>
  <c r="AS63" i="26"/>
  <c r="AS60" i="26"/>
  <c r="AS57" i="26"/>
  <c r="AS51" i="26"/>
  <c r="AS66" i="26"/>
  <c r="AS64" i="26"/>
  <c r="AS62" i="26"/>
  <c r="AS56" i="26"/>
  <c r="AS53" i="26"/>
  <c r="AS50" i="26"/>
  <c r="AS48" i="26"/>
  <c r="AS39" i="26"/>
  <c r="AS47" i="26"/>
  <c r="AS45" i="26"/>
  <c r="AS43" i="26"/>
  <c r="AS41" i="26"/>
  <c r="AS49" i="26"/>
  <c r="AS46" i="26"/>
  <c r="AS44" i="26"/>
  <c r="AS42" i="26"/>
  <c r="AS40" i="26"/>
  <c r="AV124" i="26"/>
  <c r="AK5" i="26"/>
  <c r="AW5" i="26"/>
  <c r="AX141" i="26" s="1"/>
  <c r="AW34" i="26"/>
  <c r="BB34" i="26" s="1"/>
  <c r="AX25" i="26"/>
  <c r="AX24" i="26"/>
  <c r="BB6" i="26"/>
  <c r="AB139" i="26"/>
  <c r="P139" i="26"/>
  <c r="AP113" i="26"/>
  <c r="AJ113" i="26"/>
  <c r="AD113" i="26"/>
  <c r="AZ112" i="26"/>
  <c r="BA109" i="26"/>
  <c r="AI137" i="26"/>
  <c r="V139" i="26"/>
  <c r="W137" i="26"/>
  <c r="S137" i="26"/>
  <c r="X137" i="26" s="1"/>
  <c r="T112" i="26"/>
  <c r="AT139" i="26"/>
  <c r="AU137" i="26"/>
  <c r="BA113" i="26"/>
  <c r="K139" i="26"/>
  <c r="F139" i="26"/>
  <c r="AY138" i="26"/>
  <c r="AY122" i="26"/>
  <c r="AY124" i="26"/>
  <c r="AY123" i="26"/>
  <c r="AY119" i="26"/>
  <c r="AY121" i="26"/>
  <c r="AY118" i="26"/>
  <c r="AY116" i="26"/>
  <c r="AY111" i="26"/>
  <c r="AY106" i="26"/>
  <c r="AY100" i="26"/>
  <c r="AY96" i="26"/>
  <c r="AY110" i="26"/>
  <c r="AY105" i="26"/>
  <c r="AY104" i="26"/>
  <c r="AY102" i="26"/>
  <c r="AY98" i="26"/>
  <c r="AY95" i="26"/>
  <c r="AY88" i="26"/>
  <c r="AY85" i="26"/>
  <c r="AY117" i="26"/>
  <c r="AY101" i="26"/>
  <c r="AY99" i="26"/>
  <c r="AY97" i="26"/>
  <c r="AY91" i="26"/>
  <c r="AY94" i="26"/>
  <c r="AY90" i="26"/>
  <c r="AY93" i="26"/>
  <c r="AY84" i="26"/>
  <c r="AY75" i="26"/>
  <c r="AY73" i="26"/>
  <c r="AY89" i="26"/>
  <c r="AY86" i="26"/>
  <c r="AY82" i="26"/>
  <c r="AY81" i="26"/>
  <c r="AY79" i="26"/>
  <c r="AY77" i="26"/>
  <c r="AY87" i="26"/>
  <c r="AY76" i="26"/>
  <c r="AY80" i="26"/>
  <c r="AY78" i="26"/>
  <c r="AY70" i="26"/>
  <c r="AY67" i="26"/>
  <c r="AY64" i="26"/>
  <c r="AY120" i="26"/>
  <c r="AY66" i="26"/>
  <c r="AY72" i="26"/>
  <c r="AY71" i="26"/>
  <c r="AY69" i="26"/>
  <c r="AY74" i="26"/>
  <c r="AY63" i="26"/>
  <c r="AY60" i="26"/>
  <c r="AY57" i="26"/>
  <c r="AY51" i="26"/>
  <c r="AY62" i="26"/>
  <c r="AY56" i="26"/>
  <c r="AY53" i="26"/>
  <c r="AY50" i="26"/>
  <c r="AY61" i="26"/>
  <c r="AY59" i="26"/>
  <c r="AY55" i="26"/>
  <c r="AY52" i="26"/>
  <c r="AY49" i="26"/>
  <c r="AY65" i="26"/>
  <c r="AY58" i="26"/>
  <c r="AY54" i="26"/>
  <c r="AY48" i="26"/>
  <c r="AY46" i="26"/>
  <c r="AY44" i="26"/>
  <c r="AY42" i="26"/>
  <c r="AY40" i="26"/>
  <c r="AY39" i="26"/>
  <c r="AY47" i="26"/>
  <c r="AY45" i="26"/>
  <c r="AY43" i="26"/>
  <c r="AY41" i="26"/>
  <c r="AC112" i="26"/>
  <c r="AP109" i="26"/>
  <c r="AJ109" i="26"/>
  <c r="AD109" i="26"/>
  <c r="BA114" i="26"/>
  <c r="AC137" i="26" l="1"/>
  <c r="AP112" i="26"/>
  <c r="AJ112" i="26"/>
  <c r="AD112" i="26"/>
  <c r="AK141" i="26"/>
  <c r="S139" i="26"/>
  <c r="T139" i="26" s="1"/>
  <c r="T137" i="26"/>
  <c r="AX34" i="26"/>
  <c r="AQ109" i="26"/>
  <c r="AK109" i="26"/>
  <c r="AQ113" i="26"/>
  <c r="AK113" i="26"/>
  <c r="AR5" i="26"/>
  <c r="AT141" i="26"/>
  <c r="AT142" i="26" s="1"/>
  <c r="AU139" i="26"/>
  <c r="AI139" i="26"/>
  <c r="W139" i="26"/>
  <c r="AZ137" i="26"/>
  <c r="BA112" i="26"/>
  <c r="AX138" i="26"/>
  <c r="AX134" i="26"/>
  <c r="AX133" i="26"/>
  <c r="AX132" i="26"/>
  <c r="AX131" i="26"/>
  <c r="AX130" i="26"/>
  <c r="AX129" i="26"/>
  <c r="AX128" i="26"/>
  <c r="AX127" i="26"/>
  <c r="AX123" i="26"/>
  <c r="AX122" i="26"/>
  <c r="AX126" i="26"/>
  <c r="AX125" i="26"/>
  <c r="AX120" i="26"/>
  <c r="AX117" i="26"/>
  <c r="AX124" i="26"/>
  <c r="AX119" i="26"/>
  <c r="AX121" i="26"/>
  <c r="AX118" i="26"/>
  <c r="AX101" i="26"/>
  <c r="AX97" i="26"/>
  <c r="AX111" i="26"/>
  <c r="AX106" i="26"/>
  <c r="AX100" i="26"/>
  <c r="AX116" i="26"/>
  <c r="AX110" i="26"/>
  <c r="AX105" i="26"/>
  <c r="AX99" i="26"/>
  <c r="AX104" i="26"/>
  <c r="AX93" i="26"/>
  <c r="AX89" i="26"/>
  <c r="AX86" i="26"/>
  <c r="AX102" i="26"/>
  <c r="AX98" i="26"/>
  <c r="AX96" i="26"/>
  <c r="AX95" i="26"/>
  <c r="AX91" i="26"/>
  <c r="AX87" i="26"/>
  <c r="AX84" i="26"/>
  <c r="AX80" i="26"/>
  <c r="AX78" i="26"/>
  <c r="AX90" i="26"/>
  <c r="AX85" i="26"/>
  <c r="AX75" i="26"/>
  <c r="AX73" i="26"/>
  <c r="AX94" i="26"/>
  <c r="AX82" i="26"/>
  <c r="AX81" i="26"/>
  <c r="AX79" i="26"/>
  <c r="AX77" i="26"/>
  <c r="AX74" i="26"/>
  <c r="AX65" i="26"/>
  <c r="AX76" i="26"/>
  <c r="AX70" i="26"/>
  <c r="AX67" i="26"/>
  <c r="AX88" i="26"/>
  <c r="AX66" i="26"/>
  <c r="AX72" i="26"/>
  <c r="AX71" i="26"/>
  <c r="AX69" i="26"/>
  <c r="AX58" i="26"/>
  <c r="AX54" i="26"/>
  <c r="AX63" i="26"/>
  <c r="AX60" i="26"/>
  <c r="AX57" i="26"/>
  <c r="AX51" i="26"/>
  <c r="AX48" i="26"/>
  <c r="AX62" i="26"/>
  <c r="AX56" i="26"/>
  <c r="AX53" i="26"/>
  <c r="AX50" i="26"/>
  <c r="AX64" i="26"/>
  <c r="AX61" i="26"/>
  <c r="AX59" i="26"/>
  <c r="AX55" i="26"/>
  <c r="AX52" i="26"/>
  <c r="AX49" i="26"/>
  <c r="AX47" i="26"/>
  <c r="AX45" i="26"/>
  <c r="AX43" i="26"/>
  <c r="AX41" i="26"/>
  <c r="AW37" i="26"/>
  <c r="AX46" i="26"/>
  <c r="AX44" i="26"/>
  <c r="AX42" i="26"/>
  <c r="AX40" i="26"/>
  <c r="AX20" i="26"/>
  <c r="AX19" i="26"/>
  <c r="AX39" i="26"/>
  <c r="AX37" i="26"/>
  <c r="AX17" i="26"/>
  <c r="AX16" i="26"/>
  <c r="AX13" i="26"/>
  <c r="AX11" i="26"/>
  <c r="AX6" i="26"/>
  <c r="AX8" i="26"/>
  <c r="AX14" i="26"/>
  <c r="AX9" i="26"/>
  <c r="AX23" i="26"/>
  <c r="AX12" i="26"/>
  <c r="AX7" i="26"/>
  <c r="BB5" i="26"/>
  <c r="AS141" i="26"/>
  <c r="AQ114" i="26"/>
  <c r="AK114" i="26"/>
  <c r="AU142" i="26" l="1"/>
  <c r="AV142" i="26"/>
  <c r="AX5" i="26"/>
  <c r="X139" i="26"/>
  <c r="AW114" i="26"/>
  <c r="AW113" i="26"/>
  <c r="AW109" i="26"/>
  <c r="BB37" i="26"/>
  <c r="AR141" i="26"/>
  <c r="AV109" i="26"/>
  <c r="AR109" i="26"/>
  <c r="AQ112" i="26"/>
  <c r="AK112" i="26"/>
  <c r="AV114" i="26"/>
  <c r="AR114" i="26"/>
  <c r="AZ139" i="26"/>
  <c r="BA137" i="26"/>
  <c r="AV113" i="26"/>
  <c r="AR113" i="26"/>
  <c r="AC139" i="26"/>
  <c r="AP137" i="26"/>
  <c r="AJ137" i="26"/>
  <c r="AD137" i="26"/>
  <c r="AJ139" i="26" l="1"/>
  <c r="AP139" i="26"/>
  <c r="AD139" i="26"/>
  <c r="BA139" i="26"/>
  <c r="BB113" i="26"/>
  <c r="AX113" i="26"/>
  <c r="AV112" i="26"/>
  <c r="AR112" i="26"/>
  <c r="BB114" i="26"/>
  <c r="AX114" i="26"/>
  <c r="AQ137" i="26"/>
  <c r="AK137" i="26"/>
  <c r="AW112" i="26"/>
  <c r="BB109" i="26"/>
  <c r="AX109" i="26"/>
  <c r="AV137" i="26" l="1"/>
  <c r="AR137" i="26"/>
  <c r="AW137" i="26"/>
  <c r="AX112" i="26"/>
  <c r="BB112" i="26"/>
  <c r="AQ139" i="26"/>
  <c r="AK139" i="26"/>
  <c r="AW139" i="26" l="1"/>
  <c r="AW142" i="26" s="1"/>
  <c r="AX142" i="26" s="1"/>
  <c r="AX137" i="26"/>
  <c r="BB137" i="26"/>
  <c r="AQ140" i="26"/>
  <c r="AR139" i="26"/>
  <c r="AV139" i="26"/>
  <c r="AX139" i="26" l="1"/>
  <c r="BB13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L9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CAF</t>
        </r>
      </text>
    </comment>
    <comment ref="A1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14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38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Según el total de ventas y las ventas de cada unidad de negocio se sacó el % de contribución de cada una
 Mayor 81,61%
Eventos 3,85%
Terracota 11,99%
Ucafe 2,54%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A20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Según el total de ventas y las ventas de cada unidad de negocio se sacó el % de contribución de cada una
 Mayor 81,61%
Eventos 3,85%
Terracota 11,99%
Ucafe 2,54%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Contabilidad</author>
  </authors>
  <commentList>
    <comment ref="L95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CAF</t>
        </r>
      </text>
    </comment>
    <comment ref="A113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14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Permite comparar empresas de diferentes sectores y estructuras de capital, ya que elimina la influencia de factores financieros y fiscales dispares. 
Aísla el desempeño operativo de la empresa, permitiendo evaluar qué tan bien genera utilidades a partir de sus actividades principales. 
Ofrece una perspectiva sobre la capacidad de la empresa para cumplir con sus obligaciones financieras, como el pago de intereses y la amortización de deuda. 
Analisis sin considerar ciertos gastos especificos de una empresa</t>
        </r>
      </text>
    </comment>
    <comment ref="A138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Según el total de ventas y las ventas de cada unidad de negocio se sacó el % de contribución de cada una
 Mayor 81,61%
Eventos 3,85%
Terracota 11,99%
Ucafe 2,54%</t>
        </r>
      </text>
    </comment>
    <comment ref="BH140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No importa el margen ni la meta si se asegura esta ganancia bruta mínima
</t>
        </r>
      </text>
    </comment>
  </commentList>
</comments>
</file>

<file path=xl/sharedStrings.xml><?xml version="1.0" encoding="utf-8"?>
<sst xmlns="http://schemas.openxmlformats.org/spreadsheetml/2006/main" count="598" uniqueCount="278">
  <si>
    <t>Mantenimiento y reparaciones</t>
  </si>
  <si>
    <t>Otros gastos no asociados al costo</t>
  </si>
  <si>
    <t>Otros gastos de publicidad y promoción</t>
  </si>
  <si>
    <t xml:space="preserve">Gastos de servicios de telefonía e internet </t>
  </si>
  <si>
    <t>Gastos de alquiler del local</t>
  </si>
  <si>
    <t xml:space="preserve">Gastos de Condominio </t>
  </si>
  <si>
    <t>Gastos de asistencia outsorsing</t>
  </si>
  <si>
    <t>Gastos de alquiler de bienes muebles</t>
  </si>
  <si>
    <t>Gastos de artículos de oficina</t>
  </si>
  <si>
    <t xml:space="preserve">Gastos de artículos de limpieza e higiene </t>
  </si>
  <si>
    <t xml:space="preserve">Gastos de alimentos y bebidas </t>
  </si>
  <si>
    <t>Gastos de envíos y encomiendas administrativas</t>
  </si>
  <si>
    <t>Gastos de honorarios profesionales</t>
  </si>
  <si>
    <t xml:space="preserve">Gastos de estacionamiento </t>
  </si>
  <si>
    <t xml:space="preserve">Gastos de gestoría </t>
  </si>
  <si>
    <t xml:space="preserve">Gastos legales </t>
  </si>
  <si>
    <t>Gastos de taxi, transporte y/o delivery</t>
  </si>
  <si>
    <t xml:space="preserve">Gastos de suministros para taller </t>
  </si>
  <si>
    <t xml:space="preserve">Gastos de suministros del café </t>
  </si>
  <si>
    <t xml:space="preserve">Gastos por fiestas, festejos y/o reuniones </t>
  </si>
  <si>
    <t>Gastos de vigilancia</t>
  </si>
  <si>
    <t xml:space="preserve">Gastos de retenciones no descontadas </t>
  </si>
  <si>
    <t>Viáticos administrativos</t>
  </si>
  <si>
    <t>Gastos de seguro</t>
  </si>
  <si>
    <t>Gastos de impuestos, tasas y contribuciones</t>
  </si>
  <si>
    <t>Depreciaciones, deterioro y Amortización</t>
  </si>
  <si>
    <t xml:space="preserve">Gastos Bancarios </t>
  </si>
  <si>
    <t>Otros gastos de personal</t>
  </si>
  <si>
    <t>ISLR</t>
  </si>
  <si>
    <t>% Vtas</t>
  </si>
  <si>
    <t>% Gastos</t>
  </si>
  <si>
    <t>Pérdida en tasa cambiaria</t>
  </si>
  <si>
    <t>Multas</t>
  </si>
  <si>
    <t>PARTIDAS</t>
  </si>
  <si>
    <t>Ingresos por venta de mercancía</t>
  </si>
  <si>
    <t>Gastos de TI+I</t>
  </si>
  <si>
    <t>Devoluciones sobre ventas</t>
  </si>
  <si>
    <t>Total Ingresos</t>
  </si>
  <si>
    <t>ESTADO DE RESULTADOS</t>
  </si>
  <si>
    <t xml:space="preserve">Subtotal Ingresos por Venta de Mercancia </t>
  </si>
  <si>
    <t>Ingresos por servicios del café</t>
  </si>
  <si>
    <t>Ingresos por zona FIT</t>
  </si>
  <si>
    <t>Ingresos por fletes</t>
  </si>
  <si>
    <t xml:space="preserve">Subtotal Ingresos por Servicios </t>
  </si>
  <si>
    <t>Subtotal Ingresos por Eventos</t>
  </si>
  <si>
    <t>Ingresos por eventos</t>
  </si>
  <si>
    <t>Subtotal Ingresos por Taller</t>
  </si>
  <si>
    <t xml:space="preserve">Total Costo de Ventas </t>
  </si>
  <si>
    <t xml:space="preserve">Subtotal Costo de Ventas por Mercancia </t>
  </si>
  <si>
    <t>Costo de venta por mercancía</t>
  </si>
  <si>
    <t>Subtotal Costo de Ventas por Servicios</t>
  </si>
  <si>
    <t>Costo de venta por servicio del café</t>
  </si>
  <si>
    <t>Ingresos por taller</t>
  </si>
  <si>
    <t>Descuentos sobre ventas</t>
  </si>
  <si>
    <t>Subtotal Costo de Ventas por Eventos</t>
  </si>
  <si>
    <t>Costo de ventas por eventos</t>
  </si>
  <si>
    <t>Utilidad Bruta por Servicios</t>
  </si>
  <si>
    <t>Utilidad Bruta por Eventos</t>
  </si>
  <si>
    <t>Utilidad Bruta por Venta de Mercancia y Taller</t>
  </si>
  <si>
    <t>Utilidad Bruta</t>
  </si>
  <si>
    <t>Subtotal Gastos de Administración</t>
  </si>
  <si>
    <t>Gastos de servicios públicos (Agua, luz, Aseo Urbano)</t>
  </si>
  <si>
    <t>Subtotal Gastos de Recursos Humanos</t>
  </si>
  <si>
    <t>Gastos de sueldos y salarios empleados y directivos</t>
  </si>
  <si>
    <t>Gastos de personal externo</t>
  </si>
  <si>
    <t>Gastos de pasivos laborales vacaciones</t>
  </si>
  <si>
    <t>Gastos de pasivos laborales utilidades</t>
  </si>
  <si>
    <t>Gastos de pasivos laborales prestaciones e intereses</t>
  </si>
  <si>
    <t>Gastos de pasivos laborales aportes</t>
  </si>
  <si>
    <t>Gastos de complementos empleados y directivos</t>
  </si>
  <si>
    <t>Gastos de pasivos laborales bono de guardería</t>
  </si>
  <si>
    <t>Gastos de pasivos laborales HCM</t>
  </si>
  <si>
    <t>Gastos de salud y seguridad laboral</t>
  </si>
  <si>
    <t>Gastos de salud y seguridad laboral dotación</t>
  </si>
  <si>
    <t>Gastos de salud y seguridad laboral fiestas y agasajos</t>
  </si>
  <si>
    <t>Subtotal Gastos de Comercialización y Logistica</t>
  </si>
  <si>
    <t xml:space="preserve">Gastos de viáticos comerciales </t>
  </si>
  <si>
    <t>Gastos de fletes y envios no asociados al costo</t>
  </si>
  <si>
    <t>Gastos por combustible</t>
  </si>
  <si>
    <t>Gastos por garantia</t>
  </si>
  <si>
    <t>Gastos de representación</t>
  </si>
  <si>
    <t>Gastos por suscripciones</t>
  </si>
  <si>
    <t>Subtotal Gastos de Mercadeo</t>
  </si>
  <si>
    <t>Gastos de redes sociales</t>
  </si>
  <si>
    <t>Gastos de medios publicitarios</t>
  </si>
  <si>
    <t>Gastos de patrocinio y donación</t>
  </si>
  <si>
    <t>Gastos de viáticos por eventos</t>
  </si>
  <si>
    <t>Gastos de materiales y servicios por eventos</t>
  </si>
  <si>
    <t xml:space="preserve">Gastos de alimentos y bebidas por eventos </t>
  </si>
  <si>
    <t>Gastos de personal por eventos</t>
  </si>
  <si>
    <t>Gastos de patrocinio, donación y/o obseq por eventos</t>
  </si>
  <si>
    <t>Gastos de página web</t>
  </si>
  <si>
    <t>Gastos de desarrollo</t>
  </si>
  <si>
    <t>Utilidad antes de intereses, impuestos, depreciación y amortización (EBITDA)</t>
  </si>
  <si>
    <t>Utilidad antes de Intereses e Impuestos (EBIT)</t>
  </si>
  <si>
    <t>Faltante en Ventas</t>
  </si>
  <si>
    <t>Pérdida en venta de activos</t>
  </si>
  <si>
    <t>Pérdida en siniestro de activos</t>
  </si>
  <si>
    <t>Pérdida por diferencia en pagos</t>
  </si>
  <si>
    <t>Faltante de inventarios</t>
  </si>
  <si>
    <t>Otros Ingresos no Operacionales</t>
  </si>
  <si>
    <t>Total Gastos Operacionales</t>
  </si>
  <si>
    <t>Otros Gastos no Operacionales</t>
  </si>
  <si>
    <t>Total Gastos Operacionales y No Operacionales</t>
  </si>
  <si>
    <t>Ingresos por alquileres</t>
  </si>
  <si>
    <t>Ingresos por intereses</t>
  </si>
  <si>
    <t>Ingresos por comisiones</t>
  </si>
  <si>
    <t>Ingresos por servicios administrativos</t>
  </si>
  <si>
    <t>Sobrante en ventas</t>
  </si>
  <si>
    <t>Sobrante de inventarios</t>
  </si>
  <si>
    <t>Ganancia en venta de activos</t>
  </si>
  <si>
    <t>Ganancia por tasa cambiaria</t>
  </si>
  <si>
    <t>Ganancia por diferencias en pagos</t>
  </si>
  <si>
    <t>Utilidad Neta</t>
  </si>
  <si>
    <t>Utilidad Neta despues de ISLR</t>
  </si>
  <si>
    <t>Gastos de comisiones por ventas</t>
  </si>
  <si>
    <t xml:space="preserve">Gastos de intereses sobre préstamos </t>
  </si>
  <si>
    <t>Utilidad antes de Comisiones por Ventas</t>
  </si>
  <si>
    <t>Utilidad después de Comisiones por Ventas</t>
  </si>
  <si>
    <t>ENE</t>
  </si>
  <si>
    <t>FEB</t>
  </si>
  <si>
    <t>Vari Rel.</t>
  </si>
  <si>
    <t>MAR</t>
  </si>
  <si>
    <t>ACUM PPTO</t>
  </si>
  <si>
    <t>Var PPTO</t>
  </si>
  <si>
    <t>ACUM EJEC</t>
  </si>
  <si>
    <t>Gastos de comisiones por ventas taller</t>
  </si>
  <si>
    <t>ABR</t>
  </si>
  <si>
    <t>MAY</t>
  </si>
  <si>
    <t>JUN</t>
  </si>
  <si>
    <t>PROM 6 EJEC</t>
  </si>
  <si>
    <t>PROM 6 PPTO</t>
  </si>
  <si>
    <t>COMISION ADICIONAL RAMÓN</t>
  </si>
  <si>
    <t xml:space="preserve">Propuesta </t>
  </si>
  <si>
    <t>1ra Meta</t>
  </si>
  <si>
    <t>% propuesta</t>
  </si>
  <si>
    <t>Comisión min</t>
  </si>
  <si>
    <t>Margen Bruto</t>
  </si>
  <si>
    <t>Ganancia Bruta min</t>
  </si>
  <si>
    <t>JUL</t>
  </si>
  <si>
    <t>AGO</t>
  </si>
  <si>
    <t>SEPT</t>
  </si>
  <si>
    <t>OCT</t>
  </si>
  <si>
    <t>NOV</t>
  </si>
  <si>
    <t>DIC</t>
  </si>
  <si>
    <t>ANUAL</t>
  </si>
  <si>
    <t>Total Ingresos Operativos</t>
  </si>
  <si>
    <t>Ingresos por venta de mercancias</t>
  </si>
  <si>
    <t xml:space="preserve">Devoluciones sobre ventas </t>
  </si>
  <si>
    <t>Descuentos sobre ventas plan de fidelización</t>
  </si>
  <si>
    <t>Ingresos por servicios zona FIT</t>
  </si>
  <si>
    <t>Ingresos por servicios de fletes</t>
  </si>
  <si>
    <t>Ingresos por otros servicios</t>
  </si>
  <si>
    <t>Ingresos por Taller</t>
  </si>
  <si>
    <t>Total Ingresos No Operativos</t>
  </si>
  <si>
    <t xml:space="preserve">Costos de venta por mercancia </t>
  </si>
  <si>
    <t>Costos de venta por servicios del café</t>
  </si>
  <si>
    <t>Costos de venta por eventos</t>
  </si>
  <si>
    <t xml:space="preserve">Total Gastos </t>
  </si>
  <si>
    <t>Gastos de asistencia outsorcing</t>
  </si>
  <si>
    <t>Gastos de mantenimiento y reparación de mobiliario y equipo</t>
  </si>
  <si>
    <t>Gastos de mantenimiento y reparación de vehiculo</t>
  </si>
  <si>
    <t>Gastos de mantenimiento y reparación de edificaciones</t>
  </si>
  <si>
    <t>Gastos de mantenimiento y reparación a la propiedad alq.</t>
  </si>
  <si>
    <t>Gastos de mantenimiento y reparación de maquinaria y equipos</t>
  </si>
  <si>
    <t>Gastos de pasajes por viáticos administrativos</t>
  </si>
  <si>
    <t>Gastos de comida por viáticos administrativos</t>
  </si>
  <si>
    <t>Gastos de hospedaje por viáticos administrativos</t>
  </si>
  <si>
    <t>Gastos de transporte por viáticos administrativos</t>
  </si>
  <si>
    <t>Otros gastos de viáticos administrativos</t>
  </si>
  <si>
    <t>Gastos de seguro de edificaciones</t>
  </si>
  <si>
    <t>Gastos de seguro de vehiculos</t>
  </si>
  <si>
    <t>Gastos de patente vehicular</t>
  </si>
  <si>
    <t>Gastos de tasas de notaria y registro</t>
  </si>
  <si>
    <t>Gastos de impuesto por licencia de actividades economicas</t>
  </si>
  <si>
    <t>Gastos de impuesto por publicidad</t>
  </si>
  <si>
    <t>Gastos de tasa sencamer</t>
  </si>
  <si>
    <t>Gasto por impuesto a las pensiones</t>
  </si>
  <si>
    <t>Gasto por otras tasas</t>
  </si>
  <si>
    <t>Gastos de depreciación de mobiliario y equipo</t>
  </si>
  <si>
    <t xml:space="preserve">Gastos de depreciación de vehículos </t>
  </si>
  <si>
    <t>Gastos de depreciación de edificaciones</t>
  </si>
  <si>
    <t>Gastos de depreciación de maquinarias y equipos</t>
  </si>
  <si>
    <t>Gastos de deterioro de mobiliario y equipo</t>
  </si>
  <si>
    <t xml:space="preserve">Gastos de deterioro de vehículos </t>
  </si>
  <si>
    <t>Gastos de deterioro de edificaciones</t>
  </si>
  <si>
    <t>Gastos de deterioro de maquinarias y equipos</t>
  </si>
  <si>
    <t>Gastos de deterioro por cuentas incobrables</t>
  </si>
  <si>
    <t>Gastos de amortización de software</t>
  </si>
  <si>
    <t xml:space="preserve">Gastos de comisiones bancarias </t>
  </si>
  <si>
    <t xml:space="preserve">Gastos de IGTF </t>
  </si>
  <si>
    <t>Gastos de intereses de mora</t>
  </si>
  <si>
    <t>Gastos de intereses sobre préstamos de terceros</t>
  </si>
  <si>
    <t xml:space="preserve">Gastos de intereses sobre préstamos bancarios </t>
  </si>
  <si>
    <t xml:space="preserve">Gastos de sueldos y salarios empleados </t>
  </si>
  <si>
    <t>Gastos de sueldos y salarios directivos</t>
  </si>
  <si>
    <t xml:space="preserve">Gastos de horas extras, feriados y bono nocturno </t>
  </si>
  <si>
    <t>Gastos de complemento de sueldos y salarios empleados</t>
  </si>
  <si>
    <t>Gastos de complemento de sueldos y salarios directivos</t>
  </si>
  <si>
    <t>Gastos de Bono de alimentación empleados</t>
  </si>
  <si>
    <t>Gastos de Bono de alimentación directivos</t>
  </si>
  <si>
    <t xml:space="preserve">Gastos de vacaciones empleados </t>
  </si>
  <si>
    <t>Gastos de vacaciones directivos</t>
  </si>
  <si>
    <t>Gastos de complemento de vacaciones empleados</t>
  </si>
  <si>
    <t xml:space="preserve">Gastos de complemento de vacaciones directivos </t>
  </si>
  <si>
    <t xml:space="preserve">Gastos de otros bonos empleados </t>
  </si>
  <si>
    <t xml:space="preserve">Gastos de servicios de personal externo </t>
  </si>
  <si>
    <t xml:space="preserve">Gastos de bono vacacional empleados </t>
  </si>
  <si>
    <t>Gastos de bono vacacional directivos</t>
  </si>
  <si>
    <t>Gastos de complemento bono vacacional empleados</t>
  </si>
  <si>
    <t>Gastos de complemento bono vacacional directivos</t>
  </si>
  <si>
    <t xml:space="preserve">Gastos de utilidades empleados </t>
  </si>
  <si>
    <t>Gastos de utilidades directivos</t>
  </si>
  <si>
    <t>Gastos de complemento de utilidades empleados</t>
  </si>
  <si>
    <t>Gastos de complemento de utilidades directivos</t>
  </si>
  <si>
    <t xml:space="preserve">Gastos de prestaciones sociales empleados </t>
  </si>
  <si>
    <t>Gastos de prestaciones sociales directivos</t>
  </si>
  <si>
    <t xml:space="preserve">Gastos de complemento de prestaciones sociales empleados </t>
  </si>
  <si>
    <t>Gastos de complemento de prestaciones sociales directivos</t>
  </si>
  <si>
    <t>Gastos de intereses sobres prestaciones sociales empleados</t>
  </si>
  <si>
    <t>Gastos de intereses sobres prestaciones sociales directivos</t>
  </si>
  <si>
    <t xml:space="preserve">Gastos de complemento de intereses sobre prestaciones sociales empleados </t>
  </si>
  <si>
    <t>Gastos de complemento de intereses sobre prestaciones sociales directivos</t>
  </si>
  <si>
    <t xml:space="preserve">Gastos de aporte patronal IVSS </t>
  </si>
  <si>
    <t xml:space="preserve">Gastos de aporte patronal SPF </t>
  </si>
  <si>
    <t>Gastos de aporte patronal FAOV</t>
  </si>
  <si>
    <t>Gastos de aporte patronal INCES</t>
  </si>
  <si>
    <t>Gastos de bono de guardería</t>
  </si>
  <si>
    <t>Gastos de póliza HCM</t>
  </si>
  <si>
    <t xml:space="preserve">Gastos de salud y seguridad laboral </t>
  </si>
  <si>
    <t xml:space="preserve">Gastos de uniformes y dotación al personal </t>
  </si>
  <si>
    <t>Gastos de fiestas y agasajos al personal</t>
  </si>
  <si>
    <t>Gastos de donaciones y obsequios al personal</t>
  </si>
  <si>
    <t>Gastos de capacitación al personal</t>
  </si>
  <si>
    <t xml:space="preserve">Gastos de transporte del personal </t>
  </si>
  <si>
    <t>Gastos de pasajes por viáticos comerciales</t>
  </si>
  <si>
    <t>Gastos de comida por viáticos comerciales</t>
  </si>
  <si>
    <t>Gastos de hospedaje por viáticos comerciales</t>
  </si>
  <si>
    <t>Gastos de transporte por viáticos comerciales</t>
  </si>
  <si>
    <t>Otros gastos de viáticos comerciales</t>
  </si>
  <si>
    <t>Gastos de envíos/fletes en ventas y compras no incluidas en el costo</t>
  </si>
  <si>
    <t>Gastos de almacenaje sobre compras no incluídos en el costo</t>
  </si>
  <si>
    <t>Gastos de importación no incluídos en el costo</t>
  </si>
  <si>
    <t>Gastos de seguro de mercancía no incluídos en el costo</t>
  </si>
  <si>
    <t>Gastos de bolsas no incluídos en el costo</t>
  </si>
  <si>
    <t>Gastos de embalaje no incluídos en el costo</t>
  </si>
  <si>
    <t>Gastos de etiquetas no incluídos en el costo</t>
  </si>
  <si>
    <t>Gastos de armado de bicicletas no incluídos en el costo</t>
  </si>
  <si>
    <t>Gastos de títulos de propiedad no incluídos en el costo</t>
  </si>
  <si>
    <t xml:space="preserve">Gastos de comisiones empleados </t>
  </si>
  <si>
    <t>Gastos de comisiones empleados del taller</t>
  </si>
  <si>
    <t>Gastos de comisiones por venta de personal externo</t>
  </si>
  <si>
    <t>Gastos por gasolina</t>
  </si>
  <si>
    <t>Gastos por gasoil</t>
  </si>
  <si>
    <t>Gastos de garantías</t>
  </si>
  <si>
    <t>Gastos de suscripciones</t>
  </si>
  <si>
    <t>Gastos de alquiler Stand y/o ferias comerciales</t>
  </si>
  <si>
    <t>Gastos de pasajes Stand y/o ferias comerciales</t>
  </si>
  <si>
    <t>Gastos de viáticos comida Stand y/o ferias comerciales</t>
  </si>
  <si>
    <t>Gastos de viáticos hospedaje Stand y/o ferias comerciales</t>
  </si>
  <si>
    <t>Gastos de viáticos transporte Stand y/o ferias comerciales</t>
  </si>
  <si>
    <t>Gastos de otros viáticos Stand y/o ferias comerciales</t>
  </si>
  <si>
    <t>Gastos de publicidad Stand y/o ferias comerciales</t>
  </si>
  <si>
    <t>Gastos de premiaciones, donaciones Stand y/o ferias comerciales</t>
  </si>
  <si>
    <t>Gastos de Stand y/o ferias comerciales</t>
  </si>
  <si>
    <t>Gastos de impresiones de material gráfico</t>
  </si>
  <si>
    <t>Gastos de decoración</t>
  </si>
  <si>
    <t>Gastos de muestras y material POP</t>
  </si>
  <si>
    <t>Gastos de campañas y lanzamientos</t>
  </si>
  <si>
    <t>Gastos de patrocinio, donación y/o obsequios en efectivo</t>
  </si>
  <si>
    <t>Gastos de patrocinio, donación y/o obsequios en productos</t>
  </si>
  <si>
    <t>Gastos de viáticos por eventos organizados por la empresa</t>
  </si>
  <si>
    <t>Gastos de patrocinio, donación y/o obsequios por eventos</t>
  </si>
  <si>
    <t>Gastos de dominio de página web</t>
  </si>
  <si>
    <t>Gastos de servidores</t>
  </si>
  <si>
    <t>Gastos de software tecnológico</t>
  </si>
  <si>
    <t>Faltante y deterioro de inventarios</t>
  </si>
  <si>
    <t>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</si>
</sst>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AD9E8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01">
    <xf numFmtId="0" fontId="0" fillId="0" borderId="0" xfId="0"/>
    <xf numFmtId="4" fontId="5" fillId="2" borderId="0" xfId="0" applyNumberFormat="1" applyFont="1" applyFill="1" applyAlignment="1">
      <alignment horizontal="left" vertical="center" wrapText="1"/>
    </xf>
    <xf numFmtId="0" fontId="10" fillId="2" borderId="0" xfId="0" applyFont="1" applyFill="1"/>
    <xf numFmtId="0" fontId="10" fillId="0" borderId="0" xfId="0" applyFont="1"/>
    <xf numFmtId="10" fontId="5" fillId="2" borderId="0" xfId="1" applyNumberFormat="1" applyFont="1" applyFill="1" applyBorder="1" applyAlignment="1">
      <alignment horizontal="center" vertical="center" wrapText="1"/>
    </xf>
    <xf numFmtId="4" fontId="8" fillId="2" borderId="0" xfId="0" applyNumberFormat="1" applyFont="1" applyFill="1"/>
    <xf numFmtId="10" fontId="8" fillId="2" borderId="0" xfId="1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3" fontId="10" fillId="0" borderId="0" xfId="0" applyNumberFormat="1" applyFont="1" applyAlignment="1">
      <alignment horizontal="left" indent="3"/>
    </xf>
    <xf numFmtId="4" fontId="3" fillId="2" borderId="0" xfId="0" applyNumberFormat="1" applyFont="1" applyFill="1" applyAlignment="1">
      <alignment horizontal="left" vertical="center" wrapText="1"/>
    </xf>
    <xf numFmtId="10" fontId="3" fillId="2" borderId="0" xfId="1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/>
    </xf>
    <xf numFmtId="10" fontId="10" fillId="0" borderId="0" xfId="1" applyNumberFormat="1" applyFont="1" applyFill="1" applyBorder="1" applyAlignment="1">
      <alignment horizontal="center" vertical="center"/>
    </xf>
    <xf numFmtId="10" fontId="10" fillId="2" borderId="0" xfId="1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3" fillId="5" borderId="4" xfId="0" applyNumberFormat="1" applyFont="1" applyFill="1" applyBorder="1" applyAlignment="1">
      <alignment horizontal="left" vertical="center" wrapText="1"/>
    </xf>
    <xf numFmtId="3" fontId="3" fillId="5" borderId="0" xfId="0" applyNumberFormat="1" applyFont="1" applyFill="1" applyAlignment="1">
      <alignment horizontal="left" vertical="center" wrapText="1"/>
    </xf>
    <xf numFmtId="10" fontId="3" fillId="5" borderId="0" xfId="1" applyNumberFormat="1" applyFont="1" applyFill="1" applyBorder="1" applyAlignment="1">
      <alignment horizontal="center" vertical="center" wrapText="1"/>
    </xf>
    <xf numFmtId="0" fontId="8" fillId="0" borderId="0" xfId="0" applyFont="1"/>
    <xf numFmtId="3" fontId="10" fillId="0" borderId="0" xfId="0" applyNumberFormat="1" applyFont="1" applyAlignment="1">
      <alignment horizontal="left" indent="2"/>
    </xf>
    <xf numFmtId="10" fontId="2" fillId="2" borderId="0" xfId="1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left" indent="1"/>
    </xf>
    <xf numFmtId="10" fontId="10" fillId="0" borderId="0" xfId="1" applyNumberFormat="1" applyFont="1" applyBorder="1" applyAlignment="1">
      <alignment horizontal="center" vertical="center"/>
    </xf>
    <xf numFmtId="10" fontId="5" fillId="2" borderId="0" xfId="1" applyNumberFormat="1" applyFont="1" applyFill="1" applyBorder="1" applyAlignment="1">
      <alignment horizontal="center" vertical="center"/>
    </xf>
    <xf numFmtId="4" fontId="8" fillId="0" borderId="0" xfId="0" applyNumberFormat="1" applyFont="1"/>
    <xf numFmtId="10" fontId="3" fillId="2" borderId="0" xfId="1" applyNumberFormat="1" applyFont="1" applyFill="1" applyBorder="1" applyAlignment="1">
      <alignment horizontal="center" vertical="center"/>
    </xf>
    <xf numFmtId="10" fontId="3" fillId="5" borderId="4" xfId="1" applyNumberFormat="1" applyFont="1" applyFill="1" applyBorder="1" applyAlignment="1">
      <alignment horizontal="center" vertical="center" wrapText="1"/>
    </xf>
    <xf numFmtId="4" fontId="8" fillId="2" borderId="4" xfId="0" applyNumberFormat="1" applyFont="1" applyFill="1" applyBorder="1" applyAlignment="1">
      <alignment horizontal="left" vertical="center" wrapText="1" indent="1"/>
    </xf>
    <xf numFmtId="10" fontId="8" fillId="2" borderId="4" xfId="1" applyNumberFormat="1" applyFont="1" applyFill="1" applyBorder="1" applyAlignment="1">
      <alignment horizontal="center" vertical="center"/>
    </xf>
    <xf numFmtId="10" fontId="8" fillId="0" borderId="4" xfId="1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4" fontId="8" fillId="0" borderId="7" xfId="0" applyNumberFormat="1" applyFont="1" applyBorder="1"/>
    <xf numFmtId="10" fontId="3" fillId="5" borderId="5" xfId="1" applyNumberFormat="1" applyFont="1" applyFill="1" applyBorder="1" applyAlignment="1">
      <alignment horizontal="center" vertical="center" wrapText="1"/>
    </xf>
    <xf numFmtId="10" fontId="8" fillId="0" borderId="5" xfId="1" applyNumberFormat="1" applyFont="1" applyFill="1" applyBorder="1" applyAlignment="1">
      <alignment horizontal="center" vertical="center" wrapText="1"/>
    </xf>
    <xf numFmtId="10" fontId="10" fillId="0" borderId="6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 wrapText="1"/>
    </xf>
    <xf numFmtId="10" fontId="10" fillId="2" borderId="6" xfId="1" applyNumberFormat="1" applyFont="1" applyFill="1" applyBorder="1" applyAlignment="1">
      <alignment horizontal="center" vertical="center"/>
    </xf>
    <xf numFmtId="10" fontId="2" fillId="2" borderId="6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 wrapText="1"/>
    </xf>
    <xf numFmtId="10" fontId="3" fillId="5" borderId="6" xfId="1" applyNumberFormat="1" applyFont="1" applyFill="1" applyBorder="1" applyAlignment="1">
      <alignment horizontal="center" vertical="center" wrapText="1"/>
    </xf>
    <xf numFmtId="4" fontId="3" fillId="8" borderId="4" xfId="0" applyNumberFormat="1" applyFont="1" applyFill="1" applyBorder="1" applyAlignment="1">
      <alignment horizontal="left" vertical="center" wrapText="1"/>
    </xf>
    <xf numFmtId="10" fontId="3" fillId="8" borderId="4" xfId="1" applyNumberFormat="1" applyFont="1" applyFill="1" applyBorder="1" applyAlignment="1">
      <alignment horizontal="center" vertical="center" wrapText="1"/>
    </xf>
    <xf numFmtId="10" fontId="3" fillId="8" borderId="5" xfId="1" applyNumberFormat="1" applyFont="1" applyFill="1" applyBorder="1" applyAlignment="1">
      <alignment horizontal="center" vertical="center" wrapText="1"/>
    </xf>
    <xf numFmtId="4" fontId="3" fillId="8" borderId="7" xfId="0" applyNumberFormat="1" applyFont="1" applyFill="1" applyBorder="1" applyAlignment="1">
      <alignment horizontal="left" vertical="center" wrapText="1"/>
    </xf>
    <xf numFmtId="10" fontId="3" fillId="8" borderId="7" xfId="1" applyNumberFormat="1" applyFont="1" applyFill="1" applyBorder="1" applyAlignment="1">
      <alignment horizontal="center" vertical="center" wrapText="1"/>
    </xf>
    <xf numFmtId="10" fontId="3" fillId="8" borderId="11" xfId="1" applyNumberFormat="1" applyFont="1" applyFill="1" applyBorder="1" applyAlignment="1">
      <alignment horizontal="center" vertical="center" wrapText="1"/>
    </xf>
    <xf numFmtId="4" fontId="3" fillId="8" borderId="8" xfId="0" applyNumberFormat="1" applyFont="1" applyFill="1" applyBorder="1" applyAlignment="1">
      <alignment horizontal="left" vertical="center" wrapText="1"/>
    </xf>
    <xf numFmtId="10" fontId="3" fillId="8" borderId="8" xfId="1" applyNumberFormat="1" applyFont="1" applyFill="1" applyBorder="1" applyAlignment="1">
      <alignment horizontal="center" vertical="center" wrapText="1"/>
    </xf>
    <xf numFmtId="10" fontId="3" fillId="8" borderId="12" xfId="1" applyNumberFormat="1" applyFont="1" applyFill="1" applyBorder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/>
    </xf>
    <xf numFmtId="4" fontId="11" fillId="3" borderId="0" xfId="0" applyNumberFormat="1" applyFont="1" applyFill="1" applyAlignment="1">
      <alignment horizontal="center" vertical="center"/>
    </xf>
    <xf numFmtId="4" fontId="3" fillId="5" borderId="4" xfId="0" applyNumberFormat="1" applyFont="1" applyFill="1" applyBorder="1" applyAlignment="1">
      <alignment horizontal="center" vertical="center" wrapText="1"/>
    </xf>
    <xf numFmtId="4" fontId="8" fillId="2" borderId="4" xfId="0" applyNumberFormat="1" applyFont="1" applyFill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4" fontId="5" fillId="2" borderId="0" xfId="0" applyNumberFormat="1" applyFont="1" applyFill="1" applyAlignment="1">
      <alignment horizontal="center" vertical="center"/>
    </xf>
    <xf numFmtId="4" fontId="3" fillId="8" borderId="4" xfId="0" applyNumberFormat="1" applyFont="1" applyFill="1" applyBorder="1" applyAlignment="1">
      <alignment horizontal="center" vertical="center"/>
    </xf>
    <xf numFmtId="4" fontId="3" fillId="8" borderId="7" xfId="0" applyNumberFormat="1" applyFont="1" applyFill="1" applyBorder="1" applyAlignment="1">
      <alignment horizontal="center" vertical="center"/>
    </xf>
    <xf numFmtId="4" fontId="3" fillId="8" borderId="8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4" fontId="8" fillId="2" borderId="2" xfId="0" applyNumberFormat="1" applyFont="1" applyFill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/>
    </xf>
    <xf numFmtId="4" fontId="10" fillId="2" borderId="3" xfId="0" applyNumberFormat="1" applyFont="1" applyFill="1" applyBorder="1" applyAlignment="1">
      <alignment horizontal="center" vertical="center"/>
    </xf>
    <xf numFmtId="4" fontId="5" fillId="2" borderId="3" xfId="0" applyNumberFormat="1" applyFont="1" applyFill="1" applyBorder="1" applyAlignment="1">
      <alignment horizontal="center" vertical="center"/>
    </xf>
    <xf numFmtId="4" fontId="3" fillId="8" borderId="2" xfId="0" applyNumberFormat="1" applyFont="1" applyFill="1" applyBorder="1" applyAlignment="1">
      <alignment horizontal="center" vertical="center"/>
    </xf>
    <xf numFmtId="4" fontId="3" fillId="8" borderId="9" xfId="0" applyNumberFormat="1" applyFont="1" applyFill="1" applyBorder="1" applyAlignment="1">
      <alignment horizontal="center" vertical="center"/>
    </xf>
    <xf numFmtId="4" fontId="3" fillId="8" borderId="10" xfId="0" applyNumberFormat="1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4" fontId="3" fillId="5" borderId="3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1" applyNumberFormat="1" applyFont="1" applyFill="1" applyBorder="1" applyAlignment="1">
      <alignment horizontal="center" vertical="center"/>
    </xf>
    <xf numFmtId="10" fontId="8" fillId="2" borderId="5" xfId="1" applyNumberFormat="1" applyFont="1" applyFill="1" applyBorder="1" applyAlignment="1">
      <alignment horizontal="center" vertical="center"/>
    </xf>
    <xf numFmtId="10" fontId="10" fillId="0" borderId="6" xfId="1" applyNumberFormat="1" applyFont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  <xf numFmtId="10" fontId="8" fillId="2" borderId="0" xfId="1" applyNumberFormat="1" applyFont="1" applyFill="1" applyBorder="1" applyAlignment="1">
      <alignment horizontal="center" vertical="center"/>
    </xf>
    <xf numFmtId="0" fontId="4" fillId="4" borderId="0" xfId="0" applyFont="1" applyFill="1"/>
    <xf numFmtId="4" fontId="4" fillId="4" borderId="0" xfId="0" applyNumberFormat="1" applyFont="1" applyFill="1" applyAlignment="1">
      <alignment horizontal="center" vertical="center"/>
    </xf>
    <xf numFmtId="10" fontId="4" fillId="4" borderId="0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0" fontId="10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164" fontId="10" fillId="2" borderId="0" xfId="2" applyFont="1" applyFill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 wrapText="1"/>
    </xf>
    <xf numFmtId="164" fontId="8" fillId="6" borderId="0" xfId="2" applyFont="1" applyFill="1" applyAlignment="1">
      <alignment horizontal="center" vertical="center" wrapText="1"/>
    </xf>
    <xf numFmtId="164" fontId="8" fillId="4" borderId="3" xfId="2" applyFont="1" applyFill="1" applyBorder="1" applyAlignment="1">
      <alignment horizontal="center" vertical="center" wrapText="1"/>
    </xf>
    <xf numFmtId="164" fontId="8" fillId="7" borderId="0" xfId="2" applyFont="1" applyFill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4" fontId="3" fillId="5" borderId="4" xfId="2" applyFont="1" applyFill="1" applyBorder="1" applyAlignment="1">
      <alignment horizontal="center" vertical="center" wrapText="1"/>
    </xf>
    <xf numFmtId="164" fontId="3" fillId="5" borderId="2" xfId="2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 wrapText="1"/>
    </xf>
    <xf numFmtId="164" fontId="8" fillId="2" borderId="4" xfId="2" applyFont="1" applyFill="1" applyBorder="1" applyAlignment="1">
      <alignment horizontal="center" vertical="center" wrapText="1"/>
    </xf>
    <xf numFmtId="164" fontId="8" fillId="2" borderId="2" xfId="2" applyFont="1" applyFill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/>
    </xf>
    <xf numFmtId="164" fontId="10" fillId="0" borderId="0" xfId="2" applyFont="1" applyAlignment="1">
      <alignment horizontal="center" vertical="center"/>
    </xf>
    <xf numFmtId="164" fontId="10" fillId="0" borderId="3" xfId="2" applyFont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0" fillId="2" borderId="3" xfId="2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center" vertical="center"/>
    </xf>
    <xf numFmtId="164" fontId="5" fillId="2" borderId="3" xfId="2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3" fillId="2" borderId="3" xfId="2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8" fillId="2" borderId="15" xfId="1" applyNumberFormat="1" applyFont="1" applyFill="1" applyBorder="1" applyAlignment="1">
      <alignment horizontal="center" vertical="center" wrapText="1"/>
    </xf>
    <xf numFmtId="3" fontId="3" fillId="9" borderId="4" xfId="0" applyNumberFormat="1" applyFont="1" applyFill="1" applyBorder="1" applyAlignment="1">
      <alignment horizontal="left" vertical="center" wrapText="1"/>
    </xf>
    <xf numFmtId="164" fontId="3" fillId="9" borderId="2" xfId="0" applyNumberFormat="1" applyFont="1" applyFill="1" applyBorder="1" applyAlignment="1">
      <alignment horizontal="center" vertical="center" wrapText="1"/>
    </xf>
    <xf numFmtId="10" fontId="3" fillId="9" borderId="4" xfId="1" applyNumberFormat="1" applyFont="1" applyFill="1" applyBorder="1" applyAlignment="1">
      <alignment horizontal="center" vertical="center" wrapText="1"/>
    </xf>
    <xf numFmtId="10" fontId="3" fillId="9" borderId="5" xfId="1" applyNumberFormat="1" applyFont="1" applyFill="1" applyBorder="1" applyAlignment="1">
      <alignment horizontal="center" vertical="center" wrapText="1"/>
    </xf>
    <xf numFmtId="164" fontId="3" fillId="9" borderId="4" xfId="2" applyFont="1" applyFill="1" applyBorder="1" applyAlignment="1">
      <alignment horizontal="center" vertical="center" wrapText="1"/>
    </xf>
    <xf numFmtId="164" fontId="3" fillId="9" borderId="2" xfId="2" applyFont="1" applyFill="1" applyBorder="1" applyAlignment="1">
      <alignment horizontal="center" vertical="center" wrapText="1"/>
    </xf>
    <xf numFmtId="4" fontId="3" fillId="6" borderId="4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center" vertical="center"/>
    </xf>
    <xf numFmtId="10" fontId="3" fillId="6" borderId="4" xfId="1" applyNumberFormat="1" applyFont="1" applyFill="1" applyBorder="1" applyAlignment="1">
      <alignment horizontal="center" vertical="center" wrapText="1"/>
    </xf>
    <xf numFmtId="10" fontId="3" fillId="6" borderId="5" xfId="1" applyNumberFormat="1" applyFont="1" applyFill="1" applyBorder="1" applyAlignment="1">
      <alignment horizontal="center" vertical="center" wrapText="1"/>
    </xf>
    <xf numFmtId="164" fontId="3" fillId="6" borderId="4" xfId="2" applyFont="1" applyFill="1" applyBorder="1" applyAlignment="1">
      <alignment horizontal="center" vertical="center"/>
    </xf>
    <xf numFmtId="164" fontId="3" fillId="6" borderId="2" xfId="2" applyFont="1" applyFill="1" applyBorder="1" applyAlignment="1">
      <alignment horizontal="center" vertical="center"/>
    </xf>
    <xf numFmtId="4" fontId="3" fillId="6" borderId="7" xfId="0" applyNumberFormat="1" applyFont="1" applyFill="1" applyBorder="1" applyAlignment="1">
      <alignment horizontal="left" vertical="center" wrapText="1"/>
    </xf>
    <xf numFmtId="164" fontId="3" fillId="6" borderId="9" xfId="0" applyNumberFormat="1" applyFont="1" applyFill="1" applyBorder="1" applyAlignment="1">
      <alignment horizontal="center" vertical="center"/>
    </xf>
    <xf numFmtId="10" fontId="3" fillId="6" borderId="7" xfId="1" applyNumberFormat="1" applyFont="1" applyFill="1" applyBorder="1" applyAlignment="1">
      <alignment horizontal="center" vertical="center" wrapText="1"/>
    </xf>
    <xf numFmtId="10" fontId="3" fillId="6" borderId="11" xfId="1" applyNumberFormat="1" applyFont="1" applyFill="1" applyBorder="1" applyAlignment="1">
      <alignment horizontal="center" vertical="center" wrapText="1"/>
    </xf>
    <xf numFmtId="164" fontId="3" fillId="6" borderId="7" xfId="2" applyFont="1" applyFill="1" applyBorder="1" applyAlignment="1">
      <alignment horizontal="center" vertical="center"/>
    </xf>
    <xf numFmtId="164" fontId="3" fillId="6" borderId="9" xfId="2" applyFont="1" applyFill="1" applyBorder="1" applyAlignment="1">
      <alignment horizontal="center" vertical="center"/>
    </xf>
    <xf numFmtId="4" fontId="3" fillId="6" borderId="8" xfId="0" applyNumberFormat="1" applyFont="1" applyFill="1" applyBorder="1" applyAlignment="1">
      <alignment horizontal="left" vertical="center" wrapText="1"/>
    </xf>
    <xf numFmtId="164" fontId="3" fillId="6" borderId="10" xfId="0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 wrapText="1"/>
    </xf>
    <xf numFmtId="10" fontId="3" fillId="6" borderId="12" xfId="1" applyNumberFormat="1" applyFont="1" applyFill="1" applyBorder="1" applyAlignment="1">
      <alignment horizontal="center" vertical="center" wrapText="1"/>
    </xf>
    <xf numFmtId="164" fontId="3" fillId="6" borderId="8" xfId="2" applyFont="1" applyFill="1" applyBorder="1" applyAlignment="1">
      <alignment horizontal="center" vertical="center"/>
    </xf>
    <xf numFmtId="164" fontId="3" fillId="6" borderId="10" xfId="2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0" fontId="3" fillId="4" borderId="4" xfId="1" applyNumberFormat="1" applyFont="1" applyFill="1" applyBorder="1" applyAlignment="1">
      <alignment horizontal="center" vertical="center" wrapText="1"/>
    </xf>
    <xf numFmtId="10" fontId="3" fillId="4" borderId="5" xfId="1" applyNumberFormat="1" applyFont="1" applyFill="1" applyBorder="1" applyAlignment="1">
      <alignment horizontal="center" vertical="center" wrapText="1"/>
    </xf>
    <xf numFmtId="164" fontId="3" fillId="4" borderId="4" xfId="2" applyFont="1" applyFill="1" applyBorder="1" applyAlignment="1">
      <alignment horizontal="center" vertical="center" wrapText="1"/>
    </xf>
    <xf numFmtId="164" fontId="3" fillId="4" borderId="2" xfId="2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0" xfId="2" applyFont="1" applyFill="1" applyAlignment="1">
      <alignment horizontal="center" vertical="center" wrapText="1"/>
    </xf>
    <xf numFmtId="164" fontId="3" fillId="2" borderId="3" xfId="2" applyFont="1" applyFill="1" applyBorder="1" applyAlignment="1">
      <alignment horizontal="center" vertical="center" wrapText="1"/>
    </xf>
    <xf numFmtId="4" fontId="12" fillId="6" borderId="8" xfId="0" applyNumberFormat="1" applyFont="1" applyFill="1" applyBorder="1" applyAlignment="1">
      <alignment horizontal="left" vertical="center" wrapText="1"/>
    </xf>
    <xf numFmtId="164" fontId="12" fillId="6" borderId="10" xfId="0" applyNumberFormat="1" applyFont="1" applyFill="1" applyBorder="1" applyAlignment="1">
      <alignment horizontal="center" vertical="center"/>
    </xf>
    <xf numFmtId="10" fontId="12" fillId="6" borderId="8" xfId="1" applyNumberFormat="1" applyFont="1" applyFill="1" applyBorder="1" applyAlignment="1">
      <alignment horizontal="center" vertical="center" wrapText="1"/>
    </xf>
    <xf numFmtId="10" fontId="12" fillId="6" borderId="12" xfId="1" applyNumberFormat="1" applyFont="1" applyFill="1" applyBorder="1" applyAlignment="1">
      <alignment horizontal="center" vertical="center" wrapText="1"/>
    </xf>
    <xf numFmtId="164" fontId="12" fillId="6" borderId="8" xfId="2" applyFont="1" applyFill="1" applyBorder="1" applyAlignment="1">
      <alignment horizontal="center" vertical="center"/>
    </xf>
    <xf numFmtId="164" fontId="12" fillId="6" borderId="10" xfId="2" applyFont="1" applyFill="1" applyBorder="1" applyAlignment="1">
      <alignment horizontal="center" vertical="center"/>
    </xf>
    <xf numFmtId="4" fontId="12" fillId="0" borderId="0" xfId="0" applyNumberFormat="1" applyFont="1"/>
    <xf numFmtId="4" fontId="12" fillId="0" borderId="7" xfId="0" applyNumberFormat="1" applyFont="1" applyBorder="1"/>
    <xf numFmtId="164" fontId="12" fillId="10" borderId="2" xfId="2" applyFont="1" applyFill="1" applyBorder="1" applyAlignment="1">
      <alignment horizontal="center" vertical="center" wrapText="1"/>
    </xf>
    <xf numFmtId="0" fontId="12" fillId="0" borderId="0" xfId="0" applyFont="1"/>
    <xf numFmtId="164" fontId="3" fillId="2" borderId="2" xfId="2" applyFont="1" applyFill="1" applyBorder="1" applyAlignment="1">
      <alignment horizontal="center" vertical="center" wrapText="1"/>
    </xf>
    <xf numFmtId="4" fontId="3" fillId="2" borderId="0" xfId="0" applyNumberFormat="1" applyFont="1" applyFill="1"/>
    <xf numFmtId="4" fontId="13" fillId="2" borderId="0" xfId="0" applyNumberFormat="1" applyFont="1" applyFill="1"/>
    <xf numFmtId="164" fontId="13" fillId="5" borderId="2" xfId="2" applyFont="1" applyFill="1" applyBorder="1" applyAlignment="1">
      <alignment horizontal="center" vertical="center" wrapText="1"/>
    </xf>
    <xf numFmtId="164" fontId="10" fillId="0" borderId="17" xfId="2" applyFont="1" applyBorder="1" applyAlignment="1">
      <alignment horizontal="center" vertical="center"/>
    </xf>
    <xf numFmtId="164" fontId="10" fillId="0" borderId="18" xfId="2" applyFont="1" applyBorder="1" applyAlignment="1">
      <alignment horizontal="center" vertical="center"/>
    </xf>
    <xf numFmtId="164" fontId="3" fillId="2" borderId="15" xfId="2" applyFont="1" applyFill="1" applyBorder="1" applyAlignment="1">
      <alignment horizontal="center" vertical="center" wrapText="1"/>
    </xf>
    <xf numFmtId="164" fontId="3" fillId="2" borderId="14" xfId="2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left" vertical="center" wrapText="1"/>
    </xf>
    <xf numFmtId="3" fontId="12" fillId="10" borderId="2" xfId="0" applyNumberFormat="1" applyFont="1" applyFill="1" applyBorder="1" applyAlignment="1">
      <alignment horizontal="left" vertical="center" wrapText="1"/>
    </xf>
    <xf numFmtId="164" fontId="12" fillId="10" borderId="1" xfId="2" applyFont="1" applyFill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left" indent="2"/>
    </xf>
    <xf numFmtId="3" fontId="10" fillId="0" borderId="3" xfId="0" applyNumberFormat="1" applyFont="1" applyBorder="1" applyAlignment="1">
      <alignment horizontal="left" indent="3"/>
    </xf>
    <xf numFmtId="4" fontId="5" fillId="2" borderId="3" xfId="0" applyNumberFormat="1" applyFont="1" applyFill="1" applyBorder="1" applyAlignment="1">
      <alignment horizontal="left" vertical="center" wrapText="1"/>
    </xf>
    <xf numFmtId="0" fontId="10" fillId="2" borderId="3" xfId="0" applyFont="1" applyFill="1" applyBorder="1"/>
    <xf numFmtId="164" fontId="10" fillId="2" borderId="18" xfId="2" applyFont="1" applyFill="1" applyBorder="1" applyAlignment="1">
      <alignment horizontal="center" vertical="center"/>
    </xf>
    <xf numFmtId="4" fontId="13" fillId="5" borderId="2" xfId="0" applyNumberFormat="1" applyFont="1" applyFill="1" applyBorder="1" applyAlignment="1">
      <alignment horizontal="left" vertical="center" wrapText="1" indent="1"/>
    </xf>
    <xf numFmtId="164" fontId="13" fillId="5" borderId="1" xfId="2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left" vertical="center" wrapText="1" indent="2"/>
    </xf>
    <xf numFmtId="164" fontId="3" fillId="2" borderId="1" xfId="2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left" indent="1"/>
    </xf>
    <xf numFmtId="3" fontId="3" fillId="2" borderId="3" xfId="0" applyNumberFormat="1" applyFont="1" applyFill="1" applyBorder="1" applyAlignment="1">
      <alignment horizontal="left" vertical="center" wrapText="1"/>
    </xf>
    <xf numFmtId="4" fontId="12" fillId="6" borderId="2" xfId="0" applyNumberFormat="1" applyFont="1" applyFill="1" applyBorder="1" applyAlignment="1">
      <alignment horizontal="left" vertical="center" wrapText="1"/>
    </xf>
    <xf numFmtId="164" fontId="12" fillId="6" borderId="2" xfId="2" applyFont="1" applyFill="1" applyBorder="1" applyAlignment="1">
      <alignment horizontal="center" vertical="center"/>
    </xf>
    <xf numFmtId="164" fontId="12" fillId="6" borderId="1" xfId="2" applyFont="1" applyFill="1" applyBorder="1" applyAlignment="1">
      <alignment horizontal="center" vertical="center"/>
    </xf>
    <xf numFmtId="4" fontId="12" fillId="6" borderId="10" xfId="0" applyNumberFormat="1" applyFont="1" applyFill="1" applyBorder="1" applyAlignment="1">
      <alignment horizontal="left" vertical="center" wrapText="1"/>
    </xf>
    <xf numFmtId="164" fontId="12" fillId="6" borderId="20" xfId="2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8" fillId="4" borderId="3" xfId="2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left" vertical="center" wrapText="1" indent="1"/>
    </xf>
    <xf numFmtId="0" fontId="8" fillId="6" borderId="0" xfId="2" applyNumberFormat="1" applyFont="1" applyFill="1" applyAlignment="1">
      <alignment horizontal="center" vertical="center" wrapText="1"/>
    </xf>
    <xf numFmtId="164" fontId="8" fillId="0" borderId="0" xfId="2" applyFont="1" applyAlignment="1">
      <alignment horizontal="center" vertical="center"/>
    </xf>
    <xf numFmtId="10" fontId="8" fillId="0" borderId="0" xfId="1" applyNumberFormat="1" applyFont="1" applyBorder="1" applyAlignment="1">
      <alignment horizontal="center" vertical="center"/>
    </xf>
    <xf numFmtId="164" fontId="3" fillId="2" borderId="21" xfId="2" applyFont="1" applyFill="1" applyBorder="1" applyAlignment="1">
      <alignment horizontal="center" vertical="center" wrapText="1"/>
    </xf>
    <xf numFmtId="164" fontId="8" fillId="6" borderId="13" xfId="2" applyFont="1" applyFill="1" applyBorder="1" applyAlignment="1">
      <alignment horizontal="center" vertical="center" wrapText="1"/>
    </xf>
    <xf numFmtId="164" fontId="11" fillId="3" borderId="16" xfId="2" applyFont="1" applyFill="1" applyBorder="1" applyAlignment="1">
      <alignment horizontal="center" vertical="center"/>
    </xf>
    <xf numFmtId="164" fontId="11" fillId="3" borderId="19" xfId="2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4" fontId="11" fillId="3" borderId="0" xfId="0" applyNumberFormat="1" applyFont="1" applyFill="1" applyAlignment="1">
      <alignment horizontal="center" vertical="center"/>
    </xf>
    <xf numFmtId="10" fontId="11" fillId="3" borderId="0" xfId="1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</cellXfs>
  <cellStyles count="6">
    <cellStyle name="Millares" xfId="2" builtinId="3"/>
    <cellStyle name="Millares 3" xfId="4" xr:uid="{00000000-0005-0000-0000-000001000000}"/>
    <cellStyle name="Normal" xfId="0" builtinId="0"/>
    <cellStyle name="Normal 4" xfId="3" xr:uid="{00000000-0005-0000-0000-000003000000}"/>
    <cellStyle name="Porcentaje" xfId="1" builtinId="5"/>
    <cellStyle name="Porcentaje 4" xfId="5" xr:uid="{00000000-0005-0000-0000-000005000000}"/>
  </cellStyles>
  <dxfs count="3711"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numFmt numFmtId="0" formatCode="General"/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fill>
        <patternFill>
          <bgColor rgb="FFFC2222"/>
        </patternFill>
      </fill>
    </dxf>
    <dxf>
      <numFmt numFmtId="0" formatCode="General"/>
    </dxf>
    <dxf>
      <fill>
        <patternFill>
          <bgColor rgb="FFFC2222"/>
        </patternFill>
      </fill>
    </dxf>
  </dxfs>
  <tableStyles count="0" defaultTableStyle="TableStyleMedium2" defaultPivotStyle="PivotStyleLight16"/>
  <colors>
    <mruColors>
      <color rgb="FF66FF66"/>
      <color rgb="FF6AD9E8"/>
      <color rgb="FFFFFF99"/>
      <color rgb="FFFC2222"/>
      <color rgb="FF31A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K223"/>
  <sheetViews>
    <sheetView showGridLines="0" tabSelected="1" zoomScale="70" zoomScaleNormal="70" workbookViewId="0">
      <pane xSplit="1" ySplit="3" topLeftCell="B4" activePane="bottomRight" state="frozen"/>
      <selection activeCell="E221" sqref="E221"/>
      <selection pane="topRight" activeCell="E221" sqref="E221"/>
      <selection pane="bottomLeft" activeCell="E221" sqref="E221"/>
      <selection pane="bottomRight" activeCell="B3" sqref="B3"/>
    </sheetView>
  </sheetViews>
  <sheetFormatPr baseColWidth="10" defaultRowHeight="15" outlineLevelRow="2" x14ac:dyDescent="0.25"/>
  <cols>
    <col min="1" max="1" width="50.42578125" style="3" customWidth="1"/>
    <col min="2" max="2" width="13.7109375" style="14" customWidth="1"/>
    <col min="3" max="3" width="10.28515625" style="22" bestFit="1" customWidth="1"/>
    <col min="4" max="4" width="9.140625" style="22" bestFit="1" customWidth="1"/>
    <col min="5" max="5" width="12.42578125" style="14" bestFit="1" customWidth="1"/>
    <col min="6" max="6" width="10.28515625" style="22" bestFit="1" customWidth="1"/>
    <col min="7" max="7" width="9.140625" style="22" bestFit="1" customWidth="1"/>
    <col min="8" max="8" width="12.85546875" style="102" customWidth="1"/>
    <col min="9" max="9" width="10.140625" style="22" bestFit="1" customWidth="1"/>
    <col min="10" max="10" width="9.28515625" style="22" customWidth="1"/>
    <col min="11" max="11" width="13.7109375" style="22" customWidth="1"/>
    <col min="12" max="12" width="13.140625" style="102" customWidth="1"/>
    <col min="13" max="13" width="10.28515625" style="22" bestFit="1" customWidth="1"/>
    <col min="14" max="14" width="9.28515625" style="22" customWidth="1"/>
    <col min="15" max="15" width="12.42578125" style="102" customWidth="1"/>
    <col min="16" max="16" width="10.140625" style="22" bestFit="1" customWidth="1"/>
    <col min="17" max="17" width="9.28515625" style="22" customWidth="1"/>
    <col min="18" max="18" width="12" style="22" bestFit="1" customWidth="1"/>
    <col min="19" max="19" width="13.42578125" style="102" customWidth="1"/>
    <col min="20" max="20" width="11.28515625" style="22" customWidth="1"/>
    <col min="21" max="21" width="9.28515625" style="22" customWidth="1"/>
    <col min="22" max="22" width="13.28515625" style="102" customWidth="1"/>
    <col min="23" max="23" width="11.28515625" style="22" customWidth="1"/>
    <col min="24" max="24" width="12.85546875" style="22" customWidth="1"/>
    <col min="25" max="25" width="12.28515625" style="102" customWidth="1"/>
    <col min="26" max="26" width="10.140625" style="22" bestFit="1" customWidth="1"/>
    <col min="27" max="27" width="9.28515625" style="22" customWidth="1"/>
    <col min="28" max="28" width="13.7109375" style="22" customWidth="1"/>
    <col min="29" max="29" width="13.42578125" style="102" customWidth="1"/>
    <col min="30" max="30" width="11.28515625" style="22" customWidth="1"/>
    <col min="31" max="31" width="9.28515625" style="22" customWidth="1"/>
    <col min="32" max="32" width="13.42578125" style="102" customWidth="1"/>
    <col min="33" max="33" width="10.140625" style="22" bestFit="1" customWidth="1"/>
    <col min="34" max="34" width="9.28515625" style="22" customWidth="1"/>
    <col min="35" max="35" width="13.7109375" style="22" customWidth="1"/>
    <col min="36" max="36" width="13.42578125" style="102" customWidth="1"/>
    <col min="37" max="37" width="11.28515625" style="22" customWidth="1"/>
    <col min="38" max="38" width="9.28515625" style="22" customWidth="1"/>
    <col min="39" max="39" width="11.42578125" style="102" bestFit="1" customWidth="1"/>
    <col min="40" max="40" width="10.140625" style="22" bestFit="1" customWidth="1"/>
    <col min="41" max="41" width="9.28515625" style="22" customWidth="1"/>
    <col min="42" max="42" width="13.7109375" style="22" customWidth="1"/>
    <col min="43" max="43" width="12.28515625" style="102" bestFit="1" customWidth="1"/>
    <col min="44" max="44" width="11.28515625" style="22" customWidth="1"/>
    <col min="45" max="45" width="9.28515625" style="22" customWidth="1"/>
    <col min="46" max="46" width="11.85546875" style="102" customWidth="1"/>
    <col min="47" max="47" width="11.28515625" style="22" customWidth="1"/>
    <col min="48" max="48" width="13.7109375" style="22" customWidth="1"/>
    <col min="49" max="49" width="11.28515625" style="102" bestFit="1" customWidth="1"/>
    <col min="50" max="50" width="11.28515625" style="22" customWidth="1"/>
    <col min="51" max="51" width="9.28515625" style="22" customWidth="1"/>
    <col min="52" max="52" width="11.85546875" style="102" customWidth="1"/>
    <col min="53" max="53" width="11.28515625" style="22" customWidth="1"/>
    <col min="54" max="54" width="13" style="22" customWidth="1"/>
    <col min="55" max="55" width="11.28515625" style="102" bestFit="1" customWidth="1"/>
    <col min="56" max="56" width="10.140625" style="22" bestFit="1" customWidth="1"/>
    <col min="57" max="57" width="9.28515625" style="22" customWidth="1"/>
    <col min="58" max="58" width="13.7109375" style="22" customWidth="1"/>
    <col min="59" max="59" width="12.28515625" style="102" bestFit="1" customWidth="1"/>
    <col min="60" max="60" width="11.28515625" style="22" customWidth="1"/>
    <col min="61" max="61" width="9.28515625" style="22" customWidth="1"/>
    <col min="62" max="62" width="11.42578125" style="102" bestFit="1" customWidth="1"/>
    <col min="63" max="63" width="10.140625" style="22" bestFit="1" customWidth="1"/>
    <col min="64" max="64" width="9.28515625" style="22" customWidth="1"/>
    <col min="65" max="65" width="13.7109375" style="22" customWidth="1"/>
    <col min="66" max="66" width="12.28515625" style="102" bestFit="1" customWidth="1"/>
    <col min="67" max="67" width="11.28515625" style="22" customWidth="1"/>
    <col min="68" max="68" width="9.28515625" style="22" customWidth="1"/>
    <col min="69" max="69" width="12.85546875" style="102" customWidth="1"/>
    <col min="70" max="70" width="10.140625" style="22" bestFit="1" customWidth="1"/>
    <col min="71" max="71" width="9.28515625" style="22" customWidth="1"/>
    <col min="72" max="72" width="13.7109375" style="22" customWidth="1"/>
    <col min="73" max="73" width="12.28515625" style="102" bestFit="1" customWidth="1"/>
    <col min="74" max="74" width="11.28515625" style="22" customWidth="1"/>
    <col min="75" max="75" width="9.28515625" style="22" customWidth="1"/>
    <col min="76" max="76" width="11.85546875" style="102" customWidth="1"/>
    <col min="77" max="77" width="11.28515625" style="22" customWidth="1"/>
    <col min="78" max="78" width="13.7109375" style="22" customWidth="1"/>
    <col min="79" max="79" width="11.28515625" style="102" bestFit="1" customWidth="1"/>
    <col min="80" max="80" width="10.140625" style="22" bestFit="1" customWidth="1"/>
    <col min="81" max="81" width="9.28515625" style="22" customWidth="1"/>
    <col min="82" max="82" width="13.7109375" style="22" customWidth="1"/>
    <col min="83" max="83" width="12.28515625" style="102" bestFit="1" customWidth="1"/>
    <col min="84" max="84" width="11.28515625" style="22" customWidth="1"/>
    <col min="85" max="85" width="9.28515625" style="22" customWidth="1"/>
    <col min="86" max="86" width="11.42578125" style="102" bestFit="1" customWidth="1"/>
    <col min="87" max="87" width="10.140625" style="22" bestFit="1" customWidth="1"/>
    <col min="88" max="88" width="9.28515625" style="22" customWidth="1"/>
    <col min="89" max="89" width="13.7109375" style="22" customWidth="1"/>
    <col min="90" max="90" width="12.28515625" style="102" bestFit="1" customWidth="1"/>
    <col min="91" max="91" width="11.28515625" style="22" customWidth="1"/>
    <col min="92" max="92" width="9.28515625" style="22" customWidth="1"/>
    <col min="93" max="93" width="12.28515625" style="102" bestFit="1" customWidth="1"/>
    <col min="94" max="94" width="10.140625" style="22" bestFit="1" customWidth="1"/>
    <col min="95" max="95" width="9.28515625" style="22" customWidth="1"/>
    <col min="96" max="96" width="13.7109375" style="22" customWidth="1"/>
    <col min="97" max="97" width="14.140625" style="102" bestFit="1" customWidth="1"/>
    <col min="98" max="98" width="11.28515625" style="22" customWidth="1"/>
    <col min="99" max="99" width="9.28515625" style="22" customWidth="1"/>
    <col min="100" max="100" width="16.28515625" style="102" bestFit="1" customWidth="1"/>
    <col min="101" max="101" width="11.28515625" style="22" customWidth="1"/>
    <col min="102" max="102" width="13.7109375" style="22" customWidth="1"/>
    <col min="103" max="228" width="11.5703125" style="3"/>
    <col min="229" max="229" width="39.28515625" style="3" customWidth="1"/>
    <col min="230" max="484" width="11.5703125" style="3"/>
    <col min="485" max="485" width="39.28515625" style="3" customWidth="1"/>
    <col min="486" max="740" width="11.5703125" style="3"/>
    <col min="741" max="741" width="39.28515625" style="3" customWidth="1"/>
    <col min="742" max="996" width="11.5703125" style="3"/>
    <col min="997" max="997" width="39.28515625" style="3" customWidth="1"/>
    <col min="998" max="1252" width="11.5703125" style="3"/>
    <col min="1253" max="1253" width="39.28515625" style="3" customWidth="1"/>
    <col min="1254" max="1508" width="11.5703125" style="3"/>
    <col min="1509" max="1509" width="39.28515625" style="3" customWidth="1"/>
    <col min="1510" max="1764" width="11.5703125" style="3"/>
    <col min="1765" max="1765" width="39.28515625" style="3" customWidth="1"/>
    <col min="1766" max="2020" width="11.5703125" style="3"/>
    <col min="2021" max="2021" width="39.28515625" style="3" customWidth="1"/>
    <col min="2022" max="2276" width="11.5703125" style="3"/>
    <col min="2277" max="2277" width="39.28515625" style="3" customWidth="1"/>
    <col min="2278" max="2532" width="11.5703125" style="3"/>
    <col min="2533" max="2533" width="39.28515625" style="3" customWidth="1"/>
    <col min="2534" max="2788" width="11.5703125" style="3"/>
    <col min="2789" max="2789" width="39.28515625" style="3" customWidth="1"/>
    <col min="2790" max="3044" width="11.5703125" style="3"/>
    <col min="3045" max="3045" width="39.28515625" style="3" customWidth="1"/>
    <col min="3046" max="3300" width="11.5703125" style="3"/>
    <col min="3301" max="3301" width="39.28515625" style="3" customWidth="1"/>
    <col min="3302" max="3556" width="11.5703125" style="3"/>
    <col min="3557" max="3557" width="39.28515625" style="3" customWidth="1"/>
    <col min="3558" max="3812" width="11.5703125" style="3"/>
    <col min="3813" max="3813" width="39.28515625" style="3" customWidth="1"/>
    <col min="3814" max="4068" width="11.5703125" style="3"/>
    <col min="4069" max="4069" width="39.28515625" style="3" customWidth="1"/>
    <col min="4070" max="4324" width="11.5703125" style="3"/>
    <col min="4325" max="4325" width="39.28515625" style="3" customWidth="1"/>
    <col min="4326" max="4580" width="11.5703125" style="3"/>
    <col min="4581" max="4581" width="39.28515625" style="3" customWidth="1"/>
    <col min="4582" max="4836" width="11.5703125" style="3"/>
    <col min="4837" max="4837" width="39.28515625" style="3" customWidth="1"/>
    <col min="4838" max="5092" width="11.5703125" style="3"/>
    <col min="5093" max="5093" width="39.28515625" style="3" customWidth="1"/>
    <col min="5094" max="5348" width="11.5703125" style="3"/>
    <col min="5349" max="5349" width="39.28515625" style="3" customWidth="1"/>
    <col min="5350" max="5604" width="11.5703125" style="3"/>
    <col min="5605" max="5605" width="39.28515625" style="3" customWidth="1"/>
    <col min="5606" max="5860" width="11.5703125" style="3"/>
    <col min="5861" max="5861" width="39.28515625" style="3" customWidth="1"/>
    <col min="5862" max="6116" width="11.5703125" style="3"/>
    <col min="6117" max="6117" width="39.28515625" style="3" customWidth="1"/>
    <col min="6118" max="6372" width="11.5703125" style="3"/>
    <col min="6373" max="6373" width="39.28515625" style="3" customWidth="1"/>
    <col min="6374" max="6628" width="11.5703125" style="3"/>
    <col min="6629" max="6629" width="39.28515625" style="3" customWidth="1"/>
    <col min="6630" max="6884" width="11.5703125" style="3"/>
    <col min="6885" max="6885" width="39.28515625" style="3" customWidth="1"/>
    <col min="6886" max="7140" width="11.5703125" style="3"/>
    <col min="7141" max="7141" width="39.28515625" style="3" customWidth="1"/>
    <col min="7142" max="7396" width="11.5703125" style="3"/>
    <col min="7397" max="7397" width="39.28515625" style="3" customWidth="1"/>
    <col min="7398" max="7652" width="11.5703125" style="3"/>
    <col min="7653" max="7653" width="39.28515625" style="3" customWidth="1"/>
    <col min="7654" max="7908" width="11.5703125" style="3"/>
    <col min="7909" max="7909" width="39.28515625" style="3" customWidth="1"/>
    <col min="7910" max="8164" width="11.5703125" style="3"/>
    <col min="8165" max="8165" width="39.28515625" style="3" customWidth="1"/>
    <col min="8166" max="8420" width="11.5703125" style="3"/>
    <col min="8421" max="8421" width="39.28515625" style="3" customWidth="1"/>
    <col min="8422" max="8676" width="11.5703125" style="3"/>
    <col min="8677" max="8677" width="39.28515625" style="3" customWidth="1"/>
    <col min="8678" max="8932" width="11.5703125" style="3"/>
    <col min="8933" max="8933" width="39.28515625" style="3" customWidth="1"/>
    <col min="8934" max="9188" width="11.5703125" style="3"/>
    <col min="9189" max="9189" width="39.28515625" style="3" customWidth="1"/>
    <col min="9190" max="9444" width="11.5703125" style="3"/>
    <col min="9445" max="9445" width="39.28515625" style="3" customWidth="1"/>
    <col min="9446" max="9700" width="11.5703125" style="3"/>
    <col min="9701" max="9701" width="39.28515625" style="3" customWidth="1"/>
    <col min="9702" max="9956" width="11.5703125" style="3"/>
    <col min="9957" max="9957" width="39.28515625" style="3" customWidth="1"/>
    <col min="9958" max="10212" width="11.5703125" style="3"/>
    <col min="10213" max="10213" width="39.28515625" style="3" customWidth="1"/>
    <col min="10214" max="10468" width="11.5703125" style="3"/>
    <col min="10469" max="10469" width="39.28515625" style="3" customWidth="1"/>
    <col min="10470" max="10724" width="11.5703125" style="3"/>
    <col min="10725" max="10725" width="39.28515625" style="3" customWidth="1"/>
    <col min="10726" max="10980" width="11.5703125" style="3"/>
    <col min="10981" max="10981" width="39.28515625" style="3" customWidth="1"/>
    <col min="10982" max="11236" width="11.5703125" style="3"/>
    <col min="11237" max="11237" width="39.28515625" style="3" customWidth="1"/>
    <col min="11238" max="11492" width="11.5703125" style="3"/>
    <col min="11493" max="11493" width="39.28515625" style="3" customWidth="1"/>
    <col min="11494" max="11748" width="11.5703125" style="3"/>
    <col min="11749" max="11749" width="39.28515625" style="3" customWidth="1"/>
    <col min="11750" max="12004" width="11.5703125" style="3"/>
    <col min="12005" max="12005" width="39.28515625" style="3" customWidth="1"/>
    <col min="12006" max="12260" width="11.5703125" style="3"/>
    <col min="12261" max="12261" width="39.28515625" style="3" customWidth="1"/>
    <col min="12262" max="12516" width="11.5703125" style="3"/>
    <col min="12517" max="12517" width="39.28515625" style="3" customWidth="1"/>
    <col min="12518" max="12772" width="11.5703125" style="3"/>
    <col min="12773" max="12773" width="39.28515625" style="3" customWidth="1"/>
    <col min="12774" max="13028" width="11.5703125" style="3"/>
    <col min="13029" max="13029" width="39.28515625" style="3" customWidth="1"/>
    <col min="13030" max="13284" width="11.5703125" style="3"/>
    <col min="13285" max="13285" width="39.28515625" style="3" customWidth="1"/>
    <col min="13286" max="13540" width="11.5703125" style="3"/>
    <col min="13541" max="13541" width="39.28515625" style="3" customWidth="1"/>
    <col min="13542" max="13796" width="11.5703125" style="3"/>
    <col min="13797" max="13797" width="39.28515625" style="3" customWidth="1"/>
    <col min="13798" max="14052" width="11.5703125" style="3"/>
    <col min="14053" max="14053" width="39.28515625" style="3" customWidth="1"/>
    <col min="14054" max="14308" width="11.5703125" style="3"/>
    <col min="14309" max="14309" width="39.28515625" style="3" customWidth="1"/>
    <col min="14310" max="14564" width="11.5703125" style="3"/>
    <col min="14565" max="14565" width="39.28515625" style="3" customWidth="1"/>
    <col min="14566" max="14820" width="11.5703125" style="3"/>
    <col min="14821" max="14821" width="39.28515625" style="3" customWidth="1"/>
    <col min="14822" max="15076" width="11.5703125" style="3"/>
    <col min="15077" max="15077" width="39.28515625" style="3" customWidth="1"/>
    <col min="15078" max="15332" width="11.5703125" style="3"/>
    <col min="15333" max="15333" width="39.28515625" style="3" customWidth="1"/>
    <col min="15334" max="15558" width="11.5703125" style="3"/>
    <col min="15559" max="16384" width="11.42578125" style="3" customWidth="1"/>
  </cols>
  <sheetData>
    <row r="1" spans="1:102" s="2" customFormat="1" x14ac:dyDescent="0.25">
      <c r="B1" s="11"/>
      <c r="C1" s="13"/>
      <c r="D1" s="13"/>
      <c r="E1" s="11"/>
      <c r="F1" s="13"/>
      <c r="G1" s="13"/>
      <c r="H1" s="90"/>
      <c r="I1" s="13"/>
      <c r="J1" s="13"/>
      <c r="K1" s="13"/>
      <c r="L1" s="90"/>
      <c r="M1" s="13"/>
      <c r="N1" s="13"/>
      <c r="O1" s="90"/>
      <c r="P1" s="13"/>
      <c r="Q1" s="13"/>
      <c r="R1" s="13"/>
      <c r="S1" s="90"/>
      <c r="T1" s="13"/>
      <c r="U1" s="13"/>
      <c r="V1" s="90"/>
      <c r="W1" s="13"/>
      <c r="X1" s="13"/>
      <c r="Y1" s="90"/>
      <c r="Z1" s="13"/>
      <c r="AA1" s="13"/>
      <c r="AB1" s="13"/>
      <c r="AC1" s="90"/>
      <c r="AD1" s="13"/>
      <c r="AE1" s="13"/>
      <c r="AF1" s="90"/>
      <c r="AG1" s="13"/>
      <c r="AH1" s="13"/>
      <c r="AI1" s="13"/>
      <c r="AJ1" s="90"/>
      <c r="AK1" s="13"/>
      <c r="AL1" s="13"/>
      <c r="AM1" s="90"/>
      <c r="AN1" s="13"/>
      <c r="AO1" s="13"/>
      <c r="AP1" s="13"/>
      <c r="AQ1" s="90"/>
      <c r="AR1" s="13"/>
      <c r="AS1" s="13"/>
      <c r="AT1" s="90"/>
      <c r="AU1" s="13"/>
      <c r="AV1" s="13"/>
      <c r="AW1" s="90"/>
      <c r="AX1" s="13"/>
      <c r="AY1" s="13"/>
      <c r="AZ1" s="90"/>
      <c r="BA1" s="13"/>
      <c r="BB1" s="13"/>
      <c r="BC1" s="90"/>
      <c r="BD1" s="13"/>
      <c r="BE1" s="13"/>
      <c r="BF1" s="13"/>
      <c r="BG1" s="90"/>
      <c r="BH1" s="13"/>
      <c r="BI1" s="13"/>
      <c r="BJ1" s="90"/>
      <c r="BK1" s="13"/>
      <c r="BL1" s="13"/>
      <c r="BM1" s="13"/>
      <c r="BN1" s="90"/>
      <c r="BO1" s="13"/>
      <c r="BP1" s="13"/>
      <c r="BQ1" s="90"/>
      <c r="BR1" s="13"/>
      <c r="BS1" s="13"/>
      <c r="BT1" s="13"/>
      <c r="BU1" s="90"/>
      <c r="BV1" s="13"/>
      <c r="BW1" s="13"/>
      <c r="BX1" s="90"/>
      <c r="BY1" s="13"/>
      <c r="BZ1" s="13"/>
      <c r="CA1" s="90"/>
      <c r="CB1" s="13"/>
      <c r="CC1" s="13"/>
      <c r="CD1" s="13"/>
      <c r="CE1" s="90"/>
      <c r="CF1" s="13"/>
      <c r="CG1" s="13"/>
      <c r="CH1" s="90"/>
      <c r="CI1" s="13"/>
      <c r="CJ1" s="13"/>
      <c r="CK1" s="13"/>
      <c r="CL1" s="90"/>
      <c r="CM1" s="13"/>
      <c r="CN1" s="13"/>
      <c r="CO1" s="90"/>
      <c r="CP1" s="13"/>
      <c r="CQ1" s="13"/>
      <c r="CR1" s="13"/>
      <c r="CS1" s="90"/>
      <c r="CT1" s="13"/>
      <c r="CU1" s="13"/>
      <c r="CV1" s="90"/>
      <c r="CW1" s="13"/>
      <c r="CX1" s="13"/>
    </row>
    <row r="2" spans="1:102" s="2" customFormat="1" ht="28.15" customHeight="1" x14ac:dyDescent="0.25">
      <c r="A2" s="112" t="s">
        <v>38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  <c r="CN2" s="197"/>
      <c r="CO2" s="197"/>
      <c r="CP2" s="197"/>
      <c r="CQ2" s="197"/>
      <c r="CR2" s="197"/>
      <c r="CS2" s="197"/>
      <c r="CT2" s="197"/>
      <c r="CU2" s="197"/>
      <c r="CV2" s="197"/>
      <c r="CW2" s="197"/>
      <c r="CX2" s="197"/>
    </row>
    <row r="3" spans="1:102" s="7" customFormat="1" ht="24" customHeight="1" x14ac:dyDescent="0.25">
      <c r="A3" s="71" t="s">
        <v>33</v>
      </c>
      <c r="B3" s="187">
        <f ca="1">IF(ISBLANK(A2),"",YEAR(TODAY())-1)</f>
        <v>2025</v>
      </c>
      <c r="C3" s="72" t="s">
        <v>29</v>
      </c>
      <c r="D3" s="74" t="s">
        <v>30</v>
      </c>
      <c r="E3" s="91" t="s">
        <v>119</v>
      </c>
      <c r="F3" s="72" t="s">
        <v>29</v>
      </c>
      <c r="G3" s="74" t="s">
        <v>30</v>
      </c>
      <c r="H3" s="91" t="s">
        <v>120</v>
      </c>
      <c r="I3" s="72" t="s">
        <v>29</v>
      </c>
      <c r="J3" s="74" t="s">
        <v>30</v>
      </c>
      <c r="K3" s="72" t="s">
        <v>121</v>
      </c>
      <c r="L3" s="92" t="s">
        <v>125</v>
      </c>
      <c r="M3" s="72" t="s">
        <v>29</v>
      </c>
      <c r="N3" s="74" t="s">
        <v>30</v>
      </c>
      <c r="O3" s="93" t="s">
        <v>122</v>
      </c>
      <c r="P3" s="72" t="s">
        <v>29</v>
      </c>
      <c r="Q3" s="74" t="s">
        <v>30</v>
      </c>
      <c r="R3" s="72" t="s">
        <v>121</v>
      </c>
      <c r="S3" s="92" t="s">
        <v>125</v>
      </c>
      <c r="T3" s="72" t="s">
        <v>29</v>
      </c>
      <c r="U3" s="74" t="s">
        <v>30</v>
      </c>
      <c r="V3" s="94" t="s">
        <v>123</v>
      </c>
      <c r="W3" s="72" t="s">
        <v>29</v>
      </c>
      <c r="X3" s="72" t="s">
        <v>124</v>
      </c>
      <c r="Y3" s="93" t="s">
        <v>127</v>
      </c>
      <c r="Z3" s="72" t="s">
        <v>29</v>
      </c>
      <c r="AA3" s="72" t="s">
        <v>30</v>
      </c>
      <c r="AB3" s="72" t="s">
        <v>121</v>
      </c>
      <c r="AC3" s="92" t="s">
        <v>125</v>
      </c>
      <c r="AD3" s="72" t="s">
        <v>29</v>
      </c>
      <c r="AE3" s="74" t="s">
        <v>30</v>
      </c>
      <c r="AF3" s="93" t="s">
        <v>128</v>
      </c>
      <c r="AG3" s="72" t="s">
        <v>29</v>
      </c>
      <c r="AH3" s="72" t="s">
        <v>30</v>
      </c>
      <c r="AI3" s="72" t="s">
        <v>121</v>
      </c>
      <c r="AJ3" s="92" t="s">
        <v>125</v>
      </c>
      <c r="AK3" s="72" t="s">
        <v>29</v>
      </c>
      <c r="AL3" s="74" t="s">
        <v>30</v>
      </c>
      <c r="AM3" s="93" t="s">
        <v>129</v>
      </c>
      <c r="AN3" s="72" t="s">
        <v>29</v>
      </c>
      <c r="AO3" s="72" t="s">
        <v>30</v>
      </c>
      <c r="AP3" s="72" t="s">
        <v>121</v>
      </c>
      <c r="AQ3" s="92" t="s">
        <v>125</v>
      </c>
      <c r="AR3" s="72" t="s">
        <v>29</v>
      </c>
      <c r="AS3" s="74" t="s">
        <v>30</v>
      </c>
      <c r="AT3" s="94" t="s">
        <v>123</v>
      </c>
      <c r="AU3" s="72" t="s">
        <v>29</v>
      </c>
      <c r="AV3" s="72" t="s">
        <v>124</v>
      </c>
      <c r="AW3" s="92" t="s">
        <v>130</v>
      </c>
      <c r="AX3" s="72" t="s">
        <v>29</v>
      </c>
      <c r="AY3" s="74" t="s">
        <v>30</v>
      </c>
      <c r="AZ3" s="94" t="s">
        <v>131</v>
      </c>
      <c r="BA3" s="72" t="s">
        <v>29</v>
      </c>
      <c r="BB3" s="72" t="s">
        <v>124</v>
      </c>
      <c r="BC3" s="93" t="s">
        <v>139</v>
      </c>
      <c r="BD3" s="72" t="s">
        <v>29</v>
      </c>
      <c r="BE3" s="72" t="s">
        <v>30</v>
      </c>
      <c r="BF3" s="72" t="s">
        <v>121</v>
      </c>
      <c r="BG3" s="92" t="s">
        <v>125</v>
      </c>
      <c r="BH3" s="72" t="s">
        <v>29</v>
      </c>
      <c r="BI3" s="74" t="s">
        <v>30</v>
      </c>
      <c r="BJ3" s="93" t="s">
        <v>140</v>
      </c>
      <c r="BK3" s="72" t="s">
        <v>29</v>
      </c>
      <c r="BL3" s="72" t="s">
        <v>30</v>
      </c>
      <c r="BM3" s="72" t="s">
        <v>121</v>
      </c>
      <c r="BN3" s="92" t="s">
        <v>125</v>
      </c>
      <c r="BO3" s="72" t="s">
        <v>29</v>
      </c>
      <c r="BP3" s="74" t="s">
        <v>30</v>
      </c>
      <c r="BQ3" s="93" t="s">
        <v>141</v>
      </c>
      <c r="BR3" s="72" t="s">
        <v>29</v>
      </c>
      <c r="BS3" s="72" t="s">
        <v>30</v>
      </c>
      <c r="BT3" s="72" t="s">
        <v>121</v>
      </c>
      <c r="BU3" s="92" t="s">
        <v>125</v>
      </c>
      <c r="BV3" s="72" t="s">
        <v>29</v>
      </c>
      <c r="BW3" s="74" t="s">
        <v>30</v>
      </c>
      <c r="BX3" s="94" t="s">
        <v>123</v>
      </c>
      <c r="BY3" s="72" t="s">
        <v>29</v>
      </c>
      <c r="BZ3" s="72" t="s">
        <v>124</v>
      </c>
      <c r="CA3" s="93" t="s">
        <v>142</v>
      </c>
      <c r="CB3" s="72" t="s">
        <v>29</v>
      </c>
      <c r="CC3" s="72" t="s">
        <v>30</v>
      </c>
      <c r="CD3" s="72" t="s">
        <v>121</v>
      </c>
      <c r="CE3" s="92" t="s">
        <v>125</v>
      </c>
      <c r="CF3" s="72" t="s">
        <v>29</v>
      </c>
      <c r="CG3" s="74" t="s">
        <v>30</v>
      </c>
      <c r="CH3" s="93" t="s">
        <v>143</v>
      </c>
      <c r="CI3" s="72" t="s">
        <v>29</v>
      </c>
      <c r="CJ3" s="72" t="s">
        <v>30</v>
      </c>
      <c r="CK3" s="72" t="s">
        <v>121</v>
      </c>
      <c r="CL3" s="92" t="s">
        <v>125</v>
      </c>
      <c r="CM3" s="72" t="s">
        <v>29</v>
      </c>
      <c r="CN3" s="74" t="s">
        <v>30</v>
      </c>
      <c r="CO3" s="93" t="s">
        <v>144</v>
      </c>
      <c r="CP3" s="72" t="s">
        <v>29</v>
      </c>
      <c r="CQ3" s="72" t="s">
        <v>30</v>
      </c>
      <c r="CR3" s="72" t="s">
        <v>121</v>
      </c>
      <c r="CS3" s="189">
        <v>2025</v>
      </c>
      <c r="CT3" s="72" t="s">
        <v>29</v>
      </c>
      <c r="CU3" s="74" t="s">
        <v>30</v>
      </c>
      <c r="CV3" s="94" t="s">
        <v>123</v>
      </c>
      <c r="CW3" s="72" t="s">
        <v>29</v>
      </c>
      <c r="CX3" s="113" t="s">
        <v>124</v>
      </c>
    </row>
    <row r="4" spans="1:102" s="18" customFormat="1" ht="18" customHeight="1" x14ac:dyDescent="0.25">
      <c r="A4" s="114" t="s">
        <v>37</v>
      </c>
      <c r="B4" s="115">
        <f>+B5+B10+B15+B18</f>
        <v>0</v>
      </c>
      <c r="C4" s="116" t="str">
        <f>IF(AND(B4=0,B4&gt;=0), "",B4/B4)</f>
        <v/>
      </c>
      <c r="D4" s="117"/>
      <c r="E4" s="115">
        <f>+E5+E10+E15+E18</f>
        <v>47933.03</v>
      </c>
      <c r="F4" s="116">
        <f>IF(AND(E4=0,E4&gt;=0), "",E4/E4)</f>
        <v>1</v>
      </c>
      <c r="G4" s="117"/>
      <c r="H4" s="115">
        <f>+H5+H10+H15+H18</f>
        <v>51483.040000000001</v>
      </c>
      <c r="I4" s="116">
        <f>IF(AND(H4=0,H4&gt;=0), "",H4/H4)</f>
        <v>1</v>
      </c>
      <c r="J4" s="117"/>
      <c r="K4" s="116">
        <f t="shared" ref="K4:K36" si="0">IF(AND(E4=0,H4&gt;0),100%,IF(AND(E4&lt;0,H4=0),(E4-H4)/E4,IF(AND(E4&gt;0,H4&gt;0),(H4-E4)/E4,IF(AND(E4=0,H4=0),"",(H4-E4)/E4))))</f>
        <v>7.4061873409630108E-2</v>
      </c>
      <c r="L4" s="118">
        <f>+L5+L10+L15+L18</f>
        <v>99416.07</v>
      </c>
      <c r="M4" s="116">
        <f>IF(AND(L4=0,L4&gt;=0), "",L4/L4)</f>
        <v>1</v>
      </c>
      <c r="N4" s="117"/>
      <c r="O4" s="115">
        <f>+O5+O10+O15+O18</f>
        <v>64106.18</v>
      </c>
      <c r="P4" s="116">
        <f>IF(AND(O4=0,O4&gt;=0), "",O4/O4)</f>
        <v>1</v>
      </c>
      <c r="Q4" s="117"/>
      <c r="R4" s="116">
        <f t="shared" ref="R4:R31" si="1">IF(AND(H4=0,O4&gt;0),100%,IF(AND(H4&lt;0,O4=0),(H4-O4)/H4,IF(AND(H4&gt;0,O4&gt;0),(O4-H4)/H4,IF(AND(H4=0,O4=0),"",(O4-H4)/H4))))</f>
        <v>0.24519026071498495</v>
      </c>
      <c r="S4" s="118">
        <f>+S5+S10+S15+S18</f>
        <v>163522.25</v>
      </c>
      <c r="T4" s="116">
        <f>IF(AND(S4=0,S4&gt;=0), "",S4/S4)</f>
        <v>1</v>
      </c>
      <c r="U4" s="117"/>
      <c r="V4" s="119">
        <f>+V5+V10+V15+V18</f>
        <v>0</v>
      </c>
      <c r="W4" s="116" t="str">
        <f>IF(AND(V4=0,V4&gt;=0), "",V4/V4)</f>
        <v/>
      </c>
      <c r="X4" s="117">
        <f t="shared" ref="X4:X36" si="2">IF(AND(V4=0,S4&gt;0),100%,IF(AND(V4&lt;0,S4=0),(V4-S4)/V4,IF(AND(V4&gt;0,S4&gt;0),(S4-V4)/V4,IF(AND(V4=0,S4=0),"",(S4-V4)/V4))))</f>
        <v>1</v>
      </c>
      <c r="Y4" s="115">
        <f>+Y5+Y10+Y15+Y18</f>
        <v>0</v>
      </c>
      <c r="Z4" s="116" t="str">
        <f>IF(AND(Y4=0,Y4&gt;=0), "",Y4/Y4)</f>
        <v/>
      </c>
      <c r="AA4" s="117"/>
      <c r="AB4" s="116">
        <f t="shared" ref="AB4:AB36" si="3">IF(AND(O4=0,Y4&gt;0),100%,IF(AND(O4&lt;0,Y4=0),(O4-Y4)/O4,IF(AND(O4&gt;0,Y4&gt;0),(Y4-O4)/O4,IF(AND(O4=0,Y4=0),"",(Y4-O4)/O4))))</f>
        <v>-1</v>
      </c>
      <c r="AC4" s="118">
        <f>+AC5+AC10+AC15+AC18</f>
        <v>163522.25</v>
      </c>
      <c r="AD4" s="116">
        <f>IF(AND(AC4=0,AC4&gt;=0), "",AC4/AC4)</f>
        <v>1</v>
      </c>
      <c r="AE4" s="117"/>
      <c r="AF4" s="115">
        <f>+AF5+AF10+AF15+AF18</f>
        <v>0</v>
      </c>
      <c r="AG4" s="116" t="str">
        <f>IF(AND(AF4=0,AF4&gt;=0), "",AF4/AF4)</f>
        <v/>
      </c>
      <c r="AH4" s="117"/>
      <c r="AI4" s="116" t="str">
        <f t="shared" ref="AI4:AI67" si="4">IF(AND(Y4=0,AF4&gt;0),100%,IF(AND(Y4&lt;0,AF4=0),(Y4-AF4)/Y4,IF(AND(Y4&gt;0,AF4&gt;0),(AF4-Y4)/Y4,IF(AND(Y4=0,AF4=0),"",(AF4-Y4)/Y4))))</f>
        <v/>
      </c>
      <c r="AJ4" s="118">
        <f>+AJ5+AJ10+AJ15+AJ18</f>
        <v>163522.25</v>
      </c>
      <c r="AK4" s="116">
        <f>IF(AND(AJ4=0,AJ4&gt;=0), "",AJ4/AJ4)</f>
        <v>1</v>
      </c>
      <c r="AL4" s="117"/>
      <c r="AM4" s="115">
        <f>+AM5+AM10+AM15+AM18</f>
        <v>0</v>
      </c>
      <c r="AN4" s="116" t="str">
        <f>IF(AND(AM4=0,AM4&gt;=0), "",AM4/AM4)</f>
        <v/>
      </c>
      <c r="AO4" s="117"/>
      <c r="AP4" s="116" t="str">
        <f t="shared" ref="AP4:AP67" si="5">IF(AND(AF4=0,AM4&gt;0),100%,IF(AND(AF4&lt;0,AM4=0),(AF4-AM4)/AF4,IF(AND(AF4&gt;0,AM4&gt;0),(AM4-AF4)/AF4,IF(AND(AF4=0,AM4=0),"",(AM4-AF4)/AF4))))</f>
        <v/>
      </c>
      <c r="AQ4" s="118">
        <f>+AQ5+AQ10+AQ15+AQ18</f>
        <v>163522.25</v>
      </c>
      <c r="AR4" s="116">
        <f>IF(AND(AQ4=0,AQ4&gt;=0), "",AQ4/AQ4)</f>
        <v>1</v>
      </c>
      <c r="AS4" s="117"/>
      <c r="AT4" s="119">
        <f>+AT5+AT10+AT15+AT18</f>
        <v>0</v>
      </c>
      <c r="AU4" s="116" t="str">
        <f>IF(AND(AT4=0,AT4&gt;=0), "",AT4/AT4)</f>
        <v/>
      </c>
      <c r="AV4" s="117">
        <f t="shared" ref="AV4:AV36" si="6">IF(AND(AT4=0,AQ4&gt;0),100%,IF(AND(AT4&lt;0,AQ4=0),(AT4-AQ4)/AT4,IF(AND(AT4&gt;0,AQ4&gt;0),(AQ4-AT4)/AT4,IF(AND(AT4=0,AQ4=0),"",(AQ4-AT4)/AT4))))</f>
        <v>1</v>
      </c>
      <c r="AW4" s="119">
        <f>+AW5+AW10+AW15+AW18</f>
        <v>27253.708333333332</v>
      </c>
      <c r="AX4" s="116">
        <f>IF(AND(AW4=0,AW4&gt;=0), "",AW4/AW4)</f>
        <v>1</v>
      </c>
      <c r="AY4" s="117"/>
      <c r="AZ4" s="119">
        <f>+AZ5+AZ10+AZ15+AZ18</f>
        <v>0</v>
      </c>
      <c r="BA4" s="116" t="str">
        <f>IF(AND(AZ4=0,AZ4&gt;=0), "",AZ4/AZ4)</f>
        <v/>
      </c>
      <c r="BB4" s="117">
        <f t="shared" ref="BB4:BB36" si="7">IF(AND(AZ4=0,AW4&gt;0),100%,IF(AND(AZ4&lt;0,AW4=0),(AZ4-AW4)/AZ4,IF(AND(AZ4&gt;0,AW4&gt;0),(AW4-AZ4)/AZ4,IF(AND(AZ4=0,AW4=0),"",(AW4-AZ4)/AZ4))))</f>
        <v>1</v>
      </c>
      <c r="BC4" s="115">
        <f>+BC5+BC10+BC15+BC18</f>
        <v>0</v>
      </c>
      <c r="BD4" s="116" t="str">
        <f>IF(AND(BC4=0,BC4&gt;=0), "",BC4/BC4)</f>
        <v/>
      </c>
      <c r="BE4" s="117"/>
      <c r="BF4" s="116" t="str">
        <f t="shared" ref="BF4:BF36" si="8">IF(AND(AM4=0,BC4&gt;0),100%,IF(AND(AM4&lt;0,BC4=0),(AM4-BC4)/AM4,IF(AND(AM4&gt;0,BC4&gt;0),(BC4-AM4)/AM4,IF(AND(AM4=0,BC4=0),"",(BC4-AM4)/AM4))))</f>
        <v/>
      </c>
      <c r="BG4" s="118">
        <f>+BG5+BG10+BG15+BG18</f>
        <v>163522.25</v>
      </c>
      <c r="BH4" s="116">
        <f>IF(AND(BG4=0,BG4&gt;=0), "",BG4/BG4)</f>
        <v>1</v>
      </c>
      <c r="BI4" s="117"/>
      <c r="BJ4" s="115">
        <f>+BJ5+BJ10+BJ15+BJ18</f>
        <v>0</v>
      </c>
      <c r="BK4" s="116" t="str">
        <f>IF(AND(BJ4=0,BJ4&gt;=0), "",BJ4/BJ4)</f>
        <v/>
      </c>
      <c r="BL4" s="117"/>
      <c r="BM4" s="116" t="str">
        <f t="shared" ref="BM4:BM67" si="9">IF(AND(BC4=0,BJ4&gt;0),100%,IF(AND(BC4&lt;0,BJ4=0),(BC4-BJ4)/BC4,IF(AND(BC4&gt;0,BJ4&gt;0),(BJ4-BC4)/BC4,IF(AND(BC4=0,BJ4=0),"",(BJ4-BC4)/BC4))))</f>
        <v/>
      </c>
      <c r="BN4" s="118">
        <f>+BN5+BN10+BN15+BN18</f>
        <v>163522.25</v>
      </c>
      <c r="BO4" s="116">
        <f>IF(AND(BN4=0,BN4&gt;=0), "",BN4/BN4)</f>
        <v>1</v>
      </c>
      <c r="BP4" s="117"/>
      <c r="BQ4" s="115">
        <f>+BQ5+BQ10+BQ15+BQ18</f>
        <v>0</v>
      </c>
      <c r="BR4" s="116" t="str">
        <f>IF(AND(BQ4=0,BQ4&gt;=0), "",BQ4/BQ4)</f>
        <v/>
      </c>
      <c r="BS4" s="117"/>
      <c r="BT4" s="116" t="str">
        <f t="shared" ref="BT4:BT67" si="10">IF(AND(BJ4=0,BQ4&gt;0),100%,IF(AND(BJ4&lt;0,BQ4=0),(BJ4-BQ4)/BJ4,IF(AND(BJ4&gt;0,BQ4&gt;0),(BQ4-BJ4)/BJ4,IF(AND(BJ4=0,BQ4=0),"",(BQ4-BJ4)/BJ4))))</f>
        <v/>
      </c>
      <c r="BU4" s="118">
        <f>+BU5+BU10+BU15+BU18</f>
        <v>163522.25</v>
      </c>
      <c r="BV4" s="116">
        <f>IF(AND(BU4=0,BU4&gt;=0), "",BU4/BU4)</f>
        <v>1</v>
      </c>
      <c r="BW4" s="117"/>
      <c r="BX4" s="119">
        <f>+BX5+BX10+BX15+BX18</f>
        <v>0</v>
      </c>
      <c r="BY4" s="116" t="str">
        <f>IF(AND(BX4=0,BX4&gt;=0), "",BX4/BX4)</f>
        <v/>
      </c>
      <c r="BZ4" s="117">
        <f t="shared" ref="BZ4:BZ67" si="11">IF(AND(BX4=0,BU4&gt;0),100%,IF(AND(BX4&lt;0,BU4=0),(BX4-BU4)/BX4,IF(AND(BX4&gt;0,BU4&gt;0),(BU4-BX4)/BX4,IF(AND(BX4=0,BU4=0),"",(BU4-BX4)/BX4))))</f>
        <v>1</v>
      </c>
      <c r="CA4" s="115">
        <f>+CA5+CA10+CA15+CA18</f>
        <v>0</v>
      </c>
      <c r="CB4" s="116" t="str">
        <f>IF(AND(CA4=0,CA4&gt;=0), "",CA4/CA4)</f>
        <v/>
      </c>
      <c r="CC4" s="117"/>
      <c r="CD4" s="116" t="str">
        <f t="shared" ref="CD4:CD36" si="12">IF(AND(BQ4=0,CA4&gt;0),100%,IF(AND(BQ4&lt;0,CA4=0),(BQ4-CA4)/BQ4,IF(AND(BQ4&gt;0,CA4&gt;0),(CA4-BQ4)/BQ4,IF(AND(BQ4=0,CA4=0),"",(CA4-BQ4)/BQ4))))</f>
        <v/>
      </c>
      <c r="CE4" s="118">
        <f>+CE5+CE10+CE15+CE18</f>
        <v>163522.25</v>
      </c>
      <c r="CF4" s="116">
        <f>IF(AND(CE4=0,CE4&gt;=0), "",CE4/CE4)</f>
        <v>1</v>
      </c>
      <c r="CG4" s="117"/>
      <c r="CH4" s="115">
        <f>+CH5+CH10+CH15+CH18</f>
        <v>0</v>
      </c>
      <c r="CI4" s="116" t="str">
        <f>IF(AND(CH4=0,CH4&gt;=0), "",CH4/CH4)</f>
        <v/>
      </c>
      <c r="CJ4" s="117"/>
      <c r="CK4" s="116" t="str">
        <f t="shared" ref="CK4:CK67" si="13">IF(AND(CA4=0,CH4&gt;0),100%,IF(AND(CA4&lt;0,CH4=0),(CA4-CH4)/CA4,IF(AND(CA4&gt;0,CH4&gt;0),(CH4-CA4)/CA4,IF(AND(CA4=0,CH4=0),"",(CH4-CA4)/CA4))))</f>
        <v/>
      </c>
      <c r="CL4" s="118">
        <f>+CL5+CL10+CL15+CL18</f>
        <v>163522.25</v>
      </c>
      <c r="CM4" s="116">
        <f>IF(AND(CL4=0,CL4&gt;=0), "",CL4/CL4)</f>
        <v>1</v>
      </c>
      <c r="CN4" s="117"/>
      <c r="CO4" s="115">
        <f>+CO5+CO10+CO15+CO18</f>
        <v>0</v>
      </c>
      <c r="CP4" s="116" t="str">
        <f>IF(AND(CO4=0,CO4&gt;=0), "",CO4/CO4)</f>
        <v/>
      </c>
      <c r="CQ4" s="117"/>
      <c r="CR4" s="116" t="str">
        <f t="shared" ref="CR4:CR67" si="14">IF(AND(CH4=0,CO4&gt;0),100%,IF(AND(CH4&lt;0,CO4=0),(CH4-CO4)/CH4,IF(AND(CH4&gt;0,CO4&gt;0),(CO4-CH4)/CH4,IF(AND(CH4=0,CO4=0),"",(CO4-CH4)/CH4))))</f>
        <v/>
      </c>
      <c r="CS4" s="118">
        <f>+CS5+CS10+CS15+CS18</f>
        <v>163522.25</v>
      </c>
      <c r="CT4" s="116">
        <f>IF(AND(CS4=0,CS4&gt;=0), "",CS4/CS4)</f>
        <v>1</v>
      </c>
      <c r="CU4" s="117"/>
      <c r="CV4" s="119">
        <f>+CV5+CV10+CV15+CV18</f>
        <v>0</v>
      </c>
      <c r="CW4" s="116" t="str">
        <f>IF(AND(CV4=0,CV4&gt;=0), "",CV4/CV4)</f>
        <v/>
      </c>
      <c r="CX4" s="117">
        <f t="shared" ref="CX4:CX67" si="15">IF(AND(CV4=0,CS4&gt;0),100%,IF(AND(CV4&lt;0,CS4=0),(CV4-CS4)/CV4,IF(AND(CV4&gt;0,CS4&gt;0),(CS4-CV4)/CV4,IF(AND(CV4=0,CS4=0),"",(CS4-CV4)/CV4))))</f>
        <v>1</v>
      </c>
    </row>
    <row r="5" spans="1:102" s="5" customFormat="1" hidden="1" outlineLevel="1" x14ac:dyDescent="0.25">
      <c r="A5" s="27" t="s">
        <v>39</v>
      </c>
      <c r="B5" s="98">
        <f>+B6-B7-B8</f>
        <v>0</v>
      </c>
      <c r="C5" s="28" t="str">
        <f>IF(AND(B4=0,B5&gt;=0), "",B5/B4)</f>
        <v/>
      </c>
      <c r="D5" s="33"/>
      <c r="E5" s="98">
        <f>+E6-E7-E8</f>
        <v>47933.03</v>
      </c>
      <c r="F5" s="28">
        <f>IF(AND(E4=0,E5&gt;=0), "",E5/E4)</f>
        <v>1</v>
      </c>
      <c r="G5" s="33"/>
      <c r="H5" s="98">
        <f>+H6-H7-H8</f>
        <v>51483.040000000001</v>
      </c>
      <c r="I5" s="28">
        <f>IF(AND(H4=0,H5&gt;=0), "",H5/H4)</f>
        <v>1</v>
      </c>
      <c r="J5" s="33"/>
      <c r="K5" s="28">
        <f t="shared" si="0"/>
        <v>7.4061873409630108E-2</v>
      </c>
      <c r="L5" s="99">
        <f>+L6-L7-L8</f>
        <v>99416.07</v>
      </c>
      <c r="M5" s="28">
        <f>IF(AND(L4=0,L5&gt;=0), "",L5/L4)</f>
        <v>1</v>
      </c>
      <c r="N5" s="33"/>
      <c r="O5" s="98">
        <f>+O6-O7-O8</f>
        <v>64106.18</v>
      </c>
      <c r="P5" s="28">
        <f>IF(AND(O4=0,O5&gt;=0), "",O5/O4)</f>
        <v>1</v>
      </c>
      <c r="Q5" s="33"/>
      <c r="R5" s="28">
        <f t="shared" si="1"/>
        <v>0.24519026071498495</v>
      </c>
      <c r="S5" s="99">
        <f>+S6-S7-S8</f>
        <v>163522.25</v>
      </c>
      <c r="T5" s="28">
        <f>IF(AND(S4=0,S5&gt;=0), "",S5/S4)</f>
        <v>1</v>
      </c>
      <c r="U5" s="33"/>
      <c r="V5" s="100">
        <f>+V6-V7-V8</f>
        <v>0</v>
      </c>
      <c r="W5" s="28" t="str">
        <f>IF(AND(V4=0,V5&gt;=0), "",V5/V4)</f>
        <v/>
      </c>
      <c r="X5" s="78">
        <f t="shared" si="2"/>
        <v>1</v>
      </c>
      <c r="Y5" s="98">
        <f>+Y6-Y7-Y8</f>
        <v>0</v>
      </c>
      <c r="Z5" s="28" t="str">
        <f>IF(AND(Y4=0,Y5&gt;=0), "",Y5/Y4)</f>
        <v/>
      </c>
      <c r="AA5" s="33"/>
      <c r="AB5" s="28">
        <f t="shared" si="3"/>
        <v>-1</v>
      </c>
      <c r="AC5" s="99">
        <f>+AC6-AC7-AC8</f>
        <v>163522.25</v>
      </c>
      <c r="AD5" s="28">
        <f>IF(AND(AC4=0,AC5&gt;=0), "",AC5/AC4)</f>
        <v>1</v>
      </c>
      <c r="AE5" s="33"/>
      <c r="AF5" s="98">
        <f>+AF6-AF7-AF8</f>
        <v>0</v>
      </c>
      <c r="AG5" s="28" t="str">
        <f>IF(AND(AF4=0,AF5&gt;=0), "",AF5/AF4)</f>
        <v/>
      </c>
      <c r="AH5" s="33"/>
      <c r="AI5" s="28" t="str">
        <f t="shared" si="4"/>
        <v/>
      </c>
      <c r="AJ5" s="99">
        <f>+AJ6-AJ7-AJ8</f>
        <v>163522.25</v>
      </c>
      <c r="AK5" s="28">
        <f>IF(AND(AJ4=0,AJ5&gt;=0), "",AJ5/AJ4)</f>
        <v>1</v>
      </c>
      <c r="AL5" s="33"/>
      <c r="AM5" s="98">
        <f>+AM6-AM7-AM8</f>
        <v>0</v>
      </c>
      <c r="AN5" s="28" t="str">
        <f>IF(AND(AM4=0,AM5&gt;=0), "",AM5/AM4)</f>
        <v/>
      </c>
      <c r="AO5" s="33"/>
      <c r="AP5" s="28" t="str">
        <f t="shared" si="5"/>
        <v/>
      </c>
      <c r="AQ5" s="99">
        <f>+AQ6-AQ7-AQ8</f>
        <v>163522.25</v>
      </c>
      <c r="AR5" s="28">
        <f>IF(AND(AQ4=0,AQ5&gt;=0), "",AQ5/AQ4)</f>
        <v>1</v>
      </c>
      <c r="AS5" s="33"/>
      <c r="AT5" s="100">
        <f>+AT6-AT7-AT8</f>
        <v>0</v>
      </c>
      <c r="AU5" s="28" t="str">
        <f>IF(AND(AT4=0,AT5&gt;=0), "",AT5/AT4)</f>
        <v/>
      </c>
      <c r="AV5" s="78">
        <f t="shared" si="6"/>
        <v>1</v>
      </c>
      <c r="AW5" s="100">
        <f>+AW6-AW7-AW8</f>
        <v>27253.708333333332</v>
      </c>
      <c r="AX5" s="28">
        <f>IF(AND(AW4=0,AW5&gt;=0), "",AW5/AW4)</f>
        <v>1</v>
      </c>
      <c r="AY5" s="33"/>
      <c r="AZ5" s="100">
        <f>+AZ6-AZ7-AZ8</f>
        <v>0</v>
      </c>
      <c r="BA5" s="28" t="str">
        <f>IF(AND(AZ4=0,AZ5&gt;=0), "",AZ5/AZ4)</f>
        <v/>
      </c>
      <c r="BB5" s="78">
        <f t="shared" si="7"/>
        <v>1</v>
      </c>
      <c r="BC5" s="98">
        <f>+BC6-BC7-BC8</f>
        <v>0</v>
      </c>
      <c r="BD5" s="28" t="str">
        <f>IF(AND(BC4=0,BC5&gt;=0), "",BC5/BC4)</f>
        <v/>
      </c>
      <c r="BE5" s="33"/>
      <c r="BF5" s="28" t="str">
        <f t="shared" si="8"/>
        <v/>
      </c>
      <c r="BG5" s="99">
        <f>+BG6-BG7-BG8</f>
        <v>163522.25</v>
      </c>
      <c r="BH5" s="28">
        <f>IF(AND(BG4=0,BG5&gt;=0), "",BG5/BG4)</f>
        <v>1</v>
      </c>
      <c r="BI5" s="33"/>
      <c r="BJ5" s="98">
        <f>+BJ6-BJ7-BJ8</f>
        <v>0</v>
      </c>
      <c r="BK5" s="28" t="str">
        <f>IF(AND(BJ4=0,BJ5&gt;=0), "",BJ5/BJ4)</f>
        <v/>
      </c>
      <c r="BL5" s="33"/>
      <c r="BM5" s="28" t="str">
        <f t="shared" si="9"/>
        <v/>
      </c>
      <c r="BN5" s="99">
        <f>+BN6-BN7-BN8</f>
        <v>163522.25</v>
      </c>
      <c r="BO5" s="28">
        <f>IF(AND(BN4=0,BN5&gt;=0), "",BN5/BN4)</f>
        <v>1</v>
      </c>
      <c r="BP5" s="33"/>
      <c r="BQ5" s="98">
        <f>+BQ6-BQ7-BQ8</f>
        <v>0</v>
      </c>
      <c r="BR5" s="28" t="str">
        <f>IF(AND(BQ4=0,BQ5&gt;=0), "",BQ5/BQ4)</f>
        <v/>
      </c>
      <c r="BS5" s="33"/>
      <c r="BT5" s="28" t="str">
        <f t="shared" si="10"/>
        <v/>
      </c>
      <c r="BU5" s="99">
        <f>+BU6-BU7-BU8</f>
        <v>163522.25</v>
      </c>
      <c r="BV5" s="28">
        <f>IF(AND(BU4=0,BU5&gt;=0), "",BU5/BU4)</f>
        <v>1</v>
      </c>
      <c r="BW5" s="33"/>
      <c r="BX5" s="100">
        <f>+BX6-BX7-BX8</f>
        <v>0</v>
      </c>
      <c r="BY5" s="28" t="str">
        <f>IF(AND(BX4=0,BX5&gt;=0), "",BX5/BX4)</f>
        <v/>
      </c>
      <c r="BZ5" s="78">
        <f t="shared" si="11"/>
        <v>1</v>
      </c>
      <c r="CA5" s="98">
        <f>+CA6-CA7-CA8</f>
        <v>0</v>
      </c>
      <c r="CB5" s="28" t="str">
        <f>IF(AND(CA4=0,CA5&gt;=0), "",CA5/CA4)</f>
        <v/>
      </c>
      <c r="CC5" s="33"/>
      <c r="CD5" s="28" t="str">
        <f t="shared" si="12"/>
        <v/>
      </c>
      <c r="CE5" s="99">
        <f>+CE6-CE7-CE8</f>
        <v>163522.25</v>
      </c>
      <c r="CF5" s="28">
        <f>IF(AND(CE4=0,CE5&gt;=0), "",CE5/CE4)</f>
        <v>1</v>
      </c>
      <c r="CG5" s="33"/>
      <c r="CH5" s="98">
        <f>+CH6-CH7-CH8</f>
        <v>0</v>
      </c>
      <c r="CI5" s="28" t="str">
        <f>IF(AND(CH4=0,CH5&gt;=0), "",CH5/CH4)</f>
        <v/>
      </c>
      <c r="CJ5" s="33"/>
      <c r="CK5" s="28" t="str">
        <f t="shared" si="13"/>
        <v/>
      </c>
      <c r="CL5" s="99">
        <f>+CL6-CL7-CL8</f>
        <v>163522.25</v>
      </c>
      <c r="CM5" s="28">
        <f>IF(AND(CL4=0,CL5&gt;=0), "",CL5/CL4)</f>
        <v>1</v>
      </c>
      <c r="CN5" s="33"/>
      <c r="CO5" s="98">
        <f>+CO6-CO7-CO8</f>
        <v>0</v>
      </c>
      <c r="CP5" s="28" t="str">
        <f>IF(AND(CO4=0,CO5&gt;=0), "",CO5/CO4)</f>
        <v/>
      </c>
      <c r="CQ5" s="33"/>
      <c r="CR5" s="28" t="str">
        <f t="shared" si="14"/>
        <v/>
      </c>
      <c r="CS5" s="99">
        <f>+CS6-CS7-CS8</f>
        <v>163522.25</v>
      </c>
      <c r="CT5" s="28">
        <f>IF(AND(CS4=0,CS5&gt;=0), "",CS5/CS4)</f>
        <v>1</v>
      </c>
      <c r="CU5" s="33"/>
      <c r="CV5" s="100">
        <f>+CV6-CV7-CV8</f>
        <v>0</v>
      </c>
      <c r="CW5" s="28" t="str">
        <f>IF(AND(CV4=0,CV5&gt;=0), "",CV5/CV4)</f>
        <v/>
      </c>
      <c r="CX5" s="78">
        <f t="shared" si="15"/>
        <v>1</v>
      </c>
    </row>
    <row r="6" spans="1:102" hidden="1" outlineLevel="1" x14ac:dyDescent="0.25">
      <c r="A6" s="19" t="s">
        <v>34</v>
      </c>
      <c r="B6" s="101">
        <f>+'N EERR RODEO'!B6</f>
        <v>0</v>
      </c>
      <c r="C6" s="20" t="str">
        <f>IF(AND(B4=0,B6&gt;=0), "",B6/B4)</f>
        <v/>
      </c>
      <c r="D6" s="34"/>
      <c r="E6" s="101">
        <f>+'N EERR RODEO'!C6</f>
        <v>47933.03</v>
      </c>
      <c r="F6" s="20">
        <f>IF(AND(E4=0,E6&gt;=0), "",E6/E4)</f>
        <v>1</v>
      </c>
      <c r="G6" s="34"/>
      <c r="H6" s="101">
        <f>+'N EERR RODEO'!D6</f>
        <v>51483.040000000001</v>
      </c>
      <c r="I6" s="20">
        <f>IF(AND(H4=0,H6&gt;=0), "",H6/H4)</f>
        <v>1</v>
      </c>
      <c r="J6" s="34"/>
      <c r="K6" s="20">
        <f t="shared" si="0"/>
        <v>7.4061873409630108E-2</v>
      </c>
      <c r="L6" s="102">
        <f>+E6+H6</f>
        <v>99416.07</v>
      </c>
      <c r="M6" s="20">
        <f>IF(AND(L4=0,L6&gt;=0), "",L6/L4)</f>
        <v>1</v>
      </c>
      <c r="N6" s="34"/>
      <c r="O6" s="101">
        <f>+'N EERR RODEO'!E6</f>
        <v>64106.18</v>
      </c>
      <c r="P6" s="20">
        <f>IF(AND(O4=0,O6&gt;=0), "",O6/O4)</f>
        <v>1</v>
      </c>
      <c r="Q6" s="34"/>
      <c r="R6" s="20">
        <f t="shared" si="1"/>
        <v>0.24519026071498495</v>
      </c>
      <c r="S6" s="102">
        <f>+L6+O6</f>
        <v>163522.25</v>
      </c>
      <c r="T6" s="20">
        <f>IF(AND(S4=0,S6&gt;=0), "",S6/S4)</f>
        <v>1</v>
      </c>
      <c r="U6" s="34"/>
      <c r="V6" s="103"/>
      <c r="W6" s="20" t="str">
        <f>IF(AND(V4=0,V6&gt;=0), "",V6/V4)</f>
        <v/>
      </c>
      <c r="X6" s="37">
        <f t="shared" si="2"/>
        <v>1</v>
      </c>
      <c r="Y6" s="101">
        <f>+'N EERR RODEO'!F6</f>
        <v>0</v>
      </c>
      <c r="Z6" s="20" t="str">
        <f>IF(AND(Y4=0,Y6&gt;=0), "",Y6/Y4)</f>
        <v/>
      </c>
      <c r="AA6" s="34"/>
      <c r="AB6" s="20">
        <f t="shared" si="3"/>
        <v>-1</v>
      </c>
      <c r="AC6" s="102">
        <f>+S6+Y6</f>
        <v>163522.25</v>
      </c>
      <c r="AD6" s="20">
        <f>IF(AND(AC4=0,AC6&gt;=0), "",AC6/AC4)</f>
        <v>1</v>
      </c>
      <c r="AE6" s="34"/>
      <c r="AF6" s="101">
        <f>+'N EERR RODEO'!G6</f>
        <v>0</v>
      </c>
      <c r="AG6" s="20" t="str">
        <f>IF(AND(AF4=0,AF6&gt;=0), "",AF6/AF4)</f>
        <v/>
      </c>
      <c r="AH6" s="34"/>
      <c r="AI6" s="20" t="str">
        <f t="shared" si="4"/>
        <v/>
      </c>
      <c r="AJ6" s="102">
        <f>+AC6+AF6</f>
        <v>163522.25</v>
      </c>
      <c r="AK6" s="20">
        <f>IF(AND(AJ4=0,AJ6&gt;=0), "",AJ6/AJ4)</f>
        <v>1</v>
      </c>
      <c r="AL6" s="34"/>
      <c r="AM6" s="101">
        <f>+'N EERR RODEO'!H6</f>
        <v>0</v>
      </c>
      <c r="AN6" s="20" t="str">
        <f>IF(AND(AM4=0,AM6&gt;=0), "",AM6/AM4)</f>
        <v/>
      </c>
      <c r="AO6" s="34"/>
      <c r="AP6" s="20" t="str">
        <f t="shared" si="5"/>
        <v/>
      </c>
      <c r="AQ6" s="102">
        <f>+AJ6+AM6</f>
        <v>163522.25</v>
      </c>
      <c r="AR6" s="20">
        <f>IF(AND(AQ4=0,AQ6&gt;=0), "",AQ6/AQ4)</f>
        <v>1</v>
      </c>
      <c r="AS6" s="34"/>
      <c r="AT6" s="103">
        <f>+V6*2</f>
        <v>0</v>
      </c>
      <c r="AU6" s="20" t="str">
        <f>IF(AND(AT4=0,AT6&gt;=0), "",AT6/AT4)</f>
        <v/>
      </c>
      <c r="AV6" s="37">
        <f t="shared" si="6"/>
        <v>1</v>
      </c>
      <c r="AW6" s="103">
        <f>+AQ6/6</f>
        <v>27253.708333333332</v>
      </c>
      <c r="AX6" s="20">
        <f>IF(AND(AW4=0,AW6&gt;=0), "",AW6/AW4)</f>
        <v>1</v>
      </c>
      <c r="AY6" s="34"/>
      <c r="AZ6" s="103">
        <f>+AT6/6</f>
        <v>0</v>
      </c>
      <c r="BA6" s="20" t="str">
        <f>IF(AND(AZ4=0,AZ6&gt;=0), "",AZ6/AZ4)</f>
        <v/>
      </c>
      <c r="BB6" s="37">
        <f t="shared" si="7"/>
        <v>1</v>
      </c>
      <c r="BC6" s="101">
        <f>+'N EERR RODEO'!I6</f>
        <v>0</v>
      </c>
      <c r="BD6" s="20" t="str">
        <f>IF(AND(BC4=0,BC6&gt;=0), "",BC6/BC4)</f>
        <v/>
      </c>
      <c r="BE6" s="34"/>
      <c r="BF6" s="20" t="str">
        <f t="shared" si="8"/>
        <v/>
      </c>
      <c r="BG6" s="102">
        <f>+AQ6+BC6</f>
        <v>163522.25</v>
      </c>
      <c r="BH6" s="20">
        <f>IF(AND(BG4=0,BG6&gt;=0), "",BG6/BG4)</f>
        <v>1</v>
      </c>
      <c r="BI6" s="34"/>
      <c r="BJ6" s="101">
        <f>+'N EERR RODEO'!J6</f>
        <v>0</v>
      </c>
      <c r="BK6" s="20" t="str">
        <f>IF(AND(BJ4=0,BJ6&gt;=0), "",BJ6/BJ4)</f>
        <v/>
      </c>
      <c r="BL6" s="34"/>
      <c r="BM6" s="20" t="str">
        <f t="shared" si="9"/>
        <v/>
      </c>
      <c r="BN6" s="102">
        <f>+BG6+BJ6</f>
        <v>163522.25</v>
      </c>
      <c r="BO6" s="20">
        <f>IF(AND(BN4=0,BN6&gt;=0), "",BN6/BN4)</f>
        <v>1</v>
      </c>
      <c r="BP6" s="34"/>
      <c r="BQ6" s="101">
        <f>+'N EERR RODEO'!K6</f>
        <v>0</v>
      </c>
      <c r="BR6" s="20" t="str">
        <f>IF(AND(BQ4=0,BQ6&gt;=0), "",BQ6/BQ4)</f>
        <v/>
      </c>
      <c r="BS6" s="34"/>
      <c r="BT6" s="20" t="str">
        <f t="shared" si="10"/>
        <v/>
      </c>
      <c r="BU6" s="102">
        <f>+BN6+BQ6</f>
        <v>163522.25</v>
      </c>
      <c r="BV6" s="20">
        <f>IF(AND(BU4=0,BU6&gt;=0), "",BU6/BU4)</f>
        <v>1</v>
      </c>
      <c r="BW6" s="34"/>
      <c r="BX6" s="103">
        <f>+AZ6*9</f>
        <v>0</v>
      </c>
      <c r="BY6" s="20" t="str">
        <f>IF(AND(BX4=0,BX6&gt;=0), "",BX6/BX4)</f>
        <v/>
      </c>
      <c r="BZ6" s="37">
        <f t="shared" si="11"/>
        <v>1</v>
      </c>
      <c r="CA6" s="101">
        <f>+'N EERR RODEO'!L6</f>
        <v>0</v>
      </c>
      <c r="CB6" s="20" t="str">
        <f>IF(AND(CA4=0,CA6&gt;=0), "",CA6/CA4)</f>
        <v/>
      </c>
      <c r="CC6" s="34"/>
      <c r="CD6" s="20" t="str">
        <f t="shared" si="12"/>
        <v/>
      </c>
      <c r="CE6" s="102">
        <f>+BU6+CA6</f>
        <v>163522.25</v>
      </c>
      <c r="CF6" s="20">
        <f>IF(AND(CE4=0,CE6&gt;=0), "",CE6/CE4)</f>
        <v>1</v>
      </c>
      <c r="CG6" s="34"/>
      <c r="CH6" s="101">
        <f>+'N EERR RODEO'!M6</f>
        <v>0</v>
      </c>
      <c r="CI6" s="20" t="str">
        <f>IF(AND(CH4=0,CH6&gt;=0), "",CH6/CH4)</f>
        <v/>
      </c>
      <c r="CJ6" s="34"/>
      <c r="CK6" s="20" t="str">
        <f t="shared" si="13"/>
        <v/>
      </c>
      <c r="CL6" s="102">
        <f>+CE6+CH6</f>
        <v>163522.25</v>
      </c>
      <c r="CM6" s="20">
        <f>IF(AND(CL4=0,CL6&gt;=0), "",CL6/CL4)</f>
        <v>1</v>
      </c>
      <c r="CN6" s="34"/>
      <c r="CO6" s="101">
        <f>+'N EERR RODEO'!N6</f>
        <v>0</v>
      </c>
      <c r="CP6" s="20" t="str">
        <f>IF(AND(CO4=0,CO6&gt;=0), "",CO6/CO4)</f>
        <v/>
      </c>
      <c r="CQ6" s="34"/>
      <c r="CR6" s="20" t="str">
        <f t="shared" si="14"/>
        <v/>
      </c>
      <c r="CS6" s="102">
        <f>+CL6+CO6</f>
        <v>163522.25</v>
      </c>
      <c r="CT6" s="20">
        <f>IF(AND(CS4=0,CS6&gt;=0), "",CS6/CS4)</f>
        <v>1</v>
      </c>
      <c r="CU6" s="34"/>
      <c r="CV6" s="103">
        <f>+AZ6*12</f>
        <v>0</v>
      </c>
      <c r="CW6" s="20" t="str">
        <f>IF(AND(CV4=0,CV6&gt;=0), "",CV6/CV4)</f>
        <v/>
      </c>
      <c r="CX6" s="37">
        <f t="shared" si="15"/>
        <v>1</v>
      </c>
    </row>
    <row r="7" spans="1:102" hidden="1" outlineLevel="1" x14ac:dyDescent="0.25">
      <c r="A7" s="19" t="s">
        <v>36</v>
      </c>
      <c r="B7" s="101">
        <f>+'N EERR RODEO'!B7</f>
        <v>0</v>
      </c>
      <c r="C7" s="20" t="str">
        <f>IF(AND(B4=0,B7&gt;=0), "",B7/B4)</f>
        <v/>
      </c>
      <c r="D7" s="34"/>
      <c r="E7" s="101">
        <f>+'N EERR RODEO'!C7</f>
        <v>0</v>
      </c>
      <c r="F7" s="20">
        <f>IF(AND(E4=0,E7&gt;=0), "",E7/E4)</f>
        <v>0</v>
      </c>
      <c r="G7" s="34"/>
      <c r="H7" s="101">
        <f>+'N EERR RODEO'!D7</f>
        <v>0</v>
      </c>
      <c r="I7" s="20">
        <f>IF(AND(H4=0,H7&gt;=0), "",H7/H4)</f>
        <v>0</v>
      </c>
      <c r="J7" s="34"/>
      <c r="K7" s="20" t="str">
        <f t="shared" si="0"/>
        <v/>
      </c>
      <c r="L7" s="102">
        <f>+E7+H7</f>
        <v>0</v>
      </c>
      <c r="M7" s="20">
        <f>IF(AND(L4=0,L7&gt;=0), "",L7/L4)</f>
        <v>0</v>
      </c>
      <c r="N7" s="34"/>
      <c r="O7" s="101">
        <f>+'N EERR RODEO'!E7</f>
        <v>0</v>
      </c>
      <c r="P7" s="20">
        <f>IF(AND(O4=0,O7&gt;=0), "",O7/O4)</f>
        <v>0</v>
      </c>
      <c r="Q7" s="34"/>
      <c r="R7" s="20" t="str">
        <f t="shared" si="1"/>
        <v/>
      </c>
      <c r="S7" s="102">
        <f>+L7+O7</f>
        <v>0</v>
      </c>
      <c r="T7" s="20">
        <f>IF(AND(S4=0,S7&gt;=0), "",S7/S4)</f>
        <v>0</v>
      </c>
      <c r="U7" s="34"/>
      <c r="V7" s="103"/>
      <c r="W7" s="20" t="str">
        <f>IF(AND(V4=0,V7&gt;=0), "",V7/V4)</f>
        <v/>
      </c>
      <c r="X7" s="37" t="str">
        <f t="shared" si="2"/>
        <v/>
      </c>
      <c r="Y7" s="101">
        <f>+'N EERR RODEO'!F7</f>
        <v>0</v>
      </c>
      <c r="Z7" s="20" t="str">
        <f>IF(AND(Y4=0,Y7&gt;=0), "",Y7/Y4)</f>
        <v/>
      </c>
      <c r="AA7" s="34"/>
      <c r="AB7" s="20" t="str">
        <f t="shared" si="3"/>
        <v/>
      </c>
      <c r="AC7" s="102">
        <f>+S7+Y7</f>
        <v>0</v>
      </c>
      <c r="AD7" s="20">
        <f>IF(AND(AC4=0,AC7&gt;=0), "",AC7/AC4)</f>
        <v>0</v>
      </c>
      <c r="AE7" s="34"/>
      <c r="AF7" s="101">
        <f>+'N EERR RODEO'!G7</f>
        <v>0</v>
      </c>
      <c r="AG7" s="20" t="str">
        <f>IF(AND(AF4=0,AF7&gt;=0), "",AF7/AF4)</f>
        <v/>
      </c>
      <c r="AH7" s="34"/>
      <c r="AI7" s="20" t="str">
        <f t="shared" si="4"/>
        <v/>
      </c>
      <c r="AJ7" s="102">
        <f t="shared" ref="AJ7:AJ70" si="16">+AC7+AF7</f>
        <v>0</v>
      </c>
      <c r="AK7" s="20">
        <f>IF(AND(AJ4=0,AJ7&gt;=0), "",AJ7/AJ4)</f>
        <v>0</v>
      </c>
      <c r="AL7" s="34"/>
      <c r="AM7" s="101">
        <f>+'N EERR RODEO'!H7</f>
        <v>0</v>
      </c>
      <c r="AN7" s="20" t="str">
        <f>IF(AND(AM4=0,AM7&gt;=0), "",AM7/AM4)</f>
        <v/>
      </c>
      <c r="AO7" s="34"/>
      <c r="AP7" s="20" t="str">
        <f t="shared" si="5"/>
        <v/>
      </c>
      <c r="AQ7" s="102">
        <f t="shared" ref="AQ7:AQ70" si="17">+AJ7+AM7</f>
        <v>0</v>
      </c>
      <c r="AR7" s="20">
        <f>IF(AND(AQ4=0,AQ7&gt;=0), "",AQ7/AQ4)</f>
        <v>0</v>
      </c>
      <c r="AS7" s="34"/>
      <c r="AT7" s="103">
        <f>+V7*2</f>
        <v>0</v>
      </c>
      <c r="AU7" s="20" t="str">
        <f>IF(AND(AT4=0,AT7&gt;=0), "",AT7/AT4)</f>
        <v/>
      </c>
      <c r="AV7" s="37" t="str">
        <f t="shared" si="6"/>
        <v/>
      </c>
      <c r="AW7" s="103">
        <f>+AQ7/6</f>
        <v>0</v>
      </c>
      <c r="AX7" s="20">
        <f>IF(AND(AW4=0,AW7&gt;=0), "",AW7/AW4)</f>
        <v>0</v>
      </c>
      <c r="AY7" s="34"/>
      <c r="AZ7" s="103">
        <f>+AT7/6</f>
        <v>0</v>
      </c>
      <c r="BA7" s="20" t="str">
        <f>IF(AND(AZ4=0,AZ7&gt;=0), "",AZ7/AZ4)</f>
        <v/>
      </c>
      <c r="BB7" s="37" t="str">
        <f t="shared" si="7"/>
        <v/>
      </c>
      <c r="BC7" s="101">
        <f>+'N EERR RODEO'!I7</f>
        <v>0</v>
      </c>
      <c r="BD7" s="20" t="str">
        <f>IF(AND(BC4=0,BC7&gt;=0), "",BC7/BC4)</f>
        <v/>
      </c>
      <c r="BE7" s="34"/>
      <c r="BF7" s="20" t="str">
        <f t="shared" si="8"/>
        <v/>
      </c>
      <c r="BG7" s="102">
        <f>+AQ7+BC7</f>
        <v>0</v>
      </c>
      <c r="BH7" s="20">
        <f>IF(AND(BG4=0,BG7&gt;=0), "",BG7/BG4)</f>
        <v>0</v>
      </c>
      <c r="BI7" s="34"/>
      <c r="BJ7" s="101">
        <f>+'N EERR RODEO'!J7</f>
        <v>0</v>
      </c>
      <c r="BK7" s="20" t="str">
        <f>IF(AND(BJ4=0,BJ7&gt;=0), "",BJ7/BJ4)</f>
        <v/>
      </c>
      <c r="BL7" s="34"/>
      <c r="BM7" s="20" t="str">
        <f t="shared" si="9"/>
        <v/>
      </c>
      <c r="BN7" s="102">
        <f>+BG7+BJ7</f>
        <v>0</v>
      </c>
      <c r="BO7" s="20">
        <f>IF(AND(BN4=0,BN7&gt;=0), "",BN7/BN4)</f>
        <v>0</v>
      </c>
      <c r="BP7" s="34"/>
      <c r="BQ7" s="101">
        <f>+'N EERR RODEO'!K7</f>
        <v>0</v>
      </c>
      <c r="BR7" s="20" t="str">
        <f>IF(AND(BQ4=0,BQ7&gt;=0), "",BQ7/BQ4)</f>
        <v/>
      </c>
      <c r="BS7" s="34"/>
      <c r="BT7" s="20" t="str">
        <f t="shared" si="10"/>
        <v/>
      </c>
      <c r="BU7" s="102">
        <f>+BN7+BQ7</f>
        <v>0</v>
      </c>
      <c r="BV7" s="20">
        <f>IF(AND(BU4=0,BU7&gt;=0), "",BU7/BU4)</f>
        <v>0</v>
      </c>
      <c r="BW7" s="34"/>
      <c r="BX7" s="103">
        <f>+AZ7*9</f>
        <v>0</v>
      </c>
      <c r="BY7" s="20" t="str">
        <f>IF(AND(BX4=0,BX7&gt;=0), "",BX7/BX4)</f>
        <v/>
      </c>
      <c r="BZ7" s="37" t="str">
        <f t="shared" si="11"/>
        <v/>
      </c>
      <c r="CA7" s="101">
        <f>+'N EERR RODEO'!L7</f>
        <v>0</v>
      </c>
      <c r="CB7" s="20" t="str">
        <f>IF(AND(CA4=0,CA7&gt;=0), "",CA7/CA4)</f>
        <v/>
      </c>
      <c r="CC7" s="34"/>
      <c r="CD7" s="20" t="str">
        <f t="shared" si="12"/>
        <v/>
      </c>
      <c r="CE7" s="102">
        <f>+BU7+CA7</f>
        <v>0</v>
      </c>
      <c r="CF7" s="20">
        <f>IF(AND(CE4=0,CE7&gt;=0), "",CE7/CE4)</f>
        <v>0</v>
      </c>
      <c r="CG7" s="34"/>
      <c r="CH7" s="101">
        <f>+'N EERR RODEO'!M7</f>
        <v>0</v>
      </c>
      <c r="CI7" s="20" t="str">
        <f>IF(AND(CH4=0,CH7&gt;=0), "",CH7/CH4)</f>
        <v/>
      </c>
      <c r="CJ7" s="34"/>
      <c r="CK7" s="20" t="str">
        <f t="shared" si="13"/>
        <v/>
      </c>
      <c r="CL7" s="102">
        <f>+CE7+CH7</f>
        <v>0</v>
      </c>
      <c r="CM7" s="20">
        <f>IF(AND(CL4=0,CL7&gt;=0), "",CL7/CL4)</f>
        <v>0</v>
      </c>
      <c r="CN7" s="34"/>
      <c r="CO7" s="101">
        <f>+'N EERR RODEO'!N7</f>
        <v>0</v>
      </c>
      <c r="CP7" s="20" t="str">
        <f>IF(AND(CO4=0,CO7&gt;=0), "",CO7/CO4)</f>
        <v/>
      </c>
      <c r="CQ7" s="34"/>
      <c r="CR7" s="20" t="str">
        <f t="shared" si="14"/>
        <v/>
      </c>
      <c r="CS7" s="102">
        <f>+CL7+CO7</f>
        <v>0</v>
      </c>
      <c r="CT7" s="20">
        <f>IF(AND(CS4=0,CS7&gt;=0), "",CS7/CS4)</f>
        <v>0</v>
      </c>
      <c r="CU7" s="34"/>
      <c r="CV7" s="103">
        <f>+AZ7*12</f>
        <v>0</v>
      </c>
      <c r="CW7" s="20" t="str">
        <f>IF(AND(CV4=0,CV7&gt;=0), "",CV7/CV4)</f>
        <v/>
      </c>
      <c r="CX7" s="37" t="str">
        <f t="shared" si="15"/>
        <v/>
      </c>
    </row>
    <row r="8" spans="1:102" hidden="1" outlineLevel="1" x14ac:dyDescent="0.25">
      <c r="A8" s="19" t="s">
        <v>53</v>
      </c>
      <c r="B8" s="101">
        <f>+'N EERR RODEO'!B8+'N EERR RODEO'!B9</f>
        <v>0</v>
      </c>
      <c r="C8" s="20" t="str">
        <f>IF(AND(B5=0,B8&gt;=0), "",B8/B5)</f>
        <v/>
      </c>
      <c r="D8" s="34"/>
      <c r="E8" s="101">
        <f>+'N EERR RODEO'!C8+'N EERR RODEO'!C9</f>
        <v>0</v>
      </c>
      <c r="F8" s="20">
        <f>IF(AND(E5=0,E8&gt;=0), "",E8/E5)</f>
        <v>0</v>
      </c>
      <c r="G8" s="34"/>
      <c r="H8" s="101">
        <f>+'N EERR RODEO'!D8+'N EERR RODEO'!D9</f>
        <v>0</v>
      </c>
      <c r="I8" s="20">
        <f>IF(AND(H5=0,H8&gt;=0), "",H8/H5)</f>
        <v>0</v>
      </c>
      <c r="J8" s="34"/>
      <c r="K8" s="20" t="str">
        <f t="shared" si="0"/>
        <v/>
      </c>
      <c r="L8" s="102">
        <f>+E8+H8</f>
        <v>0</v>
      </c>
      <c r="M8" s="20">
        <f>IF(AND(L5=0,L8&gt;=0), "",L8/L5)</f>
        <v>0</v>
      </c>
      <c r="N8" s="34"/>
      <c r="O8" s="101">
        <f>+'N EERR RODEO'!E8+'N EERR RODEO'!E9</f>
        <v>0</v>
      </c>
      <c r="P8" s="20">
        <f>IF(AND(O5=0,O8&gt;=0), "",O8/O5)</f>
        <v>0</v>
      </c>
      <c r="Q8" s="34"/>
      <c r="R8" s="20" t="str">
        <f t="shared" si="1"/>
        <v/>
      </c>
      <c r="S8" s="102">
        <f>+L8+O8</f>
        <v>0</v>
      </c>
      <c r="T8" s="20">
        <f>IF(AND(S5=0,S8&gt;=0), "",S8/S5)</f>
        <v>0</v>
      </c>
      <c r="U8" s="34"/>
      <c r="V8" s="103"/>
      <c r="W8" s="20" t="str">
        <f>IF(AND(V5=0,V8&gt;=0), "",V8/V5)</f>
        <v/>
      </c>
      <c r="X8" s="37" t="str">
        <f t="shared" si="2"/>
        <v/>
      </c>
      <c r="Y8" s="101">
        <f>+'N EERR RODEO'!F8+'N EERR RODEO'!F9</f>
        <v>0</v>
      </c>
      <c r="Z8" s="20" t="str">
        <f>IF(AND(Y5=0,Y8&gt;=0), "",Y8/Y5)</f>
        <v/>
      </c>
      <c r="AA8" s="34"/>
      <c r="AB8" s="20" t="str">
        <f t="shared" si="3"/>
        <v/>
      </c>
      <c r="AC8" s="102">
        <f>+S8+Y8</f>
        <v>0</v>
      </c>
      <c r="AD8" s="20">
        <f>IF(AND(AC5=0,AC8&gt;=0), "",AC8/AC5)</f>
        <v>0</v>
      </c>
      <c r="AE8" s="34"/>
      <c r="AF8" s="101">
        <f>+'N EERR RODEO'!G8+'N EERR RODEO'!G9</f>
        <v>0</v>
      </c>
      <c r="AG8" s="20" t="str">
        <f>IF(AND(AF5=0,AF8&gt;=0), "",AF8/AF5)</f>
        <v/>
      </c>
      <c r="AH8" s="34"/>
      <c r="AI8" s="20" t="str">
        <f t="shared" si="4"/>
        <v/>
      </c>
      <c r="AJ8" s="102">
        <f t="shared" si="16"/>
        <v>0</v>
      </c>
      <c r="AK8" s="20">
        <f>IF(AND(AJ5=0,AJ8&gt;=0), "",AJ8/AJ5)</f>
        <v>0</v>
      </c>
      <c r="AL8" s="34"/>
      <c r="AM8" s="101">
        <f>+'N EERR RODEO'!H8+'N EERR RODEO'!H9</f>
        <v>0</v>
      </c>
      <c r="AN8" s="20" t="str">
        <f>IF(AND(AM5=0,AM8&gt;=0), "",AM8/AM5)</f>
        <v/>
      </c>
      <c r="AO8" s="34"/>
      <c r="AP8" s="20" t="str">
        <f t="shared" si="5"/>
        <v/>
      </c>
      <c r="AQ8" s="102">
        <f t="shared" si="17"/>
        <v>0</v>
      </c>
      <c r="AR8" s="20">
        <f>IF(AND(AQ5=0,AQ8&gt;=0), "",AQ8/AQ5)</f>
        <v>0</v>
      </c>
      <c r="AS8" s="34"/>
      <c r="AT8" s="103">
        <f>+V8*2</f>
        <v>0</v>
      </c>
      <c r="AU8" s="20" t="str">
        <f>IF(AND(AT5=0,AT8&gt;=0), "",AT8/AT5)</f>
        <v/>
      </c>
      <c r="AV8" s="37" t="str">
        <f t="shared" si="6"/>
        <v/>
      </c>
      <c r="AW8" s="103">
        <f>+AQ8/6</f>
        <v>0</v>
      </c>
      <c r="AX8" s="20">
        <f>IF(AND(AW5=0,AW8&gt;=0), "",AW8/AW5)</f>
        <v>0</v>
      </c>
      <c r="AY8" s="34"/>
      <c r="AZ8" s="103">
        <f>+AT8/6</f>
        <v>0</v>
      </c>
      <c r="BA8" s="20" t="str">
        <f>IF(AND(AZ5=0,AZ8&gt;=0), "",AZ8/AZ5)</f>
        <v/>
      </c>
      <c r="BB8" s="37" t="str">
        <f t="shared" si="7"/>
        <v/>
      </c>
      <c r="BC8" s="101">
        <f>+'N EERR RODEO'!I8+'N EERR RODEO'!I9</f>
        <v>0</v>
      </c>
      <c r="BD8" s="20" t="str">
        <f>IF(AND(BC5=0,BC8&gt;=0), "",BC8/BC5)</f>
        <v/>
      </c>
      <c r="BE8" s="34"/>
      <c r="BF8" s="20" t="str">
        <f t="shared" si="8"/>
        <v/>
      </c>
      <c r="BG8" s="102">
        <f>+AQ8+BC8</f>
        <v>0</v>
      </c>
      <c r="BH8" s="20">
        <f>IF(AND(BG5=0,BG8&gt;=0), "",BG8/BG5)</f>
        <v>0</v>
      </c>
      <c r="BI8" s="34"/>
      <c r="BJ8" s="101">
        <f>+'N EERR RODEO'!J8+'N EERR RODEO'!J9</f>
        <v>0</v>
      </c>
      <c r="BK8" s="20" t="str">
        <f>IF(AND(BJ5=0,BJ8&gt;=0), "",BJ8/BJ5)</f>
        <v/>
      </c>
      <c r="BL8" s="34"/>
      <c r="BM8" s="20" t="str">
        <f t="shared" si="9"/>
        <v/>
      </c>
      <c r="BN8" s="102">
        <f>+BG8+BJ8</f>
        <v>0</v>
      </c>
      <c r="BO8" s="20">
        <f>IF(AND(BN5=0,BN8&gt;=0), "",BN8/BN5)</f>
        <v>0</v>
      </c>
      <c r="BP8" s="34"/>
      <c r="BQ8" s="101">
        <f>+'N EERR RODEO'!K8+'N EERR RODEO'!K9</f>
        <v>0</v>
      </c>
      <c r="BR8" s="20" t="str">
        <f>IF(AND(BQ5=0,BQ8&gt;=0), "",BQ8/BQ5)</f>
        <v/>
      </c>
      <c r="BS8" s="34"/>
      <c r="BT8" s="20" t="str">
        <f t="shared" si="10"/>
        <v/>
      </c>
      <c r="BU8" s="102">
        <f>+BN8+BQ8</f>
        <v>0</v>
      </c>
      <c r="BV8" s="20">
        <f>IF(AND(BU5=0,BU8&gt;=0), "",BU8/BU5)</f>
        <v>0</v>
      </c>
      <c r="BW8" s="34"/>
      <c r="BX8" s="103">
        <f>+AZ8*9</f>
        <v>0</v>
      </c>
      <c r="BY8" s="20" t="str">
        <f>IF(AND(BX5=0,BX8&gt;=0), "",BX8/BX5)</f>
        <v/>
      </c>
      <c r="BZ8" s="37" t="str">
        <f t="shared" si="11"/>
        <v/>
      </c>
      <c r="CA8" s="101">
        <f>+'N EERR RODEO'!L8+'N EERR RODEO'!L9</f>
        <v>0</v>
      </c>
      <c r="CB8" s="20" t="str">
        <f>IF(AND(CA5=0,CA8&gt;=0), "",CA8/CA5)</f>
        <v/>
      </c>
      <c r="CC8" s="34"/>
      <c r="CD8" s="20" t="str">
        <f t="shared" si="12"/>
        <v/>
      </c>
      <c r="CE8" s="102">
        <f>+BU8+CA8</f>
        <v>0</v>
      </c>
      <c r="CF8" s="20">
        <f>IF(AND(CE5=0,CE8&gt;=0), "",CE8/CE5)</f>
        <v>0</v>
      </c>
      <c r="CG8" s="34"/>
      <c r="CH8" s="101">
        <f>+'N EERR RODEO'!M8+'N EERR RODEO'!M9</f>
        <v>0</v>
      </c>
      <c r="CI8" s="20" t="str">
        <f>IF(AND(CH5=0,CH8&gt;=0), "",CH8/CH5)</f>
        <v/>
      </c>
      <c r="CJ8" s="34"/>
      <c r="CK8" s="20" t="str">
        <f t="shared" si="13"/>
        <v/>
      </c>
      <c r="CL8" s="102">
        <f>+CE8+CH8</f>
        <v>0</v>
      </c>
      <c r="CM8" s="20">
        <f>IF(AND(CL5=0,CL8&gt;=0), "",CL8/CL5)</f>
        <v>0</v>
      </c>
      <c r="CN8" s="34"/>
      <c r="CO8" s="101">
        <f>+'N EERR RODEO'!N8+'N EERR RODEO'!N9</f>
        <v>0</v>
      </c>
      <c r="CP8" s="20" t="str">
        <f>IF(AND(CO5=0,CO8&gt;=0), "",CO8/CO5)</f>
        <v/>
      </c>
      <c r="CQ8" s="34"/>
      <c r="CR8" s="20" t="str">
        <f t="shared" si="14"/>
        <v/>
      </c>
      <c r="CS8" s="102">
        <f>+CL8+CO8</f>
        <v>0</v>
      </c>
      <c r="CT8" s="20">
        <f>IF(AND(CS5=0,CS8&gt;=0), "",CS8/CS5)</f>
        <v>0</v>
      </c>
      <c r="CU8" s="34"/>
      <c r="CV8" s="103">
        <f>+AZ8*12</f>
        <v>0</v>
      </c>
      <c r="CW8" s="20" t="str">
        <f>IF(AND(CV5=0,CV8&gt;=0), "",CV8/CV5)</f>
        <v/>
      </c>
      <c r="CX8" s="37" t="str">
        <f t="shared" si="15"/>
        <v/>
      </c>
    </row>
    <row r="9" spans="1:102" hidden="1" outlineLevel="1" x14ac:dyDescent="0.25">
      <c r="A9" s="19"/>
      <c r="B9" s="101"/>
      <c r="C9" s="20"/>
      <c r="D9" s="34"/>
      <c r="E9" s="101"/>
      <c r="F9" s="20"/>
      <c r="G9" s="34"/>
      <c r="H9" s="101"/>
      <c r="I9" s="20"/>
      <c r="J9" s="34"/>
      <c r="K9" s="20" t="str">
        <f t="shared" si="0"/>
        <v/>
      </c>
      <c r="M9" s="20"/>
      <c r="N9" s="34"/>
      <c r="O9" s="101"/>
      <c r="P9" s="20"/>
      <c r="Q9" s="34"/>
      <c r="R9" s="20" t="str">
        <f t="shared" si="1"/>
        <v/>
      </c>
      <c r="T9" s="20"/>
      <c r="U9" s="34"/>
      <c r="V9" s="103"/>
      <c r="W9" s="20"/>
      <c r="X9" s="37" t="str">
        <f t="shared" si="2"/>
        <v/>
      </c>
      <c r="Y9" s="101"/>
      <c r="Z9" s="20"/>
      <c r="AA9" s="34"/>
      <c r="AB9" s="20" t="str">
        <f t="shared" si="3"/>
        <v/>
      </c>
      <c r="AD9" s="20"/>
      <c r="AE9" s="34"/>
      <c r="AF9" s="101"/>
      <c r="AG9" s="20"/>
      <c r="AH9" s="34"/>
      <c r="AI9" s="20" t="str">
        <f t="shared" si="4"/>
        <v/>
      </c>
      <c r="AJ9" s="102">
        <f t="shared" si="16"/>
        <v>0</v>
      </c>
      <c r="AK9" s="20"/>
      <c r="AL9" s="34"/>
      <c r="AM9" s="101"/>
      <c r="AN9" s="20"/>
      <c r="AO9" s="34"/>
      <c r="AP9" s="20" t="str">
        <f t="shared" si="5"/>
        <v/>
      </c>
      <c r="AQ9" s="102">
        <f t="shared" si="17"/>
        <v>0</v>
      </c>
      <c r="AR9" s="20"/>
      <c r="AS9" s="34"/>
      <c r="AT9" s="103">
        <f>+V9*2</f>
        <v>0</v>
      </c>
      <c r="AU9" s="20"/>
      <c r="AV9" s="37" t="str">
        <f t="shared" si="6"/>
        <v/>
      </c>
      <c r="AW9" s="103"/>
      <c r="AX9" s="20"/>
      <c r="AY9" s="34"/>
      <c r="AZ9" s="103">
        <f>+AT9/6</f>
        <v>0</v>
      </c>
      <c r="BA9" s="20"/>
      <c r="BB9" s="37" t="str">
        <f t="shared" si="7"/>
        <v/>
      </c>
      <c r="BC9" s="101"/>
      <c r="BD9" s="20"/>
      <c r="BE9" s="34"/>
      <c r="BF9" s="20" t="str">
        <f t="shared" si="8"/>
        <v/>
      </c>
      <c r="BG9" s="102">
        <f>+AQ9+BC9</f>
        <v>0</v>
      </c>
      <c r="BH9" s="20"/>
      <c r="BI9" s="34"/>
      <c r="BJ9" s="101"/>
      <c r="BK9" s="20"/>
      <c r="BL9" s="34"/>
      <c r="BM9" s="20" t="str">
        <f t="shared" si="9"/>
        <v/>
      </c>
      <c r="BN9" s="102">
        <f>+BG9+BJ9</f>
        <v>0</v>
      </c>
      <c r="BO9" s="20"/>
      <c r="BP9" s="34"/>
      <c r="BQ9" s="101"/>
      <c r="BR9" s="20"/>
      <c r="BS9" s="34"/>
      <c r="BT9" s="20" t="str">
        <f t="shared" si="10"/>
        <v/>
      </c>
      <c r="BU9" s="102">
        <f>+BN9+BQ9</f>
        <v>0</v>
      </c>
      <c r="BV9" s="20"/>
      <c r="BW9" s="34"/>
      <c r="BX9" s="103">
        <f>+AZ9*9</f>
        <v>0</v>
      </c>
      <c r="BY9" s="20"/>
      <c r="BZ9" s="37" t="str">
        <f t="shared" si="11"/>
        <v/>
      </c>
      <c r="CA9" s="101"/>
      <c r="CB9" s="20"/>
      <c r="CC9" s="34"/>
      <c r="CD9" s="20" t="str">
        <f t="shared" si="12"/>
        <v/>
      </c>
      <c r="CF9" s="20"/>
      <c r="CG9" s="34"/>
      <c r="CH9" s="101"/>
      <c r="CI9" s="20"/>
      <c r="CJ9" s="34"/>
      <c r="CK9" s="20" t="str">
        <f t="shared" si="13"/>
        <v/>
      </c>
      <c r="CL9" s="102">
        <f>+CE9+CH9</f>
        <v>0</v>
      </c>
      <c r="CM9" s="20"/>
      <c r="CN9" s="34"/>
      <c r="CO9" s="101"/>
      <c r="CP9" s="20"/>
      <c r="CQ9" s="34"/>
      <c r="CR9" s="20" t="str">
        <f t="shared" si="14"/>
        <v/>
      </c>
      <c r="CS9" s="102">
        <f>+CL9+CO9</f>
        <v>0</v>
      </c>
      <c r="CT9" s="20"/>
      <c r="CU9" s="34"/>
      <c r="CV9" s="103">
        <f>+AZ9*12</f>
        <v>0</v>
      </c>
      <c r="CW9" s="20"/>
      <c r="CX9" s="37" t="str">
        <f t="shared" si="15"/>
        <v/>
      </c>
    </row>
    <row r="10" spans="1:102" s="5" customFormat="1" hidden="1" outlineLevel="1" x14ac:dyDescent="0.25">
      <c r="A10" s="27" t="s">
        <v>43</v>
      </c>
      <c r="B10" s="98">
        <f>SUM(B11:B14)</f>
        <v>0</v>
      </c>
      <c r="C10" s="28" t="str">
        <f>IF(AND(B4=0,B10&gt;=0), "",B10/B4)</f>
        <v/>
      </c>
      <c r="D10" s="33"/>
      <c r="E10" s="98">
        <f>SUM(E11:E14)</f>
        <v>0</v>
      </c>
      <c r="F10" s="28">
        <f>IF(AND(E4=0,E10&gt;=0), "",E10/E4)</f>
        <v>0</v>
      </c>
      <c r="G10" s="33"/>
      <c r="H10" s="98">
        <f>SUM(H11:H14)</f>
        <v>0</v>
      </c>
      <c r="I10" s="28">
        <f>IF(AND(H4=0,H10&gt;=0), "",H10/H4)</f>
        <v>0</v>
      </c>
      <c r="J10" s="33"/>
      <c r="K10" s="28" t="str">
        <f t="shared" si="0"/>
        <v/>
      </c>
      <c r="L10" s="99">
        <f>SUM(L11:L14)</f>
        <v>0</v>
      </c>
      <c r="M10" s="28">
        <f>IF(AND(L4=0,L10&gt;=0), "",L10/L4)</f>
        <v>0</v>
      </c>
      <c r="N10" s="33"/>
      <c r="O10" s="98">
        <f>SUM(O11:O14)</f>
        <v>0</v>
      </c>
      <c r="P10" s="28">
        <f>IF(AND(O4=0,O10&gt;=0), "",O10/O4)</f>
        <v>0</v>
      </c>
      <c r="Q10" s="33"/>
      <c r="R10" s="28" t="str">
        <f t="shared" si="1"/>
        <v/>
      </c>
      <c r="S10" s="99">
        <f>SUM(S11:S14)</f>
        <v>0</v>
      </c>
      <c r="T10" s="28">
        <f>IF(AND(S4=0,S10&gt;=0), "",S10/S4)</f>
        <v>0</v>
      </c>
      <c r="U10" s="33"/>
      <c r="V10" s="100">
        <f>SUM(V11:V14)</f>
        <v>0</v>
      </c>
      <c r="W10" s="28" t="str">
        <f>IF(AND(V4=0,V10&gt;=0), "",V10/V4)</f>
        <v/>
      </c>
      <c r="X10" s="78" t="str">
        <f t="shared" si="2"/>
        <v/>
      </c>
      <c r="Y10" s="98">
        <f>SUM(Y11:Y14)</f>
        <v>0</v>
      </c>
      <c r="Z10" s="28" t="str">
        <f>IF(AND(Y4=0,Y10&gt;=0), "",Y10/Y4)</f>
        <v/>
      </c>
      <c r="AA10" s="33"/>
      <c r="AB10" s="28" t="str">
        <f t="shared" si="3"/>
        <v/>
      </c>
      <c r="AC10" s="99">
        <f>SUM(AC11:AC14)</f>
        <v>0</v>
      </c>
      <c r="AD10" s="28">
        <f>IF(AND(AC4=0,AC10&gt;=0), "",AC10/AC4)</f>
        <v>0</v>
      </c>
      <c r="AE10" s="33"/>
      <c r="AF10" s="98">
        <f>SUM(AF11:AF14)</f>
        <v>0</v>
      </c>
      <c r="AG10" s="28" t="str">
        <f>IF(AND(AF4=0,AF10&gt;=0), "",AF10/AF4)</f>
        <v/>
      </c>
      <c r="AH10" s="33"/>
      <c r="AI10" s="28" t="str">
        <f t="shared" si="4"/>
        <v/>
      </c>
      <c r="AJ10" s="99">
        <f>SUM(AJ11:AJ14)</f>
        <v>0</v>
      </c>
      <c r="AK10" s="28">
        <f>IF(AND(AJ4=0,AJ10&gt;=0), "",AJ10/AJ4)</f>
        <v>0</v>
      </c>
      <c r="AL10" s="33"/>
      <c r="AM10" s="98">
        <f>SUM(AM11:AM14)</f>
        <v>0</v>
      </c>
      <c r="AN10" s="28" t="str">
        <f>IF(AND(AM4=0,AM10&gt;=0), "",AM10/AM4)</f>
        <v/>
      </c>
      <c r="AO10" s="33"/>
      <c r="AP10" s="28" t="str">
        <f t="shared" si="5"/>
        <v/>
      </c>
      <c r="AQ10" s="99">
        <f>SUM(AQ11:AQ14)</f>
        <v>0</v>
      </c>
      <c r="AR10" s="28">
        <f>IF(AND(AQ4=0,AQ10&gt;=0), "",AQ10/AQ4)</f>
        <v>0</v>
      </c>
      <c r="AS10" s="33"/>
      <c r="AT10" s="100">
        <f>SUM(AT11:AT14)</f>
        <v>0</v>
      </c>
      <c r="AU10" s="28" t="str">
        <f>IF(AND(AT4=0,AT10&gt;=0), "",AT10/AT4)</f>
        <v/>
      </c>
      <c r="AV10" s="78" t="str">
        <f t="shared" si="6"/>
        <v/>
      </c>
      <c r="AW10" s="100">
        <f>SUM(AW11:AW14)</f>
        <v>0</v>
      </c>
      <c r="AX10" s="28">
        <f>IF(AND(AW4=0,AW10&gt;=0), "",AW10/AW4)</f>
        <v>0</v>
      </c>
      <c r="AY10" s="33"/>
      <c r="AZ10" s="100">
        <f>SUM(AZ11:AZ14)</f>
        <v>0</v>
      </c>
      <c r="BA10" s="28" t="str">
        <f>IF(AND(AZ4=0,AZ10&gt;=0), "",AZ10/AZ4)</f>
        <v/>
      </c>
      <c r="BB10" s="78" t="str">
        <f t="shared" si="7"/>
        <v/>
      </c>
      <c r="BC10" s="98">
        <f>SUM(BC11:BC14)</f>
        <v>0</v>
      </c>
      <c r="BD10" s="28" t="str">
        <f>IF(AND(BC4=0,BC10&gt;=0), "",BC10/BC4)</f>
        <v/>
      </c>
      <c r="BE10" s="33"/>
      <c r="BF10" s="28" t="str">
        <f t="shared" si="8"/>
        <v/>
      </c>
      <c r="BG10" s="99">
        <f>SUM(BG11:BG14)</f>
        <v>0</v>
      </c>
      <c r="BH10" s="28">
        <f>IF(AND(BG4=0,BG10&gt;=0), "",BG10/BG4)</f>
        <v>0</v>
      </c>
      <c r="BI10" s="33"/>
      <c r="BJ10" s="98">
        <f>SUM(BJ11:BJ14)</f>
        <v>0</v>
      </c>
      <c r="BK10" s="28" t="str">
        <f>IF(AND(BJ4=0,BJ10&gt;=0), "",BJ10/BJ4)</f>
        <v/>
      </c>
      <c r="BL10" s="33"/>
      <c r="BM10" s="28" t="str">
        <f t="shared" si="9"/>
        <v/>
      </c>
      <c r="BN10" s="99">
        <f>SUM(BN11:BN14)</f>
        <v>0</v>
      </c>
      <c r="BO10" s="28">
        <f>IF(AND(BN4=0,BN10&gt;=0), "",BN10/BN4)</f>
        <v>0</v>
      </c>
      <c r="BP10" s="33"/>
      <c r="BQ10" s="98">
        <f>SUM(BQ11:BQ14)</f>
        <v>0</v>
      </c>
      <c r="BR10" s="28" t="str">
        <f>IF(AND(BQ4=0,BQ10&gt;=0), "",BQ10/BQ4)</f>
        <v/>
      </c>
      <c r="BS10" s="33"/>
      <c r="BT10" s="28" t="str">
        <f t="shared" si="10"/>
        <v/>
      </c>
      <c r="BU10" s="99">
        <f>SUM(BU11:BU14)</f>
        <v>0</v>
      </c>
      <c r="BV10" s="28">
        <f>IF(AND(BU4=0,BU10&gt;=0), "",BU10/BU4)</f>
        <v>0</v>
      </c>
      <c r="BW10" s="33"/>
      <c r="BX10" s="100">
        <f>SUM(BX11:BX14)</f>
        <v>0</v>
      </c>
      <c r="BY10" s="28" t="str">
        <f>IF(AND(BX4=0,BX10&gt;=0), "",BX10/BX4)</f>
        <v/>
      </c>
      <c r="BZ10" s="78" t="str">
        <f t="shared" si="11"/>
        <v/>
      </c>
      <c r="CA10" s="98">
        <f>SUM(CA11:CA14)</f>
        <v>0</v>
      </c>
      <c r="CB10" s="28" t="str">
        <f>IF(AND(CA4=0,CA10&gt;=0), "",CA10/CA4)</f>
        <v/>
      </c>
      <c r="CC10" s="33"/>
      <c r="CD10" s="28" t="str">
        <f t="shared" si="12"/>
        <v/>
      </c>
      <c r="CE10" s="99">
        <f>SUM(CE11:CE14)</f>
        <v>0</v>
      </c>
      <c r="CF10" s="28">
        <f>IF(AND(CE4=0,CE10&gt;=0), "",CE10/CE4)</f>
        <v>0</v>
      </c>
      <c r="CG10" s="33"/>
      <c r="CH10" s="98">
        <f>SUM(CH11:CH14)</f>
        <v>0</v>
      </c>
      <c r="CI10" s="28" t="str">
        <f>IF(AND(CH4=0,CH10&gt;=0), "",CH10/CH4)</f>
        <v/>
      </c>
      <c r="CJ10" s="33"/>
      <c r="CK10" s="28" t="str">
        <f t="shared" si="13"/>
        <v/>
      </c>
      <c r="CL10" s="99">
        <f>SUM(CL11:CL14)</f>
        <v>0</v>
      </c>
      <c r="CM10" s="28">
        <f>IF(AND(CL4=0,CL10&gt;=0), "",CL10/CL4)</f>
        <v>0</v>
      </c>
      <c r="CN10" s="33"/>
      <c r="CO10" s="98">
        <f>SUM(CO11:CO14)</f>
        <v>0</v>
      </c>
      <c r="CP10" s="28" t="str">
        <f>IF(AND(CO4=0,CO10&gt;=0), "",CO10/CO4)</f>
        <v/>
      </c>
      <c r="CQ10" s="33"/>
      <c r="CR10" s="28" t="str">
        <f t="shared" si="14"/>
        <v/>
      </c>
      <c r="CS10" s="99">
        <f>SUM(CS11:CS14)</f>
        <v>0</v>
      </c>
      <c r="CT10" s="28">
        <f>IF(AND(CS4=0,CS10&gt;=0), "",CS10/CS4)</f>
        <v>0</v>
      </c>
      <c r="CU10" s="33"/>
      <c r="CV10" s="100">
        <f>SUM(CV11:CV14)</f>
        <v>0</v>
      </c>
      <c r="CW10" s="28" t="str">
        <f>IF(AND(CV4=0,CV10&gt;=0), "",CV10/CV4)</f>
        <v/>
      </c>
      <c r="CX10" s="78" t="str">
        <f t="shared" si="15"/>
        <v/>
      </c>
    </row>
    <row r="11" spans="1:102" hidden="1" outlineLevel="1" x14ac:dyDescent="0.25">
      <c r="A11" s="19" t="s">
        <v>40</v>
      </c>
      <c r="B11" s="101">
        <f>+'N EERR RODEO'!B10</f>
        <v>0</v>
      </c>
      <c r="C11" s="20" t="str">
        <f>IF(AND(B4=0,B11&gt;=0), "",B11/B4)</f>
        <v/>
      </c>
      <c r="D11" s="34"/>
      <c r="E11" s="101">
        <f>+'N EERR RODEO'!C10</f>
        <v>0</v>
      </c>
      <c r="F11" s="20">
        <f>IF(AND(E4=0,E11&gt;=0), "",E11/E4)</f>
        <v>0</v>
      </c>
      <c r="G11" s="34"/>
      <c r="H11" s="101">
        <f>+'N EERR RODEO'!D10</f>
        <v>0</v>
      </c>
      <c r="I11" s="20">
        <f>IF(AND(H4=0,H11&gt;=0), "",H11/H4)</f>
        <v>0</v>
      </c>
      <c r="J11" s="34"/>
      <c r="K11" s="20" t="str">
        <f t="shared" si="0"/>
        <v/>
      </c>
      <c r="L11" s="102">
        <f>+E11+H11</f>
        <v>0</v>
      </c>
      <c r="M11" s="20">
        <f>IF(AND(L4=0,L11&gt;=0), "",L11/L4)</f>
        <v>0</v>
      </c>
      <c r="N11" s="34"/>
      <c r="O11" s="101">
        <f>+'N EERR RODEO'!E10</f>
        <v>0</v>
      </c>
      <c r="P11" s="20">
        <f>IF(AND(O4=0,O11&gt;=0), "",O11/O4)</f>
        <v>0</v>
      </c>
      <c r="Q11" s="34"/>
      <c r="R11" s="20" t="str">
        <f t="shared" si="1"/>
        <v/>
      </c>
      <c r="S11" s="102">
        <f>+L11+O11</f>
        <v>0</v>
      </c>
      <c r="T11" s="20">
        <f>IF(AND(S4=0,S11&gt;=0), "",S11/S4)</f>
        <v>0</v>
      </c>
      <c r="U11" s="34"/>
      <c r="V11" s="103"/>
      <c r="W11" s="20" t="str">
        <f>IF(AND(V4=0,V11&gt;=0), "",V11/V4)</f>
        <v/>
      </c>
      <c r="X11" s="37" t="str">
        <f t="shared" si="2"/>
        <v/>
      </c>
      <c r="Y11" s="101">
        <f>+'N EERR RODEO'!F10</f>
        <v>0</v>
      </c>
      <c r="Z11" s="20" t="str">
        <f>IF(AND(Y4=0,Y11&gt;=0), "",Y11/Y4)</f>
        <v/>
      </c>
      <c r="AA11" s="34"/>
      <c r="AB11" s="20" t="str">
        <f t="shared" si="3"/>
        <v/>
      </c>
      <c r="AC11" s="102">
        <f>+S11+Y11</f>
        <v>0</v>
      </c>
      <c r="AD11" s="20">
        <f>IF(AND(AC4=0,AC11&gt;=0), "",AC11/AC4)</f>
        <v>0</v>
      </c>
      <c r="AE11" s="34"/>
      <c r="AF11" s="101">
        <f>+'N EERR RODEO'!G10</f>
        <v>0</v>
      </c>
      <c r="AG11" s="20" t="str">
        <f>IF(AND(AF4=0,AF11&gt;=0), "",AF11/AF4)</f>
        <v/>
      </c>
      <c r="AH11" s="34"/>
      <c r="AI11" s="20" t="str">
        <f t="shared" si="4"/>
        <v/>
      </c>
      <c r="AJ11" s="102">
        <f t="shared" si="16"/>
        <v>0</v>
      </c>
      <c r="AK11" s="20">
        <f>IF(AND(AJ4=0,AJ11&gt;=0), "",AJ11/AJ4)</f>
        <v>0</v>
      </c>
      <c r="AL11" s="34"/>
      <c r="AM11" s="101">
        <f>+'N EERR RODEO'!H10</f>
        <v>0</v>
      </c>
      <c r="AN11" s="20" t="str">
        <f>IF(AND(AM4=0,AM11&gt;=0), "",AM11/AM4)</f>
        <v/>
      </c>
      <c r="AO11" s="34"/>
      <c r="AP11" s="20" t="str">
        <f t="shared" si="5"/>
        <v/>
      </c>
      <c r="AQ11" s="102">
        <f t="shared" si="17"/>
        <v>0</v>
      </c>
      <c r="AR11" s="20">
        <f>IF(AND(AQ4=0,AQ11&gt;=0), "",AQ11/AQ4)</f>
        <v>0</v>
      </c>
      <c r="AS11" s="34"/>
      <c r="AT11" s="103">
        <f>+V11*2</f>
        <v>0</v>
      </c>
      <c r="AU11" s="20" t="str">
        <f>IF(AND(AT4=0,AT11&gt;=0), "",AT11/AT4)</f>
        <v/>
      </c>
      <c r="AV11" s="37" t="str">
        <f t="shared" si="6"/>
        <v/>
      </c>
      <c r="AW11" s="103">
        <f>+AQ11/6</f>
        <v>0</v>
      </c>
      <c r="AX11" s="20">
        <f>IF(AND(AW4=0,AW11&gt;=0), "",AW11/AW4)</f>
        <v>0</v>
      </c>
      <c r="AY11" s="34"/>
      <c r="AZ11" s="103">
        <f>+AT11/6</f>
        <v>0</v>
      </c>
      <c r="BA11" s="20" t="str">
        <f>IF(AND(AZ4=0,AZ11&gt;=0), "",AZ11/AZ4)</f>
        <v/>
      </c>
      <c r="BB11" s="37" t="str">
        <f t="shared" si="7"/>
        <v/>
      </c>
      <c r="BC11" s="101">
        <f>+'N EERR RODEO'!I10</f>
        <v>0</v>
      </c>
      <c r="BD11" s="20" t="str">
        <f>IF(AND(BC4=0,BC11&gt;=0), "",BC11/BC4)</f>
        <v/>
      </c>
      <c r="BE11" s="34"/>
      <c r="BF11" s="20" t="str">
        <f t="shared" si="8"/>
        <v/>
      </c>
      <c r="BG11" s="102">
        <f>+AQ11+BC11</f>
        <v>0</v>
      </c>
      <c r="BH11" s="20">
        <f>IF(AND(BG4=0,BG11&gt;=0), "",BG11/BG4)</f>
        <v>0</v>
      </c>
      <c r="BI11" s="34"/>
      <c r="BJ11" s="101">
        <f>+'N EERR RODEO'!J10</f>
        <v>0</v>
      </c>
      <c r="BK11" s="20" t="str">
        <f>IF(AND(BJ4=0,BJ11&gt;=0), "",BJ11/BJ4)</f>
        <v/>
      </c>
      <c r="BL11" s="34"/>
      <c r="BM11" s="20" t="str">
        <f t="shared" si="9"/>
        <v/>
      </c>
      <c r="BN11" s="102">
        <f>+BG11+BJ11</f>
        <v>0</v>
      </c>
      <c r="BO11" s="20">
        <f>IF(AND(BN4=0,BN11&gt;=0), "",BN11/BN4)</f>
        <v>0</v>
      </c>
      <c r="BP11" s="34"/>
      <c r="BQ11" s="101">
        <f>+'N EERR RODEO'!K10</f>
        <v>0</v>
      </c>
      <c r="BR11" s="20" t="str">
        <f>IF(AND(BQ4=0,BQ11&gt;=0), "",BQ11/BQ4)</f>
        <v/>
      </c>
      <c r="BS11" s="34"/>
      <c r="BT11" s="20" t="str">
        <f t="shared" si="10"/>
        <v/>
      </c>
      <c r="BU11" s="102">
        <f>+BN11+BQ11</f>
        <v>0</v>
      </c>
      <c r="BV11" s="20">
        <f>IF(AND(BU4=0,BU11&gt;=0), "",BU11/BU4)</f>
        <v>0</v>
      </c>
      <c r="BW11" s="34"/>
      <c r="BX11" s="103">
        <f>+AZ11*9</f>
        <v>0</v>
      </c>
      <c r="BY11" s="20" t="str">
        <f>IF(AND(BX4=0,BX11&gt;=0), "",BX11/BX4)</f>
        <v/>
      </c>
      <c r="BZ11" s="37" t="str">
        <f t="shared" si="11"/>
        <v/>
      </c>
      <c r="CA11" s="101">
        <f>+'N EERR RODEO'!L10</f>
        <v>0</v>
      </c>
      <c r="CB11" s="20" t="str">
        <f>IF(AND(CA4=0,CA11&gt;=0), "",CA11/CA4)</f>
        <v/>
      </c>
      <c r="CC11" s="34"/>
      <c r="CD11" s="20" t="str">
        <f t="shared" si="12"/>
        <v/>
      </c>
      <c r="CE11" s="102">
        <f>+BU11+CA11</f>
        <v>0</v>
      </c>
      <c r="CF11" s="20">
        <f>IF(AND(CE4=0,CE11&gt;=0), "",CE11/CE4)</f>
        <v>0</v>
      </c>
      <c r="CG11" s="34"/>
      <c r="CH11" s="101">
        <f>+'N EERR RODEO'!M10</f>
        <v>0</v>
      </c>
      <c r="CI11" s="20" t="str">
        <f>IF(AND(CH4=0,CH11&gt;=0), "",CH11/CH4)</f>
        <v/>
      </c>
      <c r="CJ11" s="34"/>
      <c r="CK11" s="20" t="str">
        <f t="shared" si="13"/>
        <v/>
      </c>
      <c r="CL11" s="102">
        <f>+CE11+CH11</f>
        <v>0</v>
      </c>
      <c r="CM11" s="20">
        <f>IF(AND(CL4=0,CL11&gt;=0), "",CL11/CL4)</f>
        <v>0</v>
      </c>
      <c r="CN11" s="34"/>
      <c r="CO11" s="101">
        <f>+'N EERR RODEO'!N10</f>
        <v>0</v>
      </c>
      <c r="CP11" s="20" t="str">
        <f>IF(AND(CO4=0,CO11&gt;=0), "",CO11/CO4)</f>
        <v/>
      </c>
      <c r="CQ11" s="34"/>
      <c r="CR11" s="20" t="str">
        <f t="shared" si="14"/>
        <v/>
      </c>
      <c r="CS11" s="102">
        <f>+CL11+CO11</f>
        <v>0</v>
      </c>
      <c r="CT11" s="20">
        <f>IF(AND(CS4=0,CS11&gt;=0), "",CS11/CS4)</f>
        <v>0</v>
      </c>
      <c r="CU11" s="34"/>
      <c r="CV11" s="103">
        <f t="shared" ref="CV11:CV21" si="18">+AZ11*12</f>
        <v>0</v>
      </c>
      <c r="CW11" s="20" t="str">
        <f>IF(AND(CV4=0,CV11&gt;=0), "",CV11/CV4)</f>
        <v/>
      </c>
      <c r="CX11" s="37" t="str">
        <f t="shared" si="15"/>
        <v/>
      </c>
    </row>
    <row r="12" spans="1:102" hidden="1" outlineLevel="1" x14ac:dyDescent="0.25">
      <c r="A12" s="19" t="s">
        <v>41</v>
      </c>
      <c r="B12" s="101">
        <f>+'N EERR RODEO'!B11</f>
        <v>0</v>
      </c>
      <c r="C12" s="20" t="str">
        <f>IF(AND(B4=0,B12&gt;=0), "",B12/B4)</f>
        <v/>
      </c>
      <c r="D12" s="34"/>
      <c r="E12" s="101">
        <f>+'N EERR RODEO'!C11</f>
        <v>0</v>
      </c>
      <c r="F12" s="20">
        <f>IF(AND(E4=0,E12&gt;=0), "",E12/E4)</f>
        <v>0</v>
      </c>
      <c r="G12" s="34"/>
      <c r="H12" s="101">
        <f>+'N EERR RODEO'!D11</f>
        <v>0</v>
      </c>
      <c r="I12" s="20">
        <f>IF(AND(H4=0,H12&gt;=0), "",H12/H4)</f>
        <v>0</v>
      </c>
      <c r="J12" s="34"/>
      <c r="K12" s="20" t="str">
        <f t="shared" si="0"/>
        <v/>
      </c>
      <c r="L12" s="102">
        <f>+E12+H12</f>
        <v>0</v>
      </c>
      <c r="M12" s="20">
        <f>IF(AND(L4=0,L12&gt;=0), "",L12/L4)</f>
        <v>0</v>
      </c>
      <c r="N12" s="34"/>
      <c r="O12" s="101">
        <f>+'N EERR RODEO'!E11</f>
        <v>0</v>
      </c>
      <c r="P12" s="20">
        <f>IF(AND(O4=0,O12&gt;=0), "",O12/O4)</f>
        <v>0</v>
      </c>
      <c r="Q12" s="34"/>
      <c r="R12" s="20" t="str">
        <f t="shared" si="1"/>
        <v/>
      </c>
      <c r="S12" s="102">
        <f>+L12+O12</f>
        <v>0</v>
      </c>
      <c r="T12" s="20">
        <f>IF(AND(S4=0,S12&gt;=0), "",S12/S4)</f>
        <v>0</v>
      </c>
      <c r="U12" s="34"/>
      <c r="V12" s="103"/>
      <c r="W12" s="20" t="str">
        <f>IF(AND(V4=0,V12&gt;=0), "",V12/V4)</f>
        <v/>
      </c>
      <c r="X12" s="37" t="str">
        <f t="shared" si="2"/>
        <v/>
      </c>
      <c r="Y12" s="101">
        <f>+'N EERR RODEO'!F11</f>
        <v>0</v>
      </c>
      <c r="Z12" s="20" t="str">
        <f>IF(AND(Y4=0,Y12&gt;=0), "",Y12/Y4)</f>
        <v/>
      </c>
      <c r="AA12" s="34"/>
      <c r="AB12" s="20" t="str">
        <f t="shared" si="3"/>
        <v/>
      </c>
      <c r="AC12" s="102">
        <f>+S12+Y12</f>
        <v>0</v>
      </c>
      <c r="AD12" s="20">
        <f>IF(AND(AC4=0,AC12&gt;=0), "",AC12/AC4)</f>
        <v>0</v>
      </c>
      <c r="AE12" s="34"/>
      <c r="AF12" s="101">
        <f>+'N EERR RODEO'!G11</f>
        <v>0</v>
      </c>
      <c r="AG12" s="20" t="str">
        <f>IF(AND(AF4=0,AF12&gt;=0), "",AF12/AF4)</f>
        <v/>
      </c>
      <c r="AH12" s="34"/>
      <c r="AI12" s="20" t="str">
        <f t="shared" si="4"/>
        <v/>
      </c>
      <c r="AJ12" s="102">
        <f t="shared" si="16"/>
        <v>0</v>
      </c>
      <c r="AK12" s="20">
        <f>IF(AND(AJ4=0,AJ12&gt;=0), "",AJ12/AJ4)</f>
        <v>0</v>
      </c>
      <c r="AL12" s="34"/>
      <c r="AM12" s="101">
        <f>+'N EERR RODEO'!H11</f>
        <v>0</v>
      </c>
      <c r="AN12" s="20" t="str">
        <f>IF(AND(AM4=0,AM12&gt;=0), "",AM12/AM4)</f>
        <v/>
      </c>
      <c r="AO12" s="34"/>
      <c r="AP12" s="20" t="str">
        <f t="shared" si="5"/>
        <v/>
      </c>
      <c r="AQ12" s="102">
        <f t="shared" si="17"/>
        <v>0</v>
      </c>
      <c r="AR12" s="20">
        <f>IF(AND(AQ4=0,AQ12&gt;=0), "",AQ12/AQ4)</f>
        <v>0</v>
      </c>
      <c r="AS12" s="34"/>
      <c r="AT12" s="103">
        <f>+V12*2</f>
        <v>0</v>
      </c>
      <c r="AU12" s="20" t="str">
        <f>IF(AND(AT4=0,AT12&gt;=0), "",AT12/AT4)</f>
        <v/>
      </c>
      <c r="AV12" s="37" t="str">
        <f t="shared" si="6"/>
        <v/>
      </c>
      <c r="AW12" s="103">
        <f>+AQ12/6</f>
        <v>0</v>
      </c>
      <c r="AX12" s="20">
        <f>IF(AND(AW4=0,AW12&gt;=0), "",AW12/AW4)</f>
        <v>0</v>
      </c>
      <c r="AY12" s="34"/>
      <c r="AZ12" s="103">
        <f>+AT12/6</f>
        <v>0</v>
      </c>
      <c r="BA12" s="20" t="str">
        <f>IF(AND(AZ4=0,AZ12&gt;=0), "",AZ12/AZ4)</f>
        <v/>
      </c>
      <c r="BB12" s="37" t="str">
        <f t="shared" si="7"/>
        <v/>
      </c>
      <c r="BC12" s="101">
        <f>+'N EERR RODEO'!I11</f>
        <v>0</v>
      </c>
      <c r="BD12" s="20" t="str">
        <f>IF(AND(BC4=0,BC12&gt;=0), "",BC12/BC4)</f>
        <v/>
      </c>
      <c r="BE12" s="34"/>
      <c r="BF12" s="20" t="str">
        <f t="shared" si="8"/>
        <v/>
      </c>
      <c r="BG12" s="102">
        <f>+AQ12+BC12</f>
        <v>0</v>
      </c>
      <c r="BH12" s="20">
        <f>IF(AND(BG4=0,BG12&gt;=0), "",BG12/BG4)</f>
        <v>0</v>
      </c>
      <c r="BI12" s="34"/>
      <c r="BJ12" s="101">
        <f>+'N EERR RODEO'!J11</f>
        <v>0</v>
      </c>
      <c r="BK12" s="20" t="str">
        <f>IF(AND(BJ4=0,BJ12&gt;=0), "",BJ12/BJ4)</f>
        <v/>
      </c>
      <c r="BL12" s="34"/>
      <c r="BM12" s="20" t="str">
        <f t="shared" si="9"/>
        <v/>
      </c>
      <c r="BN12" s="102">
        <f>+BG12+BJ12</f>
        <v>0</v>
      </c>
      <c r="BO12" s="20">
        <f>IF(AND(BN4=0,BN12&gt;=0), "",BN12/BN4)</f>
        <v>0</v>
      </c>
      <c r="BP12" s="34"/>
      <c r="BQ12" s="101">
        <f>+'N EERR RODEO'!K11</f>
        <v>0</v>
      </c>
      <c r="BR12" s="20" t="str">
        <f>IF(AND(BQ4=0,BQ12&gt;=0), "",BQ12/BQ4)</f>
        <v/>
      </c>
      <c r="BS12" s="34"/>
      <c r="BT12" s="20" t="str">
        <f t="shared" si="10"/>
        <v/>
      </c>
      <c r="BU12" s="102">
        <f>+BN12+BQ12</f>
        <v>0</v>
      </c>
      <c r="BV12" s="20">
        <f>IF(AND(BU4=0,BU12&gt;=0), "",BU12/BU4)</f>
        <v>0</v>
      </c>
      <c r="BW12" s="34"/>
      <c r="BX12" s="103">
        <f>+AZ12*9</f>
        <v>0</v>
      </c>
      <c r="BY12" s="20" t="str">
        <f>IF(AND(BX4=0,BX12&gt;=0), "",BX12/BX4)</f>
        <v/>
      </c>
      <c r="BZ12" s="37" t="str">
        <f t="shared" si="11"/>
        <v/>
      </c>
      <c r="CA12" s="101">
        <f>+'N EERR RODEO'!L11</f>
        <v>0</v>
      </c>
      <c r="CB12" s="20" t="str">
        <f>IF(AND(CA4=0,CA12&gt;=0), "",CA12/CA4)</f>
        <v/>
      </c>
      <c r="CC12" s="34"/>
      <c r="CD12" s="20" t="str">
        <f t="shared" si="12"/>
        <v/>
      </c>
      <c r="CE12" s="102">
        <f>+BU12+CA12</f>
        <v>0</v>
      </c>
      <c r="CF12" s="20">
        <f>IF(AND(CE4=0,CE12&gt;=0), "",CE12/CE4)</f>
        <v>0</v>
      </c>
      <c r="CG12" s="34"/>
      <c r="CH12" s="101">
        <f>+'N EERR RODEO'!M11</f>
        <v>0</v>
      </c>
      <c r="CI12" s="20" t="str">
        <f>IF(AND(CH4=0,CH12&gt;=0), "",CH12/CH4)</f>
        <v/>
      </c>
      <c r="CJ12" s="34"/>
      <c r="CK12" s="20" t="str">
        <f t="shared" si="13"/>
        <v/>
      </c>
      <c r="CL12" s="102">
        <f>+CE12+CH12</f>
        <v>0</v>
      </c>
      <c r="CM12" s="20">
        <f>IF(AND(CL4=0,CL12&gt;=0), "",CL12/CL4)</f>
        <v>0</v>
      </c>
      <c r="CN12" s="34"/>
      <c r="CO12" s="101">
        <f>+'N EERR RODEO'!N11</f>
        <v>0</v>
      </c>
      <c r="CP12" s="20" t="str">
        <f>IF(AND(CO4=0,CO12&gt;=0), "",CO12/CO4)</f>
        <v/>
      </c>
      <c r="CQ12" s="34"/>
      <c r="CR12" s="20" t="str">
        <f t="shared" si="14"/>
        <v/>
      </c>
      <c r="CS12" s="102">
        <f>+CL12+CO12</f>
        <v>0</v>
      </c>
      <c r="CT12" s="20">
        <f>IF(AND(CS4=0,CS12&gt;=0), "",CS12/CS4)</f>
        <v>0</v>
      </c>
      <c r="CU12" s="34"/>
      <c r="CV12" s="103">
        <f t="shared" si="18"/>
        <v>0</v>
      </c>
      <c r="CW12" s="20" t="str">
        <f>IF(AND(CV4=0,CV12&gt;=0), "",CV12/CV4)</f>
        <v/>
      </c>
      <c r="CX12" s="37" t="str">
        <f t="shared" si="15"/>
        <v/>
      </c>
    </row>
    <row r="13" spans="1:102" hidden="1" outlineLevel="1" x14ac:dyDescent="0.25">
      <c r="A13" s="19" t="s">
        <v>42</v>
      </c>
      <c r="B13" s="101">
        <f>+'N EERR RODEO'!B12</f>
        <v>0</v>
      </c>
      <c r="C13" s="20" t="str">
        <f>IF(AND(B4=0,B13&gt;=0), "",B13/B4)</f>
        <v/>
      </c>
      <c r="D13" s="34"/>
      <c r="E13" s="101">
        <f>+'N EERR RODEO'!C12</f>
        <v>0</v>
      </c>
      <c r="F13" s="20">
        <f>IF(AND(E4=0,E13&gt;=0), "",E13/E4)</f>
        <v>0</v>
      </c>
      <c r="G13" s="34"/>
      <c r="H13" s="101">
        <f>+'N EERR RODEO'!D12</f>
        <v>0</v>
      </c>
      <c r="I13" s="20">
        <f>IF(AND(H4=0,H13&gt;=0), "",H13/H4)</f>
        <v>0</v>
      </c>
      <c r="J13" s="34"/>
      <c r="K13" s="20" t="str">
        <f t="shared" si="0"/>
        <v/>
      </c>
      <c r="L13" s="102">
        <f>+E13+H13</f>
        <v>0</v>
      </c>
      <c r="M13" s="20">
        <f>IF(AND(L4=0,L13&gt;=0), "",L13/L4)</f>
        <v>0</v>
      </c>
      <c r="N13" s="34"/>
      <c r="O13" s="101">
        <f>+'N EERR RODEO'!E12</f>
        <v>0</v>
      </c>
      <c r="P13" s="20">
        <f>IF(AND(O4=0,O13&gt;=0), "",O13/O4)</f>
        <v>0</v>
      </c>
      <c r="Q13" s="34"/>
      <c r="R13" s="20" t="str">
        <f t="shared" si="1"/>
        <v/>
      </c>
      <c r="S13" s="102">
        <f>+L13+O13</f>
        <v>0</v>
      </c>
      <c r="T13" s="20">
        <f>IF(AND(S4=0,S13&gt;=0), "",S13/S4)</f>
        <v>0</v>
      </c>
      <c r="U13" s="34"/>
      <c r="V13" s="103"/>
      <c r="W13" s="20" t="str">
        <f>IF(AND(V4=0,V13&gt;=0), "",V13/V4)</f>
        <v/>
      </c>
      <c r="X13" s="37" t="str">
        <f t="shared" si="2"/>
        <v/>
      </c>
      <c r="Y13" s="101">
        <f>+'N EERR RODEO'!F12</f>
        <v>0</v>
      </c>
      <c r="Z13" s="20" t="str">
        <f>IF(AND(Y4=0,Y13&gt;=0), "",Y13/Y4)</f>
        <v/>
      </c>
      <c r="AA13" s="34"/>
      <c r="AB13" s="20" t="str">
        <f t="shared" si="3"/>
        <v/>
      </c>
      <c r="AC13" s="102">
        <f>+S13+Y13</f>
        <v>0</v>
      </c>
      <c r="AD13" s="20">
        <f>IF(AND(AC4=0,AC13&gt;=0), "",AC13/AC4)</f>
        <v>0</v>
      </c>
      <c r="AE13" s="34"/>
      <c r="AF13" s="101">
        <f>+'N EERR RODEO'!G12</f>
        <v>0</v>
      </c>
      <c r="AG13" s="20" t="str">
        <f>IF(AND(AF4=0,AF13&gt;=0), "",AF13/AF4)</f>
        <v/>
      </c>
      <c r="AH13" s="34"/>
      <c r="AI13" s="20" t="str">
        <f t="shared" si="4"/>
        <v/>
      </c>
      <c r="AJ13" s="102">
        <f t="shared" si="16"/>
        <v>0</v>
      </c>
      <c r="AK13" s="20">
        <f>IF(AND(AJ4=0,AJ13&gt;=0), "",AJ13/AJ4)</f>
        <v>0</v>
      </c>
      <c r="AL13" s="34"/>
      <c r="AM13" s="101">
        <f>+'N EERR RODEO'!H12</f>
        <v>0</v>
      </c>
      <c r="AN13" s="20" t="str">
        <f>IF(AND(AM4=0,AM13&gt;=0), "",AM13/AM4)</f>
        <v/>
      </c>
      <c r="AO13" s="34"/>
      <c r="AP13" s="20" t="str">
        <f t="shared" si="5"/>
        <v/>
      </c>
      <c r="AQ13" s="102">
        <f t="shared" si="17"/>
        <v>0</v>
      </c>
      <c r="AR13" s="20">
        <f>IF(AND(AQ4=0,AQ13&gt;=0), "",AQ13/AQ4)</f>
        <v>0</v>
      </c>
      <c r="AS13" s="34"/>
      <c r="AT13" s="103">
        <f>+V13*2</f>
        <v>0</v>
      </c>
      <c r="AU13" s="20" t="str">
        <f>IF(AND(AT4=0,AT13&gt;=0), "",AT13/AT4)</f>
        <v/>
      </c>
      <c r="AV13" s="37" t="str">
        <f t="shared" si="6"/>
        <v/>
      </c>
      <c r="AW13" s="103">
        <f>+AQ13/6</f>
        <v>0</v>
      </c>
      <c r="AX13" s="20">
        <f>IF(AND(AW4=0,AW13&gt;=0), "",AW13/AW4)</f>
        <v>0</v>
      </c>
      <c r="AY13" s="34"/>
      <c r="AZ13" s="103">
        <f>+AT13/6</f>
        <v>0</v>
      </c>
      <c r="BA13" s="20" t="str">
        <f>IF(AND(AZ4=0,AZ13&gt;=0), "",AZ13/AZ4)</f>
        <v/>
      </c>
      <c r="BB13" s="37" t="str">
        <f t="shared" si="7"/>
        <v/>
      </c>
      <c r="BC13" s="101">
        <f>+'N EERR RODEO'!I12</f>
        <v>0</v>
      </c>
      <c r="BD13" s="20" t="str">
        <f>IF(AND(BC4=0,BC13&gt;=0), "",BC13/BC4)</f>
        <v/>
      </c>
      <c r="BE13" s="34"/>
      <c r="BF13" s="20" t="str">
        <f t="shared" si="8"/>
        <v/>
      </c>
      <c r="BG13" s="102">
        <f>+AQ13+BC13</f>
        <v>0</v>
      </c>
      <c r="BH13" s="20">
        <f>IF(AND(BG4=0,BG13&gt;=0), "",BG13/BG4)</f>
        <v>0</v>
      </c>
      <c r="BI13" s="34"/>
      <c r="BJ13" s="101">
        <f>+'N EERR RODEO'!J12</f>
        <v>0</v>
      </c>
      <c r="BK13" s="20" t="str">
        <f>IF(AND(BJ4=0,BJ13&gt;=0), "",BJ13/BJ4)</f>
        <v/>
      </c>
      <c r="BL13" s="34"/>
      <c r="BM13" s="20" t="str">
        <f t="shared" si="9"/>
        <v/>
      </c>
      <c r="BN13" s="102">
        <f>+BG13+BJ13</f>
        <v>0</v>
      </c>
      <c r="BO13" s="20">
        <f>IF(AND(BN4=0,BN13&gt;=0), "",BN13/BN4)</f>
        <v>0</v>
      </c>
      <c r="BP13" s="34"/>
      <c r="BQ13" s="101">
        <f>+'N EERR RODEO'!K12</f>
        <v>0</v>
      </c>
      <c r="BR13" s="20" t="str">
        <f>IF(AND(BQ4=0,BQ13&gt;=0), "",BQ13/BQ4)</f>
        <v/>
      </c>
      <c r="BS13" s="34"/>
      <c r="BT13" s="20" t="str">
        <f t="shared" si="10"/>
        <v/>
      </c>
      <c r="BU13" s="102">
        <f>+BN13+BQ13</f>
        <v>0</v>
      </c>
      <c r="BV13" s="20">
        <f>IF(AND(BU4=0,BU13&gt;=0), "",BU13/BU4)</f>
        <v>0</v>
      </c>
      <c r="BW13" s="34"/>
      <c r="BX13" s="103">
        <f>+AZ13*9</f>
        <v>0</v>
      </c>
      <c r="BY13" s="20" t="str">
        <f>IF(AND(BX4=0,BX13&gt;=0), "",BX13/BX4)</f>
        <v/>
      </c>
      <c r="BZ13" s="37" t="str">
        <f t="shared" si="11"/>
        <v/>
      </c>
      <c r="CA13" s="101">
        <f>+'N EERR RODEO'!L12</f>
        <v>0</v>
      </c>
      <c r="CB13" s="20" t="str">
        <f>IF(AND(CA4=0,CA13&gt;=0), "",CA13/CA4)</f>
        <v/>
      </c>
      <c r="CC13" s="34"/>
      <c r="CD13" s="20" t="str">
        <f t="shared" si="12"/>
        <v/>
      </c>
      <c r="CE13" s="102">
        <f>+BU13+CA13</f>
        <v>0</v>
      </c>
      <c r="CF13" s="20">
        <f>IF(AND(CE4=0,CE13&gt;=0), "",CE13/CE4)</f>
        <v>0</v>
      </c>
      <c r="CG13" s="34"/>
      <c r="CH13" s="101">
        <f>+'N EERR RODEO'!M12</f>
        <v>0</v>
      </c>
      <c r="CI13" s="20" t="str">
        <f>IF(AND(CH4=0,CH13&gt;=0), "",CH13/CH4)</f>
        <v/>
      </c>
      <c r="CJ13" s="34"/>
      <c r="CK13" s="20" t="str">
        <f t="shared" si="13"/>
        <v/>
      </c>
      <c r="CL13" s="102">
        <f>+CE13+CH13</f>
        <v>0</v>
      </c>
      <c r="CM13" s="20">
        <f>IF(AND(CL4=0,CL13&gt;=0), "",CL13/CL4)</f>
        <v>0</v>
      </c>
      <c r="CN13" s="34"/>
      <c r="CO13" s="101">
        <f>+'N EERR RODEO'!N12</f>
        <v>0</v>
      </c>
      <c r="CP13" s="20" t="str">
        <f>IF(AND(CO4=0,CO13&gt;=0), "",CO13/CO4)</f>
        <v/>
      </c>
      <c r="CQ13" s="34"/>
      <c r="CR13" s="20" t="str">
        <f t="shared" si="14"/>
        <v/>
      </c>
      <c r="CS13" s="102">
        <f>+CL13+CO13</f>
        <v>0</v>
      </c>
      <c r="CT13" s="20">
        <f>IF(AND(CS4=0,CS13&gt;=0), "",CS13/CS4)</f>
        <v>0</v>
      </c>
      <c r="CU13" s="34"/>
      <c r="CV13" s="103">
        <f t="shared" si="18"/>
        <v>0</v>
      </c>
      <c r="CW13" s="20" t="str">
        <f>IF(AND(CV4=0,CV13&gt;=0), "",CV13/CV4)</f>
        <v/>
      </c>
      <c r="CX13" s="37" t="str">
        <f t="shared" si="15"/>
        <v/>
      </c>
    </row>
    <row r="14" spans="1:102" hidden="1" outlineLevel="1" x14ac:dyDescent="0.25">
      <c r="A14" s="21"/>
      <c r="B14" s="101"/>
      <c r="C14" s="20"/>
      <c r="D14" s="34"/>
      <c r="E14" s="101"/>
      <c r="F14" s="20"/>
      <c r="G14" s="34"/>
      <c r="H14" s="101"/>
      <c r="I14" s="20"/>
      <c r="J14" s="34"/>
      <c r="K14" s="20" t="str">
        <f t="shared" si="0"/>
        <v/>
      </c>
      <c r="M14" s="20"/>
      <c r="N14" s="34"/>
      <c r="O14" s="101"/>
      <c r="P14" s="20"/>
      <c r="Q14" s="34"/>
      <c r="R14" s="20" t="str">
        <f t="shared" si="1"/>
        <v/>
      </c>
      <c r="T14" s="20"/>
      <c r="U14" s="34"/>
      <c r="V14" s="103"/>
      <c r="W14" s="20"/>
      <c r="X14" s="37" t="str">
        <f t="shared" si="2"/>
        <v/>
      </c>
      <c r="Y14" s="101"/>
      <c r="Z14" s="20"/>
      <c r="AA14" s="34"/>
      <c r="AB14" s="20" t="str">
        <f t="shared" si="3"/>
        <v/>
      </c>
      <c r="AD14" s="20"/>
      <c r="AE14" s="34"/>
      <c r="AF14" s="101"/>
      <c r="AG14" s="20"/>
      <c r="AH14" s="34"/>
      <c r="AI14" s="20" t="str">
        <f t="shared" si="4"/>
        <v/>
      </c>
      <c r="AJ14" s="102">
        <f t="shared" si="16"/>
        <v>0</v>
      </c>
      <c r="AK14" s="20"/>
      <c r="AL14" s="34"/>
      <c r="AM14" s="101"/>
      <c r="AN14" s="20"/>
      <c r="AO14" s="34"/>
      <c r="AP14" s="20" t="str">
        <f t="shared" si="5"/>
        <v/>
      </c>
      <c r="AQ14" s="102">
        <f t="shared" si="17"/>
        <v>0</v>
      </c>
      <c r="AR14" s="20"/>
      <c r="AS14" s="34"/>
      <c r="AT14" s="103">
        <f>+V14*2</f>
        <v>0</v>
      </c>
      <c r="AU14" s="20"/>
      <c r="AV14" s="37" t="str">
        <f t="shared" si="6"/>
        <v/>
      </c>
      <c r="AW14" s="103">
        <f>+AQ14/6</f>
        <v>0</v>
      </c>
      <c r="AX14" s="20"/>
      <c r="AY14" s="34"/>
      <c r="AZ14" s="103">
        <f>+AT14/6</f>
        <v>0</v>
      </c>
      <c r="BA14" s="20"/>
      <c r="BB14" s="37" t="str">
        <f t="shared" si="7"/>
        <v/>
      </c>
      <c r="BC14" s="101"/>
      <c r="BD14" s="20"/>
      <c r="BE14" s="34"/>
      <c r="BF14" s="20" t="str">
        <f t="shared" si="8"/>
        <v/>
      </c>
      <c r="BG14" s="102">
        <f>+AQ14+BC14</f>
        <v>0</v>
      </c>
      <c r="BH14" s="20"/>
      <c r="BI14" s="34"/>
      <c r="BJ14" s="101"/>
      <c r="BK14" s="20"/>
      <c r="BL14" s="34"/>
      <c r="BM14" s="20" t="str">
        <f t="shared" si="9"/>
        <v/>
      </c>
      <c r="BN14" s="102">
        <f>+BG14+BJ14</f>
        <v>0</v>
      </c>
      <c r="BO14" s="20"/>
      <c r="BP14" s="34"/>
      <c r="BQ14" s="101"/>
      <c r="BR14" s="20"/>
      <c r="BS14" s="34"/>
      <c r="BT14" s="20" t="str">
        <f t="shared" si="10"/>
        <v/>
      </c>
      <c r="BU14" s="102">
        <f>+BN14+BQ14</f>
        <v>0</v>
      </c>
      <c r="BV14" s="20"/>
      <c r="BW14" s="34"/>
      <c r="BX14" s="103">
        <f>+AZ14*9</f>
        <v>0</v>
      </c>
      <c r="BY14" s="20"/>
      <c r="BZ14" s="37" t="str">
        <f t="shared" si="11"/>
        <v/>
      </c>
      <c r="CA14" s="101"/>
      <c r="CB14" s="20"/>
      <c r="CC14" s="34"/>
      <c r="CD14" s="20" t="str">
        <f t="shared" si="12"/>
        <v/>
      </c>
      <c r="CF14" s="20"/>
      <c r="CG14" s="34"/>
      <c r="CH14" s="101"/>
      <c r="CI14" s="20"/>
      <c r="CJ14" s="34"/>
      <c r="CK14" s="20" t="str">
        <f t="shared" si="13"/>
        <v/>
      </c>
      <c r="CL14" s="102">
        <f>+CE14+CH14</f>
        <v>0</v>
      </c>
      <c r="CM14" s="20"/>
      <c r="CN14" s="34"/>
      <c r="CO14" s="101"/>
      <c r="CP14" s="20"/>
      <c r="CQ14" s="34"/>
      <c r="CR14" s="20" t="str">
        <f t="shared" si="14"/>
        <v/>
      </c>
      <c r="CS14" s="102">
        <f>+CL14+CO14</f>
        <v>0</v>
      </c>
      <c r="CT14" s="20"/>
      <c r="CU14" s="34"/>
      <c r="CV14" s="103">
        <f t="shared" si="18"/>
        <v>0</v>
      </c>
      <c r="CW14" s="20"/>
      <c r="CX14" s="37" t="str">
        <f t="shared" si="15"/>
        <v/>
      </c>
    </row>
    <row r="15" spans="1:102" s="5" customFormat="1" hidden="1" outlineLevel="1" x14ac:dyDescent="0.25">
      <c r="A15" s="27" t="s">
        <v>44</v>
      </c>
      <c r="B15" s="98">
        <f>SUM(B16:B17)</f>
        <v>0</v>
      </c>
      <c r="C15" s="28" t="str">
        <f>IF(AND(B4=0,B15&gt;=0), "",B15/B4)</f>
        <v/>
      </c>
      <c r="D15" s="33"/>
      <c r="E15" s="98">
        <f>SUM(E16:E17)</f>
        <v>0</v>
      </c>
      <c r="F15" s="28">
        <f>IF(AND(E4=0,E15&gt;=0), "",E15/E4)</f>
        <v>0</v>
      </c>
      <c r="G15" s="33"/>
      <c r="H15" s="98">
        <f>SUM(H16:H17)</f>
        <v>0</v>
      </c>
      <c r="I15" s="28">
        <f>IF(AND(H4=0,H15&gt;=0), "",H15/H4)</f>
        <v>0</v>
      </c>
      <c r="J15" s="33"/>
      <c r="K15" s="28" t="str">
        <f t="shared" si="0"/>
        <v/>
      </c>
      <c r="L15" s="99">
        <f>SUM(L16:L17)</f>
        <v>0</v>
      </c>
      <c r="M15" s="28">
        <f>IF(AND(L4=0,L15&gt;=0), "",L15/L4)</f>
        <v>0</v>
      </c>
      <c r="N15" s="33"/>
      <c r="O15" s="98">
        <f>SUM(O16:O17)</f>
        <v>0</v>
      </c>
      <c r="P15" s="28">
        <f>IF(AND(O4=0,O15&gt;=0), "",O15/O4)</f>
        <v>0</v>
      </c>
      <c r="Q15" s="33"/>
      <c r="R15" s="28" t="str">
        <f t="shared" si="1"/>
        <v/>
      </c>
      <c r="S15" s="99">
        <f>SUM(S16:S17)</f>
        <v>0</v>
      </c>
      <c r="T15" s="28">
        <f>IF(AND(S4=0,S15&gt;=0), "",S15/S4)</f>
        <v>0</v>
      </c>
      <c r="U15" s="33"/>
      <c r="V15" s="100">
        <f>SUM(V16:V17)</f>
        <v>0</v>
      </c>
      <c r="W15" s="28" t="str">
        <f>IF(AND(V4=0,V15&gt;=0), "",V15/V4)</f>
        <v/>
      </c>
      <c r="X15" s="78" t="str">
        <f t="shared" si="2"/>
        <v/>
      </c>
      <c r="Y15" s="98">
        <f>SUM(Y16:Y17)</f>
        <v>0</v>
      </c>
      <c r="Z15" s="28" t="str">
        <f>IF(AND(Y4=0,Y15&gt;=0), "",Y15/Y4)</f>
        <v/>
      </c>
      <c r="AA15" s="33"/>
      <c r="AB15" s="28" t="str">
        <f t="shared" si="3"/>
        <v/>
      </c>
      <c r="AC15" s="99">
        <f>SUM(AC16:AC17)</f>
        <v>0</v>
      </c>
      <c r="AD15" s="28">
        <f>IF(AND(AC4=0,AC15&gt;=0), "",AC15/AC4)</f>
        <v>0</v>
      </c>
      <c r="AE15" s="33"/>
      <c r="AF15" s="98">
        <f>SUM(AF16:AF17)</f>
        <v>0</v>
      </c>
      <c r="AG15" s="28" t="str">
        <f>IF(AND(AF4=0,AF15&gt;=0), "",AF15/AF4)</f>
        <v/>
      </c>
      <c r="AH15" s="33"/>
      <c r="AI15" s="28" t="str">
        <f t="shared" si="4"/>
        <v/>
      </c>
      <c r="AJ15" s="99">
        <f>SUM(AJ16:AJ17)</f>
        <v>0</v>
      </c>
      <c r="AK15" s="28">
        <f>IF(AND(AJ4=0,AJ15&gt;=0), "",AJ15/AJ4)</f>
        <v>0</v>
      </c>
      <c r="AL15" s="33"/>
      <c r="AM15" s="98">
        <f>SUM(AM16:AM17)</f>
        <v>0</v>
      </c>
      <c r="AN15" s="28" t="str">
        <f>IF(AND(AM4=0,AM15&gt;=0), "",AM15/AM4)</f>
        <v/>
      </c>
      <c r="AO15" s="33"/>
      <c r="AP15" s="28" t="str">
        <f t="shared" si="5"/>
        <v/>
      </c>
      <c r="AQ15" s="99">
        <f>SUM(AQ16:AQ17)</f>
        <v>0</v>
      </c>
      <c r="AR15" s="28">
        <f>IF(AND(AQ4=0,AQ15&gt;=0), "",AQ15/AQ4)</f>
        <v>0</v>
      </c>
      <c r="AS15" s="33"/>
      <c r="AT15" s="100">
        <f>SUM(AT16:AT17)</f>
        <v>0</v>
      </c>
      <c r="AU15" s="28" t="str">
        <f>IF(AND(AT4=0,AT15&gt;=0), "",AT15/AT4)</f>
        <v/>
      </c>
      <c r="AV15" s="78" t="str">
        <f t="shared" si="6"/>
        <v/>
      </c>
      <c r="AW15" s="100">
        <f>SUM(AW16:AW17)</f>
        <v>0</v>
      </c>
      <c r="AX15" s="28">
        <f>IF(AND(AW4=0,AW15&gt;=0), "",AW15/AW4)</f>
        <v>0</v>
      </c>
      <c r="AY15" s="33"/>
      <c r="AZ15" s="100">
        <f>SUM(AZ16:AZ17)</f>
        <v>0</v>
      </c>
      <c r="BA15" s="28" t="str">
        <f>IF(AND(AZ4=0,AZ15&gt;=0), "",AZ15/AZ4)</f>
        <v/>
      </c>
      <c r="BB15" s="78" t="str">
        <f t="shared" si="7"/>
        <v/>
      </c>
      <c r="BC15" s="98">
        <f>SUM(BC16:BC17)</f>
        <v>0</v>
      </c>
      <c r="BD15" s="28" t="str">
        <f>IF(AND(BC4=0,BC15&gt;=0), "",BC15/BC4)</f>
        <v/>
      </c>
      <c r="BE15" s="33"/>
      <c r="BF15" s="28" t="str">
        <f t="shared" si="8"/>
        <v/>
      </c>
      <c r="BG15" s="99">
        <f>SUM(BG16:BG17)</f>
        <v>0</v>
      </c>
      <c r="BH15" s="28">
        <f>IF(AND(BG4=0,BG15&gt;=0), "",BG15/BG4)</f>
        <v>0</v>
      </c>
      <c r="BI15" s="33"/>
      <c r="BJ15" s="98">
        <f>SUM(BJ16:BJ17)</f>
        <v>0</v>
      </c>
      <c r="BK15" s="28" t="str">
        <f>IF(AND(BJ4=0,BJ15&gt;=0), "",BJ15/BJ4)</f>
        <v/>
      </c>
      <c r="BL15" s="33"/>
      <c r="BM15" s="28" t="str">
        <f t="shared" si="9"/>
        <v/>
      </c>
      <c r="BN15" s="99">
        <f>SUM(BN16:BN17)</f>
        <v>0</v>
      </c>
      <c r="BO15" s="28">
        <f>IF(AND(BN4=0,BN15&gt;=0), "",BN15/BN4)</f>
        <v>0</v>
      </c>
      <c r="BP15" s="33"/>
      <c r="BQ15" s="98">
        <f>SUM(BQ16:BQ17)</f>
        <v>0</v>
      </c>
      <c r="BR15" s="28" t="str">
        <f>IF(AND(BQ4=0,BQ15&gt;=0), "",BQ15/BQ4)</f>
        <v/>
      </c>
      <c r="BS15" s="33"/>
      <c r="BT15" s="28" t="str">
        <f t="shared" si="10"/>
        <v/>
      </c>
      <c r="BU15" s="99">
        <f>SUM(BU16:BU17)</f>
        <v>0</v>
      </c>
      <c r="BV15" s="28">
        <f>IF(AND(BU4=0,BU15&gt;=0), "",BU15/BU4)</f>
        <v>0</v>
      </c>
      <c r="BW15" s="33"/>
      <c r="BX15" s="100">
        <f>SUM(BX16:BX17)</f>
        <v>0</v>
      </c>
      <c r="BY15" s="28" t="str">
        <f>IF(AND(BX4=0,BX15&gt;=0), "",BX15/BX4)</f>
        <v/>
      </c>
      <c r="BZ15" s="78" t="str">
        <f t="shared" si="11"/>
        <v/>
      </c>
      <c r="CA15" s="98">
        <f>SUM(CA16:CA17)</f>
        <v>0</v>
      </c>
      <c r="CB15" s="28" t="str">
        <f>IF(AND(CA4=0,CA15&gt;=0), "",CA15/CA4)</f>
        <v/>
      </c>
      <c r="CC15" s="33"/>
      <c r="CD15" s="28" t="str">
        <f t="shared" si="12"/>
        <v/>
      </c>
      <c r="CE15" s="99">
        <f>SUM(CE16:CE17)</f>
        <v>0</v>
      </c>
      <c r="CF15" s="28">
        <f>IF(AND(CE4=0,CE15&gt;=0), "",CE15/CE4)</f>
        <v>0</v>
      </c>
      <c r="CG15" s="33"/>
      <c r="CH15" s="98">
        <f>SUM(CH16:CH17)</f>
        <v>0</v>
      </c>
      <c r="CI15" s="28" t="str">
        <f>IF(AND(CH4=0,CH15&gt;=0), "",CH15/CH4)</f>
        <v/>
      </c>
      <c r="CJ15" s="33"/>
      <c r="CK15" s="28" t="str">
        <f t="shared" si="13"/>
        <v/>
      </c>
      <c r="CL15" s="99">
        <f>SUM(CL16:CL17)</f>
        <v>0</v>
      </c>
      <c r="CM15" s="28">
        <f>IF(AND(CL4=0,CL15&gt;=0), "",CL15/CL4)</f>
        <v>0</v>
      </c>
      <c r="CN15" s="33"/>
      <c r="CO15" s="98">
        <f>SUM(CO16:CO17)</f>
        <v>0</v>
      </c>
      <c r="CP15" s="28" t="str">
        <f>IF(AND(CO4=0,CO15&gt;=0), "",CO15/CO4)</f>
        <v/>
      </c>
      <c r="CQ15" s="33"/>
      <c r="CR15" s="28" t="str">
        <f t="shared" si="14"/>
        <v/>
      </c>
      <c r="CS15" s="99">
        <f>SUM(CS16:CS17)</f>
        <v>0</v>
      </c>
      <c r="CT15" s="28">
        <f>IF(AND(CS4=0,CS15&gt;=0), "",CS15/CS4)</f>
        <v>0</v>
      </c>
      <c r="CU15" s="33"/>
      <c r="CV15" s="100">
        <f>SUM(CV16:CV17)</f>
        <v>0</v>
      </c>
      <c r="CW15" s="28" t="str">
        <f>IF(AND(CV4=0,CV15&gt;=0), "",CV15/CV4)</f>
        <v/>
      </c>
      <c r="CX15" s="78" t="str">
        <f t="shared" si="15"/>
        <v/>
      </c>
    </row>
    <row r="16" spans="1:102" hidden="1" outlineLevel="1" x14ac:dyDescent="0.25">
      <c r="A16" s="19" t="s">
        <v>45</v>
      </c>
      <c r="B16" s="101">
        <f>+'N EERR RODEO'!B14</f>
        <v>0</v>
      </c>
      <c r="C16" s="20" t="str">
        <f>IF(AND(B4=0,B16&gt;=0), "",B16/B4)</f>
        <v/>
      </c>
      <c r="D16" s="34"/>
      <c r="E16" s="101">
        <f>+'N EERR RODEO'!C14</f>
        <v>0</v>
      </c>
      <c r="F16" s="20">
        <f>IF(AND(E4=0,E16&gt;=0), "",E16/E4)</f>
        <v>0</v>
      </c>
      <c r="G16" s="34"/>
      <c r="H16" s="101">
        <f>+'N EERR RODEO'!D14</f>
        <v>0</v>
      </c>
      <c r="I16" s="20">
        <f>IF(AND(H4=0,H16&gt;=0), "",H16/H4)</f>
        <v>0</v>
      </c>
      <c r="J16" s="34"/>
      <c r="K16" s="20" t="str">
        <f t="shared" si="0"/>
        <v/>
      </c>
      <c r="L16" s="102">
        <f>+E16+H16</f>
        <v>0</v>
      </c>
      <c r="M16" s="20">
        <f>IF(AND(L4=0,L16&gt;=0), "",L16/L4)</f>
        <v>0</v>
      </c>
      <c r="N16" s="34"/>
      <c r="O16" s="101">
        <f>+'N EERR RODEO'!E14</f>
        <v>0</v>
      </c>
      <c r="P16" s="20">
        <f>IF(AND(O4=0,O16&gt;=0), "",O16/O4)</f>
        <v>0</v>
      </c>
      <c r="Q16" s="34"/>
      <c r="R16" s="20" t="str">
        <f t="shared" si="1"/>
        <v/>
      </c>
      <c r="S16" s="102">
        <f>+L16+O16</f>
        <v>0</v>
      </c>
      <c r="T16" s="20">
        <f>IF(AND(S4=0,S16&gt;=0), "",S16/S4)</f>
        <v>0</v>
      </c>
      <c r="U16" s="34"/>
      <c r="V16" s="103"/>
      <c r="W16" s="20" t="str">
        <f>IF(AND(V4=0,V16&gt;=0), "",V16/V4)</f>
        <v/>
      </c>
      <c r="X16" s="37" t="str">
        <f t="shared" si="2"/>
        <v/>
      </c>
      <c r="Y16" s="101">
        <f>+'N EERR RODEO'!F14</f>
        <v>0</v>
      </c>
      <c r="Z16" s="20" t="str">
        <f>IF(AND(Y4=0,Y16&gt;=0), "",Y16/Y4)</f>
        <v/>
      </c>
      <c r="AA16" s="34"/>
      <c r="AB16" s="20" t="str">
        <f t="shared" si="3"/>
        <v/>
      </c>
      <c r="AC16" s="102">
        <f>+S16+Y16</f>
        <v>0</v>
      </c>
      <c r="AD16" s="20">
        <f>IF(AND(AC4=0,AC16&gt;=0), "",AC16/AC4)</f>
        <v>0</v>
      </c>
      <c r="AE16" s="34"/>
      <c r="AF16" s="101">
        <f>+'N EERR RODEO'!G14</f>
        <v>0</v>
      </c>
      <c r="AG16" s="20" t="str">
        <f>IF(AND(AF4=0,AF16&gt;=0), "",AF16/AF4)</f>
        <v/>
      </c>
      <c r="AH16" s="34"/>
      <c r="AI16" s="20" t="str">
        <f t="shared" si="4"/>
        <v/>
      </c>
      <c r="AJ16" s="102">
        <f t="shared" si="16"/>
        <v>0</v>
      </c>
      <c r="AK16" s="20">
        <f>IF(AND(AJ4=0,AJ16&gt;=0), "",AJ16/AJ4)</f>
        <v>0</v>
      </c>
      <c r="AL16" s="34"/>
      <c r="AM16" s="101">
        <f>+'N EERR RODEO'!H14</f>
        <v>0</v>
      </c>
      <c r="AN16" s="20" t="str">
        <f>IF(AND(AM4=0,AM16&gt;=0), "",AM16/AM4)</f>
        <v/>
      </c>
      <c r="AO16" s="34"/>
      <c r="AP16" s="20" t="str">
        <f t="shared" si="5"/>
        <v/>
      </c>
      <c r="AQ16" s="102">
        <f t="shared" si="17"/>
        <v>0</v>
      </c>
      <c r="AR16" s="20">
        <f>IF(AND(AQ4=0,AQ16&gt;=0), "",AQ16/AQ4)</f>
        <v>0</v>
      </c>
      <c r="AS16" s="34"/>
      <c r="AT16" s="103">
        <f>+V16*2</f>
        <v>0</v>
      </c>
      <c r="AU16" s="20" t="str">
        <f>IF(AND(AT4=0,AT16&gt;=0), "",AT16/AT4)</f>
        <v/>
      </c>
      <c r="AV16" s="37" t="str">
        <f t="shared" si="6"/>
        <v/>
      </c>
      <c r="AW16" s="103">
        <f>+AQ16/6</f>
        <v>0</v>
      </c>
      <c r="AX16" s="20">
        <f>IF(AND(AW4=0,AW16&gt;=0), "",AW16/AW4)</f>
        <v>0</v>
      </c>
      <c r="AY16" s="34"/>
      <c r="AZ16" s="103">
        <f>+AT16/6</f>
        <v>0</v>
      </c>
      <c r="BA16" s="20" t="str">
        <f>IF(AND(AZ4=0,AZ16&gt;=0), "",AZ16/AZ4)</f>
        <v/>
      </c>
      <c r="BB16" s="37" t="str">
        <f t="shared" si="7"/>
        <v/>
      </c>
      <c r="BC16" s="101">
        <f>+'N EERR RODEO'!I14</f>
        <v>0</v>
      </c>
      <c r="BD16" s="20" t="str">
        <f>IF(AND(BC4=0,BC16&gt;=0), "",BC16/BC4)</f>
        <v/>
      </c>
      <c r="BE16" s="34"/>
      <c r="BF16" s="20" t="str">
        <f t="shared" si="8"/>
        <v/>
      </c>
      <c r="BG16" s="102">
        <f>+AQ16+BC16</f>
        <v>0</v>
      </c>
      <c r="BH16" s="20">
        <f>IF(AND(BG4=0,BG16&gt;=0), "",BG16/BG4)</f>
        <v>0</v>
      </c>
      <c r="BI16" s="34"/>
      <c r="BJ16" s="101">
        <f>+'N EERR RODEO'!J14</f>
        <v>0</v>
      </c>
      <c r="BK16" s="20" t="str">
        <f>IF(AND(BJ4=0,BJ16&gt;=0), "",BJ16/BJ4)</f>
        <v/>
      </c>
      <c r="BL16" s="34"/>
      <c r="BM16" s="20" t="str">
        <f t="shared" si="9"/>
        <v/>
      </c>
      <c r="BN16" s="102">
        <f>+BG16+BJ16</f>
        <v>0</v>
      </c>
      <c r="BO16" s="20">
        <f>IF(AND(BN4=0,BN16&gt;=0), "",BN16/BN4)</f>
        <v>0</v>
      </c>
      <c r="BP16" s="34"/>
      <c r="BQ16" s="101">
        <f>+'N EERR RODEO'!K14</f>
        <v>0</v>
      </c>
      <c r="BR16" s="20" t="str">
        <f>IF(AND(BQ4=0,BQ16&gt;=0), "",BQ16/BQ4)</f>
        <v/>
      </c>
      <c r="BS16" s="34"/>
      <c r="BT16" s="20" t="str">
        <f t="shared" si="10"/>
        <v/>
      </c>
      <c r="BU16" s="102">
        <f>+BN16+BQ16</f>
        <v>0</v>
      </c>
      <c r="BV16" s="20">
        <f>IF(AND(BU4=0,BU16&gt;=0), "",BU16/BU4)</f>
        <v>0</v>
      </c>
      <c r="BW16" s="34"/>
      <c r="BX16" s="103">
        <f>+AZ16*9</f>
        <v>0</v>
      </c>
      <c r="BY16" s="20" t="str">
        <f>IF(AND(BX4=0,BX16&gt;=0), "",BX16/BX4)</f>
        <v/>
      </c>
      <c r="BZ16" s="37" t="str">
        <f t="shared" si="11"/>
        <v/>
      </c>
      <c r="CA16" s="101">
        <f>+'N EERR RODEO'!L14</f>
        <v>0</v>
      </c>
      <c r="CB16" s="20" t="str">
        <f>IF(AND(CA4=0,CA16&gt;=0), "",CA16/CA4)</f>
        <v/>
      </c>
      <c r="CC16" s="34"/>
      <c r="CD16" s="20" t="str">
        <f t="shared" si="12"/>
        <v/>
      </c>
      <c r="CE16" s="102">
        <f>+BU16+CA16</f>
        <v>0</v>
      </c>
      <c r="CF16" s="20">
        <f>IF(AND(CE4=0,CE16&gt;=0), "",CE16/CE4)</f>
        <v>0</v>
      </c>
      <c r="CG16" s="34"/>
      <c r="CH16" s="101">
        <f>+'N EERR RODEO'!M14</f>
        <v>0</v>
      </c>
      <c r="CI16" s="20" t="str">
        <f>IF(AND(CH4=0,CH16&gt;=0), "",CH16/CH4)</f>
        <v/>
      </c>
      <c r="CJ16" s="34"/>
      <c r="CK16" s="20" t="str">
        <f t="shared" si="13"/>
        <v/>
      </c>
      <c r="CL16" s="102">
        <f>+CE16+CH16</f>
        <v>0</v>
      </c>
      <c r="CM16" s="20">
        <f>IF(AND(CL4=0,CL16&gt;=0), "",CL16/CL4)</f>
        <v>0</v>
      </c>
      <c r="CN16" s="34"/>
      <c r="CO16" s="101">
        <f>+'N EERR RODEO'!N14</f>
        <v>0</v>
      </c>
      <c r="CP16" s="20" t="str">
        <f>IF(AND(CO4=0,CO16&gt;=0), "",CO16/CO4)</f>
        <v/>
      </c>
      <c r="CQ16" s="34"/>
      <c r="CR16" s="20" t="str">
        <f t="shared" si="14"/>
        <v/>
      </c>
      <c r="CS16" s="102">
        <f>+CL16+CO16</f>
        <v>0</v>
      </c>
      <c r="CT16" s="20">
        <f>IF(AND(CS4=0,CS16&gt;=0), "",CS16/CS4)</f>
        <v>0</v>
      </c>
      <c r="CU16" s="34"/>
      <c r="CV16" s="103">
        <f t="shared" si="18"/>
        <v>0</v>
      </c>
      <c r="CW16" s="20" t="str">
        <f>IF(AND(CV4=0,CV16&gt;=0), "",CV16/CV4)</f>
        <v/>
      </c>
      <c r="CX16" s="37" t="str">
        <f t="shared" si="15"/>
        <v/>
      </c>
    </row>
    <row r="17" spans="1:102" s="2" customFormat="1" hidden="1" outlineLevel="1" x14ac:dyDescent="0.25">
      <c r="A17" s="19"/>
      <c r="B17" s="104"/>
      <c r="C17" s="20"/>
      <c r="D17" s="34"/>
      <c r="E17" s="104"/>
      <c r="F17" s="20"/>
      <c r="G17" s="34"/>
      <c r="H17" s="104"/>
      <c r="I17" s="20"/>
      <c r="J17" s="34"/>
      <c r="K17" s="13" t="str">
        <f t="shared" si="0"/>
        <v/>
      </c>
      <c r="L17" s="90"/>
      <c r="M17" s="20"/>
      <c r="N17" s="34"/>
      <c r="O17" s="104"/>
      <c r="P17" s="20"/>
      <c r="Q17" s="34"/>
      <c r="R17" s="13" t="str">
        <f t="shared" si="1"/>
        <v/>
      </c>
      <c r="S17" s="90"/>
      <c r="T17" s="20"/>
      <c r="U17" s="34"/>
      <c r="V17" s="105"/>
      <c r="W17" s="20"/>
      <c r="X17" s="36" t="str">
        <f t="shared" si="2"/>
        <v/>
      </c>
      <c r="Y17" s="104"/>
      <c r="Z17" s="20"/>
      <c r="AA17" s="34"/>
      <c r="AB17" s="13" t="str">
        <f t="shared" si="3"/>
        <v/>
      </c>
      <c r="AC17" s="90"/>
      <c r="AD17" s="20"/>
      <c r="AE17" s="34"/>
      <c r="AF17" s="104"/>
      <c r="AG17" s="20"/>
      <c r="AH17" s="34"/>
      <c r="AI17" s="13" t="str">
        <f t="shared" si="4"/>
        <v/>
      </c>
      <c r="AJ17" s="90">
        <f t="shared" si="16"/>
        <v>0</v>
      </c>
      <c r="AK17" s="20"/>
      <c r="AL17" s="34"/>
      <c r="AM17" s="104"/>
      <c r="AN17" s="20"/>
      <c r="AO17" s="34"/>
      <c r="AP17" s="13" t="str">
        <f t="shared" si="5"/>
        <v/>
      </c>
      <c r="AQ17" s="90">
        <f t="shared" si="17"/>
        <v>0</v>
      </c>
      <c r="AR17" s="20"/>
      <c r="AS17" s="34"/>
      <c r="AT17" s="103">
        <f>+V17*2</f>
        <v>0</v>
      </c>
      <c r="AU17" s="20"/>
      <c r="AV17" s="36" t="str">
        <f t="shared" si="6"/>
        <v/>
      </c>
      <c r="AW17" s="103">
        <f>+AQ17/6</f>
        <v>0</v>
      </c>
      <c r="AX17" s="20"/>
      <c r="AY17" s="34"/>
      <c r="AZ17" s="103">
        <f>+AT17/6</f>
        <v>0</v>
      </c>
      <c r="BA17" s="20"/>
      <c r="BB17" s="36" t="str">
        <f t="shared" si="7"/>
        <v/>
      </c>
      <c r="BC17" s="104"/>
      <c r="BD17" s="20"/>
      <c r="BE17" s="34"/>
      <c r="BF17" s="13" t="str">
        <f t="shared" si="8"/>
        <v/>
      </c>
      <c r="BG17" s="102">
        <f>+AQ17+BC17</f>
        <v>0</v>
      </c>
      <c r="BH17" s="20"/>
      <c r="BI17" s="34"/>
      <c r="BJ17" s="104"/>
      <c r="BK17" s="20"/>
      <c r="BL17" s="34"/>
      <c r="BM17" s="13" t="str">
        <f t="shared" si="9"/>
        <v/>
      </c>
      <c r="BN17" s="90">
        <f>+BG17+BJ17</f>
        <v>0</v>
      </c>
      <c r="BO17" s="20"/>
      <c r="BP17" s="34"/>
      <c r="BQ17" s="104"/>
      <c r="BR17" s="20"/>
      <c r="BS17" s="34"/>
      <c r="BT17" s="13" t="str">
        <f t="shared" si="10"/>
        <v/>
      </c>
      <c r="BU17" s="90">
        <f>+BN17+BQ17</f>
        <v>0</v>
      </c>
      <c r="BV17" s="20"/>
      <c r="BW17" s="34"/>
      <c r="BX17" s="103">
        <f>+AZ17*9</f>
        <v>0</v>
      </c>
      <c r="BY17" s="20"/>
      <c r="BZ17" s="36" t="str">
        <f t="shared" si="11"/>
        <v/>
      </c>
      <c r="CA17" s="104"/>
      <c r="CB17" s="20"/>
      <c r="CC17" s="34"/>
      <c r="CD17" s="13" t="str">
        <f t="shared" si="12"/>
        <v/>
      </c>
      <c r="CE17" s="90"/>
      <c r="CF17" s="20"/>
      <c r="CG17" s="34"/>
      <c r="CH17" s="104"/>
      <c r="CI17" s="20"/>
      <c r="CJ17" s="34"/>
      <c r="CK17" s="13" t="str">
        <f t="shared" si="13"/>
        <v/>
      </c>
      <c r="CL17" s="90">
        <f>+CE17+CH17</f>
        <v>0</v>
      </c>
      <c r="CM17" s="20"/>
      <c r="CN17" s="34"/>
      <c r="CO17" s="104"/>
      <c r="CP17" s="20"/>
      <c r="CQ17" s="34"/>
      <c r="CR17" s="13" t="str">
        <f t="shared" si="14"/>
        <v/>
      </c>
      <c r="CS17" s="90">
        <f>+CL17+CO17</f>
        <v>0</v>
      </c>
      <c r="CT17" s="20"/>
      <c r="CU17" s="34"/>
      <c r="CV17" s="103">
        <f t="shared" si="18"/>
        <v>0</v>
      </c>
      <c r="CW17" s="20"/>
      <c r="CX17" s="36" t="str">
        <f t="shared" si="15"/>
        <v/>
      </c>
    </row>
    <row r="18" spans="1:102" s="5" customFormat="1" hidden="1" outlineLevel="1" x14ac:dyDescent="0.25">
      <c r="A18" s="27" t="s">
        <v>46</v>
      </c>
      <c r="B18" s="98">
        <f>SUM(B19:B20)</f>
        <v>0</v>
      </c>
      <c r="C18" s="28" t="str">
        <f>IF(AND(B4=0,B18&gt;=0), "",B18/B4)</f>
        <v/>
      </c>
      <c r="D18" s="33"/>
      <c r="E18" s="98">
        <f>SUM(E19:E20)</f>
        <v>0</v>
      </c>
      <c r="F18" s="28">
        <f>IF(AND(E4=0,E18&gt;=0), "",E18/E4)</f>
        <v>0</v>
      </c>
      <c r="G18" s="33"/>
      <c r="H18" s="98">
        <f>SUM(H19:H20)</f>
        <v>0</v>
      </c>
      <c r="I18" s="28">
        <f>IF(AND(H4=0,H18&gt;=0), "",H18/H4)</f>
        <v>0</v>
      </c>
      <c r="J18" s="33"/>
      <c r="K18" s="28" t="str">
        <f t="shared" si="0"/>
        <v/>
      </c>
      <c r="L18" s="99">
        <f>SUM(L19:L20)</f>
        <v>0</v>
      </c>
      <c r="M18" s="28">
        <f>IF(AND(L4=0,L18&gt;=0), "",L18/L4)</f>
        <v>0</v>
      </c>
      <c r="N18" s="33"/>
      <c r="O18" s="98">
        <f>SUM(O19:O20)</f>
        <v>0</v>
      </c>
      <c r="P18" s="28">
        <f>IF(AND(O4=0,O18&gt;=0), "",O18/O4)</f>
        <v>0</v>
      </c>
      <c r="Q18" s="33"/>
      <c r="R18" s="28" t="str">
        <f t="shared" si="1"/>
        <v/>
      </c>
      <c r="S18" s="99">
        <f>SUM(S19:S20)</f>
        <v>0</v>
      </c>
      <c r="T18" s="28">
        <f>IF(AND(S4=0,S18&gt;=0), "",S18/S4)</f>
        <v>0</v>
      </c>
      <c r="U18" s="33"/>
      <c r="V18" s="100">
        <f>SUM(V19:V20)</f>
        <v>0</v>
      </c>
      <c r="W18" s="28" t="str">
        <f>IF(AND(V4=0,V18&gt;=0), "",V18/V4)</f>
        <v/>
      </c>
      <c r="X18" s="78" t="str">
        <f t="shared" si="2"/>
        <v/>
      </c>
      <c r="Y18" s="98">
        <f>SUM(Y19:Y20)</f>
        <v>0</v>
      </c>
      <c r="Z18" s="28" t="str">
        <f>IF(AND(Y4=0,Y18&gt;=0), "",Y18/Y4)</f>
        <v/>
      </c>
      <c r="AA18" s="33"/>
      <c r="AB18" s="28" t="str">
        <f t="shared" si="3"/>
        <v/>
      </c>
      <c r="AC18" s="99">
        <f>SUM(AC19:AC20)</f>
        <v>0</v>
      </c>
      <c r="AD18" s="28">
        <f>IF(AND(AC4=0,AC18&gt;=0), "",AC18/AC4)</f>
        <v>0</v>
      </c>
      <c r="AE18" s="33"/>
      <c r="AF18" s="98">
        <f>SUM(AF19:AF20)</f>
        <v>0</v>
      </c>
      <c r="AG18" s="28" t="str">
        <f>IF(AND(AF4=0,AF18&gt;=0), "",AF18/AF4)</f>
        <v/>
      </c>
      <c r="AH18" s="33"/>
      <c r="AI18" s="28" t="str">
        <f t="shared" si="4"/>
        <v/>
      </c>
      <c r="AJ18" s="99">
        <f>SUM(AJ19:AJ20)</f>
        <v>0</v>
      </c>
      <c r="AK18" s="28">
        <f>IF(AND(AJ4=0,AJ18&gt;=0), "",AJ18/AJ4)</f>
        <v>0</v>
      </c>
      <c r="AL18" s="33"/>
      <c r="AM18" s="98">
        <f>SUM(AM19:AM20)</f>
        <v>0</v>
      </c>
      <c r="AN18" s="28" t="str">
        <f>IF(AND(AM4=0,AM18&gt;=0), "",AM18/AM4)</f>
        <v/>
      </c>
      <c r="AO18" s="33"/>
      <c r="AP18" s="28" t="str">
        <f t="shared" si="5"/>
        <v/>
      </c>
      <c r="AQ18" s="99">
        <f>SUM(AQ19:AQ20)</f>
        <v>0</v>
      </c>
      <c r="AR18" s="28">
        <f>IF(AND(AQ4=0,AQ18&gt;=0), "",AQ18/AQ4)</f>
        <v>0</v>
      </c>
      <c r="AS18" s="33"/>
      <c r="AT18" s="100">
        <f>SUM(AT19:AT20)</f>
        <v>0</v>
      </c>
      <c r="AU18" s="28" t="str">
        <f>IF(AND(AT4=0,AT18&gt;=0), "",AT18/AT4)</f>
        <v/>
      </c>
      <c r="AV18" s="78" t="str">
        <f t="shared" si="6"/>
        <v/>
      </c>
      <c r="AW18" s="100">
        <f>SUM(AW19:AW20)</f>
        <v>0</v>
      </c>
      <c r="AX18" s="28">
        <f>IF(AND(AW4=0,AW18&gt;=0), "",AW18/AW4)</f>
        <v>0</v>
      </c>
      <c r="AY18" s="33"/>
      <c r="AZ18" s="100">
        <f>SUM(AZ19:AZ20)</f>
        <v>0</v>
      </c>
      <c r="BA18" s="28" t="str">
        <f>IF(AND(AZ4=0,AZ18&gt;=0), "",AZ18/AZ4)</f>
        <v/>
      </c>
      <c r="BB18" s="78" t="str">
        <f t="shared" si="7"/>
        <v/>
      </c>
      <c r="BC18" s="98">
        <f>SUM(BC19:BC20)</f>
        <v>0</v>
      </c>
      <c r="BD18" s="28" t="str">
        <f>IF(AND(BC4=0,BC18&gt;=0), "",BC18/BC4)</f>
        <v/>
      </c>
      <c r="BE18" s="33"/>
      <c r="BF18" s="28" t="str">
        <f t="shared" si="8"/>
        <v/>
      </c>
      <c r="BG18" s="99">
        <f>SUM(BG19:BG20)</f>
        <v>0</v>
      </c>
      <c r="BH18" s="28">
        <f>IF(AND(BG4=0,BG18&gt;=0), "",BG18/BG4)</f>
        <v>0</v>
      </c>
      <c r="BI18" s="33"/>
      <c r="BJ18" s="98">
        <f>SUM(BJ19:BJ20)</f>
        <v>0</v>
      </c>
      <c r="BK18" s="28" t="str">
        <f>IF(AND(BJ4=0,BJ18&gt;=0), "",BJ18/BJ4)</f>
        <v/>
      </c>
      <c r="BL18" s="33"/>
      <c r="BM18" s="28" t="str">
        <f t="shared" si="9"/>
        <v/>
      </c>
      <c r="BN18" s="99">
        <f>SUM(BN19:BN20)</f>
        <v>0</v>
      </c>
      <c r="BO18" s="28">
        <f>IF(AND(BN4=0,BN18&gt;=0), "",BN18/BN4)</f>
        <v>0</v>
      </c>
      <c r="BP18" s="33"/>
      <c r="BQ18" s="98">
        <f>SUM(BQ19:BQ20)</f>
        <v>0</v>
      </c>
      <c r="BR18" s="28" t="str">
        <f>IF(AND(BQ4=0,BQ18&gt;=0), "",BQ18/BQ4)</f>
        <v/>
      </c>
      <c r="BS18" s="33"/>
      <c r="BT18" s="28" t="str">
        <f t="shared" si="10"/>
        <v/>
      </c>
      <c r="BU18" s="99">
        <f>SUM(BU19:BU20)</f>
        <v>0</v>
      </c>
      <c r="BV18" s="28">
        <f>IF(AND(BU4=0,BU18&gt;=0), "",BU18/BU4)</f>
        <v>0</v>
      </c>
      <c r="BW18" s="33"/>
      <c r="BX18" s="100">
        <f>SUM(BX19:BX20)</f>
        <v>0</v>
      </c>
      <c r="BY18" s="28" t="str">
        <f>IF(AND(BX4=0,BX18&gt;=0), "",BX18/BX4)</f>
        <v/>
      </c>
      <c r="BZ18" s="78" t="str">
        <f t="shared" si="11"/>
        <v/>
      </c>
      <c r="CA18" s="98">
        <f>SUM(CA19:CA20)</f>
        <v>0</v>
      </c>
      <c r="CB18" s="28" t="str">
        <f>IF(AND(CA4=0,CA18&gt;=0), "",CA18/CA4)</f>
        <v/>
      </c>
      <c r="CC18" s="33"/>
      <c r="CD18" s="28" t="str">
        <f t="shared" si="12"/>
        <v/>
      </c>
      <c r="CE18" s="99">
        <f>SUM(CE19:CE20)</f>
        <v>0</v>
      </c>
      <c r="CF18" s="28">
        <f>IF(AND(CE4=0,CE18&gt;=0), "",CE18/CE4)</f>
        <v>0</v>
      </c>
      <c r="CG18" s="33"/>
      <c r="CH18" s="98">
        <f>SUM(CH19:CH20)</f>
        <v>0</v>
      </c>
      <c r="CI18" s="28" t="str">
        <f>IF(AND(CH4=0,CH18&gt;=0), "",CH18/CH4)</f>
        <v/>
      </c>
      <c r="CJ18" s="33"/>
      <c r="CK18" s="28" t="str">
        <f t="shared" si="13"/>
        <v/>
      </c>
      <c r="CL18" s="99">
        <f>SUM(CL19:CL20)</f>
        <v>0</v>
      </c>
      <c r="CM18" s="28">
        <f>IF(AND(CL4=0,CL18&gt;=0), "",CL18/CL4)</f>
        <v>0</v>
      </c>
      <c r="CN18" s="33"/>
      <c r="CO18" s="98">
        <f>SUM(CO19:CO20)</f>
        <v>0</v>
      </c>
      <c r="CP18" s="28" t="str">
        <f>IF(AND(CO4=0,CO18&gt;=0), "",CO18/CO4)</f>
        <v/>
      </c>
      <c r="CQ18" s="33"/>
      <c r="CR18" s="28" t="str">
        <f t="shared" si="14"/>
        <v/>
      </c>
      <c r="CS18" s="99">
        <f>SUM(CS19:CS20)</f>
        <v>0</v>
      </c>
      <c r="CT18" s="28">
        <f>IF(AND(CS4=0,CS18&gt;=0), "",CS18/CS4)</f>
        <v>0</v>
      </c>
      <c r="CU18" s="33"/>
      <c r="CV18" s="100">
        <f>SUM(CV19:CV20)</f>
        <v>0</v>
      </c>
      <c r="CW18" s="28" t="str">
        <f>IF(AND(CV4=0,CV18&gt;=0), "",CV18/CV4)</f>
        <v/>
      </c>
      <c r="CX18" s="78" t="str">
        <f t="shared" si="15"/>
        <v/>
      </c>
    </row>
    <row r="19" spans="1:102" s="2" customFormat="1" hidden="1" outlineLevel="1" x14ac:dyDescent="0.25">
      <c r="A19" s="19" t="s">
        <v>52</v>
      </c>
      <c r="B19" s="101">
        <f>+'N EERR RODEO'!B15</f>
        <v>0</v>
      </c>
      <c r="C19" s="20" t="str">
        <f>IF(AND(B4=0,B19&gt;=0), "",B19/B4)</f>
        <v/>
      </c>
      <c r="D19" s="34"/>
      <c r="E19" s="101">
        <f>+'N EERR RODEO'!C15</f>
        <v>0</v>
      </c>
      <c r="F19" s="20">
        <f>IF(AND(E4=0,E19&gt;=0), "",E19/E4)</f>
        <v>0</v>
      </c>
      <c r="G19" s="34"/>
      <c r="H19" s="101">
        <f>+'N EERR RODEO'!D15</f>
        <v>0</v>
      </c>
      <c r="I19" s="20">
        <f>IF(AND(H4=0,H19&gt;=0), "",H19/H4)</f>
        <v>0</v>
      </c>
      <c r="J19" s="34"/>
      <c r="K19" s="20" t="str">
        <f t="shared" si="0"/>
        <v/>
      </c>
      <c r="L19" s="102">
        <f>+E19+H19</f>
        <v>0</v>
      </c>
      <c r="M19" s="20">
        <f>IF(AND(L4=0,L19&gt;=0), "",L19/L4)</f>
        <v>0</v>
      </c>
      <c r="N19" s="34"/>
      <c r="O19" s="101">
        <f>+'N EERR RODEO'!E15</f>
        <v>0</v>
      </c>
      <c r="P19" s="20">
        <f>IF(AND(O4=0,O19&gt;=0), "",O19/O4)</f>
        <v>0</v>
      </c>
      <c r="Q19" s="34"/>
      <c r="R19" s="20" t="str">
        <f t="shared" si="1"/>
        <v/>
      </c>
      <c r="S19" s="102">
        <f>+L19+O19</f>
        <v>0</v>
      </c>
      <c r="T19" s="20">
        <f>IF(AND(S4=0,S19&gt;=0), "",S19/S4)</f>
        <v>0</v>
      </c>
      <c r="U19" s="34"/>
      <c r="V19" s="103"/>
      <c r="W19" s="20" t="str">
        <f>IF(AND(V4=0,V19&gt;=0), "",V19/V4)</f>
        <v/>
      </c>
      <c r="X19" s="37" t="str">
        <f t="shared" si="2"/>
        <v/>
      </c>
      <c r="Y19" s="101">
        <f>+'N EERR RODEO'!F15</f>
        <v>0</v>
      </c>
      <c r="Z19" s="20" t="str">
        <f>IF(AND(Y4=0,Y19&gt;=0), "",Y19/Y4)</f>
        <v/>
      </c>
      <c r="AA19" s="34"/>
      <c r="AB19" s="20" t="str">
        <f t="shared" si="3"/>
        <v/>
      </c>
      <c r="AC19" s="102">
        <f>+S19+Y19</f>
        <v>0</v>
      </c>
      <c r="AD19" s="20">
        <f>IF(AND(AC4=0,AC19&gt;=0), "",AC19/AC4)</f>
        <v>0</v>
      </c>
      <c r="AE19" s="34"/>
      <c r="AF19" s="101">
        <f>+'N EERR RODEO'!G15</f>
        <v>0</v>
      </c>
      <c r="AG19" s="20" t="str">
        <f>IF(AND(AF4=0,AF19&gt;=0), "",AF19/AF4)</f>
        <v/>
      </c>
      <c r="AH19" s="34"/>
      <c r="AI19" s="20" t="str">
        <f t="shared" si="4"/>
        <v/>
      </c>
      <c r="AJ19" s="102">
        <f t="shared" si="16"/>
        <v>0</v>
      </c>
      <c r="AK19" s="20">
        <f>IF(AND(AJ4=0,AJ19&gt;=0), "",AJ19/AJ4)</f>
        <v>0</v>
      </c>
      <c r="AL19" s="34"/>
      <c r="AM19" s="101">
        <f>+'N EERR RODEO'!H15</f>
        <v>0</v>
      </c>
      <c r="AN19" s="20" t="str">
        <f>IF(AND(AM4=0,AM19&gt;=0), "",AM19/AM4)</f>
        <v/>
      </c>
      <c r="AO19" s="34"/>
      <c r="AP19" s="20" t="str">
        <f t="shared" si="5"/>
        <v/>
      </c>
      <c r="AQ19" s="102">
        <f t="shared" si="17"/>
        <v>0</v>
      </c>
      <c r="AR19" s="20">
        <f>IF(AND(AQ4=0,AQ19&gt;=0), "",AQ19/AQ4)</f>
        <v>0</v>
      </c>
      <c r="AS19" s="34"/>
      <c r="AT19" s="103">
        <f>+V19*2</f>
        <v>0</v>
      </c>
      <c r="AU19" s="20" t="str">
        <f>IF(AND(AT4=0,AT19&gt;=0), "",AT19/AT4)</f>
        <v/>
      </c>
      <c r="AV19" s="37" t="str">
        <f t="shared" si="6"/>
        <v/>
      </c>
      <c r="AW19" s="103">
        <f>+AQ19/6</f>
        <v>0</v>
      </c>
      <c r="AX19" s="20">
        <f>IF(AND(AW4=0,AW19&gt;=0), "",AW19/AW4)</f>
        <v>0</v>
      </c>
      <c r="AY19" s="34"/>
      <c r="AZ19" s="103">
        <f>+AT19/6</f>
        <v>0</v>
      </c>
      <c r="BA19" s="20" t="str">
        <f>IF(AND(AZ4=0,AZ19&gt;=0), "",AZ19/AZ4)</f>
        <v/>
      </c>
      <c r="BB19" s="37" t="str">
        <f t="shared" si="7"/>
        <v/>
      </c>
      <c r="BC19" s="101">
        <f>+'N EERR RODEO'!I15</f>
        <v>0</v>
      </c>
      <c r="BD19" s="20" t="str">
        <f>IF(AND(BC4=0,BC19&gt;=0), "",BC19/BC4)</f>
        <v/>
      </c>
      <c r="BE19" s="34"/>
      <c r="BF19" s="20" t="str">
        <f t="shared" si="8"/>
        <v/>
      </c>
      <c r="BG19" s="102">
        <f>+AQ19+BC19</f>
        <v>0</v>
      </c>
      <c r="BH19" s="20">
        <f>IF(AND(BG4=0,BG19&gt;=0), "",BG19/BG4)</f>
        <v>0</v>
      </c>
      <c r="BI19" s="34"/>
      <c r="BJ19" s="101">
        <f>+'N EERR RODEO'!J15</f>
        <v>0</v>
      </c>
      <c r="BK19" s="20" t="str">
        <f>IF(AND(BJ4=0,BJ19&gt;=0), "",BJ19/BJ4)</f>
        <v/>
      </c>
      <c r="BL19" s="34"/>
      <c r="BM19" s="20" t="str">
        <f t="shared" si="9"/>
        <v/>
      </c>
      <c r="BN19" s="102">
        <f>+BG19+BJ19</f>
        <v>0</v>
      </c>
      <c r="BO19" s="20">
        <f>IF(AND(BN4=0,BN19&gt;=0), "",BN19/BN4)</f>
        <v>0</v>
      </c>
      <c r="BP19" s="34"/>
      <c r="BQ19" s="101">
        <f>+'N EERR RODEO'!K15</f>
        <v>0</v>
      </c>
      <c r="BR19" s="20" t="str">
        <f>IF(AND(BQ4=0,BQ19&gt;=0), "",BQ19/BQ4)</f>
        <v/>
      </c>
      <c r="BS19" s="34"/>
      <c r="BT19" s="20" t="str">
        <f t="shared" si="10"/>
        <v/>
      </c>
      <c r="BU19" s="102">
        <f>+BN19+BQ19</f>
        <v>0</v>
      </c>
      <c r="BV19" s="20">
        <f>IF(AND(BU4=0,BU19&gt;=0), "",BU19/BU4)</f>
        <v>0</v>
      </c>
      <c r="BW19" s="34"/>
      <c r="BX19" s="103">
        <f>+AZ19*9</f>
        <v>0</v>
      </c>
      <c r="BY19" s="20" t="str">
        <f>IF(AND(BX4=0,BX19&gt;=0), "",BX19/BX4)</f>
        <v/>
      </c>
      <c r="BZ19" s="37" t="str">
        <f t="shared" si="11"/>
        <v/>
      </c>
      <c r="CA19" s="101">
        <f>+'N EERR RODEO'!L15</f>
        <v>0</v>
      </c>
      <c r="CB19" s="20" t="str">
        <f>IF(AND(CA4=0,CA19&gt;=0), "",CA19/CA4)</f>
        <v/>
      </c>
      <c r="CC19" s="34"/>
      <c r="CD19" s="20" t="str">
        <f t="shared" si="12"/>
        <v/>
      </c>
      <c r="CE19" s="102">
        <f>+BU19+CA19</f>
        <v>0</v>
      </c>
      <c r="CF19" s="20">
        <f>IF(AND(CE4=0,CE19&gt;=0), "",CE19/CE4)</f>
        <v>0</v>
      </c>
      <c r="CG19" s="34"/>
      <c r="CH19" s="101">
        <f>+'N EERR RODEO'!M15</f>
        <v>0</v>
      </c>
      <c r="CI19" s="20" t="str">
        <f>IF(AND(CH4=0,CH19&gt;=0), "",CH19/CH4)</f>
        <v/>
      </c>
      <c r="CJ19" s="34"/>
      <c r="CK19" s="20" t="str">
        <f t="shared" si="13"/>
        <v/>
      </c>
      <c r="CL19" s="102">
        <f>+CE19+CH19</f>
        <v>0</v>
      </c>
      <c r="CM19" s="20">
        <f>IF(AND(CL4=0,CL19&gt;=0), "",CL19/CL4)</f>
        <v>0</v>
      </c>
      <c r="CN19" s="34"/>
      <c r="CO19" s="101">
        <f>+'N EERR RODEO'!N15</f>
        <v>0</v>
      </c>
      <c r="CP19" s="20" t="str">
        <f>IF(AND(CO4=0,CO19&gt;=0), "",CO19/CO4)</f>
        <v/>
      </c>
      <c r="CQ19" s="34"/>
      <c r="CR19" s="20" t="str">
        <f t="shared" si="14"/>
        <v/>
      </c>
      <c r="CS19" s="102">
        <f>+CL19+CO19</f>
        <v>0</v>
      </c>
      <c r="CT19" s="20">
        <f>IF(AND(CS4=0,CS19&gt;=0), "",CS19/CS4)</f>
        <v>0</v>
      </c>
      <c r="CU19" s="34"/>
      <c r="CV19" s="103">
        <f t="shared" si="18"/>
        <v>0</v>
      </c>
      <c r="CW19" s="20" t="str">
        <f>IF(AND(CV4=0,CV19&gt;=0), "",CV19/CV4)</f>
        <v/>
      </c>
      <c r="CX19" s="37" t="str">
        <f t="shared" si="15"/>
        <v/>
      </c>
    </row>
    <row r="20" spans="1:102" s="2" customFormat="1" hidden="1" outlineLevel="1" x14ac:dyDescent="0.25">
      <c r="A20" s="19"/>
      <c r="B20" s="104"/>
      <c r="C20" s="20"/>
      <c r="D20" s="34"/>
      <c r="E20" s="104"/>
      <c r="F20" s="20"/>
      <c r="G20" s="34"/>
      <c r="H20" s="104"/>
      <c r="I20" s="20"/>
      <c r="J20" s="34"/>
      <c r="K20" s="13" t="str">
        <f t="shared" si="0"/>
        <v/>
      </c>
      <c r="L20" s="90"/>
      <c r="M20" s="20"/>
      <c r="N20" s="34"/>
      <c r="O20" s="104"/>
      <c r="P20" s="20"/>
      <c r="Q20" s="34"/>
      <c r="R20" s="13" t="str">
        <f t="shared" si="1"/>
        <v/>
      </c>
      <c r="S20" s="90"/>
      <c r="T20" s="20"/>
      <c r="U20" s="34"/>
      <c r="V20" s="105"/>
      <c r="W20" s="20"/>
      <c r="X20" s="36" t="str">
        <f t="shared" si="2"/>
        <v/>
      </c>
      <c r="Y20" s="104"/>
      <c r="Z20" s="20"/>
      <c r="AA20" s="34"/>
      <c r="AB20" s="13" t="str">
        <f t="shared" si="3"/>
        <v/>
      </c>
      <c r="AC20" s="90"/>
      <c r="AD20" s="20"/>
      <c r="AE20" s="34"/>
      <c r="AF20" s="104"/>
      <c r="AG20" s="20"/>
      <c r="AH20" s="34"/>
      <c r="AI20" s="13" t="str">
        <f t="shared" si="4"/>
        <v/>
      </c>
      <c r="AJ20" s="90">
        <f t="shared" si="16"/>
        <v>0</v>
      </c>
      <c r="AK20" s="20"/>
      <c r="AL20" s="34"/>
      <c r="AM20" s="104"/>
      <c r="AN20" s="20"/>
      <c r="AO20" s="34"/>
      <c r="AP20" s="13" t="str">
        <f t="shared" si="5"/>
        <v/>
      </c>
      <c r="AQ20" s="90">
        <f t="shared" si="17"/>
        <v>0</v>
      </c>
      <c r="AR20" s="20"/>
      <c r="AS20" s="34"/>
      <c r="AT20" s="103">
        <f>+V20*2</f>
        <v>0</v>
      </c>
      <c r="AU20" s="20"/>
      <c r="AV20" s="36" t="str">
        <f t="shared" si="6"/>
        <v/>
      </c>
      <c r="AW20" s="103">
        <f>+AQ20/6</f>
        <v>0</v>
      </c>
      <c r="AX20" s="20"/>
      <c r="AY20" s="34"/>
      <c r="AZ20" s="103">
        <f>+AT20/6</f>
        <v>0</v>
      </c>
      <c r="BA20" s="20"/>
      <c r="BB20" s="36" t="str">
        <f t="shared" si="7"/>
        <v/>
      </c>
      <c r="BC20" s="104"/>
      <c r="BD20" s="20"/>
      <c r="BE20" s="34"/>
      <c r="BF20" s="13" t="str">
        <f t="shared" si="8"/>
        <v/>
      </c>
      <c r="BG20" s="102">
        <f>+AQ20+BC20</f>
        <v>0</v>
      </c>
      <c r="BH20" s="20"/>
      <c r="BI20" s="34"/>
      <c r="BJ20" s="104"/>
      <c r="BK20" s="20"/>
      <c r="BL20" s="34"/>
      <c r="BM20" s="13" t="str">
        <f t="shared" si="9"/>
        <v/>
      </c>
      <c r="BN20" s="90">
        <f>+BG20+BJ20</f>
        <v>0</v>
      </c>
      <c r="BO20" s="20"/>
      <c r="BP20" s="34"/>
      <c r="BQ20" s="104"/>
      <c r="BR20" s="20"/>
      <c r="BS20" s="34"/>
      <c r="BT20" s="13" t="str">
        <f t="shared" si="10"/>
        <v/>
      </c>
      <c r="BU20" s="90">
        <f>+BN20+BQ20</f>
        <v>0</v>
      </c>
      <c r="BV20" s="20"/>
      <c r="BW20" s="34"/>
      <c r="BX20" s="103">
        <f>+AZ20*9</f>
        <v>0</v>
      </c>
      <c r="BY20" s="20"/>
      <c r="BZ20" s="36" t="str">
        <f t="shared" si="11"/>
        <v/>
      </c>
      <c r="CA20" s="104"/>
      <c r="CB20" s="20"/>
      <c r="CC20" s="34"/>
      <c r="CD20" s="13" t="str">
        <f t="shared" si="12"/>
        <v/>
      </c>
      <c r="CE20" s="90"/>
      <c r="CF20" s="20"/>
      <c r="CG20" s="34"/>
      <c r="CH20" s="104"/>
      <c r="CI20" s="20"/>
      <c r="CJ20" s="34"/>
      <c r="CK20" s="13" t="str">
        <f t="shared" si="13"/>
        <v/>
      </c>
      <c r="CL20" s="90">
        <f>+CE20+CH20</f>
        <v>0</v>
      </c>
      <c r="CM20" s="20"/>
      <c r="CN20" s="34"/>
      <c r="CO20" s="104"/>
      <c r="CP20" s="20"/>
      <c r="CQ20" s="34"/>
      <c r="CR20" s="13" t="str">
        <f t="shared" si="14"/>
        <v/>
      </c>
      <c r="CS20" s="90">
        <f>+CL20+CO20</f>
        <v>0</v>
      </c>
      <c r="CT20" s="20"/>
      <c r="CU20" s="34"/>
      <c r="CV20" s="103">
        <f t="shared" si="18"/>
        <v>0</v>
      </c>
      <c r="CW20" s="20"/>
      <c r="CX20" s="36" t="str">
        <f t="shared" si="15"/>
        <v/>
      </c>
    </row>
    <row r="21" spans="1:102" ht="15.6" customHeight="1" collapsed="1" x14ac:dyDescent="0.25">
      <c r="A21" s="8"/>
      <c r="B21" s="101"/>
      <c r="C21" s="12"/>
      <c r="D21" s="34"/>
      <c r="E21" s="101"/>
      <c r="F21" s="12"/>
      <c r="G21" s="34"/>
      <c r="H21" s="101"/>
      <c r="I21" s="12"/>
      <c r="J21" s="34"/>
      <c r="K21" s="22" t="str">
        <f t="shared" si="0"/>
        <v/>
      </c>
      <c r="M21" s="12"/>
      <c r="N21" s="34"/>
      <c r="O21" s="101"/>
      <c r="P21" s="12"/>
      <c r="Q21" s="34"/>
      <c r="R21" s="22" t="str">
        <f t="shared" si="1"/>
        <v/>
      </c>
      <c r="T21" s="12"/>
      <c r="U21" s="34"/>
      <c r="V21" s="103"/>
      <c r="W21" s="12"/>
      <c r="X21" s="79" t="str">
        <f t="shared" si="2"/>
        <v/>
      </c>
      <c r="Y21" s="101"/>
      <c r="Z21" s="12"/>
      <c r="AA21" s="34"/>
      <c r="AB21" s="22" t="str">
        <f t="shared" si="3"/>
        <v/>
      </c>
      <c r="AD21" s="12"/>
      <c r="AE21" s="34"/>
      <c r="AF21" s="101"/>
      <c r="AG21" s="12"/>
      <c r="AH21" s="34"/>
      <c r="AI21" s="22" t="str">
        <f t="shared" si="4"/>
        <v/>
      </c>
      <c r="AJ21" s="102">
        <f t="shared" si="16"/>
        <v>0</v>
      </c>
      <c r="AK21" s="12"/>
      <c r="AL21" s="34"/>
      <c r="AM21" s="101"/>
      <c r="AN21" s="12"/>
      <c r="AO21" s="34"/>
      <c r="AP21" s="22" t="str">
        <f t="shared" si="5"/>
        <v/>
      </c>
      <c r="AQ21" s="102">
        <f t="shared" si="17"/>
        <v>0</v>
      </c>
      <c r="AR21" s="12"/>
      <c r="AS21" s="34"/>
      <c r="AT21" s="103">
        <f>+V21*2</f>
        <v>0</v>
      </c>
      <c r="AU21" s="12"/>
      <c r="AV21" s="79" t="str">
        <f t="shared" si="6"/>
        <v/>
      </c>
      <c r="AW21" s="103">
        <f>+AQ21/6</f>
        <v>0</v>
      </c>
      <c r="AX21" s="12"/>
      <c r="AY21" s="34"/>
      <c r="AZ21" s="103">
        <f>+AT21/6</f>
        <v>0</v>
      </c>
      <c r="BA21" s="12"/>
      <c r="BB21" s="79" t="str">
        <f t="shared" si="7"/>
        <v/>
      </c>
      <c r="BC21" s="101"/>
      <c r="BD21" s="12"/>
      <c r="BE21" s="34"/>
      <c r="BF21" s="22" t="str">
        <f t="shared" si="8"/>
        <v/>
      </c>
      <c r="BG21" s="102">
        <f>+AQ21+BC21</f>
        <v>0</v>
      </c>
      <c r="BH21" s="12"/>
      <c r="BI21" s="34"/>
      <c r="BJ21" s="101"/>
      <c r="BK21" s="12"/>
      <c r="BL21" s="34"/>
      <c r="BM21" s="22" t="str">
        <f t="shared" si="9"/>
        <v/>
      </c>
      <c r="BN21" s="102">
        <f>+BG21+BJ21</f>
        <v>0</v>
      </c>
      <c r="BO21" s="12"/>
      <c r="BP21" s="34"/>
      <c r="BQ21" s="101"/>
      <c r="BR21" s="12"/>
      <c r="BS21" s="34"/>
      <c r="BT21" s="22" t="str">
        <f t="shared" si="10"/>
        <v/>
      </c>
      <c r="BU21" s="102">
        <f>+BN21+BQ21</f>
        <v>0</v>
      </c>
      <c r="BV21" s="12"/>
      <c r="BW21" s="34"/>
      <c r="BX21" s="103">
        <f>+AZ21*9</f>
        <v>0</v>
      </c>
      <c r="BY21" s="12"/>
      <c r="BZ21" s="79" t="str">
        <f t="shared" si="11"/>
        <v/>
      </c>
      <c r="CA21" s="101"/>
      <c r="CB21" s="12"/>
      <c r="CC21" s="34"/>
      <c r="CD21" s="22" t="str">
        <f t="shared" si="12"/>
        <v/>
      </c>
      <c r="CF21" s="12"/>
      <c r="CG21" s="34"/>
      <c r="CH21" s="101"/>
      <c r="CI21" s="12"/>
      <c r="CJ21" s="34"/>
      <c r="CK21" s="22" t="str">
        <f t="shared" si="13"/>
        <v/>
      </c>
      <c r="CL21" s="102">
        <f>+CE21+CH21</f>
        <v>0</v>
      </c>
      <c r="CM21" s="12"/>
      <c r="CN21" s="34"/>
      <c r="CO21" s="101"/>
      <c r="CP21" s="12"/>
      <c r="CQ21" s="34"/>
      <c r="CR21" s="22" t="str">
        <f t="shared" si="14"/>
        <v/>
      </c>
      <c r="CS21" s="102">
        <f>+CL21+CO21</f>
        <v>0</v>
      </c>
      <c r="CT21" s="12"/>
      <c r="CU21" s="34"/>
      <c r="CV21" s="103">
        <f t="shared" si="18"/>
        <v>0</v>
      </c>
      <c r="CW21" s="12"/>
      <c r="CX21" s="79" t="str">
        <f t="shared" si="15"/>
        <v/>
      </c>
    </row>
    <row r="22" spans="1:102" s="18" customFormat="1" ht="18" customHeight="1" x14ac:dyDescent="0.25">
      <c r="A22" s="15" t="s">
        <v>47</v>
      </c>
      <c r="B22" s="95">
        <f>+B23+B26+B29</f>
        <v>0</v>
      </c>
      <c r="C22" s="26" t="str">
        <f>IF(AND(B4=0,B22&gt;=0), "",B22/B4)</f>
        <v/>
      </c>
      <c r="D22" s="32"/>
      <c r="E22" s="95">
        <f>+E23+E26+E29</f>
        <v>20670.849999999999</v>
      </c>
      <c r="F22" s="26">
        <f>IF(AND(E4=0,E22&gt;=0), "",E22/E4)</f>
        <v>0.43124438409172128</v>
      </c>
      <c r="G22" s="32"/>
      <c r="H22" s="95">
        <f>+H23+H26+H29</f>
        <v>24313.03</v>
      </c>
      <c r="I22" s="26">
        <f>IF(AND(H4=0,H22&gt;=0), "",H22/H4)</f>
        <v>0.47225319250766851</v>
      </c>
      <c r="J22" s="32"/>
      <c r="K22" s="26">
        <f t="shared" si="0"/>
        <v>0.17619885007147748</v>
      </c>
      <c r="L22" s="96">
        <f>+L23+L26+L29</f>
        <v>44983.88</v>
      </c>
      <c r="M22" s="26">
        <f>IF(AND(L4=0,L22&gt;=0), "",L22/L4)</f>
        <v>0.45248097214062066</v>
      </c>
      <c r="N22" s="32"/>
      <c r="O22" s="95">
        <f>+O23+O26+O29</f>
        <v>19883.02</v>
      </c>
      <c r="P22" s="26">
        <f>IF(AND(O4=0,O22&gt;=0), "",O22/O4)</f>
        <v>0.31015761662916119</v>
      </c>
      <c r="Q22" s="32"/>
      <c r="R22" s="26">
        <f t="shared" si="1"/>
        <v>-0.18220723620215162</v>
      </c>
      <c r="S22" s="96">
        <f>+S23+S26+S29</f>
        <v>64866.899999999994</v>
      </c>
      <c r="T22" s="26">
        <f>IF(AND(S4=0,S22&gt;=0), "",S22/S4)</f>
        <v>0.3966854663509094</v>
      </c>
      <c r="U22" s="32"/>
      <c r="V22" s="97">
        <f>+V23+V26+V29</f>
        <v>0</v>
      </c>
      <c r="W22" s="26" t="str">
        <f>IF(AND(V4=0,V22&gt;=0), "",V22/V4)</f>
        <v/>
      </c>
      <c r="X22" s="32">
        <f t="shared" si="2"/>
        <v>1</v>
      </c>
      <c r="Y22" s="95">
        <f>+Y23+Y26+Y29</f>
        <v>0</v>
      </c>
      <c r="Z22" s="26" t="str">
        <f>IF(AND(Y4=0,Y22&gt;=0), "",Y22/Y4)</f>
        <v/>
      </c>
      <c r="AA22" s="32"/>
      <c r="AB22" s="26">
        <f t="shared" si="3"/>
        <v>-1</v>
      </c>
      <c r="AC22" s="96">
        <f>+AC23+AC26+AC29</f>
        <v>64866.899999999994</v>
      </c>
      <c r="AD22" s="26">
        <f>IF(AND(AC4=0,AC22&gt;=0), "",AC22/AC4)</f>
        <v>0.3966854663509094</v>
      </c>
      <c r="AE22" s="32"/>
      <c r="AF22" s="95">
        <f>+AF23+AF26+AF29</f>
        <v>0</v>
      </c>
      <c r="AG22" s="26" t="str">
        <f>IF(AND(AF4=0,AF22&gt;=0), "",AF22/AF4)</f>
        <v/>
      </c>
      <c r="AH22" s="32"/>
      <c r="AI22" s="26" t="str">
        <f t="shared" si="4"/>
        <v/>
      </c>
      <c r="AJ22" s="96">
        <f>+AJ23+AJ26+AJ29</f>
        <v>64866.899999999994</v>
      </c>
      <c r="AK22" s="26">
        <f>IF(AND(AJ4=0,AJ22&gt;=0), "",AJ22/AJ4)</f>
        <v>0.3966854663509094</v>
      </c>
      <c r="AL22" s="32"/>
      <c r="AM22" s="95">
        <f>+AM23+AM26+AM29</f>
        <v>0</v>
      </c>
      <c r="AN22" s="26" t="str">
        <f>IF(AND(AM4=0,AM22&gt;=0), "",AM22/AM4)</f>
        <v/>
      </c>
      <c r="AO22" s="32"/>
      <c r="AP22" s="26" t="str">
        <f t="shared" si="5"/>
        <v/>
      </c>
      <c r="AQ22" s="96">
        <f>+AQ23+AQ26+AQ29</f>
        <v>64866.899999999994</v>
      </c>
      <c r="AR22" s="26">
        <f>IF(AND(AQ4=0,AQ22&gt;=0), "",AQ22/AQ4)</f>
        <v>0.3966854663509094</v>
      </c>
      <c r="AS22" s="32"/>
      <c r="AT22" s="97">
        <f>+AT23+AT26+AT29</f>
        <v>0</v>
      </c>
      <c r="AU22" s="26" t="str">
        <f>IF(AND(AT4=0,AT22&gt;=0), "",AT22/AT4)</f>
        <v/>
      </c>
      <c r="AV22" s="32">
        <f t="shared" si="6"/>
        <v>1</v>
      </c>
      <c r="AW22" s="97">
        <f>+AW23+AW26+AW29</f>
        <v>10811.15</v>
      </c>
      <c r="AX22" s="26">
        <f>IF(AND(AW4=0,AW22&gt;=0), "",AW22/AW4)</f>
        <v>0.39668546635090945</v>
      </c>
      <c r="AY22" s="32"/>
      <c r="AZ22" s="97">
        <f>+AZ23+AZ26+AZ29</f>
        <v>0</v>
      </c>
      <c r="BA22" s="26" t="str">
        <f>IF(AND(AZ4=0,AZ22&gt;=0), "",AZ22/AZ4)</f>
        <v/>
      </c>
      <c r="BB22" s="32">
        <f t="shared" si="7"/>
        <v>1</v>
      </c>
      <c r="BC22" s="95">
        <f>+BC23+BC26+BC29</f>
        <v>0</v>
      </c>
      <c r="BD22" s="26" t="str">
        <f>IF(AND(BC4=0,BC22&gt;=0), "",BC22/BC4)</f>
        <v/>
      </c>
      <c r="BE22" s="32"/>
      <c r="BF22" s="26" t="str">
        <f t="shared" si="8"/>
        <v/>
      </c>
      <c r="BG22" s="96">
        <f>+BG23+BG26+BG29</f>
        <v>64866.899999999994</v>
      </c>
      <c r="BH22" s="26">
        <f>IF(AND(BG4=0,BG22&gt;=0), "",BG22/BG4)</f>
        <v>0.3966854663509094</v>
      </c>
      <c r="BI22" s="32"/>
      <c r="BJ22" s="95">
        <f>+BJ23+BJ26+BJ29</f>
        <v>0</v>
      </c>
      <c r="BK22" s="26" t="str">
        <f>IF(AND(BJ4=0,BJ22&gt;=0), "",BJ22/BJ4)</f>
        <v/>
      </c>
      <c r="BL22" s="32"/>
      <c r="BM22" s="26" t="str">
        <f t="shared" si="9"/>
        <v/>
      </c>
      <c r="BN22" s="96">
        <f>+BN23+BN26+BN29</f>
        <v>64866.899999999994</v>
      </c>
      <c r="BO22" s="26">
        <f>IF(AND(BN4=0,BN22&gt;=0), "",BN22/BN4)</f>
        <v>0.3966854663509094</v>
      </c>
      <c r="BP22" s="32"/>
      <c r="BQ22" s="95">
        <f>+BQ23+BQ26+BQ29</f>
        <v>0</v>
      </c>
      <c r="BR22" s="26" t="str">
        <f>IF(AND(BQ4=0,BQ22&gt;=0), "",BQ22/BQ4)</f>
        <v/>
      </c>
      <c r="BS22" s="32"/>
      <c r="BT22" s="26" t="str">
        <f t="shared" si="10"/>
        <v/>
      </c>
      <c r="BU22" s="96">
        <f>+BU23+BU26+BU29</f>
        <v>64866.899999999994</v>
      </c>
      <c r="BV22" s="26">
        <f>IF(AND(BU4=0,BU22&gt;=0), "",BU22/BU4)</f>
        <v>0.3966854663509094</v>
      </c>
      <c r="BW22" s="32"/>
      <c r="BX22" s="97">
        <f>+BX23+BX26+BX29</f>
        <v>0</v>
      </c>
      <c r="BY22" s="26" t="str">
        <f>IF(AND(BX4=0,BX22&gt;=0), "",BX22/BX4)</f>
        <v/>
      </c>
      <c r="BZ22" s="32">
        <f t="shared" si="11"/>
        <v>1</v>
      </c>
      <c r="CA22" s="95">
        <f>+CA23+CA26+CA29</f>
        <v>0</v>
      </c>
      <c r="CB22" s="26" t="str">
        <f>IF(AND(CA4=0,CA22&gt;=0), "",CA22/CA4)</f>
        <v/>
      </c>
      <c r="CC22" s="32"/>
      <c r="CD22" s="26" t="str">
        <f t="shared" si="12"/>
        <v/>
      </c>
      <c r="CE22" s="96">
        <f>+CE23+CE26+CE29</f>
        <v>64866.899999999994</v>
      </c>
      <c r="CF22" s="26">
        <f>IF(AND(CE4=0,CE22&gt;=0), "",CE22/CE4)</f>
        <v>0.3966854663509094</v>
      </c>
      <c r="CG22" s="32"/>
      <c r="CH22" s="95">
        <f>+CH23+CH26+CH29</f>
        <v>0</v>
      </c>
      <c r="CI22" s="26" t="str">
        <f>IF(AND(CH4=0,CH22&gt;=0), "",CH22/CH4)</f>
        <v/>
      </c>
      <c r="CJ22" s="32"/>
      <c r="CK22" s="26" t="str">
        <f t="shared" si="13"/>
        <v/>
      </c>
      <c r="CL22" s="96">
        <f>+CL23+CL26+CL29</f>
        <v>64866.899999999994</v>
      </c>
      <c r="CM22" s="26">
        <f>IF(AND(CL4=0,CL22&gt;=0), "",CL22/CL4)</f>
        <v>0.3966854663509094</v>
      </c>
      <c r="CN22" s="32"/>
      <c r="CO22" s="95">
        <f>+CO23+CO26+CO29</f>
        <v>0</v>
      </c>
      <c r="CP22" s="26" t="str">
        <f>IF(AND(CO4=0,CO22&gt;=0), "",CO22/CO4)</f>
        <v/>
      </c>
      <c r="CQ22" s="32"/>
      <c r="CR22" s="26" t="str">
        <f t="shared" si="14"/>
        <v/>
      </c>
      <c r="CS22" s="96">
        <f>+CS23+CS26+CS29</f>
        <v>64866.899999999994</v>
      </c>
      <c r="CT22" s="26">
        <f>IF(AND(CS4=0,CS22&gt;=0), "",CS22/CS4)</f>
        <v>0.3966854663509094</v>
      </c>
      <c r="CU22" s="32"/>
      <c r="CV22" s="97">
        <f>+CV23+CV26+CV29</f>
        <v>0</v>
      </c>
      <c r="CW22" s="26" t="str">
        <f>IF(AND(CV4=0,CV22&gt;=0), "",CV22/CV4)</f>
        <v/>
      </c>
      <c r="CX22" s="32">
        <f t="shared" si="15"/>
        <v>1</v>
      </c>
    </row>
    <row r="23" spans="1:102" s="5" customFormat="1" hidden="1" outlineLevel="1" x14ac:dyDescent="0.25">
      <c r="A23" s="27" t="s">
        <v>48</v>
      </c>
      <c r="B23" s="98">
        <f>SUM(B24:B25)</f>
        <v>0</v>
      </c>
      <c r="C23" s="28" t="str">
        <f>IF(AND(B5=0,B23&gt;=0), "",B23/B5)</f>
        <v/>
      </c>
      <c r="D23" s="33"/>
      <c r="E23" s="98">
        <f>SUM(E24:E25)</f>
        <v>20670.849999999999</v>
      </c>
      <c r="F23" s="28">
        <f>IF(AND(E5=0,E23&gt;=0), "",E23/E5)</f>
        <v>0.43124438409172128</v>
      </c>
      <c r="G23" s="33"/>
      <c r="H23" s="98">
        <f>SUM(H24:H25)</f>
        <v>24313.03</v>
      </c>
      <c r="I23" s="28">
        <f>IF(AND(H5=0,H23&gt;=0), "",H23/H5)</f>
        <v>0.47225319250766851</v>
      </c>
      <c r="J23" s="33"/>
      <c r="K23" s="28">
        <f t="shared" si="0"/>
        <v>0.17619885007147748</v>
      </c>
      <c r="L23" s="99">
        <f>SUM(L24:L25)</f>
        <v>44983.88</v>
      </c>
      <c r="M23" s="28">
        <f>IF(AND(L5=0,L23&gt;=0), "",L23/L5)</f>
        <v>0.45248097214062066</v>
      </c>
      <c r="N23" s="33"/>
      <c r="O23" s="98">
        <f>SUM(O24:O25)</f>
        <v>19883.02</v>
      </c>
      <c r="P23" s="28">
        <f>IF(AND(O5=0,O23&gt;=0), "",O23/O5)</f>
        <v>0.31015761662916119</v>
      </c>
      <c r="Q23" s="33"/>
      <c r="R23" s="28">
        <f t="shared" si="1"/>
        <v>-0.18220723620215162</v>
      </c>
      <c r="S23" s="99">
        <f>SUM(S24:S25)</f>
        <v>64866.899999999994</v>
      </c>
      <c r="T23" s="28">
        <f>IF(AND(S5=0,S23&gt;=0), "",S23/S5)</f>
        <v>0.3966854663509094</v>
      </c>
      <c r="U23" s="33"/>
      <c r="V23" s="100">
        <f>SUM(V24:V25)</f>
        <v>0</v>
      </c>
      <c r="W23" s="28" t="str">
        <f>IF(AND(V5=0,V23&gt;=0), "",V23/V5)</f>
        <v/>
      </c>
      <c r="X23" s="78">
        <f t="shared" si="2"/>
        <v>1</v>
      </c>
      <c r="Y23" s="98">
        <f>SUM(Y24:Y25)</f>
        <v>0</v>
      </c>
      <c r="Z23" s="28" t="str">
        <f>IF(AND(Y5=0,Y23&gt;=0), "",Y23/Y5)</f>
        <v/>
      </c>
      <c r="AA23" s="33"/>
      <c r="AB23" s="28">
        <f t="shared" si="3"/>
        <v>-1</v>
      </c>
      <c r="AC23" s="99">
        <f>SUM(AC24:AC25)</f>
        <v>64866.899999999994</v>
      </c>
      <c r="AD23" s="28">
        <f>IF(AND(AC5=0,AC23&gt;=0), "",AC23/AC5)</f>
        <v>0.3966854663509094</v>
      </c>
      <c r="AE23" s="33"/>
      <c r="AF23" s="98">
        <f>SUM(AF24:AF25)</f>
        <v>0</v>
      </c>
      <c r="AG23" s="28" t="str">
        <f>IF(AND(AF5=0,AF23&gt;=0), "",AF23/AF5)</f>
        <v/>
      </c>
      <c r="AH23" s="33"/>
      <c r="AI23" s="28" t="str">
        <f t="shared" si="4"/>
        <v/>
      </c>
      <c r="AJ23" s="99">
        <f>SUM(AJ24:AJ25)</f>
        <v>64866.899999999994</v>
      </c>
      <c r="AK23" s="28">
        <f>IF(AND(AJ5=0,AJ23&gt;=0), "",AJ23/AJ5)</f>
        <v>0.3966854663509094</v>
      </c>
      <c r="AL23" s="33"/>
      <c r="AM23" s="98">
        <f>SUM(AM24:AM25)</f>
        <v>0</v>
      </c>
      <c r="AN23" s="28" t="str">
        <f>IF(AND(AM5=0,AM23&gt;=0), "",AM23/AM5)</f>
        <v/>
      </c>
      <c r="AO23" s="33"/>
      <c r="AP23" s="28" t="str">
        <f t="shared" si="5"/>
        <v/>
      </c>
      <c r="AQ23" s="99">
        <f>SUM(AQ24:AQ25)</f>
        <v>64866.899999999994</v>
      </c>
      <c r="AR23" s="28">
        <f>IF(AND(AQ5=0,AQ23&gt;=0), "",AQ23/AQ5)</f>
        <v>0.3966854663509094</v>
      </c>
      <c r="AS23" s="33"/>
      <c r="AT23" s="100">
        <f>SUM(AT24:AT25)</f>
        <v>0</v>
      </c>
      <c r="AU23" s="28" t="str">
        <f>IF(AND(AT5=0,AT23&gt;=0), "",AT23/AT5)</f>
        <v/>
      </c>
      <c r="AV23" s="78">
        <f t="shared" si="6"/>
        <v>1</v>
      </c>
      <c r="AW23" s="100">
        <f>SUM(AW24:AW25)</f>
        <v>10811.15</v>
      </c>
      <c r="AX23" s="28">
        <f>IF(AND(AW5=0,AW23&gt;=0), "",AW23/AW5)</f>
        <v>0.39668546635090945</v>
      </c>
      <c r="AY23" s="33"/>
      <c r="AZ23" s="100">
        <f>SUM(AZ24:AZ25)</f>
        <v>0</v>
      </c>
      <c r="BA23" s="28" t="str">
        <f>IF(AND(AZ5=0,AZ23&gt;=0), "",AZ23/AZ5)</f>
        <v/>
      </c>
      <c r="BB23" s="78">
        <f t="shared" si="7"/>
        <v>1</v>
      </c>
      <c r="BC23" s="98">
        <f>SUM(BC24:BC25)</f>
        <v>0</v>
      </c>
      <c r="BD23" s="28" t="str">
        <f>IF(AND(BC5=0,BC23&gt;=0), "",BC23/BC5)</f>
        <v/>
      </c>
      <c r="BE23" s="33"/>
      <c r="BF23" s="28" t="str">
        <f t="shared" si="8"/>
        <v/>
      </c>
      <c r="BG23" s="99">
        <f>SUM(BG24:BG25)</f>
        <v>64866.899999999994</v>
      </c>
      <c r="BH23" s="28">
        <f>IF(AND(BG5=0,BG23&gt;=0), "",BG23/BG5)</f>
        <v>0.3966854663509094</v>
      </c>
      <c r="BI23" s="33"/>
      <c r="BJ23" s="98">
        <f>SUM(BJ24:BJ25)</f>
        <v>0</v>
      </c>
      <c r="BK23" s="28" t="str">
        <f>IF(AND(BJ5=0,BJ23&gt;=0), "",BJ23/BJ5)</f>
        <v/>
      </c>
      <c r="BL23" s="33"/>
      <c r="BM23" s="28" t="str">
        <f t="shared" si="9"/>
        <v/>
      </c>
      <c r="BN23" s="99">
        <f>SUM(BN24:BN25)</f>
        <v>64866.899999999994</v>
      </c>
      <c r="BO23" s="28">
        <f>IF(AND(BN5=0,BN23&gt;=0), "",BN23/BN5)</f>
        <v>0.3966854663509094</v>
      </c>
      <c r="BP23" s="33"/>
      <c r="BQ23" s="98">
        <f>SUM(BQ24:BQ25)</f>
        <v>0</v>
      </c>
      <c r="BR23" s="28" t="str">
        <f>IF(AND(BQ5=0,BQ23&gt;=0), "",BQ23/BQ5)</f>
        <v/>
      </c>
      <c r="BS23" s="33"/>
      <c r="BT23" s="28" t="str">
        <f t="shared" si="10"/>
        <v/>
      </c>
      <c r="BU23" s="99">
        <f>SUM(BU24:BU25)</f>
        <v>64866.899999999994</v>
      </c>
      <c r="BV23" s="28">
        <f>IF(AND(BU5=0,BU23&gt;=0), "",BU23/BU5)</f>
        <v>0.3966854663509094</v>
      </c>
      <c r="BW23" s="33"/>
      <c r="BX23" s="100">
        <f>SUM(BX24:BX25)</f>
        <v>0</v>
      </c>
      <c r="BY23" s="28" t="str">
        <f>IF(AND(BX5=0,BX23&gt;=0), "",BX23/BX5)</f>
        <v/>
      </c>
      <c r="BZ23" s="78">
        <f t="shared" si="11"/>
        <v>1</v>
      </c>
      <c r="CA23" s="98">
        <f>SUM(CA24:CA25)</f>
        <v>0</v>
      </c>
      <c r="CB23" s="28" t="str">
        <f>IF(AND(CA5=0,CA23&gt;=0), "",CA23/CA5)</f>
        <v/>
      </c>
      <c r="CC23" s="33"/>
      <c r="CD23" s="28" t="str">
        <f t="shared" si="12"/>
        <v/>
      </c>
      <c r="CE23" s="99">
        <f>SUM(CE24:CE25)</f>
        <v>64866.899999999994</v>
      </c>
      <c r="CF23" s="28">
        <f>IF(AND(CE5=0,CE23&gt;=0), "",CE23/CE5)</f>
        <v>0.3966854663509094</v>
      </c>
      <c r="CG23" s="33"/>
      <c r="CH23" s="98">
        <f>SUM(CH24:CH25)</f>
        <v>0</v>
      </c>
      <c r="CI23" s="28" t="str">
        <f>IF(AND(CH5=0,CH23&gt;=0), "",CH23/CH5)</f>
        <v/>
      </c>
      <c r="CJ23" s="33"/>
      <c r="CK23" s="28" t="str">
        <f t="shared" si="13"/>
        <v/>
      </c>
      <c r="CL23" s="99">
        <f>SUM(CL24:CL25)</f>
        <v>64866.899999999994</v>
      </c>
      <c r="CM23" s="28">
        <f>IF(AND(CL5=0,CL23&gt;=0), "",CL23/CL5)</f>
        <v>0.3966854663509094</v>
      </c>
      <c r="CN23" s="33"/>
      <c r="CO23" s="98">
        <f>SUM(CO24:CO25)</f>
        <v>0</v>
      </c>
      <c r="CP23" s="28" t="str">
        <f>IF(AND(CO5=0,CO23&gt;=0), "",CO23/CO5)</f>
        <v/>
      </c>
      <c r="CQ23" s="33"/>
      <c r="CR23" s="28" t="str">
        <f t="shared" si="14"/>
        <v/>
      </c>
      <c r="CS23" s="99">
        <f>SUM(CS24:CS25)</f>
        <v>64866.899999999994</v>
      </c>
      <c r="CT23" s="28">
        <f>IF(AND(CS5=0,CS23&gt;=0), "",CS23/CS5)</f>
        <v>0.3966854663509094</v>
      </c>
      <c r="CU23" s="33"/>
      <c r="CV23" s="100">
        <f>SUM(CV24:CV25)</f>
        <v>0</v>
      </c>
      <c r="CW23" s="28" t="str">
        <f>IF(AND(CV5=0,CV23&gt;=0), "",CV23/CV5)</f>
        <v/>
      </c>
      <c r="CX23" s="78">
        <f t="shared" si="15"/>
        <v>1</v>
      </c>
    </row>
    <row r="24" spans="1:102" hidden="1" outlineLevel="1" x14ac:dyDescent="0.25">
      <c r="A24" s="19" t="s">
        <v>49</v>
      </c>
      <c r="B24" s="101">
        <f>+'N EERR RODEO'!B30</f>
        <v>0</v>
      </c>
      <c r="C24" s="20" t="str">
        <f>IF(AND(B5=0,B24&gt;=0), "",B24/B5)</f>
        <v/>
      </c>
      <c r="D24" s="34"/>
      <c r="E24" s="101">
        <f>+'N EERR RODEO'!C30</f>
        <v>20670.849999999999</v>
      </c>
      <c r="F24" s="20">
        <f>IF(AND(E5=0,E24&gt;=0), "",E24/E5)</f>
        <v>0.43124438409172128</v>
      </c>
      <c r="G24" s="34"/>
      <c r="H24" s="101">
        <f>+'N EERR RODEO'!D30</f>
        <v>24313.03</v>
      </c>
      <c r="I24" s="20">
        <f>IF(AND(H5=0,H24&gt;=0), "",H24/H5)</f>
        <v>0.47225319250766851</v>
      </c>
      <c r="J24" s="34"/>
      <c r="K24" s="20">
        <f t="shared" si="0"/>
        <v>0.17619885007147748</v>
      </c>
      <c r="L24" s="102">
        <f>+E24+H24</f>
        <v>44983.88</v>
      </c>
      <c r="M24" s="20">
        <f>IF(AND(L5=0,L24&gt;=0), "",L24/L5)</f>
        <v>0.45248097214062066</v>
      </c>
      <c r="N24" s="34"/>
      <c r="O24" s="101">
        <f>+'N EERR RODEO'!E30</f>
        <v>19883.02</v>
      </c>
      <c r="P24" s="20">
        <f>IF(AND(O5=0,O24&gt;=0), "",O24/O5)</f>
        <v>0.31015761662916119</v>
      </c>
      <c r="Q24" s="34"/>
      <c r="R24" s="20">
        <f t="shared" si="1"/>
        <v>-0.18220723620215162</v>
      </c>
      <c r="S24" s="102">
        <f>+L24+O24</f>
        <v>64866.899999999994</v>
      </c>
      <c r="T24" s="20">
        <f>IF(AND(S5=0,S24&gt;=0), "",S24/S5)</f>
        <v>0.3966854663509094</v>
      </c>
      <c r="U24" s="34"/>
      <c r="V24" s="103">
        <f>+V6*66.71%</f>
        <v>0</v>
      </c>
      <c r="W24" s="20" t="str">
        <f>IF(AND(V5=0,V24&gt;=0), "",V24/V5)</f>
        <v/>
      </c>
      <c r="X24" s="37">
        <f t="shared" si="2"/>
        <v>1</v>
      </c>
      <c r="Y24" s="101">
        <f>+'N EERR RODEO'!F30</f>
        <v>0</v>
      </c>
      <c r="Z24" s="20" t="str">
        <f>IF(AND(Y5=0,Y24&gt;=0), "",Y24/Y5)</f>
        <v/>
      </c>
      <c r="AA24" s="34"/>
      <c r="AB24" s="20">
        <f t="shared" si="3"/>
        <v>-1</v>
      </c>
      <c r="AC24" s="102">
        <f>+S24+Y24</f>
        <v>64866.899999999994</v>
      </c>
      <c r="AD24" s="20">
        <f>IF(AND(AC5=0,AC24&gt;=0), "",AC24/AC5)</f>
        <v>0.3966854663509094</v>
      </c>
      <c r="AE24" s="34"/>
      <c r="AF24" s="101">
        <f>+'N EERR RODEO'!G30</f>
        <v>0</v>
      </c>
      <c r="AG24" s="20" t="str">
        <f>IF(AND(AF5=0,AF24&gt;=0), "",AF24/AF5)</f>
        <v/>
      </c>
      <c r="AH24" s="34"/>
      <c r="AI24" s="20" t="str">
        <f t="shared" si="4"/>
        <v/>
      </c>
      <c r="AJ24" s="102">
        <f t="shared" si="16"/>
        <v>64866.899999999994</v>
      </c>
      <c r="AK24" s="20">
        <f>IF(AND(AJ5=0,AJ24&gt;=0), "",AJ24/AJ5)</f>
        <v>0.3966854663509094</v>
      </c>
      <c r="AL24" s="34"/>
      <c r="AM24" s="101">
        <f>+'N EERR RODEO'!H30</f>
        <v>0</v>
      </c>
      <c r="AN24" s="20" t="str">
        <f>IF(AND(AM5=0,AM24&gt;=0), "",AM24/AM5)</f>
        <v/>
      </c>
      <c r="AO24" s="34"/>
      <c r="AP24" s="20" t="str">
        <f t="shared" si="5"/>
        <v/>
      </c>
      <c r="AQ24" s="102">
        <f t="shared" si="17"/>
        <v>64866.899999999994</v>
      </c>
      <c r="AR24" s="20">
        <f>IF(AND(AQ5=0,AQ24&gt;=0), "",AQ24/AQ5)</f>
        <v>0.3966854663509094</v>
      </c>
      <c r="AS24" s="34"/>
      <c r="AT24" s="103">
        <f>+V24*2</f>
        <v>0</v>
      </c>
      <c r="AU24" s="20" t="str">
        <f>IF(AND(AT5=0,AT24&gt;=0), "",AT24/AT5)</f>
        <v/>
      </c>
      <c r="AV24" s="37">
        <f t="shared" si="6"/>
        <v>1</v>
      </c>
      <c r="AW24" s="103">
        <f>+AQ24/6</f>
        <v>10811.15</v>
      </c>
      <c r="AX24" s="20">
        <f>IF(AND(AW5=0,AW24&gt;=0), "",AW24/AW5)</f>
        <v>0.39668546635090945</v>
      </c>
      <c r="AY24" s="34"/>
      <c r="AZ24" s="103">
        <f>+AT24/6</f>
        <v>0</v>
      </c>
      <c r="BA24" s="20" t="str">
        <f>IF(AND(AZ5=0,AZ24&gt;=0), "",AZ24/AZ5)</f>
        <v/>
      </c>
      <c r="BB24" s="37">
        <f t="shared" si="7"/>
        <v>1</v>
      </c>
      <c r="BC24" s="101">
        <f>+'N EERR RODEO'!I30</f>
        <v>0</v>
      </c>
      <c r="BD24" s="20" t="str">
        <f>IF(AND(BC5=0,BC24&gt;=0), "",BC24/BC5)</f>
        <v/>
      </c>
      <c r="BE24" s="34"/>
      <c r="BF24" s="20" t="str">
        <f t="shared" si="8"/>
        <v/>
      </c>
      <c r="BG24" s="102">
        <f>+AQ24+BC24</f>
        <v>64866.899999999994</v>
      </c>
      <c r="BH24" s="20">
        <f>IF(AND(BG5=0,BG24&gt;=0), "",BG24/BG5)</f>
        <v>0.3966854663509094</v>
      </c>
      <c r="BI24" s="34"/>
      <c r="BJ24" s="101">
        <f>+'N EERR RODEO'!J30</f>
        <v>0</v>
      </c>
      <c r="BK24" s="20" t="str">
        <f>IF(AND(BJ5=0,BJ24&gt;=0), "",BJ24/BJ5)</f>
        <v/>
      </c>
      <c r="BL24" s="34"/>
      <c r="BM24" s="20" t="str">
        <f t="shared" si="9"/>
        <v/>
      </c>
      <c r="BN24" s="102">
        <f>+BG24+BJ24</f>
        <v>64866.899999999994</v>
      </c>
      <c r="BO24" s="20">
        <f>IF(AND(BN5=0,BN24&gt;=0), "",BN24/BN5)</f>
        <v>0.3966854663509094</v>
      </c>
      <c r="BP24" s="34"/>
      <c r="BQ24" s="101">
        <f>+'N EERR RODEO'!K30</f>
        <v>0</v>
      </c>
      <c r="BR24" s="20" t="str">
        <f>IF(AND(BQ5=0,BQ24&gt;=0), "",BQ24/BQ5)</f>
        <v/>
      </c>
      <c r="BS24" s="34"/>
      <c r="BT24" s="20" t="str">
        <f t="shared" si="10"/>
        <v/>
      </c>
      <c r="BU24" s="102">
        <f>+BN24+BQ24</f>
        <v>64866.899999999994</v>
      </c>
      <c r="BV24" s="20">
        <f>IF(AND(BU5=0,BU24&gt;=0), "",BU24/BU5)</f>
        <v>0.3966854663509094</v>
      </c>
      <c r="BW24" s="34"/>
      <c r="BX24" s="103">
        <f>+AZ24*9</f>
        <v>0</v>
      </c>
      <c r="BY24" s="20" t="str">
        <f>IF(AND(BX5=0,BX24&gt;=0), "",BX24/BX5)</f>
        <v/>
      </c>
      <c r="BZ24" s="37">
        <f t="shared" si="11"/>
        <v>1</v>
      </c>
      <c r="CA24" s="101">
        <f>+'N EERR RODEO'!L30</f>
        <v>0</v>
      </c>
      <c r="CB24" s="20" t="str">
        <f>IF(AND(CA5=0,CA24&gt;=0), "",CA24/CA5)</f>
        <v/>
      </c>
      <c r="CC24" s="34"/>
      <c r="CD24" s="20" t="str">
        <f t="shared" si="12"/>
        <v/>
      </c>
      <c r="CE24" s="102">
        <f>+BU24+CA24</f>
        <v>64866.899999999994</v>
      </c>
      <c r="CF24" s="20">
        <f>IF(AND(CE5=0,CE24&gt;=0), "",CE24/CE5)</f>
        <v>0.3966854663509094</v>
      </c>
      <c r="CG24" s="34"/>
      <c r="CH24" s="101">
        <f>+'N EERR RODEO'!M30</f>
        <v>0</v>
      </c>
      <c r="CI24" s="20" t="str">
        <f>IF(AND(CH5=0,CH24&gt;=0), "",CH24/CH5)</f>
        <v/>
      </c>
      <c r="CJ24" s="34"/>
      <c r="CK24" s="20" t="str">
        <f t="shared" si="13"/>
        <v/>
      </c>
      <c r="CL24" s="102">
        <f>+CE24+CH24</f>
        <v>64866.899999999994</v>
      </c>
      <c r="CM24" s="20">
        <f>IF(AND(CL5=0,CL24&gt;=0), "",CL24/CL5)</f>
        <v>0.3966854663509094</v>
      </c>
      <c r="CN24" s="34"/>
      <c r="CO24" s="101">
        <f>+'N EERR RODEO'!N30</f>
        <v>0</v>
      </c>
      <c r="CP24" s="20" t="str">
        <f>IF(AND(CO5=0,CO24&gt;=0), "",CO24/CO5)</f>
        <v/>
      </c>
      <c r="CQ24" s="34"/>
      <c r="CR24" s="20" t="str">
        <f t="shared" si="14"/>
        <v/>
      </c>
      <c r="CS24" s="102">
        <f>+CL24+CO24</f>
        <v>64866.899999999994</v>
      </c>
      <c r="CT24" s="20">
        <f>IF(AND(CS5=0,CS24&gt;=0), "",CS24/CS5)</f>
        <v>0.3966854663509094</v>
      </c>
      <c r="CU24" s="34"/>
      <c r="CV24" s="103">
        <f>+AZ24*12</f>
        <v>0</v>
      </c>
      <c r="CW24" s="20" t="str">
        <f>IF(AND(CV5=0,CV24&gt;=0), "",CV24/CV5)</f>
        <v/>
      </c>
      <c r="CX24" s="37">
        <f t="shared" si="15"/>
        <v>1</v>
      </c>
    </row>
    <row r="25" spans="1:102" hidden="1" outlineLevel="1" x14ac:dyDescent="0.25">
      <c r="A25" s="19"/>
      <c r="B25" s="101"/>
      <c r="C25" s="20"/>
      <c r="D25" s="34"/>
      <c r="E25" s="101"/>
      <c r="F25" s="20"/>
      <c r="G25" s="34"/>
      <c r="H25" s="101"/>
      <c r="I25" s="20"/>
      <c r="J25" s="34"/>
      <c r="K25" s="22" t="str">
        <f t="shared" si="0"/>
        <v/>
      </c>
      <c r="M25" s="20"/>
      <c r="N25" s="34"/>
      <c r="O25" s="101"/>
      <c r="P25" s="20"/>
      <c r="Q25" s="34"/>
      <c r="R25" s="22" t="str">
        <f t="shared" si="1"/>
        <v/>
      </c>
      <c r="T25" s="20"/>
      <c r="U25" s="34"/>
      <c r="V25" s="103"/>
      <c r="W25" s="20"/>
      <c r="X25" s="79" t="str">
        <f t="shared" si="2"/>
        <v/>
      </c>
      <c r="Y25" s="101"/>
      <c r="Z25" s="20"/>
      <c r="AA25" s="34"/>
      <c r="AB25" s="22" t="str">
        <f t="shared" si="3"/>
        <v/>
      </c>
      <c r="AD25" s="20"/>
      <c r="AE25" s="34"/>
      <c r="AF25" s="101"/>
      <c r="AG25" s="20"/>
      <c r="AH25" s="34"/>
      <c r="AI25" s="22" t="str">
        <f t="shared" si="4"/>
        <v/>
      </c>
      <c r="AJ25" s="102">
        <f t="shared" si="16"/>
        <v>0</v>
      </c>
      <c r="AK25" s="20"/>
      <c r="AL25" s="34"/>
      <c r="AM25" s="101"/>
      <c r="AN25" s="20"/>
      <c r="AO25" s="34"/>
      <c r="AP25" s="22" t="str">
        <f t="shared" si="5"/>
        <v/>
      </c>
      <c r="AQ25" s="102">
        <f t="shared" si="17"/>
        <v>0</v>
      </c>
      <c r="AR25" s="20"/>
      <c r="AS25" s="34"/>
      <c r="AT25" s="103">
        <f>+V25*2</f>
        <v>0</v>
      </c>
      <c r="AU25" s="20"/>
      <c r="AV25" s="79" t="str">
        <f t="shared" si="6"/>
        <v/>
      </c>
      <c r="AW25" s="103">
        <f>+AQ25/6</f>
        <v>0</v>
      </c>
      <c r="AX25" s="20"/>
      <c r="AY25" s="34"/>
      <c r="AZ25" s="103">
        <f>+AT25/6</f>
        <v>0</v>
      </c>
      <c r="BA25" s="20"/>
      <c r="BB25" s="79" t="str">
        <f t="shared" si="7"/>
        <v/>
      </c>
      <c r="BC25" s="101"/>
      <c r="BD25" s="20"/>
      <c r="BE25" s="34"/>
      <c r="BF25" s="22" t="str">
        <f t="shared" si="8"/>
        <v/>
      </c>
      <c r="BG25" s="102">
        <f>+AQ25+BC25</f>
        <v>0</v>
      </c>
      <c r="BH25" s="20"/>
      <c r="BI25" s="34"/>
      <c r="BJ25" s="101"/>
      <c r="BK25" s="20"/>
      <c r="BL25" s="34"/>
      <c r="BM25" s="22" t="str">
        <f t="shared" si="9"/>
        <v/>
      </c>
      <c r="BN25" s="102">
        <f>+BG25+BJ25</f>
        <v>0</v>
      </c>
      <c r="BO25" s="20"/>
      <c r="BP25" s="34"/>
      <c r="BQ25" s="101"/>
      <c r="BR25" s="20"/>
      <c r="BS25" s="34"/>
      <c r="BT25" s="22" t="str">
        <f t="shared" si="10"/>
        <v/>
      </c>
      <c r="BU25" s="102">
        <f>+BN25+BQ25</f>
        <v>0</v>
      </c>
      <c r="BV25" s="20"/>
      <c r="BW25" s="34"/>
      <c r="BX25" s="103">
        <f>+AZ25*9</f>
        <v>0</v>
      </c>
      <c r="BY25" s="20"/>
      <c r="BZ25" s="79" t="str">
        <f t="shared" si="11"/>
        <v/>
      </c>
      <c r="CA25" s="101"/>
      <c r="CB25" s="20"/>
      <c r="CC25" s="34"/>
      <c r="CD25" s="22" t="str">
        <f t="shared" si="12"/>
        <v/>
      </c>
      <c r="CF25" s="20"/>
      <c r="CG25" s="34"/>
      <c r="CH25" s="101"/>
      <c r="CI25" s="20"/>
      <c r="CJ25" s="34"/>
      <c r="CK25" s="22" t="str">
        <f t="shared" si="13"/>
        <v/>
      </c>
      <c r="CL25" s="102">
        <f>+CE25+CH25</f>
        <v>0</v>
      </c>
      <c r="CM25" s="20"/>
      <c r="CN25" s="34"/>
      <c r="CO25" s="101"/>
      <c r="CP25" s="20"/>
      <c r="CQ25" s="34"/>
      <c r="CR25" s="22" t="str">
        <f t="shared" si="14"/>
        <v/>
      </c>
      <c r="CS25" s="102">
        <f>+CL25+CO25</f>
        <v>0</v>
      </c>
      <c r="CT25" s="20"/>
      <c r="CU25" s="34"/>
      <c r="CV25" s="103">
        <f>+AZ25*12</f>
        <v>0</v>
      </c>
      <c r="CW25" s="20"/>
      <c r="CX25" s="79" t="str">
        <f t="shared" si="15"/>
        <v/>
      </c>
    </row>
    <row r="26" spans="1:102" s="5" customFormat="1" hidden="1" outlineLevel="1" x14ac:dyDescent="0.25">
      <c r="A26" s="27" t="s">
        <v>50</v>
      </c>
      <c r="B26" s="98">
        <f>SUM(B27:B28)</f>
        <v>0</v>
      </c>
      <c r="C26" s="28" t="str">
        <f>IF(AND(B10=0,B26&gt;=0), "",B26/B10)</f>
        <v/>
      </c>
      <c r="D26" s="33"/>
      <c r="E26" s="98">
        <f>SUM(E27:E28)</f>
        <v>0</v>
      </c>
      <c r="F26" s="28" t="str">
        <f>IF(AND(E10=0,E26&gt;=0), "",E26/E10)</f>
        <v/>
      </c>
      <c r="G26" s="33"/>
      <c r="H26" s="98">
        <f>SUM(H27:H28)</f>
        <v>0</v>
      </c>
      <c r="I26" s="28" t="str">
        <f>IF(AND(H10=0,H26&gt;=0), "",H26/H10)</f>
        <v/>
      </c>
      <c r="J26" s="33"/>
      <c r="K26" s="28" t="str">
        <f t="shared" si="0"/>
        <v/>
      </c>
      <c r="L26" s="99">
        <f>SUM(L27:L28)</f>
        <v>0</v>
      </c>
      <c r="M26" s="28" t="str">
        <f>IF(AND(L10=0,L26&gt;=0), "",L26/L10)</f>
        <v/>
      </c>
      <c r="N26" s="33"/>
      <c r="O26" s="98">
        <f>SUM(O27:O28)</f>
        <v>0</v>
      </c>
      <c r="P26" s="28" t="str">
        <f>IF(AND(O10=0,O26&gt;=0), "",O26/O10)</f>
        <v/>
      </c>
      <c r="Q26" s="33"/>
      <c r="R26" s="28" t="str">
        <f t="shared" si="1"/>
        <v/>
      </c>
      <c r="S26" s="99">
        <f>SUM(S27:S28)</f>
        <v>0</v>
      </c>
      <c r="T26" s="28" t="str">
        <f>IF(AND(S10=0,S26&gt;=0), "",S26/S10)</f>
        <v/>
      </c>
      <c r="U26" s="33"/>
      <c r="V26" s="100">
        <f>SUM(V27:V28)</f>
        <v>0</v>
      </c>
      <c r="W26" s="28" t="str">
        <f>IF(AND(V10=0,V26&gt;=0), "",V26/V10)</f>
        <v/>
      </c>
      <c r="X26" s="78" t="str">
        <f t="shared" si="2"/>
        <v/>
      </c>
      <c r="Y26" s="98">
        <f>SUM(Y27:Y28)</f>
        <v>0</v>
      </c>
      <c r="Z26" s="28" t="str">
        <f>IF(AND(Y10=0,Y26&gt;=0), "",Y26/Y10)</f>
        <v/>
      </c>
      <c r="AA26" s="33"/>
      <c r="AB26" s="28" t="str">
        <f t="shared" si="3"/>
        <v/>
      </c>
      <c r="AC26" s="99">
        <f>SUM(AC27:AC28)</f>
        <v>0</v>
      </c>
      <c r="AD26" s="28" t="str">
        <f>IF(AND(AC10=0,AC26&gt;=0), "",AC26/AC10)</f>
        <v/>
      </c>
      <c r="AE26" s="33"/>
      <c r="AF26" s="98">
        <f>SUM(AF27:AF28)</f>
        <v>0</v>
      </c>
      <c r="AG26" s="28" t="str">
        <f>IF(AND(AF10=0,AF26&gt;=0), "",AF26/AF10)</f>
        <v/>
      </c>
      <c r="AH26" s="33"/>
      <c r="AI26" s="28" t="str">
        <f t="shared" si="4"/>
        <v/>
      </c>
      <c r="AJ26" s="99">
        <f>SUM(AJ27:AJ28)</f>
        <v>0</v>
      </c>
      <c r="AK26" s="28" t="str">
        <f>IF(AND(AJ10=0,AJ26&gt;=0), "",AJ26/AJ10)</f>
        <v/>
      </c>
      <c r="AL26" s="33"/>
      <c r="AM26" s="98">
        <f>SUM(AM27:AM28)</f>
        <v>0</v>
      </c>
      <c r="AN26" s="28" t="str">
        <f>IF(AND(AM10=0,AM26&gt;=0), "",AM26/AM10)</f>
        <v/>
      </c>
      <c r="AO26" s="33"/>
      <c r="AP26" s="28" t="str">
        <f t="shared" si="5"/>
        <v/>
      </c>
      <c r="AQ26" s="99">
        <f>SUM(AQ27:AQ28)</f>
        <v>0</v>
      </c>
      <c r="AR26" s="28" t="str">
        <f>IF(AND(AQ10=0,AQ26&gt;=0), "",AQ26/AQ10)</f>
        <v/>
      </c>
      <c r="AS26" s="33"/>
      <c r="AT26" s="100">
        <f>SUM(AT27:AT28)</f>
        <v>0</v>
      </c>
      <c r="AU26" s="28" t="str">
        <f>IF(AND(AT10=0,AT26&gt;=0), "",AT26/AT10)</f>
        <v/>
      </c>
      <c r="AV26" s="78" t="str">
        <f t="shared" si="6"/>
        <v/>
      </c>
      <c r="AW26" s="100">
        <f>SUM(AW27:AW28)</f>
        <v>0</v>
      </c>
      <c r="AX26" s="28" t="str">
        <f>IF(AND(AW10=0,AW26&gt;=0), "",AW26/AW10)</f>
        <v/>
      </c>
      <c r="AY26" s="33"/>
      <c r="AZ26" s="100">
        <f>SUM(AZ27:AZ28)</f>
        <v>0</v>
      </c>
      <c r="BA26" s="28" t="str">
        <f>IF(AND(AZ10=0,AZ26&gt;=0), "",AZ26/AZ10)</f>
        <v/>
      </c>
      <c r="BB26" s="78" t="str">
        <f t="shared" si="7"/>
        <v/>
      </c>
      <c r="BC26" s="98">
        <f>SUM(BC27:BC28)</f>
        <v>0</v>
      </c>
      <c r="BD26" s="28" t="str">
        <f>IF(AND(BC10=0,BC26&gt;=0), "",BC26/BC10)</f>
        <v/>
      </c>
      <c r="BE26" s="33"/>
      <c r="BF26" s="28" t="str">
        <f t="shared" si="8"/>
        <v/>
      </c>
      <c r="BG26" s="99">
        <f>SUM(BG27:BG28)</f>
        <v>0</v>
      </c>
      <c r="BH26" s="28" t="str">
        <f>IF(AND(BG10=0,BG26&gt;=0), "",BG26/BG10)</f>
        <v/>
      </c>
      <c r="BI26" s="33"/>
      <c r="BJ26" s="98">
        <f>SUM(BJ27:BJ28)</f>
        <v>0</v>
      </c>
      <c r="BK26" s="28" t="str">
        <f>IF(AND(BJ10=0,BJ26&gt;=0), "",BJ26/BJ10)</f>
        <v/>
      </c>
      <c r="BL26" s="33"/>
      <c r="BM26" s="28" t="str">
        <f t="shared" si="9"/>
        <v/>
      </c>
      <c r="BN26" s="99">
        <f>SUM(BN27:BN28)</f>
        <v>0</v>
      </c>
      <c r="BO26" s="28" t="str">
        <f>IF(AND(BN10=0,BN26&gt;=0), "",BN26/BN10)</f>
        <v/>
      </c>
      <c r="BP26" s="33"/>
      <c r="BQ26" s="98">
        <f>SUM(BQ27:BQ28)</f>
        <v>0</v>
      </c>
      <c r="BR26" s="28" t="str">
        <f>IF(AND(BQ10=0,BQ26&gt;=0), "",BQ26/BQ10)</f>
        <v/>
      </c>
      <c r="BS26" s="33"/>
      <c r="BT26" s="28" t="str">
        <f t="shared" si="10"/>
        <v/>
      </c>
      <c r="BU26" s="99">
        <f>SUM(BU27:BU28)</f>
        <v>0</v>
      </c>
      <c r="BV26" s="28" t="str">
        <f>IF(AND(BU10=0,BU26&gt;=0), "",BU26/BU10)</f>
        <v/>
      </c>
      <c r="BW26" s="33"/>
      <c r="BX26" s="100">
        <f>SUM(BX27:BX28)</f>
        <v>0</v>
      </c>
      <c r="BY26" s="28" t="str">
        <f>IF(AND(BX10=0,BX26&gt;=0), "",BX26/BX10)</f>
        <v/>
      </c>
      <c r="BZ26" s="78" t="str">
        <f t="shared" si="11"/>
        <v/>
      </c>
      <c r="CA26" s="98">
        <f>SUM(CA27:CA28)</f>
        <v>0</v>
      </c>
      <c r="CB26" s="28" t="str">
        <f>IF(AND(CA10=0,CA26&gt;=0), "",CA26/CA10)</f>
        <v/>
      </c>
      <c r="CC26" s="33"/>
      <c r="CD26" s="28" t="str">
        <f t="shared" si="12"/>
        <v/>
      </c>
      <c r="CE26" s="99">
        <f>SUM(CE27:CE28)</f>
        <v>0</v>
      </c>
      <c r="CF26" s="28" t="str">
        <f>IF(AND(CE10=0,CE26&gt;=0), "",CE26/CE10)</f>
        <v/>
      </c>
      <c r="CG26" s="33"/>
      <c r="CH26" s="98">
        <f>SUM(CH27:CH28)</f>
        <v>0</v>
      </c>
      <c r="CI26" s="28" t="str">
        <f>IF(AND(CH10=0,CH26&gt;=0), "",CH26/CH10)</f>
        <v/>
      </c>
      <c r="CJ26" s="33"/>
      <c r="CK26" s="28" t="str">
        <f t="shared" si="13"/>
        <v/>
      </c>
      <c r="CL26" s="99">
        <f>SUM(CL27:CL28)</f>
        <v>0</v>
      </c>
      <c r="CM26" s="28" t="str">
        <f>IF(AND(CL10=0,CL26&gt;=0), "",CL26/CL10)</f>
        <v/>
      </c>
      <c r="CN26" s="33"/>
      <c r="CO26" s="98">
        <f>SUM(CO27:CO28)</f>
        <v>0</v>
      </c>
      <c r="CP26" s="28" t="str">
        <f>IF(AND(CO10=0,CO26&gt;=0), "",CO26/CO10)</f>
        <v/>
      </c>
      <c r="CQ26" s="33"/>
      <c r="CR26" s="28" t="str">
        <f t="shared" si="14"/>
        <v/>
      </c>
      <c r="CS26" s="99">
        <f>SUM(CS27:CS28)</f>
        <v>0</v>
      </c>
      <c r="CT26" s="28" t="str">
        <f>IF(AND(CS10=0,CS26&gt;=0), "",CS26/CS10)</f>
        <v/>
      </c>
      <c r="CU26" s="33"/>
      <c r="CV26" s="100">
        <f>SUM(CV27:CV28)</f>
        <v>0</v>
      </c>
      <c r="CW26" s="28" t="str">
        <f>IF(AND(CV10=0,CV26&gt;=0), "",CV26/CV10)</f>
        <v/>
      </c>
      <c r="CX26" s="78" t="str">
        <f t="shared" si="15"/>
        <v/>
      </c>
    </row>
    <row r="27" spans="1:102" hidden="1" outlineLevel="1" x14ac:dyDescent="0.25">
      <c r="A27" s="19" t="s">
        <v>51</v>
      </c>
      <c r="B27" s="101">
        <f>+'N EERR RODEO'!B31</f>
        <v>0</v>
      </c>
      <c r="C27" s="20" t="str">
        <f>IF(AND(B10=0,B27&gt;=0), "",B27/B10)</f>
        <v/>
      </c>
      <c r="D27" s="34"/>
      <c r="E27" s="101">
        <f>+'N EERR RODEO'!C31</f>
        <v>0</v>
      </c>
      <c r="F27" s="20" t="str">
        <f>IF(AND(E10=0,E27&gt;=0), "",E27/E10)</f>
        <v/>
      </c>
      <c r="G27" s="34"/>
      <c r="H27" s="101">
        <f>+'N EERR RODEO'!D31</f>
        <v>0</v>
      </c>
      <c r="I27" s="20" t="str">
        <f>IF(AND(H10=0,H27&gt;=0), "",H27/H10)</f>
        <v/>
      </c>
      <c r="J27" s="34"/>
      <c r="K27" s="20" t="str">
        <f t="shared" si="0"/>
        <v/>
      </c>
      <c r="L27" s="102">
        <f>+E27+H27</f>
        <v>0</v>
      </c>
      <c r="M27" s="20" t="str">
        <f>IF(AND(L10=0,L27&gt;=0), "",L27/L10)</f>
        <v/>
      </c>
      <c r="N27" s="34"/>
      <c r="O27" s="101">
        <f>+'N EERR RODEO'!E31</f>
        <v>0</v>
      </c>
      <c r="P27" s="20" t="str">
        <f>IF(AND(O10=0,O27&gt;=0), "",O27/O10)</f>
        <v/>
      </c>
      <c r="Q27" s="34"/>
      <c r="R27" s="20" t="str">
        <f t="shared" si="1"/>
        <v/>
      </c>
      <c r="S27" s="102">
        <f>+L27+O27</f>
        <v>0</v>
      </c>
      <c r="T27" s="20" t="str">
        <f>IF(AND(S10=0,S27&gt;=0), "",S27/S10)</f>
        <v/>
      </c>
      <c r="U27" s="34"/>
      <c r="V27" s="103"/>
      <c r="W27" s="20" t="str">
        <f>IF(AND(V10=0,V27&gt;=0), "",V27/V10)</f>
        <v/>
      </c>
      <c r="X27" s="37" t="str">
        <f t="shared" si="2"/>
        <v/>
      </c>
      <c r="Y27" s="101">
        <f>+'N EERR RODEO'!F31</f>
        <v>0</v>
      </c>
      <c r="Z27" s="20" t="str">
        <f>IF(AND(Y10=0,Y27&gt;=0), "",Y27/Y10)</f>
        <v/>
      </c>
      <c r="AA27" s="34"/>
      <c r="AB27" s="20" t="str">
        <f t="shared" si="3"/>
        <v/>
      </c>
      <c r="AC27" s="102">
        <f>+S27+Y27</f>
        <v>0</v>
      </c>
      <c r="AD27" s="20" t="str">
        <f>IF(AND(AC10=0,AC27&gt;=0), "",AC27/AC10)</f>
        <v/>
      </c>
      <c r="AE27" s="34"/>
      <c r="AF27" s="101">
        <f>+'N EERR RODEO'!G31</f>
        <v>0</v>
      </c>
      <c r="AG27" s="20" t="str">
        <f>IF(AND(AF10=0,AF27&gt;=0), "",AF27/AF10)</f>
        <v/>
      </c>
      <c r="AH27" s="34"/>
      <c r="AI27" s="20" t="str">
        <f t="shared" si="4"/>
        <v/>
      </c>
      <c r="AJ27" s="102">
        <f t="shared" si="16"/>
        <v>0</v>
      </c>
      <c r="AK27" s="20" t="str">
        <f>IF(AND(AJ10=0,AJ27&gt;=0), "",AJ27/AJ10)</f>
        <v/>
      </c>
      <c r="AL27" s="34"/>
      <c r="AM27" s="101">
        <f>+'N EERR RODEO'!H31</f>
        <v>0</v>
      </c>
      <c r="AN27" s="20" t="str">
        <f>IF(AND(AM10=0,AM27&gt;=0), "",AM27/AM10)</f>
        <v/>
      </c>
      <c r="AO27" s="34"/>
      <c r="AP27" s="20" t="str">
        <f t="shared" si="5"/>
        <v/>
      </c>
      <c r="AQ27" s="102">
        <f t="shared" si="17"/>
        <v>0</v>
      </c>
      <c r="AR27" s="20" t="str">
        <f>IF(AND(AQ10=0,AQ27&gt;=0), "",AQ27/AQ10)</f>
        <v/>
      </c>
      <c r="AS27" s="34"/>
      <c r="AT27" s="103">
        <f>+V27*2</f>
        <v>0</v>
      </c>
      <c r="AU27" s="20" t="str">
        <f>IF(AND(AT10=0,AT27&gt;=0), "",AT27/AT10)</f>
        <v/>
      </c>
      <c r="AV27" s="37" t="str">
        <f t="shared" si="6"/>
        <v/>
      </c>
      <c r="AW27" s="103">
        <f>+AQ27/6</f>
        <v>0</v>
      </c>
      <c r="AX27" s="20" t="str">
        <f>IF(AND(AW10=0,AW27&gt;=0), "",AW27/AW10)</f>
        <v/>
      </c>
      <c r="AY27" s="34"/>
      <c r="AZ27" s="103">
        <f>+AT27/6</f>
        <v>0</v>
      </c>
      <c r="BA27" s="20" t="str">
        <f>IF(AND(AZ10=0,AZ27&gt;=0), "",AZ27/AZ10)</f>
        <v/>
      </c>
      <c r="BB27" s="37" t="str">
        <f t="shared" si="7"/>
        <v/>
      </c>
      <c r="BC27" s="101">
        <f>+'N EERR RODEO'!I31</f>
        <v>0</v>
      </c>
      <c r="BD27" s="20" t="str">
        <f>IF(AND(BC10=0,BC27&gt;=0), "",BC27/BC10)</f>
        <v/>
      </c>
      <c r="BE27" s="34"/>
      <c r="BF27" s="20" t="str">
        <f t="shared" si="8"/>
        <v/>
      </c>
      <c r="BG27" s="102">
        <f>+AQ27+BC27</f>
        <v>0</v>
      </c>
      <c r="BH27" s="20" t="str">
        <f>IF(AND(BG10=0,BG27&gt;=0), "",BG27/BG10)</f>
        <v/>
      </c>
      <c r="BI27" s="34"/>
      <c r="BJ27" s="101">
        <f>+'N EERR RODEO'!J31</f>
        <v>0</v>
      </c>
      <c r="BK27" s="20" t="str">
        <f>IF(AND(BJ10=0,BJ27&gt;=0), "",BJ27/BJ10)</f>
        <v/>
      </c>
      <c r="BL27" s="34"/>
      <c r="BM27" s="20" t="str">
        <f t="shared" si="9"/>
        <v/>
      </c>
      <c r="BN27" s="102">
        <f>+BG27+BJ27</f>
        <v>0</v>
      </c>
      <c r="BO27" s="20" t="str">
        <f>IF(AND(BN10=0,BN27&gt;=0), "",BN27/BN10)</f>
        <v/>
      </c>
      <c r="BP27" s="34"/>
      <c r="BQ27" s="101">
        <f>+'N EERR RODEO'!K31</f>
        <v>0</v>
      </c>
      <c r="BR27" s="20" t="str">
        <f>IF(AND(BQ10=0,BQ27&gt;=0), "",BQ27/BQ10)</f>
        <v/>
      </c>
      <c r="BS27" s="34"/>
      <c r="BT27" s="20" t="str">
        <f t="shared" si="10"/>
        <v/>
      </c>
      <c r="BU27" s="102">
        <f>+BN27+BQ27</f>
        <v>0</v>
      </c>
      <c r="BV27" s="20" t="str">
        <f>IF(AND(BU10=0,BU27&gt;=0), "",BU27/BU10)</f>
        <v/>
      </c>
      <c r="BW27" s="34"/>
      <c r="BX27" s="103">
        <f>+AZ27*9</f>
        <v>0</v>
      </c>
      <c r="BY27" s="20" t="str">
        <f>IF(AND(BX10=0,BX27&gt;=0), "",BX27/BX10)</f>
        <v/>
      </c>
      <c r="BZ27" s="37" t="str">
        <f t="shared" si="11"/>
        <v/>
      </c>
      <c r="CA27" s="101">
        <f>+'N EERR RODEO'!L31</f>
        <v>0</v>
      </c>
      <c r="CB27" s="20" t="str">
        <f>IF(AND(CA10=0,CA27&gt;=0), "",CA27/CA10)</f>
        <v/>
      </c>
      <c r="CC27" s="34"/>
      <c r="CD27" s="20" t="str">
        <f t="shared" si="12"/>
        <v/>
      </c>
      <c r="CE27" s="102">
        <f>+BU27+CA27</f>
        <v>0</v>
      </c>
      <c r="CF27" s="20" t="str">
        <f>IF(AND(CE10=0,CE27&gt;=0), "",CE27/CE10)</f>
        <v/>
      </c>
      <c r="CG27" s="34"/>
      <c r="CH27" s="101">
        <f>+'N EERR RODEO'!M31</f>
        <v>0</v>
      </c>
      <c r="CI27" s="20" t="str">
        <f>IF(AND(CH10=0,CH27&gt;=0), "",CH27/CH10)</f>
        <v/>
      </c>
      <c r="CJ27" s="34"/>
      <c r="CK27" s="20" t="str">
        <f t="shared" si="13"/>
        <v/>
      </c>
      <c r="CL27" s="102">
        <f>+CE27+CH27</f>
        <v>0</v>
      </c>
      <c r="CM27" s="20" t="str">
        <f>IF(AND(CL10=0,CL27&gt;=0), "",CL27/CL10)</f>
        <v/>
      </c>
      <c r="CN27" s="34"/>
      <c r="CO27" s="101">
        <f>+'N EERR RODEO'!N31</f>
        <v>0</v>
      </c>
      <c r="CP27" s="20" t="str">
        <f>IF(AND(CO10=0,CO27&gt;=0), "",CO27/CO10)</f>
        <v/>
      </c>
      <c r="CQ27" s="34"/>
      <c r="CR27" s="20" t="str">
        <f t="shared" si="14"/>
        <v/>
      </c>
      <c r="CS27" s="102">
        <f>+CL27+CO27</f>
        <v>0</v>
      </c>
      <c r="CT27" s="20" t="str">
        <f>IF(AND(CS10=0,CS27&gt;=0), "",CS27/CS10)</f>
        <v/>
      </c>
      <c r="CU27" s="34"/>
      <c r="CV27" s="103">
        <f>+AZ27*12</f>
        <v>0</v>
      </c>
      <c r="CW27" s="20" t="str">
        <f>IF(AND(CV10=0,CV27&gt;=0), "",CV27/CV10)</f>
        <v/>
      </c>
      <c r="CX27" s="37" t="str">
        <f t="shared" si="15"/>
        <v/>
      </c>
    </row>
    <row r="28" spans="1:102" hidden="1" outlineLevel="1" x14ac:dyDescent="0.25">
      <c r="A28" s="19"/>
      <c r="B28" s="101"/>
      <c r="C28" s="20"/>
      <c r="D28" s="34"/>
      <c r="E28" s="101"/>
      <c r="F28" s="20"/>
      <c r="G28" s="34"/>
      <c r="H28" s="101"/>
      <c r="I28" s="20"/>
      <c r="J28" s="34"/>
      <c r="K28" s="22" t="str">
        <f t="shared" si="0"/>
        <v/>
      </c>
      <c r="M28" s="20"/>
      <c r="N28" s="34"/>
      <c r="O28" s="101"/>
      <c r="P28" s="20"/>
      <c r="Q28" s="34"/>
      <c r="R28" s="22" t="str">
        <f t="shared" si="1"/>
        <v/>
      </c>
      <c r="T28" s="20"/>
      <c r="U28" s="34"/>
      <c r="V28" s="103"/>
      <c r="W28" s="20"/>
      <c r="X28" s="79" t="str">
        <f t="shared" si="2"/>
        <v/>
      </c>
      <c r="Y28" s="101"/>
      <c r="Z28" s="20"/>
      <c r="AA28" s="34"/>
      <c r="AB28" s="22" t="str">
        <f t="shared" si="3"/>
        <v/>
      </c>
      <c r="AD28" s="20"/>
      <c r="AE28" s="34"/>
      <c r="AF28" s="101"/>
      <c r="AG28" s="20"/>
      <c r="AH28" s="34"/>
      <c r="AI28" s="22" t="str">
        <f t="shared" si="4"/>
        <v/>
      </c>
      <c r="AJ28" s="102">
        <f t="shared" si="16"/>
        <v>0</v>
      </c>
      <c r="AK28" s="20"/>
      <c r="AL28" s="34"/>
      <c r="AM28" s="101"/>
      <c r="AN28" s="20"/>
      <c r="AO28" s="34"/>
      <c r="AP28" s="22" t="str">
        <f t="shared" si="5"/>
        <v/>
      </c>
      <c r="AQ28" s="102">
        <f t="shared" si="17"/>
        <v>0</v>
      </c>
      <c r="AR28" s="20"/>
      <c r="AS28" s="34"/>
      <c r="AT28" s="103">
        <f>+V28*2</f>
        <v>0</v>
      </c>
      <c r="AU28" s="20"/>
      <c r="AV28" s="79" t="str">
        <f t="shared" si="6"/>
        <v/>
      </c>
      <c r="AW28" s="103">
        <f>+AQ28/6</f>
        <v>0</v>
      </c>
      <c r="AX28" s="20"/>
      <c r="AY28" s="34"/>
      <c r="AZ28" s="103">
        <f>+AT28/6</f>
        <v>0</v>
      </c>
      <c r="BA28" s="20"/>
      <c r="BB28" s="79" t="str">
        <f t="shared" si="7"/>
        <v/>
      </c>
      <c r="BC28" s="101"/>
      <c r="BD28" s="20"/>
      <c r="BE28" s="34"/>
      <c r="BF28" s="22" t="str">
        <f t="shared" si="8"/>
        <v/>
      </c>
      <c r="BG28" s="102">
        <f>+AQ28+BC28</f>
        <v>0</v>
      </c>
      <c r="BH28" s="20"/>
      <c r="BI28" s="34"/>
      <c r="BJ28" s="101"/>
      <c r="BK28" s="20"/>
      <c r="BL28" s="34"/>
      <c r="BM28" s="22" t="str">
        <f t="shared" si="9"/>
        <v/>
      </c>
      <c r="BN28" s="102">
        <f>+BG28+BJ28</f>
        <v>0</v>
      </c>
      <c r="BO28" s="20"/>
      <c r="BP28" s="34"/>
      <c r="BQ28" s="101"/>
      <c r="BR28" s="20"/>
      <c r="BS28" s="34"/>
      <c r="BT28" s="22" t="str">
        <f t="shared" si="10"/>
        <v/>
      </c>
      <c r="BU28" s="102">
        <f>+BN28+BQ28</f>
        <v>0</v>
      </c>
      <c r="BV28" s="20"/>
      <c r="BW28" s="34"/>
      <c r="BX28" s="103">
        <f>+AZ28*9</f>
        <v>0</v>
      </c>
      <c r="BY28" s="20"/>
      <c r="BZ28" s="79" t="str">
        <f t="shared" si="11"/>
        <v/>
      </c>
      <c r="CA28" s="101"/>
      <c r="CB28" s="20"/>
      <c r="CC28" s="34"/>
      <c r="CD28" s="22" t="str">
        <f t="shared" si="12"/>
        <v/>
      </c>
      <c r="CF28" s="20"/>
      <c r="CG28" s="34"/>
      <c r="CH28" s="101"/>
      <c r="CI28" s="20"/>
      <c r="CJ28" s="34"/>
      <c r="CK28" s="22" t="str">
        <f t="shared" si="13"/>
        <v/>
      </c>
      <c r="CL28" s="102">
        <f>+CE28+CH28</f>
        <v>0</v>
      </c>
      <c r="CM28" s="20"/>
      <c r="CN28" s="34"/>
      <c r="CO28" s="101"/>
      <c r="CP28" s="20"/>
      <c r="CQ28" s="34"/>
      <c r="CR28" s="22" t="str">
        <f t="shared" si="14"/>
        <v/>
      </c>
      <c r="CS28" s="102">
        <f>+CL28+CO28</f>
        <v>0</v>
      </c>
      <c r="CT28" s="20"/>
      <c r="CU28" s="34"/>
      <c r="CV28" s="103">
        <f>+AZ28*12</f>
        <v>0</v>
      </c>
      <c r="CW28" s="20"/>
      <c r="CX28" s="79" t="str">
        <f t="shared" si="15"/>
        <v/>
      </c>
    </row>
    <row r="29" spans="1:102" s="5" customFormat="1" hidden="1" outlineLevel="1" x14ac:dyDescent="0.25">
      <c r="A29" s="27" t="s">
        <v>54</v>
      </c>
      <c r="B29" s="98">
        <f>SUM(B30:B31)</f>
        <v>0</v>
      </c>
      <c r="C29" s="28" t="str">
        <f>IF(AND(B15=0,B29&gt;=0), "",B29/B15)</f>
        <v/>
      </c>
      <c r="D29" s="33"/>
      <c r="E29" s="98">
        <f>SUM(E30:E31)</f>
        <v>0</v>
      </c>
      <c r="F29" s="28" t="str">
        <f>IF(AND(E15=0,E29&gt;=0), "",E29/E15)</f>
        <v/>
      </c>
      <c r="G29" s="33"/>
      <c r="H29" s="98">
        <f>SUM(H30:H31)</f>
        <v>0</v>
      </c>
      <c r="I29" s="28" t="str">
        <f>IF(AND(H15=0,H29&gt;=0), "",H29/H15)</f>
        <v/>
      </c>
      <c r="J29" s="33"/>
      <c r="K29" s="28" t="str">
        <f t="shared" si="0"/>
        <v/>
      </c>
      <c r="L29" s="99">
        <f>SUM(L30:L31)</f>
        <v>0</v>
      </c>
      <c r="M29" s="28" t="str">
        <f>IF(AND(L15=0,L29&gt;=0), "",L29/L15)</f>
        <v/>
      </c>
      <c r="N29" s="33"/>
      <c r="O29" s="98">
        <f>SUM(O30:O31)</f>
        <v>0</v>
      </c>
      <c r="P29" s="28" t="str">
        <f>IF(AND(O15=0,O29&gt;=0), "",O29/O15)</f>
        <v/>
      </c>
      <c r="Q29" s="33"/>
      <c r="R29" s="28" t="str">
        <f t="shared" si="1"/>
        <v/>
      </c>
      <c r="S29" s="99">
        <f>SUM(S30:S31)</f>
        <v>0</v>
      </c>
      <c r="T29" s="28" t="str">
        <f>IF(AND(S15=0,S29&gt;=0), "",S29/S15)</f>
        <v/>
      </c>
      <c r="U29" s="33"/>
      <c r="V29" s="100">
        <f>SUM(V30:V31)</f>
        <v>0</v>
      </c>
      <c r="W29" s="28" t="str">
        <f>IF(AND(V15=0,V29&gt;=0), "",V29/V15)</f>
        <v/>
      </c>
      <c r="X29" s="78" t="str">
        <f t="shared" si="2"/>
        <v/>
      </c>
      <c r="Y29" s="98">
        <f>SUM(Y30:Y31)</f>
        <v>0</v>
      </c>
      <c r="Z29" s="28" t="str">
        <f>IF(AND(Y15=0,Y29&gt;=0), "",Y29/Y15)</f>
        <v/>
      </c>
      <c r="AA29" s="33"/>
      <c r="AB29" s="28" t="str">
        <f t="shared" si="3"/>
        <v/>
      </c>
      <c r="AC29" s="99">
        <f>SUM(AC30:AC31)</f>
        <v>0</v>
      </c>
      <c r="AD29" s="28" t="str">
        <f>IF(AND(AC15=0,AC29&gt;=0), "",AC29/AC15)</f>
        <v/>
      </c>
      <c r="AE29" s="33"/>
      <c r="AF29" s="98">
        <f>SUM(AF30:AF31)</f>
        <v>0</v>
      </c>
      <c r="AG29" s="28" t="str">
        <f>IF(AND(AF15=0,AF29&gt;=0), "",AF29/AF15)</f>
        <v/>
      </c>
      <c r="AH29" s="33"/>
      <c r="AI29" s="28" t="str">
        <f t="shared" si="4"/>
        <v/>
      </c>
      <c r="AJ29" s="99">
        <f>SUM(AJ30:AJ31)</f>
        <v>0</v>
      </c>
      <c r="AK29" s="28" t="str">
        <f>IF(AND(AJ15=0,AJ29&gt;=0), "",AJ29/AJ15)</f>
        <v/>
      </c>
      <c r="AL29" s="33"/>
      <c r="AM29" s="98">
        <f>SUM(AM30:AM31)</f>
        <v>0</v>
      </c>
      <c r="AN29" s="28" t="str">
        <f>IF(AND(AM15=0,AM29&gt;=0), "",AM29/AM15)</f>
        <v/>
      </c>
      <c r="AO29" s="33"/>
      <c r="AP29" s="28" t="str">
        <f t="shared" si="5"/>
        <v/>
      </c>
      <c r="AQ29" s="99">
        <f>SUM(AQ30:AQ31)</f>
        <v>0</v>
      </c>
      <c r="AR29" s="28" t="str">
        <f>IF(AND(AQ15=0,AQ29&gt;=0), "",AQ29/AQ15)</f>
        <v/>
      </c>
      <c r="AS29" s="33"/>
      <c r="AT29" s="100">
        <f>SUM(AT30:AT31)</f>
        <v>0</v>
      </c>
      <c r="AU29" s="28" t="str">
        <f>IF(AND(AT15=0,AT29&gt;=0), "",AT29/AT15)</f>
        <v/>
      </c>
      <c r="AV29" s="78" t="str">
        <f t="shared" si="6"/>
        <v/>
      </c>
      <c r="AW29" s="100">
        <f>SUM(AW30:AW31)</f>
        <v>0</v>
      </c>
      <c r="AX29" s="28" t="str">
        <f>IF(AND(AW15=0,AW29&gt;=0), "",AW29/AW15)</f>
        <v/>
      </c>
      <c r="AY29" s="33"/>
      <c r="AZ29" s="100">
        <f>SUM(AZ30:AZ31)</f>
        <v>0</v>
      </c>
      <c r="BA29" s="28" t="str">
        <f>IF(AND(AZ15=0,AZ29&gt;=0), "",AZ29/AZ15)</f>
        <v/>
      </c>
      <c r="BB29" s="78" t="str">
        <f t="shared" si="7"/>
        <v/>
      </c>
      <c r="BC29" s="98">
        <f>SUM(BC30:BC31)</f>
        <v>0</v>
      </c>
      <c r="BD29" s="28" t="str">
        <f>IF(AND(BC15=0,BC29&gt;=0), "",BC29/BC15)</f>
        <v/>
      </c>
      <c r="BE29" s="33"/>
      <c r="BF29" s="28" t="str">
        <f t="shared" si="8"/>
        <v/>
      </c>
      <c r="BG29" s="99">
        <f>SUM(BG30:BG31)</f>
        <v>0</v>
      </c>
      <c r="BH29" s="28" t="str">
        <f>IF(AND(BG15=0,BG29&gt;=0), "",BG29/BG15)</f>
        <v/>
      </c>
      <c r="BI29" s="33"/>
      <c r="BJ29" s="98">
        <f>SUM(BJ30:BJ31)</f>
        <v>0</v>
      </c>
      <c r="BK29" s="28" t="str">
        <f>IF(AND(BJ15=0,BJ29&gt;=0), "",BJ29/BJ15)</f>
        <v/>
      </c>
      <c r="BL29" s="33"/>
      <c r="BM29" s="28" t="str">
        <f t="shared" si="9"/>
        <v/>
      </c>
      <c r="BN29" s="99">
        <f>SUM(BN30:BN31)</f>
        <v>0</v>
      </c>
      <c r="BO29" s="28" t="str">
        <f>IF(AND(BN15=0,BN29&gt;=0), "",BN29/BN15)</f>
        <v/>
      </c>
      <c r="BP29" s="33"/>
      <c r="BQ29" s="98">
        <f>SUM(BQ30:BQ31)</f>
        <v>0</v>
      </c>
      <c r="BR29" s="28" t="str">
        <f>IF(AND(BQ15=0,BQ29&gt;=0), "",BQ29/BQ15)</f>
        <v/>
      </c>
      <c r="BS29" s="33"/>
      <c r="BT29" s="28" t="str">
        <f t="shared" si="10"/>
        <v/>
      </c>
      <c r="BU29" s="99">
        <f>SUM(BU30:BU31)</f>
        <v>0</v>
      </c>
      <c r="BV29" s="28" t="str">
        <f>IF(AND(BU15=0,BU29&gt;=0), "",BU29/BU15)</f>
        <v/>
      </c>
      <c r="BW29" s="33"/>
      <c r="BX29" s="100">
        <f>SUM(BX30:BX31)</f>
        <v>0</v>
      </c>
      <c r="BY29" s="28" t="str">
        <f>IF(AND(BX15=0,BX29&gt;=0), "",BX29/BX15)</f>
        <v/>
      </c>
      <c r="BZ29" s="78" t="str">
        <f t="shared" si="11"/>
        <v/>
      </c>
      <c r="CA29" s="98">
        <f>SUM(CA30:CA31)</f>
        <v>0</v>
      </c>
      <c r="CB29" s="28" t="str">
        <f>IF(AND(CA15=0,CA29&gt;=0), "",CA29/CA15)</f>
        <v/>
      </c>
      <c r="CC29" s="33"/>
      <c r="CD29" s="28" t="str">
        <f t="shared" si="12"/>
        <v/>
      </c>
      <c r="CE29" s="99">
        <f>SUM(CE30:CE31)</f>
        <v>0</v>
      </c>
      <c r="CF29" s="28" t="str">
        <f>IF(AND(CE15=0,CE29&gt;=0), "",CE29/CE15)</f>
        <v/>
      </c>
      <c r="CG29" s="33"/>
      <c r="CH29" s="98">
        <f>SUM(CH30:CH31)</f>
        <v>0</v>
      </c>
      <c r="CI29" s="28" t="str">
        <f>IF(AND(CH15=0,CH29&gt;=0), "",CH29/CH15)</f>
        <v/>
      </c>
      <c r="CJ29" s="33"/>
      <c r="CK29" s="28" t="str">
        <f t="shared" si="13"/>
        <v/>
      </c>
      <c r="CL29" s="99">
        <f>SUM(CL30:CL31)</f>
        <v>0</v>
      </c>
      <c r="CM29" s="28" t="str">
        <f>IF(AND(CL15=0,CL29&gt;=0), "",CL29/CL15)</f>
        <v/>
      </c>
      <c r="CN29" s="33"/>
      <c r="CO29" s="98">
        <f>SUM(CO30:CO31)</f>
        <v>0</v>
      </c>
      <c r="CP29" s="28" t="str">
        <f>IF(AND(CO15=0,CO29&gt;=0), "",CO29/CO15)</f>
        <v/>
      </c>
      <c r="CQ29" s="33"/>
      <c r="CR29" s="28" t="str">
        <f t="shared" si="14"/>
        <v/>
      </c>
      <c r="CS29" s="99">
        <f>SUM(CS30:CS31)</f>
        <v>0</v>
      </c>
      <c r="CT29" s="28" t="str">
        <f>IF(AND(CS15=0,CS29&gt;=0), "",CS29/CS15)</f>
        <v/>
      </c>
      <c r="CU29" s="33"/>
      <c r="CV29" s="100">
        <f>SUM(CV30:CV31)</f>
        <v>0</v>
      </c>
      <c r="CW29" s="28" t="str">
        <f>IF(AND(CV15=0,CV29&gt;=0), "",CV29/CV15)</f>
        <v/>
      </c>
      <c r="CX29" s="78" t="str">
        <f t="shared" si="15"/>
        <v/>
      </c>
    </row>
    <row r="30" spans="1:102" hidden="1" outlineLevel="1" x14ac:dyDescent="0.25">
      <c r="A30" s="19" t="s">
        <v>55</v>
      </c>
      <c r="B30" s="101">
        <f>+'N EERR RODEO'!B32</f>
        <v>0</v>
      </c>
      <c r="C30" s="20" t="str">
        <f>IF(AND(B15=0,B30&gt;=0), "",B30/B15)</f>
        <v/>
      </c>
      <c r="D30" s="34"/>
      <c r="E30" s="101">
        <f>+'N EERR RODEO'!C32</f>
        <v>0</v>
      </c>
      <c r="F30" s="20" t="str">
        <f>IF(AND(E15=0,E30&gt;=0), "",E30/E15)</f>
        <v/>
      </c>
      <c r="G30" s="34"/>
      <c r="H30" s="101">
        <f>+'N EERR RODEO'!D32</f>
        <v>0</v>
      </c>
      <c r="I30" s="20" t="str">
        <f>IF(AND(H15=0,H30&gt;=0), "",H30/H15)</f>
        <v/>
      </c>
      <c r="J30" s="34"/>
      <c r="K30" s="20" t="str">
        <f t="shared" si="0"/>
        <v/>
      </c>
      <c r="L30" s="102">
        <f>+E30+H30</f>
        <v>0</v>
      </c>
      <c r="M30" s="20" t="str">
        <f>IF(AND(L15=0,L30&gt;=0), "",L30/L15)</f>
        <v/>
      </c>
      <c r="N30" s="34"/>
      <c r="O30" s="101">
        <f>+'N EERR RODEO'!E32</f>
        <v>0</v>
      </c>
      <c r="P30" s="20" t="str">
        <f>IF(AND(O15=0,O30&gt;=0), "",O30/O15)</f>
        <v/>
      </c>
      <c r="Q30" s="34"/>
      <c r="R30" s="20" t="str">
        <f t="shared" si="1"/>
        <v/>
      </c>
      <c r="S30" s="102">
        <f>+L30+O30</f>
        <v>0</v>
      </c>
      <c r="T30" s="20" t="str">
        <f>IF(AND(S15=0,S30&gt;=0), "",S30/S15)</f>
        <v/>
      </c>
      <c r="U30" s="34"/>
      <c r="V30" s="103"/>
      <c r="W30" s="20" t="str">
        <f>IF(AND(V15=0,V30&gt;=0), "",V30/V15)</f>
        <v/>
      </c>
      <c r="X30" s="37" t="str">
        <f t="shared" si="2"/>
        <v/>
      </c>
      <c r="Y30" s="101">
        <f>+'N EERR RODEO'!F32</f>
        <v>0</v>
      </c>
      <c r="Z30" s="20" t="str">
        <f>IF(AND(Y15=0,Y30&gt;=0), "",Y30/Y15)</f>
        <v/>
      </c>
      <c r="AA30" s="34"/>
      <c r="AB30" s="20" t="str">
        <f t="shared" si="3"/>
        <v/>
      </c>
      <c r="AC30" s="102">
        <f>+S30+Y30</f>
        <v>0</v>
      </c>
      <c r="AD30" s="20" t="str">
        <f>IF(AND(AC15=0,AC30&gt;=0), "",AC30/AC15)</f>
        <v/>
      </c>
      <c r="AE30" s="34"/>
      <c r="AF30" s="101">
        <f>+'N EERR RODEO'!G32</f>
        <v>0</v>
      </c>
      <c r="AG30" s="20" t="str">
        <f>IF(AND(AF15=0,AF30&gt;=0), "",AF30/AF15)</f>
        <v/>
      </c>
      <c r="AH30" s="34"/>
      <c r="AI30" s="20" t="str">
        <f t="shared" si="4"/>
        <v/>
      </c>
      <c r="AJ30" s="102">
        <f t="shared" si="16"/>
        <v>0</v>
      </c>
      <c r="AK30" s="20" t="str">
        <f>IF(AND(AJ15=0,AJ30&gt;=0), "",AJ30/AJ15)</f>
        <v/>
      </c>
      <c r="AL30" s="34"/>
      <c r="AM30" s="101">
        <f>+'N EERR RODEO'!H32</f>
        <v>0</v>
      </c>
      <c r="AN30" s="20" t="str">
        <f>IF(AND(AM15=0,AM30&gt;=0), "",AM30/AM15)</f>
        <v/>
      </c>
      <c r="AO30" s="34"/>
      <c r="AP30" s="20" t="str">
        <f t="shared" si="5"/>
        <v/>
      </c>
      <c r="AQ30" s="102">
        <f t="shared" si="17"/>
        <v>0</v>
      </c>
      <c r="AR30" s="20" t="str">
        <f>IF(AND(AQ15=0,AQ30&gt;=0), "",AQ30/AQ15)</f>
        <v/>
      </c>
      <c r="AS30" s="34"/>
      <c r="AT30" s="103">
        <f>+V30*2</f>
        <v>0</v>
      </c>
      <c r="AU30" s="20" t="str">
        <f>IF(AND(AT15=0,AT30&gt;=0), "",AT30/AT15)</f>
        <v/>
      </c>
      <c r="AV30" s="37" t="str">
        <f t="shared" si="6"/>
        <v/>
      </c>
      <c r="AW30" s="103">
        <f>+AQ30/6</f>
        <v>0</v>
      </c>
      <c r="AX30" s="20" t="str">
        <f>IF(AND(AW15=0,AW30&gt;=0), "",AW30/AW15)</f>
        <v/>
      </c>
      <c r="AY30" s="34"/>
      <c r="AZ30" s="103">
        <f>+AT30/6</f>
        <v>0</v>
      </c>
      <c r="BA30" s="20" t="str">
        <f>IF(AND(AZ15=0,AZ30&gt;=0), "",AZ30/AZ15)</f>
        <v/>
      </c>
      <c r="BB30" s="37" t="str">
        <f t="shared" si="7"/>
        <v/>
      </c>
      <c r="BC30" s="101">
        <f>+'N EERR RODEO'!I32</f>
        <v>0</v>
      </c>
      <c r="BD30" s="20" t="str">
        <f>IF(AND(BC15=0,BC30&gt;=0), "",BC30/BC15)</f>
        <v/>
      </c>
      <c r="BE30" s="34"/>
      <c r="BF30" s="20" t="str">
        <f t="shared" si="8"/>
        <v/>
      </c>
      <c r="BG30" s="102">
        <f>+AQ30+BC30</f>
        <v>0</v>
      </c>
      <c r="BH30" s="20" t="str">
        <f>IF(AND(BG15=0,BG30&gt;=0), "",BG30/BG15)</f>
        <v/>
      </c>
      <c r="BI30" s="34"/>
      <c r="BJ30" s="101">
        <f>+'N EERR RODEO'!J32</f>
        <v>0</v>
      </c>
      <c r="BK30" s="20" t="str">
        <f>IF(AND(BJ15=0,BJ30&gt;=0), "",BJ30/BJ15)</f>
        <v/>
      </c>
      <c r="BL30" s="34"/>
      <c r="BM30" s="20" t="str">
        <f t="shared" si="9"/>
        <v/>
      </c>
      <c r="BN30" s="102">
        <f>+BG30+BJ30</f>
        <v>0</v>
      </c>
      <c r="BO30" s="20" t="str">
        <f>IF(AND(BN15=0,BN30&gt;=0), "",BN30/BN15)</f>
        <v/>
      </c>
      <c r="BP30" s="34"/>
      <c r="BQ30" s="101">
        <f>+'N EERR RODEO'!K32</f>
        <v>0</v>
      </c>
      <c r="BR30" s="20" t="str">
        <f>IF(AND(BQ15=0,BQ30&gt;=0), "",BQ30/BQ15)</f>
        <v/>
      </c>
      <c r="BS30" s="34"/>
      <c r="BT30" s="20" t="str">
        <f t="shared" si="10"/>
        <v/>
      </c>
      <c r="BU30" s="102">
        <f>+BN30+BQ30</f>
        <v>0</v>
      </c>
      <c r="BV30" s="20" t="str">
        <f>IF(AND(BU15=0,BU30&gt;=0), "",BU30/BU15)</f>
        <v/>
      </c>
      <c r="BW30" s="34"/>
      <c r="BX30" s="103">
        <f>+AZ30*9</f>
        <v>0</v>
      </c>
      <c r="BY30" s="20" t="str">
        <f>IF(AND(BX15=0,BX30&gt;=0), "",BX30/BX15)</f>
        <v/>
      </c>
      <c r="BZ30" s="37" t="str">
        <f t="shared" si="11"/>
        <v/>
      </c>
      <c r="CA30" s="101">
        <f>+'N EERR RODEO'!L32</f>
        <v>0</v>
      </c>
      <c r="CB30" s="20" t="str">
        <f>IF(AND(CA15=0,CA30&gt;=0), "",CA30/CA15)</f>
        <v/>
      </c>
      <c r="CC30" s="34"/>
      <c r="CD30" s="20" t="str">
        <f t="shared" si="12"/>
        <v/>
      </c>
      <c r="CE30" s="102">
        <f>+BU30+CA30</f>
        <v>0</v>
      </c>
      <c r="CF30" s="20" t="str">
        <f>IF(AND(CE15=0,CE30&gt;=0), "",CE30/CE15)</f>
        <v/>
      </c>
      <c r="CG30" s="34"/>
      <c r="CH30" s="101">
        <f>+'N EERR RODEO'!M32</f>
        <v>0</v>
      </c>
      <c r="CI30" s="20" t="str">
        <f>IF(AND(CH15=0,CH30&gt;=0), "",CH30/CH15)</f>
        <v/>
      </c>
      <c r="CJ30" s="34"/>
      <c r="CK30" s="20" t="str">
        <f t="shared" si="13"/>
        <v/>
      </c>
      <c r="CL30" s="102">
        <f>+CE30+CH30</f>
        <v>0</v>
      </c>
      <c r="CM30" s="20" t="str">
        <f>IF(AND(CL15=0,CL30&gt;=0), "",CL30/CL15)</f>
        <v/>
      </c>
      <c r="CN30" s="34"/>
      <c r="CO30" s="101">
        <f>+'N EERR RODEO'!N32</f>
        <v>0</v>
      </c>
      <c r="CP30" s="20" t="str">
        <f>IF(AND(CO15=0,CO30&gt;=0), "",CO30/CO15)</f>
        <v/>
      </c>
      <c r="CQ30" s="34"/>
      <c r="CR30" s="20" t="str">
        <f t="shared" si="14"/>
        <v/>
      </c>
      <c r="CS30" s="102">
        <f>+CL30+CO30</f>
        <v>0</v>
      </c>
      <c r="CT30" s="20" t="str">
        <f>IF(AND(CS15=0,CS30&gt;=0), "",CS30/CS15)</f>
        <v/>
      </c>
      <c r="CU30" s="34"/>
      <c r="CV30" s="103">
        <f>+AZ30*12</f>
        <v>0</v>
      </c>
      <c r="CW30" s="20" t="str">
        <f>IF(AND(CV15=0,CV30&gt;=0), "",CV30/CV15)</f>
        <v/>
      </c>
      <c r="CX30" s="37" t="str">
        <f t="shared" si="15"/>
        <v/>
      </c>
    </row>
    <row r="31" spans="1:102" s="2" customFormat="1" hidden="1" outlineLevel="1" x14ac:dyDescent="0.25">
      <c r="A31" s="19"/>
      <c r="B31" s="104"/>
      <c r="C31" s="20"/>
      <c r="D31" s="34"/>
      <c r="E31" s="104"/>
      <c r="F31" s="20"/>
      <c r="G31" s="34"/>
      <c r="H31" s="104"/>
      <c r="I31" s="20"/>
      <c r="J31" s="34"/>
      <c r="K31" s="13" t="str">
        <f t="shared" si="0"/>
        <v/>
      </c>
      <c r="L31" s="90"/>
      <c r="M31" s="20"/>
      <c r="N31" s="34"/>
      <c r="O31" s="104"/>
      <c r="P31" s="20"/>
      <c r="Q31" s="34"/>
      <c r="R31" s="13" t="str">
        <f t="shared" si="1"/>
        <v/>
      </c>
      <c r="S31" s="90"/>
      <c r="T31" s="20"/>
      <c r="U31" s="34"/>
      <c r="V31" s="105"/>
      <c r="W31" s="20"/>
      <c r="X31" s="36" t="str">
        <f t="shared" si="2"/>
        <v/>
      </c>
      <c r="Y31" s="104"/>
      <c r="Z31" s="20"/>
      <c r="AA31" s="34"/>
      <c r="AB31" s="13" t="str">
        <f t="shared" si="3"/>
        <v/>
      </c>
      <c r="AC31" s="90"/>
      <c r="AD31" s="20"/>
      <c r="AE31" s="34"/>
      <c r="AF31" s="104"/>
      <c r="AG31" s="20"/>
      <c r="AH31" s="34"/>
      <c r="AI31" s="13" t="str">
        <f t="shared" si="4"/>
        <v/>
      </c>
      <c r="AJ31" s="90">
        <f t="shared" si="16"/>
        <v>0</v>
      </c>
      <c r="AK31" s="20"/>
      <c r="AL31" s="34"/>
      <c r="AM31" s="104"/>
      <c r="AN31" s="20"/>
      <c r="AO31" s="34"/>
      <c r="AP31" s="13" t="str">
        <f t="shared" si="5"/>
        <v/>
      </c>
      <c r="AQ31" s="90">
        <f t="shared" si="17"/>
        <v>0</v>
      </c>
      <c r="AR31" s="20"/>
      <c r="AS31" s="34"/>
      <c r="AT31" s="103">
        <f>+V31*2</f>
        <v>0</v>
      </c>
      <c r="AU31" s="20"/>
      <c r="AV31" s="36" t="str">
        <f t="shared" si="6"/>
        <v/>
      </c>
      <c r="AW31" s="103">
        <f>+AQ31/6</f>
        <v>0</v>
      </c>
      <c r="AX31" s="20"/>
      <c r="AY31" s="34"/>
      <c r="AZ31" s="103">
        <f>+AT31/6</f>
        <v>0</v>
      </c>
      <c r="BA31" s="20"/>
      <c r="BB31" s="36" t="str">
        <f t="shared" si="7"/>
        <v/>
      </c>
      <c r="BC31" s="104"/>
      <c r="BD31" s="20"/>
      <c r="BE31" s="34"/>
      <c r="BF31" s="13" t="str">
        <f t="shared" si="8"/>
        <v/>
      </c>
      <c r="BG31" s="102">
        <f>+AQ31+BC31</f>
        <v>0</v>
      </c>
      <c r="BH31" s="20"/>
      <c r="BI31" s="34"/>
      <c r="BJ31" s="104"/>
      <c r="BK31" s="20"/>
      <c r="BL31" s="34"/>
      <c r="BM31" s="13" t="str">
        <f t="shared" si="9"/>
        <v/>
      </c>
      <c r="BN31" s="90">
        <f>+BG31+BJ31</f>
        <v>0</v>
      </c>
      <c r="BO31" s="20"/>
      <c r="BP31" s="34"/>
      <c r="BQ31" s="104"/>
      <c r="BR31" s="20"/>
      <c r="BS31" s="34"/>
      <c r="BT31" s="13" t="str">
        <f t="shared" si="10"/>
        <v/>
      </c>
      <c r="BU31" s="90">
        <f>+BN31+BQ31</f>
        <v>0</v>
      </c>
      <c r="BV31" s="20"/>
      <c r="BW31" s="34"/>
      <c r="BX31" s="103">
        <f>+AZ31*9</f>
        <v>0</v>
      </c>
      <c r="BY31" s="20"/>
      <c r="BZ31" s="36" t="str">
        <f t="shared" si="11"/>
        <v/>
      </c>
      <c r="CA31" s="104"/>
      <c r="CB31" s="20"/>
      <c r="CC31" s="34"/>
      <c r="CD31" s="13" t="str">
        <f t="shared" si="12"/>
        <v/>
      </c>
      <c r="CE31" s="90"/>
      <c r="CF31" s="20"/>
      <c r="CG31" s="34"/>
      <c r="CH31" s="104"/>
      <c r="CI31" s="20"/>
      <c r="CJ31" s="34"/>
      <c r="CK31" s="13" t="str">
        <f t="shared" si="13"/>
        <v/>
      </c>
      <c r="CL31" s="90">
        <f>+CE31+CH31</f>
        <v>0</v>
      </c>
      <c r="CM31" s="20"/>
      <c r="CN31" s="34"/>
      <c r="CO31" s="104"/>
      <c r="CP31" s="20"/>
      <c r="CQ31" s="34"/>
      <c r="CR31" s="13" t="str">
        <f t="shared" si="14"/>
        <v/>
      </c>
      <c r="CS31" s="90">
        <f>+CL31+CO31</f>
        <v>0</v>
      </c>
      <c r="CT31" s="20"/>
      <c r="CU31" s="34"/>
      <c r="CV31" s="103">
        <f>+AZ31*12</f>
        <v>0</v>
      </c>
      <c r="CW31" s="20"/>
      <c r="CX31" s="36" t="str">
        <f t="shared" si="15"/>
        <v/>
      </c>
    </row>
    <row r="32" spans="1:102" s="5" customFormat="1" ht="14.45" customHeight="1" collapsed="1" x14ac:dyDescent="0.25">
      <c r="A32" s="1"/>
      <c r="B32" s="106"/>
      <c r="C32" s="4"/>
      <c r="D32" s="35"/>
      <c r="E32" s="106"/>
      <c r="F32" s="4"/>
      <c r="G32" s="35"/>
      <c r="H32" s="106"/>
      <c r="I32" s="4"/>
      <c r="J32" s="35"/>
      <c r="K32" s="23" t="str">
        <f t="shared" si="0"/>
        <v/>
      </c>
      <c r="L32" s="107"/>
      <c r="M32" s="4"/>
      <c r="N32" s="35"/>
      <c r="O32" s="106"/>
      <c r="P32" s="4"/>
      <c r="Q32" s="35"/>
      <c r="R32" s="23"/>
      <c r="S32" s="107"/>
      <c r="T32" s="4"/>
      <c r="U32" s="35"/>
      <c r="V32" s="108"/>
      <c r="W32" s="4"/>
      <c r="X32" s="80" t="str">
        <f t="shared" si="2"/>
        <v/>
      </c>
      <c r="Y32" s="106"/>
      <c r="Z32" s="4"/>
      <c r="AA32" s="35"/>
      <c r="AB32" s="23" t="str">
        <f t="shared" si="3"/>
        <v/>
      </c>
      <c r="AC32" s="107"/>
      <c r="AD32" s="4"/>
      <c r="AE32" s="35"/>
      <c r="AF32" s="106"/>
      <c r="AG32" s="4"/>
      <c r="AH32" s="35"/>
      <c r="AI32" s="23" t="str">
        <f t="shared" si="4"/>
        <v/>
      </c>
      <c r="AJ32" s="107">
        <f t="shared" si="16"/>
        <v>0</v>
      </c>
      <c r="AK32" s="4"/>
      <c r="AL32" s="35"/>
      <c r="AM32" s="106"/>
      <c r="AN32" s="4"/>
      <c r="AO32" s="35"/>
      <c r="AP32" s="23" t="str">
        <f t="shared" si="5"/>
        <v/>
      </c>
      <c r="AQ32" s="107">
        <f t="shared" si="17"/>
        <v>0</v>
      </c>
      <c r="AR32" s="4"/>
      <c r="AS32" s="35"/>
      <c r="AT32" s="108"/>
      <c r="AU32" s="4"/>
      <c r="AV32" s="80" t="str">
        <f t="shared" si="6"/>
        <v/>
      </c>
      <c r="AW32" s="108"/>
      <c r="AX32" s="4"/>
      <c r="AY32" s="35"/>
      <c r="AZ32" s="108"/>
      <c r="BA32" s="4"/>
      <c r="BB32" s="80" t="str">
        <f t="shared" si="7"/>
        <v/>
      </c>
      <c r="BC32" s="106"/>
      <c r="BD32" s="4"/>
      <c r="BE32" s="35"/>
      <c r="BF32" s="23" t="str">
        <f t="shared" si="8"/>
        <v/>
      </c>
      <c r="BG32" s="107">
        <f>+AZ32+BC32</f>
        <v>0</v>
      </c>
      <c r="BH32" s="4"/>
      <c r="BI32" s="35"/>
      <c r="BJ32" s="106"/>
      <c r="BK32" s="4"/>
      <c r="BL32" s="35"/>
      <c r="BM32" s="23" t="str">
        <f t="shared" si="9"/>
        <v/>
      </c>
      <c r="BN32" s="107">
        <f>+BG32+BJ32</f>
        <v>0</v>
      </c>
      <c r="BO32" s="4"/>
      <c r="BP32" s="35"/>
      <c r="BQ32" s="106"/>
      <c r="BR32" s="4"/>
      <c r="BS32" s="35"/>
      <c r="BT32" s="23" t="str">
        <f t="shared" si="10"/>
        <v/>
      </c>
      <c r="BU32" s="107">
        <f>+BN32+BQ32</f>
        <v>0</v>
      </c>
      <c r="BV32" s="4"/>
      <c r="BW32" s="35"/>
      <c r="BX32" s="108"/>
      <c r="BY32" s="4"/>
      <c r="BZ32" s="80" t="str">
        <f t="shared" si="11"/>
        <v/>
      </c>
      <c r="CA32" s="106"/>
      <c r="CB32" s="4"/>
      <c r="CC32" s="35"/>
      <c r="CD32" s="23" t="str">
        <f t="shared" si="12"/>
        <v/>
      </c>
      <c r="CE32" s="107"/>
      <c r="CF32" s="4"/>
      <c r="CG32" s="35"/>
      <c r="CH32" s="106"/>
      <c r="CI32" s="4"/>
      <c r="CJ32" s="35"/>
      <c r="CK32" s="23" t="str">
        <f t="shared" si="13"/>
        <v/>
      </c>
      <c r="CL32" s="107">
        <f>+CE32+CH32</f>
        <v>0</v>
      </c>
      <c r="CM32" s="4"/>
      <c r="CN32" s="35"/>
      <c r="CO32" s="106"/>
      <c r="CP32" s="4"/>
      <c r="CQ32" s="35"/>
      <c r="CR32" s="23" t="str">
        <f t="shared" si="14"/>
        <v/>
      </c>
      <c r="CS32" s="107">
        <f>+CL32+CO32</f>
        <v>0</v>
      </c>
      <c r="CT32" s="4"/>
      <c r="CU32" s="35"/>
      <c r="CV32" s="108"/>
      <c r="CW32" s="4"/>
      <c r="CX32" s="80" t="str">
        <f t="shared" si="15"/>
        <v/>
      </c>
    </row>
    <row r="33" spans="1:102" s="24" customFormat="1" ht="15.75" x14ac:dyDescent="0.25">
      <c r="A33" s="120" t="s">
        <v>58</v>
      </c>
      <c r="B33" s="121">
        <f>+B5+B18-B23</f>
        <v>0</v>
      </c>
      <c r="C33" s="122" t="str">
        <f>IF(AND((B5+B18)=0,B33&lt;=0), "",B33/(B5+B18))</f>
        <v/>
      </c>
      <c r="D33" s="123"/>
      <c r="E33" s="121">
        <f>+E5+E18-E23</f>
        <v>27262.18</v>
      </c>
      <c r="F33" s="122">
        <f>IF(AND((E5+E18)=0,E33&lt;=0), "",E33/(E5+E18))</f>
        <v>0.56875561590827872</v>
      </c>
      <c r="G33" s="123"/>
      <c r="H33" s="121">
        <f>+H5+H18-H23</f>
        <v>27170.010000000002</v>
      </c>
      <c r="I33" s="122">
        <f>IF(AND((H5+H18)=0,H33&lt;=0), "",H33/(H5+H18))</f>
        <v>0.52774680749233149</v>
      </c>
      <c r="J33" s="123"/>
      <c r="K33" s="122">
        <f t="shared" si="0"/>
        <v>-3.3808741634013956E-3</v>
      </c>
      <c r="L33" s="124">
        <f>+L5+L18-L23</f>
        <v>54432.19000000001</v>
      </c>
      <c r="M33" s="122">
        <f>IF(AND((L5+L18)=0,L33&lt;=0), "",L33/(L5+L18))</f>
        <v>0.54751902785937934</v>
      </c>
      <c r="N33" s="123"/>
      <c r="O33" s="121">
        <f>+O5+O18-O23</f>
        <v>44223.16</v>
      </c>
      <c r="P33" s="122">
        <f>IF(AND((O5+O18)=0,O33&lt;=0), "",O33/(O5+O18))</f>
        <v>0.68984238337083892</v>
      </c>
      <c r="Q33" s="123"/>
      <c r="R33" s="122">
        <f>IF(AND(H33=0,O33&gt;0),100%,IF(AND(H33&lt;0,O33=0),(H33-O33)/H33,IF(AND(H33&gt;0,O33&gt;0),(O33-H33)/H33,IF(AND(H33=0,O33=0),"",(O33-H33)/H33))))</f>
        <v>0.6276460700603349</v>
      </c>
      <c r="S33" s="124">
        <f>+S5+S18-S23</f>
        <v>98655.35</v>
      </c>
      <c r="T33" s="122">
        <f>IF(AND((S5+S18)=0,S33&lt;=0), "",S33/(S5+S18))</f>
        <v>0.6033145336490906</v>
      </c>
      <c r="U33" s="123"/>
      <c r="V33" s="125">
        <f>+V5+V18-V23</f>
        <v>0</v>
      </c>
      <c r="W33" s="122" t="str">
        <f>IF(AND((V5+V18)=0,V33&lt;=0), "",V33/(V5+V18))</f>
        <v/>
      </c>
      <c r="X33" s="123">
        <f t="shared" si="2"/>
        <v>1</v>
      </c>
      <c r="Y33" s="121">
        <f>+Y5+Y18-Y23</f>
        <v>0</v>
      </c>
      <c r="Z33" s="122" t="str">
        <f>IF(AND((Y5+Y18)=0,Y33&lt;=0), "",Y33/(Y5+Y18))</f>
        <v/>
      </c>
      <c r="AA33" s="123"/>
      <c r="AB33" s="122">
        <f t="shared" si="3"/>
        <v>-1</v>
      </c>
      <c r="AC33" s="124">
        <f>+AC5+AC18-AC23</f>
        <v>98655.35</v>
      </c>
      <c r="AD33" s="122">
        <f>IF(AND((AC5+AC18)=0,AC33&lt;=0), "",AC33/(AC5+AC18))</f>
        <v>0.6033145336490906</v>
      </c>
      <c r="AE33" s="123"/>
      <c r="AF33" s="121">
        <f>+AF5+AF18-AF23</f>
        <v>0</v>
      </c>
      <c r="AG33" s="122" t="str">
        <f>IF(AND((AF5+AF18)=0,AF33&lt;=0), "",AF33/(AF5+AF18))</f>
        <v/>
      </c>
      <c r="AH33" s="123"/>
      <c r="AI33" s="122" t="str">
        <f t="shared" si="4"/>
        <v/>
      </c>
      <c r="AJ33" s="124">
        <f>+AJ5+AJ18-AJ23</f>
        <v>98655.35</v>
      </c>
      <c r="AK33" s="122">
        <f>IF(AND((AJ5+AJ18)=0,AJ33&lt;=0), "",AJ33/(AJ5+AJ18))</f>
        <v>0.6033145336490906</v>
      </c>
      <c r="AL33" s="123"/>
      <c r="AM33" s="121">
        <f>+AM5+AM18-AM23</f>
        <v>0</v>
      </c>
      <c r="AN33" s="122" t="str">
        <f>IF(AND((AM5+AM18)=0,AM33&lt;=0), "",AM33/(AM5+AM18))</f>
        <v/>
      </c>
      <c r="AO33" s="123"/>
      <c r="AP33" s="122" t="str">
        <f t="shared" si="5"/>
        <v/>
      </c>
      <c r="AQ33" s="124">
        <f>+AQ5+AQ18-AQ23</f>
        <v>98655.35</v>
      </c>
      <c r="AR33" s="122">
        <f>IF(AND((AQ5+AQ18)=0,AQ33&lt;=0), "",AQ33/(AQ5+AQ18))</f>
        <v>0.6033145336490906</v>
      </c>
      <c r="AS33" s="123"/>
      <c r="AT33" s="125">
        <f>+AT5+AT18-AT23</f>
        <v>0</v>
      </c>
      <c r="AU33" s="122" t="str">
        <f>IF(AND((AT5+AT18)=0,AT33&lt;=0), "",AT33/(AT5+AT18))</f>
        <v/>
      </c>
      <c r="AV33" s="123">
        <f t="shared" si="6"/>
        <v>1</v>
      </c>
      <c r="AW33" s="125">
        <f>+AW5+AW18-AW23</f>
        <v>16442.558333333334</v>
      </c>
      <c r="AX33" s="122">
        <f>IF(AND((AW5+AW18)=0,AW33&lt;=0), "",AW33/(AW5+AW18))</f>
        <v>0.6033145336490906</v>
      </c>
      <c r="AY33" s="123"/>
      <c r="AZ33" s="125">
        <f>+AZ5+AZ18-AZ23</f>
        <v>0</v>
      </c>
      <c r="BA33" s="122" t="str">
        <f>IF(AND((AZ5+AZ18)=0,AZ33&lt;=0), "",AZ33/(AZ5+AZ18))</f>
        <v/>
      </c>
      <c r="BB33" s="123">
        <f t="shared" si="7"/>
        <v>1</v>
      </c>
      <c r="BC33" s="121">
        <f>+BC5+BC18-BC23</f>
        <v>0</v>
      </c>
      <c r="BD33" s="122" t="str">
        <f>IF(AND((BC5+BC18)=0,BC33&lt;=0), "",BC33/(BC5+BC18))</f>
        <v/>
      </c>
      <c r="BE33" s="123"/>
      <c r="BF33" s="122" t="str">
        <f t="shared" si="8"/>
        <v/>
      </c>
      <c r="BG33" s="124">
        <f>+BG5+BG18-BG23</f>
        <v>98655.35</v>
      </c>
      <c r="BH33" s="122">
        <f>IF(AND((BG5+BG18)=0,BG33&lt;=0), "",BG33/(BG5+BG18))</f>
        <v>0.6033145336490906</v>
      </c>
      <c r="BI33" s="123"/>
      <c r="BJ33" s="121">
        <f>+BJ5+BJ18-BJ23</f>
        <v>0</v>
      </c>
      <c r="BK33" s="122" t="str">
        <f>IF(AND((BJ5+BJ18)=0,BJ33&lt;=0), "",BJ33/(BJ5+BJ18))</f>
        <v/>
      </c>
      <c r="BL33" s="123"/>
      <c r="BM33" s="122" t="str">
        <f t="shared" si="9"/>
        <v/>
      </c>
      <c r="BN33" s="124">
        <f>+BN5+BN18-BN23</f>
        <v>98655.35</v>
      </c>
      <c r="BO33" s="122">
        <f>IF(AND((BN5+BN18)=0,BN33&lt;=0), "",BN33/(BN5+BN18))</f>
        <v>0.6033145336490906</v>
      </c>
      <c r="BP33" s="123"/>
      <c r="BQ33" s="121">
        <f>+BQ5+BQ18-BQ23</f>
        <v>0</v>
      </c>
      <c r="BR33" s="122" t="str">
        <f>IF(AND((BQ5+BQ18)=0,BQ33&lt;=0), "",BQ33/(BQ5+BQ18))</f>
        <v/>
      </c>
      <c r="BS33" s="123"/>
      <c r="BT33" s="122" t="str">
        <f t="shared" si="10"/>
        <v/>
      </c>
      <c r="BU33" s="124">
        <f>+BU5+BU18-BU23</f>
        <v>98655.35</v>
      </c>
      <c r="BV33" s="122">
        <f>IF(AND((BU5+BU18)=0,BU33&lt;=0), "",BU33/(BU5+BU18))</f>
        <v>0.6033145336490906</v>
      </c>
      <c r="BW33" s="123"/>
      <c r="BX33" s="125">
        <f>+BX5+BX18-BX23</f>
        <v>0</v>
      </c>
      <c r="BY33" s="122" t="str">
        <f>IF(AND((BX5+BX18)=0,BX33&lt;=0), "",BX33/(BX5+BX18))</f>
        <v/>
      </c>
      <c r="BZ33" s="123">
        <f t="shared" si="11"/>
        <v>1</v>
      </c>
      <c r="CA33" s="121">
        <f>+CA5+CA18-CA23</f>
        <v>0</v>
      </c>
      <c r="CB33" s="122" t="str">
        <f>IF(AND((CA5+CA18)=0,CA33&lt;=0), "",CA33/(CA5+CA18))</f>
        <v/>
      </c>
      <c r="CC33" s="123"/>
      <c r="CD33" s="122" t="str">
        <f t="shared" si="12"/>
        <v/>
      </c>
      <c r="CE33" s="124">
        <f>+CE5+CE18-CE23</f>
        <v>98655.35</v>
      </c>
      <c r="CF33" s="122">
        <f>IF(AND((CE5+CE18)=0,CE33&lt;=0), "",CE33/(CE5+CE18))</f>
        <v>0.6033145336490906</v>
      </c>
      <c r="CG33" s="123"/>
      <c r="CH33" s="121">
        <f>+CH5+CH18-CH23</f>
        <v>0</v>
      </c>
      <c r="CI33" s="122" t="str">
        <f>IF(AND((CH5+CH18)=0,CH33&lt;=0), "",CH33/(CH5+CH18))</f>
        <v/>
      </c>
      <c r="CJ33" s="123"/>
      <c r="CK33" s="122" t="str">
        <f t="shared" si="13"/>
        <v/>
      </c>
      <c r="CL33" s="124">
        <f>+CL5+CL18-CL23</f>
        <v>98655.35</v>
      </c>
      <c r="CM33" s="122">
        <f>IF(AND((CL5+CL18)=0,CL33&lt;=0), "",CL33/(CL5+CL18))</f>
        <v>0.6033145336490906</v>
      </c>
      <c r="CN33" s="123"/>
      <c r="CO33" s="121">
        <f>+CO5+CO18-CO23</f>
        <v>0</v>
      </c>
      <c r="CP33" s="122" t="str">
        <f>IF(AND((CO5+CO18)=0,CO33&lt;=0), "",CO33/(CO5+CO18))</f>
        <v/>
      </c>
      <c r="CQ33" s="123"/>
      <c r="CR33" s="122" t="str">
        <f t="shared" si="14"/>
        <v/>
      </c>
      <c r="CS33" s="124">
        <f>+CS5+CS18-CS23</f>
        <v>98655.35</v>
      </c>
      <c r="CT33" s="122">
        <f>IF(AND((CS5+CS18)=0,CS33&lt;=0), "",CS33/(CS5+CS18))</f>
        <v>0.6033145336490906</v>
      </c>
      <c r="CU33" s="123"/>
      <c r="CV33" s="125">
        <f>+CV5+CV18-CV23</f>
        <v>0</v>
      </c>
      <c r="CW33" s="122" t="str">
        <f>IF(AND((CV5+CV18)=0,CV33&lt;=0), "",CV33/(CV5+CV18))</f>
        <v/>
      </c>
      <c r="CX33" s="123">
        <f t="shared" si="15"/>
        <v>1</v>
      </c>
    </row>
    <row r="34" spans="1:102" s="24" customFormat="1" ht="15.75" x14ac:dyDescent="0.25">
      <c r="A34" s="120" t="s">
        <v>56</v>
      </c>
      <c r="B34" s="121">
        <f>+B10-B26</f>
        <v>0</v>
      </c>
      <c r="C34" s="122" t="str">
        <f>IF(AND(B10=0,B34&lt;=0), "",B34/B10)</f>
        <v/>
      </c>
      <c r="D34" s="123"/>
      <c r="E34" s="121">
        <f>+E10-E26</f>
        <v>0</v>
      </c>
      <c r="F34" s="122" t="str">
        <f>IF(AND(E10=0,E34&lt;=0), "",E34/E10)</f>
        <v/>
      </c>
      <c r="G34" s="123"/>
      <c r="H34" s="121">
        <f>+H10-H26</f>
        <v>0</v>
      </c>
      <c r="I34" s="122" t="str">
        <f>IF(AND(H10=0,H34&lt;=0), "",H34/H10)</f>
        <v/>
      </c>
      <c r="J34" s="123"/>
      <c r="K34" s="122" t="str">
        <f t="shared" si="0"/>
        <v/>
      </c>
      <c r="L34" s="124">
        <f>+L10-L26</f>
        <v>0</v>
      </c>
      <c r="M34" s="122" t="str">
        <f>IF(AND(L10=0,L34&lt;=0), "",L34/L10)</f>
        <v/>
      </c>
      <c r="N34" s="123"/>
      <c r="O34" s="121">
        <f>+O10-O26</f>
        <v>0</v>
      </c>
      <c r="P34" s="122" t="str">
        <f>IF(AND(O10=0,O34&lt;=0), "",O34/O10)</f>
        <v/>
      </c>
      <c r="Q34" s="123"/>
      <c r="R34" s="122" t="str">
        <f>IF(AND(H34=0,O34&gt;0),100%,IF(AND(H34&lt;0,O34=0),(H34-O34)/H34,IF(AND(H34&gt;0,O34&gt;0),(O34-H34)/H34,IF(AND(H34=0,O34=0),"",(O34-H34)/H34))))</f>
        <v/>
      </c>
      <c r="S34" s="124">
        <f>+S10-S26</f>
        <v>0</v>
      </c>
      <c r="T34" s="122" t="str">
        <f>IF(AND(S10=0,S34&lt;=0), "",S34/S10)</f>
        <v/>
      </c>
      <c r="U34" s="123"/>
      <c r="V34" s="125">
        <f>+V10-V26</f>
        <v>0</v>
      </c>
      <c r="W34" s="122" t="str">
        <f>IF(AND(V10=0,V34&lt;=0), "",V34/V10)</f>
        <v/>
      </c>
      <c r="X34" s="123" t="str">
        <f t="shared" si="2"/>
        <v/>
      </c>
      <c r="Y34" s="121">
        <f>+Y10-Y26</f>
        <v>0</v>
      </c>
      <c r="Z34" s="122" t="str">
        <f>IF(AND(Y10=0,Y34&lt;=0), "",Y34/Y10)</f>
        <v/>
      </c>
      <c r="AA34" s="123"/>
      <c r="AB34" s="122" t="str">
        <f t="shared" si="3"/>
        <v/>
      </c>
      <c r="AC34" s="124">
        <f>+AC10-AC26</f>
        <v>0</v>
      </c>
      <c r="AD34" s="122" t="str">
        <f>IF(AND(AC10=0,AC34&lt;=0), "",AC34/AC10)</f>
        <v/>
      </c>
      <c r="AE34" s="123"/>
      <c r="AF34" s="121">
        <f>+AF10-AF26</f>
        <v>0</v>
      </c>
      <c r="AG34" s="122" t="str">
        <f>IF(AND(AF10=0,AF34&lt;=0), "",AF34/AF10)</f>
        <v/>
      </c>
      <c r="AH34" s="123"/>
      <c r="AI34" s="122" t="str">
        <f t="shared" si="4"/>
        <v/>
      </c>
      <c r="AJ34" s="124">
        <f>+AJ10-AJ26</f>
        <v>0</v>
      </c>
      <c r="AK34" s="122" t="str">
        <f>IF(AND(AJ10=0,AJ34&lt;=0), "",AJ34/AJ10)</f>
        <v/>
      </c>
      <c r="AL34" s="123"/>
      <c r="AM34" s="121">
        <f>+AM10-AM26</f>
        <v>0</v>
      </c>
      <c r="AN34" s="122" t="str">
        <f>IF(AND(AM10=0,AM34&lt;=0), "",AM34/AM10)</f>
        <v/>
      </c>
      <c r="AO34" s="123"/>
      <c r="AP34" s="122" t="str">
        <f t="shared" si="5"/>
        <v/>
      </c>
      <c r="AQ34" s="124">
        <f>+AQ10-AQ26</f>
        <v>0</v>
      </c>
      <c r="AR34" s="122" t="str">
        <f>IF(AND(AQ10=0,AQ34&lt;=0), "",AQ34/AQ10)</f>
        <v/>
      </c>
      <c r="AS34" s="123"/>
      <c r="AT34" s="125">
        <f>+AT10-AT26</f>
        <v>0</v>
      </c>
      <c r="AU34" s="122" t="str">
        <f>IF(AND(AT10=0,AT34&lt;=0), "",AT34/AT10)</f>
        <v/>
      </c>
      <c r="AV34" s="123" t="str">
        <f t="shared" si="6"/>
        <v/>
      </c>
      <c r="AW34" s="125">
        <f>+AW10-AW26</f>
        <v>0</v>
      </c>
      <c r="AX34" s="122" t="str">
        <f>IF(AND(AW10=0,AW34&lt;=0), "",AW34/AW10)</f>
        <v/>
      </c>
      <c r="AY34" s="123"/>
      <c r="AZ34" s="125">
        <f>+AZ10-AZ26</f>
        <v>0</v>
      </c>
      <c r="BA34" s="122" t="str">
        <f>IF(AND(AZ10=0,AZ34&lt;=0), "",AZ34/AZ10)</f>
        <v/>
      </c>
      <c r="BB34" s="123" t="str">
        <f t="shared" si="7"/>
        <v/>
      </c>
      <c r="BC34" s="121">
        <f>+BC10-BC26</f>
        <v>0</v>
      </c>
      <c r="BD34" s="122" t="str">
        <f>IF(AND(BC10=0,BC34&lt;=0), "",BC34/BC10)</f>
        <v/>
      </c>
      <c r="BE34" s="123"/>
      <c r="BF34" s="122" t="str">
        <f t="shared" si="8"/>
        <v/>
      </c>
      <c r="BG34" s="124">
        <f>+BG10-BG26</f>
        <v>0</v>
      </c>
      <c r="BH34" s="122" t="str">
        <f>IF(AND(BG10=0,BG34&lt;=0), "",BG34/BG10)</f>
        <v/>
      </c>
      <c r="BI34" s="123"/>
      <c r="BJ34" s="121">
        <f>+BJ10-BJ26</f>
        <v>0</v>
      </c>
      <c r="BK34" s="122" t="str">
        <f>IF(AND(BJ10=0,BJ34&lt;=0), "",BJ34/BJ10)</f>
        <v/>
      </c>
      <c r="BL34" s="123"/>
      <c r="BM34" s="122" t="str">
        <f t="shared" si="9"/>
        <v/>
      </c>
      <c r="BN34" s="124">
        <f>+BN10-BN26</f>
        <v>0</v>
      </c>
      <c r="BO34" s="122" t="str">
        <f>IF(AND(BN10=0,BN34&lt;=0), "",BN34/BN10)</f>
        <v/>
      </c>
      <c r="BP34" s="123"/>
      <c r="BQ34" s="121">
        <f>+BQ10-BQ26</f>
        <v>0</v>
      </c>
      <c r="BR34" s="122" t="str">
        <f>IF(AND(BQ10=0,BQ34&lt;=0), "",BQ34/BQ10)</f>
        <v/>
      </c>
      <c r="BS34" s="123"/>
      <c r="BT34" s="122" t="str">
        <f t="shared" si="10"/>
        <v/>
      </c>
      <c r="BU34" s="124">
        <f>+BU10-BU26</f>
        <v>0</v>
      </c>
      <c r="BV34" s="122" t="str">
        <f>IF(AND(BU10=0,BU34&lt;=0), "",BU34/BU10)</f>
        <v/>
      </c>
      <c r="BW34" s="123"/>
      <c r="BX34" s="125">
        <f>+BX10-BX26</f>
        <v>0</v>
      </c>
      <c r="BY34" s="122" t="str">
        <f>IF(AND(BX10=0,BX34&lt;=0), "",BX34/BX10)</f>
        <v/>
      </c>
      <c r="BZ34" s="123" t="str">
        <f t="shared" si="11"/>
        <v/>
      </c>
      <c r="CA34" s="121">
        <f>+CA10-CA26</f>
        <v>0</v>
      </c>
      <c r="CB34" s="122" t="str">
        <f>IF(AND(CA10=0,CA34&lt;=0), "",CA34/CA10)</f>
        <v/>
      </c>
      <c r="CC34" s="123"/>
      <c r="CD34" s="122" t="str">
        <f t="shared" si="12"/>
        <v/>
      </c>
      <c r="CE34" s="124">
        <f>+CE10-CE26</f>
        <v>0</v>
      </c>
      <c r="CF34" s="122" t="str">
        <f>IF(AND(CE10=0,CE34&lt;=0), "",CE34/CE10)</f>
        <v/>
      </c>
      <c r="CG34" s="123"/>
      <c r="CH34" s="121">
        <f>+CH10-CH26</f>
        <v>0</v>
      </c>
      <c r="CI34" s="122" t="str">
        <f>IF(AND(CH10=0,CH34&lt;=0), "",CH34/CH10)</f>
        <v/>
      </c>
      <c r="CJ34" s="123"/>
      <c r="CK34" s="122" t="str">
        <f t="shared" si="13"/>
        <v/>
      </c>
      <c r="CL34" s="124">
        <f>+CL10-CL26</f>
        <v>0</v>
      </c>
      <c r="CM34" s="122" t="str">
        <f>IF(AND(CL10=0,CL34&lt;=0), "",CL34/CL10)</f>
        <v/>
      </c>
      <c r="CN34" s="123"/>
      <c r="CO34" s="121">
        <f>+CO10-CO26</f>
        <v>0</v>
      </c>
      <c r="CP34" s="122" t="str">
        <f>IF(AND(CO10=0,CO34&lt;=0), "",CO34/CO10)</f>
        <v/>
      </c>
      <c r="CQ34" s="123"/>
      <c r="CR34" s="122" t="str">
        <f t="shared" si="14"/>
        <v/>
      </c>
      <c r="CS34" s="124">
        <f>+CS10-CS26</f>
        <v>0</v>
      </c>
      <c r="CT34" s="122" t="str">
        <f>IF(AND(CS10=0,CS34&lt;=0), "",CS34/CS10)</f>
        <v/>
      </c>
      <c r="CU34" s="123"/>
      <c r="CV34" s="125">
        <f>+CV10-CV26</f>
        <v>0</v>
      </c>
      <c r="CW34" s="122" t="str">
        <f>IF(AND(CV10=0,CV34&lt;=0), "",CV34/CV10)</f>
        <v/>
      </c>
      <c r="CX34" s="123" t="str">
        <f t="shared" si="15"/>
        <v/>
      </c>
    </row>
    <row r="35" spans="1:102" s="24" customFormat="1" ht="15.75" x14ac:dyDescent="0.25">
      <c r="A35" s="120" t="s">
        <v>57</v>
      </c>
      <c r="B35" s="121">
        <f>+B15-B29</f>
        <v>0</v>
      </c>
      <c r="C35" s="122" t="str">
        <f>IF(AND(B15=0,B35&lt;=0), "",B35/B15)</f>
        <v/>
      </c>
      <c r="D35" s="123"/>
      <c r="E35" s="121">
        <f>+E15-E29</f>
        <v>0</v>
      </c>
      <c r="F35" s="122" t="str">
        <f>IF(AND(E15=0,E35&lt;=0), "",E35/E15)</f>
        <v/>
      </c>
      <c r="G35" s="123"/>
      <c r="H35" s="121">
        <f>+H15-H29</f>
        <v>0</v>
      </c>
      <c r="I35" s="122" t="str">
        <f>IF(AND(H15=0,H35&lt;=0), "",H35/H15)</f>
        <v/>
      </c>
      <c r="J35" s="123"/>
      <c r="K35" s="122" t="str">
        <f t="shared" si="0"/>
        <v/>
      </c>
      <c r="L35" s="124">
        <f>+L15-L29</f>
        <v>0</v>
      </c>
      <c r="M35" s="122" t="str">
        <f>IF(AND(L15=0,L35&lt;=0), "",L35/L15)</f>
        <v/>
      </c>
      <c r="N35" s="123"/>
      <c r="O35" s="121">
        <f>+O15-O29</f>
        <v>0</v>
      </c>
      <c r="P35" s="122" t="str">
        <f>IF(AND(O15=0,O35&lt;=0), "",O35/O15)</f>
        <v/>
      </c>
      <c r="Q35" s="123"/>
      <c r="R35" s="122" t="str">
        <f>IF(AND(H35=0,O35&gt;0),100%,IF(AND(H35&lt;0,O35=0),(H35-O35)/H35,IF(AND(H35&gt;0,O35&gt;0),(O35-H35)/H35,IF(AND(H35=0,O35=0),"",(O35-H35)/H35))))</f>
        <v/>
      </c>
      <c r="S35" s="124">
        <f>+S15-S29</f>
        <v>0</v>
      </c>
      <c r="T35" s="122" t="str">
        <f>IF(AND(S15=0,S35&lt;=0), "",S35/S15)</f>
        <v/>
      </c>
      <c r="U35" s="123"/>
      <c r="V35" s="125">
        <f>+V15-V29</f>
        <v>0</v>
      </c>
      <c r="W35" s="122" t="str">
        <f>IF(AND(V15=0,V35&lt;=0), "",V35/V15)</f>
        <v/>
      </c>
      <c r="X35" s="123" t="str">
        <f t="shared" si="2"/>
        <v/>
      </c>
      <c r="Y35" s="121">
        <f>+Y15-Y29</f>
        <v>0</v>
      </c>
      <c r="Z35" s="122" t="str">
        <f>IF(AND(Y15=0,Y35&lt;=0), "",Y35/Y15)</f>
        <v/>
      </c>
      <c r="AA35" s="123"/>
      <c r="AB35" s="122" t="str">
        <f t="shared" si="3"/>
        <v/>
      </c>
      <c r="AC35" s="124">
        <f>+AC15-AC29</f>
        <v>0</v>
      </c>
      <c r="AD35" s="122" t="str">
        <f>IF(AND(AC15=0,AC35&lt;=0), "",AC35/AC15)</f>
        <v/>
      </c>
      <c r="AE35" s="123"/>
      <c r="AF35" s="121">
        <f>+AF15-AF29</f>
        <v>0</v>
      </c>
      <c r="AG35" s="122" t="str">
        <f>IF(AND(AF15=0,AF35&lt;=0), "",AF35/AF15)</f>
        <v/>
      </c>
      <c r="AH35" s="123"/>
      <c r="AI35" s="122" t="str">
        <f t="shared" si="4"/>
        <v/>
      </c>
      <c r="AJ35" s="124">
        <f>+AJ15-AJ29</f>
        <v>0</v>
      </c>
      <c r="AK35" s="122" t="str">
        <f>IF(AND(AJ15=0,AJ35&lt;=0), "",AJ35/AJ15)</f>
        <v/>
      </c>
      <c r="AL35" s="123"/>
      <c r="AM35" s="121">
        <f>+AM15-AM29</f>
        <v>0</v>
      </c>
      <c r="AN35" s="122" t="str">
        <f>IF(AND(AM15=0,AM35&lt;=0), "",AM35/AM15)</f>
        <v/>
      </c>
      <c r="AO35" s="123"/>
      <c r="AP35" s="122" t="str">
        <f t="shared" si="5"/>
        <v/>
      </c>
      <c r="AQ35" s="124">
        <f>+AQ15-AQ29</f>
        <v>0</v>
      </c>
      <c r="AR35" s="122" t="str">
        <f>IF(AND(AQ15=0,AQ35&lt;=0), "",AQ35/AQ15)</f>
        <v/>
      </c>
      <c r="AS35" s="123"/>
      <c r="AT35" s="125">
        <f>+AT15-AT29</f>
        <v>0</v>
      </c>
      <c r="AU35" s="122" t="str">
        <f>IF(AND(AT15=0,AT35&lt;=0), "",AT35/AT15)</f>
        <v/>
      </c>
      <c r="AV35" s="123" t="str">
        <f t="shared" si="6"/>
        <v/>
      </c>
      <c r="AW35" s="125">
        <f>+AW15-AW29</f>
        <v>0</v>
      </c>
      <c r="AX35" s="122" t="str">
        <f>IF(AND(AW15=0,AW35&lt;=0), "",AW35/AW15)</f>
        <v/>
      </c>
      <c r="AY35" s="123"/>
      <c r="AZ35" s="125">
        <f>+AZ15-AZ29</f>
        <v>0</v>
      </c>
      <c r="BA35" s="122" t="str">
        <f>IF(AND(AZ15=0,AZ35&lt;=0), "",AZ35/AZ15)</f>
        <v/>
      </c>
      <c r="BB35" s="123" t="str">
        <f t="shared" si="7"/>
        <v/>
      </c>
      <c r="BC35" s="121">
        <f>+BC15-BC29</f>
        <v>0</v>
      </c>
      <c r="BD35" s="122" t="str">
        <f>IF(AND(BC15=0,BC35&lt;=0), "",BC35/BC15)</f>
        <v/>
      </c>
      <c r="BE35" s="123"/>
      <c r="BF35" s="122" t="str">
        <f t="shared" si="8"/>
        <v/>
      </c>
      <c r="BG35" s="124">
        <f>+BG15-BG29</f>
        <v>0</v>
      </c>
      <c r="BH35" s="122" t="str">
        <f>IF(AND(BG15=0,BG35&lt;=0), "",BG35/BG15)</f>
        <v/>
      </c>
      <c r="BI35" s="123"/>
      <c r="BJ35" s="121">
        <f>+BJ15-BJ29</f>
        <v>0</v>
      </c>
      <c r="BK35" s="122" t="str">
        <f>IF(AND(BJ15=0,BJ35&lt;=0), "",BJ35/BJ15)</f>
        <v/>
      </c>
      <c r="BL35" s="123"/>
      <c r="BM35" s="122" t="str">
        <f t="shared" si="9"/>
        <v/>
      </c>
      <c r="BN35" s="124">
        <f>+BN15-BN29</f>
        <v>0</v>
      </c>
      <c r="BO35" s="122" t="str">
        <f>IF(AND(BN15=0,BN35&lt;=0), "",BN35/BN15)</f>
        <v/>
      </c>
      <c r="BP35" s="123"/>
      <c r="BQ35" s="121">
        <f>+BQ15-BQ29</f>
        <v>0</v>
      </c>
      <c r="BR35" s="122" t="str">
        <f>IF(AND(BQ15=0,BQ35&lt;=0), "",BQ35/BQ15)</f>
        <v/>
      </c>
      <c r="BS35" s="123"/>
      <c r="BT35" s="122" t="str">
        <f t="shared" si="10"/>
        <v/>
      </c>
      <c r="BU35" s="124">
        <f>+BU15-BU29</f>
        <v>0</v>
      </c>
      <c r="BV35" s="122" t="str">
        <f>IF(AND(BU15=0,BU35&lt;=0), "",BU35/BU15)</f>
        <v/>
      </c>
      <c r="BW35" s="123"/>
      <c r="BX35" s="125">
        <f>+BX15-BX29</f>
        <v>0</v>
      </c>
      <c r="BY35" s="122" t="str">
        <f>IF(AND(BX15=0,BX35&lt;=0), "",BX35/BX15)</f>
        <v/>
      </c>
      <c r="BZ35" s="123" t="str">
        <f t="shared" si="11"/>
        <v/>
      </c>
      <c r="CA35" s="121">
        <f>+CA15-CA29</f>
        <v>0</v>
      </c>
      <c r="CB35" s="122" t="str">
        <f>IF(AND(CA15=0,CA35&lt;=0), "",CA35/CA15)</f>
        <v/>
      </c>
      <c r="CC35" s="123"/>
      <c r="CD35" s="122" t="str">
        <f t="shared" si="12"/>
        <v/>
      </c>
      <c r="CE35" s="124">
        <f>+CE15-CE29</f>
        <v>0</v>
      </c>
      <c r="CF35" s="122" t="str">
        <f>IF(AND(CE15=0,CE35&lt;=0), "",CE35/CE15)</f>
        <v/>
      </c>
      <c r="CG35" s="123"/>
      <c r="CH35" s="121">
        <f>+CH15-CH29</f>
        <v>0</v>
      </c>
      <c r="CI35" s="122" t="str">
        <f>IF(AND(CH15=0,CH35&lt;=0), "",CH35/CH15)</f>
        <v/>
      </c>
      <c r="CJ35" s="123"/>
      <c r="CK35" s="122" t="str">
        <f t="shared" si="13"/>
        <v/>
      </c>
      <c r="CL35" s="124">
        <f>+CL15-CL29</f>
        <v>0</v>
      </c>
      <c r="CM35" s="122" t="str">
        <f>IF(AND(CL15=0,CL35&lt;=0), "",CL35/CL15)</f>
        <v/>
      </c>
      <c r="CN35" s="123"/>
      <c r="CO35" s="121">
        <f>+CO15-CO29</f>
        <v>0</v>
      </c>
      <c r="CP35" s="122" t="str">
        <f>IF(AND(CO15=0,CO35&lt;=0), "",CO35/CO15)</f>
        <v/>
      </c>
      <c r="CQ35" s="123"/>
      <c r="CR35" s="122" t="str">
        <f t="shared" si="14"/>
        <v/>
      </c>
      <c r="CS35" s="124">
        <f>+CS15-CS29</f>
        <v>0</v>
      </c>
      <c r="CT35" s="122" t="str">
        <f>IF(AND(CS15=0,CS35&lt;=0), "",CS35/CS15)</f>
        <v/>
      </c>
      <c r="CU35" s="123"/>
      <c r="CV35" s="125">
        <f>+CV15-CV29</f>
        <v>0</v>
      </c>
      <c r="CW35" s="122" t="str">
        <f>IF(AND(CV15=0,CV35&lt;=0), "",CV35/CV15)</f>
        <v/>
      </c>
      <c r="CX35" s="123" t="str">
        <f t="shared" si="15"/>
        <v/>
      </c>
    </row>
    <row r="36" spans="1:102" s="24" customFormat="1" ht="16.5" thickBot="1" x14ac:dyDescent="0.3">
      <c r="A36" s="126" t="s">
        <v>59</v>
      </c>
      <c r="B36" s="127">
        <f>+B4-B22</f>
        <v>0</v>
      </c>
      <c r="C36" s="128" t="str">
        <f>IF(AND(B4=0,B36&lt;=0), "",B36/B4)</f>
        <v/>
      </c>
      <c r="D36" s="129"/>
      <c r="E36" s="127">
        <f>+E4-E22</f>
        <v>27262.18</v>
      </c>
      <c r="F36" s="128">
        <f>IF(AND(E4=0,E36&lt;=0), "",E36/E4)</f>
        <v>0.56875561590827872</v>
      </c>
      <c r="G36" s="129"/>
      <c r="H36" s="127">
        <f>+H4-H22</f>
        <v>27170.010000000002</v>
      </c>
      <c r="I36" s="128">
        <f>IF(AND(H4=0,H36&lt;=0), "",H36/H4)</f>
        <v>0.52774680749233149</v>
      </c>
      <c r="J36" s="129"/>
      <c r="K36" s="128">
        <f t="shared" si="0"/>
        <v>-3.3808741634013956E-3</v>
      </c>
      <c r="L36" s="130">
        <f>+L4-L22</f>
        <v>54432.19000000001</v>
      </c>
      <c r="M36" s="128">
        <f>IF(AND(L4=0,L36&lt;=0), "",L36/L4)</f>
        <v>0.54751902785937934</v>
      </c>
      <c r="N36" s="129"/>
      <c r="O36" s="127">
        <f>+O4-O22</f>
        <v>44223.16</v>
      </c>
      <c r="P36" s="128">
        <f>IF(AND(O4=0,O36&lt;=0), "",O36/O4)</f>
        <v>0.68984238337083892</v>
      </c>
      <c r="Q36" s="129"/>
      <c r="R36" s="128">
        <f>IF(AND(H36=0,O36&gt;0),100%,IF(AND(H36&lt;0,O36=0),(H36-O36)/H36,IF(AND(H36&gt;0,O36&gt;0),(O36-H36)/H36,IF(AND(H36=0,O36=0),"",(O36-H36)/H36))))</f>
        <v>0.6276460700603349</v>
      </c>
      <c r="S36" s="130">
        <f>+S4-S22</f>
        <v>98655.35</v>
      </c>
      <c r="T36" s="128">
        <f>IF(AND(S4=0,S36&lt;=0), "",S36/S4)</f>
        <v>0.6033145336490906</v>
      </c>
      <c r="U36" s="129"/>
      <c r="V36" s="131">
        <f>+V4-V22</f>
        <v>0</v>
      </c>
      <c r="W36" s="128" t="str">
        <f>IF(AND(V4=0,V36&lt;=0), "",V36/V4)</f>
        <v/>
      </c>
      <c r="X36" s="129">
        <f t="shared" si="2"/>
        <v>1</v>
      </c>
      <c r="Y36" s="127">
        <f>+Y4-Y22</f>
        <v>0</v>
      </c>
      <c r="Z36" s="128" t="str">
        <f>IF(AND(Y4=0,Y36&lt;=0), "",Y36/Y4)</f>
        <v/>
      </c>
      <c r="AA36" s="129"/>
      <c r="AB36" s="128">
        <f t="shared" si="3"/>
        <v>-1</v>
      </c>
      <c r="AC36" s="130">
        <f>+AC4-AC22</f>
        <v>98655.35</v>
      </c>
      <c r="AD36" s="128">
        <f>IF(AND(AC4=0,AC36&lt;=0), "",AC36/AC4)</f>
        <v>0.6033145336490906</v>
      </c>
      <c r="AE36" s="129"/>
      <c r="AF36" s="127">
        <f>+AF4-AF22</f>
        <v>0</v>
      </c>
      <c r="AG36" s="128" t="str">
        <f>IF(AND(AF4=0,AF36&lt;=0), "",AF36/AF4)</f>
        <v/>
      </c>
      <c r="AH36" s="129"/>
      <c r="AI36" s="128" t="str">
        <f t="shared" si="4"/>
        <v/>
      </c>
      <c r="AJ36" s="130">
        <f>+AJ4-AJ22</f>
        <v>98655.35</v>
      </c>
      <c r="AK36" s="128">
        <f>IF(AND(AJ4=0,AJ36&lt;=0), "",AJ36/AJ4)</f>
        <v>0.6033145336490906</v>
      </c>
      <c r="AL36" s="129"/>
      <c r="AM36" s="127">
        <f>+AM4-AM22</f>
        <v>0</v>
      </c>
      <c r="AN36" s="128" t="str">
        <f>IF(AND(AM4=0,AM36&lt;=0), "",AM36/AM4)</f>
        <v/>
      </c>
      <c r="AO36" s="129"/>
      <c r="AP36" s="128" t="str">
        <f t="shared" si="5"/>
        <v/>
      </c>
      <c r="AQ36" s="130">
        <f>+AQ4-AQ22</f>
        <v>98655.35</v>
      </c>
      <c r="AR36" s="128">
        <f>IF(AND(AQ4=0,AQ36&lt;=0), "",AQ36/AQ4)</f>
        <v>0.6033145336490906</v>
      </c>
      <c r="AS36" s="129"/>
      <c r="AT36" s="131">
        <f>+AT4-AT22</f>
        <v>0</v>
      </c>
      <c r="AU36" s="128" t="str">
        <f>IF(AND(AT4=0,AT36&lt;=0), "",AT36/AT4)</f>
        <v/>
      </c>
      <c r="AV36" s="129">
        <f t="shared" si="6"/>
        <v>1</v>
      </c>
      <c r="AW36" s="131">
        <f>+AW4-AW22</f>
        <v>16442.558333333334</v>
      </c>
      <c r="AX36" s="128">
        <f>IF(AND(AW4=0,AW36&lt;=0), "",AW36/AW4)</f>
        <v>0.6033145336490906</v>
      </c>
      <c r="AY36" s="129"/>
      <c r="AZ36" s="131">
        <f>+AZ4-AZ22</f>
        <v>0</v>
      </c>
      <c r="BA36" s="128" t="str">
        <f>IF(AND(AZ4=0,AZ36&lt;=0), "",AZ36/AZ4)</f>
        <v/>
      </c>
      <c r="BB36" s="129">
        <f t="shared" si="7"/>
        <v>1</v>
      </c>
      <c r="BC36" s="127">
        <f>+BC4-BC22</f>
        <v>0</v>
      </c>
      <c r="BD36" s="128" t="str">
        <f>IF(AND(BC4=0,BC36&lt;=0), "",BC36/BC4)</f>
        <v/>
      </c>
      <c r="BE36" s="129"/>
      <c r="BF36" s="128" t="str">
        <f t="shared" si="8"/>
        <v/>
      </c>
      <c r="BG36" s="130">
        <f>+BG4-BG22</f>
        <v>98655.35</v>
      </c>
      <c r="BH36" s="128">
        <f>IF(AND(BG4=0,BG36&lt;=0), "",BG36/BG4)</f>
        <v>0.6033145336490906</v>
      </c>
      <c r="BI36" s="129"/>
      <c r="BJ36" s="127">
        <f>+BJ4-BJ22</f>
        <v>0</v>
      </c>
      <c r="BK36" s="128" t="str">
        <f>IF(AND(BJ4=0,BJ36&lt;=0), "",BJ36/BJ4)</f>
        <v/>
      </c>
      <c r="BL36" s="129"/>
      <c r="BM36" s="128" t="str">
        <f t="shared" si="9"/>
        <v/>
      </c>
      <c r="BN36" s="130">
        <f>+BN4-BN22</f>
        <v>98655.35</v>
      </c>
      <c r="BO36" s="128">
        <f>IF(AND(BN4=0,BN36&lt;=0), "",BN36/BN4)</f>
        <v>0.6033145336490906</v>
      </c>
      <c r="BP36" s="129"/>
      <c r="BQ36" s="127">
        <f>+BQ4-BQ22</f>
        <v>0</v>
      </c>
      <c r="BR36" s="128" t="str">
        <f>IF(AND(BQ4=0,BQ36&lt;=0), "",BQ36/BQ4)</f>
        <v/>
      </c>
      <c r="BS36" s="129"/>
      <c r="BT36" s="128" t="str">
        <f t="shared" si="10"/>
        <v/>
      </c>
      <c r="BU36" s="130">
        <f>+BU4-BU22</f>
        <v>98655.35</v>
      </c>
      <c r="BV36" s="128">
        <f>IF(AND(BU4=0,BU36&lt;=0), "",BU36/BU4)</f>
        <v>0.6033145336490906</v>
      </c>
      <c r="BW36" s="129"/>
      <c r="BX36" s="131">
        <f>+BX4-BX22</f>
        <v>0</v>
      </c>
      <c r="BY36" s="128" t="str">
        <f>IF(AND(BX4=0,BX36&lt;=0), "",BX36/BX4)</f>
        <v/>
      </c>
      <c r="BZ36" s="129">
        <f t="shared" si="11"/>
        <v>1</v>
      </c>
      <c r="CA36" s="127">
        <f>+CA4-CA22</f>
        <v>0</v>
      </c>
      <c r="CB36" s="128" t="str">
        <f>IF(AND(CA4=0,CA36&lt;=0), "",CA36/CA4)</f>
        <v/>
      </c>
      <c r="CC36" s="129"/>
      <c r="CD36" s="128" t="str">
        <f t="shared" si="12"/>
        <v/>
      </c>
      <c r="CE36" s="130">
        <f>+CE4-CE22</f>
        <v>98655.35</v>
      </c>
      <c r="CF36" s="128">
        <f>IF(AND(CE4=0,CE36&lt;=0), "",CE36/CE4)</f>
        <v>0.6033145336490906</v>
      </c>
      <c r="CG36" s="129"/>
      <c r="CH36" s="127">
        <f>+CH4-CH22</f>
        <v>0</v>
      </c>
      <c r="CI36" s="128" t="str">
        <f>IF(AND(CH4=0,CH36&lt;=0), "",CH36/CH4)</f>
        <v/>
      </c>
      <c r="CJ36" s="129"/>
      <c r="CK36" s="128" t="str">
        <f t="shared" si="13"/>
        <v/>
      </c>
      <c r="CL36" s="130">
        <f>+CL4-CL22</f>
        <v>98655.35</v>
      </c>
      <c r="CM36" s="128">
        <f>IF(AND(CL4=0,CL36&lt;=0), "",CL36/CL4)</f>
        <v>0.6033145336490906</v>
      </c>
      <c r="CN36" s="129"/>
      <c r="CO36" s="127">
        <f>+CO4-CO22</f>
        <v>0</v>
      </c>
      <c r="CP36" s="128" t="str">
        <f>IF(AND(CO4=0,CO36&lt;=0), "",CO36/CO4)</f>
        <v/>
      </c>
      <c r="CQ36" s="129"/>
      <c r="CR36" s="128" t="str">
        <f t="shared" si="14"/>
        <v/>
      </c>
      <c r="CS36" s="130">
        <f>+CS4-CS22</f>
        <v>98655.35</v>
      </c>
      <c r="CT36" s="128">
        <f>IF(AND(CS4=0,CS36&lt;=0), "",CS36/CS4)</f>
        <v>0.6033145336490906</v>
      </c>
      <c r="CU36" s="129"/>
      <c r="CV36" s="131">
        <f>+CV4-CV22</f>
        <v>0</v>
      </c>
      <c r="CW36" s="128" t="str">
        <f>IF(AND(CV4=0,CV36&lt;=0), "",CV36/CV4)</f>
        <v/>
      </c>
      <c r="CX36" s="129">
        <f t="shared" si="15"/>
        <v>1</v>
      </c>
    </row>
    <row r="37" spans="1:102" s="2" customFormat="1" ht="15.75" thickTop="1" x14ac:dyDescent="0.25">
      <c r="B37" s="104"/>
      <c r="C37" s="13"/>
      <c r="D37" s="36"/>
      <c r="E37" s="104"/>
      <c r="F37" s="13"/>
      <c r="G37" s="36"/>
      <c r="H37" s="104"/>
      <c r="I37" s="13"/>
      <c r="J37" s="36"/>
      <c r="K37" s="13"/>
      <c r="L37" s="90"/>
      <c r="M37" s="13"/>
      <c r="N37" s="36"/>
      <c r="O37" s="104"/>
      <c r="P37" s="13"/>
      <c r="Q37" s="36"/>
      <c r="R37" s="13"/>
      <c r="S37" s="90"/>
      <c r="T37" s="13"/>
      <c r="U37" s="36"/>
      <c r="V37" s="105"/>
      <c r="W37" s="13"/>
      <c r="X37" s="36"/>
      <c r="Y37" s="104"/>
      <c r="Z37" s="13"/>
      <c r="AA37" s="36"/>
      <c r="AB37" s="13"/>
      <c r="AC37" s="90"/>
      <c r="AD37" s="13"/>
      <c r="AE37" s="36"/>
      <c r="AF37" s="104"/>
      <c r="AG37" s="13"/>
      <c r="AH37" s="36"/>
      <c r="AI37" s="13" t="str">
        <f t="shared" si="4"/>
        <v/>
      </c>
      <c r="AJ37" s="90"/>
      <c r="AK37" s="13"/>
      <c r="AL37" s="36"/>
      <c r="AM37" s="104"/>
      <c r="AN37" s="13"/>
      <c r="AO37" s="36"/>
      <c r="AP37" s="13" t="str">
        <f t="shared" si="5"/>
        <v/>
      </c>
      <c r="AQ37" s="90"/>
      <c r="AR37" s="13"/>
      <c r="AS37" s="36"/>
      <c r="AT37" s="105"/>
      <c r="AU37" s="13"/>
      <c r="AV37" s="36"/>
      <c r="AW37" s="105"/>
      <c r="AX37" s="13"/>
      <c r="AY37" s="36"/>
      <c r="AZ37" s="105"/>
      <c r="BA37" s="13"/>
      <c r="BB37" s="36"/>
      <c r="BC37" s="104"/>
      <c r="BD37" s="13"/>
      <c r="BE37" s="36"/>
      <c r="BF37" s="13"/>
      <c r="BG37" s="90"/>
      <c r="BH37" s="13"/>
      <c r="BI37" s="36"/>
      <c r="BJ37" s="104"/>
      <c r="BK37" s="13"/>
      <c r="BL37" s="36"/>
      <c r="BM37" s="13" t="str">
        <f t="shared" si="9"/>
        <v/>
      </c>
      <c r="BN37" s="90"/>
      <c r="BO37" s="13"/>
      <c r="BP37" s="36"/>
      <c r="BQ37" s="104"/>
      <c r="BR37" s="13"/>
      <c r="BS37" s="36"/>
      <c r="BT37" s="13" t="str">
        <f t="shared" si="10"/>
        <v/>
      </c>
      <c r="BU37" s="90"/>
      <c r="BV37" s="13"/>
      <c r="BW37" s="36"/>
      <c r="BX37" s="105"/>
      <c r="BY37" s="13"/>
      <c r="BZ37" s="36" t="str">
        <f t="shared" si="11"/>
        <v/>
      </c>
      <c r="CA37" s="104"/>
      <c r="CB37" s="13"/>
      <c r="CC37" s="36"/>
      <c r="CD37" s="13"/>
      <c r="CE37" s="90"/>
      <c r="CF37" s="13"/>
      <c r="CG37" s="36"/>
      <c r="CH37" s="104"/>
      <c r="CI37" s="13"/>
      <c r="CJ37" s="36"/>
      <c r="CK37" s="13" t="str">
        <f t="shared" si="13"/>
        <v/>
      </c>
      <c r="CL37" s="90"/>
      <c r="CM37" s="13"/>
      <c r="CN37" s="36"/>
      <c r="CO37" s="104"/>
      <c r="CP37" s="13"/>
      <c r="CQ37" s="36"/>
      <c r="CR37" s="13" t="str">
        <f t="shared" si="14"/>
        <v/>
      </c>
      <c r="CS37" s="90"/>
      <c r="CT37" s="13"/>
      <c r="CU37" s="36"/>
      <c r="CV37" s="105"/>
      <c r="CW37" s="13"/>
      <c r="CX37" s="36" t="str">
        <f t="shared" si="15"/>
        <v/>
      </c>
    </row>
    <row r="38" spans="1:102" s="18" customFormat="1" ht="18" customHeight="1" x14ac:dyDescent="0.25">
      <c r="A38" s="15" t="s">
        <v>101</v>
      </c>
      <c r="B38" s="95">
        <f>+B39+B68+B83+B93+B104</f>
        <v>0</v>
      </c>
      <c r="C38" s="26" t="str">
        <f>IF(AND(B4=0,B38&gt;=0), "",B38/B4)</f>
        <v/>
      </c>
      <c r="D38" s="32" t="str">
        <f>IF(AND(B124=0,B38&gt;=0),"",B38/B124)</f>
        <v/>
      </c>
      <c r="E38" s="95">
        <f>+E39+E68+E83+E93+E104</f>
        <v>12855.64</v>
      </c>
      <c r="F38" s="26">
        <f>IF(AND(E4=0,E38&gt;=0), "",E38/E4)</f>
        <v>0.2682000282477448</v>
      </c>
      <c r="G38" s="32">
        <f>IF(AND(E124=0,E38&gt;=0),"",E38/E124)</f>
        <v>0.41516934868969002</v>
      </c>
      <c r="H38" s="95">
        <f>+H39+H68+H83+H93+H104</f>
        <v>9848.8799999999992</v>
      </c>
      <c r="I38" s="26">
        <f>IF(AND(H4=0,H38&gt;=0), "",H38/H4)</f>
        <v>0.19130338845569336</v>
      </c>
      <c r="J38" s="32">
        <f>IF(AND(H124=0,H38&gt;=0),"",H38/H124)</f>
        <v>0.50938908252472626</v>
      </c>
      <c r="K38" s="26">
        <f t="shared" ref="K38:K82" si="19">IF(AND(E38=0,H38&gt;0),100%,IF(AND(E38&lt;0,H38=0),(E38-H38)/E38,IF(AND(E38&gt;0,H38&gt;0),(H38-E38)/E38,IF(AND(E38=0,H38=0),"",(H38-E38)/E38))))</f>
        <v>-0.23388644983835891</v>
      </c>
      <c r="L38" s="96">
        <f>+L39+L68+L83+L93+L104</f>
        <v>22704.519999999997</v>
      </c>
      <c r="M38" s="26">
        <f>IF(AND(L4=0,L38&gt;=0), "",L38/L4)</f>
        <v>0.22837877216429894</v>
      </c>
      <c r="N38" s="32">
        <f>IF(AND(L124=0,L38&gt;=0),"",L38/L124)</f>
        <v>0.45138659430014216</v>
      </c>
      <c r="O38" s="95">
        <f>+O39+O68+O83+O93+O104</f>
        <v>13947.96</v>
      </c>
      <c r="P38" s="26">
        <f>IF(AND(O4=0,O38&gt;=0), "",O38/O4)</f>
        <v>0.21757590297846477</v>
      </c>
      <c r="Q38" s="32">
        <f>IF(AND(O124=0,O38&gt;=0),"",O38/O124)</f>
        <v>0.53776594391148347</v>
      </c>
      <c r="R38" s="26">
        <f t="shared" ref="R38:R82" si="20">IF(AND(H38=0,O38&gt;0),100%,IF(AND(H38&lt;0,O38=0),(H38-O38)/H38,IF(AND(H38&gt;0,O38&gt;0),(O38-H38)/H38,IF(AND(H38=0,O38=0),"",(O38-H38)/H38))))</f>
        <v>0.41619757779564787</v>
      </c>
      <c r="S38" s="96">
        <f>+S39+S68+S83+S93+S104</f>
        <v>36652.479999999996</v>
      </c>
      <c r="T38" s="26">
        <f>IF(AND(S4=0,S38&gt;=0), "",S38/S4)</f>
        <v>0.22414368686830077</v>
      </c>
      <c r="U38" s="32">
        <f>IF(AND(S124=0,S38&gt;=0),"",S38/S124)</f>
        <v>0.48077426571782811</v>
      </c>
      <c r="V38" s="97">
        <f>+V39+V68+V83+V93+V104</f>
        <v>0</v>
      </c>
      <c r="W38" s="26" t="str">
        <f>IF(AND(V4=0,V38&gt;=0), "",V38/V4)</f>
        <v/>
      </c>
      <c r="X38" s="32">
        <f t="shared" ref="X38:X101" si="21">IF(AND(V38=0,S38&gt;0),100%,IF(AND(V38&lt;0,S38=0),(V38-S38)/V38,IF(AND(V38&gt;0,S38&gt;0),(S38-V38)/V38,IF(AND(V38=0,S38=0),"",(S38-V38)/V38))))</f>
        <v>1</v>
      </c>
      <c r="Y38" s="95">
        <f>+Y39+Y68+Y83+Y93+Y104</f>
        <v>0</v>
      </c>
      <c r="Z38" s="26" t="str">
        <f>IF(AND(Y4=0,Y38&gt;=0), "",Y38/Y4)</f>
        <v/>
      </c>
      <c r="AA38" s="32" t="str">
        <f>IF(AND(Y124=0,Y38&gt;=0),"",Y38/Y124)</f>
        <v/>
      </c>
      <c r="AB38" s="26">
        <f t="shared" ref="AB38:AB101" si="22">IF(AND(O38=0,Y38&gt;0),100%,IF(AND(O38&lt;0,Y38=0),(O38-Y38)/O38,IF(AND(O38&gt;0,Y38&gt;0),(Y38-O38)/O38,IF(AND(O38=0,Y38=0),"",(Y38-O38)/O38))))</f>
        <v>-1</v>
      </c>
      <c r="AC38" s="96">
        <f>+AC39+AC68+AC83+AC93+AC104</f>
        <v>36652.479999999996</v>
      </c>
      <c r="AD38" s="26">
        <f>IF(AND(AC4=0,AC38&gt;=0), "",AC38/AC4)</f>
        <v>0.22414368686830077</v>
      </c>
      <c r="AE38" s="32">
        <f>IF(AND(AC124=0,AC38&gt;=0),"",AC38/AC124)</f>
        <v>0.48077426571782811</v>
      </c>
      <c r="AF38" s="95">
        <f>+AF39+AF68+AF83+AF93+AF104</f>
        <v>0</v>
      </c>
      <c r="AG38" s="26" t="str">
        <f>IF(AND(AF4=0,AF38&gt;=0), "",AF38/AF4)</f>
        <v/>
      </c>
      <c r="AH38" s="32" t="str">
        <f>IF(AND(AF124=0,AF38&gt;=0),"",AF38/AF124)</f>
        <v/>
      </c>
      <c r="AI38" s="26" t="str">
        <f t="shared" si="4"/>
        <v/>
      </c>
      <c r="AJ38" s="96">
        <f>+AJ39+AJ68+AJ83+AJ93+AJ104</f>
        <v>36652.479999999996</v>
      </c>
      <c r="AK38" s="26">
        <f>IF(AND(AJ4=0,AJ38&gt;=0), "",AJ38/AJ4)</f>
        <v>0.22414368686830077</v>
      </c>
      <c r="AL38" s="32">
        <f>IF(AND(AJ124=0,AJ38&gt;=0),"",AJ38/AJ124)</f>
        <v>0.48077426571782811</v>
      </c>
      <c r="AM38" s="95">
        <f>+AM39+AM68+AM83+AM93+AM104</f>
        <v>0</v>
      </c>
      <c r="AN38" s="26" t="str">
        <f>IF(AND(AM4=0,AM38&gt;=0), "",AM38/AM4)</f>
        <v/>
      </c>
      <c r="AO38" s="32" t="str">
        <f>IF(AND(AM124=0,AM38&gt;=0),"",AM38/AM124)</f>
        <v/>
      </c>
      <c r="AP38" s="26" t="str">
        <f t="shared" si="5"/>
        <v/>
      </c>
      <c r="AQ38" s="96">
        <f>+AQ39+AQ68+AQ83+AQ93+AQ104</f>
        <v>36652.479999999996</v>
      </c>
      <c r="AR38" s="26">
        <f>IF(AND(AQ4=0,AQ38&gt;=0), "",AQ38/AQ4)</f>
        <v>0.22414368686830077</v>
      </c>
      <c r="AS38" s="32">
        <f>IF(AND(AQ124=0,AQ38&gt;=0),"",AQ38/AQ124)</f>
        <v>0.48077426571782811</v>
      </c>
      <c r="AT38" s="97">
        <f>+AT39+AT68+AT83+AT93+AT104</f>
        <v>0</v>
      </c>
      <c r="AU38" s="26" t="str">
        <f>IF(AND(AT4=0,AT38&gt;=0), "",AT38/AT4)</f>
        <v/>
      </c>
      <c r="AV38" s="32">
        <f t="shared" ref="AV38:AV101" si="23">IF(AND(AT38=0,AQ38&gt;0),100%,IF(AND(AT38&lt;0,AQ38=0),(AT38-AQ38)/AT38,IF(AND(AT38&gt;0,AQ38&gt;0),(AQ38-AT38)/AT38,IF(AND(AT38=0,AQ38=0),"",(AQ38-AT38)/AT38))))</f>
        <v>1</v>
      </c>
      <c r="AW38" s="97">
        <f>+AW39+AW68+AW83+AW93+AW104</f>
        <v>6108.746666666666</v>
      </c>
      <c r="AX38" s="26">
        <f>IF(AND(AW4=0,AW38&gt;=0), "",AW38/AW4)</f>
        <v>0.22414368686830077</v>
      </c>
      <c r="AY38" s="32">
        <f>IF(AND(AW124=0,AW38&gt;=0),"",AW38/AW124)</f>
        <v>0.48077426571782805</v>
      </c>
      <c r="AZ38" s="97">
        <f>+AZ39+AZ68+AZ83+AZ93+AZ104</f>
        <v>0</v>
      </c>
      <c r="BA38" s="26" t="str">
        <f>IF(AND(AZ4=0,AZ38&gt;=0), "",AZ38/AZ4)</f>
        <v/>
      </c>
      <c r="BB38" s="32">
        <f t="shared" ref="BB38:BB101" si="24">IF(AND(AZ38=0,AW38&gt;0),100%,IF(AND(AZ38&lt;0,AW38=0),(AZ38-AW38)/AZ38,IF(AND(AZ38&gt;0,AW38&gt;0),(AW38-AZ38)/AZ38,IF(AND(AZ38=0,AW38=0),"",(AW38-AZ38)/AZ38))))</f>
        <v>1</v>
      </c>
      <c r="BC38" s="95">
        <f>+BC39+BC68+BC83+BC93+BC104</f>
        <v>0</v>
      </c>
      <c r="BD38" s="26" t="str">
        <f>IF(AND(BC4=0,BC38&gt;=0), "",BC38/BC4)</f>
        <v/>
      </c>
      <c r="BE38" s="32" t="str">
        <f>IF(AND(BC124=0,BC38&gt;=0),"",BC38/BC124)</f>
        <v/>
      </c>
      <c r="BF38" s="26" t="str">
        <f t="shared" ref="BF38:BF101" si="25">IF(AND(AM38=0,BC38&gt;0),100%,IF(AND(AM38&lt;0,BC38=0),(AM38-BC38)/AM38,IF(AND(AM38&gt;0,BC38&gt;0),(BC38-AM38)/AM38,IF(AND(AM38=0,BC38=0),"",(BC38-AM38)/AM38))))</f>
        <v/>
      </c>
      <c r="BG38" s="96">
        <f>+BG39+BG68+BG83+BG93+BG104</f>
        <v>36652.479999999996</v>
      </c>
      <c r="BH38" s="26">
        <f>IF(AND(BG4=0,BG38&gt;=0), "",BG38/BG4)</f>
        <v>0.22414368686830077</v>
      </c>
      <c r="BI38" s="32">
        <f>IF(AND(BG124=0,BG38&gt;=0),"",BG38/BG124)</f>
        <v>0.48077426571782811</v>
      </c>
      <c r="BJ38" s="95">
        <f>+BJ39+BJ68+BJ83+BJ93+BJ104</f>
        <v>0</v>
      </c>
      <c r="BK38" s="26" t="str">
        <f>IF(AND(BJ4=0,BJ38&gt;=0), "",BJ38/BJ4)</f>
        <v/>
      </c>
      <c r="BL38" s="32" t="str">
        <f>IF(AND(BJ124=0,BJ38&gt;=0),"",BJ38/BJ124)</f>
        <v/>
      </c>
      <c r="BM38" s="26" t="str">
        <f t="shared" si="9"/>
        <v/>
      </c>
      <c r="BN38" s="96">
        <f>+BN39+BN68+BN83+BN93+BN104</f>
        <v>36652.479999999996</v>
      </c>
      <c r="BO38" s="26">
        <f>IF(AND(BN4=0,BN38&gt;=0), "",BN38/BN4)</f>
        <v>0.22414368686830077</v>
      </c>
      <c r="BP38" s="32">
        <f>IF(AND(BN124=0,BN38&gt;=0),"",BN38/BN124)</f>
        <v>0.48077426571782811</v>
      </c>
      <c r="BQ38" s="95">
        <f>+BQ39+BQ68+BQ83+BQ93+BQ104</f>
        <v>0</v>
      </c>
      <c r="BR38" s="26" t="str">
        <f>IF(AND(BQ4=0,BQ38&gt;=0), "",BQ38/BQ4)</f>
        <v/>
      </c>
      <c r="BS38" s="32" t="str">
        <f>IF(AND(BQ124=0,BQ38&gt;=0),"",BQ38/BQ124)</f>
        <v/>
      </c>
      <c r="BT38" s="26" t="str">
        <f t="shared" si="10"/>
        <v/>
      </c>
      <c r="BU38" s="96">
        <f>+BU39+BU68+BU83+BU93+BU104</f>
        <v>36652.479999999996</v>
      </c>
      <c r="BV38" s="26">
        <f>IF(AND(BU4=0,BU38&gt;=0), "",BU38/BU4)</f>
        <v>0.22414368686830077</v>
      </c>
      <c r="BW38" s="32">
        <f>IF(AND(BU124=0,BU38&gt;=0),"",BU38/BU124)</f>
        <v>0.48077426571782811</v>
      </c>
      <c r="BX38" s="97">
        <f>+BX39+BX68+BX83+BX93+BX104</f>
        <v>0</v>
      </c>
      <c r="BY38" s="26" t="str">
        <f>IF(AND(BX4=0,BX38&gt;=0), "",BX38/BX4)</f>
        <v/>
      </c>
      <c r="BZ38" s="32">
        <f t="shared" si="11"/>
        <v>1</v>
      </c>
      <c r="CA38" s="95">
        <f>+CA39+CA68+CA83+CA93+CA104</f>
        <v>0</v>
      </c>
      <c r="CB38" s="26" t="str">
        <f>IF(AND(CA4=0,CA38&gt;=0), "",CA38/CA4)</f>
        <v/>
      </c>
      <c r="CC38" s="32" t="str">
        <f>IF(AND(CA124=0,CA38&gt;=0),"",CA38/CA124)</f>
        <v/>
      </c>
      <c r="CD38" s="26" t="str">
        <f t="shared" ref="CD38:CD101" si="26">IF(AND(BQ38=0,CA38&gt;0),100%,IF(AND(BQ38&lt;0,CA38=0),(BQ38-CA38)/BQ38,IF(AND(BQ38&gt;0,CA38&gt;0),(CA38-BQ38)/BQ38,IF(AND(BQ38=0,CA38=0),"",(CA38-BQ38)/BQ38))))</f>
        <v/>
      </c>
      <c r="CE38" s="96">
        <f>+CE39+CE68+CE83+CE93+CE104</f>
        <v>36652.479999999996</v>
      </c>
      <c r="CF38" s="26">
        <f>IF(AND(CE4=0,CE38&gt;=0), "",CE38/CE4)</f>
        <v>0.22414368686830077</v>
      </c>
      <c r="CG38" s="32">
        <f>IF(AND(CE124=0,CE38&gt;=0),"",CE38/CE124)</f>
        <v>0.48077426571782811</v>
      </c>
      <c r="CH38" s="95">
        <f>+CH39+CH68+CH83+CH93+CH104</f>
        <v>0</v>
      </c>
      <c r="CI38" s="26" t="str">
        <f>IF(AND(CH4=0,CH38&gt;=0), "",CH38/CH4)</f>
        <v/>
      </c>
      <c r="CJ38" s="32" t="str">
        <f>IF(AND(CH124=0,CH38&gt;=0),"",CH38/CH124)</f>
        <v/>
      </c>
      <c r="CK38" s="26" t="str">
        <f t="shared" si="13"/>
        <v/>
      </c>
      <c r="CL38" s="96">
        <f>+CL39+CL68+CL83+CL93+CL104</f>
        <v>36652.479999999996</v>
      </c>
      <c r="CM38" s="26">
        <f>IF(AND(CL4=0,CL38&gt;=0), "",CL38/CL4)</f>
        <v>0.22414368686830077</v>
      </c>
      <c r="CN38" s="32">
        <f>IF(AND(CL124=0,CL38&gt;=0),"",CL38/CL124)</f>
        <v>0.48077426571782811</v>
      </c>
      <c r="CO38" s="95">
        <f>+CO39+CO68+CO83+CO93+CO104</f>
        <v>0</v>
      </c>
      <c r="CP38" s="26" t="str">
        <f>IF(AND(CO4=0,CO38&gt;=0), "",CO38/CO4)</f>
        <v/>
      </c>
      <c r="CQ38" s="32" t="str">
        <f>IF(AND(CO124=0,CO38&gt;=0),"",CO38/CO124)</f>
        <v/>
      </c>
      <c r="CR38" s="26" t="str">
        <f t="shared" si="14"/>
        <v/>
      </c>
      <c r="CS38" s="96">
        <f>+CS39+CS68+CS83+CS93+CS104</f>
        <v>36652.479999999996</v>
      </c>
      <c r="CT38" s="26">
        <f>IF(AND(CS4=0,CS38&gt;=0), "",CS38/CS4)</f>
        <v>0.22414368686830077</v>
      </c>
      <c r="CU38" s="32">
        <f>IF(AND(CS124=0,CS38&gt;=0),"",CS38/CS124)</f>
        <v>0.48077426571782811</v>
      </c>
      <c r="CV38" s="97">
        <f>+CV39+CV68+CV83+CV93+CV104</f>
        <v>0</v>
      </c>
      <c r="CW38" s="26" t="str">
        <f>IF(AND(CV4=0,CV38&gt;=0), "",CV38/CV4)</f>
        <v/>
      </c>
      <c r="CX38" s="32">
        <f t="shared" si="15"/>
        <v>1</v>
      </c>
    </row>
    <row r="39" spans="1:102" s="5" customFormat="1" x14ac:dyDescent="0.25">
      <c r="A39" s="27" t="s">
        <v>60</v>
      </c>
      <c r="B39" s="98">
        <f>SUM(B40:B67)</f>
        <v>0</v>
      </c>
      <c r="C39" s="28" t="str">
        <f>IF(AND(B4=0,B39&gt;=0), "",B39/B4)</f>
        <v/>
      </c>
      <c r="D39" s="33" t="str">
        <f>IF(AND(B124=0,B39&gt;=0),"",B39/B124)</f>
        <v/>
      </c>
      <c r="E39" s="98">
        <f>SUM(E40:E67)</f>
        <v>7181.2</v>
      </c>
      <c r="F39" s="28">
        <f>IF(AND(E4=0,E39&gt;=0), "",E39/E4)</f>
        <v>0.14981735976215149</v>
      </c>
      <c r="G39" s="33">
        <f>IF(AND(E124=0,E39&gt;=0),"",E39/E124)</f>
        <v>0.23191487369048933</v>
      </c>
      <c r="H39" s="98">
        <f>SUM(H40:H67)</f>
        <v>6517.1099999999988</v>
      </c>
      <c r="I39" s="28">
        <f>IF(AND(H4=0,H39&gt;=0), "",H39/H4)</f>
        <v>0.12658751309168997</v>
      </c>
      <c r="J39" s="33">
        <f>IF(AND(H124=0,H39&gt;=0),"",H39/H124)</f>
        <v>0.33706824365945354</v>
      </c>
      <c r="K39" s="28">
        <f t="shared" si="19"/>
        <v>-9.2476187823762199E-2</v>
      </c>
      <c r="L39" s="99">
        <f>SUM(L40:L67)</f>
        <v>13698.31</v>
      </c>
      <c r="M39" s="28">
        <f>IF(AND(L4=0,L39&gt;=0), "",L39/L4)</f>
        <v>0.13778768362096791</v>
      </c>
      <c r="N39" s="33">
        <f>IF(AND(L124=0,L39&gt;=0),"",L39/L124)</f>
        <v>0.27233491386594305</v>
      </c>
      <c r="O39" s="98">
        <f>SUM(O40:O67)</f>
        <v>6988.8399999999983</v>
      </c>
      <c r="P39" s="28">
        <f>IF(AND(O4=0,O39&gt;=0), "",O39/O4)</f>
        <v>0.10901975441369301</v>
      </c>
      <c r="Q39" s="33">
        <f>IF(AND(O124=0,O39&gt;=0),"",O39/O124)</f>
        <v>0.26945590175526252</v>
      </c>
      <c r="R39" s="28">
        <f t="shared" si="20"/>
        <v>7.2383311007486392E-2</v>
      </c>
      <c r="S39" s="99">
        <f>SUM(S40:S67)</f>
        <v>20687.149999999998</v>
      </c>
      <c r="T39" s="28">
        <f>IF(AND(S4=0,S39&gt;=0), "",S39/S4)</f>
        <v>0.12650969516380797</v>
      </c>
      <c r="U39" s="33">
        <f>IF(AND(S124=0,S39&gt;=0),"",S39/S124)</f>
        <v>0.27135542672813867</v>
      </c>
      <c r="V39" s="100">
        <f>SUM(V40:V67)</f>
        <v>0</v>
      </c>
      <c r="W39" s="28" t="str">
        <f>IF(AND(V4=0,V39&gt;=0), "",V39/V4)</f>
        <v/>
      </c>
      <c r="X39" s="78">
        <f t="shared" si="21"/>
        <v>1</v>
      </c>
      <c r="Y39" s="98">
        <f>SUM(Y40:Y67)</f>
        <v>0</v>
      </c>
      <c r="Z39" s="28" t="str">
        <f>IF(AND(Y4=0,Y39&gt;=0), "",Y39/Y4)</f>
        <v/>
      </c>
      <c r="AA39" s="33" t="str">
        <f>IF(AND(Y124=0,Y39&gt;=0),"",Y39/Y124)</f>
        <v/>
      </c>
      <c r="AB39" s="28">
        <f t="shared" si="22"/>
        <v>-1</v>
      </c>
      <c r="AC39" s="99">
        <f>SUM(AC40:AC67)</f>
        <v>20687.149999999998</v>
      </c>
      <c r="AD39" s="28">
        <f>IF(AND(AC4=0,AC39&gt;=0), "",AC39/AC4)</f>
        <v>0.12650969516380797</v>
      </c>
      <c r="AE39" s="33">
        <f>IF(AND(AC124=0,AC39&gt;=0),"",AC39/AC124)</f>
        <v>0.27135542672813867</v>
      </c>
      <c r="AF39" s="98">
        <f>SUM(AF40:AF67)</f>
        <v>0</v>
      </c>
      <c r="AG39" s="28" t="str">
        <f>IF(AND(AF4=0,AF39&gt;=0), "",AF39/AF4)</f>
        <v/>
      </c>
      <c r="AH39" s="33" t="str">
        <f>IF(AND(AF124=0,AF39&gt;=0),"",AF39/AF124)</f>
        <v/>
      </c>
      <c r="AI39" s="28" t="str">
        <f t="shared" si="4"/>
        <v/>
      </c>
      <c r="AJ39" s="99">
        <f>SUM(AJ40:AJ67)</f>
        <v>20687.149999999998</v>
      </c>
      <c r="AK39" s="28">
        <f>IF(AND(AJ4=0,AJ39&gt;=0), "",AJ39/AJ4)</f>
        <v>0.12650969516380797</v>
      </c>
      <c r="AL39" s="33">
        <f>IF(AND(AJ124=0,AJ39&gt;=0),"",AJ39/AJ124)</f>
        <v>0.27135542672813867</v>
      </c>
      <c r="AM39" s="98">
        <f>SUM(AM40:AM67)</f>
        <v>0</v>
      </c>
      <c r="AN39" s="28" t="str">
        <f>IF(AND(AM4=0,AM39&gt;=0), "",AM39/AM4)</f>
        <v/>
      </c>
      <c r="AO39" s="33" t="str">
        <f>IF(AND(AM124=0,AM39&gt;=0),"",AM39/AM124)</f>
        <v/>
      </c>
      <c r="AP39" s="28" t="str">
        <f t="shared" si="5"/>
        <v/>
      </c>
      <c r="AQ39" s="99">
        <f>SUM(AQ40:AQ67)</f>
        <v>20687.149999999998</v>
      </c>
      <c r="AR39" s="28">
        <f>IF(AND(AQ4=0,AQ39&gt;=0), "",AQ39/AQ4)</f>
        <v>0.12650969516380797</v>
      </c>
      <c r="AS39" s="33">
        <f>IF(AND(AQ124=0,AQ39&gt;=0),"",AQ39/AQ124)</f>
        <v>0.27135542672813867</v>
      </c>
      <c r="AT39" s="100">
        <f>SUM(AT40:AT67)</f>
        <v>0</v>
      </c>
      <c r="AU39" s="28" t="str">
        <f>IF(AND(AT4=0,AT39&gt;=0), "",AT39/AT4)</f>
        <v/>
      </c>
      <c r="AV39" s="78">
        <f t="shared" si="23"/>
        <v>1</v>
      </c>
      <c r="AW39" s="100">
        <f>SUM(AW40:AW67)</f>
        <v>3447.8583333333331</v>
      </c>
      <c r="AX39" s="28">
        <f>IF(AND(AW4=0,AW39&gt;=0), "",AW39/AW4)</f>
        <v>0.12650969516380797</v>
      </c>
      <c r="AY39" s="33">
        <f>IF(AND(AW124=0,AW39&gt;=0),"",AW39/AW124)</f>
        <v>0.27135542672813862</v>
      </c>
      <c r="AZ39" s="100">
        <f>SUM(AZ40:AZ67)</f>
        <v>0</v>
      </c>
      <c r="BA39" s="28" t="str">
        <f>IF(AND(AZ4=0,AZ39&gt;=0), "",AZ39/AZ4)</f>
        <v/>
      </c>
      <c r="BB39" s="78">
        <f t="shared" si="24"/>
        <v>1</v>
      </c>
      <c r="BC39" s="98">
        <f>SUM(BC40:BC67)</f>
        <v>0</v>
      </c>
      <c r="BD39" s="28" t="str">
        <f>IF(AND(BC4=0,BC39&gt;=0), "",BC39/BC4)</f>
        <v/>
      </c>
      <c r="BE39" s="33" t="str">
        <f>IF(AND(BC124=0,BC39&gt;=0),"",BC39/BC124)</f>
        <v/>
      </c>
      <c r="BF39" s="28" t="str">
        <f t="shared" si="25"/>
        <v/>
      </c>
      <c r="BG39" s="99">
        <f>SUM(BG40:BG67)</f>
        <v>20687.149999999998</v>
      </c>
      <c r="BH39" s="28">
        <f>IF(AND(BG4=0,BG39&gt;=0), "",BG39/BG4)</f>
        <v>0.12650969516380797</v>
      </c>
      <c r="BI39" s="33">
        <f>IF(AND(BG124=0,BG39&gt;=0),"",BG39/BG124)</f>
        <v>0.27135542672813867</v>
      </c>
      <c r="BJ39" s="98">
        <f>SUM(BJ40:BJ67)</f>
        <v>0</v>
      </c>
      <c r="BK39" s="28" t="str">
        <f>IF(AND(BJ4=0,BJ39&gt;=0), "",BJ39/BJ4)</f>
        <v/>
      </c>
      <c r="BL39" s="33" t="str">
        <f>IF(AND(BJ124=0,BJ39&gt;=0),"",BJ39/BJ124)</f>
        <v/>
      </c>
      <c r="BM39" s="28" t="str">
        <f t="shared" si="9"/>
        <v/>
      </c>
      <c r="BN39" s="99">
        <f>SUM(BN40:BN67)</f>
        <v>20687.149999999998</v>
      </c>
      <c r="BO39" s="28">
        <f>IF(AND(BN4=0,BN39&gt;=0), "",BN39/BN4)</f>
        <v>0.12650969516380797</v>
      </c>
      <c r="BP39" s="33">
        <f>IF(AND(BN124=0,BN39&gt;=0),"",BN39/BN124)</f>
        <v>0.27135542672813867</v>
      </c>
      <c r="BQ39" s="98">
        <f>SUM(BQ40:BQ67)</f>
        <v>0</v>
      </c>
      <c r="BR39" s="28" t="str">
        <f>IF(AND(BQ4=0,BQ39&gt;=0), "",BQ39/BQ4)</f>
        <v/>
      </c>
      <c r="BS39" s="33" t="str">
        <f>IF(AND(BQ124=0,BQ39&gt;=0),"",BQ39/BQ124)</f>
        <v/>
      </c>
      <c r="BT39" s="28" t="str">
        <f t="shared" si="10"/>
        <v/>
      </c>
      <c r="BU39" s="99">
        <f>SUM(BU40:BU67)</f>
        <v>20687.149999999998</v>
      </c>
      <c r="BV39" s="28">
        <f>IF(AND(BU4=0,BU39&gt;=0), "",BU39/BU4)</f>
        <v>0.12650969516380797</v>
      </c>
      <c r="BW39" s="33">
        <f>IF(AND(BU124=0,BU39&gt;=0),"",BU39/BU124)</f>
        <v>0.27135542672813867</v>
      </c>
      <c r="BX39" s="100">
        <f>SUM(BX40:BX67)</f>
        <v>0</v>
      </c>
      <c r="BY39" s="28" t="str">
        <f>IF(AND(BX4=0,BX39&gt;=0), "",BX39/BX4)</f>
        <v/>
      </c>
      <c r="BZ39" s="78">
        <f t="shared" si="11"/>
        <v>1</v>
      </c>
      <c r="CA39" s="98">
        <f>SUM(CA40:CA67)</f>
        <v>0</v>
      </c>
      <c r="CB39" s="28" t="str">
        <f>IF(AND(CA4=0,CA39&gt;=0), "",CA39/CA4)</f>
        <v/>
      </c>
      <c r="CC39" s="33" t="str">
        <f>IF(AND(CA124=0,CA39&gt;=0),"",CA39/CA124)</f>
        <v/>
      </c>
      <c r="CD39" s="28" t="str">
        <f t="shared" si="26"/>
        <v/>
      </c>
      <c r="CE39" s="99">
        <f>SUM(CE40:CE67)</f>
        <v>20687.149999999998</v>
      </c>
      <c r="CF39" s="28">
        <f>IF(AND(CE4=0,CE39&gt;=0), "",CE39/CE4)</f>
        <v>0.12650969516380797</v>
      </c>
      <c r="CG39" s="33">
        <f>IF(AND(CE124=0,CE39&gt;=0),"",CE39/CE124)</f>
        <v>0.27135542672813867</v>
      </c>
      <c r="CH39" s="98">
        <f>SUM(CH40:CH67)</f>
        <v>0</v>
      </c>
      <c r="CI39" s="28" t="str">
        <f>IF(AND(CH4=0,CH39&gt;=0), "",CH39/CH4)</f>
        <v/>
      </c>
      <c r="CJ39" s="33" t="str">
        <f>IF(AND(CH124=0,CH39&gt;=0),"",CH39/CH124)</f>
        <v/>
      </c>
      <c r="CK39" s="28" t="str">
        <f t="shared" si="13"/>
        <v/>
      </c>
      <c r="CL39" s="99">
        <f>SUM(CL40:CL67)</f>
        <v>20687.149999999998</v>
      </c>
      <c r="CM39" s="28">
        <f>IF(AND(CL4=0,CL39&gt;=0), "",CL39/CL4)</f>
        <v>0.12650969516380797</v>
      </c>
      <c r="CN39" s="33">
        <f>IF(AND(CL124=0,CL39&gt;=0),"",CL39/CL124)</f>
        <v>0.27135542672813867</v>
      </c>
      <c r="CO39" s="98">
        <f>SUM(CO40:CO67)</f>
        <v>0</v>
      </c>
      <c r="CP39" s="28" t="str">
        <f>IF(AND(CO4=0,CO39&gt;=0), "",CO39/CO4)</f>
        <v/>
      </c>
      <c r="CQ39" s="33" t="str">
        <f>IF(AND(CO124=0,CO39&gt;=0),"",CO39/CO124)</f>
        <v/>
      </c>
      <c r="CR39" s="28" t="str">
        <f t="shared" si="14"/>
        <v/>
      </c>
      <c r="CS39" s="99">
        <f>SUM(CS40:CS67)</f>
        <v>20687.149999999998</v>
      </c>
      <c r="CT39" s="28">
        <f>IF(AND(CS4=0,CS39&gt;=0), "",CS39/CS4)</f>
        <v>0.12650969516380797</v>
      </c>
      <c r="CU39" s="33">
        <f>IF(AND(CS124=0,CS39&gt;=0),"",CS39/CS124)</f>
        <v>0.27135542672813867</v>
      </c>
      <c r="CV39" s="100">
        <f>SUM(CV40:CV67)</f>
        <v>0</v>
      </c>
      <c r="CW39" s="28" t="str">
        <f>IF(AND(CV4=0,CV39&gt;=0), "",CV39/CV4)</f>
        <v/>
      </c>
      <c r="CX39" s="78">
        <f t="shared" si="15"/>
        <v>1</v>
      </c>
    </row>
    <row r="40" spans="1:102" outlineLevel="1" x14ac:dyDescent="0.25">
      <c r="A40" s="19" t="s">
        <v>61</v>
      </c>
      <c r="B40" s="101">
        <f>+'N EERR RODEO'!B39</f>
        <v>0</v>
      </c>
      <c r="C40" s="20" t="str">
        <f>IF(AND(B4=0,B40&gt;=0), "",B40/B4)</f>
        <v/>
      </c>
      <c r="D40" s="37" t="str">
        <f>IF(AND(B124=0,B40&gt;=0),"",B40/B124)</f>
        <v/>
      </c>
      <c r="E40" s="101">
        <f>+'N EERR RODEO'!C39</f>
        <v>91.41</v>
      </c>
      <c r="F40" s="20">
        <f>IF(AND(E4=0,E40&gt;=0), "",E40/E4)</f>
        <v>1.9070357121175106E-3</v>
      </c>
      <c r="G40" s="37">
        <f>IF(AND(E124=0,E40&gt;=0),"",E40/E124)</f>
        <v>2.952060742500923E-3</v>
      </c>
      <c r="H40" s="101">
        <f>+'N EERR RODEO'!D39</f>
        <v>94.56</v>
      </c>
      <c r="I40" s="20">
        <f>IF(AND(H4=0,H40&gt;=0), "",H40/H4)</f>
        <v>1.8367213746507587E-3</v>
      </c>
      <c r="J40" s="37">
        <f>IF(AND(H124=0,H40&gt;=0),"",H40/H124)</f>
        <v>4.8906912911456041E-3</v>
      </c>
      <c r="K40" s="20">
        <f t="shared" si="19"/>
        <v>3.4460124712832357E-2</v>
      </c>
      <c r="L40" s="102">
        <f>+E40+H40</f>
        <v>185.97</v>
      </c>
      <c r="M40" s="20">
        <f>IF(AND(L4=0,L40&gt;=0), "",L40/L4)</f>
        <v>1.870623129640912E-3</v>
      </c>
      <c r="N40" s="37">
        <f>IF(AND(L124=0,L40&gt;=0),"",L40/L124)</f>
        <v>3.6972534518235774E-3</v>
      </c>
      <c r="O40" s="101">
        <f>+'N EERR RODEO'!E39</f>
        <v>89.04</v>
      </c>
      <c r="P40" s="20">
        <f>IF(AND(O4=0,O40&gt;=0), "",O40/O4)</f>
        <v>1.3889456523536422E-3</v>
      </c>
      <c r="Q40" s="37">
        <f>IF(AND(O124=0,O40&gt;=0),"",O40/O124)</f>
        <v>3.4329521769404627E-3</v>
      </c>
      <c r="R40" s="20">
        <f t="shared" si="20"/>
        <v>-5.8375634517766457E-2</v>
      </c>
      <c r="S40" s="102">
        <f>+L40+O40</f>
        <v>275.01</v>
      </c>
      <c r="T40" s="20">
        <f>IF(AND(S4=0,S40&gt;=0), "",S40/S4)</f>
        <v>1.6817894812479646E-3</v>
      </c>
      <c r="U40" s="37">
        <f>IF(AND(S124=0,S40&gt;=0),"",S40/S124)</f>
        <v>3.6073338233882104E-3</v>
      </c>
      <c r="V40" s="103"/>
      <c r="W40" s="20" t="str">
        <f>IF(AND(V4=0,V40&gt;=0), "",V40/V4)</f>
        <v/>
      </c>
      <c r="X40" s="37">
        <f t="shared" si="21"/>
        <v>1</v>
      </c>
      <c r="Y40" s="101">
        <f>+'N EERR RODEO'!F39</f>
        <v>0</v>
      </c>
      <c r="Z40" s="20" t="str">
        <f>IF(AND(Y4=0,Y40&gt;=0), "",Y40/Y4)</f>
        <v/>
      </c>
      <c r="AA40" s="37" t="str">
        <f>IF(AND(Y124=0,Y40&gt;=0),"",Y40/Y124)</f>
        <v/>
      </c>
      <c r="AB40" s="20">
        <f t="shared" si="22"/>
        <v>-1</v>
      </c>
      <c r="AC40" s="102">
        <f t="shared" ref="AC40:AC66" si="27">+S40+Y40</f>
        <v>275.01</v>
      </c>
      <c r="AD40" s="20">
        <f>IF(AND(AC4=0,AC40&gt;=0), "",AC40/AC4)</f>
        <v>1.6817894812479646E-3</v>
      </c>
      <c r="AE40" s="37">
        <f>IF(AND(AC124=0,AC40&gt;=0),"",AC40/AC124)</f>
        <v>3.6073338233882104E-3</v>
      </c>
      <c r="AF40" s="101">
        <f>+'N EERR RODEO'!G39</f>
        <v>0</v>
      </c>
      <c r="AG40" s="20" t="str">
        <f>IF(AND(AF4=0,AF40&gt;=0), "",AF40/AF4)</f>
        <v/>
      </c>
      <c r="AH40" s="37" t="str">
        <f>IF(AND(AF124=0,AF40&gt;=0),"",AF40/AF124)</f>
        <v/>
      </c>
      <c r="AI40" s="20" t="str">
        <f t="shared" si="4"/>
        <v/>
      </c>
      <c r="AJ40" s="102">
        <f t="shared" si="16"/>
        <v>275.01</v>
      </c>
      <c r="AK40" s="20">
        <f>IF(AND(AJ4=0,AJ40&gt;=0), "",AJ40/AJ4)</f>
        <v>1.6817894812479646E-3</v>
      </c>
      <c r="AL40" s="37">
        <f>IF(AND(AJ124=0,AJ40&gt;=0),"",AJ40/AJ124)</f>
        <v>3.6073338233882104E-3</v>
      </c>
      <c r="AM40" s="101">
        <f>+'N EERR RODEO'!H39</f>
        <v>0</v>
      </c>
      <c r="AN40" s="20" t="str">
        <f>IF(AND(AM4=0,AM40&gt;=0), "",AM40/AM4)</f>
        <v/>
      </c>
      <c r="AO40" s="37" t="str">
        <f>IF(AND(AM124=0,AM40&gt;=0),"",AM40/AM124)</f>
        <v/>
      </c>
      <c r="AP40" s="20" t="str">
        <f t="shared" si="5"/>
        <v/>
      </c>
      <c r="AQ40" s="102">
        <f t="shared" si="17"/>
        <v>275.01</v>
      </c>
      <c r="AR40" s="20">
        <f>IF(AND(AQ4=0,AQ40&gt;=0), "",AQ40/AQ4)</f>
        <v>1.6817894812479646E-3</v>
      </c>
      <c r="AS40" s="37">
        <f>IF(AND(AQ124=0,AQ40&gt;=0),"",AQ40/AQ124)</f>
        <v>3.6073338233882104E-3</v>
      </c>
      <c r="AT40" s="103">
        <f t="shared" ref="AT40:AT67" si="28">+V40*2</f>
        <v>0</v>
      </c>
      <c r="AU40" s="20" t="str">
        <f>IF(AND(AT4=0,AT40&gt;=0), "",AT40/AT4)</f>
        <v/>
      </c>
      <c r="AV40" s="37">
        <f t="shared" si="23"/>
        <v>1</v>
      </c>
      <c r="AW40" s="103">
        <f>+AQ40/6</f>
        <v>45.835000000000001</v>
      </c>
      <c r="AX40" s="20">
        <f>IF(AND(AW4=0,AW40&gt;=0), "",AW40/AW4)</f>
        <v>1.6817894812479648E-3</v>
      </c>
      <c r="AY40" s="37">
        <f>IF(AND(AW124=0,AW40&gt;=0),"",AW40/AW124)</f>
        <v>3.6073338233882104E-3</v>
      </c>
      <c r="AZ40" s="103">
        <f t="shared" ref="AZ40:AZ67" si="29">+AT40/6</f>
        <v>0</v>
      </c>
      <c r="BA40" s="20" t="str">
        <f>IF(AND(AZ4=0,AZ40&gt;=0), "",AZ40/AZ4)</f>
        <v/>
      </c>
      <c r="BB40" s="37">
        <f t="shared" si="24"/>
        <v>1</v>
      </c>
      <c r="BC40" s="101">
        <f>+'N EERR RODEO'!I39</f>
        <v>0</v>
      </c>
      <c r="BD40" s="20" t="str">
        <f>IF(AND(BC4=0,BC40&gt;=0), "",BC40/BC4)</f>
        <v/>
      </c>
      <c r="BE40" s="37" t="str">
        <f>IF(AND(BC124=0,BC40&gt;=0),"",BC40/BC124)</f>
        <v/>
      </c>
      <c r="BF40" s="20" t="str">
        <f t="shared" si="25"/>
        <v/>
      </c>
      <c r="BG40" s="102">
        <f t="shared" ref="BG40:BG67" si="30">+AQ40+BC40</f>
        <v>275.01</v>
      </c>
      <c r="BH40" s="20">
        <f>IF(AND(BG4=0,BG40&gt;=0), "",BG40/BG4)</f>
        <v>1.6817894812479646E-3</v>
      </c>
      <c r="BI40" s="37">
        <f>IF(AND(BG124=0,BG40&gt;=0),"",BG40/BG124)</f>
        <v>3.6073338233882104E-3</v>
      </c>
      <c r="BJ40" s="101">
        <f>+'N EERR RODEO'!J39</f>
        <v>0</v>
      </c>
      <c r="BK40" s="20" t="str">
        <f>IF(AND(BJ4=0,BJ40&gt;=0), "",BJ40/BJ4)</f>
        <v/>
      </c>
      <c r="BL40" s="37" t="str">
        <f>IF(AND(BJ124=0,BJ40&gt;=0),"",BJ40/BJ124)</f>
        <v/>
      </c>
      <c r="BM40" s="20" t="str">
        <f t="shared" si="9"/>
        <v/>
      </c>
      <c r="BN40" s="102">
        <f t="shared" ref="BN40:BN67" si="31">+BG40+BJ40</f>
        <v>275.01</v>
      </c>
      <c r="BO40" s="20">
        <f>IF(AND(BN4=0,BN40&gt;=0), "",BN40/BN4)</f>
        <v>1.6817894812479646E-3</v>
      </c>
      <c r="BP40" s="37">
        <f>IF(AND(BN124=0,BN40&gt;=0),"",BN40/BN124)</f>
        <v>3.6073338233882104E-3</v>
      </c>
      <c r="BQ40" s="101">
        <f>+'N EERR RODEO'!K39</f>
        <v>0</v>
      </c>
      <c r="BR40" s="20" t="str">
        <f>IF(AND(BQ4=0,BQ40&gt;=0), "",BQ40/BQ4)</f>
        <v/>
      </c>
      <c r="BS40" s="37" t="str">
        <f>IF(AND(BQ124=0,BQ40&gt;=0),"",BQ40/BQ124)</f>
        <v/>
      </c>
      <c r="BT40" s="20" t="str">
        <f t="shared" si="10"/>
        <v/>
      </c>
      <c r="BU40" s="102">
        <f t="shared" ref="BU40:BU67" si="32">+BN40+BQ40</f>
        <v>275.01</v>
      </c>
      <c r="BV40" s="20">
        <f>IF(AND(BU4=0,BU40&gt;=0), "",BU40/BU4)</f>
        <v>1.6817894812479646E-3</v>
      </c>
      <c r="BW40" s="37">
        <f>IF(AND(BU124=0,BU40&gt;=0),"",BU40/BU124)</f>
        <v>3.6073338233882104E-3</v>
      </c>
      <c r="BX40" s="103">
        <f t="shared" ref="BX40:BX67" si="33">+AZ40*9</f>
        <v>0</v>
      </c>
      <c r="BY40" s="20" t="str">
        <f>IF(AND(BX4=0,BX40&gt;=0), "",BX40/BX4)</f>
        <v/>
      </c>
      <c r="BZ40" s="37">
        <f t="shared" si="11"/>
        <v>1</v>
      </c>
      <c r="CA40" s="101">
        <f>+'N EERR RODEO'!L39</f>
        <v>0</v>
      </c>
      <c r="CB40" s="20" t="str">
        <f>IF(AND(CA4=0,CA40&gt;=0), "",CA40/CA4)</f>
        <v/>
      </c>
      <c r="CC40" s="37" t="str">
        <f>IF(AND(CA124=0,CA40&gt;=0),"",CA40/CA124)</f>
        <v/>
      </c>
      <c r="CD40" s="20" t="str">
        <f t="shared" si="26"/>
        <v/>
      </c>
      <c r="CE40" s="102">
        <f t="shared" ref="CE40:CE66" si="34">+BU40+CA40</f>
        <v>275.01</v>
      </c>
      <c r="CF40" s="20">
        <f>IF(AND(CE4=0,CE40&gt;=0), "",CE40/CE4)</f>
        <v>1.6817894812479646E-3</v>
      </c>
      <c r="CG40" s="37">
        <f>IF(AND(CE124=0,CE40&gt;=0),"",CE40/CE124)</f>
        <v>3.6073338233882104E-3</v>
      </c>
      <c r="CH40" s="101">
        <f>+'N EERR RODEO'!M39</f>
        <v>0</v>
      </c>
      <c r="CI40" s="20" t="str">
        <f>IF(AND(CH4=0,CH40&gt;=0), "",CH40/CH4)</f>
        <v/>
      </c>
      <c r="CJ40" s="37" t="str">
        <f>IF(AND(CH124=0,CH40&gt;=0),"",CH40/CH124)</f>
        <v/>
      </c>
      <c r="CK40" s="20" t="str">
        <f t="shared" si="13"/>
        <v/>
      </c>
      <c r="CL40" s="102">
        <f t="shared" ref="CL40:CL67" si="35">+CE40+CH40</f>
        <v>275.01</v>
      </c>
      <c r="CM40" s="20">
        <f>IF(AND(CL4=0,CL40&gt;=0), "",CL40/CL4)</f>
        <v>1.6817894812479646E-3</v>
      </c>
      <c r="CN40" s="37">
        <f>IF(AND(CL124=0,CL40&gt;=0),"",CL40/CL124)</f>
        <v>3.6073338233882104E-3</v>
      </c>
      <c r="CO40" s="101">
        <f>+'N EERR RODEO'!N39</f>
        <v>0</v>
      </c>
      <c r="CP40" s="20" t="str">
        <f>IF(AND(CO4=0,CO40&gt;=0), "",CO40/CO4)</f>
        <v/>
      </c>
      <c r="CQ40" s="37" t="str">
        <f>IF(AND(CO124=0,CO40&gt;=0),"",CO40/CO124)</f>
        <v/>
      </c>
      <c r="CR40" s="20" t="str">
        <f t="shared" si="14"/>
        <v/>
      </c>
      <c r="CS40" s="102">
        <f t="shared" ref="CS40:CS67" si="36">+CL40+CO40</f>
        <v>275.01</v>
      </c>
      <c r="CT40" s="20">
        <f>IF(AND(CS4=0,CS40&gt;=0), "",CS40/CS4)</f>
        <v>1.6817894812479646E-3</v>
      </c>
      <c r="CU40" s="37">
        <f>IF(AND(CS124=0,CS40&gt;=0),"",CS40/CS124)</f>
        <v>3.6073338233882104E-3</v>
      </c>
      <c r="CV40" s="103">
        <f t="shared" ref="CV40:CV67" si="37">+AZ40*12</f>
        <v>0</v>
      </c>
      <c r="CW40" s="20" t="str">
        <f>IF(AND(CV4=0,CV40&gt;=0), "",CV40/CV4)</f>
        <v/>
      </c>
      <c r="CX40" s="37">
        <f t="shared" si="15"/>
        <v>1</v>
      </c>
    </row>
    <row r="41" spans="1:102" outlineLevel="1" x14ac:dyDescent="0.25">
      <c r="A41" s="19" t="s">
        <v>3</v>
      </c>
      <c r="B41" s="101">
        <f>+'N EERR RODEO'!B40</f>
        <v>0</v>
      </c>
      <c r="C41" s="20" t="str">
        <f>IF(AND(B4=0,B41&gt;=0), "",B41/B4)</f>
        <v/>
      </c>
      <c r="D41" s="37" t="str">
        <f>IF(AND(B124=0,B41&gt;=0),"",B41/B124)</f>
        <v/>
      </c>
      <c r="E41" s="101">
        <f>+'N EERR RODEO'!C40</f>
        <v>21.6</v>
      </c>
      <c r="F41" s="20">
        <f>IF(AND(E4=0,E41&gt;=0), "",E41/E4)</f>
        <v>4.506287209467042E-4</v>
      </c>
      <c r="G41" s="37">
        <f>IF(AND(E124=0,E41&gt;=0),"",E41/E124)</f>
        <v>6.9756604351843283E-4</v>
      </c>
      <c r="H41" s="101">
        <f>+'N EERR RODEO'!D40</f>
        <v>0</v>
      </c>
      <c r="I41" s="20">
        <f>IF(AND(H4=0,H41&gt;=0), "",H41/H4)</f>
        <v>0</v>
      </c>
      <c r="J41" s="37">
        <f>IF(AND(H124=0,H41&gt;=0),"",H41/H124)</f>
        <v>0</v>
      </c>
      <c r="K41" s="20">
        <f t="shared" si="19"/>
        <v>-1</v>
      </c>
      <c r="L41" s="102">
        <f t="shared" ref="L41:L66" si="38">+E41+H41</f>
        <v>21.6</v>
      </c>
      <c r="M41" s="20">
        <f>IF(AND(L4=0,L41&gt;=0), "",L41/L4)</f>
        <v>2.172686971029935E-4</v>
      </c>
      <c r="N41" s="37">
        <f>IF(AND(L124=0,L41&gt;=0),"",L41/L124)</f>
        <v>4.2942772790982028E-4</v>
      </c>
      <c r="O41" s="101">
        <f>+'N EERR RODEO'!E40</f>
        <v>0</v>
      </c>
      <c r="P41" s="20">
        <f>IF(AND(O4=0,O41&gt;=0), "",O41/O4)</f>
        <v>0</v>
      </c>
      <c r="Q41" s="37">
        <f>IF(AND(O124=0,O41&gt;=0),"",O41/O124)</f>
        <v>0</v>
      </c>
      <c r="R41" s="20" t="str">
        <f t="shared" si="20"/>
        <v/>
      </c>
      <c r="S41" s="102">
        <f t="shared" ref="S41:S66" si="39">+L41+O41</f>
        <v>21.6</v>
      </c>
      <c r="T41" s="20">
        <f>IF(AND(S4=0,S41&gt;=0), "",S41/S4)</f>
        <v>1.3209211590471635E-4</v>
      </c>
      <c r="U41" s="37">
        <f>IF(AND(S124=0,S41&gt;=0),"",S41/S124)</f>
        <v>2.8332937196896607E-4</v>
      </c>
      <c r="V41" s="103"/>
      <c r="W41" s="20" t="str">
        <f>IF(AND(V4=0,V41&gt;=0), "",V41/V4)</f>
        <v/>
      </c>
      <c r="X41" s="37">
        <f t="shared" si="21"/>
        <v>1</v>
      </c>
      <c r="Y41" s="101">
        <f>+'N EERR RODEO'!F40</f>
        <v>0</v>
      </c>
      <c r="Z41" s="20" t="str">
        <f>IF(AND(Y4=0,Y41&gt;=0), "",Y41/Y4)</f>
        <v/>
      </c>
      <c r="AA41" s="37" t="str">
        <f>IF(AND(Y124=0,Y41&gt;=0),"",Y41/Y124)</f>
        <v/>
      </c>
      <c r="AB41" s="20" t="str">
        <f t="shared" si="22"/>
        <v/>
      </c>
      <c r="AC41" s="102">
        <f t="shared" si="27"/>
        <v>21.6</v>
      </c>
      <c r="AD41" s="20">
        <f>IF(AND(AC4=0,AC41&gt;=0), "",AC41/AC4)</f>
        <v>1.3209211590471635E-4</v>
      </c>
      <c r="AE41" s="37">
        <f>IF(AND(AC124=0,AC41&gt;=0),"",AC41/AC124)</f>
        <v>2.8332937196896607E-4</v>
      </c>
      <c r="AF41" s="101">
        <f>+'N EERR RODEO'!G40</f>
        <v>0</v>
      </c>
      <c r="AG41" s="20" t="str">
        <f>IF(AND(AF4=0,AF41&gt;=0), "",AF41/AF4)</f>
        <v/>
      </c>
      <c r="AH41" s="37" t="str">
        <f>IF(AND(AF124=0,AF41&gt;=0),"",AF41/AF124)</f>
        <v/>
      </c>
      <c r="AI41" s="20" t="str">
        <f t="shared" si="4"/>
        <v/>
      </c>
      <c r="AJ41" s="102">
        <f t="shared" si="16"/>
        <v>21.6</v>
      </c>
      <c r="AK41" s="20">
        <f>IF(AND(AJ4=0,AJ41&gt;=0), "",AJ41/AJ4)</f>
        <v>1.3209211590471635E-4</v>
      </c>
      <c r="AL41" s="37">
        <f>IF(AND(AJ124=0,AJ41&gt;=0),"",AJ41/AJ124)</f>
        <v>2.8332937196896607E-4</v>
      </c>
      <c r="AM41" s="101">
        <f>+'N EERR RODEO'!H40</f>
        <v>0</v>
      </c>
      <c r="AN41" s="20" t="str">
        <f>IF(AND(AM4=0,AM41&gt;=0), "",AM41/AM4)</f>
        <v/>
      </c>
      <c r="AO41" s="37" t="str">
        <f>IF(AND(AM124=0,AM41&gt;=0),"",AM41/AM124)</f>
        <v/>
      </c>
      <c r="AP41" s="20" t="str">
        <f t="shared" si="5"/>
        <v/>
      </c>
      <c r="AQ41" s="102">
        <f t="shared" si="17"/>
        <v>21.6</v>
      </c>
      <c r="AR41" s="20">
        <f>IF(AND(AQ4=0,AQ41&gt;=0), "",AQ41/AQ4)</f>
        <v>1.3209211590471635E-4</v>
      </c>
      <c r="AS41" s="37">
        <f>IF(AND(AQ124=0,AQ41&gt;=0),"",AQ41/AQ124)</f>
        <v>2.8332937196896607E-4</v>
      </c>
      <c r="AT41" s="103">
        <f t="shared" si="28"/>
        <v>0</v>
      </c>
      <c r="AU41" s="20" t="str">
        <f>IF(AND(AT4=0,AT41&gt;=0), "",AT41/AT4)</f>
        <v/>
      </c>
      <c r="AV41" s="37">
        <f t="shared" si="23"/>
        <v>1</v>
      </c>
      <c r="AW41" s="103">
        <f t="shared" ref="AW41:AW102" si="40">+AQ41/6</f>
        <v>3.6</v>
      </c>
      <c r="AX41" s="20">
        <f>IF(AND(AW4=0,AW41&gt;=0), "",AW41/AW4)</f>
        <v>1.3209211590471635E-4</v>
      </c>
      <c r="AY41" s="37">
        <f>IF(AND(AW124=0,AW41&gt;=0),"",AW41/AW124)</f>
        <v>2.8332937196896602E-4</v>
      </c>
      <c r="AZ41" s="103">
        <f t="shared" si="29"/>
        <v>0</v>
      </c>
      <c r="BA41" s="20" t="str">
        <f>IF(AND(AZ4=0,AZ41&gt;=0), "",AZ41/AZ4)</f>
        <v/>
      </c>
      <c r="BB41" s="37">
        <f t="shared" si="24"/>
        <v>1</v>
      </c>
      <c r="BC41" s="101">
        <f>+'N EERR RODEO'!I40</f>
        <v>0</v>
      </c>
      <c r="BD41" s="20" t="str">
        <f>IF(AND(BC4=0,BC41&gt;=0), "",BC41/BC4)</f>
        <v/>
      </c>
      <c r="BE41" s="37" t="str">
        <f>IF(AND(BC124=0,BC41&gt;=0),"",BC41/BC124)</f>
        <v/>
      </c>
      <c r="BF41" s="20" t="str">
        <f t="shared" si="25"/>
        <v/>
      </c>
      <c r="BG41" s="102">
        <f t="shared" si="30"/>
        <v>21.6</v>
      </c>
      <c r="BH41" s="20">
        <f>IF(AND(BG4=0,BG41&gt;=0), "",BG41/BG4)</f>
        <v>1.3209211590471635E-4</v>
      </c>
      <c r="BI41" s="37">
        <f>IF(AND(BG124=0,BG41&gt;=0),"",BG41/BG124)</f>
        <v>2.8332937196896607E-4</v>
      </c>
      <c r="BJ41" s="101">
        <f>+'N EERR RODEO'!J40</f>
        <v>0</v>
      </c>
      <c r="BK41" s="20" t="str">
        <f>IF(AND(BJ4=0,BJ41&gt;=0), "",BJ41/BJ4)</f>
        <v/>
      </c>
      <c r="BL41" s="37" t="str">
        <f>IF(AND(BJ124=0,BJ41&gt;=0),"",BJ41/BJ124)</f>
        <v/>
      </c>
      <c r="BM41" s="20" t="str">
        <f t="shared" si="9"/>
        <v/>
      </c>
      <c r="BN41" s="102">
        <f t="shared" si="31"/>
        <v>21.6</v>
      </c>
      <c r="BO41" s="20">
        <f>IF(AND(BN4=0,BN41&gt;=0), "",BN41/BN4)</f>
        <v>1.3209211590471635E-4</v>
      </c>
      <c r="BP41" s="37">
        <f>IF(AND(BN124=0,BN41&gt;=0),"",BN41/BN124)</f>
        <v>2.8332937196896607E-4</v>
      </c>
      <c r="BQ41" s="101">
        <f>+'N EERR RODEO'!K40</f>
        <v>0</v>
      </c>
      <c r="BR41" s="20" t="str">
        <f>IF(AND(BQ4=0,BQ41&gt;=0), "",BQ41/BQ4)</f>
        <v/>
      </c>
      <c r="BS41" s="37" t="str">
        <f>IF(AND(BQ124=0,BQ41&gt;=0),"",BQ41/BQ124)</f>
        <v/>
      </c>
      <c r="BT41" s="20" t="str">
        <f t="shared" si="10"/>
        <v/>
      </c>
      <c r="BU41" s="102">
        <f t="shared" si="32"/>
        <v>21.6</v>
      </c>
      <c r="BV41" s="20">
        <f>IF(AND(BU4=0,BU41&gt;=0), "",BU41/BU4)</f>
        <v>1.3209211590471635E-4</v>
      </c>
      <c r="BW41" s="37">
        <f>IF(AND(BU124=0,BU41&gt;=0),"",BU41/BU124)</f>
        <v>2.8332937196896607E-4</v>
      </c>
      <c r="BX41" s="103">
        <f t="shared" si="33"/>
        <v>0</v>
      </c>
      <c r="BY41" s="20" t="str">
        <f>IF(AND(BX4=0,BX41&gt;=0), "",BX41/BX4)</f>
        <v/>
      </c>
      <c r="BZ41" s="37">
        <f t="shared" si="11"/>
        <v>1</v>
      </c>
      <c r="CA41" s="101">
        <f>+'N EERR RODEO'!L40</f>
        <v>0</v>
      </c>
      <c r="CB41" s="20" t="str">
        <f>IF(AND(CA4=0,CA41&gt;=0), "",CA41/CA4)</f>
        <v/>
      </c>
      <c r="CC41" s="37" t="str">
        <f>IF(AND(CA124=0,CA41&gt;=0),"",CA41/CA124)</f>
        <v/>
      </c>
      <c r="CD41" s="20" t="str">
        <f t="shared" si="26"/>
        <v/>
      </c>
      <c r="CE41" s="102">
        <f t="shared" si="34"/>
        <v>21.6</v>
      </c>
      <c r="CF41" s="20">
        <f>IF(AND(CE4=0,CE41&gt;=0), "",CE41/CE4)</f>
        <v>1.3209211590471635E-4</v>
      </c>
      <c r="CG41" s="37">
        <f>IF(AND(CE124=0,CE41&gt;=0),"",CE41/CE124)</f>
        <v>2.8332937196896607E-4</v>
      </c>
      <c r="CH41" s="101">
        <f>+'N EERR RODEO'!M40</f>
        <v>0</v>
      </c>
      <c r="CI41" s="20" t="str">
        <f>IF(AND(CH4=0,CH41&gt;=0), "",CH41/CH4)</f>
        <v/>
      </c>
      <c r="CJ41" s="37" t="str">
        <f>IF(AND(CH124=0,CH41&gt;=0),"",CH41/CH124)</f>
        <v/>
      </c>
      <c r="CK41" s="20" t="str">
        <f t="shared" si="13"/>
        <v/>
      </c>
      <c r="CL41" s="102">
        <f t="shared" si="35"/>
        <v>21.6</v>
      </c>
      <c r="CM41" s="20">
        <f>IF(AND(CL4=0,CL41&gt;=0), "",CL41/CL4)</f>
        <v>1.3209211590471635E-4</v>
      </c>
      <c r="CN41" s="37">
        <f>IF(AND(CL124=0,CL41&gt;=0),"",CL41/CL124)</f>
        <v>2.8332937196896607E-4</v>
      </c>
      <c r="CO41" s="101">
        <f>+'N EERR RODEO'!N40</f>
        <v>0</v>
      </c>
      <c r="CP41" s="20" t="str">
        <f>IF(AND(CO4=0,CO41&gt;=0), "",CO41/CO4)</f>
        <v/>
      </c>
      <c r="CQ41" s="37" t="str">
        <f>IF(AND(CO124=0,CO41&gt;=0),"",CO41/CO124)</f>
        <v/>
      </c>
      <c r="CR41" s="20" t="str">
        <f t="shared" si="14"/>
        <v/>
      </c>
      <c r="CS41" s="102">
        <f t="shared" si="36"/>
        <v>21.6</v>
      </c>
      <c r="CT41" s="20">
        <f>IF(AND(CS4=0,CS41&gt;=0), "",CS41/CS4)</f>
        <v>1.3209211590471635E-4</v>
      </c>
      <c r="CU41" s="37">
        <f>IF(AND(CS124=0,CS41&gt;=0),"",CS41/CS124)</f>
        <v>2.8332937196896607E-4</v>
      </c>
      <c r="CV41" s="103">
        <f t="shared" si="37"/>
        <v>0</v>
      </c>
      <c r="CW41" s="20" t="str">
        <f>IF(AND(CV4=0,CV41&gt;=0), "",CV41/CV4)</f>
        <v/>
      </c>
      <c r="CX41" s="37">
        <f t="shared" si="15"/>
        <v>1</v>
      </c>
    </row>
    <row r="42" spans="1:102" outlineLevel="1" x14ac:dyDescent="0.25">
      <c r="A42" s="19" t="s">
        <v>4</v>
      </c>
      <c r="B42" s="101">
        <f>+'N EERR RODEO'!B41</f>
        <v>0</v>
      </c>
      <c r="C42" s="20" t="str">
        <f>IF(AND(B4=0,B42&gt;=0), "",B42/B4)</f>
        <v/>
      </c>
      <c r="D42" s="37" t="str">
        <f>IF(AND(B124=0,B42&gt;=0),"",B42/B124)</f>
        <v/>
      </c>
      <c r="E42" s="101">
        <f>+'N EERR RODEO'!C41</f>
        <v>1460.74</v>
      </c>
      <c r="F42" s="20">
        <f>IF(AND(E4=0,E42&gt;=0), "",E42/E4)</f>
        <v>3.0474601751652255E-2</v>
      </c>
      <c r="G42" s="37">
        <f>IF(AND(E124=0,E42&gt;=0),"",E42/E124)</f>
        <v>4.7174195481903491E-2</v>
      </c>
      <c r="H42" s="101">
        <f>+'N EERR RODEO'!D41</f>
        <v>1474.99</v>
      </c>
      <c r="I42" s="20">
        <f>IF(AND(H4=0,H42&gt;=0), "",H42/H4)</f>
        <v>2.8650017559180653E-2</v>
      </c>
      <c r="J42" s="37">
        <f>IF(AND(H124=0,H42&gt;=0),"",H42/H124)</f>
        <v>7.6287232947619021E-2</v>
      </c>
      <c r="K42" s="20">
        <f t="shared" si="19"/>
        <v>9.7553294905321965E-3</v>
      </c>
      <c r="L42" s="102">
        <f t="shared" si="38"/>
        <v>2935.73</v>
      </c>
      <c r="M42" s="20">
        <f>IF(AND(L4=0,L42&gt;=0), "",L42/L4)</f>
        <v>2.9529732969730143E-2</v>
      </c>
      <c r="N42" s="37">
        <f>IF(AND(L124=0,L42&gt;=0),"",L42/L124)</f>
        <v>5.8364993687810028E-2</v>
      </c>
      <c r="O42" s="101">
        <f>+'N EERR RODEO'!E41</f>
        <v>1462.32</v>
      </c>
      <c r="P42" s="20">
        <f>IF(AND(O4=0,O42&gt;=0), "",O42/O4)</f>
        <v>2.2810905282454826E-2</v>
      </c>
      <c r="Q42" s="37">
        <f>IF(AND(O124=0,O42&gt;=0),"",O42/O124)</f>
        <v>5.6379993568997942E-2</v>
      </c>
      <c r="R42" s="20">
        <f t="shared" si="20"/>
        <v>-8.5898887450084893E-3</v>
      </c>
      <c r="S42" s="102">
        <f t="shared" si="39"/>
        <v>4398.05</v>
      </c>
      <c r="T42" s="20">
        <f>IF(AND(S4=0,S42&gt;=0), "",S42/S4)</f>
        <v>2.6895728257163781E-2</v>
      </c>
      <c r="U42" s="37">
        <f>IF(AND(S124=0,S42&gt;=0),"",S42/S124)</f>
        <v>5.7689664092042181E-2</v>
      </c>
      <c r="V42" s="103"/>
      <c r="W42" s="20" t="str">
        <f>IF(AND(V4=0,V42&gt;=0), "",V42/V4)</f>
        <v/>
      </c>
      <c r="X42" s="37">
        <f t="shared" si="21"/>
        <v>1</v>
      </c>
      <c r="Y42" s="101">
        <f>+'N EERR RODEO'!F41</f>
        <v>0</v>
      </c>
      <c r="Z42" s="20" t="str">
        <f>IF(AND(Y4=0,Y42&gt;=0), "",Y42/Y4)</f>
        <v/>
      </c>
      <c r="AA42" s="37" t="str">
        <f>IF(AND(Y124=0,Y42&gt;=0),"",Y42/Y124)</f>
        <v/>
      </c>
      <c r="AB42" s="20">
        <f t="shared" si="22"/>
        <v>-1</v>
      </c>
      <c r="AC42" s="102">
        <f t="shared" si="27"/>
        <v>4398.05</v>
      </c>
      <c r="AD42" s="20">
        <f>IF(AND(AC4=0,AC42&gt;=0), "",AC42/AC4)</f>
        <v>2.6895728257163781E-2</v>
      </c>
      <c r="AE42" s="37">
        <f>IF(AND(AC124=0,AC42&gt;=0),"",AC42/AC124)</f>
        <v>5.7689664092042181E-2</v>
      </c>
      <c r="AF42" s="101">
        <f>+'N EERR RODEO'!G41</f>
        <v>0</v>
      </c>
      <c r="AG42" s="20" t="str">
        <f>IF(AND(AF4=0,AF42&gt;=0), "",AF42/AF4)</f>
        <v/>
      </c>
      <c r="AH42" s="37" t="str">
        <f>IF(AND(AF124=0,AF42&gt;=0),"",AF42/AF124)</f>
        <v/>
      </c>
      <c r="AI42" s="20" t="str">
        <f t="shared" si="4"/>
        <v/>
      </c>
      <c r="AJ42" s="102">
        <f t="shared" si="16"/>
        <v>4398.05</v>
      </c>
      <c r="AK42" s="20">
        <f>IF(AND(AJ4=0,AJ42&gt;=0), "",AJ42/AJ4)</f>
        <v>2.6895728257163781E-2</v>
      </c>
      <c r="AL42" s="37">
        <f>IF(AND(AJ124=0,AJ42&gt;=0),"",AJ42/AJ124)</f>
        <v>5.7689664092042181E-2</v>
      </c>
      <c r="AM42" s="101">
        <f>+'N EERR RODEO'!H41</f>
        <v>0</v>
      </c>
      <c r="AN42" s="20" t="str">
        <f>IF(AND(AM4=0,AM42&gt;=0), "",AM42/AM4)</f>
        <v/>
      </c>
      <c r="AO42" s="37" t="str">
        <f>IF(AND(AM124=0,AM42&gt;=0),"",AM42/AM124)</f>
        <v/>
      </c>
      <c r="AP42" s="20" t="str">
        <f t="shared" si="5"/>
        <v/>
      </c>
      <c r="AQ42" s="102">
        <f t="shared" si="17"/>
        <v>4398.05</v>
      </c>
      <c r="AR42" s="20">
        <f>IF(AND(AQ4=0,AQ42&gt;=0), "",AQ42/AQ4)</f>
        <v>2.6895728257163781E-2</v>
      </c>
      <c r="AS42" s="37">
        <f>IF(AND(AQ124=0,AQ42&gt;=0),"",AQ42/AQ124)</f>
        <v>5.7689664092042181E-2</v>
      </c>
      <c r="AT42" s="103">
        <f t="shared" si="28"/>
        <v>0</v>
      </c>
      <c r="AU42" s="20" t="str">
        <f>IF(AND(AT4=0,AT42&gt;=0), "",AT42/AT4)</f>
        <v/>
      </c>
      <c r="AV42" s="37">
        <f t="shared" si="23"/>
        <v>1</v>
      </c>
      <c r="AW42" s="103">
        <f t="shared" si="40"/>
        <v>733.00833333333333</v>
      </c>
      <c r="AX42" s="20">
        <f>IF(AND(AW4=0,AW42&gt;=0), "",AW42/AW4)</f>
        <v>2.6895728257163781E-2</v>
      </c>
      <c r="AY42" s="37">
        <f>IF(AND(AW124=0,AW42&gt;=0),"",AW42/AW124)</f>
        <v>5.7689664092042174E-2</v>
      </c>
      <c r="AZ42" s="103">
        <f t="shared" si="29"/>
        <v>0</v>
      </c>
      <c r="BA42" s="20" t="str">
        <f>IF(AND(AZ4=0,AZ42&gt;=0), "",AZ42/AZ4)</f>
        <v/>
      </c>
      <c r="BB42" s="37">
        <f t="shared" si="24"/>
        <v>1</v>
      </c>
      <c r="BC42" s="101">
        <f>+'N EERR RODEO'!I41</f>
        <v>0</v>
      </c>
      <c r="BD42" s="20" t="str">
        <f>IF(AND(BC4=0,BC42&gt;=0), "",BC42/BC4)</f>
        <v/>
      </c>
      <c r="BE42" s="37" t="str">
        <f>IF(AND(BC124=0,BC42&gt;=0),"",BC42/BC124)</f>
        <v/>
      </c>
      <c r="BF42" s="20" t="str">
        <f t="shared" si="25"/>
        <v/>
      </c>
      <c r="BG42" s="102">
        <f t="shared" si="30"/>
        <v>4398.05</v>
      </c>
      <c r="BH42" s="20">
        <f>IF(AND(BG4=0,BG42&gt;=0), "",BG42/BG4)</f>
        <v>2.6895728257163781E-2</v>
      </c>
      <c r="BI42" s="37">
        <f>IF(AND(BG124=0,BG42&gt;=0),"",BG42/BG124)</f>
        <v>5.7689664092042181E-2</v>
      </c>
      <c r="BJ42" s="101">
        <f>+'N EERR RODEO'!J41</f>
        <v>0</v>
      </c>
      <c r="BK42" s="20" t="str">
        <f>IF(AND(BJ4=0,BJ42&gt;=0), "",BJ42/BJ4)</f>
        <v/>
      </c>
      <c r="BL42" s="37" t="str">
        <f>IF(AND(BJ124=0,BJ42&gt;=0),"",BJ42/BJ124)</f>
        <v/>
      </c>
      <c r="BM42" s="20" t="str">
        <f t="shared" si="9"/>
        <v/>
      </c>
      <c r="BN42" s="102">
        <f t="shared" si="31"/>
        <v>4398.05</v>
      </c>
      <c r="BO42" s="20">
        <f>IF(AND(BN4=0,BN42&gt;=0), "",BN42/BN4)</f>
        <v>2.6895728257163781E-2</v>
      </c>
      <c r="BP42" s="37">
        <f>IF(AND(BN124=0,BN42&gt;=0),"",BN42/BN124)</f>
        <v>5.7689664092042181E-2</v>
      </c>
      <c r="BQ42" s="101">
        <f>+'N EERR RODEO'!K41</f>
        <v>0</v>
      </c>
      <c r="BR42" s="20" t="str">
        <f>IF(AND(BQ4=0,BQ42&gt;=0), "",BQ42/BQ4)</f>
        <v/>
      </c>
      <c r="BS42" s="37" t="str">
        <f>IF(AND(BQ124=0,BQ42&gt;=0),"",BQ42/BQ124)</f>
        <v/>
      </c>
      <c r="BT42" s="20" t="str">
        <f t="shared" si="10"/>
        <v/>
      </c>
      <c r="BU42" s="102">
        <f t="shared" si="32"/>
        <v>4398.05</v>
      </c>
      <c r="BV42" s="20">
        <f>IF(AND(BU4=0,BU42&gt;=0), "",BU42/BU4)</f>
        <v>2.6895728257163781E-2</v>
      </c>
      <c r="BW42" s="37">
        <f>IF(AND(BU124=0,BU42&gt;=0),"",BU42/BU124)</f>
        <v>5.7689664092042181E-2</v>
      </c>
      <c r="BX42" s="103">
        <f t="shared" si="33"/>
        <v>0</v>
      </c>
      <c r="BY42" s="20" t="str">
        <f>IF(AND(BX4=0,BX42&gt;=0), "",BX42/BX4)</f>
        <v/>
      </c>
      <c r="BZ42" s="37">
        <f t="shared" si="11"/>
        <v>1</v>
      </c>
      <c r="CA42" s="101">
        <f>+'N EERR RODEO'!L41</f>
        <v>0</v>
      </c>
      <c r="CB42" s="20" t="str">
        <f>IF(AND(CA4=0,CA42&gt;=0), "",CA42/CA4)</f>
        <v/>
      </c>
      <c r="CC42" s="37" t="str">
        <f>IF(AND(CA124=0,CA42&gt;=0),"",CA42/CA124)</f>
        <v/>
      </c>
      <c r="CD42" s="20" t="str">
        <f t="shared" si="26"/>
        <v/>
      </c>
      <c r="CE42" s="102">
        <f t="shared" si="34"/>
        <v>4398.05</v>
      </c>
      <c r="CF42" s="20">
        <f>IF(AND(CE4=0,CE42&gt;=0), "",CE42/CE4)</f>
        <v>2.6895728257163781E-2</v>
      </c>
      <c r="CG42" s="37">
        <f>IF(AND(CE124=0,CE42&gt;=0),"",CE42/CE124)</f>
        <v>5.7689664092042181E-2</v>
      </c>
      <c r="CH42" s="101">
        <f>+'N EERR RODEO'!M41</f>
        <v>0</v>
      </c>
      <c r="CI42" s="20" t="str">
        <f>IF(AND(CH4=0,CH42&gt;=0), "",CH42/CH4)</f>
        <v/>
      </c>
      <c r="CJ42" s="37" t="str">
        <f>IF(AND(CH124=0,CH42&gt;=0),"",CH42/CH124)</f>
        <v/>
      </c>
      <c r="CK42" s="20" t="str">
        <f t="shared" si="13"/>
        <v/>
      </c>
      <c r="CL42" s="102">
        <f t="shared" si="35"/>
        <v>4398.05</v>
      </c>
      <c r="CM42" s="20">
        <f>IF(AND(CL4=0,CL42&gt;=0), "",CL42/CL4)</f>
        <v>2.6895728257163781E-2</v>
      </c>
      <c r="CN42" s="37">
        <f>IF(AND(CL124=0,CL42&gt;=0),"",CL42/CL124)</f>
        <v>5.7689664092042181E-2</v>
      </c>
      <c r="CO42" s="101">
        <f>+'N EERR RODEO'!N41</f>
        <v>0</v>
      </c>
      <c r="CP42" s="20" t="str">
        <f>IF(AND(CO4=0,CO42&gt;=0), "",CO42/CO4)</f>
        <v/>
      </c>
      <c r="CQ42" s="37" t="str">
        <f>IF(AND(CO124=0,CO42&gt;=0),"",CO42/CO124)</f>
        <v/>
      </c>
      <c r="CR42" s="20" t="str">
        <f t="shared" si="14"/>
        <v/>
      </c>
      <c r="CS42" s="102">
        <f t="shared" si="36"/>
        <v>4398.05</v>
      </c>
      <c r="CT42" s="20">
        <f>IF(AND(CS4=0,CS42&gt;=0), "",CS42/CS4)</f>
        <v>2.6895728257163781E-2</v>
      </c>
      <c r="CU42" s="37">
        <f>IF(AND(CS124=0,CS42&gt;=0),"",CS42/CS124)</f>
        <v>5.7689664092042181E-2</v>
      </c>
      <c r="CV42" s="103">
        <f t="shared" si="37"/>
        <v>0</v>
      </c>
      <c r="CW42" s="20" t="str">
        <f>IF(AND(CV4=0,CV42&gt;=0), "",CV42/CV4)</f>
        <v/>
      </c>
      <c r="CX42" s="37">
        <f t="shared" si="15"/>
        <v>1</v>
      </c>
    </row>
    <row r="43" spans="1:102" outlineLevel="1" x14ac:dyDescent="0.25">
      <c r="A43" s="19" t="s">
        <v>5</v>
      </c>
      <c r="B43" s="101">
        <f>+'N EERR RODEO'!B42</f>
        <v>0</v>
      </c>
      <c r="C43" s="20" t="str">
        <f>IF(AND(B4=0,B43&gt;=0), "",B43/B4)</f>
        <v/>
      </c>
      <c r="D43" s="37" t="str">
        <f>IF(AND(B124=0,B43&gt;=0),"",B43/B124)</f>
        <v/>
      </c>
      <c r="E43" s="101">
        <f>+'N EERR RODEO'!C42</f>
        <v>1879.61</v>
      </c>
      <c r="F43" s="20">
        <f>IF(AND(E4=0,E43&gt;=0), "",E43/E4)</f>
        <v>3.9213252323084938E-2</v>
      </c>
      <c r="G43" s="37">
        <f>IF(AND(E124=0,E43&gt;=0),"",E43/E124)</f>
        <v>6.0701486623040798E-2</v>
      </c>
      <c r="H43" s="101">
        <f>+'N EERR RODEO'!D42</f>
        <v>1956.16</v>
      </c>
      <c r="I43" s="20">
        <f>IF(AND(H4=0,H43&gt;=0), "",H43/H4)</f>
        <v>3.7996202244467307E-2</v>
      </c>
      <c r="J43" s="37">
        <f>IF(AND(H124=0,H43&gt;=0),"",H43/H124)</f>
        <v>0.10117359006014578</v>
      </c>
      <c r="K43" s="20">
        <f t="shared" si="19"/>
        <v>4.0726533695819973E-2</v>
      </c>
      <c r="L43" s="102">
        <f t="shared" si="38"/>
        <v>3835.77</v>
      </c>
      <c r="M43" s="20">
        <f>IF(AND(L4=0,L43&gt;=0), "",L43/L4)</f>
        <v>3.8582997698460617E-2</v>
      </c>
      <c r="N43" s="37">
        <f>IF(AND(L124=0,L43&gt;=0),"",L43/L124)</f>
        <v>7.6258610920585695E-2</v>
      </c>
      <c r="O43" s="101">
        <f>+'N EERR RODEO'!E42</f>
        <v>2149.12</v>
      </c>
      <c r="P43" s="20">
        <f>IF(AND(O4=0,O43&gt;=0), "",O43/O4)</f>
        <v>3.3524380956718988E-2</v>
      </c>
      <c r="Q43" s="37">
        <f>IF(AND(O124=0,O43&gt;=0),"",O43/O124)</f>
        <v>8.2859683091939418E-2</v>
      </c>
      <c r="R43" s="20">
        <f t="shared" si="20"/>
        <v>9.8642237853754186E-2</v>
      </c>
      <c r="S43" s="102">
        <f t="shared" si="39"/>
        <v>5984.8899999999994</v>
      </c>
      <c r="T43" s="20">
        <f>IF(AND(S4=0,S43&gt;=0), "",S43/S4)</f>
        <v>3.6599851090600814E-2</v>
      </c>
      <c r="U43" s="37">
        <f>IF(AND(S124=0,S43&gt;=0),"",S43/S124)</f>
        <v>7.8504403935340042E-2</v>
      </c>
      <c r="V43" s="103"/>
      <c r="W43" s="20" t="str">
        <f>IF(AND(V4=0,V43&gt;=0), "",V43/V4)</f>
        <v/>
      </c>
      <c r="X43" s="37">
        <f t="shared" si="21"/>
        <v>1</v>
      </c>
      <c r="Y43" s="101">
        <f>+'N EERR RODEO'!F42</f>
        <v>0</v>
      </c>
      <c r="Z43" s="20" t="str">
        <f>IF(AND(Y4=0,Y43&gt;=0), "",Y43/Y4)</f>
        <v/>
      </c>
      <c r="AA43" s="37" t="str">
        <f>IF(AND(Y124=0,Y43&gt;=0),"",Y43/Y124)</f>
        <v/>
      </c>
      <c r="AB43" s="20">
        <f t="shared" si="22"/>
        <v>-1</v>
      </c>
      <c r="AC43" s="102">
        <f t="shared" si="27"/>
        <v>5984.8899999999994</v>
      </c>
      <c r="AD43" s="20">
        <f>IF(AND(AC4=0,AC43&gt;=0), "",AC43/AC4)</f>
        <v>3.6599851090600814E-2</v>
      </c>
      <c r="AE43" s="37">
        <f>IF(AND(AC124=0,AC43&gt;=0),"",AC43/AC124)</f>
        <v>7.8504403935340042E-2</v>
      </c>
      <c r="AF43" s="101">
        <f>+'N EERR RODEO'!G42</f>
        <v>0</v>
      </c>
      <c r="AG43" s="20" t="str">
        <f>IF(AND(AF4=0,AF43&gt;=0), "",AF43/AF4)</f>
        <v/>
      </c>
      <c r="AH43" s="37" t="str">
        <f>IF(AND(AF124=0,AF43&gt;=0),"",AF43/AF124)</f>
        <v/>
      </c>
      <c r="AI43" s="20" t="str">
        <f t="shared" si="4"/>
        <v/>
      </c>
      <c r="AJ43" s="102">
        <f t="shared" si="16"/>
        <v>5984.8899999999994</v>
      </c>
      <c r="AK43" s="20">
        <f>IF(AND(AJ4=0,AJ43&gt;=0), "",AJ43/AJ4)</f>
        <v>3.6599851090600814E-2</v>
      </c>
      <c r="AL43" s="37">
        <f>IF(AND(AJ124=0,AJ43&gt;=0),"",AJ43/AJ124)</f>
        <v>7.8504403935340042E-2</v>
      </c>
      <c r="AM43" s="101">
        <f>+'N EERR RODEO'!H42</f>
        <v>0</v>
      </c>
      <c r="AN43" s="20" t="str">
        <f>IF(AND(AM4=0,AM43&gt;=0), "",AM43/AM4)</f>
        <v/>
      </c>
      <c r="AO43" s="37" t="str">
        <f>IF(AND(AM124=0,AM43&gt;=0),"",AM43/AM124)</f>
        <v/>
      </c>
      <c r="AP43" s="20" t="str">
        <f t="shared" si="5"/>
        <v/>
      </c>
      <c r="AQ43" s="102">
        <f t="shared" si="17"/>
        <v>5984.8899999999994</v>
      </c>
      <c r="AR43" s="20">
        <f>IF(AND(AQ4=0,AQ43&gt;=0), "",AQ43/AQ4)</f>
        <v>3.6599851090600814E-2</v>
      </c>
      <c r="AS43" s="37">
        <f>IF(AND(AQ124=0,AQ43&gt;=0),"",AQ43/AQ124)</f>
        <v>7.8504403935340042E-2</v>
      </c>
      <c r="AT43" s="103">
        <f t="shared" si="28"/>
        <v>0</v>
      </c>
      <c r="AU43" s="20" t="str">
        <f>IF(AND(AT4=0,AT43&gt;=0), "",AT43/AT4)</f>
        <v/>
      </c>
      <c r="AV43" s="37">
        <f t="shared" si="23"/>
        <v>1</v>
      </c>
      <c r="AW43" s="103">
        <f t="shared" si="40"/>
        <v>997.48166666666657</v>
      </c>
      <c r="AX43" s="20">
        <f>IF(AND(AW4=0,AW43&gt;=0), "",AW43/AW4)</f>
        <v>3.6599851090600821E-2</v>
      </c>
      <c r="AY43" s="37">
        <f>IF(AND(AW124=0,AW43&gt;=0),"",AW43/AW124)</f>
        <v>7.8504403935340042E-2</v>
      </c>
      <c r="AZ43" s="103">
        <f t="shared" si="29"/>
        <v>0</v>
      </c>
      <c r="BA43" s="20" t="str">
        <f>IF(AND(AZ4=0,AZ43&gt;=0), "",AZ43/AZ4)</f>
        <v/>
      </c>
      <c r="BB43" s="37">
        <f t="shared" si="24"/>
        <v>1</v>
      </c>
      <c r="BC43" s="101">
        <f>+'N EERR RODEO'!I42</f>
        <v>0</v>
      </c>
      <c r="BD43" s="20" t="str">
        <f>IF(AND(BC4=0,BC43&gt;=0), "",BC43/BC4)</f>
        <v/>
      </c>
      <c r="BE43" s="37" t="str">
        <f>IF(AND(BC124=0,BC43&gt;=0),"",BC43/BC124)</f>
        <v/>
      </c>
      <c r="BF43" s="20" t="str">
        <f t="shared" si="25"/>
        <v/>
      </c>
      <c r="BG43" s="102">
        <f t="shared" si="30"/>
        <v>5984.8899999999994</v>
      </c>
      <c r="BH43" s="20">
        <f>IF(AND(BG4=0,BG43&gt;=0), "",BG43/BG4)</f>
        <v>3.6599851090600814E-2</v>
      </c>
      <c r="BI43" s="37">
        <f>IF(AND(BG124=0,BG43&gt;=0),"",BG43/BG124)</f>
        <v>7.8504403935340042E-2</v>
      </c>
      <c r="BJ43" s="101">
        <f>+'N EERR RODEO'!J42</f>
        <v>0</v>
      </c>
      <c r="BK43" s="20" t="str">
        <f>IF(AND(BJ4=0,BJ43&gt;=0), "",BJ43/BJ4)</f>
        <v/>
      </c>
      <c r="BL43" s="37" t="str">
        <f>IF(AND(BJ124=0,BJ43&gt;=0),"",BJ43/BJ124)</f>
        <v/>
      </c>
      <c r="BM43" s="20" t="str">
        <f t="shared" si="9"/>
        <v/>
      </c>
      <c r="BN43" s="102">
        <f t="shared" si="31"/>
        <v>5984.8899999999994</v>
      </c>
      <c r="BO43" s="20">
        <f>IF(AND(BN4=0,BN43&gt;=0), "",BN43/BN4)</f>
        <v>3.6599851090600814E-2</v>
      </c>
      <c r="BP43" s="37">
        <f>IF(AND(BN124=0,BN43&gt;=0),"",BN43/BN124)</f>
        <v>7.8504403935340042E-2</v>
      </c>
      <c r="BQ43" s="101">
        <f>+'N EERR RODEO'!K42</f>
        <v>0</v>
      </c>
      <c r="BR43" s="20" t="str">
        <f>IF(AND(BQ4=0,BQ43&gt;=0), "",BQ43/BQ4)</f>
        <v/>
      </c>
      <c r="BS43" s="37" t="str">
        <f>IF(AND(BQ124=0,BQ43&gt;=0),"",BQ43/BQ124)</f>
        <v/>
      </c>
      <c r="BT43" s="20" t="str">
        <f t="shared" si="10"/>
        <v/>
      </c>
      <c r="BU43" s="102">
        <f t="shared" si="32"/>
        <v>5984.8899999999994</v>
      </c>
      <c r="BV43" s="20">
        <f>IF(AND(BU4=0,BU43&gt;=0), "",BU43/BU4)</f>
        <v>3.6599851090600814E-2</v>
      </c>
      <c r="BW43" s="37">
        <f>IF(AND(BU124=0,BU43&gt;=0),"",BU43/BU124)</f>
        <v>7.8504403935340042E-2</v>
      </c>
      <c r="BX43" s="103">
        <f t="shared" si="33"/>
        <v>0</v>
      </c>
      <c r="BY43" s="20" t="str">
        <f>IF(AND(BX4=0,BX43&gt;=0), "",BX43/BX4)</f>
        <v/>
      </c>
      <c r="BZ43" s="37">
        <f t="shared" si="11"/>
        <v>1</v>
      </c>
      <c r="CA43" s="101">
        <f>+'N EERR RODEO'!L42</f>
        <v>0</v>
      </c>
      <c r="CB43" s="20" t="str">
        <f>IF(AND(CA4=0,CA43&gt;=0), "",CA43/CA4)</f>
        <v/>
      </c>
      <c r="CC43" s="37" t="str">
        <f>IF(AND(CA124=0,CA43&gt;=0),"",CA43/CA124)</f>
        <v/>
      </c>
      <c r="CD43" s="20" t="str">
        <f t="shared" si="26"/>
        <v/>
      </c>
      <c r="CE43" s="102">
        <f t="shared" si="34"/>
        <v>5984.8899999999994</v>
      </c>
      <c r="CF43" s="20">
        <f>IF(AND(CE4=0,CE43&gt;=0), "",CE43/CE4)</f>
        <v>3.6599851090600814E-2</v>
      </c>
      <c r="CG43" s="37">
        <f>IF(AND(CE124=0,CE43&gt;=0),"",CE43/CE124)</f>
        <v>7.8504403935340042E-2</v>
      </c>
      <c r="CH43" s="101">
        <f>+'N EERR RODEO'!M42</f>
        <v>0</v>
      </c>
      <c r="CI43" s="20" t="str">
        <f>IF(AND(CH4=0,CH43&gt;=0), "",CH43/CH4)</f>
        <v/>
      </c>
      <c r="CJ43" s="37" t="str">
        <f>IF(AND(CH124=0,CH43&gt;=0),"",CH43/CH124)</f>
        <v/>
      </c>
      <c r="CK43" s="20" t="str">
        <f t="shared" si="13"/>
        <v/>
      </c>
      <c r="CL43" s="102">
        <f t="shared" si="35"/>
        <v>5984.8899999999994</v>
      </c>
      <c r="CM43" s="20">
        <f>IF(AND(CL4=0,CL43&gt;=0), "",CL43/CL4)</f>
        <v>3.6599851090600814E-2</v>
      </c>
      <c r="CN43" s="37">
        <f>IF(AND(CL124=0,CL43&gt;=0),"",CL43/CL124)</f>
        <v>7.8504403935340042E-2</v>
      </c>
      <c r="CO43" s="101">
        <f>+'N EERR RODEO'!N42</f>
        <v>0</v>
      </c>
      <c r="CP43" s="20" t="str">
        <f>IF(AND(CO4=0,CO43&gt;=0), "",CO43/CO4)</f>
        <v/>
      </c>
      <c r="CQ43" s="37" t="str">
        <f>IF(AND(CO124=0,CO43&gt;=0),"",CO43/CO124)</f>
        <v/>
      </c>
      <c r="CR43" s="20" t="str">
        <f t="shared" si="14"/>
        <v/>
      </c>
      <c r="CS43" s="102">
        <f t="shared" si="36"/>
        <v>5984.8899999999994</v>
      </c>
      <c r="CT43" s="20">
        <f>IF(AND(CS4=0,CS43&gt;=0), "",CS43/CS4)</f>
        <v>3.6599851090600814E-2</v>
      </c>
      <c r="CU43" s="37">
        <f>IF(AND(CS124=0,CS43&gt;=0),"",CS43/CS124)</f>
        <v>7.8504403935340042E-2</v>
      </c>
      <c r="CV43" s="103">
        <f t="shared" si="37"/>
        <v>0</v>
      </c>
      <c r="CW43" s="20" t="str">
        <f>IF(AND(CV4=0,CV43&gt;=0), "",CV43/CV4)</f>
        <v/>
      </c>
      <c r="CX43" s="37">
        <f t="shared" si="15"/>
        <v>1</v>
      </c>
    </row>
    <row r="44" spans="1:102" outlineLevel="1" x14ac:dyDescent="0.25">
      <c r="A44" s="19" t="s">
        <v>6</v>
      </c>
      <c r="B44" s="101">
        <f>+'N EERR RODEO'!B43</f>
        <v>0</v>
      </c>
      <c r="C44" s="20" t="str">
        <f>IF(AND(B4=0,B44&gt;=0), "",B44/B4)</f>
        <v/>
      </c>
      <c r="D44" s="37" t="str">
        <f>IF(AND(B124=0,B44&gt;=0),"",B44/B124)</f>
        <v/>
      </c>
      <c r="E44" s="101">
        <f>+'N EERR RODEO'!C43</f>
        <v>965.72</v>
      </c>
      <c r="F44" s="20">
        <f>IF(AND(E4=0,E44&gt;=0), "",E44/E4)</f>
        <v>2.0147276314474591E-2</v>
      </c>
      <c r="G44" s="37">
        <f>IF(AND(E124=0,E44&gt;=0),"",E44/E124)</f>
        <v>3.1187661090121339E-2</v>
      </c>
      <c r="H44" s="101">
        <f>+'N EERR RODEO'!D43</f>
        <v>1362.08</v>
      </c>
      <c r="I44" s="20">
        <f>IF(AND(H4=0,H44&gt;=0), "",H44/H4)</f>
        <v>2.6456868125891556E-2</v>
      </c>
      <c r="J44" s="37">
        <f>IF(AND(H124=0,H44&gt;=0),"",H44/H124)</f>
        <v>7.0447470324065189E-2</v>
      </c>
      <c r="K44" s="20">
        <f t="shared" si="19"/>
        <v>0.41042952408565619</v>
      </c>
      <c r="L44" s="102">
        <f t="shared" si="38"/>
        <v>2327.8000000000002</v>
      </c>
      <c r="M44" s="20">
        <f>IF(AND(L4=0,L44&gt;=0), "",L44/L4)</f>
        <v>2.3414725607238347E-2</v>
      </c>
      <c r="N44" s="37">
        <f>IF(AND(L124=0,L44&gt;=0),"",L44/L124)</f>
        <v>4.6278790047614801E-2</v>
      </c>
      <c r="O44" s="101">
        <f>+'N EERR RODEO'!E43</f>
        <v>1434.12</v>
      </c>
      <c r="P44" s="20">
        <f>IF(AND(O4=0,O44&gt;=0), "",O44/O4)</f>
        <v>2.2371010096062498E-2</v>
      </c>
      <c r="Q44" s="37">
        <f>IF(AND(O124=0,O44&gt;=0),"",O44/O124)</f>
        <v>5.5292737825627304E-2</v>
      </c>
      <c r="R44" s="20">
        <f t="shared" si="20"/>
        <v>5.2889698108774794E-2</v>
      </c>
      <c r="S44" s="102">
        <f t="shared" si="39"/>
        <v>3761.92</v>
      </c>
      <c r="T44" s="20">
        <f>IF(AND(S4=0,S44&gt;=0), "",S44/S4)</f>
        <v>2.3005554290012522E-2</v>
      </c>
      <c r="U44" s="37">
        <f>IF(AND(S124=0,S44&gt;=0),"",S44/S124)</f>
        <v>4.9345482916550588E-2</v>
      </c>
      <c r="V44" s="103"/>
      <c r="W44" s="20" t="str">
        <f>IF(AND(V4=0,V44&gt;=0), "",V44/V4)</f>
        <v/>
      </c>
      <c r="X44" s="37">
        <f t="shared" si="21"/>
        <v>1</v>
      </c>
      <c r="Y44" s="101">
        <f>+'N EERR RODEO'!F43</f>
        <v>0</v>
      </c>
      <c r="Z44" s="20" t="str">
        <f>IF(AND(Y4=0,Y44&gt;=0), "",Y44/Y4)</f>
        <v/>
      </c>
      <c r="AA44" s="37" t="str">
        <f>IF(AND(Y124=0,Y44&gt;=0),"",Y44/Y124)</f>
        <v/>
      </c>
      <c r="AB44" s="20">
        <f t="shared" si="22"/>
        <v>-1</v>
      </c>
      <c r="AC44" s="102">
        <f t="shared" si="27"/>
        <v>3761.92</v>
      </c>
      <c r="AD44" s="20">
        <f>IF(AND(AC4=0,AC44&gt;=0), "",AC44/AC4)</f>
        <v>2.3005554290012522E-2</v>
      </c>
      <c r="AE44" s="37">
        <f>IF(AND(AC124=0,AC44&gt;=0),"",AC44/AC124)</f>
        <v>4.9345482916550588E-2</v>
      </c>
      <c r="AF44" s="101">
        <f>+'N EERR RODEO'!G43</f>
        <v>0</v>
      </c>
      <c r="AG44" s="20" t="str">
        <f>IF(AND(AF4=0,AF44&gt;=0), "",AF44/AF4)</f>
        <v/>
      </c>
      <c r="AH44" s="37" t="str">
        <f>IF(AND(AF124=0,AF44&gt;=0),"",AF44/AF124)</f>
        <v/>
      </c>
      <c r="AI44" s="20" t="str">
        <f t="shared" si="4"/>
        <v/>
      </c>
      <c r="AJ44" s="102">
        <f t="shared" si="16"/>
        <v>3761.92</v>
      </c>
      <c r="AK44" s="20">
        <f>IF(AND(AJ4=0,AJ44&gt;=0), "",AJ44/AJ4)</f>
        <v>2.3005554290012522E-2</v>
      </c>
      <c r="AL44" s="37">
        <f>IF(AND(AJ124=0,AJ44&gt;=0),"",AJ44/AJ124)</f>
        <v>4.9345482916550588E-2</v>
      </c>
      <c r="AM44" s="101">
        <f>+'N EERR RODEO'!H43</f>
        <v>0</v>
      </c>
      <c r="AN44" s="20" t="str">
        <f>IF(AND(AM4=0,AM44&gt;=0), "",AM44/AM4)</f>
        <v/>
      </c>
      <c r="AO44" s="37" t="str">
        <f>IF(AND(AM124=0,AM44&gt;=0),"",AM44/AM124)</f>
        <v/>
      </c>
      <c r="AP44" s="20" t="str">
        <f t="shared" si="5"/>
        <v/>
      </c>
      <c r="AQ44" s="102">
        <f t="shared" si="17"/>
        <v>3761.92</v>
      </c>
      <c r="AR44" s="20">
        <f>IF(AND(AQ4=0,AQ44&gt;=0), "",AQ44/AQ4)</f>
        <v>2.3005554290012522E-2</v>
      </c>
      <c r="AS44" s="37">
        <f>IF(AND(AQ124=0,AQ44&gt;=0),"",AQ44/AQ124)</f>
        <v>4.9345482916550588E-2</v>
      </c>
      <c r="AT44" s="103">
        <f t="shared" si="28"/>
        <v>0</v>
      </c>
      <c r="AU44" s="20" t="str">
        <f>IF(AND(AT4=0,AT44&gt;=0), "",AT44/AT4)</f>
        <v/>
      </c>
      <c r="AV44" s="37">
        <f t="shared" si="23"/>
        <v>1</v>
      </c>
      <c r="AW44" s="103">
        <f t="shared" si="40"/>
        <v>626.98666666666668</v>
      </c>
      <c r="AX44" s="20">
        <f>IF(AND(AW4=0,AW44&gt;=0), "",AW44/AW4)</f>
        <v>2.3005554290012522E-2</v>
      </c>
      <c r="AY44" s="37">
        <f>IF(AND(AW124=0,AW44&gt;=0),"",AW44/AW124)</f>
        <v>4.9345482916550581E-2</v>
      </c>
      <c r="AZ44" s="103">
        <f t="shared" si="29"/>
        <v>0</v>
      </c>
      <c r="BA44" s="20" t="str">
        <f>IF(AND(AZ4=0,AZ44&gt;=0), "",AZ44/AZ4)</f>
        <v/>
      </c>
      <c r="BB44" s="37">
        <f t="shared" si="24"/>
        <v>1</v>
      </c>
      <c r="BC44" s="101">
        <f>+'N EERR RODEO'!I43</f>
        <v>0</v>
      </c>
      <c r="BD44" s="20" t="str">
        <f>IF(AND(BC4=0,BC44&gt;=0), "",BC44/BC4)</f>
        <v/>
      </c>
      <c r="BE44" s="37" t="str">
        <f>IF(AND(BC124=0,BC44&gt;=0),"",BC44/BC124)</f>
        <v/>
      </c>
      <c r="BF44" s="20" t="str">
        <f t="shared" si="25"/>
        <v/>
      </c>
      <c r="BG44" s="102">
        <f t="shared" si="30"/>
        <v>3761.92</v>
      </c>
      <c r="BH44" s="20">
        <f>IF(AND(BG4=0,BG44&gt;=0), "",BG44/BG4)</f>
        <v>2.3005554290012522E-2</v>
      </c>
      <c r="BI44" s="37">
        <f>IF(AND(BG124=0,BG44&gt;=0),"",BG44/BG124)</f>
        <v>4.9345482916550588E-2</v>
      </c>
      <c r="BJ44" s="101">
        <f>+'N EERR RODEO'!J43</f>
        <v>0</v>
      </c>
      <c r="BK44" s="20" t="str">
        <f>IF(AND(BJ4=0,BJ44&gt;=0), "",BJ44/BJ4)</f>
        <v/>
      </c>
      <c r="BL44" s="37" t="str">
        <f>IF(AND(BJ124=0,BJ44&gt;=0),"",BJ44/BJ124)</f>
        <v/>
      </c>
      <c r="BM44" s="20" t="str">
        <f t="shared" si="9"/>
        <v/>
      </c>
      <c r="BN44" s="102">
        <f t="shared" si="31"/>
        <v>3761.92</v>
      </c>
      <c r="BO44" s="20">
        <f>IF(AND(BN4=0,BN44&gt;=0), "",BN44/BN4)</f>
        <v>2.3005554290012522E-2</v>
      </c>
      <c r="BP44" s="37">
        <f>IF(AND(BN124=0,BN44&gt;=0),"",BN44/BN124)</f>
        <v>4.9345482916550588E-2</v>
      </c>
      <c r="BQ44" s="101">
        <f>+'N EERR RODEO'!K43</f>
        <v>0</v>
      </c>
      <c r="BR44" s="20" t="str">
        <f>IF(AND(BQ4=0,BQ44&gt;=0), "",BQ44/BQ4)</f>
        <v/>
      </c>
      <c r="BS44" s="37" t="str">
        <f>IF(AND(BQ124=0,BQ44&gt;=0),"",BQ44/BQ124)</f>
        <v/>
      </c>
      <c r="BT44" s="20" t="str">
        <f t="shared" si="10"/>
        <v/>
      </c>
      <c r="BU44" s="102">
        <f t="shared" si="32"/>
        <v>3761.92</v>
      </c>
      <c r="BV44" s="20">
        <f>IF(AND(BU4=0,BU44&gt;=0), "",BU44/BU4)</f>
        <v>2.3005554290012522E-2</v>
      </c>
      <c r="BW44" s="37">
        <f>IF(AND(BU124=0,BU44&gt;=0),"",BU44/BU124)</f>
        <v>4.9345482916550588E-2</v>
      </c>
      <c r="BX44" s="103">
        <f t="shared" si="33"/>
        <v>0</v>
      </c>
      <c r="BY44" s="20" t="str">
        <f>IF(AND(BX4=0,BX44&gt;=0), "",BX44/BX4)</f>
        <v/>
      </c>
      <c r="BZ44" s="37">
        <f t="shared" si="11"/>
        <v>1</v>
      </c>
      <c r="CA44" s="101">
        <f>+'N EERR RODEO'!L43</f>
        <v>0</v>
      </c>
      <c r="CB44" s="20" t="str">
        <f>IF(AND(CA4=0,CA44&gt;=0), "",CA44/CA4)</f>
        <v/>
      </c>
      <c r="CC44" s="37" t="str">
        <f>IF(AND(CA124=0,CA44&gt;=0),"",CA44/CA124)</f>
        <v/>
      </c>
      <c r="CD44" s="20" t="str">
        <f t="shared" si="26"/>
        <v/>
      </c>
      <c r="CE44" s="102">
        <f t="shared" si="34"/>
        <v>3761.92</v>
      </c>
      <c r="CF44" s="20">
        <f>IF(AND(CE4=0,CE44&gt;=0), "",CE44/CE4)</f>
        <v>2.3005554290012522E-2</v>
      </c>
      <c r="CG44" s="37">
        <f>IF(AND(CE124=0,CE44&gt;=0),"",CE44/CE124)</f>
        <v>4.9345482916550588E-2</v>
      </c>
      <c r="CH44" s="101">
        <f>+'N EERR RODEO'!M43</f>
        <v>0</v>
      </c>
      <c r="CI44" s="20" t="str">
        <f>IF(AND(CH4=0,CH44&gt;=0), "",CH44/CH4)</f>
        <v/>
      </c>
      <c r="CJ44" s="37" t="str">
        <f>IF(AND(CH124=0,CH44&gt;=0),"",CH44/CH124)</f>
        <v/>
      </c>
      <c r="CK44" s="20" t="str">
        <f t="shared" si="13"/>
        <v/>
      </c>
      <c r="CL44" s="102">
        <f t="shared" si="35"/>
        <v>3761.92</v>
      </c>
      <c r="CM44" s="20">
        <f>IF(AND(CL4=0,CL44&gt;=0), "",CL44/CL4)</f>
        <v>2.3005554290012522E-2</v>
      </c>
      <c r="CN44" s="37">
        <f>IF(AND(CL124=0,CL44&gt;=0),"",CL44/CL124)</f>
        <v>4.9345482916550588E-2</v>
      </c>
      <c r="CO44" s="101">
        <f>+'N EERR RODEO'!N43</f>
        <v>0</v>
      </c>
      <c r="CP44" s="20" t="str">
        <f>IF(AND(CO4=0,CO44&gt;=0), "",CO44/CO4)</f>
        <v/>
      </c>
      <c r="CQ44" s="37" t="str">
        <f>IF(AND(CO124=0,CO44&gt;=0),"",CO44/CO124)</f>
        <v/>
      </c>
      <c r="CR44" s="20" t="str">
        <f t="shared" si="14"/>
        <v/>
      </c>
      <c r="CS44" s="102">
        <f t="shared" si="36"/>
        <v>3761.92</v>
      </c>
      <c r="CT44" s="20">
        <f>IF(AND(CS4=0,CS44&gt;=0), "",CS44/CS4)</f>
        <v>2.3005554290012522E-2</v>
      </c>
      <c r="CU44" s="37">
        <f>IF(AND(CS124=0,CS44&gt;=0),"",CS44/CS124)</f>
        <v>4.9345482916550588E-2</v>
      </c>
      <c r="CV44" s="103">
        <f t="shared" si="37"/>
        <v>0</v>
      </c>
      <c r="CW44" s="20" t="str">
        <f>IF(AND(CV4=0,CV44&gt;=0), "",CV44/CV4)</f>
        <v/>
      </c>
      <c r="CX44" s="37">
        <f t="shared" si="15"/>
        <v>1</v>
      </c>
    </row>
    <row r="45" spans="1:102" outlineLevel="1" x14ac:dyDescent="0.25">
      <c r="A45" s="19" t="s">
        <v>7</v>
      </c>
      <c r="B45" s="101">
        <f>+'N EERR RODEO'!B44</f>
        <v>0</v>
      </c>
      <c r="C45" s="20" t="str">
        <f>IF(AND(B4=0,B45&gt;=0), "",B45/B4)</f>
        <v/>
      </c>
      <c r="D45" s="37" t="str">
        <f>IF(AND(B124=0,B45&gt;=0),"",B45/B124)</f>
        <v/>
      </c>
      <c r="E45" s="101">
        <f>+'N EERR RODEO'!C44</f>
        <v>122</v>
      </c>
      <c r="F45" s="20">
        <f>IF(AND(E4=0,E45&gt;=0), "",E45/E4)</f>
        <v>2.5452177757174961E-3</v>
      </c>
      <c r="G45" s="37">
        <f>IF(AND(E124=0,E45&gt;=0),"",E45/E124)</f>
        <v>3.9399563569096664E-3</v>
      </c>
      <c r="H45" s="101">
        <f>+'N EERR RODEO'!D44</f>
        <v>119.11</v>
      </c>
      <c r="I45" s="20">
        <f>IF(AND(H4=0,H45&gt;=0), "",H45/H4)</f>
        <v>2.3135774422023254E-3</v>
      </c>
      <c r="J45" s="37">
        <f>IF(AND(H124=0,H45&gt;=0),"",H45/H124)</f>
        <v>6.1604297767380812E-3</v>
      </c>
      <c r="K45" s="20">
        <f t="shared" si="19"/>
        <v>-2.3688524590163938E-2</v>
      </c>
      <c r="L45" s="102">
        <f t="shared" si="38"/>
        <v>241.11</v>
      </c>
      <c r="M45" s="20">
        <f>IF(AND(L4=0,L45&gt;=0), "",L45/L4)</f>
        <v>2.425261831412165E-3</v>
      </c>
      <c r="N45" s="37">
        <f>IF(AND(L124=0,L45&gt;=0),"",L45/L124)</f>
        <v>4.7934870127933687E-3</v>
      </c>
      <c r="O45" s="101">
        <f>+'N EERR RODEO'!E44</f>
        <v>122</v>
      </c>
      <c r="P45" s="20">
        <f>IF(AND(O4=0,O45&gt;=0), "",O45/O4)</f>
        <v>1.9030926503497791E-3</v>
      </c>
      <c r="Q45" s="37">
        <f>IF(AND(O124=0,O45&gt;=0),"",O45/O124)</f>
        <v>4.703730520965144E-3</v>
      </c>
      <c r="R45" s="20">
        <f t="shared" si="20"/>
        <v>2.4263286038116033E-2</v>
      </c>
      <c r="S45" s="102">
        <f t="shared" si="39"/>
        <v>363.11</v>
      </c>
      <c r="T45" s="20">
        <f>IF(AND(S4=0,S45&gt;=0), "",S45/S4)</f>
        <v>2.2205540836185904E-3</v>
      </c>
      <c r="U45" s="37">
        <f>IF(AND(S124=0,S45&gt;=0),"",S45/S124)</f>
        <v>4.7629503822060769E-3</v>
      </c>
      <c r="V45" s="103"/>
      <c r="W45" s="20" t="str">
        <f>IF(AND(V4=0,V45&gt;=0), "",V45/V4)</f>
        <v/>
      </c>
      <c r="X45" s="37">
        <f t="shared" si="21"/>
        <v>1</v>
      </c>
      <c r="Y45" s="101">
        <f>+'N EERR RODEO'!F44</f>
        <v>0</v>
      </c>
      <c r="Z45" s="20" t="str">
        <f>IF(AND(Y4=0,Y45&gt;=0), "",Y45/Y4)</f>
        <v/>
      </c>
      <c r="AA45" s="37" t="str">
        <f>IF(AND(Y124=0,Y45&gt;=0),"",Y45/Y124)</f>
        <v/>
      </c>
      <c r="AB45" s="20">
        <f t="shared" si="22"/>
        <v>-1</v>
      </c>
      <c r="AC45" s="102">
        <f t="shared" si="27"/>
        <v>363.11</v>
      </c>
      <c r="AD45" s="20">
        <f>IF(AND(AC4=0,AC45&gt;=0), "",AC45/AC4)</f>
        <v>2.2205540836185904E-3</v>
      </c>
      <c r="AE45" s="37">
        <f>IF(AND(AC124=0,AC45&gt;=0),"",AC45/AC124)</f>
        <v>4.7629503822060769E-3</v>
      </c>
      <c r="AF45" s="101">
        <f>+'N EERR RODEO'!G44</f>
        <v>0</v>
      </c>
      <c r="AG45" s="20" t="str">
        <f>IF(AND(AF4=0,AF45&gt;=0), "",AF45/AF4)</f>
        <v/>
      </c>
      <c r="AH45" s="37" t="str">
        <f>IF(AND(AF124=0,AF45&gt;=0),"",AF45/AF124)</f>
        <v/>
      </c>
      <c r="AI45" s="20" t="str">
        <f t="shared" si="4"/>
        <v/>
      </c>
      <c r="AJ45" s="102">
        <f t="shared" si="16"/>
        <v>363.11</v>
      </c>
      <c r="AK45" s="20">
        <f>IF(AND(AJ4=0,AJ45&gt;=0), "",AJ45/AJ4)</f>
        <v>2.2205540836185904E-3</v>
      </c>
      <c r="AL45" s="37">
        <f>IF(AND(AJ124=0,AJ45&gt;=0),"",AJ45/AJ124)</f>
        <v>4.7629503822060769E-3</v>
      </c>
      <c r="AM45" s="101">
        <f>+'N EERR RODEO'!H44</f>
        <v>0</v>
      </c>
      <c r="AN45" s="20" t="str">
        <f>IF(AND(AM4=0,AM45&gt;=0), "",AM45/AM4)</f>
        <v/>
      </c>
      <c r="AO45" s="37" t="str">
        <f>IF(AND(AM124=0,AM45&gt;=0),"",AM45/AM124)</f>
        <v/>
      </c>
      <c r="AP45" s="20" t="str">
        <f t="shared" si="5"/>
        <v/>
      </c>
      <c r="AQ45" s="102">
        <f t="shared" si="17"/>
        <v>363.11</v>
      </c>
      <c r="AR45" s="20">
        <f>IF(AND(AQ4=0,AQ45&gt;=0), "",AQ45/AQ4)</f>
        <v>2.2205540836185904E-3</v>
      </c>
      <c r="AS45" s="37">
        <f>IF(AND(AQ124=0,AQ45&gt;=0),"",AQ45/AQ124)</f>
        <v>4.7629503822060769E-3</v>
      </c>
      <c r="AT45" s="103">
        <f t="shared" si="28"/>
        <v>0</v>
      </c>
      <c r="AU45" s="20" t="str">
        <f>IF(AND(AT4=0,AT45&gt;=0), "",AT45/AT4)</f>
        <v/>
      </c>
      <c r="AV45" s="37">
        <f t="shared" si="23"/>
        <v>1</v>
      </c>
      <c r="AW45" s="103">
        <f t="shared" si="40"/>
        <v>60.518333333333338</v>
      </c>
      <c r="AX45" s="20">
        <f>IF(AND(AW4=0,AW45&gt;=0), "",AW45/AW4)</f>
        <v>2.2205540836185904E-3</v>
      </c>
      <c r="AY45" s="37">
        <f>IF(AND(AW124=0,AW45&gt;=0),"",AW45/AW124)</f>
        <v>4.7629503822060769E-3</v>
      </c>
      <c r="AZ45" s="103">
        <f t="shared" si="29"/>
        <v>0</v>
      </c>
      <c r="BA45" s="20" t="str">
        <f>IF(AND(AZ4=0,AZ45&gt;=0), "",AZ45/AZ4)</f>
        <v/>
      </c>
      <c r="BB45" s="37">
        <f t="shared" si="24"/>
        <v>1</v>
      </c>
      <c r="BC45" s="101">
        <f>+'N EERR RODEO'!I44</f>
        <v>0</v>
      </c>
      <c r="BD45" s="20" t="str">
        <f>IF(AND(BC4=0,BC45&gt;=0), "",BC45/BC4)</f>
        <v/>
      </c>
      <c r="BE45" s="37" t="str">
        <f>IF(AND(BC124=0,BC45&gt;=0),"",BC45/BC124)</f>
        <v/>
      </c>
      <c r="BF45" s="20" t="str">
        <f t="shared" si="25"/>
        <v/>
      </c>
      <c r="BG45" s="102">
        <f t="shared" si="30"/>
        <v>363.11</v>
      </c>
      <c r="BH45" s="20">
        <f>IF(AND(BG4=0,BG45&gt;=0), "",BG45/BG4)</f>
        <v>2.2205540836185904E-3</v>
      </c>
      <c r="BI45" s="37">
        <f>IF(AND(BG124=0,BG45&gt;=0),"",BG45/BG124)</f>
        <v>4.7629503822060769E-3</v>
      </c>
      <c r="BJ45" s="101">
        <f>+'N EERR RODEO'!J44</f>
        <v>0</v>
      </c>
      <c r="BK45" s="20" t="str">
        <f>IF(AND(BJ4=0,BJ45&gt;=0), "",BJ45/BJ4)</f>
        <v/>
      </c>
      <c r="BL45" s="37" t="str">
        <f>IF(AND(BJ124=0,BJ45&gt;=0),"",BJ45/BJ124)</f>
        <v/>
      </c>
      <c r="BM45" s="20" t="str">
        <f t="shared" si="9"/>
        <v/>
      </c>
      <c r="BN45" s="102">
        <f t="shared" si="31"/>
        <v>363.11</v>
      </c>
      <c r="BO45" s="20">
        <f>IF(AND(BN4=0,BN45&gt;=0), "",BN45/BN4)</f>
        <v>2.2205540836185904E-3</v>
      </c>
      <c r="BP45" s="37">
        <f>IF(AND(BN124=0,BN45&gt;=0),"",BN45/BN124)</f>
        <v>4.7629503822060769E-3</v>
      </c>
      <c r="BQ45" s="101">
        <f>+'N EERR RODEO'!K44</f>
        <v>0</v>
      </c>
      <c r="BR45" s="20" t="str">
        <f>IF(AND(BQ4=0,BQ45&gt;=0), "",BQ45/BQ4)</f>
        <v/>
      </c>
      <c r="BS45" s="37" t="str">
        <f>IF(AND(BQ124=0,BQ45&gt;=0),"",BQ45/BQ124)</f>
        <v/>
      </c>
      <c r="BT45" s="20" t="str">
        <f t="shared" si="10"/>
        <v/>
      </c>
      <c r="BU45" s="102">
        <f t="shared" si="32"/>
        <v>363.11</v>
      </c>
      <c r="BV45" s="20">
        <f>IF(AND(BU4=0,BU45&gt;=0), "",BU45/BU4)</f>
        <v>2.2205540836185904E-3</v>
      </c>
      <c r="BW45" s="37">
        <f>IF(AND(BU124=0,BU45&gt;=0),"",BU45/BU124)</f>
        <v>4.7629503822060769E-3</v>
      </c>
      <c r="BX45" s="103">
        <f t="shared" si="33"/>
        <v>0</v>
      </c>
      <c r="BY45" s="20" t="str">
        <f>IF(AND(BX4=0,BX45&gt;=0), "",BX45/BX4)</f>
        <v/>
      </c>
      <c r="BZ45" s="37">
        <f t="shared" si="11"/>
        <v>1</v>
      </c>
      <c r="CA45" s="101">
        <f>+'N EERR RODEO'!L44</f>
        <v>0</v>
      </c>
      <c r="CB45" s="20" t="str">
        <f>IF(AND(CA4=0,CA45&gt;=0), "",CA45/CA4)</f>
        <v/>
      </c>
      <c r="CC45" s="37" t="str">
        <f>IF(AND(CA124=0,CA45&gt;=0),"",CA45/CA124)</f>
        <v/>
      </c>
      <c r="CD45" s="20" t="str">
        <f t="shared" si="26"/>
        <v/>
      </c>
      <c r="CE45" s="102">
        <f t="shared" si="34"/>
        <v>363.11</v>
      </c>
      <c r="CF45" s="20">
        <f>IF(AND(CE4=0,CE45&gt;=0), "",CE45/CE4)</f>
        <v>2.2205540836185904E-3</v>
      </c>
      <c r="CG45" s="37">
        <f>IF(AND(CE124=0,CE45&gt;=0),"",CE45/CE124)</f>
        <v>4.7629503822060769E-3</v>
      </c>
      <c r="CH45" s="101">
        <f>+'N EERR RODEO'!M44</f>
        <v>0</v>
      </c>
      <c r="CI45" s="20" t="str">
        <f>IF(AND(CH4=0,CH45&gt;=0), "",CH45/CH4)</f>
        <v/>
      </c>
      <c r="CJ45" s="37" t="str">
        <f>IF(AND(CH124=0,CH45&gt;=0),"",CH45/CH124)</f>
        <v/>
      </c>
      <c r="CK45" s="20" t="str">
        <f t="shared" si="13"/>
        <v/>
      </c>
      <c r="CL45" s="102">
        <f t="shared" si="35"/>
        <v>363.11</v>
      </c>
      <c r="CM45" s="20">
        <f>IF(AND(CL4=0,CL45&gt;=0), "",CL45/CL4)</f>
        <v>2.2205540836185904E-3</v>
      </c>
      <c r="CN45" s="37">
        <f>IF(AND(CL124=0,CL45&gt;=0),"",CL45/CL124)</f>
        <v>4.7629503822060769E-3</v>
      </c>
      <c r="CO45" s="101">
        <f>+'N EERR RODEO'!N44</f>
        <v>0</v>
      </c>
      <c r="CP45" s="20" t="str">
        <f>IF(AND(CO4=0,CO45&gt;=0), "",CO45/CO4)</f>
        <v/>
      </c>
      <c r="CQ45" s="37" t="str">
        <f>IF(AND(CO124=0,CO45&gt;=0),"",CO45/CO124)</f>
        <v/>
      </c>
      <c r="CR45" s="20" t="str">
        <f t="shared" si="14"/>
        <v/>
      </c>
      <c r="CS45" s="102">
        <f t="shared" si="36"/>
        <v>363.11</v>
      </c>
      <c r="CT45" s="20">
        <f>IF(AND(CS4=0,CS45&gt;=0), "",CS45/CS4)</f>
        <v>2.2205540836185904E-3</v>
      </c>
      <c r="CU45" s="37">
        <f>IF(AND(CS124=0,CS45&gt;=0),"",CS45/CS124)</f>
        <v>4.7629503822060769E-3</v>
      </c>
      <c r="CV45" s="103">
        <f t="shared" si="37"/>
        <v>0</v>
      </c>
      <c r="CW45" s="20" t="str">
        <f>IF(AND(CV4=0,CV45&gt;=0), "",CV45/CV4)</f>
        <v/>
      </c>
      <c r="CX45" s="37">
        <f t="shared" si="15"/>
        <v>1</v>
      </c>
    </row>
    <row r="46" spans="1:102" outlineLevel="1" x14ac:dyDescent="0.25">
      <c r="A46" s="19" t="s">
        <v>8</v>
      </c>
      <c r="B46" s="101">
        <f>+'N EERR RODEO'!B45</f>
        <v>0</v>
      </c>
      <c r="C46" s="20" t="str">
        <f>IF(AND(B4=0,B46&gt;=0), "",B46/B4)</f>
        <v/>
      </c>
      <c r="D46" s="37" t="str">
        <f>IF(AND(B124=0,B46&gt;=0),"",B46/B124)</f>
        <v/>
      </c>
      <c r="E46" s="101">
        <f>+'N EERR RODEO'!C45</f>
        <v>34.950000000000003</v>
      </c>
      <c r="F46" s="20">
        <f>IF(AND(E4=0,E46&gt;=0), "",E46/E4)</f>
        <v>7.2914230542070891E-4</v>
      </c>
      <c r="G46" s="37">
        <f>IF(AND(E124=0,E46&gt;=0),"",E46/E124)</f>
        <v>1.1287006120819087E-3</v>
      </c>
      <c r="H46" s="101">
        <f>+'N EERR RODEO'!D45</f>
        <v>0</v>
      </c>
      <c r="I46" s="20">
        <f>IF(AND(H4=0,H46&gt;=0), "",H46/H4)</f>
        <v>0</v>
      </c>
      <c r="J46" s="37">
        <f>IF(AND(H124=0,H46&gt;=0),"",H46/H124)</f>
        <v>0</v>
      </c>
      <c r="K46" s="20">
        <f t="shared" si="19"/>
        <v>-1</v>
      </c>
      <c r="L46" s="102">
        <f t="shared" si="38"/>
        <v>34.950000000000003</v>
      </c>
      <c r="M46" s="20">
        <f>IF(AND(L4=0,L46&gt;=0), "",L46/L4)</f>
        <v>3.5155282239581587E-4</v>
      </c>
      <c r="N46" s="37">
        <f>IF(AND(L124=0,L46&gt;=0),"",L46/L124)</f>
        <v>6.9483792085408419E-4</v>
      </c>
      <c r="O46" s="101">
        <f>+'N EERR RODEO'!E45</f>
        <v>0</v>
      </c>
      <c r="P46" s="20">
        <f>IF(AND(O4=0,O46&gt;=0), "",O46/O4)</f>
        <v>0</v>
      </c>
      <c r="Q46" s="37">
        <f>IF(AND(O124=0,O46&gt;=0),"",O46/O124)</f>
        <v>0</v>
      </c>
      <c r="R46" s="20" t="str">
        <f t="shared" si="20"/>
        <v/>
      </c>
      <c r="S46" s="102">
        <f t="shared" si="39"/>
        <v>34.950000000000003</v>
      </c>
      <c r="T46" s="20">
        <f>IF(AND(S4=0,S46&gt;=0), "",S46/S4)</f>
        <v>2.1373238198471464E-4</v>
      </c>
      <c r="U46" s="37">
        <f>IF(AND(S124=0,S46&gt;=0),"",S46/S124)</f>
        <v>4.5844266436645203E-4</v>
      </c>
      <c r="V46" s="103"/>
      <c r="W46" s="20" t="str">
        <f>IF(AND(V4=0,V46&gt;=0), "",V46/V4)</f>
        <v/>
      </c>
      <c r="X46" s="37">
        <f t="shared" si="21"/>
        <v>1</v>
      </c>
      <c r="Y46" s="101">
        <f>+'N EERR RODEO'!F45</f>
        <v>0</v>
      </c>
      <c r="Z46" s="20" t="str">
        <f>IF(AND(Y4=0,Y46&gt;=0), "",Y46/Y4)</f>
        <v/>
      </c>
      <c r="AA46" s="37" t="str">
        <f>IF(AND(Y124=0,Y46&gt;=0),"",Y46/Y124)</f>
        <v/>
      </c>
      <c r="AB46" s="20" t="str">
        <f t="shared" si="22"/>
        <v/>
      </c>
      <c r="AC46" s="102">
        <f t="shared" si="27"/>
        <v>34.950000000000003</v>
      </c>
      <c r="AD46" s="20">
        <f>IF(AND(AC4=0,AC46&gt;=0), "",AC46/AC4)</f>
        <v>2.1373238198471464E-4</v>
      </c>
      <c r="AE46" s="37">
        <f>IF(AND(AC124=0,AC46&gt;=0),"",AC46/AC124)</f>
        <v>4.5844266436645203E-4</v>
      </c>
      <c r="AF46" s="101">
        <f>+'N EERR RODEO'!G45</f>
        <v>0</v>
      </c>
      <c r="AG46" s="20" t="str">
        <f>IF(AND(AF4=0,AF46&gt;=0), "",AF46/AF4)</f>
        <v/>
      </c>
      <c r="AH46" s="37" t="str">
        <f>IF(AND(AF124=0,AF46&gt;=0),"",AF46/AF124)</f>
        <v/>
      </c>
      <c r="AI46" s="20" t="str">
        <f t="shared" si="4"/>
        <v/>
      </c>
      <c r="AJ46" s="102">
        <f t="shared" si="16"/>
        <v>34.950000000000003</v>
      </c>
      <c r="AK46" s="20">
        <f>IF(AND(AJ4=0,AJ46&gt;=0), "",AJ46/AJ4)</f>
        <v>2.1373238198471464E-4</v>
      </c>
      <c r="AL46" s="37">
        <f>IF(AND(AJ124=0,AJ46&gt;=0),"",AJ46/AJ124)</f>
        <v>4.5844266436645203E-4</v>
      </c>
      <c r="AM46" s="101">
        <f>+'N EERR RODEO'!H45</f>
        <v>0</v>
      </c>
      <c r="AN46" s="20" t="str">
        <f>IF(AND(AM4=0,AM46&gt;=0), "",AM46/AM4)</f>
        <v/>
      </c>
      <c r="AO46" s="37" t="str">
        <f>IF(AND(AM124=0,AM46&gt;=0),"",AM46/AM124)</f>
        <v/>
      </c>
      <c r="AP46" s="20" t="str">
        <f t="shared" si="5"/>
        <v/>
      </c>
      <c r="AQ46" s="102">
        <f t="shared" si="17"/>
        <v>34.950000000000003</v>
      </c>
      <c r="AR46" s="20">
        <f>IF(AND(AQ4=0,AQ46&gt;=0), "",AQ46/AQ4)</f>
        <v>2.1373238198471464E-4</v>
      </c>
      <c r="AS46" s="37">
        <f>IF(AND(AQ124=0,AQ46&gt;=0),"",AQ46/AQ124)</f>
        <v>4.5844266436645203E-4</v>
      </c>
      <c r="AT46" s="103">
        <f t="shared" si="28"/>
        <v>0</v>
      </c>
      <c r="AU46" s="20" t="str">
        <f>IF(AND(AT4=0,AT46&gt;=0), "",AT46/AT4)</f>
        <v/>
      </c>
      <c r="AV46" s="37">
        <f t="shared" si="23"/>
        <v>1</v>
      </c>
      <c r="AW46" s="103">
        <f t="shared" si="40"/>
        <v>5.8250000000000002</v>
      </c>
      <c r="AX46" s="20">
        <f>IF(AND(AW4=0,AW46&gt;=0), "",AW46/AW4)</f>
        <v>2.1373238198471464E-4</v>
      </c>
      <c r="AY46" s="37">
        <f>IF(AND(AW124=0,AW46&gt;=0),"",AW46/AW124)</f>
        <v>4.5844266436645192E-4</v>
      </c>
      <c r="AZ46" s="103">
        <f t="shared" si="29"/>
        <v>0</v>
      </c>
      <c r="BA46" s="20" t="str">
        <f>IF(AND(AZ4=0,AZ46&gt;=0), "",AZ46/AZ4)</f>
        <v/>
      </c>
      <c r="BB46" s="37">
        <f t="shared" si="24"/>
        <v>1</v>
      </c>
      <c r="BC46" s="101">
        <f>+'N EERR RODEO'!I45</f>
        <v>0</v>
      </c>
      <c r="BD46" s="20" t="str">
        <f>IF(AND(BC4=0,BC46&gt;=0), "",BC46/BC4)</f>
        <v/>
      </c>
      <c r="BE46" s="37" t="str">
        <f>IF(AND(BC124=0,BC46&gt;=0),"",BC46/BC124)</f>
        <v/>
      </c>
      <c r="BF46" s="20" t="str">
        <f t="shared" si="25"/>
        <v/>
      </c>
      <c r="BG46" s="102">
        <f t="shared" si="30"/>
        <v>34.950000000000003</v>
      </c>
      <c r="BH46" s="20">
        <f>IF(AND(BG4=0,BG46&gt;=0), "",BG46/BG4)</f>
        <v>2.1373238198471464E-4</v>
      </c>
      <c r="BI46" s="37">
        <f>IF(AND(BG124=0,BG46&gt;=0),"",BG46/BG124)</f>
        <v>4.5844266436645203E-4</v>
      </c>
      <c r="BJ46" s="101">
        <f>+'N EERR RODEO'!J45</f>
        <v>0</v>
      </c>
      <c r="BK46" s="20" t="str">
        <f>IF(AND(BJ4=0,BJ46&gt;=0), "",BJ46/BJ4)</f>
        <v/>
      </c>
      <c r="BL46" s="37" t="str">
        <f>IF(AND(BJ124=0,BJ46&gt;=0),"",BJ46/BJ124)</f>
        <v/>
      </c>
      <c r="BM46" s="20" t="str">
        <f t="shared" si="9"/>
        <v/>
      </c>
      <c r="BN46" s="102">
        <f t="shared" si="31"/>
        <v>34.950000000000003</v>
      </c>
      <c r="BO46" s="20">
        <f>IF(AND(BN4=0,BN46&gt;=0), "",BN46/BN4)</f>
        <v>2.1373238198471464E-4</v>
      </c>
      <c r="BP46" s="37">
        <f>IF(AND(BN124=0,BN46&gt;=0),"",BN46/BN124)</f>
        <v>4.5844266436645203E-4</v>
      </c>
      <c r="BQ46" s="101">
        <f>+'N EERR RODEO'!K45</f>
        <v>0</v>
      </c>
      <c r="BR46" s="20" t="str">
        <f>IF(AND(BQ4=0,BQ46&gt;=0), "",BQ46/BQ4)</f>
        <v/>
      </c>
      <c r="BS46" s="37" t="str">
        <f>IF(AND(BQ124=0,BQ46&gt;=0),"",BQ46/BQ124)</f>
        <v/>
      </c>
      <c r="BT46" s="20" t="str">
        <f t="shared" si="10"/>
        <v/>
      </c>
      <c r="BU46" s="102">
        <f t="shared" si="32"/>
        <v>34.950000000000003</v>
      </c>
      <c r="BV46" s="20">
        <f>IF(AND(BU4=0,BU46&gt;=0), "",BU46/BU4)</f>
        <v>2.1373238198471464E-4</v>
      </c>
      <c r="BW46" s="37">
        <f>IF(AND(BU124=0,BU46&gt;=0),"",BU46/BU124)</f>
        <v>4.5844266436645203E-4</v>
      </c>
      <c r="BX46" s="103">
        <f t="shared" si="33"/>
        <v>0</v>
      </c>
      <c r="BY46" s="20" t="str">
        <f>IF(AND(BX4=0,BX46&gt;=0), "",BX46/BX4)</f>
        <v/>
      </c>
      <c r="BZ46" s="37">
        <f t="shared" si="11"/>
        <v>1</v>
      </c>
      <c r="CA46" s="101">
        <f>+'N EERR RODEO'!L45</f>
        <v>0</v>
      </c>
      <c r="CB46" s="20" t="str">
        <f>IF(AND(CA4=0,CA46&gt;=0), "",CA46/CA4)</f>
        <v/>
      </c>
      <c r="CC46" s="37" t="str">
        <f>IF(AND(CA124=0,CA46&gt;=0),"",CA46/CA124)</f>
        <v/>
      </c>
      <c r="CD46" s="20" t="str">
        <f t="shared" si="26"/>
        <v/>
      </c>
      <c r="CE46" s="102">
        <f t="shared" si="34"/>
        <v>34.950000000000003</v>
      </c>
      <c r="CF46" s="20">
        <f>IF(AND(CE4=0,CE46&gt;=0), "",CE46/CE4)</f>
        <v>2.1373238198471464E-4</v>
      </c>
      <c r="CG46" s="37">
        <f>IF(AND(CE124=0,CE46&gt;=0),"",CE46/CE124)</f>
        <v>4.5844266436645203E-4</v>
      </c>
      <c r="CH46" s="101">
        <f>+'N EERR RODEO'!M45</f>
        <v>0</v>
      </c>
      <c r="CI46" s="20" t="str">
        <f>IF(AND(CH4=0,CH46&gt;=0), "",CH46/CH4)</f>
        <v/>
      </c>
      <c r="CJ46" s="37" t="str">
        <f>IF(AND(CH124=0,CH46&gt;=0),"",CH46/CH124)</f>
        <v/>
      </c>
      <c r="CK46" s="20" t="str">
        <f t="shared" si="13"/>
        <v/>
      </c>
      <c r="CL46" s="102">
        <f t="shared" si="35"/>
        <v>34.950000000000003</v>
      </c>
      <c r="CM46" s="20">
        <f>IF(AND(CL4=0,CL46&gt;=0), "",CL46/CL4)</f>
        <v>2.1373238198471464E-4</v>
      </c>
      <c r="CN46" s="37">
        <f>IF(AND(CL124=0,CL46&gt;=0),"",CL46/CL124)</f>
        <v>4.5844266436645203E-4</v>
      </c>
      <c r="CO46" s="101">
        <f>+'N EERR RODEO'!N45</f>
        <v>0</v>
      </c>
      <c r="CP46" s="20" t="str">
        <f>IF(AND(CO4=0,CO46&gt;=0), "",CO46/CO4)</f>
        <v/>
      </c>
      <c r="CQ46" s="37" t="str">
        <f>IF(AND(CO124=0,CO46&gt;=0),"",CO46/CO124)</f>
        <v/>
      </c>
      <c r="CR46" s="20" t="str">
        <f t="shared" si="14"/>
        <v/>
      </c>
      <c r="CS46" s="102">
        <f t="shared" si="36"/>
        <v>34.950000000000003</v>
      </c>
      <c r="CT46" s="20">
        <f>IF(AND(CS4=0,CS46&gt;=0), "",CS46/CS4)</f>
        <v>2.1373238198471464E-4</v>
      </c>
      <c r="CU46" s="37">
        <f>IF(AND(CS124=0,CS46&gt;=0),"",CS46/CS124)</f>
        <v>4.5844266436645203E-4</v>
      </c>
      <c r="CV46" s="103">
        <f t="shared" si="37"/>
        <v>0</v>
      </c>
      <c r="CW46" s="20" t="str">
        <f>IF(AND(CV4=0,CV46&gt;=0), "",CV46/CV4)</f>
        <v/>
      </c>
      <c r="CX46" s="37">
        <f t="shared" si="15"/>
        <v>1</v>
      </c>
    </row>
    <row r="47" spans="1:102" outlineLevel="1" x14ac:dyDescent="0.25">
      <c r="A47" s="19" t="s">
        <v>9</v>
      </c>
      <c r="B47" s="101">
        <f>+'N EERR RODEO'!B46</f>
        <v>0</v>
      </c>
      <c r="C47" s="20" t="str">
        <f>IF(AND(B4=0,B47&gt;=0), "",B47/B4)</f>
        <v/>
      </c>
      <c r="D47" s="37" t="str">
        <f>IF(AND(B124=0,B47&gt;=0),"",B47/B124)</f>
        <v/>
      </c>
      <c r="E47" s="101">
        <f>+'N EERR RODEO'!C46</f>
        <v>98.84</v>
      </c>
      <c r="F47" s="20">
        <f>IF(AND(E4=0,E47&gt;=0), "",E47/E4)</f>
        <v>2.062043647146863E-3</v>
      </c>
      <c r="G47" s="37">
        <f>IF(AND(E124=0,E47&gt;=0),"",E47/E124)</f>
        <v>3.1920105435815694E-3</v>
      </c>
      <c r="H47" s="101">
        <f>+'N EERR RODEO'!D46</f>
        <v>0</v>
      </c>
      <c r="I47" s="20">
        <f>IF(AND(H4=0,H47&gt;=0), "",H47/H4)</f>
        <v>0</v>
      </c>
      <c r="J47" s="37">
        <f>IF(AND(H124=0,H47&gt;=0),"",H47/H124)</f>
        <v>0</v>
      </c>
      <c r="K47" s="20">
        <f t="shared" si="19"/>
        <v>-1</v>
      </c>
      <c r="L47" s="102">
        <f t="shared" si="38"/>
        <v>98.84</v>
      </c>
      <c r="M47" s="20">
        <f>IF(AND(L4=0,L47&gt;=0), "",L47/L4)</f>
        <v>9.9420546396573515E-4</v>
      </c>
      <c r="N47" s="37">
        <f>IF(AND(L124=0,L47&gt;=0),"",L47/L124)</f>
        <v>1.9650294734540109E-3</v>
      </c>
      <c r="O47" s="101">
        <f>+'N EERR RODEO'!E46</f>
        <v>0</v>
      </c>
      <c r="P47" s="20">
        <f>IF(AND(O4=0,O47&gt;=0), "",O47/O4)</f>
        <v>0</v>
      </c>
      <c r="Q47" s="37">
        <f>IF(AND(O124=0,O47&gt;=0),"",O47/O124)</f>
        <v>0</v>
      </c>
      <c r="R47" s="20" t="str">
        <f t="shared" si="20"/>
        <v/>
      </c>
      <c r="S47" s="102">
        <f t="shared" si="39"/>
        <v>98.84</v>
      </c>
      <c r="T47" s="20">
        <f>IF(AND(S4=0,S47&gt;=0), "",S47/S4)</f>
        <v>6.0444373777880384E-4</v>
      </c>
      <c r="U47" s="37">
        <f>IF(AND(S124=0,S47&gt;=0),"",S47/S124)</f>
        <v>1.296494218769102E-3</v>
      </c>
      <c r="V47" s="103"/>
      <c r="W47" s="20" t="str">
        <f>IF(AND(V4=0,V47&gt;=0), "",V47/V4)</f>
        <v/>
      </c>
      <c r="X47" s="37">
        <f t="shared" si="21"/>
        <v>1</v>
      </c>
      <c r="Y47" s="101">
        <f>+'N EERR RODEO'!F46</f>
        <v>0</v>
      </c>
      <c r="Z47" s="20" t="str">
        <f>IF(AND(Y4=0,Y47&gt;=0), "",Y47/Y4)</f>
        <v/>
      </c>
      <c r="AA47" s="37" t="str">
        <f>IF(AND(Y124=0,Y47&gt;=0),"",Y47/Y124)</f>
        <v/>
      </c>
      <c r="AB47" s="20" t="str">
        <f t="shared" si="22"/>
        <v/>
      </c>
      <c r="AC47" s="102">
        <f t="shared" si="27"/>
        <v>98.84</v>
      </c>
      <c r="AD47" s="20">
        <f>IF(AND(AC4=0,AC47&gt;=0), "",AC47/AC4)</f>
        <v>6.0444373777880384E-4</v>
      </c>
      <c r="AE47" s="37">
        <f>IF(AND(AC124=0,AC47&gt;=0),"",AC47/AC124)</f>
        <v>1.296494218769102E-3</v>
      </c>
      <c r="AF47" s="101">
        <f>+'N EERR RODEO'!G46</f>
        <v>0</v>
      </c>
      <c r="AG47" s="20" t="str">
        <f>IF(AND(AF4=0,AF47&gt;=0), "",AF47/AF4)</f>
        <v/>
      </c>
      <c r="AH47" s="37" t="str">
        <f>IF(AND(AF124=0,AF47&gt;=0),"",AF47/AF124)</f>
        <v/>
      </c>
      <c r="AI47" s="20" t="str">
        <f t="shared" si="4"/>
        <v/>
      </c>
      <c r="AJ47" s="102">
        <f t="shared" si="16"/>
        <v>98.84</v>
      </c>
      <c r="AK47" s="20">
        <f>IF(AND(AJ4=0,AJ47&gt;=0), "",AJ47/AJ4)</f>
        <v>6.0444373777880384E-4</v>
      </c>
      <c r="AL47" s="37">
        <f>IF(AND(AJ124=0,AJ47&gt;=0),"",AJ47/AJ124)</f>
        <v>1.296494218769102E-3</v>
      </c>
      <c r="AM47" s="101">
        <f>+'N EERR RODEO'!H46</f>
        <v>0</v>
      </c>
      <c r="AN47" s="20" t="str">
        <f>IF(AND(AM4=0,AM47&gt;=0), "",AM47/AM4)</f>
        <v/>
      </c>
      <c r="AO47" s="37" t="str">
        <f>IF(AND(AM124=0,AM47&gt;=0),"",AM47/AM124)</f>
        <v/>
      </c>
      <c r="AP47" s="20" t="str">
        <f t="shared" si="5"/>
        <v/>
      </c>
      <c r="AQ47" s="102">
        <f t="shared" si="17"/>
        <v>98.84</v>
      </c>
      <c r="AR47" s="20">
        <f>IF(AND(AQ4=0,AQ47&gt;=0), "",AQ47/AQ4)</f>
        <v>6.0444373777880384E-4</v>
      </c>
      <c r="AS47" s="37">
        <f>IF(AND(AQ124=0,AQ47&gt;=0),"",AQ47/AQ124)</f>
        <v>1.296494218769102E-3</v>
      </c>
      <c r="AT47" s="103">
        <f t="shared" si="28"/>
        <v>0</v>
      </c>
      <c r="AU47" s="20" t="str">
        <f>IF(AND(AT4=0,AT47&gt;=0), "",AT47/AT4)</f>
        <v/>
      </c>
      <c r="AV47" s="37">
        <f t="shared" si="23"/>
        <v>1</v>
      </c>
      <c r="AW47" s="103">
        <f t="shared" si="40"/>
        <v>16.473333333333333</v>
      </c>
      <c r="AX47" s="20">
        <f>IF(AND(AW4=0,AW47&gt;=0), "",AW47/AW4)</f>
        <v>6.0444373777880384E-4</v>
      </c>
      <c r="AY47" s="37">
        <f>IF(AND(AW124=0,AW47&gt;=0),"",AW47/AW124)</f>
        <v>1.2964942187691018E-3</v>
      </c>
      <c r="AZ47" s="103">
        <f t="shared" si="29"/>
        <v>0</v>
      </c>
      <c r="BA47" s="20" t="str">
        <f>IF(AND(AZ4=0,AZ47&gt;=0), "",AZ47/AZ4)</f>
        <v/>
      </c>
      <c r="BB47" s="37">
        <f t="shared" si="24"/>
        <v>1</v>
      </c>
      <c r="BC47" s="101">
        <f>+'N EERR RODEO'!I46</f>
        <v>0</v>
      </c>
      <c r="BD47" s="20" t="str">
        <f>IF(AND(BC4=0,BC47&gt;=0), "",BC47/BC4)</f>
        <v/>
      </c>
      <c r="BE47" s="37" t="str">
        <f>IF(AND(BC124=0,BC47&gt;=0),"",BC47/BC124)</f>
        <v/>
      </c>
      <c r="BF47" s="20" t="str">
        <f t="shared" si="25"/>
        <v/>
      </c>
      <c r="BG47" s="102">
        <f t="shared" si="30"/>
        <v>98.84</v>
      </c>
      <c r="BH47" s="20">
        <f>IF(AND(BG4=0,BG47&gt;=0), "",BG47/BG4)</f>
        <v>6.0444373777880384E-4</v>
      </c>
      <c r="BI47" s="37">
        <f>IF(AND(BG124=0,BG47&gt;=0),"",BG47/BG124)</f>
        <v>1.296494218769102E-3</v>
      </c>
      <c r="BJ47" s="101">
        <f>+'N EERR RODEO'!J46</f>
        <v>0</v>
      </c>
      <c r="BK47" s="20" t="str">
        <f>IF(AND(BJ4=0,BJ47&gt;=0), "",BJ47/BJ4)</f>
        <v/>
      </c>
      <c r="BL47" s="37" t="str">
        <f>IF(AND(BJ124=0,BJ47&gt;=0),"",BJ47/BJ124)</f>
        <v/>
      </c>
      <c r="BM47" s="20" t="str">
        <f t="shared" si="9"/>
        <v/>
      </c>
      <c r="BN47" s="102">
        <f t="shared" si="31"/>
        <v>98.84</v>
      </c>
      <c r="BO47" s="20">
        <f>IF(AND(BN4=0,BN47&gt;=0), "",BN47/BN4)</f>
        <v>6.0444373777880384E-4</v>
      </c>
      <c r="BP47" s="37">
        <f>IF(AND(BN124=0,BN47&gt;=0),"",BN47/BN124)</f>
        <v>1.296494218769102E-3</v>
      </c>
      <c r="BQ47" s="101">
        <f>+'N EERR RODEO'!K46</f>
        <v>0</v>
      </c>
      <c r="BR47" s="20" t="str">
        <f>IF(AND(BQ4=0,BQ47&gt;=0), "",BQ47/BQ4)</f>
        <v/>
      </c>
      <c r="BS47" s="37" t="str">
        <f>IF(AND(BQ124=0,BQ47&gt;=0),"",BQ47/BQ124)</f>
        <v/>
      </c>
      <c r="BT47" s="20" t="str">
        <f t="shared" si="10"/>
        <v/>
      </c>
      <c r="BU47" s="102">
        <f t="shared" si="32"/>
        <v>98.84</v>
      </c>
      <c r="BV47" s="20">
        <f>IF(AND(BU4=0,BU47&gt;=0), "",BU47/BU4)</f>
        <v>6.0444373777880384E-4</v>
      </c>
      <c r="BW47" s="37">
        <f>IF(AND(BU124=0,BU47&gt;=0),"",BU47/BU124)</f>
        <v>1.296494218769102E-3</v>
      </c>
      <c r="BX47" s="103">
        <f t="shared" si="33"/>
        <v>0</v>
      </c>
      <c r="BY47" s="20" t="str">
        <f>IF(AND(BX4=0,BX47&gt;=0), "",BX47/BX4)</f>
        <v/>
      </c>
      <c r="BZ47" s="37">
        <f t="shared" si="11"/>
        <v>1</v>
      </c>
      <c r="CA47" s="101">
        <f>+'N EERR RODEO'!L46</f>
        <v>0</v>
      </c>
      <c r="CB47" s="20" t="str">
        <f>IF(AND(CA4=0,CA47&gt;=0), "",CA47/CA4)</f>
        <v/>
      </c>
      <c r="CC47" s="37" t="str">
        <f>IF(AND(CA124=0,CA47&gt;=0),"",CA47/CA124)</f>
        <v/>
      </c>
      <c r="CD47" s="20" t="str">
        <f t="shared" si="26"/>
        <v/>
      </c>
      <c r="CE47" s="102">
        <f t="shared" si="34"/>
        <v>98.84</v>
      </c>
      <c r="CF47" s="20">
        <f>IF(AND(CE4=0,CE47&gt;=0), "",CE47/CE4)</f>
        <v>6.0444373777880384E-4</v>
      </c>
      <c r="CG47" s="37">
        <f>IF(AND(CE124=0,CE47&gt;=0),"",CE47/CE124)</f>
        <v>1.296494218769102E-3</v>
      </c>
      <c r="CH47" s="101">
        <f>+'N EERR RODEO'!M46</f>
        <v>0</v>
      </c>
      <c r="CI47" s="20" t="str">
        <f>IF(AND(CH4=0,CH47&gt;=0), "",CH47/CH4)</f>
        <v/>
      </c>
      <c r="CJ47" s="37" t="str">
        <f>IF(AND(CH124=0,CH47&gt;=0),"",CH47/CH124)</f>
        <v/>
      </c>
      <c r="CK47" s="20" t="str">
        <f t="shared" si="13"/>
        <v/>
      </c>
      <c r="CL47" s="102">
        <f t="shared" si="35"/>
        <v>98.84</v>
      </c>
      <c r="CM47" s="20">
        <f>IF(AND(CL4=0,CL47&gt;=0), "",CL47/CL4)</f>
        <v>6.0444373777880384E-4</v>
      </c>
      <c r="CN47" s="37">
        <f>IF(AND(CL124=0,CL47&gt;=0),"",CL47/CL124)</f>
        <v>1.296494218769102E-3</v>
      </c>
      <c r="CO47" s="101">
        <f>+'N EERR RODEO'!N46</f>
        <v>0</v>
      </c>
      <c r="CP47" s="20" t="str">
        <f>IF(AND(CO4=0,CO47&gt;=0), "",CO47/CO4)</f>
        <v/>
      </c>
      <c r="CQ47" s="37" t="str">
        <f>IF(AND(CO124=0,CO47&gt;=0),"",CO47/CO124)</f>
        <v/>
      </c>
      <c r="CR47" s="20" t="str">
        <f t="shared" si="14"/>
        <v/>
      </c>
      <c r="CS47" s="102">
        <f t="shared" si="36"/>
        <v>98.84</v>
      </c>
      <c r="CT47" s="20">
        <f>IF(AND(CS4=0,CS47&gt;=0), "",CS47/CS4)</f>
        <v>6.0444373777880384E-4</v>
      </c>
      <c r="CU47" s="37">
        <f>IF(AND(CS124=0,CS47&gt;=0),"",CS47/CS124)</f>
        <v>1.296494218769102E-3</v>
      </c>
      <c r="CV47" s="103">
        <f t="shared" si="37"/>
        <v>0</v>
      </c>
      <c r="CW47" s="20" t="str">
        <f>IF(AND(CV4=0,CV47&gt;=0), "",CV47/CV4)</f>
        <v/>
      </c>
      <c r="CX47" s="37">
        <f t="shared" si="15"/>
        <v>1</v>
      </c>
    </row>
    <row r="48" spans="1:102" outlineLevel="1" x14ac:dyDescent="0.25">
      <c r="A48" s="19" t="s">
        <v>10</v>
      </c>
      <c r="B48" s="101">
        <f>+'N EERR RODEO'!B47</f>
        <v>0</v>
      </c>
      <c r="C48" s="20" t="str">
        <f>IF(AND(B4=0,B48&gt;=0), "",B48/B4)</f>
        <v/>
      </c>
      <c r="D48" s="37" t="str">
        <f>IF(AND(B124=0,B48&gt;=0),"",B48/B124)</f>
        <v/>
      </c>
      <c r="E48" s="101">
        <f>+'N EERR RODEO'!C47</f>
        <v>114.9</v>
      </c>
      <c r="F48" s="20">
        <f>IF(AND(E4=0,E48&gt;=0), "",E48/E4)</f>
        <v>2.3970944461470514E-3</v>
      </c>
      <c r="G48" s="37">
        <f>IF(AND(E124=0,E48&gt;=0),"",E48/E124)</f>
        <v>3.710663814827219E-3</v>
      </c>
      <c r="H48" s="101">
        <f>+'N EERR RODEO'!D47</f>
        <v>21</v>
      </c>
      <c r="I48" s="20">
        <f>IF(AND(H4=0,H48&gt;=0), "",H48/H4)</f>
        <v>4.0790132051254159E-4</v>
      </c>
      <c r="J48" s="37">
        <f>IF(AND(H124=0,H48&gt;=0),"",H48/H124)</f>
        <v>1.086130680140204E-3</v>
      </c>
      <c r="K48" s="20">
        <f t="shared" si="19"/>
        <v>-0.81723237597911225</v>
      </c>
      <c r="L48" s="102">
        <f t="shared" si="38"/>
        <v>135.9</v>
      </c>
      <c r="M48" s="20">
        <f>IF(AND(L4=0,L48&gt;=0), "",L48/L4)</f>
        <v>1.3669822192730009E-3</v>
      </c>
      <c r="N48" s="37">
        <f>IF(AND(L124=0,L48&gt;=0),"",L48/L124)</f>
        <v>2.7018161214326193E-3</v>
      </c>
      <c r="O48" s="101">
        <f>+'N EERR RODEO'!E47</f>
        <v>23</v>
      </c>
      <c r="P48" s="20">
        <f>IF(AND(O4=0,O48&gt;=0), "",O48/O4)</f>
        <v>3.5877976195118784E-4</v>
      </c>
      <c r="Q48" s="37">
        <f>IF(AND(O124=0,O48&gt;=0),"",O48/O124)</f>
        <v>8.8676886870654346E-4</v>
      </c>
      <c r="R48" s="20">
        <f t="shared" si="20"/>
        <v>9.5238095238095233E-2</v>
      </c>
      <c r="S48" s="102">
        <f t="shared" si="39"/>
        <v>158.9</v>
      </c>
      <c r="T48" s="20">
        <f>IF(AND(S4=0,S48&gt;=0), "",S48/S4)</f>
        <v>9.7173320450275123E-4</v>
      </c>
      <c r="U48" s="37">
        <f>IF(AND(S124=0,S48&gt;=0),"",S48/S124)</f>
        <v>2.0843072780494772E-3</v>
      </c>
      <c r="V48" s="103"/>
      <c r="W48" s="20" t="str">
        <f>IF(AND(V4=0,V48&gt;=0), "",V48/V4)</f>
        <v/>
      </c>
      <c r="X48" s="37">
        <f t="shared" si="21"/>
        <v>1</v>
      </c>
      <c r="Y48" s="101">
        <f>+'N EERR RODEO'!F47</f>
        <v>0</v>
      </c>
      <c r="Z48" s="20" t="str">
        <f>IF(AND(Y4=0,Y48&gt;=0), "",Y48/Y4)</f>
        <v/>
      </c>
      <c r="AA48" s="37" t="str">
        <f>IF(AND(Y124=0,Y48&gt;=0),"",Y48/Y124)</f>
        <v/>
      </c>
      <c r="AB48" s="20">
        <f t="shared" si="22"/>
        <v>-1</v>
      </c>
      <c r="AC48" s="102">
        <f t="shared" si="27"/>
        <v>158.9</v>
      </c>
      <c r="AD48" s="20">
        <f>IF(AND(AC4=0,AC48&gt;=0), "",AC48/AC4)</f>
        <v>9.7173320450275123E-4</v>
      </c>
      <c r="AE48" s="37">
        <f>IF(AND(AC124=0,AC48&gt;=0),"",AC48/AC124)</f>
        <v>2.0843072780494772E-3</v>
      </c>
      <c r="AF48" s="101">
        <f>+'N EERR RODEO'!G47</f>
        <v>0</v>
      </c>
      <c r="AG48" s="20" t="str">
        <f>IF(AND(AF4=0,AF48&gt;=0), "",AF48/AF4)</f>
        <v/>
      </c>
      <c r="AH48" s="37" t="str">
        <f>IF(AND(AF124=0,AF48&gt;=0),"",AF48/AF124)</f>
        <v/>
      </c>
      <c r="AI48" s="20" t="str">
        <f t="shared" si="4"/>
        <v/>
      </c>
      <c r="AJ48" s="102">
        <f t="shared" si="16"/>
        <v>158.9</v>
      </c>
      <c r="AK48" s="20">
        <f>IF(AND(AJ4=0,AJ48&gt;=0), "",AJ48/AJ4)</f>
        <v>9.7173320450275123E-4</v>
      </c>
      <c r="AL48" s="37">
        <f>IF(AND(AJ124=0,AJ48&gt;=0),"",AJ48/AJ124)</f>
        <v>2.0843072780494772E-3</v>
      </c>
      <c r="AM48" s="101">
        <f>+'N EERR RODEO'!H47</f>
        <v>0</v>
      </c>
      <c r="AN48" s="20" t="str">
        <f>IF(AND(AM4=0,AM48&gt;=0), "",AM48/AM4)</f>
        <v/>
      </c>
      <c r="AO48" s="37" t="str">
        <f>IF(AND(AM124=0,AM48&gt;=0),"",AM48/AM124)</f>
        <v/>
      </c>
      <c r="AP48" s="20" t="str">
        <f t="shared" si="5"/>
        <v/>
      </c>
      <c r="AQ48" s="102">
        <f t="shared" si="17"/>
        <v>158.9</v>
      </c>
      <c r="AR48" s="20">
        <f>IF(AND(AQ4=0,AQ48&gt;=0), "",AQ48/AQ4)</f>
        <v>9.7173320450275123E-4</v>
      </c>
      <c r="AS48" s="37">
        <f>IF(AND(AQ124=0,AQ48&gt;=0),"",AQ48/AQ124)</f>
        <v>2.0843072780494772E-3</v>
      </c>
      <c r="AT48" s="103">
        <f t="shared" si="28"/>
        <v>0</v>
      </c>
      <c r="AU48" s="20" t="str">
        <f>IF(AND(AT4=0,AT48&gt;=0), "",AT48/AT4)</f>
        <v/>
      </c>
      <c r="AV48" s="37">
        <f t="shared" si="23"/>
        <v>1</v>
      </c>
      <c r="AW48" s="103">
        <f t="shared" si="40"/>
        <v>26.483333333333334</v>
      </c>
      <c r="AX48" s="20">
        <f>IF(AND(AW4=0,AW48&gt;=0), "",AW48/AW4)</f>
        <v>9.7173320450275123E-4</v>
      </c>
      <c r="AY48" s="37">
        <f>IF(AND(AW124=0,AW48&gt;=0),"",AW48/AW124)</f>
        <v>2.0843072780494768E-3</v>
      </c>
      <c r="AZ48" s="103">
        <f t="shared" si="29"/>
        <v>0</v>
      </c>
      <c r="BA48" s="20" t="str">
        <f>IF(AND(AZ4=0,AZ48&gt;=0), "",AZ48/AZ4)</f>
        <v/>
      </c>
      <c r="BB48" s="37">
        <f t="shared" si="24"/>
        <v>1</v>
      </c>
      <c r="BC48" s="101">
        <f>+'N EERR RODEO'!I47</f>
        <v>0</v>
      </c>
      <c r="BD48" s="20" t="str">
        <f>IF(AND(BC4=0,BC48&gt;=0), "",BC48/BC4)</f>
        <v/>
      </c>
      <c r="BE48" s="37" t="str">
        <f>IF(AND(BC124=0,BC48&gt;=0),"",BC48/BC124)</f>
        <v/>
      </c>
      <c r="BF48" s="20" t="str">
        <f t="shared" si="25"/>
        <v/>
      </c>
      <c r="BG48" s="102">
        <f t="shared" si="30"/>
        <v>158.9</v>
      </c>
      <c r="BH48" s="20">
        <f>IF(AND(BG4=0,BG48&gt;=0), "",BG48/BG4)</f>
        <v>9.7173320450275123E-4</v>
      </c>
      <c r="BI48" s="37">
        <f>IF(AND(BG124=0,BG48&gt;=0),"",BG48/BG124)</f>
        <v>2.0843072780494772E-3</v>
      </c>
      <c r="BJ48" s="101">
        <f>+'N EERR RODEO'!J47</f>
        <v>0</v>
      </c>
      <c r="BK48" s="20" t="str">
        <f>IF(AND(BJ4=0,BJ48&gt;=0), "",BJ48/BJ4)</f>
        <v/>
      </c>
      <c r="BL48" s="37" t="str">
        <f>IF(AND(BJ124=0,BJ48&gt;=0),"",BJ48/BJ124)</f>
        <v/>
      </c>
      <c r="BM48" s="20" t="str">
        <f t="shared" si="9"/>
        <v/>
      </c>
      <c r="BN48" s="102">
        <f t="shared" si="31"/>
        <v>158.9</v>
      </c>
      <c r="BO48" s="20">
        <f>IF(AND(BN4=0,BN48&gt;=0), "",BN48/BN4)</f>
        <v>9.7173320450275123E-4</v>
      </c>
      <c r="BP48" s="37">
        <f>IF(AND(BN124=0,BN48&gt;=0),"",BN48/BN124)</f>
        <v>2.0843072780494772E-3</v>
      </c>
      <c r="BQ48" s="101">
        <f>+'N EERR RODEO'!K47</f>
        <v>0</v>
      </c>
      <c r="BR48" s="20" t="str">
        <f>IF(AND(BQ4=0,BQ48&gt;=0), "",BQ48/BQ4)</f>
        <v/>
      </c>
      <c r="BS48" s="37" t="str">
        <f>IF(AND(BQ124=0,BQ48&gt;=0),"",BQ48/BQ124)</f>
        <v/>
      </c>
      <c r="BT48" s="20" t="str">
        <f t="shared" si="10"/>
        <v/>
      </c>
      <c r="BU48" s="102">
        <f t="shared" si="32"/>
        <v>158.9</v>
      </c>
      <c r="BV48" s="20">
        <f>IF(AND(BU4=0,BU48&gt;=0), "",BU48/BU4)</f>
        <v>9.7173320450275123E-4</v>
      </c>
      <c r="BW48" s="37">
        <f>IF(AND(BU124=0,BU48&gt;=0),"",BU48/BU124)</f>
        <v>2.0843072780494772E-3</v>
      </c>
      <c r="BX48" s="103">
        <f t="shared" si="33"/>
        <v>0</v>
      </c>
      <c r="BY48" s="20" t="str">
        <f>IF(AND(BX4=0,BX48&gt;=0), "",BX48/BX4)</f>
        <v/>
      </c>
      <c r="BZ48" s="37">
        <f t="shared" si="11"/>
        <v>1</v>
      </c>
      <c r="CA48" s="101">
        <f>+'N EERR RODEO'!L47</f>
        <v>0</v>
      </c>
      <c r="CB48" s="20" t="str">
        <f>IF(AND(CA4=0,CA48&gt;=0), "",CA48/CA4)</f>
        <v/>
      </c>
      <c r="CC48" s="37" t="str">
        <f>IF(AND(CA124=0,CA48&gt;=0),"",CA48/CA124)</f>
        <v/>
      </c>
      <c r="CD48" s="20" t="str">
        <f t="shared" si="26"/>
        <v/>
      </c>
      <c r="CE48" s="102">
        <f t="shared" si="34"/>
        <v>158.9</v>
      </c>
      <c r="CF48" s="20">
        <f>IF(AND(CE4=0,CE48&gt;=0), "",CE48/CE4)</f>
        <v>9.7173320450275123E-4</v>
      </c>
      <c r="CG48" s="37">
        <f>IF(AND(CE124=0,CE48&gt;=0),"",CE48/CE124)</f>
        <v>2.0843072780494772E-3</v>
      </c>
      <c r="CH48" s="101">
        <f>+'N EERR RODEO'!M47</f>
        <v>0</v>
      </c>
      <c r="CI48" s="20" t="str">
        <f>IF(AND(CH4=0,CH48&gt;=0), "",CH48/CH4)</f>
        <v/>
      </c>
      <c r="CJ48" s="37" t="str">
        <f>IF(AND(CH124=0,CH48&gt;=0),"",CH48/CH124)</f>
        <v/>
      </c>
      <c r="CK48" s="20" t="str">
        <f t="shared" si="13"/>
        <v/>
      </c>
      <c r="CL48" s="102">
        <f t="shared" si="35"/>
        <v>158.9</v>
      </c>
      <c r="CM48" s="20">
        <f>IF(AND(CL4=0,CL48&gt;=0), "",CL48/CL4)</f>
        <v>9.7173320450275123E-4</v>
      </c>
      <c r="CN48" s="37">
        <f>IF(AND(CL124=0,CL48&gt;=0),"",CL48/CL124)</f>
        <v>2.0843072780494772E-3</v>
      </c>
      <c r="CO48" s="101">
        <f>+'N EERR RODEO'!N47</f>
        <v>0</v>
      </c>
      <c r="CP48" s="20" t="str">
        <f>IF(AND(CO4=0,CO48&gt;=0), "",CO48/CO4)</f>
        <v/>
      </c>
      <c r="CQ48" s="37" t="str">
        <f>IF(AND(CO124=0,CO48&gt;=0),"",CO48/CO124)</f>
        <v/>
      </c>
      <c r="CR48" s="20" t="str">
        <f t="shared" si="14"/>
        <v/>
      </c>
      <c r="CS48" s="102">
        <f t="shared" si="36"/>
        <v>158.9</v>
      </c>
      <c r="CT48" s="20">
        <f>IF(AND(CS4=0,CS48&gt;=0), "",CS48/CS4)</f>
        <v>9.7173320450275123E-4</v>
      </c>
      <c r="CU48" s="37">
        <f>IF(AND(CS124=0,CS48&gt;=0),"",CS48/CS124)</f>
        <v>2.0843072780494772E-3</v>
      </c>
      <c r="CV48" s="103">
        <f t="shared" si="37"/>
        <v>0</v>
      </c>
      <c r="CW48" s="20" t="str">
        <f>IF(AND(CV4=0,CV48&gt;=0), "",CV48/CV4)</f>
        <v/>
      </c>
      <c r="CX48" s="37">
        <f t="shared" si="15"/>
        <v>1</v>
      </c>
    </row>
    <row r="49" spans="1:102" outlineLevel="1" x14ac:dyDescent="0.25">
      <c r="A49" s="19" t="s">
        <v>11</v>
      </c>
      <c r="B49" s="101">
        <f>+'N EERR RODEO'!B48</f>
        <v>0</v>
      </c>
      <c r="C49" s="20" t="str">
        <f>IF(AND(B4=0,B49&gt;=0), "",B49/B4)</f>
        <v/>
      </c>
      <c r="D49" s="37" t="str">
        <f>IF(AND(B124=0,B49&gt;=0),"",B49/B124)</f>
        <v/>
      </c>
      <c r="E49" s="101">
        <f>+'N EERR RODEO'!C48</f>
        <v>0</v>
      </c>
      <c r="F49" s="20">
        <f>IF(AND(E4=0,E49&gt;=0), "",E49/E4)</f>
        <v>0</v>
      </c>
      <c r="G49" s="37">
        <f>IF(AND(E124=0,E49&gt;=0),"",E49/E124)</f>
        <v>0</v>
      </c>
      <c r="H49" s="101">
        <f>+'N EERR RODEO'!D48</f>
        <v>0</v>
      </c>
      <c r="I49" s="20">
        <f>IF(AND(H4=0,H49&gt;=0), "",H49/H4)</f>
        <v>0</v>
      </c>
      <c r="J49" s="37">
        <f>IF(AND(H124=0,H49&gt;=0),"",H49/H124)</f>
        <v>0</v>
      </c>
      <c r="K49" s="20" t="str">
        <f t="shared" si="19"/>
        <v/>
      </c>
      <c r="L49" s="102">
        <f t="shared" si="38"/>
        <v>0</v>
      </c>
      <c r="M49" s="20">
        <f>IF(AND(L4=0,L49&gt;=0), "",L49/L4)</f>
        <v>0</v>
      </c>
      <c r="N49" s="37">
        <f>IF(AND(L124=0,L49&gt;=0),"",L49/L124)</f>
        <v>0</v>
      </c>
      <c r="O49" s="101">
        <f>+'N EERR RODEO'!E48</f>
        <v>0</v>
      </c>
      <c r="P49" s="20">
        <f>IF(AND(O4=0,O49&gt;=0), "",O49/O4)</f>
        <v>0</v>
      </c>
      <c r="Q49" s="37">
        <f>IF(AND(O124=0,O49&gt;=0),"",O49/O124)</f>
        <v>0</v>
      </c>
      <c r="R49" s="20" t="str">
        <f t="shared" si="20"/>
        <v/>
      </c>
      <c r="S49" s="102">
        <f t="shared" si="39"/>
        <v>0</v>
      </c>
      <c r="T49" s="20">
        <f>IF(AND(S4=0,S49&gt;=0), "",S49/S4)</f>
        <v>0</v>
      </c>
      <c r="U49" s="37">
        <f>IF(AND(S124=0,S49&gt;=0),"",S49/S124)</f>
        <v>0</v>
      </c>
      <c r="V49" s="103"/>
      <c r="W49" s="20" t="str">
        <f>IF(AND(V4=0,V49&gt;=0), "",V49/V4)</f>
        <v/>
      </c>
      <c r="X49" s="37" t="str">
        <f t="shared" si="21"/>
        <v/>
      </c>
      <c r="Y49" s="101">
        <f>+'N EERR RODEO'!F48</f>
        <v>0</v>
      </c>
      <c r="Z49" s="20" t="str">
        <f>IF(AND(Y4=0,Y49&gt;=0), "",Y49/Y4)</f>
        <v/>
      </c>
      <c r="AA49" s="37" t="str">
        <f>IF(AND(Y124=0,Y49&gt;=0),"",Y49/Y124)</f>
        <v/>
      </c>
      <c r="AB49" s="20" t="str">
        <f t="shared" si="22"/>
        <v/>
      </c>
      <c r="AC49" s="102">
        <f t="shared" si="27"/>
        <v>0</v>
      </c>
      <c r="AD49" s="20">
        <f>IF(AND(AC4=0,AC49&gt;=0), "",AC49/AC4)</f>
        <v>0</v>
      </c>
      <c r="AE49" s="37">
        <f>IF(AND(AC124=0,AC49&gt;=0),"",AC49/AC124)</f>
        <v>0</v>
      </c>
      <c r="AF49" s="101">
        <f>+'N EERR RODEO'!G48</f>
        <v>0</v>
      </c>
      <c r="AG49" s="20" t="str">
        <f>IF(AND(AF4=0,AF49&gt;=0), "",AF49/AF4)</f>
        <v/>
      </c>
      <c r="AH49" s="37" t="str">
        <f>IF(AND(AF124=0,AF49&gt;=0),"",AF49/AF124)</f>
        <v/>
      </c>
      <c r="AI49" s="20" t="str">
        <f t="shared" si="4"/>
        <v/>
      </c>
      <c r="AJ49" s="102">
        <f t="shared" si="16"/>
        <v>0</v>
      </c>
      <c r="AK49" s="20">
        <f>IF(AND(AJ4=0,AJ49&gt;=0), "",AJ49/AJ4)</f>
        <v>0</v>
      </c>
      <c r="AL49" s="37">
        <f>IF(AND(AJ124=0,AJ49&gt;=0),"",AJ49/AJ124)</f>
        <v>0</v>
      </c>
      <c r="AM49" s="101">
        <f>+'N EERR RODEO'!H48</f>
        <v>0</v>
      </c>
      <c r="AN49" s="20" t="str">
        <f>IF(AND(AM4=0,AM49&gt;=0), "",AM49/AM4)</f>
        <v/>
      </c>
      <c r="AO49" s="37" t="str">
        <f>IF(AND(AM124=0,AM49&gt;=0),"",AM49/AM124)</f>
        <v/>
      </c>
      <c r="AP49" s="20" t="str">
        <f t="shared" si="5"/>
        <v/>
      </c>
      <c r="AQ49" s="102">
        <f t="shared" si="17"/>
        <v>0</v>
      </c>
      <c r="AR49" s="20">
        <f>IF(AND(AQ4=0,AQ49&gt;=0), "",AQ49/AQ4)</f>
        <v>0</v>
      </c>
      <c r="AS49" s="37">
        <f>IF(AND(AQ124=0,AQ49&gt;=0),"",AQ49/AQ124)</f>
        <v>0</v>
      </c>
      <c r="AT49" s="103">
        <f t="shared" si="28"/>
        <v>0</v>
      </c>
      <c r="AU49" s="20" t="str">
        <f>IF(AND(AT4=0,AT49&gt;=0), "",AT49/AT4)</f>
        <v/>
      </c>
      <c r="AV49" s="37" t="str">
        <f t="shared" si="23"/>
        <v/>
      </c>
      <c r="AW49" s="103">
        <f t="shared" si="40"/>
        <v>0</v>
      </c>
      <c r="AX49" s="20">
        <f>IF(AND(AW4=0,AW49&gt;=0), "",AW49/AW4)</f>
        <v>0</v>
      </c>
      <c r="AY49" s="37">
        <f>IF(AND(AW124=0,AW49&gt;=0),"",AW49/AW124)</f>
        <v>0</v>
      </c>
      <c r="AZ49" s="103">
        <f t="shared" si="29"/>
        <v>0</v>
      </c>
      <c r="BA49" s="20" t="str">
        <f>IF(AND(AZ4=0,AZ49&gt;=0), "",AZ49/AZ4)</f>
        <v/>
      </c>
      <c r="BB49" s="37" t="str">
        <f t="shared" si="24"/>
        <v/>
      </c>
      <c r="BC49" s="101">
        <f>+'N EERR RODEO'!I48</f>
        <v>0</v>
      </c>
      <c r="BD49" s="20" t="str">
        <f>IF(AND(BC4=0,BC49&gt;=0), "",BC49/BC4)</f>
        <v/>
      </c>
      <c r="BE49" s="37" t="str">
        <f>IF(AND(BC124=0,BC49&gt;=0),"",BC49/BC124)</f>
        <v/>
      </c>
      <c r="BF49" s="20" t="str">
        <f t="shared" si="25"/>
        <v/>
      </c>
      <c r="BG49" s="102">
        <f t="shared" si="30"/>
        <v>0</v>
      </c>
      <c r="BH49" s="20">
        <f>IF(AND(BG4=0,BG49&gt;=0), "",BG49/BG4)</f>
        <v>0</v>
      </c>
      <c r="BI49" s="37">
        <f>IF(AND(BG124=0,BG49&gt;=0),"",BG49/BG124)</f>
        <v>0</v>
      </c>
      <c r="BJ49" s="101">
        <f>+'N EERR RODEO'!J48</f>
        <v>0</v>
      </c>
      <c r="BK49" s="20" t="str">
        <f>IF(AND(BJ4=0,BJ49&gt;=0), "",BJ49/BJ4)</f>
        <v/>
      </c>
      <c r="BL49" s="37" t="str">
        <f>IF(AND(BJ124=0,BJ49&gt;=0),"",BJ49/BJ124)</f>
        <v/>
      </c>
      <c r="BM49" s="20" t="str">
        <f t="shared" si="9"/>
        <v/>
      </c>
      <c r="BN49" s="102">
        <f t="shared" si="31"/>
        <v>0</v>
      </c>
      <c r="BO49" s="20">
        <f>IF(AND(BN4=0,BN49&gt;=0), "",BN49/BN4)</f>
        <v>0</v>
      </c>
      <c r="BP49" s="37">
        <f>IF(AND(BN124=0,BN49&gt;=0),"",BN49/BN124)</f>
        <v>0</v>
      </c>
      <c r="BQ49" s="101">
        <f>+'N EERR RODEO'!K48</f>
        <v>0</v>
      </c>
      <c r="BR49" s="20" t="str">
        <f>IF(AND(BQ4=0,BQ49&gt;=0), "",BQ49/BQ4)</f>
        <v/>
      </c>
      <c r="BS49" s="37" t="str">
        <f>IF(AND(BQ124=0,BQ49&gt;=0),"",BQ49/BQ124)</f>
        <v/>
      </c>
      <c r="BT49" s="20" t="str">
        <f t="shared" si="10"/>
        <v/>
      </c>
      <c r="BU49" s="102">
        <f t="shared" si="32"/>
        <v>0</v>
      </c>
      <c r="BV49" s="20">
        <f>IF(AND(BU4=0,BU49&gt;=0), "",BU49/BU4)</f>
        <v>0</v>
      </c>
      <c r="BW49" s="37">
        <f>IF(AND(BU124=0,BU49&gt;=0),"",BU49/BU124)</f>
        <v>0</v>
      </c>
      <c r="BX49" s="103">
        <f t="shared" si="33"/>
        <v>0</v>
      </c>
      <c r="BY49" s="20" t="str">
        <f>IF(AND(BX4=0,BX49&gt;=0), "",BX49/BX4)</f>
        <v/>
      </c>
      <c r="BZ49" s="37" t="str">
        <f t="shared" si="11"/>
        <v/>
      </c>
      <c r="CA49" s="101">
        <f>+'N EERR RODEO'!L48</f>
        <v>0</v>
      </c>
      <c r="CB49" s="20" t="str">
        <f>IF(AND(CA4=0,CA49&gt;=0), "",CA49/CA4)</f>
        <v/>
      </c>
      <c r="CC49" s="37" t="str">
        <f>IF(AND(CA124=0,CA49&gt;=0),"",CA49/CA124)</f>
        <v/>
      </c>
      <c r="CD49" s="20" t="str">
        <f t="shared" si="26"/>
        <v/>
      </c>
      <c r="CE49" s="102">
        <f t="shared" si="34"/>
        <v>0</v>
      </c>
      <c r="CF49" s="20">
        <f>IF(AND(CE4=0,CE49&gt;=0), "",CE49/CE4)</f>
        <v>0</v>
      </c>
      <c r="CG49" s="37">
        <f>IF(AND(CE124=0,CE49&gt;=0),"",CE49/CE124)</f>
        <v>0</v>
      </c>
      <c r="CH49" s="101">
        <f>+'N EERR RODEO'!M48</f>
        <v>0</v>
      </c>
      <c r="CI49" s="20" t="str">
        <f>IF(AND(CH4=0,CH49&gt;=0), "",CH49/CH4)</f>
        <v/>
      </c>
      <c r="CJ49" s="37" t="str">
        <f>IF(AND(CH124=0,CH49&gt;=0),"",CH49/CH124)</f>
        <v/>
      </c>
      <c r="CK49" s="20" t="str">
        <f t="shared" si="13"/>
        <v/>
      </c>
      <c r="CL49" s="102">
        <f t="shared" si="35"/>
        <v>0</v>
      </c>
      <c r="CM49" s="20">
        <f>IF(AND(CL4=0,CL49&gt;=0), "",CL49/CL4)</f>
        <v>0</v>
      </c>
      <c r="CN49" s="37">
        <f>IF(AND(CL124=0,CL49&gt;=0),"",CL49/CL124)</f>
        <v>0</v>
      </c>
      <c r="CO49" s="101">
        <f>+'N EERR RODEO'!N48</f>
        <v>0</v>
      </c>
      <c r="CP49" s="20" t="str">
        <f>IF(AND(CO4=0,CO49&gt;=0), "",CO49/CO4)</f>
        <v/>
      </c>
      <c r="CQ49" s="37" t="str">
        <f>IF(AND(CO124=0,CO49&gt;=0),"",CO49/CO124)</f>
        <v/>
      </c>
      <c r="CR49" s="20" t="str">
        <f t="shared" si="14"/>
        <v/>
      </c>
      <c r="CS49" s="102">
        <f t="shared" si="36"/>
        <v>0</v>
      </c>
      <c r="CT49" s="20">
        <f>IF(AND(CS4=0,CS49&gt;=0), "",CS49/CS4)</f>
        <v>0</v>
      </c>
      <c r="CU49" s="37">
        <f>IF(AND(CS124=0,CS49&gt;=0),"",CS49/CS124)</f>
        <v>0</v>
      </c>
      <c r="CV49" s="103">
        <f t="shared" si="37"/>
        <v>0</v>
      </c>
      <c r="CW49" s="20" t="str">
        <f>IF(AND(CV4=0,CV49&gt;=0), "",CV49/CV4)</f>
        <v/>
      </c>
      <c r="CX49" s="37" t="str">
        <f t="shared" si="15"/>
        <v/>
      </c>
    </row>
    <row r="50" spans="1:102" outlineLevel="1" x14ac:dyDescent="0.25">
      <c r="A50" s="19" t="s">
        <v>12</v>
      </c>
      <c r="B50" s="101">
        <f>+'N EERR RODEO'!B49</f>
        <v>0</v>
      </c>
      <c r="C50" s="20" t="str">
        <f>IF(AND(B4=0,B50&gt;=0), "",B50/B4)</f>
        <v/>
      </c>
      <c r="D50" s="37" t="str">
        <f>IF(AND(B124=0,B50&gt;=0),"",B50/B124)</f>
        <v/>
      </c>
      <c r="E50" s="101">
        <f>+'N EERR RODEO'!C49</f>
        <v>0</v>
      </c>
      <c r="F50" s="20">
        <f>IF(AND(E4=0,E50&gt;=0), "",E50/E4)</f>
        <v>0</v>
      </c>
      <c r="G50" s="37">
        <f>IF(AND(E124=0,E50&gt;=0),"",E50/E124)</f>
        <v>0</v>
      </c>
      <c r="H50" s="101">
        <f>+'N EERR RODEO'!D49</f>
        <v>0</v>
      </c>
      <c r="I50" s="20">
        <f>IF(AND(H4=0,H50&gt;=0), "",H50/H4)</f>
        <v>0</v>
      </c>
      <c r="J50" s="37">
        <f>IF(AND(H124=0,H50&gt;=0),"",H50/H124)</f>
        <v>0</v>
      </c>
      <c r="K50" s="20" t="str">
        <f t="shared" si="19"/>
        <v/>
      </c>
      <c r="L50" s="102">
        <f t="shared" si="38"/>
        <v>0</v>
      </c>
      <c r="M50" s="20">
        <f>IF(AND(L4=0,L50&gt;=0), "",L50/L4)</f>
        <v>0</v>
      </c>
      <c r="N50" s="37">
        <f>IF(AND(L124=0,L50&gt;=0),"",L50/L124)</f>
        <v>0</v>
      </c>
      <c r="O50" s="101">
        <f>+'N EERR RODEO'!E49</f>
        <v>0</v>
      </c>
      <c r="P50" s="20">
        <f>IF(AND(O4=0,O50&gt;=0), "",O50/O4)</f>
        <v>0</v>
      </c>
      <c r="Q50" s="37">
        <f>IF(AND(O124=0,O50&gt;=0),"",O50/O124)</f>
        <v>0</v>
      </c>
      <c r="R50" s="20" t="str">
        <f t="shared" si="20"/>
        <v/>
      </c>
      <c r="S50" s="102">
        <f t="shared" si="39"/>
        <v>0</v>
      </c>
      <c r="T50" s="20">
        <f>IF(AND(S4=0,S50&gt;=0), "",S50/S4)</f>
        <v>0</v>
      </c>
      <c r="U50" s="37">
        <f>IF(AND(S124=0,S50&gt;=0),"",S50/S124)</f>
        <v>0</v>
      </c>
      <c r="V50" s="103"/>
      <c r="W50" s="20" t="str">
        <f>IF(AND(V4=0,V50&gt;=0), "",V50/V4)</f>
        <v/>
      </c>
      <c r="X50" s="37" t="str">
        <f t="shared" si="21"/>
        <v/>
      </c>
      <c r="Y50" s="101">
        <f>+'N EERR RODEO'!F49</f>
        <v>0</v>
      </c>
      <c r="Z50" s="20" t="str">
        <f>IF(AND(Y4=0,Y50&gt;=0), "",Y50/Y4)</f>
        <v/>
      </c>
      <c r="AA50" s="37" t="str">
        <f>IF(AND(Y124=0,Y50&gt;=0),"",Y50/Y124)</f>
        <v/>
      </c>
      <c r="AB50" s="20" t="str">
        <f t="shared" si="22"/>
        <v/>
      </c>
      <c r="AC50" s="102">
        <f t="shared" si="27"/>
        <v>0</v>
      </c>
      <c r="AD50" s="20">
        <f>IF(AND(AC4=0,AC50&gt;=0), "",AC50/AC4)</f>
        <v>0</v>
      </c>
      <c r="AE50" s="37">
        <f>IF(AND(AC124=0,AC50&gt;=0),"",AC50/AC124)</f>
        <v>0</v>
      </c>
      <c r="AF50" s="101">
        <f>+'N EERR RODEO'!G49</f>
        <v>0</v>
      </c>
      <c r="AG50" s="20" t="str">
        <f>IF(AND(AF4=0,AF50&gt;=0), "",AF50/AF4)</f>
        <v/>
      </c>
      <c r="AH50" s="37" t="str">
        <f>IF(AND(AF124=0,AF50&gt;=0),"",AF50/AF124)</f>
        <v/>
      </c>
      <c r="AI50" s="20" t="str">
        <f t="shared" si="4"/>
        <v/>
      </c>
      <c r="AJ50" s="102">
        <f t="shared" si="16"/>
        <v>0</v>
      </c>
      <c r="AK50" s="20">
        <f>IF(AND(AJ4=0,AJ50&gt;=0), "",AJ50/AJ4)</f>
        <v>0</v>
      </c>
      <c r="AL50" s="37">
        <f>IF(AND(AJ124=0,AJ50&gt;=0),"",AJ50/AJ124)</f>
        <v>0</v>
      </c>
      <c r="AM50" s="101">
        <f>+'N EERR RODEO'!H49</f>
        <v>0</v>
      </c>
      <c r="AN50" s="20" t="str">
        <f>IF(AND(AM4=0,AM50&gt;=0), "",AM50/AM4)</f>
        <v/>
      </c>
      <c r="AO50" s="37" t="str">
        <f>IF(AND(AM124=0,AM50&gt;=0),"",AM50/AM124)</f>
        <v/>
      </c>
      <c r="AP50" s="20" t="str">
        <f t="shared" si="5"/>
        <v/>
      </c>
      <c r="AQ50" s="102">
        <f t="shared" si="17"/>
        <v>0</v>
      </c>
      <c r="AR50" s="20">
        <f>IF(AND(AQ4=0,AQ50&gt;=0), "",AQ50/AQ4)</f>
        <v>0</v>
      </c>
      <c r="AS50" s="37">
        <f>IF(AND(AQ124=0,AQ50&gt;=0),"",AQ50/AQ124)</f>
        <v>0</v>
      </c>
      <c r="AT50" s="103">
        <f t="shared" si="28"/>
        <v>0</v>
      </c>
      <c r="AU50" s="20" t="str">
        <f>IF(AND(AT4=0,AT50&gt;=0), "",AT50/AT4)</f>
        <v/>
      </c>
      <c r="AV50" s="37" t="str">
        <f t="shared" si="23"/>
        <v/>
      </c>
      <c r="AW50" s="103">
        <f t="shared" si="40"/>
        <v>0</v>
      </c>
      <c r="AX50" s="20">
        <f>IF(AND(AW4=0,AW50&gt;=0), "",AW50/AW4)</f>
        <v>0</v>
      </c>
      <c r="AY50" s="37">
        <f>IF(AND(AW124=0,AW50&gt;=0),"",AW50/AW124)</f>
        <v>0</v>
      </c>
      <c r="AZ50" s="103">
        <f t="shared" si="29"/>
        <v>0</v>
      </c>
      <c r="BA50" s="20" t="str">
        <f>IF(AND(AZ4=0,AZ50&gt;=0), "",AZ50/AZ4)</f>
        <v/>
      </c>
      <c r="BB50" s="37" t="str">
        <f t="shared" si="24"/>
        <v/>
      </c>
      <c r="BC50" s="101">
        <f>+'N EERR RODEO'!I49</f>
        <v>0</v>
      </c>
      <c r="BD50" s="20" t="str">
        <f>IF(AND(BC4=0,BC50&gt;=0), "",BC50/BC4)</f>
        <v/>
      </c>
      <c r="BE50" s="37" t="str">
        <f>IF(AND(BC124=0,BC50&gt;=0),"",BC50/BC124)</f>
        <v/>
      </c>
      <c r="BF50" s="20" t="str">
        <f t="shared" si="25"/>
        <v/>
      </c>
      <c r="BG50" s="102">
        <f t="shared" si="30"/>
        <v>0</v>
      </c>
      <c r="BH50" s="20">
        <f>IF(AND(BG4=0,BG50&gt;=0), "",BG50/BG4)</f>
        <v>0</v>
      </c>
      <c r="BI50" s="37">
        <f>IF(AND(BG124=0,BG50&gt;=0),"",BG50/BG124)</f>
        <v>0</v>
      </c>
      <c r="BJ50" s="101">
        <f>+'N EERR RODEO'!J49</f>
        <v>0</v>
      </c>
      <c r="BK50" s="20" t="str">
        <f>IF(AND(BJ4=0,BJ50&gt;=0), "",BJ50/BJ4)</f>
        <v/>
      </c>
      <c r="BL50" s="37" t="str">
        <f>IF(AND(BJ124=0,BJ50&gt;=0),"",BJ50/BJ124)</f>
        <v/>
      </c>
      <c r="BM50" s="20" t="str">
        <f t="shared" si="9"/>
        <v/>
      </c>
      <c r="BN50" s="102">
        <f t="shared" si="31"/>
        <v>0</v>
      </c>
      <c r="BO50" s="20">
        <f>IF(AND(BN4=0,BN50&gt;=0), "",BN50/BN4)</f>
        <v>0</v>
      </c>
      <c r="BP50" s="37">
        <f>IF(AND(BN124=0,BN50&gt;=0),"",BN50/BN124)</f>
        <v>0</v>
      </c>
      <c r="BQ50" s="101">
        <f>+'N EERR RODEO'!K49</f>
        <v>0</v>
      </c>
      <c r="BR50" s="20" t="str">
        <f>IF(AND(BQ4=0,BQ50&gt;=0), "",BQ50/BQ4)</f>
        <v/>
      </c>
      <c r="BS50" s="37" t="str">
        <f>IF(AND(BQ124=0,BQ50&gt;=0),"",BQ50/BQ124)</f>
        <v/>
      </c>
      <c r="BT50" s="20" t="str">
        <f t="shared" si="10"/>
        <v/>
      </c>
      <c r="BU50" s="102">
        <f t="shared" si="32"/>
        <v>0</v>
      </c>
      <c r="BV50" s="20">
        <f>IF(AND(BU4=0,BU50&gt;=0), "",BU50/BU4)</f>
        <v>0</v>
      </c>
      <c r="BW50" s="37">
        <f>IF(AND(BU124=0,BU50&gt;=0),"",BU50/BU124)</f>
        <v>0</v>
      </c>
      <c r="BX50" s="103">
        <f t="shared" si="33"/>
        <v>0</v>
      </c>
      <c r="BY50" s="20" t="str">
        <f>IF(AND(BX4=0,BX50&gt;=0), "",BX50/BX4)</f>
        <v/>
      </c>
      <c r="BZ50" s="37" t="str">
        <f t="shared" si="11"/>
        <v/>
      </c>
      <c r="CA50" s="101">
        <f>+'N EERR RODEO'!L49</f>
        <v>0</v>
      </c>
      <c r="CB50" s="20" t="str">
        <f>IF(AND(CA4=0,CA50&gt;=0), "",CA50/CA4)</f>
        <v/>
      </c>
      <c r="CC50" s="37" t="str">
        <f>IF(AND(CA124=0,CA50&gt;=0),"",CA50/CA124)</f>
        <v/>
      </c>
      <c r="CD50" s="20" t="str">
        <f t="shared" si="26"/>
        <v/>
      </c>
      <c r="CE50" s="102">
        <f t="shared" si="34"/>
        <v>0</v>
      </c>
      <c r="CF50" s="20">
        <f>IF(AND(CE4=0,CE50&gt;=0), "",CE50/CE4)</f>
        <v>0</v>
      </c>
      <c r="CG50" s="37">
        <f>IF(AND(CE124=0,CE50&gt;=0),"",CE50/CE124)</f>
        <v>0</v>
      </c>
      <c r="CH50" s="101">
        <f>+'N EERR RODEO'!M49</f>
        <v>0</v>
      </c>
      <c r="CI50" s="20" t="str">
        <f>IF(AND(CH4=0,CH50&gt;=0), "",CH50/CH4)</f>
        <v/>
      </c>
      <c r="CJ50" s="37" t="str">
        <f>IF(AND(CH124=0,CH50&gt;=0),"",CH50/CH124)</f>
        <v/>
      </c>
      <c r="CK50" s="20" t="str">
        <f t="shared" si="13"/>
        <v/>
      </c>
      <c r="CL50" s="102">
        <f t="shared" si="35"/>
        <v>0</v>
      </c>
      <c r="CM50" s="20">
        <f>IF(AND(CL4=0,CL50&gt;=0), "",CL50/CL4)</f>
        <v>0</v>
      </c>
      <c r="CN50" s="37">
        <f>IF(AND(CL124=0,CL50&gt;=0),"",CL50/CL124)</f>
        <v>0</v>
      </c>
      <c r="CO50" s="101">
        <f>+'N EERR RODEO'!N49</f>
        <v>0</v>
      </c>
      <c r="CP50" s="20" t="str">
        <f>IF(AND(CO4=0,CO50&gt;=0), "",CO50/CO4)</f>
        <v/>
      </c>
      <c r="CQ50" s="37" t="str">
        <f>IF(AND(CO124=0,CO50&gt;=0),"",CO50/CO124)</f>
        <v/>
      </c>
      <c r="CR50" s="20" t="str">
        <f t="shared" si="14"/>
        <v/>
      </c>
      <c r="CS50" s="102">
        <f t="shared" si="36"/>
        <v>0</v>
      </c>
      <c r="CT50" s="20">
        <f>IF(AND(CS4=0,CS50&gt;=0), "",CS50/CS4)</f>
        <v>0</v>
      </c>
      <c r="CU50" s="37">
        <f>IF(AND(CS124=0,CS50&gt;=0),"",CS50/CS124)</f>
        <v>0</v>
      </c>
      <c r="CV50" s="103">
        <f t="shared" si="37"/>
        <v>0</v>
      </c>
      <c r="CW50" s="20" t="str">
        <f>IF(AND(CV4=0,CV50&gt;=0), "",CV50/CV4)</f>
        <v/>
      </c>
      <c r="CX50" s="37" t="str">
        <f t="shared" si="15"/>
        <v/>
      </c>
    </row>
    <row r="51" spans="1:102" outlineLevel="1" x14ac:dyDescent="0.25">
      <c r="A51" s="19" t="s">
        <v>13</v>
      </c>
      <c r="B51" s="101">
        <f>+'N EERR RODEO'!B50</f>
        <v>0</v>
      </c>
      <c r="C51" s="20" t="str">
        <f>IF(AND(B4=0,B51&gt;=0), "",B51/B4)</f>
        <v/>
      </c>
      <c r="D51" s="37" t="str">
        <f>IF(AND(B124=0,B51&gt;=0),"",B51/B124)</f>
        <v/>
      </c>
      <c r="E51" s="101">
        <f>+'N EERR RODEO'!C50</f>
        <v>0</v>
      </c>
      <c r="F51" s="20">
        <f>IF(AND(E4=0,E51&gt;=0), "",E51/E4)</f>
        <v>0</v>
      </c>
      <c r="G51" s="37">
        <f>IF(AND(E124=0,E51&gt;=0),"",E51/E124)</f>
        <v>0</v>
      </c>
      <c r="H51" s="101">
        <f>+'N EERR RODEO'!D50</f>
        <v>0</v>
      </c>
      <c r="I51" s="20">
        <f>IF(AND(H4=0,H51&gt;=0), "",H51/H4)</f>
        <v>0</v>
      </c>
      <c r="J51" s="37">
        <f>IF(AND(H124=0,H51&gt;=0),"",H51/H124)</f>
        <v>0</v>
      </c>
      <c r="K51" s="20" t="str">
        <f t="shared" si="19"/>
        <v/>
      </c>
      <c r="L51" s="102">
        <f t="shared" si="38"/>
        <v>0</v>
      </c>
      <c r="M51" s="20">
        <f>IF(AND(L4=0,L51&gt;=0), "",L51/L4)</f>
        <v>0</v>
      </c>
      <c r="N51" s="37">
        <f>IF(AND(L124=0,L51&gt;=0),"",L51/L124)</f>
        <v>0</v>
      </c>
      <c r="O51" s="101">
        <f>+'N EERR RODEO'!E50</f>
        <v>0</v>
      </c>
      <c r="P51" s="20">
        <f>IF(AND(O4=0,O51&gt;=0), "",O51/O4)</f>
        <v>0</v>
      </c>
      <c r="Q51" s="37">
        <f>IF(AND(O124=0,O51&gt;=0),"",O51/O124)</f>
        <v>0</v>
      </c>
      <c r="R51" s="20" t="str">
        <f t="shared" si="20"/>
        <v/>
      </c>
      <c r="S51" s="102">
        <f t="shared" si="39"/>
        <v>0</v>
      </c>
      <c r="T51" s="20">
        <f>IF(AND(S4=0,S51&gt;=0), "",S51/S4)</f>
        <v>0</v>
      </c>
      <c r="U51" s="37">
        <f>IF(AND(S124=0,S51&gt;=0),"",S51/S124)</f>
        <v>0</v>
      </c>
      <c r="V51" s="103"/>
      <c r="W51" s="20" t="str">
        <f>IF(AND(V4=0,V51&gt;=0), "",V51/V4)</f>
        <v/>
      </c>
      <c r="X51" s="37" t="str">
        <f t="shared" si="21"/>
        <v/>
      </c>
      <c r="Y51" s="101">
        <f>+'N EERR RODEO'!F50</f>
        <v>0</v>
      </c>
      <c r="Z51" s="20" t="str">
        <f>IF(AND(Y4=0,Y51&gt;=0), "",Y51/Y4)</f>
        <v/>
      </c>
      <c r="AA51" s="37" t="str">
        <f>IF(AND(Y124=0,Y51&gt;=0),"",Y51/Y124)</f>
        <v/>
      </c>
      <c r="AB51" s="20" t="str">
        <f t="shared" si="22"/>
        <v/>
      </c>
      <c r="AC51" s="102">
        <f t="shared" si="27"/>
        <v>0</v>
      </c>
      <c r="AD51" s="20">
        <f>IF(AND(AC4=0,AC51&gt;=0), "",AC51/AC4)</f>
        <v>0</v>
      </c>
      <c r="AE51" s="37">
        <f>IF(AND(AC124=0,AC51&gt;=0),"",AC51/AC124)</f>
        <v>0</v>
      </c>
      <c r="AF51" s="101">
        <f>+'N EERR RODEO'!G50</f>
        <v>0</v>
      </c>
      <c r="AG51" s="20" t="str">
        <f>IF(AND(AF4=0,AF51&gt;=0), "",AF51/AF4)</f>
        <v/>
      </c>
      <c r="AH51" s="37" t="str">
        <f>IF(AND(AF124=0,AF51&gt;=0),"",AF51/AF124)</f>
        <v/>
      </c>
      <c r="AI51" s="20" t="str">
        <f t="shared" si="4"/>
        <v/>
      </c>
      <c r="AJ51" s="102">
        <f t="shared" si="16"/>
        <v>0</v>
      </c>
      <c r="AK51" s="20">
        <f>IF(AND(AJ4=0,AJ51&gt;=0), "",AJ51/AJ4)</f>
        <v>0</v>
      </c>
      <c r="AL51" s="37">
        <f>IF(AND(AJ124=0,AJ51&gt;=0),"",AJ51/AJ124)</f>
        <v>0</v>
      </c>
      <c r="AM51" s="101">
        <f>+'N EERR RODEO'!H50</f>
        <v>0</v>
      </c>
      <c r="AN51" s="20" t="str">
        <f>IF(AND(AM4=0,AM51&gt;=0), "",AM51/AM4)</f>
        <v/>
      </c>
      <c r="AO51" s="37" t="str">
        <f>IF(AND(AM124=0,AM51&gt;=0),"",AM51/AM124)</f>
        <v/>
      </c>
      <c r="AP51" s="20" t="str">
        <f t="shared" si="5"/>
        <v/>
      </c>
      <c r="AQ51" s="102">
        <f t="shared" si="17"/>
        <v>0</v>
      </c>
      <c r="AR51" s="20">
        <f>IF(AND(AQ4=0,AQ51&gt;=0), "",AQ51/AQ4)</f>
        <v>0</v>
      </c>
      <c r="AS51" s="37">
        <f>IF(AND(AQ124=0,AQ51&gt;=0),"",AQ51/AQ124)</f>
        <v>0</v>
      </c>
      <c r="AT51" s="103">
        <f t="shared" si="28"/>
        <v>0</v>
      </c>
      <c r="AU51" s="20" t="str">
        <f>IF(AND(AT4=0,AT51&gt;=0), "",AT51/AT4)</f>
        <v/>
      </c>
      <c r="AV51" s="37" t="str">
        <f t="shared" si="23"/>
        <v/>
      </c>
      <c r="AW51" s="103">
        <f t="shared" si="40"/>
        <v>0</v>
      </c>
      <c r="AX51" s="20">
        <f>IF(AND(AW4=0,AW51&gt;=0), "",AW51/AW4)</f>
        <v>0</v>
      </c>
      <c r="AY51" s="37">
        <f>IF(AND(AW124=0,AW51&gt;=0),"",AW51/AW124)</f>
        <v>0</v>
      </c>
      <c r="AZ51" s="103">
        <f t="shared" si="29"/>
        <v>0</v>
      </c>
      <c r="BA51" s="20" t="str">
        <f>IF(AND(AZ4=0,AZ51&gt;=0), "",AZ51/AZ4)</f>
        <v/>
      </c>
      <c r="BB51" s="37" t="str">
        <f t="shared" si="24"/>
        <v/>
      </c>
      <c r="BC51" s="101">
        <f>+'N EERR RODEO'!I50</f>
        <v>0</v>
      </c>
      <c r="BD51" s="20" t="str">
        <f>IF(AND(BC4=0,BC51&gt;=0), "",BC51/BC4)</f>
        <v/>
      </c>
      <c r="BE51" s="37" t="str">
        <f>IF(AND(BC124=0,BC51&gt;=0),"",BC51/BC124)</f>
        <v/>
      </c>
      <c r="BF51" s="20" t="str">
        <f t="shared" si="25"/>
        <v/>
      </c>
      <c r="BG51" s="102">
        <f t="shared" si="30"/>
        <v>0</v>
      </c>
      <c r="BH51" s="20">
        <f>IF(AND(BG4=0,BG51&gt;=0), "",BG51/BG4)</f>
        <v>0</v>
      </c>
      <c r="BI51" s="37">
        <f>IF(AND(BG124=0,BG51&gt;=0),"",BG51/BG124)</f>
        <v>0</v>
      </c>
      <c r="BJ51" s="101">
        <f>+'N EERR RODEO'!J50</f>
        <v>0</v>
      </c>
      <c r="BK51" s="20" t="str">
        <f>IF(AND(BJ4=0,BJ51&gt;=0), "",BJ51/BJ4)</f>
        <v/>
      </c>
      <c r="BL51" s="37" t="str">
        <f>IF(AND(BJ124=0,BJ51&gt;=0),"",BJ51/BJ124)</f>
        <v/>
      </c>
      <c r="BM51" s="20" t="str">
        <f t="shared" si="9"/>
        <v/>
      </c>
      <c r="BN51" s="102">
        <f t="shared" si="31"/>
        <v>0</v>
      </c>
      <c r="BO51" s="20">
        <f>IF(AND(BN4=0,BN51&gt;=0), "",BN51/BN4)</f>
        <v>0</v>
      </c>
      <c r="BP51" s="37">
        <f>IF(AND(BN124=0,BN51&gt;=0),"",BN51/BN124)</f>
        <v>0</v>
      </c>
      <c r="BQ51" s="101">
        <f>+'N EERR RODEO'!K50</f>
        <v>0</v>
      </c>
      <c r="BR51" s="20" t="str">
        <f>IF(AND(BQ4=0,BQ51&gt;=0), "",BQ51/BQ4)</f>
        <v/>
      </c>
      <c r="BS51" s="37" t="str">
        <f>IF(AND(BQ124=0,BQ51&gt;=0),"",BQ51/BQ124)</f>
        <v/>
      </c>
      <c r="BT51" s="20" t="str">
        <f t="shared" si="10"/>
        <v/>
      </c>
      <c r="BU51" s="102">
        <f t="shared" si="32"/>
        <v>0</v>
      </c>
      <c r="BV51" s="20">
        <f>IF(AND(BU4=0,BU51&gt;=0), "",BU51/BU4)</f>
        <v>0</v>
      </c>
      <c r="BW51" s="37">
        <f>IF(AND(BU124=0,BU51&gt;=0),"",BU51/BU124)</f>
        <v>0</v>
      </c>
      <c r="BX51" s="103">
        <f t="shared" si="33"/>
        <v>0</v>
      </c>
      <c r="BY51" s="20" t="str">
        <f>IF(AND(BX4=0,BX51&gt;=0), "",BX51/BX4)</f>
        <v/>
      </c>
      <c r="BZ51" s="37" t="str">
        <f t="shared" si="11"/>
        <v/>
      </c>
      <c r="CA51" s="101">
        <f>+'N EERR RODEO'!L50</f>
        <v>0</v>
      </c>
      <c r="CB51" s="20" t="str">
        <f>IF(AND(CA4=0,CA51&gt;=0), "",CA51/CA4)</f>
        <v/>
      </c>
      <c r="CC51" s="37" t="str">
        <f>IF(AND(CA124=0,CA51&gt;=0),"",CA51/CA124)</f>
        <v/>
      </c>
      <c r="CD51" s="20" t="str">
        <f t="shared" si="26"/>
        <v/>
      </c>
      <c r="CE51" s="102">
        <f t="shared" si="34"/>
        <v>0</v>
      </c>
      <c r="CF51" s="20">
        <f>IF(AND(CE4=0,CE51&gt;=0), "",CE51/CE4)</f>
        <v>0</v>
      </c>
      <c r="CG51" s="37">
        <f>IF(AND(CE124=0,CE51&gt;=0),"",CE51/CE124)</f>
        <v>0</v>
      </c>
      <c r="CH51" s="101">
        <f>+'N EERR RODEO'!M50</f>
        <v>0</v>
      </c>
      <c r="CI51" s="20" t="str">
        <f>IF(AND(CH4=0,CH51&gt;=0), "",CH51/CH4)</f>
        <v/>
      </c>
      <c r="CJ51" s="37" t="str">
        <f>IF(AND(CH124=0,CH51&gt;=0),"",CH51/CH124)</f>
        <v/>
      </c>
      <c r="CK51" s="20" t="str">
        <f t="shared" si="13"/>
        <v/>
      </c>
      <c r="CL51" s="102">
        <f t="shared" si="35"/>
        <v>0</v>
      </c>
      <c r="CM51" s="20">
        <f>IF(AND(CL4=0,CL51&gt;=0), "",CL51/CL4)</f>
        <v>0</v>
      </c>
      <c r="CN51" s="37">
        <f>IF(AND(CL124=0,CL51&gt;=0),"",CL51/CL124)</f>
        <v>0</v>
      </c>
      <c r="CO51" s="101">
        <f>+'N EERR RODEO'!N50</f>
        <v>0</v>
      </c>
      <c r="CP51" s="20" t="str">
        <f>IF(AND(CO4=0,CO51&gt;=0), "",CO51/CO4)</f>
        <v/>
      </c>
      <c r="CQ51" s="37" t="str">
        <f>IF(AND(CO124=0,CO51&gt;=0),"",CO51/CO124)</f>
        <v/>
      </c>
      <c r="CR51" s="20" t="str">
        <f t="shared" si="14"/>
        <v/>
      </c>
      <c r="CS51" s="102">
        <f t="shared" si="36"/>
        <v>0</v>
      </c>
      <c r="CT51" s="20">
        <f>IF(AND(CS4=0,CS51&gt;=0), "",CS51/CS4)</f>
        <v>0</v>
      </c>
      <c r="CU51" s="37">
        <f>IF(AND(CS124=0,CS51&gt;=0),"",CS51/CS124)</f>
        <v>0</v>
      </c>
      <c r="CV51" s="103">
        <f t="shared" si="37"/>
        <v>0</v>
      </c>
      <c r="CW51" s="20" t="str">
        <f>IF(AND(CV4=0,CV51&gt;=0), "",CV51/CV4)</f>
        <v/>
      </c>
      <c r="CX51" s="37" t="str">
        <f t="shared" si="15"/>
        <v/>
      </c>
    </row>
    <row r="52" spans="1:102" outlineLevel="1" x14ac:dyDescent="0.25">
      <c r="A52" s="19" t="s">
        <v>14</v>
      </c>
      <c r="B52" s="101">
        <f>+'N EERR RODEO'!B51</f>
        <v>0</v>
      </c>
      <c r="C52" s="20" t="str">
        <f>IF(AND(B4=0,B52&gt;=0), "",B52/B4)</f>
        <v/>
      </c>
      <c r="D52" s="37" t="str">
        <f>IF(AND(B124=0,B52&gt;=0),"",B52/B124)</f>
        <v/>
      </c>
      <c r="E52" s="101">
        <f>+'N EERR RODEO'!C51</f>
        <v>0</v>
      </c>
      <c r="F52" s="20">
        <f>IF(AND(E4=0,E52&gt;=0), "",E52/E4)</f>
        <v>0</v>
      </c>
      <c r="G52" s="37">
        <f>IF(AND(E124=0,E52&gt;=0),"",E52/E124)</f>
        <v>0</v>
      </c>
      <c r="H52" s="101">
        <f>+'N EERR RODEO'!D51</f>
        <v>0</v>
      </c>
      <c r="I52" s="20">
        <f>IF(AND(H4=0,H52&gt;=0), "",H52/H4)</f>
        <v>0</v>
      </c>
      <c r="J52" s="37">
        <f>IF(AND(H124=0,H52&gt;=0),"",H52/H124)</f>
        <v>0</v>
      </c>
      <c r="K52" s="20" t="str">
        <f t="shared" si="19"/>
        <v/>
      </c>
      <c r="L52" s="102">
        <f t="shared" si="38"/>
        <v>0</v>
      </c>
      <c r="M52" s="20">
        <f>IF(AND(L4=0,L52&gt;=0), "",L52/L4)</f>
        <v>0</v>
      </c>
      <c r="N52" s="37">
        <f>IF(AND(L124=0,L52&gt;=0),"",L52/L124)</f>
        <v>0</v>
      </c>
      <c r="O52" s="101">
        <f>+'N EERR RODEO'!E51</f>
        <v>0</v>
      </c>
      <c r="P52" s="20">
        <f>IF(AND(O4=0,O52&gt;=0), "",O52/O4)</f>
        <v>0</v>
      </c>
      <c r="Q52" s="37">
        <f>IF(AND(O124=0,O52&gt;=0),"",O52/O124)</f>
        <v>0</v>
      </c>
      <c r="R52" s="20" t="str">
        <f t="shared" si="20"/>
        <v/>
      </c>
      <c r="S52" s="102">
        <f t="shared" si="39"/>
        <v>0</v>
      </c>
      <c r="T52" s="20">
        <f>IF(AND(S4=0,S52&gt;=0), "",S52/S4)</f>
        <v>0</v>
      </c>
      <c r="U52" s="37">
        <f>IF(AND(S124=0,S52&gt;=0),"",S52/S124)</f>
        <v>0</v>
      </c>
      <c r="V52" s="103"/>
      <c r="W52" s="20" t="str">
        <f>IF(AND(V4=0,V52&gt;=0), "",V52/V4)</f>
        <v/>
      </c>
      <c r="X52" s="37" t="str">
        <f t="shared" si="21"/>
        <v/>
      </c>
      <c r="Y52" s="101">
        <f>+'N EERR RODEO'!F51</f>
        <v>0</v>
      </c>
      <c r="Z52" s="20" t="str">
        <f>IF(AND(Y4=0,Y52&gt;=0), "",Y52/Y4)</f>
        <v/>
      </c>
      <c r="AA52" s="37" t="str">
        <f>IF(AND(Y124=0,Y52&gt;=0),"",Y52/Y124)</f>
        <v/>
      </c>
      <c r="AB52" s="20" t="str">
        <f t="shared" si="22"/>
        <v/>
      </c>
      <c r="AC52" s="102">
        <f t="shared" si="27"/>
        <v>0</v>
      </c>
      <c r="AD52" s="20">
        <f>IF(AND(AC4=0,AC52&gt;=0), "",AC52/AC4)</f>
        <v>0</v>
      </c>
      <c r="AE52" s="37">
        <f>IF(AND(AC124=0,AC52&gt;=0),"",AC52/AC124)</f>
        <v>0</v>
      </c>
      <c r="AF52" s="101">
        <f>+'N EERR RODEO'!G51</f>
        <v>0</v>
      </c>
      <c r="AG52" s="20" t="str">
        <f>IF(AND(AF4=0,AF52&gt;=0), "",AF52/AF4)</f>
        <v/>
      </c>
      <c r="AH52" s="37" t="str">
        <f>IF(AND(AF124=0,AF52&gt;=0),"",AF52/AF124)</f>
        <v/>
      </c>
      <c r="AI52" s="20" t="str">
        <f t="shared" si="4"/>
        <v/>
      </c>
      <c r="AJ52" s="102">
        <f t="shared" si="16"/>
        <v>0</v>
      </c>
      <c r="AK52" s="20">
        <f>IF(AND(AJ4=0,AJ52&gt;=0), "",AJ52/AJ4)</f>
        <v>0</v>
      </c>
      <c r="AL52" s="37">
        <f>IF(AND(AJ124=0,AJ52&gt;=0),"",AJ52/AJ124)</f>
        <v>0</v>
      </c>
      <c r="AM52" s="101">
        <f>+'N EERR RODEO'!H51</f>
        <v>0</v>
      </c>
      <c r="AN52" s="20" t="str">
        <f>IF(AND(AM4=0,AM52&gt;=0), "",AM52/AM4)</f>
        <v/>
      </c>
      <c r="AO52" s="37" t="str">
        <f>IF(AND(AM124=0,AM52&gt;=0),"",AM52/AM124)</f>
        <v/>
      </c>
      <c r="AP52" s="20" t="str">
        <f t="shared" si="5"/>
        <v/>
      </c>
      <c r="AQ52" s="102">
        <f t="shared" si="17"/>
        <v>0</v>
      </c>
      <c r="AR52" s="20">
        <f>IF(AND(AQ4=0,AQ52&gt;=0), "",AQ52/AQ4)</f>
        <v>0</v>
      </c>
      <c r="AS52" s="37">
        <f>IF(AND(AQ124=0,AQ52&gt;=0),"",AQ52/AQ124)</f>
        <v>0</v>
      </c>
      <c r="AT52" s="103">
        <f t="shared" si="28"/>
        <v>0</v>
      </c>
      <c r="AU52" s="20" t="str">
        <f>IF(AND(AT4=0,AT52&gt;=0), "",AT52/AT4)</f>
        <v/>
      </c>
      <c r="AV52" s="37" t="str">
        <f t="shared" si="23"/>
        <v/>
      </c>
      <c r="AW52" s="103">
        <f t="shared" si="40"/>
        <v>0</v>
      </c>
      <c r="AX52" s="20">
        <f>IF(AND(AW4=0,AW52&gt;=0), "",AW52/AW4)</f>
        <v>0</v>
      </c>
      <c r="AY52" s="37">
        <f>IF(AND(AW124=0,AW52&gt;=0),"",AW52/AW124)</f>
        <v>0</v>
      </c>
      <c r="AZ52" s="103">
        <f t="shared" si="29"/>
        <v>0</v>
      </c>
      <c r="BA52" s="20" t="str">
        <f>IF(AND(AZ4=0,AZ52&gt;=0), "",AZ52/AZ4)</f>
        <v/>
      </c>
      <c r="BB52" s="37" t="str">
        <f t="shared" si="24"/>
        <v/>
      </c>
      <c r="BC52" s="101">
        <f>+'N EERR RODEO'!I51</f>
        <v>0</v>
      </c>
      <c r="BD52" s="20" t="str">
        <f>IF(AND(BC4=0,BC52&gt;=0), "",BC52/BC4)</f>
        <v/>
      </c>
      <c r="BE52" s="37" t="str">
        <f>IF(AND(BC124=0,BC52&gt;=0),"",BC52/BC124)</f>
        <v/>
      </c>
      <c r="BF52" s="20" t="str">
        <f t="shared" si="25"/>
        <v/>
      </c>
      <c r="BG52" s="102">
        <f t="shared" si="30"/>
        <v>0</v>
      </c>
      <c r="BH52" s="20">
        <f>IF(AND(BG4=0,BG52&gt;=0), "",BG52/BG4)</f>
        <v>0</v>
      </c>
      <c r="BI52" s="37">
        <f>IF(AND(BG124=0,BG52&gt;=0),"",BG52/BG124)</f>
        <v>0</v>
      </c>
      <c r="BJ52" s="101">
        <f>+'N EERR RODEO'!J51</f>
        <v>0</v>
      </c>
      <c r="BK52" s="20" t="str">
        <f>IF(AND(BJ4=0,BJ52&gt;=0), "",BJ52/BJ4)</f>
        <v/>
      </c>
      <c r="BL52" s="37" t="str">
        <f>IF(AND(BJ124=0,BJ52&gt;=0),"",BJ52/BJ124)</f>
        <v/>
      </c>
      <c r="BM52" s="20" t="str">
        <f t="shared" si="9"/>
        <v/>
      </c>
      <c r="BN52" s="102">
        <f t="shared" si="31"/>
        <v>0</v>
      </c>
      <c r="BO52" s="20">
        <f>IF(AND(BN4=0,BN52&gt;=0), "",BN52/BN4)</f>
        <v>0</v>
      </c>
      <c r="BP52" s="37">
        <f>IF(AND(BN124=0,BN52&gt;=0),"",BN52/BN124)</f>
        <v>0</v>
      </c>
      <c r="BQ52" s="101">
        <f>+'N EERR RODEO'!K51</f>
        <v>0</v>
      </c>
      <c r="BR52" s="20" t="str">
        <f>IF(AND(BQ4=0,BQ52&gt;=0), "",BQ52/BQ4)</f>
        <v/>
      </c>
      <c r="BS52" s="37" t="str">
        <f>IF(AND(BQ124=0,BQ52&gt;=0),"",BQ52/BQ124)</f>
        <v/>
      </c>
      <c r="BT52" s="20" t="str">
        <f t="shared" si="10"/>
        <v/>
      </c>
      <c r="BU52" s="102">
        <f t="shared" si="32"/>
        <v>0</v>
      </c>
      <c r="BV52" s="20">
        <f>IF(AND(BU4=0,BU52&gt;=0), "",BU52/BU4)</f>
        <v>0</v>
      </c>
      <c r="BW52" s="37">
        <f>IF(AND(BU124=0,BU52&gt;=0),"",BU52/BU124)</f>
        <v>0</v>
      </c>
      <c r="BX52" s="103">
        <f t="shared" si="33"/>
        <v>0</v>
      </c>
      <c r="BY52" s="20" t="str">
        <f>IF(AND(BX4=0,BX52&gt;=0), "",BX52/BX4)</f>
        <v/>
      </c>
      <c r="BZ52" s="37" t="str">
        <f t="shared" si="11"/>
        <v/>
      </c>
      <c r="CA52" s="101">
        <f>+'N EERR RODEO'!L51</f>
        <v>0</v>
      </c>
      <c r="CB52" s="20" t="str">
        <f>IF(AND(CA4=0,CA52&gt;=0), "",CA52/CA4)</f>
        <v/>
      </c>
      <c r="CC52" s="37" t="str">
        <f>IF(AND(CA124=0,CA52&gt;=0),"",CA52/CA124)</f>
        <v/>
      </c>
      <c r="CD52" s="20" t="str">
        <f t="shared" si="26"/>
        <v/>
      </c>
      <c r="CE52" s="102">
        <f t="shared" si="34"/>
        <v>0</v>
      </c>
      <c r="CF52" s="20">
        <f>IF(AND(CE4=0,CE52&gt;=0), "",CE52/CE4)</f>
        <v>0</v>
      </c>
      <c r="CG52" s="37">
        <f>IF(AND(CE124=0,CE52&gt;=0),"",CE52/CE124)</f>
        <v>0</v>
      </c>
      <c r="CH52" s="101">
        <f>+'N EERR RODEO'!M51</f>
        <v>0</v>
      </c>
      <c r="CI52" s="20" t="str">
        <f>IF(AND(CH4=0,CH52&gt;=0), "",CH52/CH4)</f>
        <v/>
      </c>
      <c r="CJ52" s="37" t="str">
        <f>IF(AND(CH124=0,CH52&gt;=0),"",CH52/CH124)</f>
        <v/>
      </c>
      <c r="CK52" s="20" t="str">
        <f t="shared" si="13"/>
        <v/>
      </c>
      <c r="CL52" s="102">
        <f t="shared" si="35"/>
        <v>0</v>
      </c>
      <c r="CM52" s="20">
        <f>IF(AND(CL4=0,CL52&gt;=0), "",CL52/CL4)</f>
        <v>0</v>
      </c>
      <c r="CN52" s="37">
        <f>IF(AND(CL124=0,CL52&gt;=0),"",CL52/CL124)</f>
        <v>0</v>
      </c>
      <c r="CO52" s="101">
        <f>+'N EERR RODEO'!N51</f>
        <v>0</v>
      </c>
      <c r="CP52" s="20" t="str">
        <f>IF(AND(CO4=0,CO52&gt;=0), "",CO52/CO4)</f>
        <v/>
      </c>
      <c r="CQ52" s="37" t="str">
        <f>IF(AND(CO124=0,CO52&gt;=0),"",CO52/CO124)</f>
        <v/>
      </c>
      <c r="CR52" s="20" t="str">
        <f t="shared" si="14"/>
        <v/>
      </c>
      <c r="CS52" s="102">
        <f t="shared" si="36"/>
        <v>0</v>
      </c>
      <c r="CT52" s="20">
        <f>IF(AND(CS4=0,CS52&gt;=0), "",CS52/CS4)</f>
        <v>0</v>
      </c>
      <c r="CU52" s="37">
        <f>IF(AND(CS124=0,CS52&gt;=0),"",CS52/CS124)</f>
        <v>0</v>
      </c>
      <c r="CV52" s="103">
        <f t="shared" si="37"/>
        <v>0</v>
      </c>
      <c r="CW52" s="20" t="str">
        <f>IF(AND(CV4=0,CV52&gt;=0), "",CV52/CV4)</f>
        <v/>
      </c>
      <c r="CX52" s="37" t="str">
        <f t="shared" si="15"/>
        <v/>
      </c>
    </row>
    <row r="53" spans="1:102" outlineLevel="1" x14ac:dyDescent="0.25">
      <c r="A53" s="19" t="s">
        <v>15</v>
      </c>
      <c r="B53" s="101">
        <f>+'N EERR RODEO'!B52</f>
        <v>0</v>
      </c>
      <c r="C53" s="20" t="str">
        <f>IF(AND(B4=0,B53&gt;=0), "",B53/B4)</f>
        <v/>
      </c>
      <c r="D53" s="37" t="str">
        <f>IF(AND(B124=0,B53&gt;=0),"",B53/B124)</f>
        <v/>
      </c>
      <c r="E53" s="101">
        <f>+'N EERR RODEO'!C52</f>
        <v>0</v>
      </c>
      <c r="F53" s="20">
        <f>IF(AND(E4=0,E53&gt;=0), "",E53/E4)</f>
        <v>0</v>
      </c>
      <c r="G53" s="37">
        <f>IF(AND(E124=0,E53&gt;=0),"",E53/E124)</f>
        <v>0</v>
      </c>
      <c r="H53" s="101">
        <f>+'N EERR RODEO'!D52</f>
        <v>0</v>
      </c>
      <c r="I53" s="20">
        <f>IF(AND(H4=0,H53&gt;=0), "",H53/H4)</f>
        <v>0</v>
      </c>
      <c r="J53" s="37">
        <f>IF(AND(H124=0,H53&gt;=0),"",H53/H124)</f>
        <v>0</v>
      </c>
      <c r="K53" s="20" t="str">
        <f t="shared" si="19"/>
        <v/>
      </c>
      <c r="L53" s="102">
        <f t="shared" si="38"/>
        <v>0</v>
      </c>
      <c r="M53" s="20">
        <f>IF(AND(L4=0,L53&gt;=0), "",L53/L4)</f>
        <v>0</v>
      </c>
      <c r="N53" s="37">
        <f>IF(AND(L124=0,L53&gt;=0),"",L53/L124)</f>
        <v>0</v>
      </c>
      <c r="O53" s="101">
        <f>+'N EERR RODEO'!E52</f>
        <v>0</v>
      </c>
      <c r="P53" s="20">
        <f>IF(AND(O4=0,O53&gt;=0), "",O53/O4)</f>
        <v>0</v>
      </c>
      <c r="Q53" s="37">
        <f>IF(AND(O124=0,O53&gt;=0),"",O53/O124)</f>
        <v>0</v>
      </c>
      <c r="R53" s="20" t="str">
        <f t="shared" si="20"/>
        <v/>
      </c>
      <c r="S53" s="102">
        <f t="shared" si="39"/>
        <v>0</v>
      </c>
      <c r="T53" s="20">
        <f>IF(AND(S4=0,S53&gt;=0), "",S53/S4)</f>
        <v>0</v>
      </c>
      <c r="U53" s="37">
        <f>IF(AND(S124=0,S53&gt;=0),"",S53/S124)</f>
        <v>0</v>
      </c>
      <c r="V53" s="103"/>
      <c r="W53" s="20" t="str">
        <f>IF(AND(V4=0,V53&gt;=0), "",V53/V4)</f>
        <v/>
      </c>
      <c r="X53" s="37" t="str">
        <f t="shared" si="21"/>
        <v/>
      </c>
      <c r="Y53" s="101">
        <f>+'N EERR RODEO'!F52</f>
        <v>0</v>
      </c>
      <c r="Z53" s="20" t="str">
        <f>IF(AND(Y4=0,Y53&gt;=0), "",Y53/Y4)</f>
        <v/>
      </c>
      <c r="AA53" s="37" t="str">
        <f>IF(AND(Y124=0,Y53&gt;=0),"",Y53/Y124)</f>
        <v/>
      </c>
      <c r="AB53" s="20" t="str">
        <f t="shared" si="22"/>
        <v/>
      </c>
      <c r="AC53" s="102">
        <f t="shared" si="27"/>
        <v>0</v>
      </c>
      <c r="AD53" s="20">
        <f>IF(AND(AC4=0,AC53&gt;=0), "",AC53/AC4)</f>
        <v>0</v>
      </c>
      <c r="AE53" s="37">
        <f>IF(AND(AC124=0,AC53&gt;=0),"",AC53/AC124)</f>
        <v>0</v>
      </c>
      <c r="AF53" s="101">
        <f>+'N EERR RODEO'!G52</f>
        <v>0</v>
      </c>
      <c r="AG53" s="20" t="str">
        <f>IF(AND(AF4=0,AF53&gt;=0), "",AF53/AF4)</f>
        <v/>
      </c>
      <c r="AH53" s="37" t="str">
        <f>IF(AND(AF124=0,AF53&gt;=0),"",AF53/AF124)</f>
        <v/>
      </c>
      <c r="AI53" s="20" t="str">
        <f t="shared" si="4"/>
        <v/>
      </c>
      <c r="AJ53" s="102">
        <f t="shared" si="16"/>
        <v>0</v>
      </c>
      <c r="AK53" s="20">
        <f>IF(AND(AJ4=0,AJ53&gt;=0), "",AJ53/AJ4)</f>
        <v>0</v>
      </c>
      <c r="AL53" s="37">
        <f>IF(AND(AJ124=0,AJ53&gt;=0),"",AJ53/AJ124)</f>
        <v>0</v>
      </c>
      <c r="AM53" s="101">
        <f>+'N EERR RODEO'!H52</f>
        <v>0</v>
      </c>
      <c r="AN53" s="20" t="str">
        <f>IF(AND(AM4=0,AM53&gt;=0), "",AM53/AM4)</f>
        <v/>
      </c>
      <c r="AO53" s="37" t="str">
        <f>IF(AND(AM124=0,AM53&gt;=0),"",AM53/AM124)</f>
        <v/>
      </c>
      <c r="AP53" s="20" t="str">
        <f t="shared" si="5"/>
        <v/>
      </c>
      <c r="AQ53" s="102">
        <f t="shared" si="17"/>
        <v>0</v>
      </c>
      <c r="AR53" s="20">
        <f>IF(AND(AQ4=0,AQ53&gt;=0), "",AQ53/AQ4)</f>
        <v>0</v>
      </c>
      <c r="AS53" s="37">
        <f>IF(AND(AQ124=0,AQ53&gt;=0),"",AQ53/AQ124)</f>
        <v>0</v>
      </c>
      <c r="AT53" s="103">
        <f t="shared" si="28"/>
        <v>0</v>
      </c>
      <c r="AU53" s="20" t="str">
        <f>IF(AND(AT4=0,AT53&gt;=0), "",AT53/AT4)</f>
        <v/>
      </c>
      <c r="AV53" s="37" t="str">
        <f t="shared" si="23"/>
        <v/>
      </c>
      <c r="AW53" s="103">
        <f t="shared" si="40"/>
        <v>0</v>
      </c>
      <c r="AX53" s="20">
        <f>IF(AND(AW4=0,AW53&gt;=0), "",AW53/AW4)</f>
        <v>0</v>
      </c>
      <c r="AY53" s="37">
        <f>IF(AND(AW124=0,AW53&gt;=0),"",AW53/AW124)</f>
        <v>0</v>
      </c>
      <c r="AZ53" s="103">
        <f t="shared" si="29"/>
        <v>0</v>
      </c>
      <c r="BA53" s="20" t="str">
        <f>IF(AND(AZ4=0,AZ53&gt;=0), "",AZ53/AZ4)</f>
        <v/>
      </c>
      <c r="BB53" s="37" t="str">
        <f t="shared" si="24"/>
        <v/>
      </c>
      <c r="BC53" s="101">
        <f>+'N EERR RODEO'!I52</f>
        <v>0</v>
      </c>
      <c r="BD53" s="20" t="str">
        <f>IF(AND(BC4=0,BC53&gt;=0), "",BC53/BC4)</f>
        <v/>
      </c>
      <c r="BE53" s="37" t="str">
        <f>IF(AND(BC124=0,BC53&gt;=0),"",BC53/BC124)</f>
        <v/>
      </c>
      <c r="BF53" s="20" t="str">
        <f t="shared" si="25"/>
        <v/>
      </c>
      <c r="BG53" s="102">
        <f t="shared" si="30"/>
        <v>0</v>
      </c>
      <c r="BH53" s="20">
        <f>IF(AND(BG4=0,BG53&gt;=0), "",BG53/BG4)</f>
        <v>0</v>
      </c>
      <c r="BI53" s="37">
        <f>IF(AND(BG124=0,BG53&gt;=0),"",BG53/BG124)</f>
        <v>0</v>
      </c>
      <c r="BJ53" s="101">
        <f>+'N EERR RODEO'!J52</f>
        <v>0</v>
      </c>
      <c r="BK53" s="20" t="str">
        <f>IF(AND(BJ4=0,BJ53&gt;=0), "",BJ53/BJ4)</f>
        <v/>
      </c>
      <c r="BL53" s="37" t="str">
        <f>IF(AND(BJ124=0,BJ53&gt;=0),"",BJ53/BJ124)</f>
        <v/>
      </c>
      <c r="BM53" s="20" t="str">
        <f t="shared" si="9"/>
        <v/>
      </c>
      <c r="BN53" s="102">
        <f t="shared" si="31"/>
        <v>0</v>
      </c>
      <c r="BO53" s="20">
        <f>IF(AND(BN4=0,BN53&gt;=0), "",BN53/BN4)</f>
        <v>0</v>
      </c>
      <c r="BP53" s="37">
        <f>IF(AND(BN124=0,BN53&gt;=0),"",BN53/BN124)</f>
        <v>0</v>
      </c>
      <c r="BQ53" s="101">
        <f>+'N EERR RODEO'!K52</f>
        <v>0</v>
      </c>
      <c r="BR53" s="20" t="str">
        <f>IF(AND(BQ4=0,BQ53&gt;=0), "",BQ53/BQ4)</f>
        <v/>
      </c>
      <c r="BS53" s="37" t="str">
        <f>IF(AND(BQ124=0,BQ53&gt;=0),"",BQ53/BQ124)</f>
        <v/>
      </c>
      <c r="BT53" s="20" t="str">
        <f t="shared" si="10"/>
        <v/>
      </c>
      <c r="BU53" s="102">
        <f t="shared" si="32"/>
        <v>0</v>
      </c>
      <c r="BV53" s="20">
        <f>IF(AND(BU4=0,BU53&gt;=0), "",BU53/BU4)</f>
        <v>0</v>
      </c>
      <c r="BW53" s="37">
        <f>IF(AND(BU124=0,BU53&gt;=0),"",BU53/BU124)</f>
        <v>0</v>
      </c>
      <c r="BX53" s="103">
        <f t="shared" si="33"/>
        <v>0</v>
      </c>
      <c r="BY53" s="20" t="str">
        <f>IF(AND(BX4=0,BX53&gt;=0), "",BX53/BX4)</f>
        <v/>
      </c>
      <c r="BZ53" s="37" t="str">
        <f t="shared" si="11"/>
        <v/>
      </c>
      <c r="CA53" s="101">
        <f>+'N EERR RODEO'!L52</f>
        <v>0</v>
      </c>
      <c r="CB53" s="20" t="str">
        <f>IF(AND(CA4=0,CA53&gt;=0), "",CA53/CA4)</f>
        <v/>
      </c>
      <c r="CC53" s="37" t="str">
        <f>IF(AND(CA124=0,CA53&gt;=0),"",CA53/CA124)</f>
        <v/>
      </c>
      <c r="CD53" s="20" t="str">
        <f t="shared" si="26"/>
        <v/>
      </c>
      <c r="CE53" s="102">
        <f t="shared" si="34"/>
        <v>0</v>
      </c>
      <c r="CF53" s="20">
        <f>IF(AND(CE4=0,CE53&gt;=0), "",CE53/CE4)</f>
        <v>0</v>
      </c>
      <c r="CG53" s="37">
        <f>IF(AND(CE124=0,CE53&gt;=0),"",CE53/CE124)</f>
        <v>0</v>
      </c>
      <c r="CH53" s="101">
        <f>+'N EERR RODEO'!M52</f>
        <v>0</v>
      </c>
      <c r="CI53" s="20" t="str">
        <f>IF(AND(CH4=0,CH53&gt;=0), "",CH53/CH4)</f>
        <v/>
      </c>
      <c r="CJ53" s="37" t="str">
        <f>IF(AND(CH124=0,CH53&gt;=0),"",CH53/CH124)</f>
        <v/>
      </c>
      <c r="CK53" s="20" t="str">
        <f t="shared" si="13"/>
        <v/>
      </c>
      <c r="CL53" s="102">
        <f t="shared" si="35"/>
        <v>0</v>
      </c>
      <c r="CM53" s="20">
        <f>IF(AND(CL4=0,CL53&gt;=0), "",CL53/CL4)</f>
        <v>0</v>
      </c>
      <c r="CN53" s="37">
        <f>IF(AND(CL124=0,CL53&gt;=0),"",CL53/CL124)</f>
        <v>0</v>
      </c>
      <c r="CO53" s="101">
        <f>+'N EERR RODEO'!N52</f>
        <v>0</v>
      </c>
      <c r="CP53" s="20" t="str">
        <f>IF(AND(CO4=0,CO53&gt;=0), "",CO53/CO4)</f>
        <v/>
      </c>
      <c r="CQ53" s="37" t="str">
        <f>IF(AND(CO124=0,CO53&gt;=0),"",CO53/CO124)</f>
        <v/>
      </c>
      <c r="CR53" s="20" t="str">
        <f t="shared" si="14"/>
        <v/>
      </c>
      <c r="CS53" s="102">
        <f t="shared" si="36"/>
        <v>0</v>
      </c>
      <c r="CT53" s="20">
        <f>IF(AND(CS4=0,CS53&gt;=0), "",CS53/CS4)</f>
        <v>0</v>
      </c>
      <c r="CU53" s="37">
        <f>IF(AND(CS124=0,CS53&gt;=0),"",CS53/CS124)</f>
        <v>0</v>
      </c>
      <c r="CV53" s="103">
        <f t="shared" si="37"/>
        <v>0</v>
      </c>
      <c r="CW53" s="20" t="str">
        <f>IF(AND(CV4=0,CV53&gt;=0), "",CV53/CV4)</f>
        <v/>
      </c>
      <c r="CX53" s="37" t="str">
        <f t="shared" si="15"/>
        <v/>
      </c>
    </row>
    <row r="54" spans="1:102" outlineLevel="1" x14ac:dyDescent="0.25">
      <c r="A54" s="19" t="s">
        <v>16</v>
      </c>
      <c r="B54" s="101">
        <f>+'N EERR RODEO'!B53</f>
        <v>0</v>
      </c>
      <c r="C54" s="20" t="str">
        <f>IF(AND(B4=0,B54&gt;=0), "",B54/B4)</f>
        <v/>
      </c>
      <c r="D54" s="37" t="str">
        <f>IF(AND(B124=0,B54&gt;=0),"",B54/B124)</f>
        <v/>
      </c>
      <c r="E54" s="101">
        <f>+'N EERR RODEO'!C53</f>
        <v>0</v>
      </c>
      <c r="F54" s="20">
        <f>IF(AND(E4=0,E54&gt;=0), "",E54/E4)</f>
        <v>0</v>
      </c>
      <c r="G54" s="37">
        <f>IF(AND(E124=0,E54&gt;=0),"",E54/E124)</f>
        <v>0</v>
      </c>
      <c r="H54" s="101">
        <f>+'N EERR RODEO'!D53</f>
        <v>0</v>
      </c>
      <c r="I54" s="20">
        <f>IF(AND(H4=0,H54&gt;=0), "",H54/H4)</f>
        <v>0</v>
      </c>
      <c r="J54" s="37">
        <f>IF(AND(H124=0,H54&gt;=0),"",H54/H124)</f>
        <v>0</v>
      </c>
      <c r="K54" s="20" t="str">
        <f t="shared" si="19"/>
        <v/>
      </c>
      <c r="L54" s="102">
        <f t="shared" si="38"/>
        <v>0</v>
      </c>
      <c r="M54" s="20">
        <f>IF(AND(L4=0,L54&gt;=0), "",L54/L4)</f>
        <v>0</v>
      </c>
      <c r="N54" s="37">
        <f>IF(AND(L124=0,L54&gt;=0),"",L54/L124)</f>
        <v>0</v>
      </c>
      <c r="O54" s="101">
        <f>+'N EERR RODEO'!E53</f>
        <v>0</v>
      </c>
      <c r="P54" s="20">
        <f>IF(AND(O4=0,O54&gt;=0), "",O54/O4)</f>
        <v>0</v>
      </c>
      <c r="Q54" s="37">
        <f>IF(AND(O124=0,O54&gt;=0),"",O54/O124)</f>
        <v>0</v>
      </c>
      <c r="R54" s="20" t="str">
        <f t="shared" si="20"/>
        <v/>
      </c>
      <c r="S54" s="102">
        <f t="shared" si="39"/>
        <v>0</v>
      </c>
      <c r="T54" s="20">
        <f>IF(AND(S4=0,S54&gt;=0), "",S54/S4)</f>
        <v>0</v>
      </c>
      <c r="U54" s="37">
        <f>IF(AND(S124=0,S54&gt;=0),"",S54/S124)</f>
        <v>0</v>
      </c>
      <c r="V54" s="103"/>
      <c r="W54" s="20" t="str">
        <f>IF(AND(V4=0,V54&gt;=0), "",V54/V4)</f>
        <v/>
      </c>
      <c r="X54" s="37" t="str">
        <f t="shared" si="21"/>
        <v/>
      </c>
      <c r="Y54" s="101">
        <f>+'N EERR RODEO'!F53</f>
        <v>0</v>
      </c>
      <c r="Z54" s="20" t="str">
        <f>IF(AND(Y4=0,Y54&gt;=0), "",Y54/Y4)</f>
        <v/>
      </c>
      <c r="AA54" s="37" t="str">
        <f>IF(AND(Y124=0,Y54&gt;=0),"",Y54/Y124)</f>
        <v/>
      </c>
      <c r="AB54" s="20" t="str">
        <f t="shared" si="22"/>
        <v/>
      </c>
      <c r="AC54" s="102">
        <f t="shared" si="27"/>
        <v>0</v>
      </c>
      <c r="AD54" s="20">
        <f>IF(AND(AC4=0,AC54&gt;=0), "",AC54/AC4)</f>
        <v>0</v>
      </c>
      <c r="AE54" s="37">
        <f>IF(AND(AC124=0,AC54&gt;=0),"",AC54/AC124)</f>
        <v>0</v>
      </c>
      <c r="AF54" s="101">
        <f>+'N EERR RODEO'!G53</f>
        <v>0</v>
      </c>
      <c r="AG54" s="20" t="str">
        <f>IF(AND(AF4=0,AF54&gt;=0), "",AF54/AF4)</f>
        <v/>
      </c>
      <c r="AH54" s="37" t="str">
        <f>IF(AND(AF124=0,AF54&gt;=0),"",AF54/AF124)</f>
        <v/>
      </c>
      <c r="AI54" s="20" t="str">
        <f t="shared" si="4"/>
        <v/>
      </c>
      <c r="AJ54" s="102">
        <f t="shared" si="16"/>
        <v>0</v>
      </c>
      <c r="AK54" s="20">
        <f>IF(AND(AJ4=0,AJ54&gt;=0), "",AJ54/AJ4)</f>
        <v>0</v>
      </c>
      <c r="AL54" s="37">
        <f>IF(AND(AJ124=0,AJ54&gt;=0),"",AJ54/AJ124)</f>
        <v>0</v>
      </c>
      <c r="AM54" s="101">
        <f>+'N EERR RODEO'!H53</f>
        <v>0</v>
      </c>
      <c r="AN54" s="20" t="str">
        <f>IF(AND(AM4=0,AM54&gt;=0), "",AM54/AM4)</f>
        <v/>
      </c>
      <c r="AO54" s="37" t="str">
        <f>IF(AND(AM124=0,AM54&gt;=0),"",AM54/AM124)</f>
        <v/>
      </c>
      <c r="AP54" s="20" t="str">
        <f t="shared" si="5"/>
        <v/>
      </c>
      <c r="AQ54" s="102">
        <f t="shared" si="17"/>
        <v>0</v>
      </c>
      <c r="AR54" s="20">
        <f>IF(AND(AQ4=0,AQ54&gt;=0), "",AQ54/AQ4)</f>
        <v>0</v>
      </c>
      <c r="AS54" s="37">
        <f>IF(AND(AQ124=0,AQ54&gt;=0),"",AQ54/AQ124)</f>
        <v>0</v>
      </c>
      <c r="AT54" s="103">
        <f t="shared" si="28"/>
        <v>0</v>
      </c>
      <c r="AU54" s="20" t="str">
        <f>IF(AND(AT4=0,AT54&gt;=0), "",AT54/AT4)</f>
        <v/>
      </c>
      <c r="AV54" s="37" t="str">
        <f t="shared" si="23"/>
        <v/>
      </c>
      <c r="AW54" s="103">
        <f t="shared" si="40"/>
        <v>0</v>
      </c>
      <c r="AX54" s="20">
        <f>IF(AND(AW4=0,AW54&gt;=0), "",AW54/AW4)</f>
        <v>0</v>
      </c>
      <c r="AY54" s="37">
        <f>IF(AND(AW124=0,AW54&gt;=0),"",AW54/AW124)</f>
        <v>0</v>
      </c>
      <c r="AZ54" s="103">
        <f t="shared" si="29"/>
        <v>0</v>
      </c>
      <c r="BA54" s="20" t="str">
        <f>IF(AND(AZ4=0,AZ54&gt;=0), "",AZ54/AZ4)</f>
        <v/>
      </c>
      <c r="BB54" s="37" t="str">
        <f t="shared" si="24"/>
        <v/>
      </c>
      <c r="BC54" s="101">
        <f>+'N EERR RODEO'!I53</f>
        <v>0</v>
      </c>
      <c r="BD54" s="20" t="str">
        <f>IF(AND(BC4=0,BC54&gt;=0), "",BC54/BC4)</f>
        <v/>
      </c>
      <c r="BE54" s="37" t="str">
        <f>IF(AND(BC124=0,BC54&gt;=0),"",BC54/BC124)</f>
        <v/>
      </c>
      <c r="BF54" s="20" t="str">
        <f t="shared" si="25"/>
        <v/>
      </c>
      <c r="BG54" s="102">
        <f t="shared" si="30"/>
        <v>0</v>
      </c>
      <c r="BH54" s="20">
        <f>IF(AND(BG4=0,BG54&gt;=0), "",BG54/BG4)</f>
        <v>0</v>
      </c>
      <c r="BI54" s="37">
        <f>IF(AND(BG124=0,BG54&gt;=0),"",BG54/BG124)</f>
        <v>0</v>
      </c>
      <c r="BJ54" s="101">
        <f>+'N EERR RODEO'!J53</f>
        <v>0</v>
      </c>
      <c r="BK54" s="20" t="str">
        <f>IF(AND(BJ4=0,BJ54&gt;=0), "",BJ54/BJ4)</f>
        <v/>
      </c>
      <c r="BL54" s="37" t="str">
        <f>IF(AND(BJ124=0,BJ54&gt;=0),"",BJ54/BJ124)</f>
        <v/>
      </c>
      <c r="BM54" s="20" t="str">
        <f t="shared" si="9"/>
        <v/>
      </c>
      <c r="BN54" s="102">
        <f t="shared" si="31"/>
        <v>0</v>
      </c>
      <c r="BO54" s="20">
        <f>IF(AND(BN4=0,BN54&gt;=0), "",BN54/BN4)</f>
        <v>0</v>
      </c>
      <c r="BP54" s="37">
        <f>IF(AND(BN124=0,BN54&gt;=0),"",BN54/BN124)</f>
        <v>0</v>
      </c>
      <c r="BQ54" s="101">
        <f>+'N EERR RODEO'!K53</f>
        <v>0</v>
      </c>
      <c r="BR54" s="20" t="str">
        <f>IF(AND(BQ4=0,BQ54&gt;=0), "",BQ54/BQ4)</f>
        <v/>
      </c>
      <c r="BS54" s="37" t="str">
        <f>IF(AND(BQ124=0,BQ54&gt;=0),"",BQ54/BQ124)</f>
        <v/>
      </c>
      <c r="BT54" s="20" t="str">
        <f t="shared" si="10"/>
        <v/>
      </c>
      <c r="BU54" s="102">
        <f t="shared" si="32"/>
        <v>0</v>
      </c>
      <c r="BV54" s="20">
        <f>IF(AND(BU4=0,BU54&gt;=0), "",BU54/BU4)</f>
        <v>0</v>
      </c>
      <c r="BW54" s="37">
        <f>IF(AND(BU124=0,BU54&gt;=0),"",BU54/BU124)</f>
        <v>0</v>
      </c>
      <c r="BX54" s="103">
        <f t="shared" si="33"/>
        <v>0</v>
      </c>
      <c r="BY54" s="20" t="str">
        <f>IF(AND(BX4=0,BX54&gt;=0), "",BX54/BX4)</f>
        <v/>
      </c>
      <c r="BZ54" s="37" t="str">
        <f t="shared" si="11"/>
        <v/>
      </c>
      <c r="CA54" s="101">
        <f>+'N EERR RODEO'!L53</f>
        <v>0</v>
      </c>
      <c r="CB54" s="20" t="str">
        <f>IF(AND(CA4=0,CA54&gt;=0), "",CA54/CA4)</f>
        <v/>
      </c>
      <c r="CC54" s="37" t="str">
        <f>IF(AND(CA124=0,CA54&gt;=0),"",CA54/CA124)</f>
        <v/>
      </c>
      <c r="CD54" s="20" t="str">
        <f t="shared" si="26"/>
        <v/>
      </c>
      <c r="CE54" s="102">
        <f t="shared" si="34"/>
        <v>0</v>
      </c>
      <c r="CF54" s="20">
        <f>IF(AND(CE4=0,CE54&gt;=0), "",CE54/CE4)</f>
        <v>0</v>
      </c>
      <c r="CG54" s="37">
        <f>IF(AND(CE124=0,CE54&gt;=0),"",CE54/CE124)</f>
        <v>0</v>
      </c>
      <c r="CH54" s="101">
        <f>+'N EERR RODEO'!M53</f>
        <v>0</v>
      </c>
      <c r="CI54" s="20" t="str">
        <f>IF(AND(CH4=0,CH54&gt;=0), "",CH54/CH4)</f>
        <v/>
      </c>
      <c r="CJ54" s="37" t="str">
        <f>IF(AND(CH124=0,CH54&gt;=0),"",CH54/CH124)</f>
        <v/>
      </c>
      <c r="CK54" s="20" t="str">
        <f t="shared" si="13"/>
        <v/>
      </c>
      <c r="CL54" s="102">
        <f t="shared" si="35"/>
        <v>0</v>
      </c>
      <c r="CM54" s="20">
        <f>IF(AND(CL4=0,CL54&gt;=0), "",CL54/CL4)</f>
        <v>0</v>
      </c>
      <c r="CN54" s="37">
        <f>IF(AND(CL124=0,CL54&gt;=0),"",CL54/CL124)</f>
        <v>0</v>
      </c>
      <c r="CO54" s="101">
        <f>+'N EERR RODEO'!N53</f>
        <v>0</v>
      </c>
      <c r="CP54" s="20" t="str">
        <f>IF(AND(CO4=0,CO54&gt;=0), "",CO54/CO4)</f>
        <v/>
      </c>
      <c r="CQ54" s="37" t="str">
        <f>IF(AND(CO124=0,CO54&gt;=0),"",CO54/CO124)</f>
        <v/>
      </c>
      <c r="CR54" s="20" t="str">
        <f t="shared" si="14"/>
        <v/>
      </c>
      <c r="CS54" s="102">
        <f t="shared" si="36"/>
        <v>0</v>
      </c>
      <c r="CT54" s="20">
        <f>IF(AND(CS4=0,CS54&gt;=0), "",CS54/CS4)</f>
        <v>0</v>
      </c>
      <c r="CU54" s="37">
        <f>IF(AND(CS124=0,CS54&gt;=0),"",CS54/CS124)</f>
        <v>0</v>
      </c>
      <c r="CV54" s="103">
        <f t="shared" si="37"/>
        <v>0</v>
      </c>
      <c r="CW54" s="20" t="str">
        <f>IF(AND(CV4=0,CV54&gt;=0), "",CV54/CV4)</f>
        <v/>
      </c>
      <c r="CX54" s="37" t="str">
        <f t="shared" si="15"/>
        <v/>
      </c>
    </row>
    <row r="55" spans="1:102" outlineLevel="1" x14ac:dyDescent="0.25">
      <c r="A55" s="19" t="s">
        <v>17</v>
      </c>
      <c r="B55" s="101">
        <f>+'N EERR RODEO'!B54</f>
        <v>0</v>
      </c>
      <c r="C55" s="20" t="str">
        <f>IF(AND(B4=0,B55&gt;=0), "",B55/B4)</f>
        <v/>
      </c>
      <c r="D55" s="37" t="str">
        <f>IF(AND(B124=0,B55&gt;=0),"",B55/B124)</f>
        <v/>
      </c>
      <c r="E55" s="101">
        <f>+'N EERR RODEO'!C54</f>
        <v>0</v>
      </c>
      <c r="F55" s="20">
        <f>IF(AND(E4=0,E55&gt;=0), "",E55/E4)</f>
        <v>0</v>
      </c>
      <c r="G55" s="37">
        <f>IF(AND(E124=0,E55&gt;=0),"",E55/E124)</f>
        <v>0</v>
      </c>
      <c r="H55" s="101">
        <f>+'N EERR RODEO'!D54</f>
        <v>0</v>
      </c>
      <c r="I55" s="20">
        <f>IF(AND(H4=0,H55&gt;=0), "",H55/H4)</f>
        <v>0</v>
      </c>
      <c r="J55" s="37">
        <f>IF(AND(H124=0,H55&gt;=0),"",H55/H124)</f>
        <v>0</v>
      </c>
      <c r="K55" s="20" t="str">
        <f t="shared" si="19"/>
        <v/>
      </c>
      <c r="L55" s="102">
        <f t="shared" si="38"/>
        <v>0</v>
      </c>
      <c r="M55" s="20">
        <f>IF(AND(L4=0,L55&gt;=0), "",L55/L4)</f>
        <v>0</v>
      </c>
      <c r="N55" s="37">
        <f>IF(AND(L124=0,L55&gt;=0),"",L55/L124)</f>
        <v>0</v>
      </c>
      <c r="O55" s="101">
        <f>+'N EERR RODEO'!E54</f>
        <v>0</v>
      </c>
      <c r="P55" s="20">
        <f>IF(AND(O4=0,O55&gt;=0), "",O55/O4)</f>
        <v>0</v>
      </c>
      <c r="Q55" s="37">
        <f>IF(AND(O124=0,O55&gt;=0),"",O55/O124)</f>
        <v>0</v>
      </c>
      <c r="R55" s="20" t="str">
        <f t="shared" si="20"/>
        <v/>
      </c>
      <c r="S55" s="102">
        <f t="shared" si="39"/>
        <v>0</v>
      </c>
      <c r="T55" s="20">
        <f>IF(AND(S4=0,S55&gt;=0), "",S55/S4)</f>
        <v>0</v>
      </c>
      <c r="U55" s="37">
        <f>IF(AND(S124=0,S55&gt;=0),"",S55/S124)</f>
        <v>0</v>
      </c>
      <c r="V55" s="103"/>
      <c r="W55" s="20" t="str">
        <f>IF(AND(V4=0,V55&gt;=0), "",V55/V4)</f>
        <v/>
      </c>
      <c r="X55" s="37" t="str">
        <f t="shared" si="21"/>
        <v/>
      </c>
      <c r="Y55" s="101">
        <f>+'N EERR RODEO'!F54</f>
        <v>0</v>
      </c>
      <c r="Z55" s="20" t="str">
        <f>IF(AND(Y4=0,Y55&gt;=0), "",Y55/Y4)</f>
        <v/>
      </c>
      <c r="AA55" s="37" t="str">
        <f>IF(AND(Y124=0,Y55&gt;=0),"",Y55/Y124)</f>
        <v/>
      </c>
      <c r="AB55" s="20" t="str">
        <f t="shared" si="22"/>
        <v/>
      </c>
      <c r="AC55" s="102">
        <f t="shared" si="27"/>
        <v>0</v>
      </c>
      <c r="AD55" s="20">
        <f>IF(AND(AC4=0,AC55&gt;=0), "",AC55/AC4)</f>
        <v>0</v>
      </c>
      <c r="AE55" s="37">
        <f>IF(AND(AC124=0,AC55&gt;=0),"",AC55/AC124)</f>
        <v>0</v>
      </c>
      <c r="AF55" s="101">
        <f>+'N EERR RODEO'!G54</f>
        <v>0</v>
      </c>
      <c r="AG55" s="20" t="str">
        <f>IF(AND(AF4=0,AF55&gt;=0), "",AF55/AF4)</f>
        <v/>
      </c>
      <c r="AH55" s="37" t="str">
        <f>IF(AND(AF124=0,AF55&gt;=0),"",AF55/AF124)</f>
        <v/>
      </c>
      <c r="AI55" s="20" t="str">
        <f t="shared" si="4"/>
        <v/>
      </c>
      <c r="AJ55" s="102">
        <f t="shared" si="16"/>
        <v>0</v>
      </c>
      <c r="AK55" s="20">
        <f>IF(AND(AJ4=0,AJ55&gt;=0), "",AJ55/AJ4)</f>
        <v>0</v>
      </c>
      <c r="AL55" s="37">
        <f>IF(AND(AJ124=0,AJ55&gt;=0),"",AJ55/AJ124)</f>
        <v>0</v>
      </c>
      <c r="AM55" s="101">
        <f>+'N EERR RODEO'!H54</f>
        <v>0</v>
      </c>
      <c r="AN55" s="20" t="str">
        <f>IF(AND(AM4=0,AM55&gt;=0), "",AM55/AM4)</f>
        <v/>
      </c>
      <c r="AO55" s="37" t="str">
        <f>IF(AND(AM124=0,AM55&gt;=0),"",AM55/AM124)</f>
        <v/>
      </c>
      <c r="AP55" s="20" t="str">
        <f t="shared" si="5"/>
        <v/>
      </c>
      <c r="AQ55" s="102">
        <f t="shared" si="17"/>
        <v>0</v>
      </c>
      <c r="AR55" s="20">
        <f>IF(AND(AQ4=0,AQ55&gt;=0), "",AQ55/AQ4)</f>
        <v>0</v>
      </c>
      <c r="AS55" s="37">
        <f>IF(AND(AQ124=0,AQ55&gt;=0),"",AQ55/AQ124)</f>
        <v>0</v>
      </c>
      <c r="AT55" s="103">
        <f t="shared" si="28"/>
        <v>0</v>
      </c>
      <c r="AU55" s="20" t="str">
        <f>IF(AND(AT4=0,AT55&gt;=0), "",AT55/AT4)</f>
        <v/>
      </c>
      <c r="AV55" s="37" t="str">
        <f t="shared" si="23"/>
        <v/>
      </c>
      <c r="AW55" s="103">
        <f t="shared" si="40"/>
        <v>0</v>
      </c>
      <c r="AX55" s="20">
        <f>IF(AND(AW4=0,AW55&gt;=0), "",AW55/AW4)</f>
        <v>0</v>
      </c>
      <c r="AY55" s="37">
        <f>IF(AND(AW124=0,AW55&gt;=0),"",AW55/AW124)</f>
        <v>0</v>
      </c>
      <c r="AZ55" s="103">
        <f t="shared" si="29"/>
        <v>0</v>
      </c>
      <c r="BA55" s="20" t="str">
        <f>IF(AND(AZ4=0,AZ55&gt;=0), "",AZ55/AZ4)</f>
        <v/>
      </c>
      <c r="BB55" s="37" t="str">
        <f t="shared" si="24"/>
        <v/>
      </c>
      <c r="BC55" s="101">
        <f>+'N EERR RODEO'!I54</f>
        <v>0</v>
      </c>
      <c r="BD55" s="20" t="str">
        <f>IF(AND(BC4=0,BC55&gt;=0), "",BC55/BC4)</f>
        <v/>
      </c>
      <c r="BE55" s="37" t="str">
        <f>IF(AND(BC124=0,BC55&gt;=0),"",BC55/BC124)</f>
        <v/>
      </c>
      <c r="BF55" s="20" t="str">
        <f t="shared" si="25"/>
        <v/>
      </c>
      <c r="BG55" s="102">
        <f t="shared" si="30"/>
        <v>0</v>
      </c>
      <c r="BH55" s="20">
        <f>IF(AND(BG4=0,BG55&gt;=0), "",BG55/BG4)</f>
        <v>0</v>
      </c>
      <c r="BI55" s="37">
        <f>IF(AND(BG124=0,BG55&gt;=0),"",BG55/BG124)</f>
        <v>0</v>
      </c>
      <c r="BJ55" s="101">
        <f>+'N EERR RODEO'!J54</f>
        <v>0</v>
      </c>
      <c r="BK55" s="20" t="str">
        <f>IF(AND(BJ4=0,BJ55&gt;=0), "",BJ55/BJ4)</f>
        <v/>
      </c>
      <c r="BL55" s="37" t="str">
        <f>IF(AND(BJ124=0,BJ55&gt;=0),"",BJ55/BJ124)</f>
        <v/>
      </c>
      <c r="BM55" s="20" t="str">
        <f t="shared" si="9"/>
        <v/>
      </c>
      <c r="BN55" s="102">
        <f t="shared" si="31"/>
        <v>0</v>
      </c>
      <c r="BO55" s="20">
        <f>IF(AND(BN4=0,BN55&gt;=0), "",BN55/BN4)</f>
        <v>0</v>
      </c>
      <c r="BP55" s="37">
        <f>IF(AND(BN124=0,BN55&gt;=0),"",BN55/BN124)</f>
        <v>0</v>
      </c>
      <c r="BQ55" s="101">
        <f>+'N EERR RODEO'!K54</f>
        <v>0</v>
      </c>
      <c r="BR55" s="20" t="str">
        <f>IF(AND(BQ4=0,BQ55&gt;=0), "",BQ55/BQ4)</f>
        <v/>
      </c>
      <c r="BS55" s="37" t="str">
        <f>IF(AND(BQ124=0,BQ55&gt;=0),"",BQ55/BQ124)</f>
        <v/>
      </c>
      <c r="BT55" s="20" t="str">
        <f t="shared" si="10"/>
        <v/>
      </c>
      <c r="BU55" s="102">
        <f t="shared" si="32"/>
        <v>0</v>
      </c>
      <c r="BV55" s="20">
        <f>IF(AND(BU4=0,BU55&gt;=0), "",BU55/BU4)</f>
        <v>0</v>
      </c>
      <c r="BW55" s="37">
        <f>IF(AND(BU124=0,BU55&gt;=0),"",BU55/BU124)</f>
        <v>0</v>
      </c>
      <c r="BX55" s="103">
        <f t="shared" si="33"/>
        <v>0</v>
      </c>
      <c r="BY55" s="20" t="str">
        <f>IF(AND(BX4=0,BX55&gt;=0), "",BX55/BX4)</f>
        <v/>
      </c>
      <c r="BZ55" s="37" t="str">
        <f t="shared" si="11"/>
        <v/>
      </c>
      <c r="CA55" s="101">
        <f>+'N EERR RODEO'!L54</f>
        <v>0</v>
      </c>
      <c r="CB55" s="20" t="str">
        <f>IF(AND(CA4=0,CA55&gt;=0), "",CA55/CA4)</f>
        <v/>
      </c>
      <c r="CC55" s="37" t="str">
        <f>IF(AND(CA124=0,CA55&gt;=0),"",CA55/CA124)</f>
        <v/>
      </c>
      <c r="CD55" s="20" t="str">
        <f t="shared" si="26"/>
        <v/>
      </c>
      <c r="CE55" s="102">
        <f t="shared" si="34"/>
        <v>0</v>
      </c>
      <c r="CF55" s="20">
        <f>IF(AND(CE4=0,CE55&gt;=0), "",CE55/CE4)</f>
        <v>0</v>
      </c>
      <c r="CG55" s="37">
        <f>IF(AND(CE124=0,CE55&gt;=0),"",CE55/CE124)</f>
        <v>0</v>
      </c>
      <c r="CH55" s="101">
        <f>+'N EERR RODEO'!M54</f>
        <v>0</v>
      </c>
      <c r="CI55" s="20" t="str">
        <f>IF(AND(CH4=0,CH55&gt;=0), "",CH55/CH4)</f>
        <v/>
      </c>
      <c r="CJ55" s="37" t="str">
        <f>IF(AND(CH124=0,CH55&gt;=0),"",CH55/CH124)</f>
        <v/>
      </c>
      <c r="CK55" s="20" t="str">
        <f t="shared" si="13"/>
        <v/>
      </c>
      <c r="CL55" s="102">
        <f t="shared" si="35"/>
        <v>0</v>
      </c>
      <c r="CM55" s="20">
        <f>IF(AND(CL4=0,CL55&gt;=0), "",CL55/CL4)</f>
        <v>0</v>
      </c>
      <c r="CN55" s="37">
        <f>IF(AND(CL124=0,CL55&gt;=0),"",CL55/CL124)</f>
        <v>0</v>
      </c>
      <c r="CO55" s="101">
        <f>+'N EERR RODEO'!N54</f>
        <v>0</v>
      </c>
      <c r="CP55" s="20" t="str">
        <f>IF(AND(CO4=0,CO55&gt;=0), "",CO55/CO4)</f>
        <v/>
      </c>
      <c r="CQ55" s="37" t="str">
        <f>IF(AND(CO124=0,CO55&gt;=0),"",CO55/CO124)</f>
        <v/>
      </c>
      <c r="CR55" s="20" t="str">
        <f t="shared" si="14"/>
        <v/>
      </c>
      <c r="CS55" s="102">
        <f t="shared" si="36"/>
        <v>0</v>
      </c>
      <c r="CT55" s="20">
        <f>IF(AND(CS4=0,CS55&gt;=0), "",CS55/CS4)</f>
        <v>0</v>
      </c>
      <c r="CU55" s="37">
        <f>IF(AND(CS124=0,CS55&gt;=0),"",CS55/CS124)</f>
        <v>0</v>
      </c>
      <c r="CV55" s="103">
        <f t="shared" si="37"/>
        <v>0</v>
      </c>
      <c r="CW55" s="20" t="str">
        <f>IF(AND(CV4=0,CV55&gt;=0), "",CV55/CV4)</f>
        <v/>
      </c>
      <c r="CX55" s="37" t="str">
        <f t="shared" si="15"/>
        <v/>
      </c>
    </row>
    <row r="56" spans="1:102" outlineLevel="1" x14ac:dyDescent="0.25">
      <c r="A56" s="19" t="s">
        <v>18</v>
      </c>
      <c r="B56" s="101">
        <f>+'N EERR RODEO'!B55</f>
        <v>0</v>
      </c>
      <c r="C56" s="20" t="str">
        <f>IF(AND(B4=0,B56&gt;=0), "",B56/B4)</f>
        <v/>
      </c>
      <c r="D56" s="37" t="str">
        <f>IF(AND(B124=0,B56&gt;=0),"",B56/B124)</f>
        <v/>
      </c>
      <c r="E56" s="101">
        <f>+'N EERR RODEO'!C55</f>
        <v>0</v>
      </c>
      <c r="F56" s="20">
        <f>IF(AND(E4=0,E56&gt;=0), "",E56/E4)</f>
        <v>0</v>
      </c>
      <c r="G56" s="37">
        <f>IF(AND(E124=0,E56&gt;=0),"",E56/E124)</f>
        <v>0</v>
      </c>
      <c r="H56" s="101">
        <f>+'N EERR RODEO'!D55</f>
        <v>0</v>
      </c>
      <c r="I56" s="20">
        <f>IF(AND(H4=0,H56&gt;=0), "",H56/H4)</f>
        <v>0</v>
      </c>
      <c r="J56" s="37">
        <f>IF(AND(H124=0,H56&gt;=0),"",H56/H124)</f>
        <v>0</v>
      </c>
      <c r="K56" s="20" t="str">
        <f t="shared" si="19"/>
        <v/>
      </c>
      <c r="L56" s="102">
        <f t="shared" si="38"/>
        <v>0</v>
      </c>
      <c r="M56" s="20">
        <f>IF(AND(L4=0,L56&gt;=0), "",L56/L4)</f>
        <v>0</v>
      </c>
      <c r="N56" s="37">
        <f>IF(AND(L124=0,L56&gt;=0),"",L56/L124)</f>
        <v>0</v>
      </c>
      <c r="O56" s="101">
        <f>+'N EERR RODEO'!E55</f>
        <v>0</v>
      </c>
      <c r="P56" s="20">
        <f>IF(AND(O4=0,O56&gt;=0), "",O56/O4)</f>
        <v>0</v>
      </c>
      <c r="Q56" s="37">
        <f>IF(AND(O124=0,O56&gt;=0),"",O56/O124)</f>
        <v>0</v>
      </c>
      <c r="R56" s="20" t="str">
        <f t="shared" si="20"/>
        <v/>
      </c>
      <c r="S56" s="102">
        <f t="shared" si="39"/>
        <v>0</v>
      </c>
      <c r="T56" s="20">
        <f>IF(AND(S4=0,S56&gt;=0), "",S56/S4)</f>
        <v>0</v>
      </c>
      <c r="U56" s="37">
        <f>IF(AND(S124=0,S56&gt;=0),"",S56/S124)</f>
        <v>0</v>
      </c>
      <c r="V56" s="103"/>
      <c r="W56" s="20" t="str">
        <f>IF(AND(V4=0,V56&gt;=0), "",V56/V4)</f>
        <v/>
      </c>
      <c r="X56" s="37" t="str">
        <f t="shared" si="21"/>
        <v/>
      </c>
      <c r="Y56" s="101">
        <f>+'N EERR RODEO'!F55</f>
        <v>0</v>
      </c>
      <c r="Z56" s="20" t="str">
        <f>IF(AND(Y4=0,Y56&gt;=0), "",Y56/Y4)</f>
        <v/>
      </c>
      <c r="AA56" s="37" t="str">
        <f>IF(AND(Y124=0,Y56&gt;=0),"",Y56/Y124)</f>
        <v/>
      </c>
      <c r="AB56" s="20" t="str">
        <f t="shared" si="22"/>
        <v/>
      </c>
      <c r="AC56" s="102">
        <f t="shared" si="27"/>
        <v>0</v>
      </c>
      <c r="AD56" s="20">
        <f>IF(AND(AC4=0,AC56&gt;=0), "",AC56/AC4)</f>
        <v>0</v>
      </c>
      <c r="AE56" s="37">
        <f>IF(AND(AC124=0,AC56&gt;=0),"",AC56/AC124)</f>
        <v>0</v>
      </c>
      <c r="AF56" s="101">
        <f>+'N EERR RODEO'!G55</f>
        <v>0</v>
      </c>
      <c r="AG56" s="20" t="str">
        <f>IF(AND(AF4=0,AF56&gt;=0), "",AF56/AF4)</f>
        <v/>
      </c>
      <c r="AH56" s="37" t="str">
        <f>IF(AND(AF124=0,AF56&gt;=0),"",AF56/AF124)</f>
        <v/>
      </c>
      <c r="AI56" s="20" t="str">
        <f t="shared" si="4"/>
        <v/>
      </c>
      <c r="AJ56" s="102">
        <f t="shared" si="16"/>
        <v>0</v>
      </c>
      <c r="AK56" s="20">
        <f>IF(AND(AJ4=0,AJ56&gt;=0), "",AJ56/AJ4)</f>
        <v>0</v>
      </c>
      <c r="AL56" s="37">
        <f>IF(AND(AJ124=0,AJ56&gt;=0),"",AJ56/AJ124)</f>
        <v>0</v>
      </c>
      <c r="AM56" s="101">
        <f>+'N EERR RODEO'!H55</f>
        <v>0</v>
      </c>
      <c r="AN56" s="20" t="str">
        <f>IF(AND(AM4=0,AM56&gt;=0), "",AM56/AM4)</f>
        <v/>
      </c>
      <c r="AO56" s="37" t="str">
        <f>IF(AND(AM124=0,AM56&gt;=0),"",AM56/AM124)</f>
        <v/>
      </c>
      <c r="AP56" s="20" t="str">
        <f t="shared" si="5"/>
        <v/>
      </c>
      <c r="AQ56" s="102">
        <f t="shared" si="17"/>
        <v>0</v>
      </c>
      <c r="AR56" s="20">
        <f>IF(AND(AQ4=0,AQ56&gt;=0), "",AQ56/AQ4)</f>
        <v>0</v>
      </c>
      <c r="AS56" s="37">
        <f>IF(AND(AQ124=0,AQ56&gt;=0),"",AQ56/AQ124)</f>
        <v>0</v>
      </c>
      <c r="AT56" s="103">
        <f t="shared" si="28"/>
        <v>0</v>
      </c>
      <c r="AU56" s="20" t="str">
        <f>IF(AND(AT4=0,AT56&gt;=0), "",AT56/AT4)</f>
        <v/>
      </c>
      <c r="AV56" s="37" t="str">
        <f t="shared" si="23"/>
        <v/>
      </c>
      <c r="AW56" s="103">
        <f t="shared" si="40"/>
        <v>0</v>
      </c>
      <c r="AX56" s="20">
        <f>IF(AND(AW4=0,AW56&gt;=0), "",AW56/AW4)</f>
        <v>0</v>
      </c>
      <c r="AY56" s="37">
        <f>IF(AND(AW124=0,AW56&gt;=0),"",AW56/AW124)</f>
        <v>0</v>
      </c>
      <c r="AZ56" s="103">
        <f t="shared" si="29"/>
        <v>0</v>
      </c>
      <c r="BA56" s="20" t="str">
        <f>IF(AND(AZ4=0,AZ56&gt;=0), "",AZ56/AZ4)</f>
        <v/>
      </c>
      <c r="BB56" s="37" t="str">
        <f t="shared" si="24"/>
        <v/>
      </c>
      <c r="BC56" s="101">
        <f>+'N EERR RODEO'!I55</f>
        <v>0</v>
      </c>
      <c r="BD56" s="20" t="str">
        <f>IF(AND(BC4=0,BC56&gt;=0), "",BC56/BC4)</f>
        <v/>
      </c>
      <c r="BE56" s="37" t="str">
        <f>IF(AND(BC124=0,BC56&gt;=0),"",BC56/BC124)</f>
        <v/>
      </c>
      <c r="BF56" s="20" t="str">
        <f t="shared" si="25"/>
        <v/>
      </c>
      <c r="BG56" s="102">
        <f t="shared" si="30"/>
        <v>0</v>
      </c>
      <c r="BH56" s="20">
        <f>IF(AND(BG4=0,BG56&gt;=0), "",BG56/BG4)</f>
        <v>0</v>
      </c>
      <c r="BI56" s="37">
        <f>IF(AND(BG124=0,BG56&gt;=0),"",BG56/BG124)</f>
        <v>0</v>
      </c>
      <c r="BJ56" s="101">
        <f>+'N EERR RODEO'!J55</f>
        <v>0</v>
      </c>
      <c r="BK56" s="20" t="str">
        <f>IF(AND(BJ4=0,BJ56&gt;=0), "",BJ56/BJ4)</f>
        <v/>
      </c>
      <c r="BL56" s="37" t="str">
        <f>IF(AND(BJ124=0,BJ56&gt;=0),"",BJ56/BJ124)</f>
        <v/>
      </c>
      <c r="BM56" s="20" t="str">
        <f t="shared" si="9"/>
        <v/>
      </c>
      <c r="BN56" s="102">
        <f t="shared" si="31"/>
        <v>0</v>
      </c>
      <c r="BO56" s="20">
        <f>IF(AND(BN4=0,BN56&gt;=0), "",BN56/BN4)</f>
        <v>0</v>
      </c>
      <c r="BP56" s="37">
        <f>IF(AND(BN124=0,BN56&gt;=0),"",BN56/BN124)</f>
        <v>0</v>
      </c>
      <c r="BQ56" s="101">
        <f>+'N EERR RODEO'!K55</f>
        <v>0</v>
      </c>
      <c r="BR56" s="20" t="str">
        <f>IF(AND(BQ4=0,BQ56&gt;=0), "",BQ56/BQ4)</f>
        <v/>
      </c>
      <c r="BS56" s="37" t="str">
        <f>IF(AND(BQ124=0,BQ56&gt;=0),"",BQ56/BQ124)</f>
        <v/>
      </c>
      <c r="BT56" s="20" t="str">
        <f t="shared" si="10"/>
        <v/>
      </c>
      <c r="BU56" s="102">
        <f t="shared" si="32"/>
        <v>0</v>
      </c>
      <c r="BV56" s="20">
        <f>IF(AND(BU4=0,BU56&gt;=0), "",BU56/BU4)</f>
        <v>0</v>
      </c>
      <c r="BW56" s="37">
        <f>IF(AND(BU124=0,BU56&gt;=0),"",BU56/BU124)</f>
        <v>0</v>
      </c>
      <c r="BX56" s="103">
        <f t="shared" si="33"/>
        <v>0</v>
      </c>
      <c r="BY56" s="20" t="str">
        <f>IF(AND(BX4=0,BX56&gt;=0), "",BX56/BX4)</f>
        <v/>
      </c>
      <c r="BZ56" s="37" t="str">
        <f t="shared" si="11"/>
        <v/>
      </c>
      <c r="CA56" s="101">
        <f>+'N EERR RODEO'!L55</f>
        <v>0</v>
      </c>
      <c r="CB56" s="20" t="str">
        <f>IF(AND(CA4=0,CA56&gt;=0), "",CA56/CA4)</f>
        <v/>
      </c>
      <c r="CC56" s="37" t="str">
        <f>IF(AND(CA124=0,CA56&gt;=0),"",CA56/CA124)</f>
        <v/>
      </c>
      <c r="CD56" s="20" t="str">
        <f t="shared" si="26"/>
        <v/>
      </c>
      <c r="CE56" s="102">
        <f t="shared" si="34"/>
        <v>0</v>
      </c>
      <c r="CF56" s="20">
        <f>IF(AND(CE4=0,CE56&gt;=0), "",CE56/CE4)</f>
        <v>0</v>
      </c>
      <c r="CG56" s="37">
        <f>IF(AND(CE124=0,CE56&gt;=0),"",CE56/CE124)</f>
        <v>0</v>
      </c>
      <c r="CH56" s="101">
        <f>+'N EERR RODEO'!M55</f>
        <v>0</v>
      </c>
      <c r="CI56" s="20" t="str">
        <f>IF(AND(CH4=0,CH56&gt;=0), "",CH56/CH4)</f>
        <v/>
      </c>
      <c r="CJ56" s="37" t="str">
        <f>IF(AND(CH124=0,CH56&gt;=0),"",CH56/CH124)</f>
        <v/>
      </c>
      <c r="CK56" s="20" t="str">
        <f t="shared" si="13"/>
        <v/>
      </c>
      <c r="CL56" s="102">
        <f t="shared" si="35"/>
        <v>0</v>
      </c>
      <c r="CM56" s="20">
        <f>IF(AND(CL4=0,CL56&gt;=0), "",CL56/CL4)</f>
        <v>0</v>
      </c>
      <c r="CN56" s="37">
        <f>IF(AND(CL124=0,CL56&gt;=0),"",CL56/CL124)</f>
        <v>0</v>
      </c>
      <c r="CO56" s="101">
        <f>+'N EERR RODEO'!N55</f>
        <v>0</v>
      </c>
      <c r="CP56" s="20" t="str">
        <f>IF(AND(CO4=0,CO56&gt;=0), "",CO56/CO4)</f>
        <v/>
      </c>
      <c r="CQ56" s="37" t="str">
        <f>IF(AND(CO124=0,CO56&gt;=0),"",CO56/CO124)</f>
        <v/>
      </c>
      <c r="CR56" s="20" t="str">
        <f t="shared" si="14"/>
        <v/>
      </c>
      <c r="CS56" s="102">
        <f t="shared" si="36"/>
        <v>0</v>
      </c>
      <c r="CT56" s="20">
        <f>IF(AND(CS4=0,CS56&gt;=0), "",CS56/CS4)</f>
        <v>0</v>
      </c>
      <c r="CU56" s="37">
        <f>IF(AND(CS124=0,CS56&gt;=0),"",CS56/CS124)</f>
        <v>0</v>
      </c>
      <c r="CV56" s="103">
        <f t="shared" si="37"/>
        <v>0</v>
      </c>
      <c r="CW56" s="20" t="str">
        <f>IF(AND(CV4=0,CV56&gt;=0), "",CV56/CV4)</f>
        <v/>
      </c>
      <c r="CX56" s="37" t="str">
        <f t="shared" si="15"/>
        <v/>
      </c>
    </row>
    <row r="57" spans="1:102" outlineLevel="1" x14ac:dyDescent="0.25">
      <c r="A57" s="19" t="s">
        <v>19</v>
      </c>
      <c r="B57" s="101">
        <f>+'N EERR RODEO'!B56</f>
        <v>0</v>
      </c>
      <c r="C57" s="20" t="str">
        <f>IF(AND(B4=0,B57&gt;=0), "",B57/B4)</f>
        <v/>
      </c>
      <c r="D57" s="37" t="str">
        <f>IF(AND(B124=0,B57&gt;=0),"",B57/B124)</f>
        <v/>
      </c>
      <c r="E57" s="101">
        <f>+'N EERR RODEO'!C56</f>
        <v>0</v>
      </c>
      <c r="F57" s="20">
        <f>IF(AND(E4=0,E57&gt;=0), "",E57/E4)</f>
        <v>0</v>
      </c>
      <c r="G57" s="37">
        <f>IF(AND(E124=0,E57&gt;=0),"",E57/E124)</f>
        <v>0</v>
      </c>
      <c r="H57" s="101">
        <f>+'N EERR RODEO'!D56</f>
        <v>0</v>
      </c>
      <c r="I57" s="20">
        <f>IF(AND(H4=0,H57&gt;=0), "",H57/H4)</f>
        <v>0</v>
      </c>
      <c r="J57" s="37">
        <f>IF(AND(H124=0,H57&gt;=0),"",H57/H124)</f>
        <v>0</v>
      </c>
      <c r="K57" s="20" t="str">
        <f t="shared" si="19"/>
        <v/>
      </c>
      <c r="L57" s="102">
        <f t="shared" si="38"/>
        <v>0</v>
      </c>
      <c r="M57" s="20">
        <f>IF(AND(L4=0,L57&gt;=0), "",L57/L4)</f>
        <v>0</v>
      </c>
      <c r="N57" s="37">
        <f>IF(AND(L124=0,L57&gt;=0),"",L57/L124)</f>
        <v>0</v>
      </c>
      <c r="O57" s="101">
        <f>+'N EERR RODEO'!E56</f>
        <v>0</v>
      </c>
      <c r="P57" s="20">
        <f>IF(AND(O4=0,O57&gt;=0), "",O57/O4)</f>
        <v>0</v>
      </c>
      <c r="Q57" s="37">
        <f>IF(AND(O124=0,O57&gt;=0),"",O57/O124)</f>
        <v>0</v>
      </c>
      <c r="R57" s="20" t="str">
        <f t="shared" si="20"/>
        <v/>
      </c>
      <c r="S57" s="102">
        <f t="shared" si="39"/>
        <v>0</v>
      </c>
      <c r="T57" s="20">
        <f>IF(AND(S4=0,S57&gt;=0), "",S57/S4)</f>
        <v>0</v>
      </c>
      <c r="U57" s="37">
        <f>IF(AND(S124=0,S57&gt;=0),"",S57/S124)</f>
        <v>0</v>
      </c>
      <c r="V57" s="103"/>
      <c r="W57" s="20" t="str">
        <f>IF(AND(V4=0,V57&gt;=0), "",V57/V4)</f>
        <v/>
      </c>
      <c r="X57" s="37" t="str">
        <f t="shared" si="21"/>
        <v/>
      </c>
      <c r="Y57" s="101">
        <f>+'N EERR RODEO'!F56</f>
        <v>0</v>
      </c>
      <c r="Z57" s="20" t="str">
        <f>IF(AND(Y4=0,Y57&gt;=0), "",Y57/Y4)</f>
        <v/>
      </c>
      <c r="AA57" s="37" t="str">
        <f>IF(AND(Y124=0,Y57&gt;=0),"",Y57/Y124)</f>
        <v/>
      </c>
      <c r="AB57" s="20" t="str">
        <f t="shared" si="22"/>
        <v/>
      </c>
      <c r="AC57" s="102">
        <f t="shared" si="27"/>
        <v>0</v>
      </c>
      <c r="AD57" s="20">
        <f>IF(AND(AC4=0,AC57&gt;=0), "",AC57/AC4)</f>
        <v>0</v>
      </c>
      <c r="AE57" s="37">
        <f>IF(AND(AC124=0,AC57&gt;=0),"",AC57/AC124)</f>
        <v>0</v>
      </c>
      <c r="AF57" s="101">
        <f>+'N EERR RODEO'!G56</f>
        <v>0</v>
      </c>
      <c r="AG57" s="20" t="str">
        <f>IF(AND(AF4=0,AF57&gt;=0), "",AF57/AF4)</f>
        <v/>
      </c>
      <c r="AH57" s="37" t="str">
        <f>IF(AND(AF124=0,AF57&gt;=0),"",AF57/AF124)</f>
        <v/>
      </c>
      <c r="AI57" s="20" t="str">
        <f t="shared" si="4"/>
        <v/>
      </c>
      <c r="AJ57" s="102">
        <f t="shared" si="16"/>
        <v>0</v>
      </c>
      <c r="AK57" s="20">
        <f>IF(AND(AJ4=0,AJ57&gt;=0), "",AJ57/AJ4)</f>
        <v>0</v>
      </c>
      <c r="AL57" s="37">
        <f>IF(AND(AJ124=0,AJ57&gt;=0),"",AJ57/AJ124)</f>
        <v>0</v>
      </c>
      <c r="AM57" s="101">
        <f>+'N EERR RODEO'!H56</f>
        <v>0</v>
      </c>
      <c r="AN57" s="20" t="str">
        <f>IF(AND(AM4=0,AM57&gt;=0), "",AM57/AM4)</f>
        <v/>
      </c>
      <c r="AO57" s="37" t="str">
        <f>IF(AND(AM124=0,AM57&gt;=0),"",AM57/AM124)</f>
        <v/>
      </c>
      <c r="AP57" s="20" t="str">
        <f t="shared" si="5"/>
        <v/>
      </c>
      <c r="AQ57" s="102">
        <f t="shared" si="17"/>
        <v>0</v>
      </c>
      <c r="AR57" s="20">
        <f>IF(AND(AQ4=0,AQ57&gt;=0), "",AQ57/AQ4)</f>
        <v>0</v>
      </c>
      <c r="AS57" s="37">
        <f>IF(AND(AQ124=0,AQ57&gt;=0),"",AQ57/AQ124)</f>
        <v>0</v>
      </c>
      <c r="AT57" s="103">
        <f t="shared" si="28"/>
        <v>0</v>
      </c>
      <c r="AU57" s="20" t="str">
        <f>IF(AND(AT4=0,AT57&gt;=0), "",AT57/AT4)</f>
        <v/>
      </c>
      <c r="AV57" s="37" t="str">
        <f t="shared" si="23"/>
        <v/>
      </c>
      <c r="AW57" s="103">
        <f t="shared" si="40"/>
        <v>0</v>
      </c>
      <c r="AX57" s="20">
        <f>IF(AND(AW4=0,AW57&gt;=0), "",AW57/AW4)</f>
        <v>0</v>
      </c>
      <c r="AY57" s="37">
        <f>IF(AND(AW124=0,AW57&gt;=0),"",AW57/AW124)</f>
        <v>0</v>
      </c>
      <c r="AZ57" s="103">
        <f t="shared" si="29"/>
        <v>0</v>
      </c>
      <c r="BA57" s="20" t="str">
        <f>IF(AND(AZ4=0,AZ57&gt;=0), "",AZ57/AZ4)</f>
        <v/>
      </c>
      <c r="BB57" s="37" t="str">
        <f t="shared" si="24"/>
        <v/>
      </c>
      <c r="BC57" s="101">
        <f>+'N EERR RODEO'!I56</f>
        <v>0</v>
      </c>
      <c r="BD57" s="20" t="str">
        <f>IF(AND(BC4=0,BC57&gt;=0), "",BC57/BC4)</f>
        <v/>
      </c>
      <c r="BE57" s="37" t="str">
        <f>IF(AND(BC124=0,BC57&gt;=0),"",BC57/BC124)</f>
        <v/>
      </c>
      <c r="BF57" s="20" t="str">
        <f t="shared" si="25"/>
        <v/>
      </c>
      <c r="BG57" s="102">
        <f t="shared" si="30"/>
        <v>0</v>
      </c>
      <c r="BH57" s="20">
        <f>IF(AND(BG4=0,BG57&gt;=0), "",BG57/BG4)</f>
        <v>0</v>
      </c>
      <c r="BI57" s="37">
        <f>IF(AND(BG124=0,BG57&gt;=0),"",BG57/BG124)</f>
        <v>0</v>
      </c>
      <c r="BJ57" s="101">
        <f>+'N EERR RODEO'!J56</f>
        <v>0</v>
      </c>
      <c r="BK57" s="20" t="str">
        <f>IF(AND(BJ4=0,BJ57&gt;=0), "",BJ57/BJ4)</f>
        <v/>
      </c>
      <c r="BL57" s="37" t="str">
        <f>IF(AND(BJ124=0,BJ57&gt;=0),"",BJ57/BJ124)</f>
        <v/>
      </c>
      <c r="BM57" s="20" t="str">
        <f t="shared" si="9"/>
        <v/>
      </c>
      <c r="BN57" s="102">
        <f t="shared" si="31"/>
        <v>0</v>
      </c>
      <c r="BO57" s="20">
        <f>IF(AND(BN4=0,BN57&gt;=0), "",BN57/BN4)</f>
        <v>0</v>
      </c>
      <c r="BP57" s="37">
        <f>IF(AND(BN124=0,BN57&gt;=0),"",BN57/BN124)</f>
        <v>0</v>
      </c>
      <c r="BQ57" s="101">
        <f>+'N EERR RODEO'!K56</f>
        <v>0</v>
      </c>
      <c r="BR57" s="20" t="str">
        <f>IF(AND(BQ4=0,BQ57&gt;=0), "",BQ57/BQ4)</f>
        <v/>
      </c>
      <c r="BS57" s="37" t="str">
        <f>IF(AND(BQ124=0,BQ57&gt;=0),"",BQ57/BQ124)</f>
        <v/>
      </c>
      <c r="BT57" s="20" t="str">
        <f t="shared" si="10"/>
        <v/>
      </c>
      <c r="BU57" s="102">
        <f t="shared" si="32"/>
        <v>0</v>
      </c>
      <c r="BV57" s="20">
        <f>IF(AND(BU4=0,BU57&gt;=0), "",BU57/BU4)</f>
        <v>0</v>
      </c>
      <c r="BW57" s="37">
        <f>IF(AND(BU124=0,BU57&gt;=0),"",BU57/BU124)</f>
        <v>0</v>
      </c>
      <c r="BX57" s="103">
        <f t="shared" si="33"/>
        <v>0</v>
      </c>
      <c r="BY57" s="20" t="str">
        <f>IF(AND(BX4=0,BX57&gt;=0), "",BX57/BX4)</f>
        <v/>
      </c>
      <c r="BZ57" s="37" t="str">
        <f t="shared" si="11"/>
        <v/>
      </c>
      <c r="CA57" s="101">
        <f>+'N EERR RODEO'!L56</f>
        <v>0</v>
      </c>
      <c r="CB57" s="20" t="str">
        <f>IF(AND(CA4=0,CA57&gt;=0), "",CA57/CA4)</f>
        <v/>
      </c>
      <c r="CC57" s="37" t="str">
        <f>IF(AND(CA124=0,CA57&gt;=0),"",CA57/CA124)</f>
        <v/>
      </c>
      <c r="CD57" s="20" t="str">
        <f t="shared" si="26"/>
        <v/>
      </c>
      <c r="CE57" s="102">
        <f t="shared" si="34"/>
        <v>0</v>
      </c>
      <c r="CF57" s="20">
        <f>IF(AND(CE4=0,CE57&gt;=0), "",CE57/CE4)</f>
        <v>0</v>
      </c>
      <c r="CG57" s="37">
        <f>IF(AND(CE124=0,CE57&gt;=0),"",CE57/CE124)</f>
        <v>0</v>
      </c>
      <c r="CH57" s="101">
        <f>+'N EERR RODEO'!M56</f>
        <v>0</v>
      </c>
      <c r="CI57" s="20" t="str">
        <f>IF(AND(CH4=0,CH57&gt;=0), "",CH57/CH4)</f>
        <v/>
      </c>
      <c r="CJ57" s="37" t="str">
        <f>IF(AND(CH124=0,CH57&gt;=0),"",CH57/CH124)</f>
        <v/>
      </c>
      <c r="CK57" s="20" t="str">
        <f t="shared" si="13"/>
        <v/>
      </c>
      <c r="CL57" s="102">
        <f t="shared" si="35"/>
        <v>0</v>
      </c>
      <c r="CM57" s="20">
        <f>IF(AND(CL4=0,CL57&gt;=0), "",CL57/CL4)</f>
        <v>0</v>
      </c>
      <c r="CN57" s="37">
        <f>IF(AND(CL124=0,CL57&gt;=0),"",CL57/CL124)</f>
        <v>0</v>
      </c>
      <c r="CO57" s="101">
        <f>+'N EERR RODEO'!N56</f>
        <v>0</v>
      </c>
      <c r="CP57" s="20" t="str">
        <f>IF(AND(CO4=0,CO57&gt;=0), "",CO57/CO4)</f>
        <v/>
      </c>
      <c r="CQ57" s="37" t="str">
        <f>IF(AND(CO124=0,CO57&gt;=0),"",CO57/CO124)</f>
        <v/>
      </c>
      <c r="CR57" s="20" t="str">
        <f t="shared" si="14"/>
        <v/>
      </c>
      <c r="CS57" s="102">
        <f t="shared" si="36"/>
        <v>0</v>
      </c>
      <c r="CT57" s="20">
        <f>IF(AND(CS4=0,CS57&gt;=0), "",CS57/CS4)</f>
        <v>0</v>
      </c>
      <c r="CU57" s="37">
        <f>IF(AND(CS124=0,CS57&gt;=0),"",CS57/CS124)</f>
        <v>0</v>
      </c>
      <c r="CV57" s="103">
        <f t="shared" si="37"/>
        <v>0</v>
      </c>
      <c r="CW57" s="20" t="str">
        <f>IF(AND(CV4=0,CV57&gt;=0), "",CV57/CV4)</f>
        <v/>
      </c>
      <c r="CX57" s="37" t="str">
        <f t="shared" si="15"/>
        <v/>
      </c>
    </row>
    <row r="58" spans="1:102" outlineLevel="1" x14ac:dyDescent="0.25">
      <c r="A58" s="19" t="s">
        <v>20</v>
      </c>
      <c r="B58" s="101">
        <f>+'N EERR RODEO'!B57</f>
        <v>0</v>
      </c>
      <c r="C58" s="20" t="str">
        <f>IF(AND(B4=0,B58&gt;=0), "",B58/B4)</f>
        <v/>
      </c>
      <c r="D58" s="37" t="str">
        <f>IF(AND(B124=0,B58&gt;=0),"",B58/B124)</f>
        <v/>
      </c>
      <c r="E58" s="101">
        <f>+'N EERR RODEO'!C57</f>
        <v>0</v>
      </c>
      <c r="F58" s="20">
        <f>IF(AND(E4=0,E58&gt;=0), "",E58/E4)</f>
        <v>0</v>
      </c>
      <c r="G58" s="37">
        <f>IF(AND(E124=0,E58&gt;=0),"",E58/E124)</f>
        <v>0</v>
      </c>
      <c r="H58" s="101">
        <f>+'N EERR RODEO'!D57</f>
        <v>0</v>
      </c>
      <c r="I58" s="20">
        <f>IF(AND(H4=0,H58&gt;=0), "",H58/H4)</f>
        <v>0</v>
      </c>
      <c r="J58" s="37">
        <f>IF(AND(H124=0,H58&gt;=0),"",H58/H124)</f>
        <v>0</v>
      </c>
      <c r="K58" s="20" t="str">
        <f t="shared" si="19"/>
        <v/>
      </c>
      <c r="L58" s="102">
        <f t="shared" si="38"/>
        <v>0</v>
      </c>
      <c r="M58" s="20">
        <f>IF(AND(L4=0,L58&gt;=0), "",L58/L4)</f>
        <v>0</v>
      </c>
      <c r="N58" s="37">
        <f>IF(AND(L124=0,L58&gt;=0),"",L58/L124)</f>
        <v>0</v>
      </c>
      <c r="O58" s="101">
        <f>+'N EERR RODEO'!E57</f>
        <v>0</v>
      </c>
      <c r="P58" s="20">
        <f>IF(AND(O4=0,O58&gt;=0), "",O58/O4)</f>
        <v>0</v>
      </c>
      <c r="Q58" s="37">
        <f>IF(AND(O124=0,O58&gt;=0),"",O58/O124)</f>
        <v>0</v>
      </c>
      <c r="R58" s="20" t="str">
        <f t="shared" si="20"/>
        <v/>
      </c>
      <c r="S58" s="102">
        <f t="shared" si="39"/>
        <v>0</v>
      </c>
      <c r="T58" s="20">
        <f>IF(AND(S4=0,S58&gt;=0), "",S58/S4)</f>
        <v>0</v>
      </c>
      <c r="U58" s="37">
        <f>IF(AND(S124=0,S58&gt;=0),"",S58/S124)</f>
        <v>0</v>
      </c>
      <c r="V58" s="103"/>
      <c r="W58" s="20" t="str">
        <f>IF(AND(V4=0,V58&gt;=0), "",V58/V4)</f>
        <v/>
      </c>
      <c r="X58" s="37" t="str">
        <f t="shared" si="21"/>
        <v/>
      </c>
      <c r="Y58" s="101">
        <f>+'N EERR RODEO'!F57</f>
        <v>0</v>
      </c>
      <c r="Z58" s="20" t="str">
        <f>IF(AND(Y4=0,Y58&gt;=0), "",Y58/Y4)</f>
        <v/>
      </c>
      <c r="AA58" s="37" t="str">
        <f>IF(AND(Y124=0,Y58&gt;=0),"",Y58/Y124)</f>
        <v/>
      </c>
      <c r="AB58" s="20" t="str">
        <f t="shared" si="22"/>
        <v/>
      </c>
      <c r="AC58" s="102">
        <f t="shared" si="27"/>
        <v>0</v>
      </c>
      <c r="AD58" s="20">
        <f>IF(AND(AC4=0,AC58&gt;=0), "",AC58/AC4)</f>
        <v>0</v>
      </c>
      <c r="AE58" s="37">
        <f>IF(AND(AC124=0,AC58&gt;=0),"",AC58/AC124)</f>
        <v>0</v>
      </c>
      <c r="AF58" s="101">
        <f>+'N EERR RODEO'!G57</f>
        <v>0</v>
      </c>
      <c r="AG58" s="20" t="str">
        <f>IF(AND(AF4=0,AF58&gt;=0), "",AF58/AF4)</f>
        <v/>
      </c>
      <c r="AH58" s="37" t="str">
        <f>IF(AND(AF124=0,AF58&gt;=0),"",AF58/AF124)</f>
        <v/>
      </c>
      <c r="AI58" s="20" t="str">
        <f t="shared" si="4"/>
        <v/>
      </c>
      <c r="AJ58" s="102">
        <f t="shared" si="16"/>
        <v>0</v>
      </c>
      <c r="AK58" s="20">
        <f>IF(AND(AJ4=0,AJ58&gt;=0), "",AJ58/AJ4)</f>
        <v>0</v>
      </c>
      <c r="AL58" s="37">
        <f>IF(AND(AJ124=0,AJ58&gt;=0),"",AJ58/AJ124)</f>
        <v>0</v>
      </c>
      <c r="AM58" s="101">
        <f>+'N EERR RODEO'!H57</f>
        <v>0</v>
      </c>
      <c r="AN58" s="20" t="str">
        <f>IF(AND(AM4=0,AM58&gt;=0), "",AM58/AM4)</f>
        <v/>
      </c>
      <c r="AO58" s="37" t="str">
        <f>IF(AND(AM124=0,AM58&gt;=0),"",AM58/AM124)</f>
        <v/>
      </c>
      <c r="AP58" s="20" t="str">
        <f t="shared" si="5"/>
        <v/>
      </c>
      <c r="AQ58" s="102">
        <f t="shared" si="17"/>
        <v>0</v>
      </c>
      <c r="AR58" s="20">
        <f>IF(AND(AQ4=0,AQ58&gt;=0), "",AQ58/AQ4)</f>
        <v>0</v>
      </c>
      <c r="AS58" s="37">
        <f>IF(AND(AQ124=0,AQ58&gt;=0),"",AQ58/AQ124)</f>
        <v>0</v>
      </c>
      <c r="AT58" s="103">
        <f t="shared" si="28"/>
        <v>0</v>
      </c>
      <c r="AU58" s="20" t="str">
        <f>IF(AND(AT4=0,AT58&gt;=0), "",AT58/AT4)</f>
        <v/>
      </c>
      <c r="AV58" s="37" t="str">
        <f t="shared" si="23"/>
        <v/>
      </c>
      <c r="AW58" s="103">
        <f t="shared" si="40"/>
        <v>0</v>
      </c>
      <c r="AX58" s="20">
        <f>IF(AND(AW4=0,AW58&gt;=0), "",AW58/AW4)</f>
        <v>0</v>
      </c>
      <c r="AY58" s="37">
        <f>IF(AND(AW124=0,AW58&gt;=0),"",AW58/AW124)</f>
        <v>0</v>
      </c>
      <c r="AZ58" s="103">
        <f t="shared" si="29"/>
        <v>0</v>
      </c>
      <c r="BA58" s="20" t="str">
        <f>IF(AND(AZ4=0,AZ58&gt;=0), "",AZ58/AZ4)</f>
        <v/>
      </c>
      <c r="BB58" s="37" t="str">
        <f t="shared" si="24"/>
        <v/>
      </c>
      <c r="BC58" s="101">
        <f>+'N EERR RODEO'!I57</f>
        <v>0</v>
      </c>
      <c r="BD58" s="20" t="str">
        <f>IF(AND(BC4=0,BC58&gt;=0), "",BC58/BC4)</f>
        <v/>
      </c>
      <c r="BE58" s="37" t="str">
        <f>IF(AND(BC124=0,BC58&gt;=0),"",BC58/BC124)</f>
        <v/>
      </c>
      <c r="BF58" s="20" t="str">
        <f t="shared" si="25"/>
        <v/>
      </c>
      <c r="BG58" s="102">
        <f t="shared" si="30"/>
        <v>0</v>
      </c>
      <c r="BH58" s="20">
        <f>IF(AND(BG4=0,BG58&gt;=0), "",BG58/BG4)</f>
        <v>0</v>
      </c>
      <c r="BI58" s="37">
        <f>IF(AND(BG124=0,BG58&gt;=0),"",BG58/BG124)</f>
        <v>0</v>
      </c>
      <c r="BJ58" s="101">
        <f>+'N EERR RODEO'!J57</f>
        <v>0</v>
      </c>
      <c r="BK58" s="20" t="str">
        <f>IF(AND(BJ4=0,BJ58&gt;=0), "",BJ58/BJ4)</f>
        <v/>
      </c>
      <c r="BL58" s="37" t="str">
        <f>IF(AND(BJ124=0,BJ58&gt;=0),"",BJ58/BJ124)</f>
        <v/>
      </c>
      <c r="BM58" s="20" t="str">
        <f t="shared" si="9"/>
        <v/>
      </c>
      <c r="BN58" s="102">
        <f t="shared" si="31"/>
        <v>0</v>
      </c>
      <c r="BO58" s="20">
        <f>IF(AND(BN4=0,BN58&gt;=0), "",BN58/BN4)</f>
        <v>0</v>
      </c>
      <c r="BP58" s="37">
        <f>IF(AND(BN124=0,BN58&gt;=0),"",BN58/BN124)</f>
        <v>0</v>
      </c>
      <c r="BQ58" s="101">
        <f>+'N EERR RODEO'!K57</f>
        <v>0</v>
      </c>
      <c r="BR58" s="20" t="str">
        <f>IF(AND(BQ4=0,BQ58&gt;=0), "",BQ58/BQ4)</f>
        <v/>
      </c>
      <c r="BS58" s="37" t="str">
        <f>IF(AND(BQ124=0,BQ58&gt;=0),"",BQ58/BQ124)</f>
        <v/>
      </c>
      <c r="BT58" s="20" t="str">
        <f t="shared" si="10"/>
        <v/>
      </c>
      <c r="BU58" s="102">
        <f t="shared" si="32"/>
        <v>0</v>
      </c>
      <c r="BV58" s="20">
        <f>IF(AND(BU4=0,BU58&gt;=0), "",BU58/BU4)</f>
        <v>0</v>
      </c>
      <c r="BW58" s="37">
        <f>IF(AND(BU124=0,BU58&gt;=0),"",BU58/BU124)</f>
        <v>0</v>
      </c>
      <c r="BX58" s="103">
        <f t="shared" si="33"/>
        <v>0</v>
      </c>
      <c r="BY58" s="20" t="str">
        <f>IF(AND(BX4=0,BX58&gt;=0), "",BX58/BX4)</f>
        <v/>
      </c>
      <c r="BZ58" s="37" t="str">
        <f t="shared" si="11"/>
        <v/>
      </c>
      <c r="CA58" s="101">
        <f>+'N EERR RODEO'!L57</f>
        <v>0</v>
      </c>
      <c r="CB58" s="20" t="str">
        <f>IF(AND(CA4=0,CA58&gt;=0), "",CA58/CA4)</f>
        <v/>
      </c>
      <c r="CC58" s="37" t="str">
        <f>IF(AND(CA124=0,CA58&gt;=0),"",CA58/CA124)</f>
        <v/>
      </c>
      <c r="CD58" s="20" t="str">
        <f t="shared" si="26"/>
        <v/>
      </c>
      <c r="CE58" s="102">
        <f t="shared" si="34"/>
        <v>0</v>
      </c>
      <c r="CF58" s="20">
        <f>IF(AND(CE4=0,CE58&gt;=0), "",CE58/CE4)</f>
        <v>0</v>
      </c>
      <c r="CG58" s="37">
        <f>IF(AND(CE124=0,CE58&gt;=0),"",CE58/CE124)</f>
        <v>0</v>
      </c>
      <c r="CH58" s="101">
        <f>+'N EERR RODEO'!M57</f>
        <v>0</v>
      </c>
      <c r="CI58" s="20" t="str">
        <f>IF(AND(CH4=0,CH58&gt;=0), "",CH58/CH4)</f>
        <v/>
      </c>
      <c r="CJ58" s="37" t="str">
        <f>IF(AND(CH124=0,CH58&gt;=0),"",CH58/CH124)</f>
        <v/>
      </c>
      <c r="CK58" s="20" t="str">
        <f t="shared" si="13"/>
        <v/>
      </c>
      <c r="CL58" s="102">
        <f t="shared" si="35"/>
        <v>0</v>
      </c>
      <c r="CM58" s="20">
        <f>IF(AND(CL4=0,CL58&gt;=0), "",CL58/CL4)</f>
        <v>0</v>
      </c>
      <c r="CN58" s="37">
        <f>IF(AND(CL124=0,CL58&gt;=0),"",CL58/CL124)</f>
        <v>0</v>
      </c>
      <c r="CO58" s="101">
        <f>+'N EERR RODEO'!N57</f>
        <v>0</v>
      </c>
      <c r="CP58" s="20" t="str">
        <f>IF(AND(CO4=0,CO58&gt;=0), "",CO58/CO4)</f>
        <v/>
      </c>
      <c r="CQ58" s="37" t="str">
        <f>IF(AND(CO124=0,CO58&gt;=0),"",CO58/CO124)</f>
        <v/>
      </c>
      <c r="CR58" s="20" t="str">
        <f t="shared" si="14"/>
        <v/>
      </c>
      <c r="CS58" s="102">
        <f t="shared" si="36"/>
        <v>0</v>
      </c>
      <c r="CT58" s="20">
        <f>IF(AND(CS4=0,CS58&gt;=0), "",CS58/CS4)</f>
        <v>0</v>
      </c>
      <c r="CU58" s="37">
        <f>IF(AND(CS124=0,CS58&gt;=0),"",CS58/CS124)</f>
        <v>0</v>
      </c>
      <c r="CV58" s="103">
        <f t="shared" si="37"/>
        <v>0</v>
      </c>
      <c r="CW58" s="20" t="str">
        <f>IF(AND(CV4=0,CV58&gt;=0), "",CV58/CV4)</f>
        <v/>
      </c>
      <c r="CX58" s="37" t="str">
        <f t="shared" si="15"/>
        <v/>
      </c>
    </row>
    <row r="59" spans="1:102" outlineLevel="1" x14ac:dyDescent="0.25">
      <c r="A59" s="19" t="s">
        <v>21</v>
      </c>
      <c r="B59" s="101">
        <f>+'N EERR RODEO'!B58</f>
        <v>0</v>
      </c>
      <c r="C59" s="20" t="str">
        <f>IF(AND(B4=0,B59&gt;=0), "",B59/B4)</f>
        <v/>
      </c>
      <c r="D59" s="37" t="str">
        <f>IF(AND(B124=0,B59&gt;=0),"",B59/B124)</f>
        <v/>
      </c>
      <c r="E59" s="101">
        <f>+'N EERR RODEO'!C58</f>
        <v>0.06</v>
      </c>
      <c r="F59" s="20">
        <f>IF(AND(E4=0,E59&gt;=0), "",E59/E4)</f>
        <v>1.2517464470741783E-6</v>
      </c>
      <c r="G59" s="37">
        <f>IF(AND(E124=0,E59&gt;=0),"",E59/E124)</f>
        <v>1.9376834542178687E-6</v>
      </c>
      <c r="H59" s="101">
        <f>+'N EERR RODEO'!D58</f>
        <v>0</v>
      </c>
      <c r="I59" s="20">
        <f>IF(AND(H4=0,H59&gt;=0), "",H59/H4)</f>
        <v>0</v>
      </c>
      <c r="J59" s="37">
        <f>IF(AND(H124=0,H59&gt;=0),"",H59/H124)</f>
        <v>0</v>
      </c>
      <c r="K59" s="20">
        <f t="shared" si="19"/>
        <v>-1</v>
      </c>
      <c r="L59" s="102">
        <f t="shared" si="38"/>
        <v>0.06</v>
      </c>
      <c r="M59" s="20">
        <f>IF(AND(L4=0,L59&gt;=0), "",L59/L4)</f>
        <v>6.035241586194264E-7</v>
      </c>
      <c r="N59" s="37">
        <f>IF(AND(L124=0,L59&gt;=0),"",L59/L124)</f>
        <v>1.1928547997495006E-6</v>
      </c>
      <c r="O59" s="101">
        <f>+'N EERR RODEO'!E58</f>
        <v>7.67</v>
      </c>
      <c r="P59" s="20">
        <f>IF(AND(O4=0,O59&gt;=0), "",O59/O4)</f>
        <v>1.1964525105067874E-4</v>
      </c>
      <c r="Q59" s="37">
        <f>IF(AND(O124=0,O59&gt;=0),"",O59/O124)</f>
        <v>2.9571814012952993E-4</v>
      </c>
      <c r="R59" s="20">
        <f t="shared" si="20"/>
        <v>1</v>
      </c>
      <c r="S59" s="102">
        <f t="shared" si="39"/>
        <v>7.7299999999999995</v>
      </c>
      <c r="T59" s="20">
        <f>IF(AND(S4=0,S59&gt;=0), "",S59/S4)</f>
        <v>4.7271854441826722E-5</v>
      </c>
      <c r="U59" s="37">
        <f>IF(AND(S124=0,S59&gt;=0),"",S59/S124)</f>
        <v>1.0139518728333831E-4</v>
      </c>
      <c r="V59" s="103"/>
      <c r="W59" s="20" t="str">
        <f>IF(AND(V4=0,V59&gt;=0), "",V59/V4)</f>
        <v/>
      </c>
      <c r="X59" s="37">
        <f t="shared" si="21"/>
        <v>1</v>
      </c>
      <c r="Y59" s="101">
        <f>+'N EERR RODEO'!F58</f>
        <v>0</v>
      </c>
      <c r="Z59" s="20" t="str">
        <f>IF(AND(Y4=0,Y59&gt;=0), "",Y59/Y4)</f>
        <v/>
      </c>
      <c r="AA59" s="37" t="str">
        <f>IF(AND(Y124=0,Y59&gt;=0),"",Y59/Y124)</f>
        <v/>
      </c>
      <c r="AB59" s="20">
        <f t="shared" si="22"/>
        <v>-1</v>
      </c>
      <c r="AC59" s="102">
        <f t="shared" si="27"/>
        <v>7.7299999999999995</v>
      </c>
      <c r="AD59" s="20">
        <f>IF(AND(AC4=0,AC59&gt;=0), "",AC59/AC4)</f>
        <v>4.7271854441826722E-5</v>
      </c>
      <c r="AE59" s="37">
        <f>IF(AND(AC124=0,AC59&gt;=0),"",AC59/AC124)</f>
        <v>1.0139518728333831E-4</v>
      </c>
      <c r="AF59" s="101">
        <f>+'N EERR RODEO'!G58</f>
        <v>0</v>
      </c>
      <c r="AG59" s="20" t="str">
        <f>IF(AND(AF4=0,AF59&gt;=0), "",AF59/AF4)</f>
        <v/>
      </c>
      <c r="AH59" s="37" t="str">
        <f>IF(AND(AF124=0,AF59&gt;=0),"",AF59/AF124)</f>
        <v/>
      </c>
      <c r="AI59" s="20" t="str">
        <f t="shared" si="4"/>
        <v/>
      </c>
      <c r="AJ59" s="102">
        <f t="shared" si="16"/>
        <v>7.7299999999999995</v>
      </c>
      <c r="AK59" s="20">
        <f>IF(AND(AJ4=0,AJ59&gt;=0), "",AJ59/AJ4)</f>
        <v>4.7271854441826722E-5</v>
      </c>
      <c r="AL59" s="37">
        <f>IF(AND(AJ124=0,AJ59&gt;=0),"",AJ59/AJ124)</f>
        <v>1.0139518728333831E-4</v>
      </c>
      <c r="AM59" s="101">
        <f>+'N EERR RODEO'!H58</f>
        <v>0</v>
      </c>
      <c r="AN59" s="20" t="str">
        <f>IF(AND(AM4=0,AM59&gt;=0), "",AM59/AM4)</f>
        <v/>
      </c>
      <c r="AO59" s="37" t="str">
        <f>IF(AND(AM124=0,AM59&gt;=0),"",AM59/AM124)</f>
        <v/>
      </c>
      <c r="AP59" s="20" t="str">
        <f t="shared" si="5"/>
        <v/>
      </c>
      <c r="AQ59" s="102">
        <f t="shared" si="17"/>
        <v>7.7299999999999995</v>
      </c>
      <c r="AR59" s="20">
        <f>IF(AND(AQ4=0,AQ59&gt;=0), "",AQ59/AQ4)</f>
        <v>4.7271854441826722E-5</v>
      </c>
      <c r="AS59" s="37">
        <f>IF(AND(AQ124=0,AQ59&gt;=0),"",AQ59/AQ124)</f>
        <v>1.0139518728333831E-4</v>
      </c>
      <c r="AT59" s="103">
        <f t="shared" si="28"/>
        <v>0</v>
      </c>
      <c r="AU59" s="20" t="str">
        <f>IF(AND(AT4=0,AT59&gt;=0), "",AT59/AT4)</f>
        <v/>
      </c>
      <c r="AV59" s="37">
        <f t="shared" si="23"/>
        <v>1</v>
      </c>
      <c r="AW59" s="103">
        <f t="shared" si="40"/>
        <v>1.2883333333333333</v>
      </c>
      <c r="AX59" s="20">
        <f>IF(AND(AW4=0,AW59&gt;=0), "",AW59/AW4)</f>
        <v>4.7271854441826729E-5</v>
      </c>
      <c r="AY59" s="37">
        <f>IF(AND(AW124=0,AW59&gt;=0),"",AW59/AW124)</f>
        <v>1.0139518728333829E-4</v>
      </c>
      <c r="AZ59" s="103">
        <f t="shared" si="29"/>
        <v>0</v>
      </c>
      <c r="BA59" s="20" t="str">
        <f>IF(AND(AZ4=0,AZ59&gt;=0), "",AZ59/AZ4)</f>
        <v/>
      </c>
      <c r="BB59" s="37">
        <f t="shared" si="24"/>
        <v>1</v>
      </c>
      <c r="BC59" s="101">
        <f>+'N EERR RODEO'!I58</f>
        <v>0</v>
      </c>
      <c r="BD59" s="20" t="str">
        <f>IF(AND(BC4=0,BC59&gt;=0), "",BC59/BC4)</f>
        <v/>
      </c>
      <c r="BE59" s="37" t="str">
        <f>IF(AND(BC124=0,BC59&gt;=0),"",BC59/BC124)</f>
        <v/>
      </c>
      <c r="BF59" s="20" t="str">
        <f t="shared" si="25"/>
        <v/>
      </c>
      <c r="BG59" s="102">
        <f t="shared" si="30"/>
        <v>7.7299999999999995</v>
      </c>
      <c r="BH59" s="20">
        <f>IF(AND(BG4=0,BG59&gt;=0), "",BG59/BG4)</f>
        <v>4.7271854441826722E-5</v>
      </c>
      <c r="BI59" s="37">
        <f>IF(AND(BG124=0,BG59&gt;=0),"",BG59/BG124)</f>
        <v>1.0139518728333831E-4</v>
      </c>
      <c r="BJ59" s="101">
        <f>+'N EERR RODEO'!J58</f>
        <v>0</v>
      </c>
      <c r="BK59" s="20" t="str">
        <f>IF(AND(BJ4=0,BJ59&gt;=0), "",BJ59/BJ4)</f>
        <v/>
      </c>
      <c r="BL59" s="37" t="str">
        <f>IF(AND(BJ124=0,BJ59&gt;=0),"",BJ59/BJ124)</f>
        <v/>
      </c>
      <c r="BM59" s="20" t="str">
        <f t="shared" si="9"/>
        <v/>
      </c>
      <c r="BN59" s="102">
        <f t="shared" si="31"/>
        <v>7.7299999999999995</v>
      </c>
      <c r="BO59" s="20">
        <f>IF(AND(BN4=0,BN59&gt;=0), "",BN59/BN4)</f>
        <v>4.7271854441826722E-5</v>
      </c>
      <c r="BP59" s="37">
        <f>IF(AND(BN124=0,BN59&gt;=0),"",BN59/BN124)</f>
        <v>1.0139518728333831E-4</v>
      </c>
      <c r="BQ59" s="101">
        <f>+'N EERR RODEO'!K58</f>
        <v>0</v>
      </c>
      <c r="BR59" s="20" t="str">
        <f>IF(AND(BQ4=0,BQ59&gt;=0), "",BQ59/BQ4)</f>
        <v/>
      </c>
      <c r="BS59" s="37" t="str">
        <f>IF(AND(BQ124=0,BQ59&gt;=0),"",BQ59/BQ124)</f>
        <v/>
      </c>
      <c r="BT59" s="20" t="str">
        <f t="shared" si="10"/>
        <v/>
      </c>
      <c r="BU59" s="102">
        <f t="shared" si="32"/>
        <v>7.7299999999999995</v>
      </c>
      <c r="BV59" s="20">
        <f>IF(AND(BU4=0,BU59&gt;=0), "",BU59/BU4)</f>
        <v>4.7271854441826722E-5</v>
      </c>
      <c r="BW59" s="37">
        <f>IF(AND(BU124=0,BU59&gt;=0),"",BU59/BU124)</f>
        <v>1.0139518728333831E-4</v>
      </c>
      <c r="BX59" s="103">
        <f t="shared" si="33"/>
        <v>0</v>
      </c>
      <c r="BY59" s="20" t="str">
        <f>IF(AND(BX4=0,BX59&gt;=0), "",BX59/BX4)</f>
        <v/>
      </c>
      <c r="BZ59" s="37">
        <f t="shared" si="11"/>
        <v>1</v>
      </c>
      <c r="CA59" s="101">
        <f>+'N EERR RODEO'!L58</f>
        <v>0</v>
      </c>
      <c r="CB59" s="20" t="str">
        <f>IF(AND(CA4=0,CA59&gt;=0), "",CA59/CA4)</f>
        <v/>
      </c>
      <c r="CC59" s="37" t="str">
        <f>IF(AND(CA124=0,CA59&gt;=0),"",CA59/CA124)</f>
        <v/>
      </c>
      <c r="CD59" s="20" t="str">
        <f t="shared" si="26"/>
        <v/>
      </c>
      <c r="CE59" s="102">
        <f t="shared" si="34"/>
        <v>7.7299999999999995</v>
      </c>
      <c r="CF59" s="20">
        <f>IF(AND(CE4=0,CE59&gt;=0), "",CE59/CE4)</f>
        <v>4.7271854441826722E-5</v>
      </c>
      <c r="CG59" s="37">
        <f>IF(AND(CE124=0,CE59&gt;=0),"",CE59/CE124)</f>
        <v>1.0139518728333831E-4</v>
      </c>
      <c r="CH59" s="101">
        <f>+'N EERR RODEO'!M58</f>
        <v>0</v>
      </c>
      <c r="CI59" s="20" t="str">
        <f>IF(AND(CH4=0,CH59&gt;=0), "",CH59/CH4)</f>
        <v/>
      </c>
      <c r="CJ59" s="37" t="str">
        <f>IF(AND(CH124=0,CH59&gt;=0),"",CH59/CH124)</f>
        <v/>
      </c>
      <c r="CK59" s="20" t="str">
        <f t="shared" si="13"/>
        <v/>
      </c>
      <c r="CL59" s="102">
        <f t="shared" si="35"/>
        <v>7.7299999999999995</v>
      </c>
      <c r="CM59" s="20">
        <f>IF(AND(CL4=0,CL59&gt;=0), "",CL59/CL4)</f>
        <v>4.7271854441826722E-5</v>
      </c>
      <c r="CN59" s="37">
        <f>IF(AND(CL124=0,CL59&gt;=0),"",CL59/CL124)</f>
        <v>1.0139518728333831E-4</v>
      </c>
      <c r="CO59" s="101">
        <f>+'N EERR RODEO'!N58</f>
        <v>0</v>
      </c>
      <c r="CP59" s="20" t="str">
        <f>IF(AND(CO4=0,CO59&gt;=0), "",CO59/CO4)</f>
        <v/>
      </c>
      <c r="CQ59" s="37" t="str">
        <f>IF(AND(CO124=0,CO59&gt;=0),"",CO59/CO124)</f>
        <v/>
      </c>
      <c r="CR59" s="20" t="str">
        <f t="shared" si="14"/>
        <v/>
      </c>
      <c r="CS59" s="102">
        <f t="shared" si="36"/>
        <v>7.7299999999999995</v>
      </c>
      <c r="CT59" s="20">
        <f>IF(AND(CS4=0,CS59&gt;=0), "",CS59/CS4)</f>
        <v>4.7271854441826722E-5</v>
      </c>
      <c r="CU59" s="37">
        <f>IF(AND(CS124=0,CS59&gt;=0),"",CS59/CS124)</f>
        <v>1.0139518728333831E-4</v>
      </c>
      <c r="CV59" s="103">
        <f t="shared" si="37"/>
        <v>0</v>
      </c>
      <c r="CW59" s="20" t="str">
        <f>IF(AND(CV4=0,CV59&gt;=0), "",CV59/CV4)</f>
        <v/>
      </c>
      <c r="CX59" s="37">
        <f t="shared" si="15"/>
        <v>1</v>
      </c>
    </row>
    <row r="60" spans="1:102" outlineLevel="1" x14ac:dyDescent="0.25">
      <c r="A60" s="19" t="s">
        <v>0</v>
      </c>
      <c r="B60" s="101">
        <f>+'N EERR RODEO'!B59+'N EERR RODEO'!B60+'N EERR RODEO'!B61+'N EERR RODEO'!B62+'N EERR RODEO'!B63</f>
        <v>0</v>
      </c>
      <c r="C60" s="20" t="str">
        <f>IF(AND(B4=0,B60&gt;=0), "",B60/B4)</f>
        <v/>
      </c>
      <c r="D60" s="37" t="str">
        <f>IF(AND(B124=0,B60&gt;=0),"",B60/B124)</f>
        <v/>
      </c>
      <c r="E60" s="101">
        <f>+'N EERR RODEO'!C59+'N EERR RODEO'!C60+'N EERR RODEO'!C61+'N EERR RODEO'!C62+'N EERR RODEO'!C63</f>
        <v>0</v>
      </c>
      <c r="F60" s="20">
        <f>IF(AND(E4=0,E60&gt;=0), "",E60/E4)</f>
        <v>0</v>
      </c>
      <c r="G60" s="37">
        <f>IF(AND(E124=0,E60&gt;=0),"",E60/E124)</f>
        <v>0</v>
      </c>
      <c r="H60" s="101">
        <f>+'N EERR RODEO'!D59+'N EERR RODEO'!D60+'N EERR RODEO'!D61+'N EERR RODEO'!D62+'N EERR RODEO'!D63</f>
        <v>0</v>
      </c>
      <c r="I60" s="20">
        <f>IF(AND(H4=0,H60&gt;=0), "",H60/H4)</f>
        <v>0</v>
      </c>
      <c r="J60" s="37">
        <f>IF(AND(H124=0,H60&gt;=0),"",H60/H124)</f>
        <v>0</v>
      </c>
      <c r="K60" s="20" t="str">
        <f t="shared" si="19"/>
        <v/>
      </c>
      <c r="L60" s="102">
        <f t="shared" si="38"/>
        <v>0</v>
      </c>
      <c r="M60" s="20">
        <f>IF(AND(L4=0,L60&gt;=0), "",L60/L4)</f>
        <v>0</v>
      </c>
      <c r="N60" s="37">
        <f>IF(AND(L124=0,L60&gt;=0),"",L60/L124)</f>
        <v>0</v>
      </c>
      <c r="O60" s="101">
        <f>+'N EERR RODEO'!E59+'N EERR RODEO'!E60+'N EERR RODEO'!E61+'N EERR RODEO'!E62+'N EERR RODEO'!E63</f>
        <v>28.15</v>
      </c>
      <c r="P60" s="20">
        <f>IF(AND(O4=0,O60&gt;=0), "",O60/O4)</f>
        <v>4.3911523038808422E-4</v>
      </c>
      <c r="Q60" s="37">
        <f>IF(AND(O124=0,O60&gt;=0),"",O60/O124)</f>
        <v>1.0853279849604E-3</v>
      </c>
      <c r="R60" s="20">
        <f t="shared" si="20"/>
        <v>1</v>
      </c>
      <c r="S60" s="102">
        <f t="shared" si="39"/>
        <v>28.15</v>
      </c>
      <c r="T60" s="20">
        <f>IF(AND(S4=0,S60&gt;=0), "",S60/S4)</f>
        <v>1.7214782697767429E-4</v>
      </c>
      <c r="U60" s="37">
        <f>IF(AND(S124=0,S60&gt;=0),"",S60/S124)</f>
        <v>3.6924638059844414E-4</v>
      </c>
      <c r="V60" s="103"/>
      <c r="W60" s="20" t="str">
        <f>IF(AND(V4=0,V60&gt;=0), "",V60/V4)</f>
        <v/>
      </c>
      <c r="X60" s="37">
        <f t="shared" si="21"/>
        <v>1</v>
      </c>
      <c r="Y60" s="101">
        <f>+'N EERR RODEO'!F59+'N EERR RODEO'!F60+'N EERR RODEO'!F61+'N EERR RODEO'!F62+'N EERR RODEO'!F63</f>
        <v>0</v>
      </c>
      <c r="Z60" s="20" t="str">
        <f>IF(AND(Y4=0,Y60&gt;=0), "",Y60/Y4)</f>
        <v/>
      </c>
      <c r="AA60" s="37" t="str">
        <f>IF(AND(Y124=0,Y60&gt;=0),"",Y60/Y124)</f>
        <v/>
      </c>
      <c r="AB60" s="20">
        <f t="shared" si="22"/>
        <v>-1</v>
      </c>
      <c r="AC60" s="102">
        <f t="shared" si="27"/>
        <v>28.15</v>
      </c>
      <c r="AD60" s="20">
        <f>IF(AND(AC4=0,AC60&gt;=0), "",AC60/AC4)</f>
        <v>1.7214782697767429E-4</v>
      </c>
      <c r="AE60" s="37">
        <f>IF(AND(AC124=0,AC60&gt;=0),"",AC60/AC124)</f>
        <v>3.6924638059844414E-4</v>
      </c>
      <c r="AF60" s="101">
        <f>+'N EERR RODEO'!G59+'N EERR RODEO'!G60+'N EERR RODEO'!G61+'N EERR RODEO'!G62+'N EERR RODEO'!G63</f>
        <v>0</v>
      </c>
      <c r="AG60" s="20" t="str">
        <f>IF(AND(AF4=0,AF60&gt;=0), "",AF60/AF4)</f>
        <v/>
      </c>
      <c r="AH60" s="37" t="str">
        <f>IF(AND(AF124=0,AF60&gt;=0),"",AF60/AF124)</f>
        <v/>
      </c>
      <c r="AI60" s="20" t="str">
        <f t="shared" si="4"/>
        <v/>
      </c>
      <c r="AJ60" s="102">
        <f t="shared" si="16"/>
        <v>28.15</v>
      </c>
      <c r="AK60" s="20">
        <f>IF(AND(AJ4=0,AJ60&gt;=0), "",AJ60/AJ4)</f>
        <v>1.7214782697767429E-4</v>
      </c>
      <c r="AL60" s="37">
        <f>IF(AND(AJ124=0,AJ60&gt;=0),"",AJ60/AJ124)</f>
        <v>3.6924638059844414E-4</v>
      </c>
      <c r="AM60" s="101">
        <f>+'N EERR RODEO'!H59+'N EERR RODEO'!H60+'N EERR RODEO'!H61+'N EERR RODEO'!H62+'N EERR RODEO'!H63</f>
        <v>0</v>
      </c>
      <c r="AN60" s="20" t="str">
        <f>IF(AND(AM4=0,AM60&gt;=0), "",AM60/AM4)</f>
        <v/>
      </c>
      <c r="AO60" s="37" t="str">
        <f>IF(AND(AM124=0,AM60&gt;=0),"",AM60/AM124)</f>
        <v/>
      </c>
      <c r="AP60" s="20" t="str">
        <f t="shared" si="5"/>
        <v/>
      </c>
      <c r="AQ60" s="102">
        <f t="shared" si="17"/>
        <v>28.15</v>
      </c>
      <c r="AR60" s="20">
        <f>IF(AND(AQ4=0,AQ60&gt;=0), "",AQ60/AQ4)</f>
        <v>1.7214782697767429E-4</v>
      </c>
      <c r="AS60" s="37">
        <f>IF(AND(AQ124=0,AQ60&gt;=0),"",AQ60/AQ124)</f>
        <v>3.6924638059844414E-4</v>
      </c>
      <c r="AT60" s="103">
        <f t="shared" si="28"/>
        <v>0</v>
      </c>
      <c r="AU60" s="20" t="str">
        <f>IF(AND(AT4=0,AT60&gt;=0), "",AT60/AT4)</f>
        <v/>
      </c>
      <c r="AV60" s="37">
        <f t="shared" si="23"/>
        <v>1</v>
      </c>
      <c r="AW60" s="103">
        <f t="shared" si="40"/>
        <v>4.6916666666666664</v>
      </c>
      <c r="AX60" s="20">
        <f>IF(AND(AW4=0,AW60&gt;=0), "",AW60/AW4)</f>
        <v>1.7214782697767429E-4</v>
      </c>
      <c r="AY60" s="37">
        <f>IF(AND(AW124=0,AW60&gt;=0),"",AW60/AW124)</f>
        <v>3.6924638059844409E-4</v>
      </c>
      <c r="AZ60" s="103">
        <f t="shared" si="29"/>
        <v>0</v>
      </c>
      <c r="BA60" s="20" t="str">
        <f>IF(AND(AZ4=0,AZ60&gt;=0), "",AZ60/AZ4)</f>
        <v/>
      </c>
      <c r="BB60" s="37">
        <f t="shared" si="24"/>
        <v>1</v>
      </c>
      <c r="BC60" s="101">
        <f>+'N EERR RODEO'!I59+'N EERR RODEO'!I60+'N EERR RODEO'!I61+'N EERR RODEO'!I62+'N EERR RODEO'!I63</f>
        <v>0</v>
      </c>
      <c r="BD60" s="20" t="str">
        <f>IF(AND(BC4=0,BC60&gt;=0), "",BC60/BC4)</f>
        <v/>
      </c>
      <c r="BE60" s="37" t="str">
        <f>IF(AND(BC124=0,BC60&gt;=0),"",BC60/BC124)</f>
        <v/>
      </c>
      <c r="BF60" s="20" t="str">
        <f t="shared" si="25"/>
        <v/>
      </c>
      <c r="BG60" s="102">
        <f t="shared" si="30"/>
        <v>28.15</v>
      </c>
      <c r="BH60" s="20">
        <f>IF(AND(BG4=0,BG60&gt;=0), "",BG60/BG4)</f>
        <v>1.7214782697767429E-4</v>
      </c>
      <c r="BI60" s="37">
        <f>IF(AND(BG124=0,BG60&gt;=0),"",BG60/BG124)</f>
        <v>3.6924638059844414E-4</v>
      </c>
      <c r="BJ60" s="101">
        <f>+'N EERR RODEO'!J59+'N EERR RODEO'!J60+'N EERR RODEO'!J61+'N EERR RODEO'!J62+'N EERR RODEO'!J63</f>
        <v>0</v>
      </c>
      <c r="BK60" s="20" t="str">
        <f>IF(AND(BJ4=0,BJ60&gt;=0), "",BJ60/BJ4)</f>
        <v/>
      </c>
      <c r="BL60" s="37" t="str">
        <f>IF(AND(BJ124=0,BJ60&gt;=0),"",BJ60/BJ124)</f>
        <v/>
      </c>
      <c r="BM60" s="20" t="str">
        <f t="shared" si="9"/>
        <v/>
      </c>
      <c r="BN60" s="102">
        <f t="shared" si="31"/>
        <v>28.15</v>
      </c>
      <c r="BO60" s="20">
        <f>IF(AND(BN4=0,BN60&gt;=0), "",BN60/BN4)</f>
        <v>1.7214782697767429E-4</v>
      </c>
      <c r="BP60" s="37">
        <f>IF(AND(BN124=0,BN60&gt;=0),"",BN60/BN124)</f>
        <v>3.6924638059844414E-4</v>
      </c>
      <c r="BQ60" s="101">
        <f>+'N EERR RODEO'!K59+'N EERR RODEO'!K60+'N EERR RODEO'!K61+'N EERR RODEO'!K62+'N EERR RODEO'!K63</f>
        <v>0</v>
      </c>
      <c r="BR60" s="20" t="str">
        <f>IF(AND(BQ4=0,BQ60&gt;=0), "",BQ60/BQ4)</f>
        <v/>
      </c>
      <c r="BS60" s="37" t="str">
        <f>IF(AND(BQ124=0,BQ60&gt;=0),"",BQ60/BQ124)</f>
        <v/>
      </c>
      <c r="BT60" s="20" t="str">
        <f t="shared" si="10"/>
        <v/>
      </c>
      <c r="BU60" s="102">
        <f t="shared" si="32"/>
        <v>28.15</v>
      </c>
      <c r="BV60" s="20">
        <f>IF(AND(BU4=0,BU60&gt;=0), "",BU60/BU4)</f>
        <v>1.7214782697767429E-4</v>
      </c>
      <c r="BW60" s="37">
        <f>IF(AND(BU124=0,BU60&gt;=0),"",BU60/BU124)</f>
        <v>3.6924638059844414E-4</v>
      </c>
      <c r="BX60" s="103">
        <f t="shared" si="33"/>
        <v>0</v>
      </c>
      <c r="BY60" s="20" t="str">
        <f>IF(AND(BX4=0,BX60&gt;=0), "",BX60/BX4)</f>
        <v/>
      </c>
      <c r="BZ60" s="37">
        <f t="shared" si="11"/>
        <v>1</v>
      </c>
      <c r="CA60" s="101">
        <f>+'N EERR RODEO'!L59+'N EERR RODEO'!L60+'N EERR RODEO'!L61+'N EERR RODEO'!L62+'N EERR RODEO'!L63</f>
        <v>0</v>
      </c>
      <c r="CB60" s="20" t="str">
        <f>IF(AND(CA4=0,CA60&gt;=0), "",CA60/CA4)</f>
        <v/>
      </c>
      <c r="CC60" s="37" t="str">
        <f>IF(AND(CA124=0,CA60&gt;=0),"",CA60/CA124)</f>
        <v/>
      </c>
      <c r="CD60" s="20" t="str">
        <f t="shared" si="26"/>
        <v/>
      </c>
      <c r="CE60" s="102">
        <f t="shared" si="34"/>
        <v>28.15</v>
      </c>
      <c r="CF60" s="20">
        <f>IF(AND(CE4=0,CE60&gt;=0), "",CE60/CE4)</f>
        <v>1.7214782697767429E-4</v>
      </c>
      <c r="CG60" s="37">
        <f>IF(AND(CE124=0,CE60&gt;=0),"",CE60/CE124)</f>
        <v>3.6924638059844414E-4</v>
      </c>
      <c r="CH60" s="101">
        <f>+'N EERR RODEO'!M59+'N EERR RODEO'!M60+'N EERR RODEO'!M61+'N EERR RODEO'!M62+'N EERR RODEO'!M63</f>
        <v>0</v>
      </c>
      <c r="CI60" s="20" t="str">
        <f>IF(AND(CH4=0,CH60&gt;=0), "",CH60/CH4)</f>
        <v/>
      </c>
      <c r="CJ60" s="37" t="str">
        <f>IF(AND(CH124=0,CH60&gt;=0),"",CH60/CH124)</f>
        <v/>
      </c>
      <c r="CK60" s="20" t="str">
        <f t="shared" si="13"/>
        <v/>
      </c>
      <c r="CL60" s="102">
        <f t="shared" si="35"/>
        <v>28.15</v>
      </c>
      <c r="CM60" s="20">
        <f>IF(AND(CL4=0,CL60&gt;=0), "",CL60/CL4)</f>
        <v>1.7214782697767429E-4</v>
      </c>
      <c r="CN60" s="37">
        <f>IF(AND(CL124=0,CL60&gt;=0),"",CL60/CL124)</f>
        <v>3.6924638059844414E-4</v>
      </c>
      <c r="CO60" s="101">
        <f>+'N EERR RODEO'!N59+'N EERR RODEO'!N60+'N EERR RODEO'!N61+'N EERR RODEO'!N62+'N EERR RODEO'!N63</f>
        <v>0</v>
      </c>
      <c r="CP60" s="20" t="str">
        <f>IF(AND(CO4=0,CO60&gt;=0), "",CO60/CO4)</f>
        <v/>
      </c>
      <c r="CQ60" s="37" t="str">
        <f>IF(AND(CO124=0,CO60&gt;=0),"",CO60/CO124)</f>
        <v/>
      </c>
      <c r="CR60" s="20" t="str">
        <f t="shared" si="14"/>
        <v/>
      </c>
      <c r="CS60" s="102">
        <f t="shared" si="36"/>
        <v>28.15</v>
      </c>
      <c r="CT60" s="20">
        <f>IF(AND(CS4=0,CS60&gt;=0), "",CS60/CS4)</f>
        <v>1.7214782697767429E-4</v>
      </c>
      <c r="CU60" s="37">
        <f>IF(AND(CS124=0,CS60&gt;=0),"",CS60/CS124)</f>
        <v>3.6924638059844414E-4</v>
      </c>
      <c r="CV60" s="103">
        <f t="shared" si="37"/>
        <v>0</v>
      </c>
      <c r="CW60" s="20" t="str">
        <f>IF(AND(CV4=0,CV60&gt;=0), "",CV60/CV4)</f>
        <v/>
      </c>
      <c r="CX60" s="37">
        <f t="shared" si="15"/>
        <v>1</v>
      </c>
    </row>
    <row r="61" spans="1:102" outlineLevel="1" x14ac:dyDescent="0.25">
      <c r="A61" s="19" t="s">
        <v>22</v>
      </c>
      <c r="B61" s="101">
        <f>+'N EERR RODEO'!B64+'N EERR RODEO'!B65+'N EERR RODEO'!B66+'N EERR RODEO'!B67+'N EERR RODEO'!B68</f>
        <v>0</v>
      </c>
      <c r="C61" s="20" t="str">
        <f>IF(AND(B4=0,B61&gt;=0), "",B61/B4)</f>
        <v/>
      </c>
      <c r="D61" s="37" t="str">
        <f>IF(AND(B124=0,B61&gt;=0),"",B61/B124)</f>
        <v/>
      </c>
      <c r="E61" s="101">
        <f>+'N EERR RODEO'!C64+'N EERR RODEO'!C65+'N EERR RODEO'!C66+'N EERR RODEO'!C67+'N EERR RODEO'!C68</f>
        <v>0</v>
      </c>
      <c r="F61" s="20">
        <f>IF(AND(E4=0,E61&gt;=0), "",E61/E4)</f>
        <v>0</v>
      </c>
      <c r="G61" s="37">
        <f>IF(AND(E124=0,E61&gt;=0),"",E61/E124)</f>
        <v>0</v>
      </c>
      <c r="H61" s="101">
        <f>+'N EERR RODEO'!D64+'N EERR RODEO'!D65+'N EERR RODEO'!D66+'N EERR RODEO'!D67+'N EERR RODEO'!D68</f>
        <v>0</v>
      </c>
      <c r="I61" s="20">
        <f>IF(AND(H4=0,H61&gt;=0), "",H61/H4)</f>
        <v>0</v>
      </c>
      <c r="J61" s="37">
        <f>IF(AND(H124=0,H61&gt;=0),"",H61/H124)</f>
        <v>0</v>
      </c>
      <c r="K61" s="20" t="str">
        <f t="shared" si="19"/>
        <v/>
      </c>
      <c r="L61" s="102">
        <f t="shared" si="38"/>
        <v>0</v>
      </c>
      <c r="M61" s="20">
        <f>IF(AND(L4=0,L61&gt;=0), "",L61/L4)</f>
        <v>0</v>
      </c>
      <c r="N61" s="37">
        <f>IF(AND(L124=0,L61&gt;=0),"",L61/L124)</f>
        <v>0</v>
      </c>
      <c r="O61" s="101">
        <f>+'N EERR RODEO'!E64+'N EERR RODEO'!E65+'N EERR RODEO'!E66+'N EERR RODEO'!E67+'N EERR RODEO'!E68</f>
        <v>0</v>
      </c>
      <c r="P61" s="20">
        <f>IF(AND(O4=0,O61&gt;=0), "",O61/O4)</f>
        <v>0</v>
      </c>
      <c r="Q61" s="37">
        <f>IF(AND(O124=0,O61&gt;=0),"",O61/O124)</f>
        <v>0</v>
      </c>
      <c r="R61" s="20" t="str">
        <f t="shared" si="20"/>
        <v/>
      </c>
      <c r="S61" s="102">
        <f t="shared" si="39"/>
        <v>0</v>
      </c>
      <c r="T61" s="20">
        <f>IF(AND(S4=0,S61&gt;=0), "",S61/S4)</f>
        <v>0</v>
      </c>
      <c r="U61" s="37">
        <f>IF(AND(S124=0,S61&gt;=0),"",S61/S124)</f>
        <v>0</v>
      </c>
      <c r="V61" s="103"/>
      <c r="W61" s="20" t="str">
        <f>IF(AND(V4=0,V61&gt;=0), "",V61/V4)</f>
        <v/>
      </c>
      <c r="X61" s="37" t="str">
        <f t="shared" si="21"/>
        <v/>
      </c>
      <c r="Y61" s="101">
        <f>+'N EERR RODEO'!F64+'N EERR RODEO'!F65+'N EERR RODEO'!F66+'N EERR RODEO'!F67+'N EERR RODEO'!F68</f>
        <v>0</v>
      </c>
      <c r="Z61" s="20" t="str">
        <f>IF(AND(Y4=0,Y61&gt;=0), "",Y61/Y4)</f>
        <v/>
      </c>
      <c r="AA61" s="37" t="str">
        <f>IF(AND(Y124=0,Y61&gt;=0),"",Y61/Y124)</f>
        <v/>
      </c>
      <c r="AB61" s="20" t="str">
        <f t="shared" si="22"/>
        <v/>
      </c>
      <c r="AC61" s="102">
        <f t="shared" si="27"/>
        <v>0</v>
      </c>
      <c r="AD61" s="20">
        <f>IF(AND(AC4=0,AC61&gt;=0), "",AC61/AC4)</f>
        <v>0</v>
      </c>
      <c r="AE61" s="37">
        <f>IF(AND(AC124=0,AC61&gt;=0),"",AC61/AC124)</f>
        <v>0</v>
      </c>
      <c r="AF61" s="101">
        <f>+'N EERR RODEO'!G64+'N EERR RODEO'!G65+'N EERR RODEO'!G66+'N EERR RODEO'!G67+'N EERR RODEO'!G68</f>
        <v>0</v>
      </c>
      <c r="AG61" s="20" t="str">
        <f>IF(AND(AF4=0,AF61&gt;=0), "",AF61/AF4)</f>
        <v/>
      </c>
      <c r="AH61" s="37" t="str">
        <f>IF(AND(AF124=0,AF61&gt;=0),"",AF61/AF124)</f>
        <v/>
      </c>
      <c r="AI61" s="20" t="str">
        <f t="shared" si="4"/>
        <v/>
      </c>
      <c r="AJ61" s="102">
        <f t="shared" si="16"/>
        <v>0</v>
      </c>
      <c r="AK61" s="20">
        <f>IF(AND(AJ4=0,AJ61&gt;=0), "",AJ61/AJ4)</f>
        <v>0</v>
      </c>
      <c r="AL61" s="37">
        <f>IF(AND(AJ124=0,AJ61&gt;=0),"",AJ61/AJ124)</f>
        <v>0</v>
      </c>
      <c r="AM61" s="101">
        <f>+'N EERR RODEO'!H64+'N EERR RODEO'!H65+'N EERR RODEO'!H66+'N EERR RODEO'!H67+'N EERR RODEO'!H68</f>
        <v>0</v>
      </c>
      <c r="AN61" s="20" t="str">
        <f>IF(AND(AM4=0,AM61&gt;=0), "",AM61/AM4)</f>
        <v/>
      </c>
      <c r="AO61" s="37" t="str">
        <f>IF(AND(AM124=0,AM61&gt;=0),"",AM61/AM124)</f>
        <v/>
      </c>
      <c r="AP61" s="20" t="str">
        <f t="shared" si="5"/>
        <v/>
      </c>
      <c r="AQ61" s="102">
        <f t="shared" si="17"/>
        <v>0</v>
      </c>
      <c r="AR61" s="20">
        <f>IF(AND(AQ4=0,AQ61&gt;=0), "",AQ61/AQ4)</f>
        <v>0</v>
      </c>
      <c r="AS61" s="37">
        <f>IF(AND(AQ124=0,AQ61&gt;=0),"",AQ61/AQ124)</f>
        <v>0</v>
      </c>
      <c r="AT61" s="103">
        <f t="shared" si="28"/>
        <v>0</v>
      </c>
      <c r="AU61" s="20" t="str">
        <f>IF(AND(AT4=0,AT61&gt;=0), "",AT61/AT4)</f>
        <v/>
      </c>
      <c r="AV61" s="37" t="str">
        <f t="shared" si="23"/>
        <v/>
      </c>
      <c r="AW61" s="103">
        <f t="shared" si="40"/>
        <v>0</v>
      </c>
      <c r="AX61" s="20">
        <f>IF(AND(AW4=0,AW61&gt;=0), "",AW61/AW4)</f>
        <v>0</v>
      </c>
      <c r="AY61" s="37">
        <f>IF(AND(AW124=0,AW61&gt;=0),"",AW61/AW124)</f>
        <v>0</v>
      </c>
      <c r="AZ61" s="103">
        <f t="shared" si="29"/>
        <v>0</v>
      </c>
      <c r="BA61" s="20" t="str">
        <f>IF(AND(AZ4=0,AZ61&gt;=0), "",AZ61/AZ4)</f>
        <v/>
      </c>
      <c r="BB61" s="37" t="str">
        <f t="shared" si="24"/>
        <v/>
      </c>
      <c r="BC61" s="101">
        <f>+'N EERR RODEO'!I64+'N EERR RODEO'!I65+'N EERR RODEO'!I66+'N EERR RODEO'!I67+'N EERR RODEO'!I68</f>
        <v>0</v>
      </c>
      <c r="BD61" s="20" t="str">
        <f>IF(AND(BC4=0,BC61&gt;=0), "",BC61/BC4)</f>
        <v/>
      </c>
      <c r="BE61" s="37" t="str">
        <f>IF(AND(BC124=0,BC61&gt;=0),"",BC61/BC124)</f>
        <v/>
      </c>
      <c r="BF61" s="20" t="str">
        <f t="shared" si="25"/>
        <v/>
      </c>
      <c r="BG61" s="102">
        <f t="shared" si="30"/>
        <v>0</v>
      </c>
      <c r="BH61" s="20">
        <f>IF(AND(BG4=0,BG61&gt;=0), "",BG61/BG4)</f>
        <v>0</v>
      </c>
      <c r="BI61" s="37">
        <f>IF(AND(BG124=0,BG61&gt;=0),"",BG61/BG124)</f>
        <v>0</v>
      </c>
      <c r="BJ61" s="101">
        <f>+'N EERR RODEO'!J64+'N EERR RODEO'!J65+'N EERR RODEO'!J66+'N EERR RODEO'!J67+'N EERR RODEO'!J68</f>
        <v>0</v>
      </c>
      <c r="BK61" s="20" t="str">
        <f>IF(AND(BJ4=0,BJ61&gt;=0), "",BJ61/BJ4)</f>
        <v/>
      </c>
      <c r="BL61" s="37" t="str">
        <f>IF(AND(BJ124=0,BJ61&gt;=0),"",BJ61/BJ124)</f>
        <v/>
      </c>
      <c r="BM61" s="20" t="str">
        <f t="shared" si="9"/>
        <v/>
      </c>
      <c r="BN61" s="102">
        <f t="shared" si="31"/>
        <v>0</v>
      </c>
      <c r="BO61" s="20">
        <f>IF(AND(BN4=0,BN61&gt;=0), "",BN61/BN4)</f>
        <v>0</v>
      </c>
      <c r="BP61" s="37">
        <f>IF(AND(BN124=0,BN61&gt;=0),"",BN61/BN124)</f>
        <v>0</v>
      </c>
      <c r="BQ61" s="101">
        <f>+'N EERR RODEO'!K64+'N EERR RODEO'!K65+'N EERR RODEO'!K66+'N EERR RODEO'!K67+'N EERR RODEO'!K68</f>
        <v>0</v>
      </c>
      <c r="BR61" s="20" t="str">
        <f>IF(AND(BQ4=0,BQ61&gt;=0), "",BQ61/BQ4)</f>
        <v/>
      </c>
      <c r="BS61" s="37" t="str">
        <f>IF(AND(BQ124=0,BQ61&gt;=0),"",BQ61/BQ124)</f>
        <v/>
      </c>
      <c r="BT61" s="20" t="str">
        <f t="shared" si="10"/>
        <v/>
      </c>
      <c r="BU61" s="102">
        <f t="shared" si="32"/>
        <v>0</v>
      </c>
      <c r="BV61" s="20">
        <f>IF(AND(BU4=0,BU61&gt;=0), "",BU61/BU4)</f>
        <v>0</v>
      </c>
      <c r="BW61" s="37">
        <f>IF(AND(BU124=0,BU61&gt;=0),"",BU61/BU124)</f>
        <v>0</v>
      </c>
      <c r="BX61" s="103">
        <f t="shared" si="33"/>
        <v>0</v>
      </c>
      <c r="BY61" s="20" t="str">
        <f>IF(AND(BX4=0,BX61&gt;=0), "",BX61/BX4)</f>
        <v/>
      </c>
      <c r="BZ61" s="37" t="str">
        <f t="shared" si="11"/>
        <v/>
      </c>
      <c r="CA61" s="101">
        <f>+'N EERR RODEO'!L64+'N EERR RODEO'!L65+'N EERR RODEO'!L66+'N EERR RODEO'!L67+'N EERR RODEO'!L68</f>
        <v>0</v>
      </c>
      <c r="CB61" s="20" t="str">
        <f>IF(AND(CA4=0,CA61&gt;=0), "",CA61/CA4)</f>
        <v/>
      </c>
      <c r="CC61" s="37" t="str">
        <f>IF(AND(CA124=0,CA61&gt;=0),"",CA61/CA124)</f>
        <v/>
      </c>
      <c r="CD61" s="20" t="str">
        <f t="shared" si="26"/>
        <v/>
      </c>
      <c r="CE61" s="102">
        <f t="shared" si="34"/>
        <v>0</v>
      </c>
      <c r="CF61" s="20">
        <f>IF(AND(CE4=0,CE61&gt;=0), "",CE61/CE4)</f>
        <v>0</v>
      </c>
      <c r="CG61" s="37">
        <f>IF(AND(CE124=0,CE61&gt;=0),"",CE61/CE124)</f>
        <v>0</v>
      </c>
      <c r="CH61" s="101">
        <f>+'N EERR RODEO'!M64+'N EERR RODEO'!M65+'N EERR RODEO'!M66+'N EERR RODEO'!M67+'N EERR RODEO'!M68</f>
        <v>0</v>
      </c>
      <c r="CI61" s="20" t="str">
        <f>IF(AND(CH4=0,CH61&gt;=0), "",CH61/CH4)</f>
        <v/>
      </c>
      <c r="CJ61" s="37" t="str">
        <f>IF(AND(CH124=0,CH61&gt;=0),"",CH61/CH124)</f>
        <v/>
      </c>
      <c r="CK61" s="20" t="str">
        <f t="shared" si="13"/>
        <v/>
      </c>
      <c r="CL61" s="102">
        <f t="shared" si="35"/>
        <v>0</v>
      </c>
      <c r="CM61" s="20">
        <f>IF(AND(CL4=0,CL61&gt;=0), "",CL61/CL4)</f>
        <v>0</v>
      </c>
      <c r="CN61" s="37">
        <f>IF(AND(CL124=0,CL61&gt;=0),"",CL61/CL124)</f>
        <v>0</v>
      </c>
      <c r="CO61" s="101">
        <f>+'N EERR RODEO'!N64+'N EERR RODEO'!N65+'N EERR RODEO'!N66+'N EERR RODEO'!N67+'N EERR RODEO'!N68</f>
        <v>0</v>
      </c>
      <c r="CP61" s="20" t="str">
        <f>IF(AND(CO4=0,CO61&gt;=0), "",CO61/CO4)</f>
        <v/>
      </c>
      <c r="CQ61" s="37" t="str">
        <f>IF(AND(CO124=0,CO61&gt;=0),"",CO61/CO124)</f>
        <v/>
      </c>
      <c r="CR61" s="20" t="str">
        <f t="shared" si="14"/>
        <v/>
      </c>
      <c r="CS61" s="102">
        <f t="shared" si="36"/>
        <v>0</v>
      </c>
      <c r="CT61" s="20">
        <f>IF(AND(CS4=0,CS61&gt;=0), "",CS61/CS4)</f>
        <v>0</v>
      </c>
      <c r="CU61" s="37">
        <f>IF(AND(CS124=0,CS61&gt;=0),"",CS61/CS124)</f>
        <v>0</v>
      </c>
      <c r="CV61" s="103">
        <f t="shared" si="37"/>
        <v>0</v>
      </c>
      <c r="CW61" s="20" t="str">
        <f>IF(AND(CV4=0,CV61&gt;=0), "",CV61/CV4)</f>
        <v/>
      </c>
      <c r="CX61" s="37" t="str">
        <f t="shared" si="15"/>
        <v/>
      </c>
    </row>
    <row r="62" spans="1:102" outlineLevel="1" x14ac:dyDescent="0.25">
      <c r="A62" s="19" t="s">
        <v>23</v>
      </c>
      <c r="B62" s="101">
        <f>+'N EERR RODEO'!B69+'N EERR RODEO'!B70</f>
        <v>0</v>
      </c>
      <c r="C62" s="20" t="str">
        <f>IF(AND(B4=0,B62&gt;=0), "",B62/B4)</f>
        <v/>
      </c>
      <c r="D62" s="37" t="str">
        <f>IF(AND(B124=0,B62&gt;=0),"",B62/B124)</f>
        <v/>
      </c>
      <c r="E62" s="101">
        <f>+'N EERR RODEO'!C69+'N EERR RODEO'!C70</f>
        <v>0</v>
      </c>
      <c r="F62" s="20">
        <f>IF(AND(E4=0,E62&gt;=0), "",E62/E4)</f>
        <v>0</v>
      </c>
      <c r="G62" s="37">
        <f>IF(AND(E124=0,E62&gt;=0),"",E62/E124)</f>
        <v>0</v>
      </c>
      <c r="H62" s="101">
        <f>+'N EERR RODEO'!D69+'N EERR RODEO'!D70</f>
        <v>0</v>
      </c>
      <c r="I62" s="20">
        <f>IF(AND(H4=0,H62&gt;=0), "",H62/H4)</f>
        <v>0</v>
      </c>
      <c r="J62" s="37">
        <f>IF(AND(H124=0,H62&gt;=0),"",H62/H124)</f>
        <v>0</v>
      </c>
      <c r="K62" s="20" t="str">
        <f t="shared" si="19"/>
        <v/>
      </c>
      <c r="L62" s="102">
        <f t="shared" si="38"/>
        <v>0</v>
      </c>
      <c r="M62" s="20">
        <f>IF(AND(L4=0,L62&gt;=0), "",L62/L4)</f>
        <v>0</v>
      </c>
      <c r="N62" s="37">
        <f>IF(AND(L124=0,L62&gt;=0),"",L62/L124)</f>
        <v>0</v>
      </c>
      <c r="O62" s="101">
        <f>+'N EERR RODEO'!E69+'N EERR RODEO'!E70</f>
        <v>0</v>
      </c>
      <c r="P62" s="20">
        <f>IF(AND(O4=0,O62&gt;=0), "",O62/O4)</f>
        <v>0</v>
      </c>
      <c r="Q62" s="37">
        <f>IF(AND(O124=0,O62&gt;=0),"",O62/O124)</f>
        <v>0</v>
      </c>
      <c r="R62" s="20" t="str">
        <f t="shared" si="20"/>
        <v/>
      </c>
      <c r="S62" s="102">
        <f t="shared" si="39"/>
        <v>0</v>
      </c>
      <c r="T62" s="20">
        <f>IF(AND(S4=0,S62&gt;=0), "",S62/S4)</f>
        <v>0</v>
      </c>
      <c r="U62" s="37">
        <f>IF(AND(S124=0,S62&gt;=0),"",S62/S124)</f>
        <v>0</v>
      </c>
      <c r="V62" s="103"/>
      <c r="W62" s="20" t="str">
        <f>IF(AND(V4=0,V62&gt;=0), "",V62/V4)</f>
        <v/>
      </c>
      <c r="X62" s="37" t="str">
        <f t="shared" si="21"/>
        <v/>
      </c>
      <c r="Y62" s="101">
        <f>+'N EERR RODEO'!F69+'N EERR RODEO'!F70</f>
        <v>0</v>
      </c>
      <c r="Z62" s="20" t="str">
        <f>IF(AND(Y4=0,Y62&gt;=0), "",Y62/Y4)</f>
        <v/>
      </c>
      <c r="AA62" s="37" t="str">
        <f>IF(AND(Y124=0,Y62&gt;=0),"",Y62/Y124)</f>
        <v/>
      </c>
      <c r="AB62" s="20" t="str">
        <f t="shared" si="22"/>
        <v/>
      </c>
      <c r="AC62" s="102">
        <f t="shared" si="27"/>
        <v>0</v>
      </c>
      <c r="AD62" s="20">
        <f>IF(AND(AC4=0,AC62&gt;=0), "",AC62/AC4)</f>
        <v>0</v>
      </c>
      <c r="AE62" s="37">
        <f>IF(AND(AC124=0,AC62&gt;=0),"",AC62/AC124)</f>
        <v>0</v>
      </c>
      <c r="AF62" s="101">
        <f>+'N EERR RODEO'!G69+'N EERR RODEO'!G70</f>
        <v>0</v>
      </c>
      <c r="AG62" s="20" t="str">
        <f>IF(AND(AF4=0,AF62&gt;=0), "",AF62/AF4)</f>
        <v/>
      </c>
      <c r="AH62" s="37" t="str">
        <f>IF(AND(AF124=0,AF62&gt;=0),"",AF62/AF124)</f>
        <v/>
      </c>
      <c r="AI62" s="20" t="str">
        <f t="shared" si="4"/>
        <v/>
      </c>
      <c r="AJ62" s="102">
        <f t="shared" si="16"/>
        <v>0</v>
      </c>
      <c r="AK62" s="20">
        <f>IF(AND(AJ4=0,AJ62&gt;=0), "",AJ62/AJ4)</f>
        <v>0</v>
      </c>
      <c r="AL62" s="37">
        <f>IF(AND(AJ124=0,AJ62&gt;=0),"",AJ62/AJ124)</f>
        <v>0</v>
      </c>
      <c r="AM62" s="101">
        <f>+'N EERR RODEO'!H69+'N EERR RODEO'!H70</f>
        <v>0</v>
      </c>
      <c r="AN62" s="20" t="str">
        <f>IF(AND(AM4=0,AM62&gt;=0), "",AM62/AM4)</f>
        <v/>
      </c>
      <c r="AO62" s="37" t="str">
        <f>IF(AND(AM124=0,AM62&gt;=0),"",AM62/AM124)</f>
        <v/>
      </c>
      <c r="AP62" s="20" t="str">
        <f t="shared" si="5"/>
        <v/>
      </c>
      <c r="AQ62" s="102">
        <f t="shared" si="17"/>
        <v>0</v>
      </c>
      <c r="AR62" s="20">
        <f>IF(AND(AQ4=0,AQ62&gt;=0), "",AQ62/AQ4)</f>
        <v>0</v>
      </c>
      <c r="AS62" s="37">
        <f>IF(AND(AQ124=0,AQ62&gt;=0),"",AQ62/AQ124)</f>
        <v>0</v>
      </c>
      <c r="AT62" s="103">
        <f t="shared" si="28"/>
        <v>0</v>
      </c>
      <c r="AU62" s="20" t="str">
        <f>IF(AND(AT4=0,AT62&gt;=0), "",AT62/AT4)</f>
        <v/>
      </c>
      <c r="AV62" s="37" t="str">
        <f t="shared" si="23"/>
        <v/>
      </c>
      <c r="AW62" s="103">
        <f t="shared" si="40"/>
        <v>0</v>
      </c>
      <c r="AX62" s="20">
        <f>IF(AND(AW4=0,AW62&gt;=0), "",AW62/AW4)</f>
        <v>0</v>
      </c>
      <c r="AY62" s="37">
        <f>IF(AND(AW124=0,AW62&gt;=0),"",AW62/AW124)</f>
        <v>0</v>
      </c>
      <c r="AZ62" s="103">
        <f t="shared" si="29"/>
        <v>0</v>
      </c>
      <c r="BA62" s="20" t="str">
        <f>IF(AND(AZ4=0,AZ62&gt;=0), "",AZ62/AZ4)</f>
        <v/>
      </c>
      <c r="BB62" s="37" t="str">
        <f t="shared" si="24"/>
        <v/>
      </c>
      <c r="BC62" s="101">
        <f>+'N EERR RODEO'!I69+'N EERR RODEO'!I70</f>
        <v>0</v>
      </c>
      <c r="BD62" s="20" t="str">
        <f>IF(AND(BC4=0,BC62&gt;=0), "",BC62/BC4)</f>
        <v/>
      </c>
      <c r="BE62" s="37" t="str">
        <f>IF(AND(BC124=0,BC62&gt;=0),"",BC62/BC124)</f>
        <v/>
      </c>
      <c r="BF62" s="20" t="str">
        <f t="shared" si="25"/>
        <v/>
      </c>
      <c r="BG62" s="102">
        <f t="shared" si="30"/>
        <v>0</v>
      </c>
      <c r="BH62" s="20">
        <f>IF(AND(BG4=0,BG62&gt;=0), "",BG62/BG4)</f>
        <v>0</v>
      </c>
      <c r="BI62" s="37">
        <f>IF(AND(BG124=0,BG62&gt;=0),"",BG62/BG124)</f>
        <v>0</v>
      </c>
      <c r="BJ62" s="101">
        <f>+'N EERR RODEO'!J69+'N EERR RODEO'!J70</f>
        <v>0</v>
      </c>
      <c r="BK62" s="20" t="str">
        <f>IF(AND(BJ4=0,BJ62&gt;=0), "",BJ62/BJ4)</f>
        <v/>
      </c>
      <c r="BL62" s="37" t="str">
        <f>IF(AND(BJ124=0,BJ62&gt;=0),"",BJ62/BJ124)</f>
        <v/>
      </c>
      <c r="BM62" s="20" t="str">
        <f t="shared" si="9"/>
        <v/>
      </c>
      <c r="BN62" s="102">
        <f t="shared" si="31"/>
        <v>0</v>
      </c>
      <c r="BO62" s="20">
        <f>IF(AND(BN4=0,BN62&gt;=0), "",BN62/BN4)</f>
        <v>0</v>
      </c>
      <c r="BP62" s="37">
        <f>IF(AND(BN124=0,BN62&gt;=0),"",BN62/BN124)</f>
        <v>0</v>
      </c>
      <c r="BQ62" s="101">
        <f>+'N EERR RODEO'!K69+'N EERR RODEO'!K70</f>
        <v>0</v>
      </c>
      <c r="BR62" s="20" t="str">
        <f>IF(AND(BQ4=0,BQ62&gt;=0), "",BQ62/BQ4)</f>
        <v/>
      </c>
      <c r="BS62" s="37" t="str">
        <f>IF(AND(BQ124=0,BQ62&gt;=0),"",BQ62/BQ124)</f>
        <v/>
      </c>
      <c r="BT62" s="20" t="str">
        <f t="shared" si="10"/>
        <v/>
      </c>
      <c r="BU62" s="102">
        <f t="shared" si="32"/>
        <v>0</v>
      </c>
      <c r="BV62" s="20">
        <f>IF(AND(BU4=0,BU62&gt;=0), "",BU62/BU4)</f>
        <v>0</v>
      </c>
      <c r="BW62" s="37">
        <f>IF(AND(BU124=0,BU62&gt;=0),"",BU62/BU124)</f>
        <v>0</v>
      </c>
      <c r="BX62" s="103">
        <f t="shared" si="33"/>
        <v>0</v>
      </c>
      <c r="BY62" s="20" t="str">
        <f>IF(AND(BX4=0,BX62&gt;=0), "",BX62/BX4)</f>
        <v/>
      </c>
      <c r="BZ62" s="37" t="str">
        <f t="shared" si="11"/>
        <v/>
      </c>
      <c r="CA62" s="101">
        <f>+'N EERR RODEO'!L69+'N EERR RODEO'!L70</f>
        <v>0</v>
      </c>
      <c r="CB62" s="20" t="str">
        <f>IF(AND(CA4=0,CA62&gt;=0), "",CA62/CA4)</f>
        <v/>
      </c>
      <c r="CC62" s="37" t="str">
        <f>IF(AND(CA124=0,CA62&gt;=0),"",CA62/CA124)</f>
        <v/>
      </c>
      <c r="CD62" s="20" t="str">
        <f t="shared" si="26"/>
        <v/>
      </c>
      <c r="CE62" s="102">
        <f t="shared" si="34"/>
        <v>0</v>
      </c>
      <c r="CF62" s="20">
        <f>IF(AND(CE4=0,CE62&gt;=0), "",CE62/CE4)</f>
        <v>0</v>
      </c>
      <c r="CG62" s="37">
        <f>IF(AND(CE124=0,CE62&gt;=0),"",CE62/CE124)</f>
        <v>0</v>
      </c>
      <c r="CH62" s="101">
        <f>+'N EERR RODEO'!M69+'N EERR RODEO'!M70</f>
        <v>0</v>
      </c>
      <c r="CI62" s="20" t="str">
        <f>IF(AND(CH4=0,CH62&gt;=0), "",CH62/CH4)</f>
        <v/>
      </c>
      <c r="CJ62" s="37" t="str">
        <f>IF(AND(CH124=0,CH62&gt;=0),"",CH62/CH124)</f>
        <v/>
      </c>
      <c r="CK62" s="20" t="str">
        <f t="shared" si="13"/>
        <v/>
      </c>
      <c r="CL62" s="102">
        <f t="shared" si="35"/>
        <v>0</v>
      </c>
      <c r="CM62" s="20">
        <f>IF(AND(CL4=0,CL62&gt;=0), "",CL62/CL4)</f>
        <v>0</v>
      </c>
      <c r="CN62" s="37">
        <f>IF(AND(CL124=0,CL62&gt;=0),"",CL62/CL124)</f>
        <v>0</v>
      </c>
      <c r="CO62" s="101">
        <f>+'N EERR RODEO'!N69+'N EERR RODEO'!N70</f>
        <v>0</v>
      </c>
      <c r="CP62" s="20" t="str">
        <f>IF(AND(CO4=0,CO62&gt;=0), "",CO62/CO4)</f>
        <v/>
      </c>
      <c r="CQ62" s="37" t="str">
        <f>IF(AND(CO124=0,CO62&gt;=0),"",CO62/CO124)</f>
        <v/>
      </c>
      <c r="CR62" s="20" t="str">
        <f t="shared" si="14"/>
        <v/>
      </c>
      <c r="CS62" s="102">
        <f t="shared" si="36"/>
        <v>0</v>
      </c>
      <c r="CT62" s="20">
        <f>IF(AND(CS4=0,CS62&gt;=0), "",CS62/CS4)</f>
        <v>0</v>
      </c>
      <c r="CU62" s="37">
        <f>IF(AND(CS124=0,CS62&gt;=0),"",CS62/CS124)</f>
        <v>0</v>
      </c>
      <c r="CV62" s="103">
        <f t="shared" si="37"/>
        <v>0</v>
      </c>
      <c r="CW62" s="20" t="str">
        <f>IF(AND(CV4=0,CV62&gt;=0), "",CV62/CV4)</f>
        <v/>
      </c>
      <c r="CX62" s="37" t="str">
        <f t="shared" si="15"/>
        <v/>
      </c>
    </row>
    <row r="63" spans="1:102" outlineLevel="1" x14ac:dyDescent="0.25">
      <c r="A63" s="19" t="s">
        <v>24</v>
      </c>
      <c r="B63" s="101">
        <f>+'N EERR RODEO'!B71+'N EERR RODEO'!B72+'N EERR RODEO'!B73+'N EERR RODEO'!B74+'N EERR RODEO'!B75+'N EERR RODEO'!B76+'N EERR RODEO'!B77</f>
        <v>0</v>
      </c>
      <c r="C63" s="20" t="str">
        <f>IF(AND(B4=0,B63&gt;=0), "",B63/B4)</f>
        <v/>
      </c>
      <c r="D63" s="37" t="str">
        <f>IF(AND(B124=0,B63&gt;=0),"",B63/B124)</f>
        <v/>
      </c>
      <c r="E63" s="101">
        <f>+'N EERR RODEO'!C71+'N EERR RODEO'!C72+'N EERR RODEO'!C73+'N EERR RODEO'!C74+'N EERR RODEO'!C75+'N EERR RODEO'!C76+'N EERR RODEO'!C77</f>
        <v>976.12</v>
      </c>
      <c r="F63" s="20">
        <f>IF(AND(E4=0,E63&gt;=0), "",E63/E4)</f>
        <v>2.0364245698634115E-2</v>
      </c>
      <c r="G63" s="37">
        <f>IF(AND(E124=0,E63&gt;=0),"",E63/E124)</f>
        <v>3.1523526222185766E-2</v>
      </c>
      <c r="H63" s="101">
        <f>+'N EERR RODEO'!D71+'N EERR RODEO'!D72+'N EERR RODEO'!D73+'N EERR RODEO'!D74+'N EERR RODEO'!D75+'N EERR RODEO'!D76+'N EERR RODEO'!D77</f>
        <v>523.3599999999999</v>
      </c>
      <c r="I63" s="20">
        <f>IF(AND(H4=0,H63&gt;=0), "",H63/H4)</f>
        <v>1.0165677862068749E-2</v>
      </c>
      <c r="J63" s="37">
        <f>IF(AND(H124=0,H63&gt;=0),"",H63/H124)</f>
        <v>2.7068445369437002E-2</v>
      </c>
      <c r="K63" s="20">
        <f t="shared" si="19"/>
        <v>-0.46383641355571048</v>
      </c>
      <c r="L63" s="102">
        <f t="shared" si="38"/>
        <v>1499.48</v>
      </c>
      <c r="M63" s="20">
        <f>IF(AND(L4=0,L63&gt;=0), "",L63/L4)</f>
        <v>1.5082873422777624E-2</v>
      </c>
      <c r="N63" s="37">
        <f>IF(AND(L124=0,L63&gt;=0),"",L63/L124)</f>
        <v>2.9811031918806356E-2</v>
      </c>
      <c r="O63" s="101">
        <f>+'N EERR RODEO'!E71+'N EERR RODEO'!E72+'N EERR RODEO'!E73+'N EERR RODEO'!E74+'N EERR RODEO'!E75+'N EERR RODEO'!E76+'N EERR RODEO'!E77</f>
        <v>518.20000000000005</v>
      </c>
      <c r="P63" s="20">
        <f>IF(AND(O4=0,O63&gt;=0), "",O63/O4)</f>
        <v>8.0834640279611111E-3</v>
      </c>
      <c r="Q63" s="37">
        <f>IF(AND(O124=0,O63&gt;=0),"",O63/O124)</f>
        <v>1.9979288163640474E-2</v>
      </c>
      <c r="R63" s="20">
        <f t="shared" si="20"/>
        <v>-9.8593702231730661E-3</v>
      </c>
      <c r="S63" s="102">
        <f t="shared" si="39"/>
        <v>2017.68</v>
      </c>
      <c r="T63" s="20">
        <f>IF(AND(S4=0,S63&gt;=0), "",S63/S4)</f>
        <v>1.2338871315677225E-2</v>
      </c>
      <c r="U63" s="37">
        <f>IF(AND(S124=0,S63&gt;=0),"",S63/S124)</f>
        <v>2.6466111446034418E-2</v>
      </c>
      <c r="V63" s="103"/>
      <c r="W63" s="20" t="str">
        <f>IF(AND(V4=0,V63&gt;=0), "",V63/V4)</f>
        <v/>
      </c>
      <c r="X63" s="37">
        <f t="shared" si="21"/>
        <v>1</v>
      </c>
      <c r="Y63" s="101">
        <f>+'N EERR RODEO'!F71+'N EERR RODEO'!F72+'N EERR RODEO'!F73+'N EERR RODEO'!F74+'N EERR RODEO'!F75+'N EERR RODEO'!F76+'N EERR RODEO'!F77</f>
        <v>0</v>
      </c>
      <c r="Z63" s="20" t="str">
        <f>IF(AND(Y4=0,Y63&gt;=0), "",Y63/Y4)</f>
        <v/>
      </c>
      <c r="AA63" s="37" t="str">
        <f>IF(AND(Y124=0,Y63&gt;=0),"",Y63/Y124)</f>
        <v/>
      </c>
      <c r="AB63" s="20">
        <f t="shared" si="22"/>
        <v>-1</v>
      </c>
      <c r="AC63" s="102">
        <f t="shared" si="27"/>
        <v>2017.68</v>
      </c>
      <c r="AD63" s="20">
        <f>IF(AND(AC4=0,AC63&gt;=0), "",AC63/AC4)</f>
        <v>1.2338871315677225E-2</v>
      </c>
      <c r="AE63" s="37">
        <f>IF(AND(AC124=0,AC63&gt;=0),"",AC63/AC124)</f>
        <v>2.6466111446034418E-2</v>
      </c>
      <c r="AF63" s="101">
        <f>+'N EERR RODEO'!G71+'N EERR RODEO'!G72+'N EERR RODEO'!G73+'N EERR RODEO'!G74+'N EERR RODEO'!G75+'N EERR RODEO'!G76+'N EERR RODEO'!G77</f>
        <v>0</v>
      </c>
      <c r="AG63" s="20" t="str">
        <f>IF(AND(AF4=0,AF63&gt;=0), "",AF63/AF4)</f>
        <v/>
      </c>
      <c r="AH63" s="37" t="str">
        <f>IF(AND(AF124=0,AF63&gt;=0),"",AF63/AF124)</f>
        <v/>
      </c>
      <c r="AI63" s="20" t="str">
        <f t="shared" si="4"/>
        <v/>
      </c>
      <c r="AJ63" s="102">
        <f t="shared" si="16"/>
        <v>2017.68</v>
      </c>
      <c r="AK63" s="20">
        <f>IF(AND(AJ4=0,AJ63&gt;=0), "",AJ63/AJ4)</f>
        <v>1.2338871315677225E-2</v>
      </c>
      <c r="AL63" s="37">
        <f>IF(AND(AJ124=0,AJ63&gt;=0),"",AJ63/AJ124)</f>
        <v>2.6466111446034418E-2</v>
      </c>
      <c r="AM63" s="101">
        <f>+'N EERR RODEO'!H71+'N EERR RODEO'!H72+'N EERR RODEO'!H73+'N EERR RODEO'!H74+'N EERR RODEO'!H75+'N EERR RODEO'!H76+'N EERR RODEO'!H77</f>
        <v>0</v>
      </c>
      <c r="AN63" s="20" t="str">
        <f>IF(AND(AM4=0,AM63&gt;=0), "",AM63/AM4)</f>
        <v/>
      </c>
      <c r="AO63" s="37" t="str">
        <f>IF(AND(AM124=0,AM63&gt;=0),"",AM63/AM124)</f>
        <v/>
      </c>
      <c r="AP63" s="20" t="str">
        <f t="shared" si="5"/>
        <v/>
      </c>
      <c r="AQ63" s="102">
        <f t="shared" si="17"/>
        <v>2017.68</v>
      </c>
      <c r="AR63" s="20">
        <f>IF(AND(AQ4=0,AQ63&gt;=0), "",AQ63/AQ4)</f>
        <v>1.2338871315677225E-2</v>
      </c>
      <c r="AS63" s="37">
        <f>IF(AND(AQ124=0,AQ63&gt;=0),"",AQ63/AQ124)</f>
        <v>2.6466111446034418E-2</v>
      </c>
      <c r="AT63" s="103">
        <f t="shared" si="28"/>
        <v>0</v>
      </c>
      <c r="AU63" s="20" t="str">
        <f>IF(AND(AT4=0,AT63&gt;=0), "",AT63/AT4)</f>
        <v/>
      </c>
      <c r="AV63" s="37">
        <f t="shared" si="23"/>
        <v>1</v>
      </c>
      <c r="AW63" s="103">
        <f t="shared" si="40"/>
        <v>336.28000000000003</v>
      </c>
      <c r="AX63" s="20">
        <f>IF(AND(AW4=0,AW63&gt;=0), "",AW63/AW4)</f>
        <v>1.2338871315677225E-2</v>
      </c>
      <c r="AY63" s="37">
        <f>IF(AND(AW124=0,AW63&gt;=0),"",AW63/AW124)</f>
        <v>2.6466111446034415E-2</v>
      </c>
      <c r="AZ63" s="103">
        <f t="shared" si="29"/>
        <v>0</v>
      </c>
      <c r="BA63" s="20" t="str">
        <f>IF(AND(AZ4=0,AZ63&gt;=0), "",AZ63/AZ4)</f>
        <v/>
      </c>
      <c r="BB63" s="37">
        <f t="shared" si="24"/>
        <v>1</v>
      </c>
      <c r="BC63" s="101">
        <f>+'N EERR RODEO'!I71+'N EERR RODEO'!I72+'N EERR RODEO'!I73+'N EERR RODEO'!I74+'N EERR RODEO'!I75+'N EERR RODEO'!I76+'N EERR RODEO'!I77</f>
        <v>0</v>
      </c>
      <c r="BD63" s="20" t="str">
        <f>IF(AND(BC4=0,BC63&gt;=0), "",BC63/BC4)</f>
        <v/>
      </c>
      <c r="BE63" s="37" t="str">
        <f>IF(AND(BC124=0,BC63&gt;=0),"",BC63/BC124)</f>
        <v/>
      </c>
      <c r="BF63" s="20" t="str">
        <f t="shared" si="25"/>
        <v/>
      </c>
      <c r="BG63" s="102">
        <f t="shared" si="30"/>
        <v>2017.68</v>
      </c>
      <c r="BH63" s="20">
        <f>IF(AND(BG4=0,BG63&gt;=0), "",BG63/BG4)</f>
        <v>1.2338871315677225E-2</v>
      </c>
      <c r="BI63" s="37">
        <f>IF(AND(BG124=0,BG63&gt;=0),"",BG63/BG124)</f>
        <v>2.6466111446034418E-2</v>
      </c>
      <c r="BJ63" s="101">
        <f>+'N EERR RODEO'!J71+'N EERR RODEO'!J72+'N EERR RODEO'!J73+'N EERR RODEO'!J74+'N EERR RODEO'!J75+'N EERR RODEO'!J76+'N EERR RODEO'!J77</f>
        <v>0</v>
      </c>
      <c r="BK63" s="20" t="str">
        <f>IF(AND(BJ4=0,BJ63&gt;=0), "",BJ63/BJ4)</f>
        <v/>
      </c>
      <c r="BL63" s="37" t="str">
        <f>IF(AND(BJ124=0,BJ63&gt;=0),"",BJ63/BJ124)</f>
        <v/>
      </c>
      <c r="BM63" s="20" t="str">
        <f t="shared" si="9"/>
        <v/>
      </c>
      <c r="BN63" s="102">
        <f t="shared" si="31"/>
        <v>2017.68</v>
      </c>
      <c r="BO63" s="20">
        <f>IF(AND(BN4=0,BN63&gt;=0), "",BN63/BN4)</f>
        <v>1.2338871315677225E-2</v>
      </c>
      <c r="BP63" s="37">
        <f>IF(AND(BN124=0,BN63&gt;=0),"",BN63/BN124)</f>
        <v>2.6466111446034418E-2</v>
      </c>
      <c r="BQ63" s="101">
        <f>+'N EERR RODEO'!K71+'N EERR RODEO'!K72+'N EERR RODEO'!K73+'N EERR RODEO'!K74+'N EERR RODEO'!K75+'N EERR RODEO'!K76+'N EERR RODEO'!K77</f>
        <v>0</v>
      </c>
      <c r="BR63" s="20" t="str">
        <f>IF(AND(BQ4=0,BQ63&gt;=0), "",BQ63/BQ4)</f>
        <v/>
      </c>
      <c r="BS63" s="37" t="str">
        <f>IF(AND(BQ124=0,BQ63&gt;=0),"",BQ63/BQ124)</f>
        <v/>
      </c>
      <c r="BT63" s="20" t="str">
        <f t="shared" si="10"/>
        <v/>
      </c>
      <c r="BU63" s="102">
        <f t="shared" si="32"/>
        <v>2017.68</v>
      </c>
      <c r="BV63" s="20">
        <f>IF(AND(BU4=0,BU63&gt;=0), "",BU63/BU4)</f>
        <v>1.2338871315677225E-2</v>
      </c>
      <c r="BW63" s="37">
        <f>IF(AND(BU124=0,BU63&gt;=0),"",BU63/BU124)</f>
        <v>2.6466111446034418E-2</v>
      </c>
      <c r="BX63" s="103">
        <f t="shared" si="33"/>
        <v>0</v>
      </c>
      <c r="BY63" s="20" t="str">
        <f>IF(AND(BX4=0,BX63&gt;=0), "",BX63/BX4)</f>
        <v/>
      </c>
      <c r="BZ63" s="37">
        <f t="shared" si="11"/>
        <v>1</v>
      </c>
      <c r="CA63" s="101">
        <f>+'N EERR RODEO'!L71+'N EERR RODEO'!L72+'N EERR RODEO'!L73+'N EERR RODEO'!L74+'N EERR RODEO'!L75+'N EERR RODEO'!L76+'N EERR RODEO'!L77</f>
        <v>0</v>
      </c>
      <c r="CB63" s="20" t="str">
        <f>IF(AND(CA4=0,CA63&gt;=0), "",CA63/CA4)</f>
        <v/>
      </c>
      <c r="CC63" s="37" t="str">
        <f>IF(AND(CA124=0,CA63&gt;=0),"",CA63/CA124)</f>
        <v/>
      </c>
      <c r="CD63" s="20" t="str">
        <f t="shared" si="26"/>
        <v/>
      </c>
      <c r="CE63" s="102">
        <f t="shared" si="34"/>
        <v>2017.68</v>
      </c>
      <c r="CF63" s="20">
        <f>IF(AND(CE4=0,CE63&gt;=0), "",CE63/CE4)</f>
        <v>1.2338871315677225E-2</v>
      </c>
      <c r="CG63" s="37">
        <f>IF(AND(CE124=0,CE63&gt;=0),"",CE63/CE124)</f>
        <v>2.6466111446034418E-2</v>
      </c>
      <c r="CH63" s="101">
        <f>+'N EERR RODEO'!M71+'N EERR RODEO'!M72+'N EERR RODEO'!M73+'N EERR RODEO'!M74+'N EERR RODEO'!M75+'N EERR RODEO'!M76+'N EERR RODEO'!M77</f>
        <v>0</v>
      </c>
      <c r="CI63" s="20" t="str">
        <f>IF(AND(CH4=0,CH63&gt;=0), "",CH63/CH4)</f>
        <v/>
      </c>
      <c r="CJ63" s="37" t="str">
        <f>IF(AND(CH124=0,CH63&gt;=0),"",CH63/CH124)</f>
        <v/>
      </c>
      <c r="CK63" s="20" t="str">
        <f t="shared" si="13"/>
        <v/>
      </c>
      <c r="CL63" s="102">
        <f t="shared" si="35"/>
        <v>2017.68</v>
      </c>
      <c r="CM63" s="20">
        <f>IF(AND(CL4=0,CL63&gt;=0), "",CL63/CL4)</f>
        <v>1.2338871315677225E-2</v>
      </c>
      <c r="CN63" s="37">
        <f>IF(AND(CL124=0,CL63&gt;=0),"",CL63/CL124)</f>
        <v>2.6466111446034418E-2</v>
      </c>
      <c r="CO63" s="101">
        <f>+'N EERR RODEO'!N71+'N EERR RODEO'!N72+'N EERR RODEO'!N73+'N EERR RODEO'!N74+'N EERR RODEO'!N75+'N EERR RODEO'!N76+'N EERR RODEO'!N77</f>
        <v>0</v>
      </c>
      <c r="CP63" s="20" t="str">
        <f>IF(AND(CO4=0,CO63&gt;=0), "",CO63/CO4)</f>
        <v/>
      </c>
      <c r="CQ63" s="37" t="str">
        <f>IF(AND(CO124=0,CO63&gt;=0),"",CO63/CO124)</f>
        <v/>
      </c>
      <c r="CR63" s="20" t="str">
        <f t="shared" si="14"/>
        <v/>
      </c>
      <c r="CS63" s="102">
        <f t="shared" si="36"/>
        <v>2017.68</v>
      </c>
      <c r="CT63" s="20">
        <f>IF(AND(CS4=0,CS63&gt;=0), "",CS63/CS4)</f>
        <v>1.2338871315677225E-2</v>
      </c>
      <c r="CU63" s="37">
        <f>IF(AND(CS124=0,CS63&gt;=0),"",CS63/CS124)</f>
        <v>2.6466111446034418E-2</v>
      </c>
      <c r="CV63" s="103">
        <f t="shared" si="37"/>
        <v>0</v>
      </c>
      <c r="CW63" s="20" t="str">
        <f>IF(AND(CV4=0,CV63&gt;=0), "",CV63/CV4)</f>
        <v/>
      </c>
      <c r="CX63" s="37">
        <f t="shared" si="15"/>
        <v>1</v>
      </c>
    </row>
    <row r="64" spans="1:102" outlineLevel="1" x14ac:dyDescent="0.25">
      <c r="A64" s="19" t="s">
        <v>25</v>
      </c>
      <c r="B64" s="101">
        <f>+'N EERR RODEO'!B78+'N EERR RODEO'!B79+'N EERR RODEO'!B80+'N EERR RODEO'!B81+'N EERR RODEO'!B82+'N EERR RODEO'!B83+'N EERR RODEO'!B84+'N EERR RODEO'!B85+'N EERR RODEO'!B86+'N EERR RODEO'!B87</f>
        <v>0</v>
      </c>
      <c r="C64" s="20" t="str">
        <f>IF(AND(B4=0,B64&gt;=0), "",B64/B4)</f>
        <v/>
      </c>
      <c r="D64" s="37" t="str">
        <f>IF(AND(B124=0,B64&gt;=0),"",B64/B124)</f>
        <v/>
      </c>
      <c r="E64" s="101">
        <f>+'N EERR RODEO'!C78+'N EERR RODEO'!C79+'N EERR RODEO'!C80+'N EERR RODEO'!C81+'N EERR RODEO'!C82+'N EERR RODEO'!C83+'N EERR RODEO'!C84+'N EERR RODEO'!C85+'N EERR RODEO'!C86+'N EERR RODEO'!C87</f>
        <v>0</v>
      </c>
      <c r="F64" s="20">
        <f>IF(AND(E4=0,E64&gt;=0), "",E64/E4)</f>
        <v>0</v>
      </c>
      <c r="G64" s="37">
        <f>IF(AND(E124=0,E64&gt;=0),"",E64/E124)</f>
        <v>0</v>
      </c>
      <c r="H64" s="101">
        <f>+'N EERR RODEO'!D78+'N EERR RODEO'!D79+'N EERR RODEO'!D80+'N EERR RODEO'!D81+'N EERR RODEO'!D82+'N EERR RODEO'!D83+'N EERR RODEO'!D84+'N EERR RODEO'!D85+'N EERR RODEO'!D86+'N EERR RODEO'!D87</f>
        <v>157.94999999999999</v>
      </c>
      <c r="I64" s="20">
        <f>IF(AND(H4=0,H64&gt;=0), "",H64/H4)</f>
        <v>3.0680006464264735E-3</v>
      </c>
      <c r="J64" s="37">
        <f>IF(AND(H124=0,H64&gt;=0),"",H64/H124)</f>
        <v>8.1692543299116769E-3</v>
      </c>
      <c r="K64" s="20">
        <f t="shared" si="19"/>
        <v>1</v>
      </c>
      <c r="L64" s="102">
        <f t="shared" si="38"/>
        <v>157.94999999999999</v>
      </c>
      <c r="M64" s="20">
        <f>IF(AND(L4=0,L64&gt;=0), "",L64/L4)</f>
        <v>1.5887773475656399E-3</v>
      </c>
      <c r="N64" s="37">
        <f>IF(AND(L124=0,L64&gt;=0),"",L64/L124)</f>
        <v>3.1401902603405605E-3</v>
      </c>
      <c r="O64" s="101">
        <f>+'N EERR RODEO'!E78+'N EERR RODEO'!E79+'N EERR RODEO'!E80+'N EERR RODEO'!E81+'N EERR RODEO'!E82+'N EERR RODEO'!E83+'N EERR RODEO'!E84+'N EERR RODEO'!E85+'N EERR RODEO'!E86+'N EERR RODEO'!E87</f>
        <v>0</v>
      </c>
      <c r="P64" s="20">
        <f>IF(AND(O4=0,O64&gt;=0), "",O64/O4)</f>
        <v>0</v>
      </c>
      <c r="Q64" s="37">
        <f>IF(AND(O124=0,O64&gt;=0),"",O64/O124)</f>
        <v>0</v>
      </c>
      <c r="R64" s="20">
        <f t="shared" si="20"/>
        <v>-1</v>
      </c>
      <c r="S64" s="102">
        <f t="shared" si="39"/>
        <v>157.94999999999999</v>
      </c>
      <c r="T64" s="20">
        <f>IF(AND(S4=0,S64&gt;=0), "",S64/S4)</f>
        <v>9.6592359755323805E-4</v>
      </c>
      <c r="U64" s="37">
        <f>IF(AND(S124=0,S64&gt;=0),"",S64/S124)</f>
        <v>2.0718460325230641E-3</v>
      </c>
      <c r="V64" s="103"/>
      <c r="W64" s="20" t="str">
        <f>IF(AND(V4=0,V64&gt;=0), "",V64/V4)</f>
        <v/>
      </c>
      <c r="X64" s="37">
        <f t="shared" si="21"/>
        <v>1</v>
      </c>
      <c r="Y64" s="101">
        <f>+'N EERR RODEO'!F78+'N EERR RODEO'!F79+'N EERR RODEO'!F80+'N EERR RODEO'!F81+'N EERR RODEO'!F82+'N EERR RODEO'!F83+'N EERR RODEO'!F84+'N EERR RODEO'!F85+'N EERR RODEO'!F86+'N EERR RODEO'!F87</f>
        <v>0</v>
      </c>
      <c r="Z64" s="20" t="str">
        <f>IF(AND(Y4=0,Y64&gt;=0), "",Y64/Y4)</f>
        <v/>
      </c>
      <c r="AA64" s="37" t="str">
        <f>IF(AND(Y124=0,Y64&gt;=0),"",Y64/Y124)</f>
        <v/>
      </c>
      <c r="AB64" s="20" t="str">
        <f t="shared" si="22"/>
        <v/>
      </c>
      <c r="AC64" s="102">
        <f t="shared" si="27"/>
        <v>157.94999999999999</v>
      </c>
      <c r="AD64" s="20">
        <f>IF(AND(AC4=0,AC64&gt;=0), "",AC64/AC4)</f>
        <v>9.6592359755323805E-4</v>
      </c>
      <c r="AE64" s="37">
        <f>IF(AND(AC124=0,AC64&gt;=0),"",AC64/AC124)</f>
        <v>2.0718460325230641E-3</v>
      </c>
      <c r="AF64" s="101">
        <f>+'N EERR RODEO'!G78+'N EERR RODEO'!G79+'N EERR RODEO'!G80+'N EERR RODEO'!G81+'N EERR RODEO'!G82+'N EERR RODEO'!G83+'N EERR RODEO'!G84+'N EERR RODEO'!G85+'N EERR RODEO'!G86+'N EERR RODEO'!G87</f>
        <v>0</v>
      </c>
      <c r="AG64" s="20" t="str">
        <f>IF(AND(AF4=0,AF64&gt;=0), "",AF64/AF4)</f>
        <v/>
      </c>
      <c r="AH64" s="37" t="str">
        <f>IF(AND(AF124=0,AF64&gt;=0),"",AF64/AF124)</f>
        <v/>
      </c>
      <c r="AI64" s="20" t="str">
        <f t="shared" si="4"/>
        <v/>
      </c>
      <c r="AJ64" s="102">
        <f t="shared" si="16"/>
        <v>157.94999999999999</v>
      </c>
      <c r="AK64" s="20">
        <f>IF(AND(AJ4=0,AJ64&gt;=0), "",AJ64/AJ4)</f>
        <v>9.6592359755323805E-4</v>
      </c>
      <c r="AL64" s="37">
        <f>IF(AND(AJ124=0,AJ64&gt;=0),"",AJ64/AJ124)</f>
        <v>2.0718460325230641E-3</v>
      </c>
      <c r="AM64" s="101">
        <f>+'N EERR RODEO'!H78+'N EERR RODEO'!H79+'N EERR RODEO'!H80+'N EERR RODEO'!H81+'N EERR RODEO'!H82+'N EERR RODEO'!H83+'N EERR RODEO'!H84+'N EERR RODEO'!H85+'N EERR RODEO'!H86+'N EERR RODEO'!H87</f>
        <v>0</v>
      </c>
      <c r="AN64" s="20" t="str">
        <f>IF(AND(AM4=0,AM64&gt;=0), "",AM64/AM4)</f>
        <v/>
      </c>
      <c r="AO64" s="37" t="str">
        <f>IF(AND(AM124=0,AM64&gt;=0),"",AM64/AM124)</f>
        <v/>
      </c>
      <c r="AP64" s="20" t="str">
        <f t="shared" si="5"/>
        <v/>
      </c>
      <c r="AQ64" s="102">
        <f t="shared" si="17"/>
        <v>157.94999999999999</v>
      </c>
      <c r="AR64" s="20">
        <f>IF(AND(AQ4=0,AQ64&gt;=0), "",AQ64/AQ4)</f>
        <v>9.6592359755323805E-4</v>
      </c>
      <c r="AS64" s="37">
        <f>IF(AND(AQ124=0,AQ64&gt;=0),"",AQ64/AQ124)</f>
        <v>2.0718460325230641E-3</v>
      </c>
      <c r="AT64" s="103">
        <f t="shared" si="28"/>
        <v>0</v>
      </c>
      <c r="AU64" s="20" t="str">
        <f>IF(AND(AT4=0,AT64&gt;=0), "",AT64/AT4)</f>
        <v/>
      </c>
      <c r="AV64" s="37">
        <f t="shared" si="23"/>
        <v>1</v>
      </c>
      <c r="AW64" s="103">
        <f t="shared" si="40"/>
        <v>26.324999999999999</v>
      </c>
      <c r="AX64" s="20">
        <f>IF(AND(AW4=0,AW64&gt;=0), "",AW64/AW4)</f>
        <v>9.6592359755323816E-4</v>
      </c>
      <c r="AY64" s="37">
        <f>IF(AND(AW124=0,AW64&gt;=0),"",AW64/AW124)</f>
        <v>2.0718460325230637E-3</v>
      </c>
      <c r="AZ64" s="103">
        <f t="shared" si="29"/>
        <v>0</v>
      </c>
      <c r="BA64" s="20" t="str">
        <f>IF(AND(AZ4=0,AZ64&gt;=0), "",AZ64/AZ4)</f>
        <v/>
      </c>
      <c r="BB64" s="37">
        <f t="shared" si="24"/>
        <v>1</v>
      </c>
      <c r="BC64" s="101">
        <f>+'N EERR RODEO'!I78+'N EERR RODEO'!I79+'N EERR RODEO'!I80+'N EERR RODEO'!I81+'N EERR RODEO'!I82+'N EERR RODEO'!I83+'N EERR RODEO'!I84+'N EERR RODEO'!I85+'N EERR RODEO'!I86+'N EERR RODEO'!I87</f>
        <v>0</v>
      </c>
      <c r="BD64" s="20" t="str">
        <f>IF(AND(BC4=0,BC64&gt;=0), "",BC64/BC4)</f>
        <v/>
      </c>
      <c r="BE64" s="37" t="str">
        <f>IF(AND(BC124=0,BC64&gt;=0),"",BC64/BC124)</f>
        <v/>
      </c>
      <c r="BF64" s="20" t="str">
        <f t="shared" si="25"/>
        <v/>
      </c>
      <c r="BG64" s="102">
        <f t="shared" si="30"/>
        <v>157.94999999999999</v>
      </c>
      <c r="BH64" s="20">
        <f>IF(AND(BG4=0,BG64&gt;=0), "",BG64/BG4)</f>
        <v>9.6592359755323805E-4</v>
      </c>
      <c r="BI64" s="37">
        <f>IF(AND(BG124=0,BG64&gt;=0),"",BG64/BG124)</f>
        <v>2.0718460325230641E-3</v>
      </c>
      <c r="BJ64" s="101">
        <f>+'N EERR RODEO'!J78+'N EERR RODEO'!J79+'N EERR RODEO'!J80+'N EERR RODEO'!J81+'N EERR RODEO'!J82+'N EERR RODEO'!J83+'N EERR RODEO'!J84+'N EERR RODEO'!J85+'N EERR RODEO'!J86+'N EERR RODEO'!J87</f>
        <v>0</v>
      </c>
      <c r="BK64" s="20" t="str">
        <f>IF(AND(BJ4=0,BJ64&gt;=0), "",BJ64/BJ4)</f>
        <v/>
      </c>
      <c r="BL64" s="37" t="str">
        <f>IF(AND(BJ124=0,BJ64&gt;=0),"",BJ64/BJ124)</f>
        <v/>
      </c>
      <c r="BM64" s="20" t="str">
        <f t="shared" si="9"/>
        <v/>
      </c>
      <c r="BN64" s="102">
        <f t="shared" si="31"/>
        <v>157.94999999999999</v>
      </c>
      <c r="BO64" s="20">
        <f>IF(AND(BN4=0,BN64&gt;=0), "",BN64/BN4)</f>
        <v>9.6592359755323805E-4</v>
      </c>
      <c r="BP64" s="37">
        <f>IF(AND(BN124=0,BN64&gt;=0),"",BN64/BN124)</f>
        <v>2.0718460325230641E-3</v>
      </c>
      <c r="BQ64" s="101">
        <f>+'N EERR RODEO'!K78+'N EERR RODEO'!K79+'N EERR RODEO'!K80+'N EERR RODEO'!K81+'N EERR RODEO'!K82+'N EERR RODEO'!K83+'N EERR RODEO'!K84+'N EERR RODEO'!K85+'N EERR RODEO'!K86+'N EERR RODEO'!K87</f>
        <v>0</v>
      </c>
      <c r="BR64" s="20" t="str">
        <f>IF(AND(BQ4=0,BQ64&gt;=0), "",BQ64/BQ4)</f>
        <v/>
      </c>
      <c r="BS64" s="37" t="str">
        <f>IF(AND(BQ124=0,BQ64&gt;=0),"",BQ64/BQ124)</f>
        <v/>
      </c>
      <c r="BT64" s="20" t="str">
        <f t="shared" si="10"/>
        <v/>
      </c>
      <c r="BU64" s="102">
        <f t="shared" si="32"/>
        <v>157.94999999999999</v>
      </c>
      <c r="BV64" s="20">
        <f>IF(AND(BU4=0,BU64&gt;=0), "",BU64/BU4)</f>
        <v>9.6592359755323805E-4</v>
      </c>
      <c r="BW64" s="37">
        <f>IF(AND(BU124=0,BU64&gt;=0),"",BU64/BU124)</f>
        <v>2.0718460325230641E-3</v>
      </c>
      <c r="BX64" s="103">
        <f t="shared" si="33"/>
        <v>0</v>
      </c>
      <c r="BY64" s="20" t="str">
        <f>IF(AND(BX4=0,BX64&gt;=0), "",BX64/BX4)</f>
        <v/>
      </c>
      <c r="BZ64" s="37">
        <f t="shared" si="11"/>
        <v>1</v>
      </c>
      <c r="CA64" s="101">
        <f>+'N EERR RODEO'!L78+'N EERR RODEO'!L79+'N EERR RODEO'!L80+'N EERR RODEO'!L81+'N EERR RODEO'!L82+'N EERR RODEO'!L83+'N EERR RODEO'!L84+'N EERR RODEO'!L85+'N EERR RODEO'!L86+'N EERR RODEO'!L87</f>
        <v>0</v>
      </c>
      <c r="CB64" s="20" t="str">
        <f>IF(AND(CA4=0,CA64&gt;=0), "",CA64/CA4)</f>
        <v/>
      </c>
      <c r="CC64" s="37" t="str">
        <f>IF(AND(CA124=0,CA64&gt;=0),"",CA64/CA124)</f>
        <v/>
      </c>
      <c r="CD64" s="20" t="str">
        <f t="shared" si="26"/>
        <v/>
      </c>
      <c r="CE64" s="102">
        <f t="shared" si="34"/>
        <v>157.94999999999999</v>
      </c>
      <c r="CF64" s="20">
        <f>IF(AND(CE4=0,CE64&gt;=0), "",CE64/CE4)</f>
        <v>9.6592359755323805E-4</v>
      </c>
      <c r="CG64" s="37">
        <f>IF(AND(CE124=0,CE64&gt;=0),"",CE64/CE124)</f>
        <v>2.0718460325230641E-3</v>
      </c>
      <c r="CH64" s="101">
        <f>+'N EERR RODEO'!M78+'N EERR RODEO'!M79+'N EERR RODEO'!M80+'N EERR RODEO'!M81+'N EERR RODEO'!M82+'N EERR RODEO'!M83+'N EERR RODEO'!M84+'N EERR RODEO'!M85+'N EERR RODEO'!M86+'N EERR RODEO'!M87</f>
        <v>0</v>
      </c>
      <c r="CI64" s="20" t="str">
        <f>IF(AND(CH4=0,CH64&gt;=0), "",CH64/CH4)</f>
        <v/>
      </c>
      <c r="CJ64" s="37" t="str">
        <f>IF(AND(CH124=0,CH64&gt;=0),"",CH64/CH124)</f>
        <v/>
      </c>
      <c r="CK64" s="20" t="str">
        <f t="shared" si="13"/>
        <v/>
      </c>
      <c r="CL64" s="102">
        <f t="shared" si="35"/>
        <v>157.94999999999999</v>
      </c>
      <c r="CM64" s="20">
        <f>IF(AND(CL4=0,CL64&gt;=0), "",CL64/CL4)</f>
        <v>9.6592359755323805E-4</v>
      </c>
      <c r="CN64" s="37">
        <f>IF(AND(CL124=0,CL64&gt;=0),"",CL64/CL124)</f>
        <v>2.0718460325230641E-3</v>
      </c>
      <c r="CO64" s="101">
        <f>+'N EERR RODEO'!N78+'N EERR RODEO'!N79+'N EERR RODEO'!N80+'N EERR RODEO'!N81+'N EERR RODEO'!N82+'N EERR RODEO'!N83+'N EERR RODEO'!N84+'N EERR RODEO'!N85+'N EERR RODEO'!N86+'N EERR RODEO'!N87</f>
        <v>0</v>
      </c>
      <c r="CP64" s="20" t="str">
        <f>IF(AND(CO4=0,CO64&gt;=0), "",CO64/CO4)</f>
        <v/>
      </c>
      <c r="CQ64" s="37" t="str">
        <f>IF(AND(CO124=0,CO64&gt;=0),"",CO64/CO124)</f>
        <v/>
      </c>
      <c r="CR64" s="20" t="str">
        <f t="shared" si="14"/>
        <v/>
      </c>
      <c r="CS64" s="102">
        <f t="shared" si="36"/>
        <v>157.94999999999999</v>
      </c>
      <c r="CT64" s="20">
        <f>IF(AND(CS4=0,CS64&gt;=0), "",CS64/CS4)</f>
        <v>9.6592359755323805E-4</v>
      </c>
      <c r="CU64" s="37">
        <f>IF(AND(CS124=0,CS64&gt;=0),"",CS64/CS124)</f>
        <v>2.0718460325230641E-3</v>
      </c>
      <c r="CV64" s="103">
        <f t="shared" si="37"/>
        <v>0</v>
      </c>
      <c r="CW64" s="20" t="str">
        <f>IF(AND(CV4=0,CV64&gt;=0), "",CV64/CV4)</f>
        <v/>
      </c>
      <c r="CX64" s="37">
        <f t="shared" si="15"/>
        <v>1</v>
      </c>
    </row>
    <row r="65" spans="1:102" outlineLevel="1" x14ac:dyDescent="0.25">
      <c r="A65" s="19" t="s">
        <v>26</v>
      </c>
      <c r="B65" s="101">
        <f>+'N EERR RODEO'!B88+'N EERR RODEO'!B89+'N EERR RODEO'!B90</f>
        <v>0</v>
      </c>
      <c r="C65" s="20" t="str">
        <f>IF(AND(B4=0,B65&gt;=0), "",B65/B4)</f>
        <v/>
      </c>
      <c r="D65" s="37" t="str">
        <f>IF(AND(B124=0,B65&gt;=0),"",B65/B124)</f>
        <v/>
      </c>
      <c r="E65" s="101">
        <f>+'N EERR RODEO'!C88+'N EERR RODEO'!C89+'N EERR RODEO'!C90</f>
        <v>1415.25</v>
      </c>
      <c r="F65" s="20">
        <f>IF(AND(E4=0,E65&gt;=0), "",E65/E4)</f>
        <v>2.9525569320362183E-2</v>
      </c>
      <c r="G65" s="37">
        <f>IF(AND(E124=0,E65&gt;=0),"",E65/E124)</f>
        <v>4.5705108476363977E-2</v>
      </c>
      <c r="H65" s="101">
        <f>+'N EERR RODEO'!D88+'N EERR RODEO'!D89+'N EERR RODEO'!D90</f>
        <v>807.9</v>
      </c>
      <c r="I65" s="20">
        <f>IF(AND(H4=0,H65&gt;=0), "",H65/H4)</f>
        <v>1.5692546516289634E-2</v>
      </c>
      <c r="J65" s="37">
        <f>IF(AND(H124=0,H65&gt;=0),"",H65/H124)</f>
        <v>4.1784998880250994E-2</v>
      </c>
      <c r="K65" s="20">
        <f t="shared" si="19"/>
        <v>-0.42914679385267623</v>
      </c>
      <c r="L65" s="102">
        <f t="shared" si="38"/>
        <v>2223.15</v>
      </c>
      <c r="M65" s="20">
        <f>IF(AND(L4=0,L65&gt;=0), "",L65/L4)</f>
        <v>2.2362078887246298E-2</v>
      </c>
      <c r="N65" s="37">
        <f>IF(AND(L124=0,L65&gt;=0),"",L65/L124)</f>
        <v>4.4198252467718378E-2</v>
      </c>
      <c r="O65" s="101">
        <f>+'N EERR RODEO'!E88+'N EERR RODEO'!E89+'N EERR RODEO'!E90</f>
        <v>1155.2199999999998</v>
      </c>
      <c r="P65" s="20">
        <f>IF(AND(O4=0,O65&gt;=0), "",O65/O4)</f>
        <v>1.8020415504402223E-2</v>
      </c>
      <c r="Q65" s="37">
        <f>IF(AND(O124=0,O65&gt;=0),"",O65/O124)</f>
        <v>4.4539701413355344E-2</v>
      </c>
      <c r="R65" s="20">
        <f t="shared" si="20"/>
        <v>0.42990469117465013</v>
      </c>
      <c r="S65" s="102">
        <f t="shared" si="39"/>
        <v>3378.37</v>
      </c>
      <c r="T65" s="20">
        <f>IF(AND(S4=0,S65&gt;=0), "",S65/S4)</f>
        <v>2.0660001926343357E-2</v>
      </c>
      <c r="U65" s="37">
        <f>IF(AND(S124=0,S65&gt;=0),"",S65/S124)</f>
        <v>4.4314418999018321E-2</v>
      </c>
      <c r="V65" s="103"/>
      <c r="W65" s="20" t="str">
        <f>IF(AND(V4=0,V65&gt;=0), "",V65/V4)</f>
        <v/>
      </c>
      <c r="X65" s="37">
        <f t="shared" si="21"/>
        <v>1</v>
      </c>
      <c r="Y65" s="101">
        <f>+'N EERR RODEO'!F88+'N EERR RODEO'!F89+'N EERR RODEO'!F90</f>
        <v>0</v>
      </c>
      <c r="Z65" s="20" t="str">
        <f>IF(AND(Y4=0,Y65&gt;=0), "",Y65/Y4)</f>
        <v/>
      </c>
      <c r="AA65" s="37" t="str">
        <f>IF(AND(Y124=0,Y65&gt;=0),"",Y65/Y124)</f>
        <v/>
      </c>
      <c r="AB65" s="20">
        <f t="shared" si="22"/>
        <v>-1</v>
      </c>
      <c r="AC65" s="102">
        <f t="shared" si="27"/>
        <v>3378.37</v>
      </c>
      <c r="AD65" s="20">
        <f>IF(AND(AC4=0,AC65&gt;=0), "",AC65/AC4)</f>
        <v>2.0660001926343357E-2</v>
      </c>
      <c r="AE65" s="37">
        <f>IF(AND(AC124=0,AC65&gt;=0),"",AC65/AC124)</f>
        <v>4.4314418999018321E-2</v>
      </c>
      <c r="AF65" s="101">
        <f>+'N EERR RODEO'!G88+'N EERR RODEO'!G89+'N EERR RODEO'!G90</f>
        <v>0</v>
      </c>
      <c r="AG65" s="20" t="str">
        <f>IF(AND(AF4=0,AF65&gt;=0), "",AF65/AF4)</f>
        <v/>
      </c>
      <c r="AH65" s="37" t="str">
        <f>IF(AND(AF124=0,AF65&gt;=0),"",AF65/AF124)</f>
        <v/>
      </c>
      <c r="AI65" s="20" t="str">
        <f t="shared" si="4"/>
        <v/>
      </c>
      <c r="AJ65" s="102">
        <f t="shared" si="16"/>
        <v>3378.37</v>
      </c>
      <c r="AK65" s="20">
        <f>IF(AND(AJ4=0,AJ65&gt;=0), "",AJ65/AJ4)</f>
        <v>2.0660001926343357E-2</v>
      </c>
      <c r="AL65" s="37">
        <f>IF(AND(AJ124=0,AJ65&gt;=0),"",AJ65/AJ124)</f>
        <v>4.4314418999018321E-2</v>
      </c>
      <c r="AM65" s="101">
        <f>+'N EERR RODEO'!H88+'N EERR RODEO'!H89+'N EERR RODEO'!H90</f>
        <v>0</v>
      </c>
      <c r="AN65" s="20" t="str">
        <f>IF(AND(AM4=0,AM65&gt;=0), "",AM65/AM4)</f>
        <v/>
      </c>
      <c r="AO65" s="37" t="str">
        <f>IF(AND(AM124=0,AM65&gt;=0),"",AM65/AM124)</f>
        <v/>
      </c>
      <c r="AP65" s="20" t="str">
        <f t="shared" si="5"/>
        <v/>
      </c>
      <c r="AQ65" s="102">
        <f t="shared" si="17"/>
        <v>3378.37</v>
      </c>
      <c r="AR65" s="20">
        <f>IF(AND(AQ4=0,AQ65&gt;=0), "",AQ65/AQ4)</f>
        <v>2.0660001926343357E-2</v>
      </c>
      <c r="AS65" s="37">
        <f>IF(AND(AQ124=0,AQ65&gt;=0),"",AQ65/AQ124)</f>
        <v>4.4314418999018321E-2</v>
      </c>
      <c r="AT65" s="103">
        <f t="shared" si="28"/>
        <v>0</v>
      </c>
      <c r="AU65" s="20" t="str">
        <f>IF(AND(AT4=0,AT65&gt;=0), "",AT65/AT4)</f>
        <v/>
      </c>
      <c r="AV65" s="37">
        <f t="shared" si="23"/>
        <v>1</v>
      </c>
      <c r="AW65" s="103">
        <f t="shared" si="40"/>
        <v>563.06166666666661</v>
      </c>
      <c r="AX65" s="20">
        <f>IF(AND(AW4=0,AW65&gt;=0), "",AW65/AW4)</f>
        <v>2.0660001926343357E-2</v>
      </c>
      <c r="AY65" s="37">
        <f>IF(AND(AW124=0,AW65&gt;=0),"",AW65/AW124)</f>
        <v>4.4314418999018314E-2</v>
      </c>
      <c r="AZ65" s="103">
        <f t="shared" si="29"/>
        <v>0</v>
      </c>
      <c r="BA65" s="20" t="str">
        <f>IF(AND(AZ4=0,AZ65&gt;=0), "",AZ65/AZ4)</f>
        <v/>
      </c>
      <c r="BB65" s="37">
        <f t="shared" si="24"/>
        <v>1</v>
      </c>
      <c r="BC65" s="101">
        <f>+'N EERR RODEO'!I88+'N EERR RODEO'!I89+'N EERR RODEO'!I90</f>
        <v>0</v>
      </c>
      <c r="BD65" s="20" t="str">
        <f>IF(AND(BC4=0,BC65&gt;=0), "",BC65/BC4)</f>
        <v/>
      </c>
      <c r="BE65" s="37" t="str">
        <f>IF(AND(BC124=0,BC65&gt;=0),"",BC65/BC124)</f>
        <v/>
      </c>
      <c r="BF65" s="20" t="str">
        <f t="shared" si="25"/>
        <v/>
      </c>
      <c r="BG65" s="102">
        <f t="shared" si="30"/>
        <v>3378.37</v>
      </c>
      <c r="BH65" s="20">
        <f>IF(AND(BG4=0,BG65&gt;=0), "",BG65/BG4)</f>
        <v>2.0660001926343357E-2</v>
      </c>
      <c r="BI65" s="37">
        <f>IF(AND(BG124=0,BG65&gt;=0),"",BG65/BG124)</f>
        <v>4.4314418999018321E-2</v>
      </c>
      <c r="BJ65" s="101">
        <f>'N EERR RODEO'!J91+'N EERR RODEO'!J92</f>
        <v>0</v>
      </c>
      <c r="BK65" s="20" t="str">
        <f>IF(AND(BJ4=0,BJ65&gt;=0), "",BJ65/BJ4)</f>
        <v/>
      </c>
      <c r="BL65" s="37" t="str">
        <f>IF(AND(BJ124=0,BJ65&gt;=0),"",BJ65/BJ124)</f>
        <v/>
      </c>
      <c r="BM65" s="20" t="str">
        <f t="shared" si="9"/>
        <v/>
      </c>
      <c r="BN65" s="102">
        <f t="shared" si="31"/>
        <v>3378.37</v>
      </c>
      <c r="BO65" s="20">
        <f>IF(AND(BN4=0,BN65&gt;=0), "",BN65/BN4)</f>
        <v>2.0660001926343357E-2</v>
      </c>
      <c r="BP65" s="37">
        <f>IF(AND(BN124=0,BN65&gt;=0),"",BN65/BN124)</f>
        <v>4.4314418999018321E-2</v>
      </c>
      <c r="BQ65" s="101">
        <f>+'N EERR RODEO'!K88+'N EERR RODEO'!K89+'N EERR RODEO'!K90</f>
        <v>0</v>
      </c>
      <c r="BR65" s="20" t="str">
        <f>IF(AND(BQ4=0,BQ65&gt;=0), "",BQ65/BQ4)</f>
        <v/>
      </c>
      <c r="BS65" s="37" t="str">
        <f>IF(AND(BQ124=0,BQ65&gt;=0),"",BQ65/BQ124)</f>
        <v/>
      </c>
      <c r="BT65" s="20" t="str">
        <f t="shared" si="10"/>
        <v/>
      </c>
      <c r="BU65" s="102">
        <f t="shared" si="32"/>
        <v>3378.37</v>
      </c>
      <c r="BV65" s="20">
        <f>IF(AND(BU4=0,BU65&gt;=0), "",BU65/BU4)</f>
        <v>2.0660001926343357E-2</v>
      </c>
      <c r="BW65" s="37">
        <f>IF(AND(BU124=0,BU65&gt;=0),"",BU65/BU124)</f>
        <v>4.4314418999018321E-2</v>
      </c>
      <c r="BX65" s="103">
        <f t="shared" si="33"/>
        <v>0</v>
      </c>
      <c r="BY65" s="20" t="str">
        <f>IF(AND(BX4=0,BX65&gt;=0), "",BX65/BX4)</f>
        <v/>
      </c>
      <c r="BZ65" s="37">
        <f t="shared" si="11"/>
        <v>1</v>
      </c>
      <c r="CA65" s="101">
        <f>+'N EERR RODEO'!L88+'N EERR RODEO'!L89+'N EERR RODEO'!L90</f>
        <v>0</v>
      </c>
      <c r="CB65" s="20" t="str">
        <f>IF(AND(CA4=0,CA65&gt;=0), "",CA65/CA4)</f>
        <v/>
      </c>
      <c r="CC65" s="37" t="str">
        <f>IF(AND(CA124=0,CA65&gt;=0),"",CA65/CA124)</f>
        <v/>
      </c>
      <c r="CD65" s="20" t="str">
        <f t="shared" si="26"/>
        <v/>
      </c>
      <c r="CE65" s="102">
        <f t="shared" si="34"/>
        <v>3378.37</v>
      </c>
      <c r="CF65" s="20">
        <f>IF(AND(CE4=0,CE65&gt;=0), "",CE65/CE4)</f>
        <v>2.0660001926343357E-2</v>
      </c>
      <c r="CG65" s="37">
        <f>IF(AND(CE124=0,CE65&gt;=0),"",CE65/CE124)</f>
        <v>4.4314418999018321E-2</v>
      </c>
      <c r="CH65" s="101">
        <f>+'N EERR RODEO'!M88+'N EERR RODEO'!M89+'N EERR RODEO'!M90</f>
        <v>0</v>
      </c>
      <c r="CI65" s="20" t="str">
        <f>IF(AND(CH4=0,CH65&gt;=0), "",CH65/CH4)</f>
        <v/>
      </c>
      <c r="CJ65" s="37" t="str">
        <f>IF(AND(CH124=0,CH65&gt;=0),"",CH65/CH124)</f>
        <v/>
      </c>
      <c r="CK65" s="20" t="str">
        <f t="shared" si="13"/>
        <v/>
      </c>
      <c r="CL65" s="102">
        <f t="shared" si="35"/>
        <v>3378.37</v>
      </c>
      <c r="CM65" s="20">
        <f>IF(AND(CL4=0,CL65&gt;=0), "",CL65/CL4)</f>
        <v>2.0660001926343357E-2</v>
      </c>
      <c r="CN65" s="37">
        <f>IF(AND(CL124=0,CL65&gt;=0),"",CL65/CL124)</f>
        <v>4.4314418999018321E-2</v>
      </c>
      <c r="CO65" s="101">
        <f>+'N EERR RODEO'!N88+'N EERR RODEO'!N89+'N EERR RODEO'!N90</f>
        <v>0</v>
      </c>
      <c r="CP65" s="20" t="str">
        <f>IF(AND(CO4=0,CO65&gt;=0), "",CO65/CO4)</f>
        <v/>
      </c>
      <c r="CQ65" s="37" t="str">
        <f>IF(AND(CO124=0,CO65&gt;=0),"",CO65/CO124)</f>
        <v/>
      </c>
      <c r="CR65" s="20" t="str">
        <f t="shared" si="14"/>
        <v/>
      </c>
      <c r="CS65" s="102">
        <f t="shared" si="36"/>
        <v>3378.37</v>
      </c>
      <c r="CT65" s="20">
        <f>IF(AND(CS4=0,CS65&gt;=0), "",CS65/CS4)</f>
        <v>2.0660001926343357E-2</v>
      </c>
      <c r="CU65" s="37">
        <f>IF(AND(CS124=0,CS65&gt;=0),"",CS65/CS124)</f>
        <v>4.4314418999018321E-2</v>
      </c>
      <c r="CV65" s="103">
        <f t="shared" si="37"/>
        <v>0</v>
      </c>
      <c r="CW65" s="20" t="str">
        <f>IF(AND(CV4=0,CV65&gt;=0), "",CV65/CV4)</f>
        <v/>
      </c>
      <c r="CX65" s="37">
        <f t="shared" si="15"/>
        <v>1</v>
      </c>
    </row>
    <row r="66" spans="1:102" outlineLevel="1" x14ac:dyDescent="0.25">
      <c r="A66" s="19" t="s">
        <v>116</v>
      </c>
      <c r="B66" s="101">
        <f>+'N EERR RODEO'!B91+'N EERR RODEO'!B92</f>
        <v>0</v>
      </c>
      <c r="C66" s="20" t="str">
        <f>IF(AND(B4=0,B66&gt;=0), "",B66/B4)</f>
        <v/>
      </c>
      <c r="D66" s="37" t="str">
        <f>IF(AND(B124=0,B66&gt;=0),"",B66/B124)</f>
        <v/>
      </c>
      <c r="E66" s="101">
        <f>+'N EERR RODEO'!C91+'N EERR RODEO'!C92</f>
        <v>0</v>
      </c>
      <c r="F66" s="20">
        <f>IF(AND(E4=0,E66&gt;=0), "",E66/E4)</f>
        <v>0</v>
      </c>
      <c r="G66" s="37">
        <f>IF(AND(E124=0,E66&gt;=0),"",E66/E124)</f>
        <v>0</v>
      </c>
      <c r="H66" s="101">
        <f>+'N EERR RODEO'!D91+'N EERR RODEO'!D92</f>
        <v>0</v>
      </c>
      <c r="I66" s="20">
        <f>IF(AND(H4=0,H66&gt;=0), "",H66/H4)</f>
        <v>0</v>
      </c>
      <c r="J66" s="37">
        <f>IF(AND(H124=0,H66&gt;=0),"",H66/H124)</f>
        <v>0</v>
      </c>
      <c r="K66" s="20" t="str">
        <f t="shared" si="19"/>
        <v/>
      </c>
      <c r="L66" s="102">
        <f t="shared" si="38"/>
        <v>0</v>
      </c>
      <c r="M66" s="20">
        <f>IF(AND(L4=0,L66&gt;=0), "",L66/L4)</f>
        <v>0</v>
      </c>
      <c r="N66" s="37">
        <f>IF(AND(L124=0,L66&gt;=0),"",L66/L124)</f>
        <v>0</v>
      </c>
      <c r="O66" s="101">
        <f>+'N EERR RODEO'!E91+'N EERR RODEO'!E92</f>
        <v>0</v>
      </c>
      <c r="P66" s="20">
        <f>IF(AND(O4=0,O66&gt;=0), "",O66/O4)</f>
        <v>0</v>
      </c>
      <c r="Q66" s="37">
        <f>IF(AND(O124=0,O66&gt;=0),"",O66/O124)</f>
        <v>0</v>
      </c>
      <c r="R66" s="20" t="str">
        <f t="shared" si="20"/>
        <v/>
      </c>
      <c r="S66" s="102">
        <f t="shared" si="39"/>
        <v>0</v>
      </c>
      <c r="T66" s="20">
        <f>IF(AND(S4=0,S66&gt;=0), "",S66/S4)</f>
        <v>0</v>
      </c>
      <c r="U66" s="37">
        <f>IF(AND(S124=0,S66&gt;=0),"",S66/S124)</f>
        <v>0</v>
      </c>
      <c r="V66" s="103"/>
      <c r="W66" s="20" t="str">
        <f>IF(AND(V4=0,V66&gt;=0), "",V66/V4)</f>
        <v/>
      </c>
      <c r="X66" s="37" t="str">
        <f t="shared" si="21"/>
        <v/>
      </c>
      <c r="Y66" s="101">
        <f>+'N EERR RODEO'!F91+'N EERR RODEO'!F92</f>
        <v>0</v>
      </c>
      <c r="Z66" s="20" t="str">
        <f>IF(AND(Y4=0,Y66&gt;=0), "",Y66/Y4)</f>
        <v/>
      </c>
      <c r="AA66" s="37" t="str">
        <f>IF(AND(Y124=0,Y66&gt;=0),"",Y66/Y124)</f>
        <v/>
      </c>
      <c r="AB66" s="20" t="str">
        <f t="shared" si="22"/>
        <v/>
      </c>
      <c r="AC66" s="102">
        <f t="shared" si="27"/>
        <v>0</v>
      </c>
      <c r="AD66" s="20">
        <f>IF(AND(AC4=0,AC66&gt;=0), "",AC66/AC4)</f>
        <v>0</v>
      </c>
      <c r="AE66" s="37">
        <f>IF(AND(AC124=0,AC66&gt;=0),"",AC66/AC124)</f>
        <v>0</v>
      </c>
      <c r="AF66" s="101">
        <f>'N EERR RODEO'!G91+'N EERR RODEO'!G92</f>
        <v>0</v>
      </c>
      <c r="AG66" s="20" t="str">
        <f>IF(AND(AF4=0,AF66&gt;=0), "",AF66/AF4)</f>
        <v/>
      </c>
      <c r="AH66" s="37" t="str">
        <f>IF(AND(AF124=0,AF66&gt;=0),"",AF66/AF124)</f>
        <v/>
      </c>
      <c r="AI66" s="20" t="str">
        <f t="shared" si="4"/>
        <v/>
      </c>
      <c r="AJ66" s="102">
        <f t="shared" si="16"/>
        <v>0</v>
      </c>
      <c r="AK66" s="20">
        <f>IF(AND(AJ4=0,AJ66&gt;=0), "",AJ66/AJ4)</f>
        <v>0</v>
      </c>
      <c r="AL66" s="37">
        <f>IF(AND(AJ124=0,AJ66&gt;=0),"",AJ66/AJ124)</f>
        <v>0</v>
      </c>
      <c r="AM66" s="101">
        <f>'N EERR RODEO'!H91+'N EERR RODEO'!H92</f>
        <v>0</v>
      </c>
      <c r="AN66" s="20" t="str">
        <f>IF(AND(AM4=0,AM66&gt;=0), "",AM66/AM4)</f>
        <v/>
      </c>
      <c r="AO66" s="37" t="str">
        <f>IF(AND(AM124=0,AM66&gt;=0),"",AM66/AM124)</f>
        <v/>
      </c>
      <c r="AP66" s="20" t="str">
        <f t="shared" si="5"/>
        <v/>
      </c>
      <c r="AQ66" s="102">
        <f t="shared" si="17"/>
        <v>0</v>
      </c>
      <c r="AR66" s="20">
        <f>IF(AND(AQ4=0,AQ66&gt;=0), "",AQ66/AQ4)</f>
        <v>0</v>
      </c>
      <c r="AS66" s="37">
        <f>IF(AND(AQ124=0,AQ66&gt;=0),"",AQ66/AQ124)</f>
        <v>0</v>
      </c>
      <c r="AT66" s="103">
        <f t="shared" si="28"/>
        <v>0</v>
      </c>
      <c r="AU66" s="20" t="str">
        <f>IF(AND(AT4=0,AT66&gt;=0), "",AT66/AT4)</f>
        <v/>
      </c>
      <c r="AV66" s="37" t="str">
        <f t="shared" si="23"/>
        <v/>
      </c>
      <c r="AW66" s="103">
        <f t="shared" si="40"/>
        <v>0</v>
      </c>
      <c r="AX66" s="20">
        <f>IF(AND(AW4=0,AW66&gt;=0), "",AW66/AW4)</f>
        <v>0</v>
      </c>
      <c r="AY66" s="37">
        <f>IF(AND(AW124=0,AW66&gt;=0),"",AW66/AW124)</f>
        <v>0</v>
      </c>
      <c r="AZ66" s="103">
        <f t="shared" si="29"/>
        <v>0</v>
      </c>
      <c r="BA66" s="20" t="str">
        <f>IF(AND(AZ4=0,AZ66&gt;=0), "",AZ66/AZ4)</f>
        <v/>
      </c>
      <c r="BB66" s="37" t="str">
        <f t="shared" si="24"/>
        <v/>
      </c>
      <c r="BC66" s="101">
        <f>'N EERR RODEO'!I91+'N EERR RODEO'!I92</f>
        <v>0</v>
      </c>
      <c r="BD66" s="20" t="str">
        <f>IF(AND(BC4=0,BC66&gt;=0), "",BC66/BC4)</f>
        <v/>
      </c>
      <c r="BE66" s="37" t="str">
        <f>IF(AND(BC124=0,BC66&gt;=0),"",BC66/BC124)</f>
        <v/>
      </c>
      <c r="BF66" s="20" t="str">
        <f t="shared" si="25"/>
        <v/>
      </c>
      <c r="BG66" s="102">
        <f t="shared" si="30"/>
        <v>0</v>
      </c>
      <c r="BH66" s="20">
        <f>IF(AND(BG4=0,BG66&gt;=0), "",BG66/BG4)</f>
        <v>0</v>
      </c>
      <c r="BI66" s="37">
        <f>IF(AND(BG124=0,BG66&gt;=0),"",BG66/BG124)</f>
        <v>0</v>
      </c>
      <c r="BJ66" s="101">
        <f>'N EERR RODEO'!J91+'N EERR RODEO'!J92</f>
        <v>0</v>
      </c>
      <c r="BK66" s="20" t="str">
        <f>IF(AND(BJ4=0,BJ66&gt;=0), "",BJ66/BJ4)</f>
        <v/>
      </c>
      <c r="BL66" s="37" t="str">
        <f>IF(AND(BJ124=0,BJ66&gt;=0),"",BJ66/BJ124)</f>
        <v/>
      </c>
      <c r="BM66" s="20" t="str">
        <f t="shared" si="9"/>
        <v/>
      </c>
      <c r="BN66" s="102">
        <f t="shared" si="31"/>
        <v>0</v>
      </c>
      <c r="BO66" s="20">
        <f>IF(AND(BN4=0,BN66&gt;=0), "",BN66/BN4)</f>
        <v>0</v>
      </c>
      <c r="BP66" s="37">
        <f>IF(AND(BN124=0,BN66&gt;=0),"",BN66/BN124)</f>
        <v>0</v>
      </c>
      <c r="BQ66" s="101">
        <f>+'N EERR RODEO'!K91+'N EERR RODEO'!K92</f>
        <v>0</v>
      </c>
      <c r="BR66" s="20" t="str">
        <f>IF(AND(BQ4=0,BQ66&gt;=0), "",BQ66/BQ4)</f>
        <v/>
      </c>
      <c r="BS66" s="37" t="str">
        <f>IF(AND(BQ124=0,BQ66&gt;=0),"",BQ66/BQ124)</f>
        <v/>
      </c>
      <c r="BT66" s="20" t="str">
        <f t="shared" si="10"/>
        <v/>
      </c>
      <c r="BU66" s="102">
        <f t="shared" si="32"/>
        <v>0</v>
      </c>
      <c r="BV66" s="20">
        <f>IF(AND(BU4=0,BU66&gt;=0), "",BU66/BU4)</f>
        <v>0</v>
      </c>
      <c r="BW66" s="37">
        <f>IF(AND(BU124=0,BU66&gt;=0),"",BU66/BU124)</f>
        <v>0</v>
      </c>
      <c r="BX66" s="103">
        <f t="shared" si="33"/>
        <v>0</v>
      </c>
      <c r="BY66" s="20" t="str">
        <f>IF(AND(BX4=0,BX66&gt;=0), "",BX66/BX4)</f>
        <v/>
      </c>
      <c r="BZ66" s="37" t="str">
        <f t="shared" si="11"/>
        <v/>
      </c>
      <c r="CA66" s="101">
        <f>+'N EERR RODEO'!L91+'N EERR RODEO'!L92</f>
        <v>0</v>
      </c>
      <c r="CB66" s="20" t="str">
        <f>IF(AND(CA4=0,CA66&gt;=0), "",CA66/CA4)</f>
        <v/>
      </c>
      <c r="CC66" s="37" t="str">
        <f>IF(AND(CA124=0,CA66&gt;=0),"",CA66/CA124)</f>
        <v/>
      </c>
      <c r="CD66" s="20" t="str">
        <f t="shared" si="26"/>
        <v/>
      </c>
      <c r="CE66" s="102">
        <f t="shared" si="34"/>
        <v>0</v>
      </c>
      <c r="CF66" s="20">
        <f>IF(AND(CE4=0,CE66&gt;=0), "",CE66/CE4)</f>
        <v>0</v>
      </c>
      <c r="CG66" s="37">
        <f>IF(AND(CE124=0,CE66&gt;=0),"",CE66/CE124)</f>
        <v>0</v>
      </c>
      <c r="CH66" s="101">
        <f>+'N EERR RODEO'!M91+'N EERR RODEO'!M92</f>
        <v>0</v>
      </c>
      <c r="CI66" s="20" t="str">
        <f>IF(AND(CH4=0,CH66&gt;=0), "",CH66/CH4)</f>
        <v/>
      </c>
      <c r="CJ66" s="37" t="str">
        <f>IF(AND(CH124=0,CH66&gt;=0),"",CH66/CH124)</f>
        <v/>
      </c>
      <c r="CK66" s="20" t="str">
        <f t="shared" si="13"/>
        <v/>
      </c>
      <c r="CL66" s="102">
        <f t="shared" si="35"/>
        <v>0</v>
      </c>
      <c r="CM66" s="20">
        <f>IF(AND(CL4=0,CL66&gt;=0), "",CL66/CL4)</f>
        <v>0</v>
      </c>
      <c r="CN66" s="37">
        <f>IF(AND(CL124=0,CL66&gt;=0),"",CL66/CL124)</f>
        <v>0</v>
      </c>
      <c r="CO66" s="101">
        <f>+'N EERR RODEO'!N91+'N EERR RODEO'!N92</f>
        <v>0</v>
      </c>
      <c r="CP66" s="20" t="str">
        <f>IF(AND(CO4=0,CO66&gt;=0), "",CO66/CO4)</f>
        <v/>
      </c>
      <c r="CQ66" s="37" t="str">
        <f>IF(AND(CO124=0,CO66&gt;=0),"",CO66/CO124)</f>
        <v/>
      </c>
      <c r="CR66" s="20" t="str">
        <f t="shared" si="14"/>
        <v/>
      </c>
      <c r="CS66" s="102">
        <f t="shared" si="36"/>
        <v>0</v>
      </c>
      <c r="CT66" s="20">
        <f>IF(AND(CS4=0,CS66&gt;=0), "",CS66/CS4)</f>
        <v>0</v>
      </c>
      <c r="CU66" s="37">
        <f>IF(AND(CS124=0,CS66&gt;=0),"",CS66/CS124)</f>
        <v>0</v>
      </c>
      <c r="CV66" s="103">
        <f t="shared" si="37"/>
        <v>0</v>
      </c>
      <c r="CW66" s="20" t="str">
        <f>IF(AND(CV4=0,CV66&gt;=0), "",CV66/CV4)</f>
        <v/>
      </c>
      <c r="CX66" s="37" t="str">
        <f t="shared" si="15"/>
        <v/>
      </c>
    </row>
    <row r="67" spans="1:102" outlineLevel="1" x14ac:dyDescent="0.25">
      <c r="A67" s="19"/>
      <c r="B67" s="101"/>
      <c r="C67" s="20"/>
      <c r="D67" s="36"/>
      <c r="E67" s="101"/>
      <c r="F67" s="20"/>
      <c r="G67" s="36"/>
      <c r="H67" s="101"/>
      <c r="I67" s="20"/>
      <c r="J67" s="36"/>
      <c r="K67" s="22" t="str">
        <f t="shared" si="19"/>
        <v/>
      </c>
      <c r="M67" s="20"/>
      <c r="N67" s="36"/>
      <c r="O67" s="101"/>
      <c r="P67" s="20"/>
      <c r="Q67" s="36"/>
      <c r="R67" s="22" t="str">
        <f t="shared" si="20"/>
        <v/>
      </c>
      <c r="T67" s="20"/>
      <c r="U67" s="36"/>
      <c r="V67" s="103"/>
      <c r="W67" s="20"/>
      <c r="X67" s="79" t="str">
        <f t="shared" si="21"/>
        <v/>
      </c>
      <c r="Y67" s="101"/>
      <c r="Z67" s="20"/>
      <c r="AA67" s="36"/>
      <c r="AB67" s="22" t="str">
        <f t="shared" si="22"/>
        <v/>
      </c>
      <c r="AD67" s="20"/>
      <c r="AE67" s="36"/>
      <c r="AF67" s="101"/>
      <c r="AG67" s="20"/>
      <c r="AH67" s="36"/>
      <c r="AI67" s="22" t="str">
        <f t="shared" si="4"/>
        <v/>
      </c>
      <c r="AJ67" s="102">
        <f t="shared" si="16"/>
        <v>0</v>
      </c>
      <c r="AK67" s="20"/>
      <c r="AL67" s="36"/>
      <c r="AM67" s="101"/>
      <c r="AN67" s="20"/>
      <c r="AO67" s="36"/>
      <c r="AP67" s="22" t="str">
        <f t="shared" si="5"/>
        <v/>
      </c>
      <c r="AQ67" s="102">
        <f t="shared" si="17"/>
        <v>0</v>
      </c>
      <c r="AR67" s="20"/>
      <c r="AS67" s="36"/>
      <c r="AT67" s="103">
        <f t="shared" si="28"/>
        <v>0</v>
      </c>
      <c r="AU67" s="20"/>
      <c r="AV67" s="79" t="str">
        <f t="shared" si="23"/>
        <v/>
      </c>
      <c r="AW67" s="103">
        <f t="shared" si="40"/>
        <v>0</v>
      </c>
      <c r="AX67" s="20"/>
      <c r="AY67" s="36"/>
      <c r="AZ67" s="103">
        <f t="shared" si="29"/>
        <v>0</v>
      </c>
      <c r="BA67" s="20"/>
      <c r="BB67" s="79" t="str">
        <f t="shared" si="24"/>
        <v/>
      </c>
      <c r="BC67" s="101"/>
      <c r="BD67" s="20"/>
      <c r="BE67" s="36"/>
      <c r="BF67" s="22" t="str">
        <f t="shared" si="25"/>
        <v/>
      </c>
      <c r="BG67" s="102">
        <f t="shared" si="30"/>
        <v>0</v>
      </c>
      <c r="BH67" s="20"/>
      <c r="BI67" s="36"/>
      <c r="BJ67" s="101"/>
      <c r="BK67" s="20"/>
      <c r="BL67" s="36"/>
      <c r="BM67" s="22" t="str">
        <f t="shared" si="9"/>
        <v/>
      </c>
      <c r="BN67" s="102">
        <f t="shared" si="31"/>
        <v>0</v>
      </c>
      <c r="BO67" s="20"/>
      <c r="BP67" s="36"/>
      <c r="BQ67" s="101"/>
      <c r="BR67" s="20"/>
      <c r="BS67" s="36"/>
      <c r="BT67" s="22" t="str">
        <f t="shared" si="10"/>
        <v/>
      </c>
      <c r="BU67" s="102">
        <f t="shared" si="32"/>
        <v>0</v>
      </c>
      <c r="BV67" s="20"/>
      <c r="BW67" s="36"/>
      <c r="BX67" s="103">
        <f t="shared" si="33"/>
        <v>0</v>
      </c>
      <c r="BY67" s="20"/>
      <c r="BZ67" s="79" t="str">
        <f t="shared" si="11"/>
        <v/>
      </c>
      <c r="CA67" s="101"/>
      <c r="CB67" s="20"/>
      <c r="CC67" s="36"/>
      <c r="CD67" s="22" t="str">
        <f t="shared" si="26"/>
        <v/>
      </c>
      <c r="CF67" s="20"/>
      <c r="CG67" s="36"/>
      <c r="CH67" s="101"/>
      <c r="CI67" s="20"/>
      <c r="CJ67" s="36"/>
      <c r="CK67" s="22" t="str">
        <f t="shared" si="13"/>
        <v/>
      </c>
      <c r="CL67" s="102">
        <f t="shared" si="35"/>
        <v>0</v>
      </c>
      <c r="CM67" s="20"/>
      <c r="CN67" s="36"/>
      <c r="CO67" s="101"/>
      <c r="CP67" s="20"/>
      <c r="CQ67" s="36"/>
      <c r="CR67" s="22" t="str">
        <f t="shared" si="14"/>
        <v/>
      </c>
      <c r="CS67" s="102">
        <f t="shared" si="36"/>
        <v>0</v>
      </c>
      <c r="CT67" s="20"/>
      <c r="CU67" s="36"/>
      <c r="CV67" s="103">
        <f t="shared" si="37"/>
        <v>0</v>
      </c>
      <c r="CW67" s="20"/>
      <c r="CX67" s="79" t="str">
        <f t="shared" si="15"/>
        <v/>
      </c>
    </row>
    <row r="68" spans="1:102" s="5" customFormat="1" x14ac:dyDescent="0.25">
      <c r="A68" s="27" t="s">
        <v>62</v>
      </c>
      <c r="B68" s="98">
        <f>SUM(B69:B82)</f>
        <v>0</v>
      </c>
      <c r="C68" s="28" t="str">
        <f>IF(AND(B4=0,B68&gt;=0), "",B68/B4)</f>
        <v/>
      </c>
      <c r="D68" s="33" t="str">
        <f>IF(AND(B124=0,B68&gt;=0),"",B68/B124)</f>
        <v/>
      </c>
      <c r="E68" s="98">
        <f>SUM(E69:E82)</f>
        <v>2123.88</v>
      </c>
      <c r="F68" s="28">
        <f>IF(AND(E4=0,E68&gt;=0), "",E68/E4)</f>
        <v>4.4309320733531769E-2</v>
      </c>
      <c r="G68" s="33">
        <f>IF(AND(E124=0,E68&gt;=0),"",E68/E124)</f>
        <v>6.8590118912404116E-2</v>
      </c>
      <c r="H68" s="98">
        <f>SUM(H69:H82)</f>
        <v>2164.75</v>
      </c>
      <c r="I68" s="28">
        <f>IF(AND(H4=0,H68&gt;=0), "",H68/H4)</f>
        <v>4.2047827789501162E-2</v>
      </c>
      <c r="J68" s="33">
        <f>IF(AND(H124=0,H68&gt;=0),"",H68/H124)</f>
        <v>0.1119619709444527</v>
      </c>
      <c r="K68" s="28">
        <f t="shared" si="19"/>
        <v>1.9243083413375467E-2</v>
      </c>
      <c r="L68" s="99">
        <f>SUM(L69:L82)</f>
        <v>4288.63</v>
      </c>
      <c r="M68" s="28">
        <f>IF(AND(L4=0,L68&gt;=0), "",L68/L4)</f>
        <v>4.3138196873000509E-2</v>
      </c>
      <c r="N68" s="33">
        <f>IF(AND(L124=0,L68&gt;=0),"",L68/L124)</f>
        <v>8.5261881330828349E-2</v>
      </c>
      <c r="O68" s="98">
        <f>SUM(O69:O82)</f>
        <v>2648.6800000000003</v>
      </c>
      <c r="P68" s="28">
        <f>IF(AND(O4=0,O68&gt;=0), "",O68/O4)</f>
        <v>4.1317077386298799E-2</v>
      </c>
      <c r="Q68" s="33">
        <f>IF(AND(O124=0,O68&gt;=0),"",O68/O124)</f>
        <v>0.10212030292024556</v>
      </c>
      <c r="R68" s="28">
        <f t="shared" si="20"/>
        <v>0.22355006351772735</v>
      </c>
      <c r="S68" s="99">
        <f>SUM(S69:S82)</f>
        <v>6937.31</v>
      </c>
      <c r="T68" s="28">
        <f>IF(AND(S4=0,S68&gt;=0), "",S68/S4)</f>
        <v>4.2424257249395726E-2</v>
      </c>
      <c r="U68" s="33">
        <f>IF(AND(S124=0,S68&gt;=0),"",S68/S124)</f>
        <v>9.099739284509388E-2</v>
      </c>
      <c r="V68" s="100">
        <f>SUM(V69:V82)</f>
        <v>0</v>
      </c>
      <c r="W68" s="28" t="str">
        <f>IF(AND(V4=0,V68&gt;=0), "",V68/V4)</f>
        <v/>
      </c>
      <c r="X68" s="78">
        <f t="shared" si="21"/>
        <v>1</v>
      </c>
      <c r="Y68" s="98">
        <f>SUM(Y69:Y82)</f>
        <v>0</v>
      </c>
      <c r="Z68" s="28" t="str">
        <f>IF(AND(Y4=0,Y68&gt;=0), "",Y68/Y4)</f>
        <v/>
      </c>
      <c r="AA68" s="33" t="str">
        <f>IF(AND(Y124=0,Y68&gt;=0),"",Y68/Y124)</f>
        <v/>
      </c>
      <c r="AB68" s="28">
        <f t="shared" si="22"/>
        <v>-1</v>
      </c>
      <c r="AC68" s="99">
        <f>SUM(AC69:AC82)</f>
        <v>6937.31</v>
      </c>
      <c r="AD68" s="28">
        <f>IF(AND(AC4=0,AC68&gt;=0), "",AC68/AC4)</f>
        <v>4.2424257249395726E-2</v>
      </c>
      <c r="AE68" s="33">
        <f>IF(AND(AC124=0,AC68&gt;=0),"",AC68/AC124)</f>
        <v>9.099739284509388E-2</v>
      </c>
      <c r="AF68" s="98">
        <f>SUM(AF69:AF82)</f>
        <v>0</v>
      </c>
      <c r="AG68" s="28" t="str">
        <f>IF(AND(AF4=0,AF68&gt;=0), "",AF68/AF4)</f>
        <v/>
      </c>
      <c r="AH68" s="33" t="str">
        <f>IF(AND(AF124=0,AF68&gt;=0),"",AF68/AF124)</f>
        <v/>
      </c>
      <c r="AI68" s="28" t="str">
        <f t="shared" ref="AI68:AI131" si="41">IF(AND(Y68=0,AF68&gt;0),100%,IF(AND(Y68&lt;0,AF68=0),(Y68-AF68)/Y68,IF(AND(Y68&gt;0,AF68&gt;0),(AF68-Y68)/Y68,IF(AND(Y68=0,AF68=0),"",(AF68-Y68)/Y68))))</f>
        <v/>
      </c>
      <c r="AJ68" s="99">
        <f>SUM(AJ69:AJ82)</f>
        <v>6937.31</v>
      </c>
      <c r="AK68" s="28">
        <f>IF(AND(AJ4=0,AJ68&gt;=0), "",AJ68/AJ4)</f>
        <v>4.2424257249395726E-2</v>
      </c>
      <c r="AL68" s="33">
        <f>IF(AND(AJ124=0,AJ68&gt;=0),"",AJ68/AJ124)</f>
        <v>9.099739284509388E-2</v>
      </c>
      <c r="AM68" s="98">
        <f>SUM(AM69:AM82)</f>
        <v>0</v>
      </c>
      <c r="AN68" s="28" t="str">
        <f>IF(AND(AM4=0,AM68&gt;=0), "",AM68/AM4)</f>
        <v/>
      </c>
      <c r="AO68" s="33" t="str">
        <f>IF(AND(AM124=0,AM68&gt;=0),"",AM68/AM124)</f>
        <v/>
      </c>
      <c r="AP68" s="28" t="str">
        <f t="shared" ref="AP68:AP131" si="42">IF(AND(AF68=0,AM68&gt;0),100%,IF(AND(AF68&lt;0,AM68=0),(AF68-AM68)/AF68,IF(AND(AF68&gt;0,AM68&gt;0),(AM68-AF68)/AF68,IF(AND(AF68=0,AM68=0),"",(AM68-AF68)/AF68))))</f>
        <v/>
      </c>
      <c r="AQ68" s="99">
        <f>SUM(AQ69:AQ82)</f>
        <v>6937.31</v>
      </c>
      <c r="AR68" s="28">
        <f>IF(AND(AQ4=0,AQ68&gt;=0), "",AQ68/AQ4)</f>
        <v>4.2424257249395726E-2</v>
      </c>
      <c r="AS68" s="33">
        <f>IF(AND(AQ124=0,AQ68&gt;=0),"",AQ68/AQ124)</f>
        <v>9.099739284509388E-2</v>
      </c>
      <c r="AT68" s="100">
        <f>SUM(AT69:AT82)</f>
        <v>0</v>
      </c>
      <c r="AU68" s="28" t="str">
        <f>IF(AND(AT4=0,AT68&gt;=0), "",AT68/AT4)</f>
        <v/>
      </c>
      <c r="AV68" s="78">
        <f t="shared" si="23"/>
        <v>1</v>
      </c>
      <c r="AW68" s="100">
        <f>SUM(AW69:AW82)</f>
        <v>1156.2183333333332</v>
      </c>
      <c r="AX68" s="28">
        <f>IF(AND(AW4=0,AW68&gt;=0), "",AW68/AW4)</f>
        <v>4.2424257249395726E-2</v>
      </c>
      <c r="AY68" s="33">
        <f>IF(AND(AW124=0,AW68&gt;=0),"",AW68/AW124)</f>
        <v>9.0997392845093866E-2</v>
      </c>
      <c r="AZ68" s="100">
        <f>SUM(AZ69:AZ82)</f>
        <v>0</v>
      </c>
      <c r="BA68" s="28" t="str">
        <f>IF(AND(AZ4=0,AZ68&gt;=0), "",AZ68/AZ4)</f>
        <v/>
      </c>
      <c r="BB68" s="78">
        <f t="shared" si="24"/>
        <v>1</v>
      </c>
      <c r="BC68" s="98">
        <f>SUM(BC69:BC82)</f>
        <v>0</v>
      </c>
      <c r="BD68" s="28" t="str">
        <f>IF(AND(BC4=0,BC68&gt;=0), "",BC68/BC4)</f>
        <v/>
      </c>
      <c r="BE68" s="33" t="str">
        <f>IF(AND(BC124=0,BC68&gt;=0),"",BC68/BC124)</f>
        <v/>
      </c>
      <c r="BF68" s="28" t="str">
        <f t="shared" si="25"/>
        <v/>
      </c>
      <c r="BG68" s="99">
        <f>SUM(BG69:BG82)</f>
        <v>6937.31</v>
      </c>
      <c r="BH68" s="28">
        <f>IF(AND(BG4=0,BG68&gt;=0), "",BG68/BG4)</f>
        <v>4.2424257249395726E-2</v>
      </c>
      <c r="BI68" s="33">
        <f>IF(AND(BG124=0,BG68&gt;=0),"",BG68/BG124)</f>
        <v>9.099739284509388E-2</v>
      </c>
      <c r="BJ68" s="98">
        <f>SUM(BJ69:BJ82)</f>
        <v>0</v>
      </c>
      <c r="BK68" s="28" t="str">
        <f>IF(AND(BJ4=0,BJ68&gt;=0), "",BJ68/BJ4)</f>
        <v/>
      </c>
      <c r="BL68" s="33" t="str">
        <f>IF(AND(BJ124=0,BJ68&gt;=0),"",BJ68/BJ124)</f>
        <v/>
      </c>
      <c r="BM68" s="28" t="str">
        <f t="shared" ref="BM68:BM131" si="43">IF(AND(BC68=0,BJ68&gt;0),100%,IF(AND(BC68&lt;0,BJ68=0),(BC68-BJ68)/BC68,IF(AND(BC68&gt;0,BJ68&gt;0),(BJ68-BC68)/BC68,IF(AND(BC68=0,BJ68=0),"",(BJ68-BC68)/BC68))))</f>
        <v/>
      </c>
      <c r="BN68" s="99">
        <f>SUM(BN69:BN82)</f>
        <v>6937.31</v>
      </c>
      <c r="BO68" s="28">
        <f>IF(AND(BN4=0,BN68&gt;=0), "",BN68/BN4)</f>
        <v>4.2424257249395726E-2</v>
      </c>
      <c r="BP68" s="33">
        <f>IF(AND(BN124=0,BN68&gt;=0),"",BN68/BN124)</f>
        <v>9.099739284509388E-2</v>
      </c>
      <c r="BQ68" s="98">
        <f>SUM(BQ69:BQ82)</f>
        <v>0</v>
      </c>
      <c r="BR68" s="28" t="str">
        <f>IF(AND(BQ4=0,BQ68&gt;=0), "",BQ68/BQ4)</f>
        <v/>
      </c>
      <c r="BS68" s="33" t="str">
        <f>IF(AND(BQ124=0,BQ68&gt;=0),"",BQ68/BQ124)</f>
        <v/>
      </c>
      <c r="BT68" s="28" t="str">
        <f t="shared" ref="BT68:BT131" si="44">IF(AND(BJ68=0,BQ68&gt;0),100%,IF(AND(BJ68&lt;0,BQ68=0),(BJ68-BQ68)/BJ68,IF(AND(BJ68&gt;0,BQ68&gt;0),(BQ68-BJ68)/BJ68,IF(AND(BJ68=0,BQ68=0),"",(BQ68-BJ68)/BJ68))))</f>
        <v/>
      </c>
      <c r="BU68" s="99">
        <f>SUM(BU69:BU82)</f>
        <v>6937.31</v>
      </c>
      <c r="BV68" s="28">
        <f>IF(AND(BU4=0,BU68&gt;=0), "",BU68/BU4)</f>
        <v>4.2424257249395726E-2</v>
      </c>
      <c r="BW68" s="33">
        <f>IF(AND(BU124=0,BU68&gt;=0),"",BU68/BU124)</f>
        <v>9.099739284509388E-2</v>
      </c>
      <c r="BX68" s="100">
        <f>SUM(BX69:BX82)</f>
        <v>0</v>
      </c>
      <c r="BY68" s="28" t="str">
        <f>IF(AND(BX4=0,BX68&gt;=0), "",BX68/BX4)</f>
        <v/>
      </c>
      <c r="BZ68" s="78">
        <f t="shared" ref="BZ68:BZ131" si="45">IF(AND(BX68=0,BU68&gt;0),100%,IF(AND(BX68&lt;0,BU68=0),(BX68-BU68)/BX68,IF(AND(BX68&gt;0,BU68&gt;0),(BU68-BX68)/BX68,IF(AND(BX68=0,BU68=0),"",(BU68-BX68)/BX68))))</f>
        <v>1</v>
      </c>
      <c r="CA68" s="98">
        <f>SUM(CA69:CA82)</f>
        <v>0</v>
      </c>
      <c r="CB68" s="28" t="str">
        <f>IF(AND(CA4=0,CA68&gt;=0), "",CA68/CA4)</f>
        <v/>
      </c>
      <c r="CC68" s="33" t="str">
        <f>IF(AND(CA124=0,CA68&gt;=0),"",CA68/CA124)</f>
        <v/>
      </c>
      <c r="CD68" s="28" t="str">
        <f t="shared" si="26"/>
        <v/>
      </c>
      <c r="CE68" s="99">
        <f>SUM(CE69:CE82)</f>
        <v>6937.31</v>
      </c>
      <c r="CF68" s="28">
        <f>IF(AND(CE4=0,CE68&gt;=0), "",CE68/CE4)</f>
        <v>4.2424257249395726E-2</v>
      </c>
      <c r="CG68" s="33">
        <f>IF(AND(CE124=0,CE68&gt;=0),"",CE68/CE124)</f>
        <v>9.099739284509388E-2</v>
      </c>
      <c r="CH68" s="98">
        <f>SUM(CH69:CH82)</f>
        <v>0</v>
      </c>
      <c r="CI68" s="28" t="str">
        <f>IF(AND(CH4=0,CH68&gt;=0), "",CH68/CH4)</f>
        <v/>
      </c>
      <c r="CJ68" s="33" t="str">
        <f>IF(AND(CH124=0,CH68&gt;=0),"",CH68/CH124)</f>
        <v/>
      </c>
      <c r="CK68" s="28" t="str">
        <f t="shared" ref="CK68:CK131" si="46">IF(AND(CA68=0,CH68&gt;0),100%,IF(AND(CA68&lt;0,CH68=0),(CA68-CH68)/CA68,IF(AND(CA68&gt;0,CH68&gt;0),(CH68-CA68)/CA68,IF(AND(CA68=0,CH68=0),"",(CH68-CA68)/CA68))))</f>
        <v/>
      </c>
      <c r="CL68" s="99">
        <f>SUM(CL69:CL82)</f>
        <v>6937.31</v>
      </c>
      <c r="CM68" s="28">
        <f>IF(AND(CL4=0,CL68&gt;=0), "",CL68/CL4)</f>
        <v>4.2424257249395726E-2</v>
      </c>
      <c r="CN68" s="33">
        <f>IF(AND(CL124=0,CL68&gt;=0),"",CL68/CL124)</f>
        <v>9.099739284509388E-2</v>
      </c>
      <c r="CO68" s="98">
        <f>SUM(CO69:CO82)</f>
        <v>0</v>
      </c>
      <c r="CP68" s="28" t="str">
        <f>IF(AND(CO4=0,CO68&gt;=0), "",CO68/CO4)</f>
        <v/>
      </c>
      <c r="CQ68" s="33" t="str">
        <f>IF(AND(CO124=0,CO68&gt;=0),"",CO68/CO124)</f>
        <v/>
      </c>
      <c r="CR68" s="28" t="str">
        <f t="shared" ref="CR68:CR131" si="47">IF(AND(CH68=0,CO68&gt;0),100%,IF(AND(CH68&lt;0,CO68=0),(CH68-CO68)/CH68,IF(AND(CH68&gt;0,CO68&gt;0),(CO68-CH68)/CH68,IF(AND(CH68=0,CO68=0),"",(CO68-CH68)/CH68))))</f>
        <v/>
      </c>
      <c r="CS68" s="99">
        <f>SUM(CS69:CS82)</f>
        <v>6937.31</v>
      </c>
      <c r="CT68" s="28">
        <f>IF(AND(CS4=0,CS68&gt;=0), "",CS68/CS4)</f>
        <v>4.2424257249395726E-2</v>
      </c>
      <c r="CU68" s="33">
        <f>IF(AND(CS124=0,CS68&gt;=0),"",CS68/CS124)</f>
        <v>9.099739284509388E-2</v>
      </c>
      <c r="CV68" s="100">
        <f>SUM(CV69:CV82)</f>
        <v>0</v>
      </c>
      <c r="CW68" s="28" t="str">
        <f>IF(AND(CV4=0,CV68&gt;=0), "",CV68/CV4)</f>
        <v/>
      </c>
      <c r="CX68" s="78">
        <f t="shared" ref="CX68:CX131" si="48">IF(AND(CV68=0,CS68&gt;0),100%,IF(AND(CV68&lt;0,CS68=0),(CV68-CS68)/CV68,IF(AND(CV68&gt;0,CS68&gt;0),(CS68-CV68)/CV68,IF(AND(CV68=0,CS68=0),"",(CS68-CV68)/CV68))))</f>
        <v>1</v>
      </c>
    </row>
    <row r="69" spans="1:102" hidden="1" outlineLevel="1" x14ac:dyDescent="0.25">
      <c r="A69" s="19" t="s">
        <v>63</v>
      </c>
      <c r="B69" s="101">
        <f>+'N EERR RODEO'!B96+'N EERR RODEO'!B97+'N EERR RODEO'!B98+'N EERR RODEO'!B103+'N EERR RODEO'!B104+'N EERR RODEO'!B101+'N EERR RODEO'!B102</f>
        <v>0</v>
      </c>
      <c r="C69" s="20" t="str">
        <f>IF(AND(B4=0,B69&gt;=0), "",B69/B4)</f>
        <v/>
      </c>
      <c r="D69" s="37" t="str">
        <f>IF(AND(B124=0,B69&gt;=0),"",B69/B124)</f>
        <v/>
      </c>
      <c r="E69" s="101">
        <f>+'N EERR RODEO'!C96+'N EERR RODEO'!C97+'N EERR RODEO'!C98+'N EERR RODEO'!C103+'N EERR RODEO'!C104+'N EERR RODEO'!C101+'N EERR RODEO'!C102</f>
        <v>445.5</v>
      </c>
      <c r="F69" s="20">
        <f>IF(AND(E4=0,E69&gt;=0), "",E69/E4)</f>
        <v>9.2942173695257733E-3</v>
      </c>
      <c r="G69" s="37">
        <f>IF(AND(E124=0,E69&gt;=0),"",E69/E124)</f>
        <v>1.4387299647567676E-2</v>
      </c>
      <c r="H69" s="101">
        <f>+'N EERR RODEO'!D96+'N EERR RODEO'!D97+'N EERR RODEO'!D98+'N EERR RODEO'!D103+'N EERR RODEO'!D104+'N EERR RODEO'!D101+'N EERR RODEO'!D102</f>
        <v>547.9</v>
      </c>
      <c r="I69" s="20">
        <f>IF(AND(H4=0,H69&gt;=0), "",H69/H4)</f>
        <v>1.0642339690896263E-2</v>
      </c>
      <c r="J69" s="37">
        <f>IF(AND(H124=0,H69&gt;=0),"",H69/H124)</f>
        <v>2.8337666649943704E-2</v>
      </c>
      <c r="K69" s="20">
        <f t="shared" si="19"/>
        <v>0.22985409652076313</v>
      </c>
      <c r="L69" s="102">
        <f t="shared" ref="L69:L81" si="49">+E69+H69</f>
        <v>993.4</v>
      </c>
      <c r="M69" s="20">
        <f>IF(AND(L4=0,L69&gt;=0), "",L69/L4)</f>
        <v>9.9923483195423022E-3</v>
      </c>
      <c r="N69" s="37">
        <f>IF(AND(L124=0,L69&gt;=0),"",L69/L124)</f>
        <v>1.9749699301185898E-2</v>
      </c>
      <c r="O69" s="101">
        <f>+'N EERR RODEO'!E96+'N EERR RODEO'!E97+'N EERR RODEO'!E98+'N EERR RODEO'!E103+'N EERR RODEO'!E104+'N EERR RODEO'!E101+'N EERR RODEO'!E102</f>
        <v>529.99</v>
      </c>
      <c r="P69" s="20">
        <f>IF(AND(O4=0,O69&gt;=0), "",O69/O4)</f>
        <v>8.2673776537613066E-3</v>
      </c>
      <c r="Q69" s="37">
        <f>IF(AND(O124=0,O69&gt;=0),"",O69/O124)</f>
        <v>2.0433853596773088E-2</v>
      </c>
      <c r="R69" s="20">
        <f t="shared" si="20"/>
        <v>-3.2688446796860685E-2</v>
      </c>
      <c r="S69" s="102">
        <f t="shared" ref="S69:S81" si="50">+L69+O69</f>
        <v>1523.3899999999999</v>
      </c>
      <c r="T69" s="20">
        <f>IF(AND(S4=0,S69&gt;=0), "",S69/S4)</f>
        <v>9.3161022429669345E-3</v>
      </c>
      <c r="U69" s="37">
        <f>IF(AND(S124=0,S69&gt;=0),"",S69/S124)</f>
        <v>1.9982459813139033E-2</v>
      </c>
      <c r="V69" s="103"/>
      <c r="W69" s="20" t="str">
        <f>IF(AND(V4=0,V69&gt;=0), "",V69/V4)</f>
        <v/>
      </c>
      <c r="X69" s="37">
        <f t="shared" si="21"/>
        <v>1</v>
      </c>
      <c r="Y69" s="101">
        <f>+'N EERR RODEO'!F96+'N EERR RODEO'!F97+'N EERR RODEO'!F98+'N EERR RODEO'!F103+'N EERR RODEO'!F104+'N EERR RODEO'!F101+'N EERR RODEO'!F102</f>
        <v>0</v>
      </c>
      <c r="Z69" s="20" t="str">
        <f>IF(AND(Y4=0,Y69&gt;=0), "",Y69/Y4)</f>
        <v/>
      </c>
      <c r="AA69" s="37" t="str">
        <f>IF(AND(Y124=0,Y69&gt;=0),"",Y69/Y124)</f>
        <v/>
      </c>
      <c r="AB69" s="20">
        <f t="shared" si="22"/>
        <v>-1</v>
      </c>
      <c r="AC69" s="102">
        <f t="shared" ref="AC69:AC81" si="51">+S69+Y69</f>
        <v>1523.3899999999999</v>
      </c>
      <c r="AD69" s="20">
        <f>IF(AND(AC4=0,AC69&gt;=0), "",AC69/AC4)</f>
        <v>9.3161022429669345E-3</v>
      </c>
      <c r="AE69" s="37">
        <f>IF(AND(AC124=0,AC69&gt;=0),"",AC69/AC124)</f>
        <v>1.9982459813139033E-2</v>
      </c>
      <c r="AF69" s="101">
        <f>+'N EERR RODEO'!G96+'N EERR RODEO'!G97+'N EERR RODEO'!G98+'N EERR RODEO'!G103+'N EERR RODEO'!G104+'N EERR RODEO'!G101+'N EERR RODEO'!G102</f>
        <v>0</v>
      </c>
      <c r="AG69" s="20" t="str">
        <f>IF(AND(AF4=0,AF69&gt;=0), "",AF69/AF4)</f>
        <v/>
      </c>
      <c r="AH69" s="37" t="str">
        <f>IF(AND(AF124=0,AF69&gt;=0),"",AF69/AF124)</f>
        <v/>
      </c>
      <c r="AI69" s="20" t="str">
        <f t="shared" si="41"/>
        <v/>
      </c>
      <c r="AJ69" s="102">
        <f t="shared" si="16"/>
        <v>1523.3899999999999</v>
      </c>
      <c r="AK69" s="20">
        <f>IF(AND(AJ4=0,AJ69&gt;=0), "",AJ69/AJ4)</f>
        <v>9.3161022429669345E-3</v>
      </c>
      <c r="AL69" s="37">
        <f>IF(AND(AJ124=0,AJ69&gt;=0),"",AJ69/AJ124)</f>
        <v>1.9982459813139033E-2</v>
      </c>
      <c r="AM69" s="101">
        <f>+'N EERR RODEO'!H96+'N EERR RODEO'!H97+'N EERR RODEO'!H98+'N EERR RODEO'!H103+'N EERR RODEO'!H104+'N EERR RODEO'!H101+'N EERR RODEO'!H102</f>
        <v>0</v>
      </c>
      <c r="AN69" s="20" t="str">
        <f>IF(AND(AM4=0,AM69&gt;=0), "",AM69/AM4)</f>
        <v/>
      </c>
      <c r="AO69" s="37" t="str">
        <f>IF(AND(AM124=0,AM69&gt;=0),"",AM69/AM124)</f>
        <v/>
      </c>
      <c r="AP69" s="20" t="str">
        <f t="shared" si="42"/>
        <v/>
      </c>
      <c r="AQ69" s="102">
        <f t="shared" si="17"/>
        <v>1523.3899999999999</v>
      </c>
      <c r="AR69" s="20">
        <f>IF(AND(AQ4=0,AQ69&gt;=0), "",AQ69/AQ4)</f>
        <v>9.3161022429669345E-3</v>
      </c>
      <c r="AS69" s="37">
        <f>IF(AND(AQ124=0,AQ69&gt;=0),"",AQ69/AQ124)</f>
        <v>1.9982459813139033E-2</v>
      </c>
      <c r="AT69" s="103">
        <f t="shared" ref="AT69:AT82" si="52">+V69*2</f>
        <v>0</v>
      </c>
      <c r="AU69" s="20" t="str">
        <f>IF(AND(AT4=0,AT69&gt;=0), "",AT69/AT4)</f>
        <v/>
      </c>
      <c r="AV69" s="37">
        <f t="shared" si="23"/>
        <v>1</v>
      </c>
      <c r="AW69" s="103">
        <f t="shared" si="40"/>
        <v>253.89833333333331</v>
      </c>
      <c r="AX69" s="20">
        <f>IF(AND(AW4=0,AW69&gt;=0), "",AW69/AW4)</f>
        <v>9.3161022429669345E-3</v>
      </c>
      <c r="AY69" s="37">
        <f>IF(AND(AW124=0,AW69&gt;=0),"",AW69/AW124)</f>
        <v>1.9982459813139033E-2</v>
      </c>
      <c r="AZ69" s="103">
        <f t="shared" ref="AZ69:AZ82" si="53">+AT69/6</f>
        <v>0</v>
      </c>
      <c r="BA69" s="20" t="str">
        <f>IF(AND(AZ4=0,AZ69&gt;=0), "",AZ69/AZ4)</f>
        <v/>
      </c>
      <c r="BB69" s="37">
        <f t="shared" si="24"/>
        <v>1</v>
      </c>
      <c r="BC69" s="101">
        <f>+'N EERR RODEO'!I96+'N EERR RODEO'!I97+'N EERR RODEO'!I98+'N EERR RODEO'!I103+'N EERR RODEO'!I104+'N EERR RODEO'!I101+'N EERR RODEO'!I102</f>
        <v>0</v>
      </c>
      <c r="BD69" s="20" t="str">
        <f>IF(AND(BC4=0,BC69&gt;=0), "",BC69/BC4)</f>
        <v/>
      </c>
      <c r="BE69" s="37" t="str">
        <f>IF(AND(BC124=0,BC69&gt;=0),"",BC69/BC124)</f>
        <v/>
      </c>
      <c r="BF69" s="20" t="str">
        <f t="shared" si="25"/>
        <v/>
      </c>
      <c r="BG69" s="102">
        <f t="shared" ref="BG69:BG82" si="54">+AQ69+BC69</f>
        <v>1523.3899999999999</v>
      </c>
      <c r="BH69" s="20">
        <f>IF(AND(BG4=0,BG69&gt;=0), "",BG69/BG4)</f>
        <v>9.3161022429669345E-3</v>
      </c>
      <c r="BI69" s="37">
        <f>IF(AND(BG124=0,BG69&gt;=0),"",BG69/BG124)</f>
        <v>1.9982459813139033E-2</v>
      </c>
      <c r="BJ69" s="101">
        <f>+'N EERR RODEO'!J96+'N EERR RODEO'!J97+'N EERR RODEO'!J98+'N EERR RODEO'!J103+'N EERR RODEO'!J104+'N EERR RODEO'!J101+'N EERR RODEO'!J102</f>
        <v>0</v>
      </c>
      <c r="BK69" s="20" t="str">
        <f>IF(AND(BJ4=0,BJ69&gt;=0), "",BJ69/BJ4)</f>
        <v/>
      </c>
      <c r="BL69" s="37" t="str">
        <f>IF(AND(BJ124=0,BJ69&gt;=0),"",BJ69/BJ124)</f>
        <v/>
      </c>
      <c r="BM69" s="20" t="str">
        <f t="shared" si="43"/>
        <v/>
      </c>
      <c r="BN69" s="102">
        <f t="shared" ref="BN69:BN82" si="55">+BG69+BJ69</f>
        <v>1523.3899999999999</v>
      </c>
      <c r="BO69" s="20">
        <f>IF(AND(BN4=0,BN69&gt;=0), "",BN69/BN4)</f>
        <v>9.3161022429669345E-3</v>
      </c>
      <c r="BP69" s="37">
        <f>IF(AND(BN124=0,BN69&gt;=0),"",BN69/BN124)</f>
        <v>1.9982459813139033E-2</v>
      </c>
      <c r="BQ69" s="101">
        <f>+'N EERR RODEO'!K96+'N EERR RODEO'!K97+'N EERR RODEO'!K98+'N EERR RODEO'!K103+'N EERR RODEO'!K104+'N EERR RODEO'!K101+'N EERR RODEO'!K102</f>
        <v>0</v>
      </c>
      <c r="BR69" s="20" t="str">
        <f>IF(AND(BQ4=0,BQ69&gt;=0), "",BQ69/BQ4)</f>
        <v/>
      </c>
      <c r="BS69" s="37" t="str">
        <f>IF(AND(BQ124=0,BQ69&gt;=0),"",BQ69/BQ124)</f>
        <v/>
      </c>
      <c r="BT69" s="20" t="str">
        <f t="shared" si="44"/>
        <v/>
      </c>
      <c r="BU69" s="102">
        <f t="shared" ref="BU69:BU82" si="56">+BN69+BQ69</f>
        <v>1523.3899999999999</v>
      </c>
      <c r="BV69" s="20">
        <f>IF(AND(BU4=0,BU69&gt;=0), "",BU69/BU4)</f>
        <v>9.3161022429669345E-3</v>
      </c>
      <c r="BW69" s="37">
        <f>IF(AND(BU124=0,BU69&gt;=0),"",BU69/BU124)</f>
        <v>1.9982459813139033E-2</v>
      </c>
      <c r="BX69" s="103">
        <f t="shared" ref="BX69:BX82" si="57">+AZ69*9</f>
        <v>0</v>
      </c>
      <c r="BY69" s="20" t="str">
        <f>IF(AND(BX4=0,BX69&gt;=0), "",BX69/BX4)</f>
        <v/>
      </c>
      <c r="BZ69" s="37">
        <f t="shared" si="45"/>
        <v>1</v>
      </c>
      <c r="CA69" s="101">
        <f>+'N EERR RODEO'!L96+'N EERR RODEO'!L97+'N EERR RODEO'!L98+'N EERR RODEO'!L103+'N EERR RODEO'!L104+'N EERR RODEO'!L101+'N EERR RODEO'!L102</f>
        <v>0</v>
      </c>
      <c r="CB69" s="20" t="str">
        <f>IF(AND(CA4=0,CA69&gt;=0), "",CA69/CA4)</f>
        <v/>
      </c>
      <c r="CC69" s="37" t="str">
        <f>IF(AND(CA124=0,CA69&gt;=0),"",CA69/CA124)</f>
        <v/>
      </c>
      <c r="CD69" s="20" t="str">
        <f t="shared" si="26"/>
        <v/>
      </c>
      <c r="CE69" s="102">
        <f t="shared" ref="CE69:CE81" si="58">+BU69+CA69</f>
        <v>1523.3899999999999</v>
      </c>
      <c r="CF69" s="20">
        <f>IF(AND(CE4=0,CE69&gt;=0), "",CE69/CE4)</f>
        <v>9.3161022429669345E-3</v>
      </c>
      <c r="CG69" s="37">
        <f>IF(AND(CE124=0,CE69&gt;=0),"",CE69/CE124)</f>
        <v>1.9982459813139033E-2</v>
      </c>
      <c r="CH69" s="101">
        <f>+'N EERR RODEO'!M96+'N EERR RODEO'!M97+'N EERR RODEO'!M98+'N EERR RODEO'!M103+'N EERR RODEO'!M104+'N EERR RODEO'!M101+'N EERR RODEO'!M102</f>
        <v>0</v>
      </c>
      <c r="CI69" s="20" t="str">
        <f>IF(AND(CH4=0,CH69&gt;=0), "",CH69/CH4)</f>
        <v/>
      </c>
      <c r="CJ69" s="37" t="str">
        <f>IF(AND(CH124=0,CH69&gt;=0),"",CH69/CH124)</f>
        <v/>
      </c>
      <c r="CK69" s="20" t="str">
        <f t="shared" si="46"/>
        <v/>
      </c>
      <c r="CL69" s="102">
        <f t="shared" ref="CL69:CL82" si="59">+CE69+CH69</f>
        <v>1523.3899999999999</v>
      </c>
      <c r="CM69" s="20">
        <f>IF(AND(CL4=0,CL69&gt;=0), "",CL69/CL4)</f>
        <v>9.3161022429669345E-3</v>
      </c>
      <c r="CN69" s="37">
        <f>IF(AND(CL124=0,CL69&gt;=0),"",CL69/CL124)</f>
        <v>1.9982459813139033E-2</v>
      </c>
      <c r="CO69" s="101">
        <f>+'N EERR RODEO'!N96+'N EERR RODEO'!N97+'N EERR RODEO'!N98+'N EERR RODEO'!N103+'N EERR RODEO'!N104+'N EERR RODEO'!N101+'N EERR RODEO'!N102</f>
        <v>0</v>
      </c>
      <c r="CP69" s="20" t="str">
        <f>IF(AND(CO4=0,CO69&gt;=0), "",CO69/CO4)</f>
        <v/>
      </c>
      <c r="CQ69" s="37" t="str">
        <f>IF(AND(CO124=0,CO69&gt;=0),"",CO69/CO124)</f>
        <v/>
      </c>
      <c r="CR69" s="20" t="str">
        <f t="shared" si="47"/>
        <v/>
      </c>
      <c r="CS69" s="102">
        <f t="shared" ref="CS69:CS82" si="60">+CL69+CO69</f>
        <v>1523.3899999999999</v>
      </c>
      <c r="CT69" s="20">
        <f>IF(AND(CS4=0,CS69&gt;=0), "",CS69/CS4)</f>
        <v>9.3161022429669345E-3</v>
      </c>
      <c r="CU69" s="37">
        <f>IF(AND(CS124=0,CS69&gt;=0),"",CS69/CS124)</f>
        <v>1.9982459813139033E-2</v>
      </c>
      <c r="CV69" s="103">
        <f t="shared" ref="CV69:CV82" si="61">+AZ69*12</f>
        <v>0</v>
      </c>
      <c r="CW69" s="20" t="str">
        <f>IF(AND(CV4=0,CV69&gt;=0), "",CV69/CV4)</f>
        <v/>
      </c>
      <c r="CX69" s="37">
        <f t="shared" si="48"/>
        <v>1</v>
      </c>
    </row>
    <row r="70" spans="1:102" hidden="1" outlineLevel="1" x14ac:dyDescent="0.25">
      <c r="A70" s="19" t="s">
        <v>69</v>
      </c>
      <c r="B70" s="101">
        <f>+'N EERR RODEO'!B99+'N EERR RODEO'!B100+'N EERR RODEO'!B105+'N EERR RODEO'!B106+'N EERR RODEO'!B107</f>
        <v>0</v>
      </c>
      <c r="C70" s="20" t="str">
        <f>IF(AND(B4=0,B70&gt;=0), "",B70/B4)</f>
        <v/>
      </c>
      <c r="D70" s="37" t="str">
        <f>IF(AND(B124=0,B70&gt;=0),"",B70/B124)</f>
        <v/>
      </c>
      <c r="E70" s="101">
        <f>+'N EERR RODEO'!C99+'N EERR RODEO'!C100+'N EERR RODEO'!C105+'N EERR RODEO'!C106+'N EERR RODEO'!C107</f>
        <v>906.5</v>
      </c>
      <c r="F70" s="20">
        <f>IF(AND(E4=0,E70&gt;=0), "",E70/E4)</f>
        <v>1.8911802571212378E-2</v>
      </c>
      <c r="G70" s="37">
        <f>IF(AND(E124=0,E70&gt;=0),"",E70/E124)</f>
        <v>2.9275167520808301E-2</v>
      </c>
      <c r="H70" s="101">
        <f>+'N EERR RODEO'!D99+'N EERR RODEO'!D100+'N EERR RODEO'!D105+'N EERR RODEO'!D106+'N EERR RODEO'!D107</f>
        <v>1276.3499999999999</v>
      </c>
      <c r="I70" s="20">
        <f>IF(AND(H4=0,H70&gt;=0), "",H70/H4)</f>
        <v>2.4791659544580114E-2</v>
      </c>
      <c r="J70" s="37">
        <f>IF(AND(H124=0,H70&gt;=0),"",H70/H124)</f>
        <v>6.601347112366425E-2</v>
      </c>
      <c r="K70" s="20">
        <f t="shared" si="19"/>
        <v>0.40799779371207934</v>
      </c>
      <c r="L70" s="102">
        <f t="shared" si="49"/>
        <v>2182.85</v>
      </c>
      <c r="M70" s="20">
        <f>IF(AND(L4=0,L70&gt;=0), "",L70/L4)</f>
        <v>2.195671182737358E-2</v>
      </c>
      <c r="N70" s="37">
        <f>IF(AND(L124=0,L70&gt;=0),"",L70/L124)</f>
        <v>4.3397051660553292E-2</v>
      </c>
      <c r="O70" s="101">
        <f>+'N EERR RODEO'!E99+'N EERR RODEO'!E100+'N EERR RODEO'!E105+'N EERR RODEO'!E106+'N EERR RODEO'!E107</f>
        <v>1454.18</v>
      </c>
      <c r="P70" s="20">
        <f>IF(AND(O4=0,O70&gt;=0), "",O70/O4)</f>
        <v>2.2683928444964276E-2</v>
      </c>
      <c r="Q70" s="37">
        <f>IF(AND(O124=0,O70&gt;=0),"",O70/O124)</f>
        <v>5.606615449981224E-2</v>
      </c>
      <c r="R70" s="20">
        <f t="shared" si="20"/>
        <v>0.13932698711168578</v>
      </c>
      <c r="S70" s="102">
        <f t="shared" si="50"/>
        <v>3637.0299999999997</v>
      </c>
      <c r="T70" s="20">
        <f>IF(AND(S4=0,S70&gt;=0), "",S70/S4)</f>
        <v>2.2241805014302334E-2</v>
      </c>
      <c r="U70" s="37">
        <f>IF(AND(S124=0,S70&gt;=0),"",S70/S124)</f>
        <v>4.7707288228346689E-2</v>
      </c>
      <c r="V70" s="103"/>
      <c r="W70" s="20" t="str">
        <f>IF(AND(V4=0,V70&gt;=0), "",V70/V4)</f>
        <v/>
      </c>
      <c r="X70" s="37">
        <f t="shared" si="21"/>
        <v>1</v>
      </c>
      <c r="Y70" s="101">
        <f>+'N EERR RODEO'!F99+'N EERR RODEO'!F100+'N EERR RODEO'!F105+'N EERR RODEO'!F106+'N EERR RODEO'!F107</f>
        <v>0</v>
      </c>
      <c r="Z70" s="20" t="str">
        <f>IF(AND(Y4=0,Y70&gt;=0), "",Y70/Y4)</f>
        <v/>
      </c>
      <c r="AA70" s="37" t="str">
        <f>IF(AND(Y124=0,Y70&gt;=0),"",Y70/Y124)</f>
        <v/>
      </c>
      <c r="AB70" s="20">
        <f t="shared" si="22"/>
        <v>-1</v>
      </c>
      <c r="AC70" s="102">
        <f t="shared" si="51"/>
        <v>3637.0299999999997</v>
      </c>
      <c r="AD70" s="20">
        <f>IF(AND(AC4=0,AC70&gt;=0), "",AC70/AC4)</f>
        <v>2.2241805014302334E-2</v>
      </c>
      <c r="AE70" s="37">
        <f>IF(AND(AC124=0,AC70&gt;=0),"",AC70/AC124)</f>
        <v>4.7707288228346689E-2</v>
      </c>
      <c r="AF70" s="101">
        <f>+'N EERR RODEO'!G99+'N EERR RODEO'!G100+'N EERR RODEO'!G105+'N EERR RODEO'!G106+'N EERR RODEO'!G107</f>
        <v>0</v>
      </c>
      <c r="AG70" s="20" t="str">
        <f>IF(AND(AF4=0,AF70&gt;=0), "",AF70/AF4)</f>
        <v/>
      </c>
      <c r="AH70" s="37" t="str">
        <f>IF(AND(AF124=0,AF70&gt;=0),"",AF70/AF124)</f>
        <v/>
      </c>
      <c r="AI70" s="20" t="str">
        <f t="shared" si="41"/>
        <v/>
      </c>
      <c r="AJ70" s="102">
        <f t="shared" si="16"/>
        <v>3637.0299999999997</v>
      </c>
      <c r="AK70" s="20">
        <f>IF(AND(AJ4=0,AJ70&gt;=0), "",AJ70/AJ4)</f>
        <v>2.2241805014302334E-2</v>
      </c>
      <c r="AL70" s="37">
        <f>IF(AND(AJ124=0,AJ70&gt;=0),"",AJ70/AJ124)</f>
        <v>4.7707288228346689E-2</v>
      </c>
      <c r="AM70" s="101">
        <f>+'N EERR RODEO'!H99+'N EERR RODEO'!H100+'N EERR RODEO'!H105+'N EERR RODEO'!H106+'N EERR RODEO'!H107</f>
        <v>0</v>
      </c>
      <c r="AN70" s="20" t="str">
        <f>IF(AND(AM4=0,AM70&gt;=0), "",AM70/AM4)</f>
        <v/>
      </c>
      <c r="AO70" s="37" t="str">
        <f>IF(AND(AM124=0,AM70&gt;=0),"",AM70/AM124)</f>
        <v/>
      </c>
      <c r="AP70" s="20" t="str">
        <f t="shared" si="42"/>
        <v/>
      </c>
      <c r="AQ70" s="102">
        <f t="shared" si="17"/>
        <v>3637.0299999999997</v>
      </c>
      <c r="AR70" s="20">
        <f>IF(AND(AQ4=0,AQ70&gt;=0), "",AQ70/AQ4)</f>
        <v>2.2241805014302334E-2</v>
      </c>
      <c r="AS70" s="37">
        <f>IF(AND(AQ124=0,AQ70&gt;=0),"",AQ70/AQ124)</f>
        <v>4.7707288228346689E-2</v>
      </c>
      <c r="AT70" s="103">
        <f t="shared" si="52"/>
        <v>0</v>
      </c>
      <c r="AU70" s="20" t="str">
        <f>IF(AND(AT4=0,AT70&gt;=0), "",AT70/AT4)</f>
        <v/>
      </c>
      <c r="AV70" s="37">
        <f t="shared" si="23"/>
        <v>1</v>
      </c>
      <c r="AW70" s="103">
        <f t="shared" si="40"/>
        <v>606.17166666666662</v>
      </c>
      <c r="AX70" s="20">
        <f>IF(AND(AW4=0,AW70&gt;=0), "",AW70/AW4)</f>
        <v>2.2241805014302334E-2</v>
      </c>
      <c r="AY70" s="37">
        <f>IF(AND(AW124=0,AW70&gt;=0),"",AW70/AW124)</f>
        <v>4.7707288228346682E-2</v>
      </c>
      <c r="AZ70" s="103">
        <f t="shared" si="53"/>
        <v>0</v>
      </c>
      <c r="BA70" s="20" t="str">
        <f>IF(AND(AZ4=0,AZ70&gt;=0), "",AZ70/AZ4)</f>
        <v/>
      </c>
      <c r="BB70" s="37">
        <f t="shared" si="24"/>
        <v>1</v>
      </c>
      <c r="BC70" s="101">
        <f>+'N EERR RODEO'!I99+'N EERR RODEO'!I100+'N EERR RODEO'!I105+'N EERR RODEO'!I106+'N EERR RODEO'!I107</f>
        <v>0</v>
      </c>
      <c r="BD70" s="20" t="str">
        <f>IF(AND(BC4=0,BC70&gt;=0), "",BC70/BC4)</f>
        <v/>
      </c>
      <c r="BE70" s="37" t="str">
        <f>IF(AND(BC124=0,BC70&gt;=0),"",BC70/BC124)</f>
        <v/>
      </c>
      <c r="BF70" s="20" t="str">
        <f t="shared" si="25"/>
        <v/>
      </c>
      <c r="BG70" s="102">
        <f t="shared" si="54"/>
        <v>3637.0299999999997</v>
      </c>
      <c r="BH70" s="20">
        <f>IF(AND(BG4=0,BG70&gt;=0), "",BG70/BG4)</f>
        <v>2.2241805014302334E-2</v>
      </c>
      <c r="BI70" s="37">
        <f>IF(AND(BG124=0,BG70&gt;=0),"",BG70/BG124)</f>
        <v>4.7707288228346689E-2</v>
      </c>
      <c r="BJ70" s="101">
        <f>+'N EERR RODEO'!J99+'N EERR RODEO'!J100+'N EERR RODEO'!J105+'N EERR RODEO'!J106+'N EERR RODEO'!J107</f>
        <v>0</v>
      </c>
      <c r="BK70" s="20" t="str">
        <f>IF(AND(BJ4=0,BJ70&gt;=0), "",BJ70/BJ4)</f>
        <v/>
      </c>
      <c r="BL70" s="37" t="str">
        <f>IF(AND(BJ124=0,BJ70&gt;=0),"",BJ70/BJ124)</f>
        <v/>
      </c>
      <c r="BM70" s="20" t="str">
        <f t="shared" si="43"/>
        <v/>
      </c>
      <c r="BN70" s="102">
        <f t="shared" si="55"/>
        <v>3637.0299999999997</v>
      </c>
      <c r="BO70" s="20">
        <f>IF(AND(BN4=0,BN70&gt;=0), "",BN70/BN4)</f>
        <v>2.2241805014302334E-2</v>
      </c>
      <c r="BP70" s="37">
        <f>IF(AND(BN124=0,BN70&gt;=0),"",BN70/BN124)</f>
        <v>4.7707288228346689E-2</v>
      </c>
      <c r="BQ70" s="101">
        <f>+'N EERR RODEO'!K99+'N EERR RODEO'!K100+'N EERR RODEO'!K105+'N EERR RODEO'!K106+'N EERR RODEO'!K107</f>
        <v>0</v>
      </c>
      <c r="BR70" s="20" t="str">
        <f>IF(AND(BQ4=0,BQ70&gt;=0), "",BQ70/BQ4)</f>
        <v/>
      </c>
      <c r="BS70" s="37" t="str">
        <f>IF(AND(BQ124=0,BQ70&gt;=0),"",BQ70/BQ124)</f>
        <v/>
      </c>
      <c r="BT70" s="20" t="str">
        <f t="shared" si="44"/>
        <v/>
      </c>
      <c r="BU70" s="102">
        <f t="shared" si="56"/>
        <v>3637.0299999999997</v>
      </c>
      <c r="BV70" s="20">
        <f>IF(AND(BU4=0,BU70&gt;=0), "",BU70/BU4)</f>
        <v>2.2241805014302334E-2</v>
      </c>
      <c r="BW70" s="37">
        <f>IF(AND(BU124=0,BU70&gt;=0),"",BU70/BU124)</f>
        <v>4.7707288228346689E-2</v>
      </c>
      <c r="BX70" s="103">
        <f t="shared" si="57"/>
        <v>0</v>
      </c>
      <c r="BY70" s="20" t="str">
        <f>IF(AND(BX4=0,BX70&gt;=0), "",BX70/BX4)</f>
        <v/>
      </c>
      <c r="BZ70" s="37">
        <f t="shared" si="45"/>
        <v>1</v>
      </c>
      <c r="CA70" s="101">
        <f>+'N EERR RODEO'!L99+'N EERR RODEO'!L100+'N EERR RODEO'!L105+'N EERR RODEO'!L106+'N EERR RODEO'!L107</f>
        <v>0</v>
      </c>
      <c r="CB70" s="20" t="str">
        <f>IF(AND(CA4=0,CA70&gt;=0), "",CA70/CA4)</f>
        <v/>
      </c>
      <c r="CC70" s="37" t="str">
        <f>IF(AND(CA124=0,CA70&gt;=0),"",CA70/CA124)</f>
        <v/>
      </c>
      <c r="CD70" s="20" t="str">
        <f t="shared" si="26"/>
        <v/>
      </c>
      <c r="CE70" s="102">
        <f t="shared" si="58"/>
        <v>3637.0299999999997</v>
      </c>
      <c r="CF70" s="20">
        <f>IF(AND(CE4=0,CE70&gt;=0), "",CE70/CE4)</f>
        <v>2.2241805014302334E-2</v>
      </c>
      <c r="CG70" s="37">
        <f>IF(AND(CE124=0,CE70&gt;=0),"",CE70/CE124)</f>
        <v>4.7707288228346689E-2</v>
      </c>
      <c r="CH70" s="101">
        <f>+'N EERR RODEO'!M99+'N EERR RODEO'!M100+'N EERR RODEO'!M105+'N EERR RODEO'!M106+'N EERR RODEO'!M107</f>
        <v>0</v>
      </c>
      <c r="CI70" s="20" t="str">
        <f>IF(AND(CH4=0,CH70&gt;=0), "",CH70/CH4)</f>
        <v/>
      </c>
      <c r="CJ70" s="37" t="str">
        <f>IF(AND(CH124=0,CH70&gt;=0),"",CH70/CH124)</f>
        <v/>
      </c>
      <c r="CK70" s="20" t="str">
        <f t="shared" si="46"/>
        <v/>
      </c>
      <c r="CL70" s="102">
        <f t="shared" si="59"/>
        <v>3637.0299999999997</v>
      </c>
      <c r="CM70" s="20">
        <f>IF(AND(CL4=0,CL70&gt;=0), "",CL70/CL4)</f>
        <v>2.2241805014302334E-2</v>
      </c>
      <c r="CN70" s="37">
        <f>IF(AND(CL124=0,CL70&gt;=0),"",CL70/CL124)</f>
        <v>4.7707288228346689E-2</v>
      </c>
      <c r="CO70" s="101">
        <f>+'N EERR RODEO'!N99+'N EERR RODEO'!N100+'N EERR RODEO'!N105+'N EERR RODEO'!N106+'N EERR RODEO'!N107</f>
        <v>0</v>
      </c>
      <c r="CP70" s="20" t="str">
        <f>IF(AND(CO4=0,CO70&gt;=0), "",CO70/CO4)</f>
        <v/>
      </c>
      <c r="CQ70" s="37" t="str">
        <f>IF(AND(CO124=0,CO70&gt;=0),"",CO70/CO124)</f>
        <v/>
      </c>
      <c r="CR70" s="20" t="str">
        <f t="shared" si="47"/>
        <v/>
      </c>
      <c r="CS70" s="102">
        <f t="shared" si="60"/>
        <v>3637.0299999999997</v>
      </c>
      <c r="CT70" s="20">
        <f>IF(AND(CS4=0,CS70&gt;=0), "",CS70/CS4)</f>
        <v>2.2241805014302334E-2</v>
      </c>
      <c r="CU70" s="37">
        <f>IF(AND(CS124=0,CS70&gt;=0),"",CS70/CS124)</f>
        <v>4.7707288228346689E-2</v>
      </c>
      <c r="CV70" s="103">
        <f t="shared" si="61"/>
        <v>0</v>
      </c>
      <c r="CW70" s="20" t="str">
        <f>IF(AND(CV4=0,CV70&gt;=0), "",CV70/CV4)</f>
        <v/>
      </c>
      <c r="CX70" s="37">
        <f t="shared" si="48"/>
        <v>1</v>
      </c>
    </row>
    <row r="71" spans="1:102" hidden="1" outlineLevel="1" x14ac:dyDescent="0.25">
      <c r="A71" s="19" t="s">
        <v>64</v>
      </c>
      <c r="B71" s="101">
        <f>+'N EERR RODEO'!B108</f>
        <v>0</v>
      </c>
      <c r="C71" s="20" t="str">
        <f>IF(AND(B4=0,B71&gt;=0), "",B71/B4)</f>
        <v/>
      </c>
      <c r="D71" s="37" t="str">
        <f>IF(AND(B124=0,B71&gt;=0),"",B71/B124)</f>
        <v/>
      </c>
      <c r="E71" s="101">
        <f>+'N EERR RODEO'!C108</f>
        <v>5</v>
      </c>
      <c r="F71" s="20">
        <f>IF(AND(E4=0,E71&gt;=0), "",E71/E4)</f>
        <v>1.043122039228482E-4</v>
      </c>
      <c r="G71" s="37">
        <f>IF(AND(E124=0,E71&gt;=0),"",E71/E124)</f>
        <v>1.6147362118482239E-4</v>
      </c>
      <c r="H71" s="101">
        <f>+'N EERR RODEO'!D108</f>
        <v>0</v>
      </c>
      <c r="I71" s="20">
        <f>IF(AND(H4=0,H71&gt;=0), "",H71/H4)</f>
        <v>0</v>
      </c>
      <c r="J71" s="37">
        <f>IF(AND(H124=0,H71&gt;=0),"",H71/H124)</f>
        <v>0</v>
      </c>
      <c r="K71" s="20">
        <f t="shared" si="19"/>
        <v>-1</v>
      </c>
      <c r="L71" s="102">
        <f t="shared" si="49"/>
        <v>5</v>
      </c>
      <c r="M71" s="20">
        <f>IF(AND(L4=0,L71&gt;=0), "",L71/L4)</f>
        <v>5.0293679884952198E-5</v>
      </c>
      <c r="N71" s="37">
        <f>IF(AND(L124=0,L71&gt;=0),"",L71/L124)</f>
        <v>9.9404566645791716E-5</v>
      </c>
      <c r="O71" s="101">
        <f>+'N EERR RODEO'!E108</f>
        <v>0</v>
      </c>
      <c r="P71" s="20">
        <f>IF(AND(O4=0,O71&gt;=0), "",O71/O4)</f>
        <v>0</v>
      </c>
      <c r="Q71" s="37">
        <f>IF(AND(O124=0,O71&gt;=0),"",O71/O124)</f>
        <v>0</v>
      </c>
      <c r="R71" s="20" t="str">
        <f t="shared" si="20"/>
        <v/>
      </c>
      <c r="S71" s="102">
        <f t="shared" si="50"/>
        <v>5</v>
      </c>
      <c r="T71" s="20">
        <f>IF(AND(S4=0,S71&gt;=0), "",S71/S4)</f>
        <v>3.05768786816473E-5</v>
      </c>
      <c r="U71" s="37">
        <f>IF(AND(S124=0,S71&gt;=0),"",S71/S124)</f>
        <v>6.5585502770593987E-5</v>
      </c>
      <c r="V71" s="103"/>
      <c r="W71" s="20" t="str">
        <f>IF(AND(V4=0,V71&gt;=0), "",V71/V4)</f>
        <v/>
      </c>
      <c r="X71" s="37">
        <f t="shared" si="21"/>
        <v>1</v>
      </c>
      <c r="Y71" s="101">
        <f>+'N EERR RODEO'!F108</f>
        <v>0</v>
      </c>
      <c r="Z71" s="20" t="str">
        <f>IF(AND(Y4=0,Y71&gt;=0), "",Y71/Y4)</f>
        <v/>
      </c>
      <c r="AA71" s="37" t="str">
        <f>IF(AND(Y124=0,Y71&gt;=0),"",Y71/Y124)</f>
        <v/>
      </c>
      <c r="AB71" s="20" t="str">
        <f t="shared" si="22"/>
        <v/>
      </c>
      <c r="AC71" s="102">
        <f t="shared" si="51"/>
        <v>5</v>
      </c>
      <c r="AD71" s="20">
        <f>IF(AND(AC4=0,AC71&gt;=0), "",AC71/AC4)</f>
        <v>3.05768786816473E-5</v>
      </c>
      <c r="AE71" s="37">
        <f>IF(AND(AC124=0,AC71&gt;=0),"",AC71/AC124)</f>
        <v>6.5585502770593987E-5</v>
      </c>
      <c r="AF71" s="101">
        <f>+'N EERR RODEO'!G108</f>
        <v>0</v>
      </c>
      <c r="AG71" s="20" t="str">
        <f>IF(AND(AF4=0,AF71&gt;=0), "",AF71/AF4)</f>
        <v/>
      </c>
      <c r="AH71" s="37" t="str">
        <f>IF(AND(AF124=0,AF71&gt;=0),"",AF71/AF124)</f>
        <v/>
      </c>
      <c r="AI71" s="20" t="str">
        <f t="shared" si="41"/>
        <v/>
      </c>
      <c r="AJ71" s="102">
        <f t="shared" ref="AJ71:AJ135" si="62">+AC71+AF71</f>
        <v>5</v>
      </c>
      <c r="AK71" s="20">
        <f>IF(AND(AJ4=0,AJ71&gt;=0), "",AJ71/AJ4)</f>
        <v>3.05768786816473E-5</v>
      </c>
      <c r="AL71" s="37">
        <f>IF(AND(AJ124=0,AJ71&gt;=0),"",AJ71/AJ124)</f>
        <v>6.5585502770593987E-5</v>
      </c>
      <c r="AM71" s="101">
        <f>+'N EERR RODEO'!H108</f>
        <v>0</v>
      </c>
      <c r="AN71" s="20" t="str">
        <f>IF(AND(AM4=0,AM71&gt;=0), "",AM71/AM4)</f>
        <v/>
      </c>
      <c r="AO71" s="37" t="str">
        <f>IF(AND(AM124=0,AM71&gt;=0),"",AM71/AM124)</f>
        <v/>
      </c>
      <c r="AP71" s="20" t="str">
        <f t="shared" si="42"/>
        <v/>
      </c>
      <c r="AQ71" s="102">
        <f t="shared" ref="AQ71:AQ135" si="63">+AJ71+AM71</f>
        <v>5</v>
      </c>
      <c r="AR71" s="20">
        <f>IF(AND(AQ4=0,AQ71&gt;=0), "",AQ71/AQ4)</f>
        <v>3.05768786816473E-5</v>
      </c>
      <c r="AS71" s="37">
        <f>IF(AND(AQ124=0,AQ71&gt;=0),"",AQ71/AQ124)</f>
        <v>6.5585502770593987E-5</v>
      </c>
      <c r="AT71" s="103">
        <f t="shared" si="52"/>
        <v>0</v>
      </c>
      <c r="AU71" s="20" t="str">
        <f>IF(AND(AT4=0,AT71&gt;=0), "",AT71/AT4)</f>
        <v/>
      </c>
      <c r="AV71" s="37">
        <f t="shared" si="23"/>
        <v>1</v>
      </c>
      <c r="AW71" s="103">
        <f t="shared" si="40"/>
        <v>0.83333333333333337</v>
      </c>
      <c r="AX71" s="20">
        <f>IF(AND(AW4=0,AW71&gt;=0), "",AW71/AW4)</f>
        <v>3.05768786816473E-5</v>
      </c>
      <c r="AY71" s="37">
        <f>IF(AND(AW124=0,AW71&gt;=0),"",AW71/AW124)</f>
        <v>6.5585502770593987E-5</v>
      </c>
      <c r="AZ71" s="103">
        <f t="shared" si="53"/>
        <v>0</v>
      </c>
      <c r="BA71" s="20" t="str">
        <f>IF(AND(AZ4=0,AZ71&gt;=0), "",AZ71/AZ4)</f>
        <v/>
      </c>
      <c r="BB71" s="37">
        <f t="shared" si="24"/>
        <v>1</v>
      </c>
      <c r="BC71" s="101">
        <f>+'N EERR RODEO'!I108</f>
        <v>0</v>
      </c>
      <c r="BD71" s="20" t="str">
        <f>IF(AND(BC4=0,BC71&gt;=0), "",BC71/BC4)</f>
        <v/>
      </c>
      <c r="BE71" s="37" t="str">
        <f>IF(AND(BC124=0,BC71&gt;=0),"",BC71/BC124)</f>
        <v/>
      </c>
      <c r="BF71" s="20" t="str">
        <f t="shared" si="25"/>
        <v/>
      </c>
      <c r="BG71" s="102">
        <f t="shared" si="54"/>
        <v>5</v>
      </c>
      <c r="BH71" s="20">
        <f>IF(AND(BG4=0,BG71&gt;=0), "",BG71/BG4)</f>
        <v>3.05768786816473E-5</v>
      </c>
      <c r="BI71" s="37">
        <f>IF(AND(BG124=0,BG71&gt;=0),"",BG71/BG124)</f>
        <v>6.5585502770593987E-5</v>
      </c>
      <c r="BJ71" s="101">
        <f>+'N EERR RODEO'!J108</f>
        <v>0</v>
      </c>
      <c r="BK71" s="20" t="str">
        <f>IF(AND(BJ4=0,BJ71&gt;=0), "",BJ71/BJ4)</f>
        <v/>
      </c>
      <c r="BL71" s="37" t="str">
        <f>IF(AND(BJ124=0,BJ71&gt;=0),"",BJ71/BJ124)</f>
        <v/>
      </c>
      <c r="BM71" s="20" t="str">
        <f t="shared" si="43"/>
        <v/>
      </c>
      <c r="BN71" s="102">
        <f t="shared" si="55"/>
        <v>5</v>
      </c>
      <c r="BO71" s="20">
        <f>IF(AND(BN4=0,BN71&gt;=0), "",BN71/BN4)</f>
        <v>3.05768786816473E-5</v>
      </c>
      <c r="BP71" s="37">
        <f>IF(AND(BN124=0,BN71&gt;=0),"",BN71/BN124)</f>
        <v>6.5585502770593987E-5</v>
      </c>
      <c r="BQ71" s="101">
        <f>+'N EERR RODEO'!K108</f>
        <v>0</v>
      </c>
      <c r="BR71" s="20" t="str">
        <f>IF(AND(BQ4=0,BQ71&gt;=0), "",BQ71/BQ4)</f>
        <v/>
      </c>
      <c r="BS71" s="37" t="str">
        <f>IF(AND(BQ124=0,BQ71&gt;=0),"",BQ71/BQ124)</f>
        <v/>
      </c>
      <c r="BT71" s="20" t="str">
        <f t="shared" si="44"/>
        <v/>
      </c>
      <c r="BU71" s="102">
        <f t="shared" si="56"/>
        <v>5</v>
      </c>
      <c r="BV71" s="20">
        <f>IF(AND(BU4=0,BU71&gt;=0), "",BU71/BU4)</f>
        <v>3.05768786816473E-5</v>
      </c>
      <c r="BW71" s="37">
        <f>IF(AND(BU124=0,BU71&gt;=0),"",BU71/BU124)</f>
        <v>6.5585502770593987E-5</v>
      </c>
      <c r="BX71" s="103">
        <f t="shared" si="57"/>
        <v>0</v>
      </c>
      <c r="BY71" s="20" t="str">
        <f>IF(AND(BX4=0,BX71&gt;=0), "",BX71/BX4)</f>
        <v/>
      </c>
      <c r="BZ71" s="37">
        <f t="shared" si="45"/>
        <v>1</v>
      </c>
      <c r="CA71" s="101">
        <f>+'N EERR RODEO'!L108</f>
        <v>0</v>
      </c>
      <c r="CB71" s="20" t="str">
        <f>IF(AND(CA4=0,CA71&gt;=0), "",CA71/CA4)</f>
        <v/>
      </c>
      <c r="CC71" s="37" t="str">
        <f>IF(AND(CA124=0,CA71&gt;=0),"",CA71/CA124)</f>
        <v/>
      </c>
      <c r="CD71" s="20" t="str">
        <f t="shared" si="26"/>
        <v/>
      </c>
      <c r="CE71" s="102">
        <f t="shared" si="58"/>
        <v>5</v>
      </c>
      <c r="CF71" s="20">
        <f>IF(AND(CE4=0,CE71&gt;=0), "",CE71/CE4)</f>
        <v>3.05768786816473E-5</v>
      </c>
      <c r="CG71" s="37">
        <f>IF(AND(CE124=0,CE71&gt;=0),"",CE71/CE124)</f>
        <v>6.5585502770593987E-5</v>
      </c>
      <c r="CH71" s="101">
        <f>+'N EERR RODEO'!M108</f>
        <v>0</v>
      </c>
      <c r="CI71" s="20" t="str">
        <f>IF(AND(CH4=0,CH71&gt;=0), "",CH71/CH4)</f>
        <v/>
      </c>
      <c r="CJ71" s="37" t="str">
        <f>IF(AND(CH124=0,CH71&gt;=0),"",CH71/CH124)</f>
        <v/>
      </c>
      <c r="CK71" s="20" t="str">
        <f t="shared" si="46"/>
        <v/>
      </c>
      <c r="CL71" s="102">
        <f t="shared" si="59"/>
        <v>5</v>
      </c>
      <c r="CM71" s="20">
        <f>IF(AND(CL4=0,CL71&gt;=0), "",CL71/CL4)</f>
        <v>3.05768786816473E-5</v>
      </c>
      <c r="CN71" s="37">
        <f>IF(AND(CL124=0,CL71&gt;=0),"",CL71/CL124)</f>
        <v>6.5585502770593987E-5</v>
      </c>
      <c r="CO71" s="101">
        <f>+'N EERR RODEO'!N108</f>
        <v>0</v>
      </c>
      <c r="CP71" s="20" t="str">
        <f>IF(AND(CO4=0,CO71&gt;=0), "",CO71/CO4)</f>
        <v/>
      </c>
      <c r="CQ71" s="37" t="str">
        <f>IF(AND(CO124=0,CO71&gt;=0),"",CO71/CO124)</f>
        <v/>
      </c>
      <c r="CR71" s="20" t="str">
        <f t="shared" si="47"/>
        <v/>
      </c>
      <c r="CS71" s="102">
        <f t="shared" si="60"/>
        <v>5</v>
      </c>
      <c r="CT71" s="20">
        <f>IF(AND(CS4=0,CS71&gt;=0), "",CS71/CS4)</f>
        <v>3.05768786816473E-5</v>
      </c>
      <c r="CU71" s="37">
        <f>IF(AND(CS124=0,CS71&gt;=0),"",CS71/CS124)</f>
        <v>6.5585502770593987E-5</v>
      </c>
      <c r="CV71" s="103">
        <f t="shared" si="61"/>
        <v>0</v>
      </c>
      <c r="CW71" s="20" t="str">
        <f>IF(AND(CV4=0,CV71&gt;=0), "",CV71/CV4)</f>
        <v/>
      </c>
      <c r="CX71" s="37">
        <f t="shared" si="48"/>
        <v>1</v>
      </c>
    </row>
    <row r="72" spans="1:102" hidden="1" outlineLevel="1" x14ac:dyDescent="0.25">
      <c r="A72" s="19" t="s">
        <v>65</v>
      </c>
      <c r="B72" s="101">
        <f>+'N EERR RODEO'!B109+'N EERR RODEO'!B110+'N EERR RODEO'!B111+'N EERR RODEO'!B112</f>
        <v>0</v>
      </c>
      <c r="C72" s="20" t="str">
        <f>IF(AND(B4=0,B72&gt;=0), "",B72/B4)</f>
        <v/>
      </c>
      <c r="D72" s="37" t="str">
        <f>IF(AND(B124=0,B72&gt;=0),"",B72/B124)</f>
        <v/>
      </c>
      <c r="E72" s="101">
        <f>+'N EERR RODEO'!C109+'N EERR RODEO'!C110+'N EERR RODEO'!C111+'N EERR RODEO'!C112</f>
        <v>0</v>
      </c>
      <c r="F72" s="20">
        <f>IF(AND(E4=0,E72&gt;=0), "",E72/E4)</f>
        <v>0</v>
      </c>
      <c r="G72" s="37">
        <f>IF(AND(E124=0,E72&gt;=0),"",E72/E124)</f>
        <v>0</v>
      </c>
      <c r="H72" s="101">
        <f>+'N EERR RODEO'!D109+'N EERR RODEO'!D110+'N EERR RODEO'!D111+'N EERR RODEO'!D112</f>
        <v>0</v>
      </c>
      <c r="I72" s="20">
        <f>IF(AND(H4=0,H72&gt;=0), "",H72/H4)</f>
        <v>0</v>
      </c>
      <c r="J72" s="37">
        <f>IF(AND(H124=0,H72&gt;=0),"",H72/H124)</f>
        <v>0</v>
      </c>
      <c r="K72" s="20" t="str">
        <f t="shared" si="19"/>
        <v/>
      </c>
      <c r="L72" s="102">
        <f t="shared" si="49"/>
        <v>0</v>
      </c>
      <c r="M72" s="20">
        <f>IF(AND(L4=0,L72&gt;=0), "",L72/L4)</f>
        <v>0</v>
      </c>
      <c r="N72" s="37">
        <f>IF(AND(L124=0,L72&gt;=0),"",L72/L124)</f>
        <v>0</v>
      </c>
      <c r="O72" s="101">
        <f>+'N EERR RODEO'!E109+'N EERR RODEO'!E110+'N EERR RODEO'!E111+'N EERR RODEO'!E112</f>
        <v>93.34</v>
      </c>
      <c r="P72" s="20">
        <f>IF(AND(O4=0,O72&gt;=0), "",O72/O4)</f>
        <v>1.4560218687184293E-3</v>
      </c>
      <c r="Q72" s="37">
        <f>IF(AND(O124=0,O72&gt;=0),"",O72/O124)</f>
        <v>3.5987394002203812E-3</v>
      </c>
      <c r="R72" s="20">
        <f t="shared" si="20"/>
        <v>1</v>
      </c>
      <c r="S72" s="102">
        <f t="shared" si="50"/>
        <v>93.34</v>
      </c>
      <c r="T72" s="20">
        <f>IF(AND(S4=0,S72&gt;=0), "",S72/S4)</f>
        <v>5.7080917122899184E-4</v>
      </c>
      <c r="U72" s="37">
        <f>IF(AND(S124=0,S72&gt;=0),"",S72/S124)</f>
        <v>1.2243501657214486E-3</v>
      </c>
      <c r="V72" s="103"/>
      <c r="W72" s="20" t="str">
        <f>IF(AND(V4=0,V72&gt;=0), "",V72/V4)</f>
        <v/>
      </c>
      <c r="X72" s="37">
        <f t="shared" si="21"/>
        <v>1</v>
      </c>
      <c r="Y72" s="101">
        <f>+'N EERR RODEO'!F109+'N EERR RODEO'!F110+'N EERR RODEO'!F111+'N EERR RODEO'!F112</f>
        <v>0</v>
      </c>
      <c r="Z72" s="20" t="str">
        <f>IF(AND(Y4=0,Y72&gt;=0), "",Y72/Y4)</f>
        <v/>
      </c>
      <c r="AA72" s="37" t="str">
        <f>IF(AND(Y124=0,Y72&gt;=0),"",Y72/Y124)</f>
        <v/>
      </c>
      <c r="AB72" s="20">
        <f t="shared" si="22"/>
        <v>-1</v>
      </c>
      <c r="AC72" s="102">
        <f t="shared" si="51"/>
        <v>93.34</v>
      </c>
      <c r="AD72" s="20">
        <f>IF(AND(AC4=0,AC72&gt;=0), "",AC72/AC4)</f>
        <v>5.7080917122899184E-4</v>
      </c>
      <c r="AE72" s="37">
        <f>IF(AND(AC124=0,AC72&gt;=0),"",AC72/AC124)</f>
        <v>1.2243501657214486E-3</v>
      </c>
      <c r="AF72" s="101">
        <f>+'N EERR RODEO'!G109+'N EERR RODEO'!G110+'N EERR RODEO'!G111+'N EERR RODEO'!G112</f>
        <v>0</v>
      </c>
      <c r="AG72" s="20" t="str">
        <f>IF(AND(AF4=0,AF72&gt;=0), "",AF72/AF4)</f>
        <v/>
      </c>
      <c r="AH72" s="37" t="str">
        <f>IF(AND(AF124=0,AF72&gt;=0),"",AF72/AF124)</f>
        <v/>
      </c>
      <c r="AI72" s="20" t="str">
        <f t="shared" si="41"/>
        <v/>
      </c>
      <c r="AJ72" s="102">
        <f t="shared" si="62"/>
        <v>93.34</v>
      </c>
      <c r="AK72" s="20">
        <f>IF(AND(AJ4=0,AJ72&gt;=0), "",AJ72/AJ4)</f>
        <v>5.7080917122899184E-4</v>
      </c>
      <c r="AL72" s="37">
        <f>IF(AND(AJ124=0,AJ72&gt;=0),"",AJ72/AJ124)</f>
        <v>1.2243501657214486E-3</v>
      </c>
      <c r="AM72" s="101">
        <f>+'N EERR RODEO'!H109+'N EERR RODEO'!H110+'N EERR RODEO'!H111+'N EERR RODEO'!H112</f>
        <v>0</v>
      </c>
      <c r="AN72" s="20" t="str">
        <f>IF(AND(AM4=0,AM72&gt;=0), "",AM72/AM4)</f>
        <v/>
      </c>
      <c r="AO72" s="37" t="str">
        <f>IF(AND(AM124=0,AM72&gt;=0),"",AM72/AM124)</f>
        <v/>
      </c>
      <c r="AP72" s="20" t="str">
        <f t="shared" si="42"/>
        <v/>
      </c>
      <c r="AQ72" s="102">
        <f t="shared" si="63"/>
        <v>93.34</v>
      </c>
      <c r="AR72" s="20">
        <f>IF(AND(AQ4=0,AQ72&gt;=0), "",AQ72/AQ4)</f>
        <v>5.7080917122899184E-4</v>
      </c>
      <c r="AS72" s="37">
        <f>IF(AND(AQ124=0,AQ72&gt;=0),"",AQ72/AQ124)</f>
        <v>1.2243501657214486E-3</v>
      </c>
      <c r="AT72" s="103">
        <f t="shared" si="52"/>
        <v>0</v>
      </c>
      <c r="AU72" s="20" t="str">
        <f>IF(AND(AT4=0,AT72&gt;=0), "",AT72/AT4)</f>
        <v/>
      </c>
      <c r="AV72" s="37">
        <f t="shared" si="23"/>
        <v>1</v>
      </c>
      <c r="AW72" s="103">
        <f t="shared" si="40"/>
        <v>15.556666666666667</v>
      </c>
      <c r="AX72" s="20">
        <f>IF(AND(AW4=0,AW72&gt;=0), "",AW72/AW4)</f>
        <v>5.7080917122899184E-4</v>
      </c>
      <c r="AY72" s="37">
        <f>IF(AND(AW124=0,AW72&gt;=0),"",AW72/AW124)</f>
        <v>1.2243501657214484E-3</v>
      </c>
      <c r="AZ72" s="103">
        <f t="shared" si="53"/>
        <v>0</v>
      </c>
      <c r="BA72" s="20" t="str">
        <f>IF(AND(AZ4=0,AZ72&gt;=0), "",AZ72/AZ4)</f>
        <v/>
      </c>
      <c r="BB72" s="37">
        <f t="shared" si="24"/>
        <v>1</v>
      </c>
      <c r="BC72" s="101">
        <f>+'N EERR RODEO'!I109+'N EERR RODEO'!I110+'N EERR RODEO'!I111+'N EERR RODEO'!I112</f>
        <v>0</v>
      </c>
      <c r="BD72" s="20" t="str">
        <f>IF(AND(BC4=0,BC72&gt;=0), "",BC72/BC4)</f>
        <v/>
      </c>
      <c r="BE72" s="37" t="str">
        <f>IF(AND(BC124=0,BC72&gt;=0),"",BC72/BC124)</f>
        <v/>
      </c>
      <c r="BF72" s="20" t="str">
        <f t="shared" si="25"/>
        <v/>
      </c>
      <c r="BG72" s="102">
        <f t="shared" si="54"/>
        <v>93.34</v>
      </c>
      <c r="BH72" s="20">
        <f>IF(AND(BG4=0,BG72&gt;=0), "",BG72/BG4)</f>
        <v>5.7080917122899184E-4</v>
      </c>
      <c r="BI72" s="37">
        <f>IF(AND(BG124=0,BG72&gt;=0),"",BG72/BG124)</f>
        <v>1.2243501657214486E-3</v>
      </c>
      <c r="BJ72" s="101">
        <f>+'N EERR RODEO'!J109+'N EERR RODEO'!J110+'N EERR RODEO'!J111+'N EERR RODEO'!J112</f>
        <v>0</v>
      </c>
      <c r="BK72" s="20" t="str">
        <f>IF(AND(BJ4=0,BJ72&gt;=0), "",BJ72/BJ4)</f>
        <v/>
      </c>
      <c r="BL72" s="37" t="str">
        <f>IF(AND(BJ124=0,BJ72&gt;=0),"",BJ72/BJ124)</f>
        <v/>
      </c>
      <c r="BM72" s="20" t="str">
        <f t="shared" si="43"/>
        <v/>
      </c>
      <c r="BN72" s="102">
        <f t="shared" si="55"/>
        <v>93.34</v>
      </c>
      <c r="BO72" s="20">
        <f>IF(AND(BN4=0,BN72&gt;=0), "",BN72/BN4)</f>
        <v>5.7080917122899184E-4</v>
      </c>
      <c r="BP72" s="37">
        <f>IF(AND(BN124=0,BN72&gt;=0),"",BN72/BN124)</f>
        <v>1.2243501657214486E-3</v>
      </c>
      <c r="BQ72" s="101">
        <f>+'N EERR RODEO'!K109+'N EERR RODEO'!K110+'N EERR RODEO'!K111+'N EERR RODEO'!K112</f>
        <v>0</v>
      </c>
      <c r="BR72" s="20" t="str">
        <f>IF(AND(BQ4=0,BQ72&gt;=0), "",BQ72/BQ4)</f>
        <v/>
      </c>
      <c r="BS72" s="37" t="str">
        <f>IF(AND(BQ124=0,BQ72&gt;=0),"",BQ72/BQ124)</f>
        <v/>
      </c>
      <c r="BT72" s="20" t="str">
        <f t="shared" si="44"/>
        <v/>
      </c>
      <c r="BU72" s="102">
        <f t="shared" si="56"/>
        <v>93.34</v>
      </c>
      <c r="BV72" s="20">
        <f>IF(AND(BU4=0,BU72&gt;=0), "",BU72/BU4)</f>
        <v>5.7080917122899184E-4</v>
      </c>
      <c r="BW72" s="37">
        <f>IF(AND(BU124=0,BU72&gt;=0),"",BU72/BU124)</f>
        <v>1.2243501657214486E-3</v>
      </c>
      <c r="BX72" s="103">
        <f t="shared" si="57"/>
        <v>0</v>
      </c>
      <c r="BY72" s="20" t="str">
        <f>IF(AND(BX4=0,BX72&gt;=0), "",BX72/BX4)</f>
        <v/>
      </c>
      <c r="BZ72" s="37">
        <f t="shared" si="45"/>
        <v>1</v>
      </c>
      <c r="CA72" s="101">
        <f>+'N EERR RODEO'!L109+'N EERR RODEO'!L110+'N EERR RODEO'!L111+'N EERR RODEO'!L112</f>
        <v>0</v>
      </c>
      <c r="CB72" s="20" t="str">
        <f>IF(AND(CA4=0,CA72&gt;=0), "",CA72/CA4)</f>
        <v/>
      </c>
      <c r="CC72" s="37" t="str">
        <f>IF(AND(CA124=0,CA72&gt;=0),"",CA72/CA124)</f>
        <v/>
      </c>
      <c r="CD72" s="20" t="str">
        <f t="shared" si="26"/>
        <v/>
      </c>
      <c r="CE72" s="102">
        <f t="shared" si="58"/>
        <v>93.34</v>
      </c>
      <c r="CF72" s="20">
        <f>IF(AND(CE4=0,CE72&gt;=0), "",CE72/CE4)</f>
        <v>5.7080917122899184E-4</v>
      </c>
      <c r="CG72" s="37">
        <f>IF(AND(CE124=0,CE72&gt;=0),"",CE72/CE124)</f>
        <v>1.2243501657214486E-3</v>
      </c>
      <c r="CH72" s="101">
        <f>+'N EERR RODEO'!M109+'N EERR RODEO'!M110+'N EERR RODEO'!M111+'N EERR RODEO'!M112</f>
        <v>0</v>
      </c>
      <c r="CI72" s="20" t="str">
        <f>IF(AND(CH4=0,CH72&gt;=0), "",CH72/CH4)</f>
        <v/>
      </c>
      <c r="CJ72" s="37" t="str">
        <f>IF(AND(CH124=0,CH72&gt;=0),"",CH72/CH124)</f>
        <v/>
      </c>
      <c r="CK72" s="20" t="str">
        <f t="shared" si="46"/>
        <v/>
      </c>
      <c r="CL72" s="102">
        <f t="shared" si="59"/>
        <v>93.34</v>
      </c>
      <c r="CM72" s="20">
        <f>IF(AND(CL4=0,CL72&gt;=0), "",CL72/CL4)</f>
        <v>5.7080917122899184E-4</v>
      </c>
      <c r="CN72" s="37">
        <f>IF(AND(CL124=0,CL72&gt;=0),"",CL72/CL124)</f>
        <v>1.2243501657214486E-3</v>
      </c>
      <c r="CO72" s="101">
        <f>+'N EERR RODEO'!N109+'N EERR RODEO'!N110+'N EERR RODEO'!N111+'N EERR RODEO'!N112</f>
        <v>0</v>
      </c>
      <c r="CP72" s="20" t="str">
        <f>IF(AND(CO4=0,CO72&gt;=0), "",CO72/CO4)</f>
        <v/>
      </c>
      <c r="CQ72" s="37" t="str">
        <f>IF(AND(CO124=0,CO72&gt;=0),"",CO72/CO124)</f>
        <v/>
      </c>
      <c r="CR72" s="20" t="str">
        <f t="shared" si="47"/>
        <v/>
      </c>
      <c r="CS72" s="102">
        <f t="shared" si="60"/>
        <v>93.34</v>
      </c>
      <c r="CT72" s="20">
        <f>IF(AND(CS4=0,CS72&gt;=0), "",CS72/CS4)</f>
        <v>5.7080917122899184E-4</v>
      </c>
      <c r="CU72" s="37">
        <f>IF(AND(CS124=0,CS72&gt;=0),"",CS72/CS124)</f>
        <v>1.2243501657214486E-3</v>
      </c>
      <c r="CV72" s="103">
        <f t="shared" si="61"/>
        <v>0</v>
      </c>
      <c r="CW72" s="20" t="str">
        <f>IF(AND(CV4=0,CV72&gt;=0), "",CV72/CV4)</f>
        <v/>
      </c>
      <c r="CX72" s="37">
        <f t="shared" si="48"/>
        <v>1</v>
      </c>
    </row>
    <row r="73" spans="1:102" hidden="1" outlineLevel="1" x14ac:dyDescent="0.25">
      <c r="A73" s="19" t="s">
        <v>66</v>
      </c>
      <c r="B73" s="101">
        <f>+'N EERR RODEO'!B113+'N EERR RODEO'!B114+'N EERR RODEO'!B115+'N EERR RODEO'!B116</f>
        <v>0</v>
      </c>
      <c r="C73" s="20" t="str">
        <f>IF(AND(B4=0,B73&gt;=0), "",B73/B4)</f>
        <v/>
      </c>
      <c r="D73" s="37" t="str">
        <f>IF(AND(B124=0,B73&gt;=0),"",B73/B124)</f>
        <v/>
      </c>
      <c r="E73" s="101">
        <f>+'N EERR RODEO'!C113+'N EERR RODEO'!C114+'N EERR RODEO'!C115+'N EERR RODEO'!C116</f>
        <v>0</v>
      </c>
      <c r="F73" s="20">
        <f>IF(AND(E4=0,E73&gt;=0), "",E73/E4)</f>
        <v>0</v>
      </c>
      <c r="G73" s="37">
        <f>IF(AND(E124=0,E73&gt;=0),"",E73/E124)</f>
        <v>0</v>
      </c>
      <c r="H73" s="101">
        <f>+'N EERR RODEO'!D113+'N EERR RODEO'!D114+'N EERR RODEO'!D115+'N EERR RODEO'!D116</f>
        <v>0</v>
      </c>
      <c r="I73" s="20">
        <f>IF(AND(H4=0,H73&gt;=0), "",H73/H4)</f>
        <v>0</v>
      </c>
      <c r="J73" s="37">
        <f>IF(AND(H124=0,H73&gt;=0),"",H73/H124)</f>
        <v>0</v>
      </c>
      <c r="K73" s="20" t="str">
        <f t="shared" si="19"/>
        <v/>
      </c>
      <c r="L73" s="102">
        <f t="shared" si="49"/>
        <v>0</v>
      </c>
      <c r="M73" s="20">
        <f>IF(AND(L4=0,L73&gt;=0), "",L73/L4)</f>
        <v>0</v>
      </c>
      <c r="N73" s="37">
        <f>IF(AND(L124=0,L73&gt;=0),"",L73/L124)</f>
        <v>0</v>
      </c>
      <c r="O73" s="101">
        <f>+'N EERR RODEO'!E113+'N EERR RODEO'!E114+'N EERR RODEO'!E115+'N EERR RODEO'!E116</f>
        <v>0</v>
      </c>
      <c r="P73" s="20">
        <f>IF(AND(O4=0,O73&gt;=0), "",O73/O4)</f>
        <v>0</v>
      </c>
      <c r="Q73" s="37">
        <f>IF(AND(O124=0,O73&gt;=0),"",O73/O124)</f>
        <v>0</v>
      </c>
      <c r="R73" s="20" t="str">
        <f t="shared" si="20"/>
        <v/>
      </c>
      <c r="S73" s="102">
        <f t="shared" si="50"/>
        <v>0</v>
      </c>
      <c r="T73" s="20">
        <f>IF(AND(S4=0,S73&gt;=0), "",S73/S4)</f>
        <v>0</v>
      </c>
      <c r="U73" s="37">
        <f>IF(AND(S124=0,S73&gt;=0),"",S73/S124)</f>
        <v>0</v>
      </c>
      <c r="V73" s="103"/>
      <c r="W73" s="20" t="str">
        <f>IF(AND(V4=0,V73&gt;=0), "",V73/V4)</f>
        <v/>
      </c>
      <c r="X73" s="37" t="str">
        <f t="shared" si="21"/>
        <v/>
      </c>
      <c r="Y73" s="101">
        <f>+'N EERR RODEO'!F113+'N EERR RODEO'!F114+'N EERR RODEO'!F115+'N EERR RODEO'!F116</f>
        <v>0</v>
      </c>
      <c r="Z73" s="20" t="str">
        <f>IF(AND(Y4=0,Y73&gt;=0), "",Y73/Y4)</f>
        <v/>
      </c>
      <c r="AA73" s="37" t="str">
        <f>IF(AND(Y124=0,Y73&gt;=0),"",Y73/Y124)</f>
        <v/>
      </c>
      <c r="AB73" s="20" t="str">
        <f t="shared" si="22"/>
        <v/>
      </c>
      <c r="AC73" s="102">
        <f t="shared" si="51"/>
        <v>0</v>
      </c>
      <c r="AD73" s="20">
        <f>IF(AND(AC4=0,AC73&gt;=0), "",AC73/AC4)</f>
        <v>0</v>
      </c>
      <c r="AE73" s="37">
        <f>IF(AND(AC124=0,AC73&gt;=0),"",AC73/AC124)</f>
        <v>0</v>
      </c>
      <c r="AF73" s="101">
        <f>+'N EERR RODEO'!G113+'N EERR RODEO'!G114+'N EERR RODEO'!G115+'N EERR RODEO'!G116</f>
        <v>0</v>
      </c>
      <c r="AG73" s="20" t="str">
        <f>IF(AND(AF4=0,AF73&gt;=0), "",AF73/AF4)</f>
        <v/>
      </c>
      <c r="AH73" s="37" t="str">
        <f>IF(AND(AF124=0,AF73&gt;=0),"",AF73/AF124)</f>
        <v/>
      </c>
      <c r="AI73" s="20" t="str">
        <f t="shared" si="41"/>
        <v/>
      </c>
      <c r="AJ73" s="102">
        <f t="shared" si="62"/>
        <v>0</v>
      </c>
      <c r="AK73" s="20">
        <f>IF(AND(AJ4=0,AJ73&gt;=0), "",AJ73/AJ4)</f>
        <v>0</v>
      </c>
      <c r="AL73" s="37">
        <f>IF(AND(AJ124=0,AJ73&gt;=0),"",AJ73/AJ124)</f>
        <v>0</v>
      </c>
      <c r="AM73" s="101">
        <f>+'N EERR RODEO'!H113+'N EERR RODEO'!H114+'N EERR RODEO'!H115+'N EERR RODEO'!H116</f>
        <v>0</v>
      </c>
      <c r="AN73" s="20" t="str">
        <f>IF(AND(AM4=0,AM73&gt;=0), "",AM73/AM4)</f>
        <v/>
      </c>
      <c r="AO73" s="37" t="str">
        <f>IF(AND(AM124=0,AM73&gt;=0),"",AM73/AM124)</f>
        <v/>
      </c>
      <c r="AP73" s="20" t="str">
        <f t="shared" si="42"/>
        <v/>
      </c>
      <c r="AQ73" s="102">
        <f t="shared" si="63"/>
        <v>0</v>
      </c>
      <c r="AR73" s="20">
        <f>IF(AND(AQ4=0,AQ73&gt;=0), "",AQ73/AQ4)</f>
        <v>0</v>
      </c>
      <c r="AS73" s="37">
        <f>IF(AND(AQ124=0,AQ73&gt;=0),"",AQ73/AQ124)</f>
        <v>0</v>
      </c>
      <c r="AT73" s="103">
        <f t="shared" si="52"/>
        <v>0</v>
      </c>
      <c r="AU73" s="20" t="str">
        <f>IF(AND(AT4=0,AT73&gt;=0), "",AT73/AT4)</f>
        <v/>
      </c>
      <c r="AV73" s="37" t="str">
        <f t="shared" si="23"/>
        <v/>
      </c>
      <c r="AW73" s="103">
        <f t="shared" si="40"/>
        <v>0</v>
      </c>
      <c r="AX73" s="20">
        <f>IF(AND(AW4=0,AW73&gt;=0), "",AW73/AW4)</f>
        <v>0</v>
      </c>
      <c r="AY73" s="37">
        <f>IF(AND(AW124=0,AW73&gt;=0),"",AW73/AW124)</f>
        <v>0</v>
      </c>
      <c r="AZ73" s="103">
        <f t="shared" si="53"/>
        <v>0</v>
      </c>
      <c r="BA73" s="20" t="str">
        <f>IF(AND(AZ4=0,AZ73&gt;=0), "",AZ73/AZ4)</f>
        <v/>
      </c>
      <c r="BB73" s="37" t="str">
        <f t="shared" si="24"/>
        <v/>
      </c>
      <c r="BC73" s="101">
        <f>+'N EERR RODEO'!I113+'N EERR RODEO'!I114+'N EERR RODEO'!I115+'N EERR RODEO'!I116</f>
        <v>0</v>
      </c>
      <c r="BD73" s="20" t="str">
        <f>IF(AND(BC4=0,BC73&gt;=0), "",BC73/BC4)</f>
        <v/>
      </c>
      <c r="BE73" s="37" t="str">
        <f>IF(AND(BC124=0,BC73&gt;=0),"",BC73/BC124)</f>
        <v/>
      </c>
      <c r="BF73" s="20" t="str">
        <f t="shared" si="25"/>
        <v/>
      </c>
      <c r="BG73" s="102">
        <f t="shared" si="54"/>
        <v>0</v>
      </c>
      <c r="BH73" s="20">
        <f>IF(AND(BG4=0,BG73&gt;=0), "",BG73/BG4)</f>
        <v>0</v>
      </c>
      <c r="BI73" s="37">
        <f>IF(AND(BG124=0,BG73&gt;=0),"",BG73/BG124)</f>
        <v>0</v>
      </c>
      <c r="BJ73" s="101">
        <f>+'N EERR RODEO'!J113+'N EERR RODEO'!J114+'N EERR RODEO'!J115+'N EERR RODEO'!J116</f>
        <v>0</v>
      </c>
      <c r="BK73" s="20" t="str">
        <f>IF(AND(BJ4=0,BJ73&gt;=0), "",BJ73/BJ4)</f>
        <v/>
      </c>
      <c r="BL73" s="37" t="str">
        <f>IF(AND(BJ124=0,BJ73&gt;=0),"",BJ73/BJ124)</f>
        <v/>
      </c>
      <c r="BM73" s="20" t="str">
        <f t="shared" si="43"/>
        <v/>
      </c>
      <c r="BN73" s="102">
        <f t="shared" si="55"/>
        <v>0</v>
      </c>
      <c r="BO73" s="20">
        <f>IF(AND(BN4=0,BN73&gt;=0), "",BN73/BN4)</f>
        <v>0</v>
      </c>
      <c r="BP73" s="37">
        <f>IF(AND(BN124=0,BN73&gt;=0),"",BN73/BN124)</f>
        <v>0</v>
      </c>
      <c r="BQ73" s="101">
        <f>+'N EERR RODEO'!K113+'N EERR RODEO'!K114+'N EERR RODEO'!K115+'N EERR RODEO'!K116</f>
        <v>0</v>
      </c>
      <c r="BR73" s="20" t="str">
        <f>IF(AND(BQ4=0,BQ73&gt;=0), "",BQ73/BQ4)</f>
        <v/>
      </c>
      <c r="BS73" s="37" t="str">
        <f>IF(AND(BQ124=0,BQ73&gt;=0),"",BQ73/BQ124)</f>
        <v/>
      </c>
      <c r="BT73" s="20" t="str">
        <f t="shared" si="44"/>
        <v/>
      </c>
      <c r="BU73" s="102">
        <f t="shared" si="56"/>
        <v>0</v>
      </c>
      <c r="BV73" s="20">
        <f>IF(AND(BU4=0,BU73&gt;=0), "",BU73/BU4)</f>
        <v>0</v>
      </c>
      <c r="BW73" s="37">
        <f>IF(AND(BU124=0,BU73&gt;=0),"",BU73/BU124)</f>
        <v>0</v>
      </c>
      <c r="BX73" s="103">
        <f t="shared" si="57"/>
        <v>0</v>
      </c>
      <c r="BY73" s="20" t="str">
        <f>IF(AND(BX4=0,BX73&gt;=0), "",BX73/BX4)</f>
        <v/>
      </c>
      <c r="BZ73" s="37" t="str">
        <f t="shared" si="45"/>
        <v/>
      </c>
      <c r="CA73" s="101">
        <f>+'N EERR RODEO'!L113+'N EERR RODEO'!L114+'N EERR RODEO'!L115+'N EERR RODEO'!L116</f>
        <v>0</v>
      </c>
      <c r="CB73" s="20" t="str">
        <f>IF(AND(CA4=0,CA73&gt;=0), "",CA73/CA4)</f>
        <v/>
      </c>
      <c r="CC73" s="37" t="str">
        <f>IF(AND(CA124=0,CA73&gt;=0),"",CA73/CA124)</f>
        <v/>
      </c>
      <c r="CD73" s="20" t="str">
        <f t="shared" si="26"/>
        <v/>
      </c>
      <c r="CE73" s="102">
        <f t="shared" si="58"/>
        <v>0</v>
      </c>
      <c r="CF73" s="20">
        <f>IF(AND(CE4=0,CE73&gt;=0), "",CE73/CE4)</f>
        <v>0</v>
      </c>
      <c r="CG73" s="37">
        <f>IF(AND(CE124=0,CE73&gt;=0),"",CE73/CE124)</f>
        <v>0</v>
      </c>
      <c r="CH73" s="101">
        <f>+'N EERR RODEO'!M113+'N EERR RODEO'!M114+'N EERR RODEO'!M115+'N EERR RODEO'!M116</f>
        <v>0</v>
      </c>
      <c r="CI73" s="20" t="str">
        <f>IF(AND(CH4=0,CH73&gt;=0), "",CH73/CH4)</f>
        <v/>
      </c>
      <c r="CJ73" s="37" t="str">
        <f>IF(AND(CH124=0,CH73&gt;=0),"",CH73/CH124)</f>
        <v/>
      </c>
      <c r="CK73" s="20" t="str">
        <f t="shared" si="46"/>
        <v/>
      </c>
      <c r="CL73" s="102">
        <f t="shared" si="59"/>
        <v>0</v>
      </c>
      <c r="CM73" s="20">
        <f>IF(AND(CL4=0,CL73&gt;=0), "",CL73/CL4)</f>
        <v>0</v>
      </c>
      <c r="CN73" s="37">
        <f>IF(AND(CL124=0,CL73&gt;=0),"",CL73/CL124)</f>
        <v>0</v>
      </c>
      <c r="CO73" s="101">
        <f>+'N EERR RODEO'!N113+'N EERR RODEO'!N114+'N EERR RODEO'!N115+'N EERR RODEO'!N116</f>
        <v>0</v>
      </c>
      <c r="CP73" s="20" t="str">
        <f>IF(AND(CO4=0,CO73&gt;=0), "",CO73/CO4)</f>
        <v/>
      </c>
      <c r="CQ73" s="37" t="str">
        <f>IF(AND(CO124=0,CO73&gt;=0),"",CO73/CO124)</f>
        <v/>
      </c>
      <c r="CR73" s="20" t="str">
        <f t="shared" si="47"/>
        <v/>
      </c>
      <c r="CS73" s="102">
        <f t="shared" si="60"/>
        <v>0</v>
      </c>
      <c r="CT73" s="20">
        <f>IF(AND(CS4=0,CS73&gt;=0), "",CS73/CS4)</f>
        <v>0</v>
      </c>
      <c r="CU73" s="37">
        <f>IF(AND(CS124=0,CS73&gt;=0),"",CS73/CS124)</f>
        <v>0</v>
      </c>
      <c r="CV73" s="103">
        <f t="shared" si="61"/>
        <v>0</v>
      </c>
      <c r="CW73" s="20" t="str">
        <f>IF(AND(CV4=0,CV73&gt;=0), "",CV73/CV4)</f>
        <v/>
      </c>
      <c r="CX73" s="37" t="str">
        <f t="shared" si="48"/>
        <v/>
      </c>
    </row>
    <row r="74" spans="1:102" hidden="1" outlineLevel="1" x14ac:dyDescent="0.25">
      <c r="A74" s="19" t="s">
        <v>67</v>
      </c>
      <c r="B74" s="101">
        <f>+'N EERR RODEO'!B117+'N EERR RODEO'!B118+'N EERR RODEO'!B119+'N EERR RODEO'!B120+'N EERR RODEO'!B121+'N EERR RODEO'!B122+'N EERR RODEO'!B123+'N EERR RODEO'!B124</f>
        <v>0</v>
      </c>
      <c r="C74" s="20" t="str">
        <f>IF(AND(B4=0,B74&gt;=0), "",B74/B4)</f>
        <v/>
      </c>
      <c r="D74" s="37" t="str">
        <f>IF(AND(B124=0,B74&gt;=0),"",B74/B124)</f>
        <v/>
      </c>
      <c r="E74" s="101">
        <f>+'N EERR RODEO'!C117+'N EERR RODEO'!C118+'N EERR RODEO'!C119+'N EERR RODEO'!C120+'N EERR RODEO'!C121+'N EERR RODEO'!C122+'N EERR RODEO'!C123+'N EERR RODEO'!C124</f>
        <v>0</v>
      </c>
      <c r="F74" s="20">
        <f>IF(AND(E4=0,E74&gt;=0), "",E74/E4)</f>
        <v>0</v>
      </c>
      <c r="G74" s="37">
        <f>IF(AND(E124=0,E74&gt;=0),"",E74/E124)</f>
        <v>0</v>
      </c>
      <c r="H74" s="101">
        <f>+'N EERR RODEO'!D117+'N EERR RODEO'!D118+'N EERR RODEO'!D119+'N EERR RODEO'!D120+'N EERR RODEO'!D121+'N EERR RODEO'!D122+'N EERR RODEO'!D123+'N EERR RODEO'!D124</f>
        <v>0</v>
      </c>
      <c r="I74" s="20">
        <f>IF(AND(H4=0,H74&gt;=0), "",H74/H4)</f>
        <v>0</v>
      </c>
      <c r="J74" s="37">
        <f>IF(AND(H124=0,H74&gt;=0),"",H74/H124)</f>
        <v>0</v>
      </c>
      <c r="K74" s="20" t="str">
        <f t="shared" si="19"/>
        <v/>
      </c>
      <c r="L74" s="102">
        <f t="shared" si="49"/>
        <v>0</v>
      </c>
      <c r="M74" s="20">
        <f>IF(AND(L4=0,L74&gt;=0), "",L74/L4)</f>
        <v>0</v>
      </c>
      <c r="N74" s="37">
        <f>IF(AND(L124=0,L74&gt;=0),"",L74/L124)</f>
        <v>0</v>
      </c>
      <c r="O74" s="101">
        <f>+'N EERR RODEO'!E117+'N EERR RODEO'!E118+'N EERR RODEO'!E119+'N EERR RODEO'!E120+'N EERR RODEO'!E121+'N EERR RODEO'!E122+'N EERR RODEO'!E123+'N EERR RODEO'!E124</f>
        <v>0</v>
      </c>
      <c r="P74" s="20">
        <f>IF(AND(O4=0,O74&gt;=0), "",O74/O4)</f>
        <v>0</v>
      </c>
      <c r="Q74" s="37">
        <f>IF(AND(O124=0,O74&gt;=0),"",O74/O124)</f>
        <v>0</v>
      </c>
      <c r="R74" s="20" t="str">
        <f t="shared" si="20"/>
        <v/>
      </c>
      <c r="S74" s="102">
        <f t="shared" si="50"/>
        <v>0</v>
      </c>
      <c r="T74" s="20">
        <f>IF(AND(S4=0,S74&gt;=0), "",S74/S4)</f>
        <v>0</v>
      </c>
      <c r="U74" s="37">
        <f>IF(AND(S124=0,S74&gt;=0),"",S74/S124)</f>
        <v>0</v>
      </c>
      <c r="V74" s="103"/>
      <c r="W74" s="20" t="str">
        <f>IF(AND(V4=0,V74&gt;=0), "",V74/V4)</f>
        <v/>
      </c>
      <c r="X74" s="37" t="str">
        <f t="shared" si="21"/>
        <v/>
      </c>
      <c r="Y74" s="101">
        <f>+'N EERR RODEO'!F117+'N EERR RODEO'!F118+'N EERR RODEO'!F119+'N EERR RODEO'!F120+'N EERR RODEO'!F121+'N EERR RODEO'!F122+'N EERR RODEO'!F123+'N EERR RODEO'!F124</f>
        <v>0</v>
      </c>
      <c r="Z74" s="20" t="str">
        <f>IF(AND(Y4=0,Y74&gt;=0), "",Y74/Y4)</f>
        <v/>
      </c>
      <c r="AA74" s="37" t="str">
        <f>IF(AND(Y124=0,Y74&gt;=0),"",Y74/Y124)</f>
        <v/>
      </c>
      <c r="AB74" s="20" t="str">
        <f t="shared" si="22"/>
        <v/>
      </c>
      <c r="AC74" s="102">
        <f t="shared" si="51"/>
        <v>0</v>
      </c>
      <c r="AD74" s="20">
        <f>IF(AND(AC4=0,AC74&gt;=0), "",AC74/AC4)</f>
        <v>0</v>
      </c>
      <c r="AE74" s="37">
        <f>IF(AND(AC124=0,AC74&gt;=0),"",AC74/AC124)</f>
        <v>0</v>
      </c>
      <c r="AF74" s="101">
        <f>+'N EERR RODEO'!G117+'N EERR RODEO'!G118+'N EERR RODEO'!G119+'N EERR RODEO'!G120+'N EERR RODEO'!G121+'N EERR RODEO'!G122+'N EERR RODEO'!G123+'N EERR RODEO'!G124</f>
        <v>0</v>
      </c>
      <c r="AG74" s="20" t="str">
        <f>IF(AND(AF4=0,AF74&gt;=0), "",AF74/AF4)</f>
        <v/>
      </c>
      <c r="AH74" s="37" t="str">
        <f>IF(AND(AF124=0,AF74&gt;=0),"",AF74/AF124)</f>
        <v/>
      </c>
      <c r="AI74" s="20" t="str">
        <f t="shared" si="41"/>
        <v/>
      </c>
      <c r="AJ74" s="102">
        <f t="shared" si="62"/>
        <v>0</v>
      </c>
      <c r="AK74" s="20">
        <f>IF(AND(AJ4=0,AJ74&gt;=0), "",AJ74/AJ4)</f>
        <v>0</v>
      </c>
      <c r="AL74" s="37">
        <f>IF(AND(AJ124=0,AJ74&gt;=0),"",AJ74/AJ124)</f>
        <v>0</v>
      </c>
      <c r="AM74" s="101">
        <f>+'N EERR RODEO'!H117+'N EERR RODEO'!H118+'N EERR RODEO'!H119+'N EERR RODEO'!H120+'N EERR RODEO'!H121+'N EERR RODEO'!H122+'N EERR RODEO'!H123+'N EERR RODEO'!H124</f>
        <v>0</v>
      </c>
      <c r="AN74" s="20" t="str">
        <f>IF(AND(AM4=0,AM74&gt;=0), "",AM74/AM4)</f>
        <v/>
      </c>
      <c r="AO74" s="37" t="str">
        <f>IF(AND(AM124=0,AM74&gt;=0),"",AM74/AM124)</f>
        <v/>
      </c>
      <c r="AP74" s="20" t="str">
        <f t="shared" si="42"/>
        <v/>
      </c>
      <c r="AQ74" s="102">
        <f t="shared" si="63"/>
        <v>0</v>
      </c>
      <c r="AR74" s="20">
        <f>IF(AND(AQ4=0,AQ74&gt;=0), "",AQ74/AQ4)</f>
        <v>0</v>
      </c>
      <c r="AS74" s="37">
        <f>IF(AND(AQ124=0,AQ74&gt;=0),"",AQ74/AQ124)</f>
        <v>0</v>
      </c>
      <c r="AT74" s="103">
        <f t="shared" si="52"/>
        <v>0</v>
      </c>
      <c r="AU74" s="20" t="str">
        <f>IF(AND(AT4=0,AT74&gt;=0), "",AT74/AT4)</f>
        <v/>
      </c>
      <c r="AV74" s="37" t="str">
        <f t="shared" si="23"/>
        <v/>
      </c>
      <c r="AW74" s="103">
        <f t="shared" si="40"/>
        <v>0</v>
      </c>
      <c r="AX74" s="20">
        <f>IF(AND(AW4=0,AW74&gt;=0), "",AW74/AW4)</f>
        <v>0</v>
      </c>
      <c r="AY74" s="37">
        <f>IF(AND(AW124=0,AW74&gt;=0),"",AW74/AW124)</f>
        <v>0</v>
      </c>
      <c r="AZ74" s="103">
        <f t="shared" si="53"/>
        <v>0</v>
      </c>
      <c r="BA74" s="20" t="str">
        <f>IF(AND(AZ4=0,AZ74&gt;=0), "",AZ74/AZ4)</f>
        <v/>
      </c>
      <c r="BB74" s="37" t="str">
        <f t="shared" si="24"/>
        <v/>
      </c>
      <c r="BC74" s="101">
        <f>+'N EERR RODEO'!I117+'N EERR RODEO'!I118+'N EERR RODEO'!I119+'N EERR RODEO'!I120+'N EERR RODEO'!I121+'N EERR RODEO'!I122+'N EERR RODEO'!I123+'N EERR RODEO'!I124</f>
        <v>0</v>
      </c>
      <c r="BD74" s="20" t="str">
        <f>IF(AND(BC4=0,BC74&gt;=0), "",BC74/BC4)</f>
        <v/>
      </c>
      <c r="BE74" s="37" t="str">
        <f>IF(AND(BC124=0,BC74&gt;=0),"",BC74/BC124)</f>
        <v/>
      </c>
      <c r="BF74" s="20" t="str">
        <f t="shared" si="25"/>
        <v/>
      </c>
      <c r="BG74" s="102">
        <f t="shared" si="54"/>
        <v>0</v>
      </c>
      <c r="BH74" s="20">
        <f>IF(AND(BG4=0,BG74&gt;=0), "",BG74/BG4)</f>
        <v>0</v>
      </c>
      <c r="BI74" s="37">
        <f>IF(AND(BG124=0,BG74&gt;=0),"",BG74/BG124)</f>
        <v>0</v>
      </c>
      <c r="BJ74" s="101">
        <f>+'N EERR RODEO'!J117+'N EERR RODEO'!J118+'N EERR RODEO'!J119+'N EERR RODEO'!J120+'N EERR RODEO'!J121+'N EERR RODEO'!J122+'N EERR RODEO'!J123+'N EERR RODEO'!J124</f>
        <v>0</v>
      </c>
      <c r="BK74" s="20" t="str">
        <f>IF(AND(BJ4=0,BJ74&gt;=0), "",BJ74/BJ4)</f>
        <v/>
      </c>
      <c r="BL74" s="37" t="str">
        <f>IF(AND(BJ124=0,BJ74&gt;=0),"",BJ74/BJ124)</f>
        <v/>
      </c>
      <c r="BM74" s="20" t="str">
        <f t="shared" si="43"/>
        <v/>
      </c>
      <c r="BN74" s="102">
        <f t="shared" si="55"/>
        <v>0</v>
      </c>
      <c r="BO74" s="20">
        <f>IF(AND(BN4=0,BN74&gt;=0), "",BN74/BN4)</f>
        <v>0</v>
      </c>
      <c r="BP74" s="37">
        <f>IF(AND(BN124=0,BN74&gt;=0),"",BN74/BN124)</f>
        <v>0</v>
      </c>
      <c r="BQ74" s="101">
        <f>+'N EERR RODEO'!K117+'N EERR RODEO'!K118+'N EERR RODEO'!K119+'N EERR RODEO'!K120+'N EERR RODEO'!K121+'N EERR RODEO'!K122+'N EERR RODEO'!K123+'N EERR RODEO'!K124</f>
        <v>0</v>
      </c>
      <c r="BR74" s="20" t="str">
        <f>IF(AND(BQ4=0,BQ74&gt;=0), "",BQ74/BQ4)</f>
        <v/>
      </c>
      <c r="BS74" s="37" t="str">
        <f>IF(AND(BQ124=0,BQ74&gt;=0),"",BQ74/BQ124)</f>
        <v/>
      </c>
      <c r="BT74" s="20" t="str">
        <f t="shared" si="44"/>
        <v/>
      </c>
      <c r="BU74" s="102">
        <f t="shared" si="56"/>
        <v>0</v>
      </c>
      <c r="BV74" s="20">
        <f>IF(AND(BU4=0,BU74&gt;=0), "",BU74/BU4)</f>
        <v>0</v>
      </c>
      <c r="BW74" s="37">
        <f>IF(AND(BU124=0,BU74&gt;=0),"",BU74/BU124)</f>
        <v>0</v>
      </c>
      <c r="BX74" s="103">
        <f t="shared" si="57"/>
        <v>0</v>
      </c>
      <c r="BY74" s="20" t="str">
        <f>IF(AND(BX4=0,BX74&gt;=0), "",BX74/BX4)</f>
        <v/>
      </c>
      <c r="BZ74" s="37" t="str">
        <f t="shared" si="45"/>
        <v/>
      </c>
      <c r="CA74" s="101">
        <f>+'N EERR RODEO'!L117+'N EERR RODEO'!L118+'N EERR RODEO'!L119+'N EERR RODEO'!L120+'N EERR RODEO'!L121+'N EERR RODEO'!L122+'N EERR RODEO'!L123+'N EERR RODEO'!L124</f>
        <v>0</v>
      </c>
      <c r="CB74" s="20" t="str">
        <f>IF(AND(CA4=0,CA74&gt;=0), "",CA74/CA4)</f>
        <v/>
      </c>
      <c r="CC74" s="37" t="str">
        <f>IF(AND(CA124=0,CA74&gt;=0),"",CA74/CA124)</f>
        <v/>
      </c>
      <c r="CD74" s="20" t="str">
        <f t="shared" si="26"/>
        <v/>
      </c>
      <c r="CE74" s="102">
        <f t="shared" si="58"/>
        <v>0</v>
      </c>
      <c r="CF74" s="20">
        <f>IF(AND(CE4=0,CE74&gt;=0), "",CE74/CE4)</f>
        <v>0</v>
      </c>
      <c r="CG74" s="37">
        <f>IF(AND(CE124=0,CE74&gt;=0),"",CE74/CE124)</f>
        <v>0</v>
      </c>
      <c r="CH74" s="101">
        <f>+'N EERR RODEO'!M117+'N EERR RODEO'!M118+'N EERR RODEO'!M119+'N EERR RODEO'!M120+'N EERR RODEO'!M121+'N EERR RODEO'!M122+'N EERR RODEO'!M123+'N EERR RODEO'!M124</f>
        <v>0</v>
      </c>
      <c r="CI74" s="20" t="str">
        <f>IF(AND(CH4=0,CH74&gt;=0), "",CH74/CH4)</f>
        <v/>
      </c>
      <c r="CJ74" s="37" t="str">
        <f>IF(AND(CH124=0,CH74&gt;=0),"",CH74/CH124)</f>
        <v/>
      </c>
      <c r="CK74" s="20" t="str">
        <f t="shared" si="46"/>
        <v/>
      </c>
      <c r="CL74" s="102">
        <f t="shared" si="59"/>
        <v>0</v>
      </c>
      <c r="CM74" s="20">
        <f>IF(AND(CL4=0,CL74&gt;=0), "",CL74/CL4)</f>
        <v>0</v>
      </c>
      <c r="CN74" s="37">
        <f>IF(AND(CL124=0,CL74&gt;=0),"",CL74/CL124)</f>
        <v>0</v>
      </c>
      <c r="CO74" s="101">
        <f>+'N EERR RODEO'!N117+'N EERR RODEO'!N118+'N EERR RODEO'!N119+'N EERR RODEO'!N120+'N EERR RODEO'!N121+'N EERR RODEO'!N122+'N EERR RODEO'!N123+'N EERR RODEO'!N124</f>
        <v>0</v>
      </c>
      <c r="CP74" s="20" t="str">
        <f>IF(AND(CO4=0,CO74&gt;=0), "",CO74/CO4)</f>
        <v/>
      </c>
      <c r="CQ74" s="37" t="str">
        <f>IF(AND(CO124=0,CO74&gt;=0),"",CO74/CO124)</f>
        <v/>
      </c>
      <c r="CR74" s="20" t="str">
        <f t="shared" si="47"/>
        <v/>
      </c>
      <c r="CS74" s="102">
        <f t="shared" si="60"/>
        <v>0</v>
      </c>
      <c r="CT74" s="20">
        <f>IF(AND(CS4=0,CS74&gt;=0), "",CS74/CS4)</f>
        <v>0</v>
      </c>
      <c r="CU74" s="37">
        <f>IF(AND(CS124=0,CS74&gt;=0),"",CS74/CS124)</f>
        <v>0</v>
      </c>
      <c r="CV74" s="103">
        <f t="shared" si="61"/>
        <v>0</v>
      </c>
      <c r="CW74" s="20" t="str">
        <f>IF(AND(CV4=0,CV74&gt;=0), "",CV74/CV4)</f>
        <v/>
      </c>
      <c r="CX74" s="37" t="str">
        <f t="shared" si="48"/>
        <v/>
      </c>
    </row>
    <row r="75" spans="1:102" hidden="1" outlineLevel="1" x14ac:dyDescent="0.25">
      <c r="A75" s="19" t="s">
        <v>68</v>
      </c>
      <c r="B75" s="101">
        <f>+'N EERR RODEO'!B125+'N EERR RODEO'!B126+'N EERR RODEO'!B127+'N EERR RODEO'!B128</f>
        <v>0</v>
      </c>
      <c r="C75" s="20" t="str">
        <f>IF(AND(B4=0,B75&gt;=0), "",B75/B4)</f>
        <v/>
      </c>
      <c r="D75" s="37" t="str">
        <f>IF(AND(B124=0,B75&gt;=0),"",B75/B124)</f>
        <v/>
      </c>
      <c r="E75" s="101">
        <f>+'N EERR RODEO'!C125+'N EERR RODEO'!C126+'N EERR RODEO'!C127+'N EERR RODEO'!C128</f>
        <v>19.03</v>
      </c>
      <c r="F75" s="20">
        <f>IF(AND(E4=0,E75&gt;=0), "",E75/E4)</f>
        <v>3.9701224813036025E-4</v>
      </c>
      <c r="G75" s="37">
        <f>IF(AND(E124=0,E75&gt;=0),"",E75/E124)</f>
        <v>6.1456860222943409E-4</v>
      </c>
      <c r="H75" s="101">
        <f>+'N EERR RODEO'!D125+'N EERR RODEO'!D126+'N EERR RODEO'!D127+'N EERR RODEO'!D128</f>
        <v>5.75</v>
      </c>
      <c r="I75" s="20">
        <f>IF(AND(H4=0,H75&gt;=0), "",H75/H4)</f>
        <v>1.1168726633081496E-4</v>
      </c>
      <c r="J75" s="37">
        <f>IF(AND(H124=0,H75&gt;=0),"",H75/H124)</f>
        <v>2.9739292432410348E-4</v>
      </c>
      <c r="K75" s="20">
        <f t="shared" si="19"/>
        <v>-0.69784550709406201</v>
      </c>
      <c r="L75" s="102">
        <f t="shared" si="49"/>
        <v>24.78</v>
      </c>
      <c r="M75" s="20">
        <f>IF(AND(L4=0,L75&gt;=0), "",L75/L4)</f>
        <v>2.4925547750982312E-4</v>
      </c>
      <c r="N75" s="37">
        <f>IF(AND(L124=0,L75&gt;=0),"",L75/L124)</f>
        <v>4.9264903229654375E-4</v>
      </c>
      <c r="O75" s="101">
        <f>+'N EERR RODEO'!E125+'N EERR RODEO'!E126+'N EERR RODEO'!E127+'N EERR RODEO'!E128</f>
        <v>6.47</v>
      </c>
      <c r="P75" s="20">
        <f>IF(AND(O4=0,O75&gt;=0), "",O75/O4)</f>
        <v>1.0092630694887763E-4</v>
      </c>
      <c r="Q75" s="37">
        <f>IF(AND(O124=0,O75&gt;=0),"",O75/O124)</f>
        <v>2.4945193828397112E-4</v>
      </c>
      <c r="R75" s="20">
        <f t="shared" si="20"/>
        <v>0.12521739130434778</v>
      </c>
      <c r="S75" s="102">
        <f t="shared" si="50"/>
        <v>31.25</v>
      </c>
      <c r="T75" s="20">
        <f>IF(AND(S4=0,S75&gt;=0), "",S75/S4)</f>
        <v>1.9110549176029561E-4</v>
      </c>
      <c r="U75" s="37">
        <f>IF(AND(S124=0,S75&gt;=0),"",S75/S124)</f>
        <v>4.0990939231621247E-4</v>
      </c>
      <c r="V75" s="103"/>
      <c r="W75" s="20" t="str">
        <f>IF(AND(V4=0,V75&gt;=0), "",V75/V4)</f>
        <v/>
      </c>
      <c r="X75" s="37">
        <f t="shared" si="21"/>
        <v>1</v>
      </c>
      <c r="Y75" s="101">
        <f>+'N EERR RODEO'!F125+'N EERR RODEO'!F126+'N EERR RODEO'!F127+'N EERR RODEO'!F128</f>
        <v>0</v>
      </c>
      <c r="Z75" s="20" t="str">
        <f>IF(AND(Y4=0,Y75&gt;=0), "",Y75/Y4)</f>
        <v/>
      </c>
      <c r="AA75" s="37" t="str">
        <f>IF(AND(Y124=0,Y75&gt;=0),"",Y75/Y124)</f>
        <v/>
      </c>
      <c r="AB75" s="20">
        <f t="shared" si="22"/>
        <v>-1</v>
      </c>
      <c r="AC75" s="102">
        <f t="shared" si="51"/>
        <v>31.25</v>
      </c>
      <c r="AD75" s="20">
        <f>IF(AND(AC4=0,AC75&gt;=0), "",AC75/AC4)</f>
        <v>1.9110549176029561E-4</v>
      </c>
      <c r="AE75" s="37">
        <f>IF(AND(AC124=0,AC75&gt;=0),"",AC75/AC124)</f>
        <v>4.0990939231621247E-4</v>
      </c>
      <c r="AF75" s="101">
        <f>+'N EERR RODEO'!G125+'N EERR RODEO'!G126+'N EERR RODEO'!G127+'N EERR RODEO'!G128</f>
        <v>0</v>
      </c>
      <c r="AG75" s="20" t="str">
        <f>IF(AND(AF4=0,AF75&gt;=0), "",AF75/AF4)</f>
        <v/>
      </c>
      <c r="AH75" s="37" t="str">
        <f>IF(AND(AF124=0,AF75&gt;=0),"",AF75/AF124)</f>
        <v/>
      </c>
      <c r="AI75" s="20" t="str">
        <f t="shared" si="41"/>
        <v/>
      </c>
      <c r="AJ75" s="102">
        <f t="shared" si="62"/>
        <v>31.25</v>
      </c>
      <c r="AK75" s="20">
        <f>IF(AND(AJ4=0,AJ75&gt;=0), "",AJ75/AJ4)</f>
        <v>1.9110549176029561E-4</v>
      </c>
      <c r="AL75" s="37">
        <f>IF(AND(AJ124=0,AJ75&gt;=0),"",AJ75/AJ124)</f>
        <v>4.0990939231621247E-4</v>
      </c>
      <c r="AM75" s="101">
        <f>+'N EERR RODEO'!H125+'N EERR RODEO'!H126+'N EERR RODEO'!H127+'N EERR RODEO'!H128</f>
        <v>0</v>
      </c>
      <c r="AN75" s="20" t="str">
        <f>IF(AND(AM4=0,AM75&gt;=0), "",AM75/AM4)</f>
        <v/>
      </c>
      <c r="AO75" s="37" t="str">
        <f>IF(AND(AM124=0,AM75&gt;=0),"",AM75/AM124)</f>
        <v/>
      </c>
      <c r="AP75" s="20" t="str">
        <f t="shared" si="42"/>
        <v/>
      </c>
      <c r="AQ75" s="102">
        <f t="shared" si="63"/>
        <v>31.25</v>
      </c>
      <c r="AR75" s="20">
        <f>IF(AND(AQ4=0,AQ75&gt;=0), "",AQ75/AQ4)</f>
        <v>1.9110549176029561E-4</v>
      </c>
      <c r="AS75" s="37">
        <f>IF(AND(AQ124=0,AQ75&gt;=0),"",AQ75/AQ124)</f>
        <v>4.0990939231621247E-4</v>
      </c>
      <c r="AT75" s="103">
        <f t="shared" si="52"/>
        <v>0</v>
      </c>
      <c r="AU75" s="20" t="str">
        <f>IF(AND(AT4=0,AT75&gt;=0), "",AT75/AT4)</f>
        <v/>
      </c>
      <c r="AV75" s="37">
        <f t="shared" si="23"/>
        <v>1</v>
      </c>
      <c r="AW75" s="103">
        <f t="shared" si="40"/>
        <v>5.208333333333333</v>
      </c>
      <c r="AX75" s="20">
        <f>IF(AND(AW4=0,AW75&gt;=0), "",AW75/AW4)</f>
        <v>1.9110549176029561E-4</v>
      </c>
      <c r="AY75" s="37">
        <f>IF(AND(AW124=0,AW75&gt;=0),"",AW75/AW124)</f>
        <v>4.0990939231621236E-4</v>
      </c>
      <c r="AZ75" s="103">
        <f t="shared" si="53"/>
        <v>0</v>
      </c>
      <c r="BA75" s="20" t="str">
        <f>IF(AND(AZ4=0,AZ75&gt;=0), "",AZ75/AZ4)</f>
        <v/>
      </c>
      <c r="BB75" s="37">
        <f t="shared" si="24"/>
        <v>1</v>
      </c>
      <c r="BC75" s="101">
        <f>+'N EERR RODEO'!I125+'N EERR RODEO'!I126+'N EERR RODEO'!I127+'N EERR RODEO'!I128</f>
        <v>0</v>
      </c>
      <c r="BD75" s="20" t="str">
        <f>IF(AND(BC4=0,BC75&gt;=0), "",BC75/BC4)</f>
        <v/>
      </c>
      <c r="BE75" s="37" t="str">
        <f>IF(AND(BC124=0,BC75&gt;=0),"",BC75/BC124)</f>
        <v/>
      </c>
      <c r="BF75" s="20" t="str">
        <f t="shared" si="25"/>
        <v/>
      </c>
      <c r="BG75" s="102">
        <f t="shared" si="54"/>
        <v>31.25</v>
      </c>
      <c r="BH75" s="20">
        <f>IF(AND(BG4=0,BG75&gt;=0), "",BG75/BG4)</f>
        <v>1.9110549176029561E-4</v>
      </c>
      <c r="BI75" s="37">
        <f>IF(AND(BG124=0,BG75&gt;=0),"",BG75/BG124)</f>
        <v>4.0990939231621247E-4</v>
      </c>
      <c r="BJ75" s="101">
        <f>+'N EERR RODEO'!J125+'N EERR RODEO'!J126+'N EERR RODEO'!J127+'N EERR RODEO'!J128</f>
        <v>0</v>
      </c>
      <c r="BK75" s="20" t="str">
        <f>IF(AND(BJ4=0,BJ75&gt;=0), "",BJ75/BJ4)</f>
        <v/>
      </c>
      <c r="BL75" s="37" t="str">
        <f>IF(AND(BJ124=0,BJ75&gt;=0),"",BJ75/BJ124)</f>
        <v/>
      </c>
      <c r="BM75" s="20" t="str">
        <f t="shared" si="43"/>
        <v/>
      </c>
      <c r="BN75" s="102">
        <f t="shared" si="55"/>
        <v>31.25</v>
      </c>
      <c r="BO75" s="20">
        <f>IF(AND(BN4=0,BN75&gt;=0), "",BN75/BN4)</f>
        <v>1.9110549176029561E-4</v>
      </c>
      <c r="BP75" s="37">
        <f>IF(AND(BN124=0,BN75&gt;=0),"",BN75/BN124)</f>
        <v>4.0990939231621247E-4</v>
      </c>
      <c r="BQ75" s="101">
        <f>+'N EERR RODEO'!K125+'N EERR RODEO'!K126+'N EERR RODEO'!K127+'N EERR RODEO'!K128</f>
        <v>0</v>
      </c>
      <c r="BR75" s="20" t="str">
        <f>IF(AND(BQ4=0,BQ75&gt;=0), "",BQ75/BQ4)</f>
        <v/>
      </c>
      <c r="BS75" s="37" t="str">
        <f>IF(AND(BQ124=0,BQ75&gt;=0),"",BQ75/BQ124)</f>
        <v/>
      </c>
      <c r="BT75" s="20" t="str">
        <f t="shared" si="44"/>
        <v/>
      </c>
      <c r="BU75" s="102">
        <f t="shared" si="56"/>
        <v>31.25</v>
      </c>
      <c r="BV75" s="20">
        <f>IF(AND(BU4=0,BU75&gt;=0), "",BU75/BU4)</f>
        <v>1.9110549176029561E-4</v>
      </c>
      <c r="BW75" s="37">
        <f>IF(AND(BU124=0,BU75&gt;=0),"",BU75/BU124)</f>
        <v>4.0990939231621247E-4</v>
      </c>
      <c r="BX75" s="103">
        <f t="shared" si="57"/>
        <v>0</v>
      </c>
      <c r="BY75" s="20" t="str">
        <f>IF(AND(BX4=0,BX75&gt;=0), "",BX75/BX4)</f>
        <v/>
      </c>
      <c r="BZ75" s="37">
        <f t="shared" si="45"/>
        <v>1</v>
      </c>
      <c r="CA75" s="101">
        <f>+'N EERR RODEO'!L125+'N EERR RODEO'!L126+'N EERR RODEO'!L127+'N EERR RODEO'!L128</f>
        <v>0</v>
      </c>
      <c r="CB75" s="20" t="str">
        <f>IF(AND(CA4=0,CA75&gt;=0), "",CA75/CA4)</f>
        <v/>
      </c>
      <c r="CC75" s="37" t="str">
        <f>IF(AND(CA124=0,CA75&gt;=0),"",CA75/CA124)</f>
        <v/>
      </c>
      <c r="CD75" s="20" t="str">
        <f t="shared" si="26"/>
        <v/>
      </c>
      <c r="CE75" s="102">
        <f t="shared" si="58"/>
        <v>31.25</v>
      </c>
      <c r="CF75" s="20">
        <f>IF(AND(CE4=0,CE75&gt;=0), "",CE75/CE4)</f>
        <v>1.9110549176029561E-4</v>
      </c>
      <c r="CG75" s="37">
        <f>IF(AND(CE124=0,CE75&gt;=0),"",CE75/CE124)</f>
        <v>4.0990939231621247E-4</v>
      </c>
      <c r="CH75" s="101">
        <f>+'N EERR RODEO'!M125+'N EERR RODEO'!M126+'N EERR RODEO'!M127+'N EERR RODEO'!M128</f>
        <v>0</v>
      </c>
      <c r="CI75" s="20" t="str">
        <f>IF(AND(CH4=0,CH75&gt;=0), "",CH75/CH4)</f>
        <v/>
      </c>
      <c r="CJ75" s="37" t="str">
        <f>IF(AND(CH124=0,CH75&gt;=0),"",CH75/CH124)</f>
        <v/>
      </c>
      <c r="CK75" s="20" t="str">
        <f t="shared" si="46"/>
        <v/>
      </c>
      <c r="CL75" s="102">
        <f t="shared" si="59"/>
        <v>31.25</v>
      </c>
      <c r="CM75" s="20">
        <f>IF(AND(CL4=0,CL75&gt;=0), "",CL75/CL4)</f>
        <v>1.9110549176029561E-4</v>
      </c>
      <c r="CN75" s="37">
        <f>IF(AND(CL124=0,CL75&gt;=0),"",CL75/CL124)</f>
        <v>4.0990939231621247E-4</v>
      </c>
      <c r="CO75" s="101">
        <f>+'N EERR RODEO'!N125+'N EERR RODEO'!N126+'N EERR RODEO'!N127+'N EERR RODEO'!N128</f>
        <v>0</v>
      </c>
      <c r="CP75" s="20" t="str">
        <f>IF(AND(CO4=0,CO75&gt;=0), "",CO75/CO4)</f>
        <v/>
      </c>
      <c r="CQ75" s="37" t="str">
        <f>IF(AND(CO124=0,CO75&gt;=0),"",CO75/CO124)</f>
        <v/>
      </c>
      <c r="CR75" s="20" t="str">
        <f t="shared" si="47"/>
        <v/>
      </c>
      <c r="CS75" s="102">
        <f t="shared" si="60"/>
        <v>31.25</v>
      </c>
      <c r="CT75" s="20">
        <f>IF(AND(CS4=0,CS75&gt;=0), "",CS75/CS4)</f>
        <v>1.9110549176029561E-4</v>
      </c>
      <c r="CU75" s="37">
        <f>IF(AND(CS124=0,CS75&gt;=0),"",CS75/CS124)</f>
        <v>4.0990939231621247E-4</v>
      </c>
      <c r="CV75" s="103">
        <f t="shared" si="61"/>
        <v>0</v>
      </c>
      <c r="CW75" s="20" t="str">
        <f>IF(AND(CV4=0,CV75&gt;=0), "",CV75/CV4)</f>
        <v/>
      </c>
      <c r="CX75" s="37">
        <f t="shared" si="48"/>
        <v>1</v>
      </c>
    </row>
    <row r="76" spans="1:102" hidden="1" outlineLevel="1" x14ac:dyDescent="0.25">
      <c r="A76" s="19" t="s">
        <v>70</v>
      </c>
      <c r="B76" s="101">
        <f>+'N EERR RODEO'!B129</f>
        <v>0</v>
      </c>
      <c r="C76" s="20" t="str">
        <f>IF(AND(B4=0,B76&gt;=0), "",B76/B4)</f>
        <v/>
      </c>
      <c r="D76" s="37" t="str">
        <f>IF(AND(B124=0,B76&gt;=0),"",B76/B124)</f>
        <v/>
      </c>
      <c r="E76" s="101">
        <f>+'N EERR RODEO'!C129</f>
        <v>0</v>
      </c>
      <c r="F76" s="20">
        <f>IF(AND(E4=0,E76&gt;=0), "",E76/E4)</f>
        <v>0</v>
      </c>
      <c r="G76" s="37">
        <f>IF(AND(E124=0,E76&gt;=0),"",E76/E124)</f>
        <v>0</v>
      </c>
      <c r="H76" s="101">
        <f>+'N EERR RODEO'!D129</f>
        <v>0</v>
      </c>
      <c r="I76" s="20">
        <f>IF(AND(H4=0,H76&gt;=0), "",H76/H4)</f>
        <v>0</v>
      </c>
      <c r="J76" s="37">
        <f>IF(AND(H124=0,H76&gt;=0),"",H76/H124)</f>
        <v>0</v>
      </c>
      <c r="K76" s="20" t="str">
        <f t="shared" si="19"/>
        <v/>
      </c>
      <c r="L76" s="102">
        <f t="shared" si="49"/>
        <v>0</v>
      </c>
      <c r="M76" s="20">
        <f>IF(AND(L4=0,L76&gt;=0), "",L76/L4)</f>
        <v>0</v>
      </c>
      <c r="N76" s="37">
        <f>IF(AND(L124=0,L76&gt;=0),"",L76/L124)</f>
        <v>0</v>
      </c>
      <c r="O76" s="101">
        <f>+'N EERR RODEO'!E129</f>
        <v>0</v>
      </c>
      <c r="P76" s="20">
        <f>IF(AND(O4=0,O76&gt;=0), "",O76/O4)</f>
        <v>0</v>
      </c>
      <c r="Q76" s="37">
        <f>IF(AND(O124=0,O76&gt;=0),"",O76/O124)</f>
        <v>0</v>
      </c>
      <c r="R76" s="20" t="str">
        <f t="shared" si="20"/>
        <v/>
      </c>
      <c r="S76" s="102">
        <f t="shared" si="50"/>
        <v>0</v>
      </c>
      <c r="T76" s="20">
        <f>IF(AND(S4=0,S76&gt;=0), "",S76/S4)</f>
        <v>0</v>
      </c>
      <c r="U76" s="37">
        <f>IF(AND(S124=0,S76&gt;=0),"",S76/S124)</f>
        <v>0</v>
      </c>
      <c r="V76" s="103"/>
      <c r="W76" s="20" t="str">
        <f>IF(AND(V4=0,V76&gt;=0), "",V76/V4)</f>
        <v/>
      </c>
      <c r="X76" s="37" t="str">
        <f t="shared" si="21"/>
        <v/>
      </c>
      <c r="Y76" s="101">
        <f>+'N EERR RODEO'!F129</f>
        <v>0</v>
      </c>
      <c r="Z76" s="20" t="str">
        <f>IF(AND(Y4=0,Y76&gt;=0), "",Y76/Y4)</f>
        <v/>
      </c>
      <c r="AA76" s="37" t="str">
        <f>IF(AND(Y124=0,Y76&gt;=0),"",Y76/Y124)</f>
        <v/>
      </c>
      <c r="AB76" s="20" t="str">
        <f t="shared" si="22"/>
        <v/>
      </c>
      <c r="AC76" s="102">
        <f t="shared" si="51"/>
        <v>0</v>
      </c>
      <c r="AD76" s="20">
        <f>IF(AND(AC4=0,AC76&gt;=0), "",AC76/AC4)</f>
        <v>0</v>
      </c>
      <c r="AE76" s="37">
        <f>IF(AND(AC124=0,AC76&gt;=0),"",AC76/AC124)</f>
        <v>0</v>
      </c>
      <c r="AF76" s="101">
        <f>+'N EERR RODEO'!G129</f>
        <v>0</v>
      </c>
      <c r="AG76" s="20" t="str">
        <f>IF(AND(AF4=0,AF76&gt;=0), "",AF76/AF4)</f>
        <v/>
      </c>
      <c r="AH76" s="37" t="str">
        <f>IF(AND(AF124=0,AF76&gt;=0),"",AF76/AF124)</f>
        <v/>
      </c>
      <c r="AI76" s="20" t="str">
        <f t="shared" si="41"/>
        <v/>
      </c>
      <c r="AJ76" s="102">
        <f t="shared" si="62"/>
        <v>0</v>
      </c>
      <c r="AK76" s="20">
        <f>IF(AND(AJ4=0,AJ76&gt;=0), "",AJ76/AJ4)</f>
        <v>0</v>
      </c>
      <c r="AL76" s="37">
        <f>IF(AND(AJ124=0,AJ76&gt;=0),"",AJ76/AJ124)</f>
        <v>0</v>
      </c>
      <c r="AM76" s="101">
        <f>+'N EERR RODEO'!H129</f>
        <v>0</v>
      </c>
      <c r="AN76" s="20" t="str">
        <f>IF(AND(AM4=0,AM76&gt;=0), "",AM76/AM4)</f>
        <v/>
      </c>
      <c r="AO76" s="37" t="str">
        <f>IF(AND(AM124=0,AM76&gt;=0),"",AM76/AM124)</f>
        <v/>
      </c>
      <c r="AP76" s="20" t="str">
        <f t="shared" si="42"/>
        <v/>
      </c>
      <c r="AQ76" s="102">
        <f t="shared" si="63"/>
        <v>0</v>
      </c>
      <c r="AR76" s="20">
        <f>IF(AND(AQ4=0,AQ76&gt;=0), "",AQ76/AQ4)</f>
        <v>0</v>
      </c>
      <c r="AS76" s="37">
        <f>IF(AND(AQ124=0,AQ76&gt;=0),"",AQ76/AQ124)</f>
        <v>0</v>
      </c>
      <c r="AT76" s="103">
        <f t="shared" si="52"/>
        <v>0</v>
      </c>
      <c r="AU76" s="20" t="str">
        <f>IF(AND(AT4=0,AT76&gt;=0), "",AT76/AT4)</f>
        <v/>
      </c>
      <c r="AV76" s="37" t="str">
        <f t="shared" si="23"/>
        <v/>
      </c>
      <c r="AW76" s="103">
        <f t="shared" si="40"/>
        <v>0</v>
      </c>
      <c r="AX76" s="20">
        <f>IF(AND(AW4=0,AW76&gt;=0), "",AW76/AW4)</f>
        <v>0</v>
      </c>
      <c r="AY76" s="37">
        <f>IF(AND(AW124=0,AW76&gt;=0),"",AW76/AW124)</f>
        <v>0</v>
      </c>
      <c r="AZ76" s="103">
        <f t="shared" si="53"/>
        <v>0</v>
      </c>
      <c r="BA76" s="20" t="str">
        <f>IF(AND(AZ4=0,AZ76&gt;=0), "",AZ76/AZ4)</f>
        <v/>
      </c>
      <c r="BB76" s="37" t="str">
        <f t="shared" si="24"/>
        <v/>
      </c>
      <c r="BC76" s="101">
        <f>+'N EERR RODEO'!I129</f>
        <v>0</v>
      </c>
      <c r="BD76" s="20" t="str">
        <f>IF(AND(BC4=0,BC76&gt;=0), "",BC76/BC4)</f>
        <v/>
      </c>
      <c r="BE76" s="37" t="str">
        <f>IF(AND(BC124=0,BC76&gt;=0),"",BC76/BC124)</f>
        <v/>
      </c>
      <c r="BF76" s="20" t="str">
        <f t="shared" si="25"/>
        <v/>
      </c>
      <c r="BG76" s="102">
        <f t="shared" si="54"/>
        <v>0</v>
      </c>
      <c r="BH76" s="20">
        <f>IF(AND(BG4=0,BG76&gt;=0), "",BG76/BG4)</f>
        <v>0</v>
      </c>
      <c r="BI76" s="37">
        <f>IF(AND(BG124=0,BG76&gt;=0),"",BG76/BG124)</f>
        <v>0</v>
      </c>
      <c r="BJ76" s="101">
        <f>+'N EERR RODEO'!J129</f>
        <v>0</v>
      </c>
      <c r="BK76" s="20" t="str">
        <f>IF(AND(BJ4=0,BJ76&gt;=0), "",BJ76/BJ4)</f>
        <v/>
      </c>
      <c r="BL76" s="37" t="str">
        <f>IF(AND(BJ124=0,BJ76&gt;=0),"",BJ76/BJ124)</f>
        <v/>
      </c>
      <c r="BM76" s="20" t="str">
        <f t="shared" si="43"/>
        <v/>
      </c>
      <c r="BN76" s="102">
        <f t="shared" si="55"/>
        <v>0</v>
      </c>
      <c r="BO76" s="20">
        <f>IF(AND(BN4=0,BN76&gt;=0), "",BN76/BN4)</f>
        <v>0</v>
      </c>
      <c r="BP76" s="37">
        <f>IF(AND(BN124=0,BN76&gt;=0),"",BN76/BN124)</f>
        <v>0</v>
      </c>
      <c r="BQ76" s="101">
        <f>+'N EERR RODEO'!K129</f>
        <v>0</v>
      </c>
      <c r="BR76" s="20" t="str">
        <f>IF(AND(BQ4=0,BQ76&gt;=0), "",BQ76/BQ4)</f>
        <v/>
      </c>
      <c r="BS76" s="37" t="str">
        <f>IF(AND(BQ124=0,BQ76&gt;=0),"",BQ76/BQ124)</f>
        <v/>
      </c>
      <c r="BT76" s="20" t="str">
        <f t="shared" si="44"/>
        <v/>
      </c>
      <c r="BU76" s="102">
        <f t="shared" si="56"/>
        <v>0</v>
      </c>
      <c r="BV76" s="20">
        <f>IF(AND(BU4=0,BU76&gt;=0), "",BU76/BU4)</f>
        <v>0</v>
      </c>
      <c r="BW76" s="37">
        <f>IF(AND(BU124=0,BU76&gt;=0),"",BU76/BU124)</f>
        <v>0</v>
      </c>
      <c r="BX76" s="103">
        <f t="shared" si="57"/>
        <v>0</v>
      </c>
      <c r="BY76" s="20" t="str">
        <f>IF(AND(BX4=0,BX76&gt;=0), "",BX76/BX4)</f>
        <v/>
      </c>
      <c r="BZ76" s="37" t="str">
        <f t="shared" si="45"/>
        <v/>
      </c>
      <c r="CA76" s="101">
        <f>+'N EERR RODEO'!L129</f>
        <v>0</v>
      </c>
      <c r="CB76" s="20" t="str">
        <f>IF(AND(CA4=0,CA76&gt;=0), "",CA76/CA4)</f>
        <v/>
      </c>
      <c r="CC76" s="37" t="str">
        <f>IF(AND(CA124=0,CA76&gt;=0),"",CA76/CA124)</f>
        <v/>
      </c>
      <c r="CD76" s="20" t="str">
        <f t="shared" si="26"/>
        <v/>
      </c>
      <c r="CE76" s="102">
        <f t="shared" si="58"/>
        <v>0</v>
      </c>
      <c r="CF76" s="20">
        <f>IF(AND(CE4=0,CE76&gt;=0), "",CE76/CE4)</f>
        <v>0</v>
      </c>
      <c r="CG76" s="37">
        <f>IF(AND(CE124=0,CE76&gt;=0),"",CE76/CE124)</f>
        <v>0</v>
      </c>
      <c r="CH76" s="101">
        <f>+'N EERR RODEO'!M129</f>
        <v>0</v>
      </c>
      <c r="CI76" s="20" t="str">
        <f>IF(AND(CH4=0,CH76&gt;=0), "",CH76/CH4)</f>
        <v/>
      </c>
      <c r="CJ76" s="37" t="str">
        <f>IF(AND(CH124=0,CH76&gt;=0),"",CH76/CH124)</f>
        <v/>
      </c>
      <c r="CK76" s="20" t="str">
        <f t="shared" si="46"/>
        <v/>
      </c>
      <c r="CL76" s="102">
        <f t="shared" si="59"/>
        <v>0</v>
      </c>
      <c r="CM76" s="20">
        <f>IF(AND(CL4=0,CL76&gt;=0), "",CL76/CL4)</f>
        <v>0</v>
      </c>
      <c r="CN76" s="37">
        <f>IF(AND(CL124=0,CL76&gt;=0),"",CL76/CL124)</f>
        <v>0</v>
      </c>
      <c r="CO76" s="101">
        <f>+'N EERR RODEO'!N129</f>
        <v>0</v>
      </c>
      <c r="CP76" s="20" t="str">
        <f>IF(AND(CO4=0,CO76&gt;=0), "",CO76/CO4)</f>
        <v/>
      </c>
      <c r="CQ76" s="37" t="str">
        <f>IF(AND(CO124=0,CO76&gt;=0),"",CO76/CO124)</f>
        <v/>
      </c>
      <c r="CR76" s="20" t="str">
        <f t="shared" si="47"/>
        <v/>
      </c>
      <c r="CS76" s="102">
        <f t="shared" si="60"/>
        <v>0</v>
      </c>
      <c r="CT76" s="20">
        <f>IF(AND(CS4=0,CS76&gt;=0), "",CS76/CS4)</f>
        <v>0</v>
      </c>
      <c r="CU76" s="37">
        <f>IF(AND(CS124=0,CS76&gt;=0),"",CS76/CS124)</f>
        <v>0</v>
      </c>
      <c r="CV76" s="103">
        <f t="shared" si="61"/>
        <v>0</v>
      </c>
      <c r="CW76" s="20" t="str">
        <f>IF(AND(CV4=0,CV76&gt;=0), "",CV76/CV4)</f>
        <v/>
      </c>
      <c r="CX76" s="37" t="str">
        <f t="shared" si="48"/>
        <v/>
      </c>
    </row>
    <row r="77" spans="1:102" hidden="1" outlineLevel="1" x14ac:dyDescent="0.25">
      <c r="A77" s="19" t="s">
        <v>71</v>
      </c>
      <c r="B77" s="101">
        <f>+'N EERR RODEO'!B130</f>
        <v>0</v>
      </c>
      <c r="C77" s="20" t="str">
        <f>IF(AND(B4=0,B77&gt;=0), "",B77/B4)</f>
        <v/>
      </c>
      <c r="D77" s="37" t="str">
        <f>IF(AND(B124=0,B77&gt;=0),"",B77/B124)</f>
        <v/>
      </c>
      <c r="E77" s="101">
        <f>+'N EERR RODEO'!C130</f>
        <v>98.7</v>
      </c>
      <c r="F77" s="20">
        <f>IF(AND(E4=0,E77&gt;=0), "",E77/E4)</f>
        <v>2.0591229054370236E-3</v>
      </c>
      <c r="G77" s="37">
        <f>IF(AND(E124=0,E77&gt;=0),"",E77/E124)</f>
        <v>3.1874892821883941E-3</v>
      </c>
      <c r="H77" s="101">
        <f>+'N EERR RODEO'!D130</f>
        <v>0</v>
      </c>
      <c r="I77" s="20">
        <f>IF(AND(H4=0,H77&gt;=0), "",H77/H4)</f>
        <v>0</v>
      </c>
      <c r="J77" s="37">
        <f>IF(AND(H124=0,H77&gt;=0),"",H77/H124)</f>
        <v>0</v>
      </c>
      <c r="K77" s="20">
        <f t="shared" si="19"/>
        <v>-1</v>
      </c>
      <c r="L77" s="102">
        <f t="shared" si="49"/>
        <v>98.7</v>
      </c>
      <c r="M77" s="20">
        <f>IF(AND(L4=0,L77&gt;=0), "",L77/L4)</f>
        <v>9.9279724092895638E-4</v>
      </c>
      <c r="N77" s="37">
        <f>IF(AND(L124=0,L77&gt;=0),"",L77/L124)</f>
        <v>1.9622461455879288E-3</v>
      </c>
      <c r="O77" s="101">
        <f>+'N EERR RODEO'!E130</f>
        <v>126.9</v>
      </c>
      <c r="P77" s="20">
        <f>IF(AND(O4=0,O77&gt;=0), "",O77/O4)</f>
        <v>1.979528338765467E-3</v>
      </c>
      <c r="Q77" s="37">
        <f>IF(AND(O124=0,O77&gt;=0),"",O77/O124)</f>
        <v>4.8926508451678421E-3</v>
      </c>
      <c r="R77" s="20">
        <f t="shared" si="20"/>
        <v>1</v>
      </c>
      <c r="S77" s="102">
        <f t="shared" si="50"/>
        <v>225.60000000000002</v>
      </c>
      <c r="T77" s="20">
        <f>IF(AND(S4=0,S77&gt;=0), "",S77/S4)</f>
        <v>1.3796287661159263E-3</v>
      </c>
      <c r="U77" s="37">
        <f>IF(AND(S124=0,S77&gt;=0),"",S77/S124)</f>
        <v>2.959217885009201E-3</v>
      </c>
      <c r="V77" s="103"/>
      <c r="W77" s="20" t="str">
        <f>IF(AND(V4=0,V77&gt;=0), "",V77/V4)</f>
        <v/>
      </c>
      <c r="X77" s="37">
        <f t="shared" si="21"/>
        <v>1</v>
      </c>
      <c r="Y77" s="101">
        <f>+'N EERR RODEO'!F130</f>
        <v>0</v>
      </c>
      <c r="Z77" s="20" t="str">
        <f>IF(AND(Y4=0,Y77&gt;=0), "",Y77/Y4)</f>
        <v/>
      </c>
      <c r="AA77" s="37" t="str">
        <f>IF(AND(Y124=0,Y77&gt;=0),"",Y77/Y124)</f>
        <v/>
      </c>
      <c r="AB77" s="20">
        <f t="shared" si="22"/>
        <v>-1</v>
      </c>
      <c r="AC77" s="102">
        <f t="shared" si="51"/>
        <v>225.60000000000002</v>
      </c>
      <c r="AD77" s="20">
        <f>IF(AND(AC4=0,AC77&gt;=0), "",AC77/AC4)</f>
        <v>1.3796287661159263E-3</v>
      </c>
      <c r="AE77" s="37">
        <f>IF(AND(AC124=0,AC77&gt;=0),"",AC77/AC124)</f>
        <v>2.959217885009201E-3</v>
      </c>
      <c r="AF77" s="101">
        <f>+'N EERR RODEO'!G130</f>
        <v>0</v>
      </c>
      <c r="AG77" s="20" t="str">
        <f>IF(AND(AF4=0,AF77&gt;=0), "",AF77/AF4)</f>
        <v/>
      </c>
      <c r="AH77" s="37" t="str">
        <f>IF(AND(AF124=0,AF77&gt;=0),"",AF77/AF124)</f>
        <v/>
      </c>
      <c r="AI77" s="20" t="str">
        <f t="shared" si="41"/>
        <v/>
      </c>
      <c r="AJ77" s="102">
        <f t="shared" si="62"/>
        <v>225.60000000000002</v>
      </c>
      <c r="AK77" s="20">
        <f>IF(AND(AJ4=0,AJ77&gt;=0), "",AJ77/AJ4)</f>
        <v>1.3796287661159263E-3</v>
      </c>
      <c r="AL77" s="37">
        <f>IF(AND(AJ124=0,AJ77&gt;=0),"",AJ77/AJ124)</f>
        <v>2.959217885009201E-3</v>
      </c>
      <c r="AM77" s="101">
        <f>+'N EERR RODEO'!H130</f>
        <v>0</v>
      </c>
      <c r="AN77" s="20" t="str">
        <f>IF(AND(AM4=0,AM77&gt;=0), "",AM77/AM4)</f>
        <v/>
      </c>
      <c r="AO77" s="37" t="str">
        <f>IF(AND(AM124=0,AM77&gt;=0),"",AM77/AM124)</f>
        <v/>
      </c>
      <c r="AP77" s="20" t="str">
        <f t="shared" si="42"/>
        <v/>
      </c>
      <c r="AQ77" s="102">
        <f t="shared" si="63"/>
        <v>225.60000000000002</v>
      </c>
      <c r="AR77" s="20">
        <f>IF(AND(AQ4=0,AQ77&gt;=0), "",AQ77/AQ4)</f>
        <v>1.3796287661159263E-3</v>
      </c>
      <c r="AS77" s="37">
        <f>IF(AND(AQ124=0,AQ77&gt;=0),"",AQ77/AQ124)</f>
        <v>2.959217885009201E-3</v>
      </c>
      <c r="AT77" s="103">
        <f t="shared" si="52"/>
        <v>0</v>
      </c>
      <c r="AU77" s="20" t="str">
        <f>IF(AND(AT4=0,AT77&gt;=0), "",AT77/AT4)</f>
        <v/>
      </c>
      <c r="AV77" s="37">
        <f t="shared" si="23"/>
        <v>1</v>
      </c>
      <c r="AW77" s="103">
        <f t="shared" si="40"/>
        <v>37.6</v>
      </c>
      <c r="AX77" s="20">
        <f>IF(AND(AW4=0,AW77&gt;=0), "",AW77/AW4)</f>
        <v>1.3796287661159263E-3</v>
      </c>
      <c r="AY77" s="37">
        <f>IF(AND(AW124=0,AW77&gt;=0),"",AW77/AW124)</f>
        <v>2.9592178850092006E-3</v>
      </c>
      <c r="AZ77" s="103">
        <f t="shared" si="53"/>
        <v>0</v>
      </c>
      <c r="BA77" s="20" t="str">
        <f>IF(AND(AZ4=0,AZ77&gt;=0), "",AZ77/AZ4)</f>
        <v/>
      </c>
      <c r="BB77" s="37">
        <f t="shared" si="24"/>
        <v>1</v>
      </c>
      <c r="BC77" s="101">
        <f>+'N EERR RODEO'!I130</f>
        <v>0</v>
      </c>
      <c r="BD77" s="20" t="str">
        <f>IF(AND(BC4=0,BC77&gt;=0), "",BC77/BC4)</f>
        <v/>
      </c>
      <c r="BE77" s="37" t="str">
        <f>IF(AND(BC124=0,BC77&gt;=0),"",BC77/BC124)</f>
        <v/>
      </c>
      <c r="BF77" s="20" t="str">
        <f t="shared" si="25"/>
        <v/>
      </c>
      <c r="BG77" s="102">
        <f t="shared" si="54"/>
        <v>225.60000000000002</v>
      </c>
      <c r="BH77" s="20">
        <f>IF(AND(BG4=0,BG77&gt;=0), "",BG77/BG4)</f>
        <v>1.3796287661159263E-3</v>
      </c>
      <c r="BI77" s="37">
        <f>IF(AND(BG124=0,BG77&gt;=0),"",BG77/BG124)</f>
        <v>2.959217885009201E-3</v>
      </c>
      <c r="BJ77" s="101">
        <f>+'N EERR RODEO'!J130</f>
        <v>0</v>
      </c>
      <c r="BK77" s="20" t="str">
        <f>IF(AND(BJ4=0,BJ77&gt;=0), "",BJ77/BJ4)</f>
        <v/>
      </c>
      <c r="BL77" s="37" t="str">
        <f>IF(AND(BJ124=0,BJ77&gt;=0),"",BJ77/BJ124)</f>
        <v/>
      </c>
      <c r="BM77" s="20" t="str">
        <f t="shared" si="43"/>
        <v/>
      </c>
      <c r="BN77" s="102">
        <f t="shared" si="55"/>
        <v>225.60000000000002</v>
      </c>
      <c r="BO77" s="20">
        <f>IF(AND(BN4=0,BN77&gt;=0), "",BN77/BN4)</f>
        <v>1.3796287661159263E-3</v>
      </c>
      <c r="BP77" s="37">
        <f>IF(AND(BN124=0,BN77&gt;=0),"",BN77/BN124)</f>
        <v>2.959217885009201E-3</v>
      </c>
      <c r="BQ77" s="101">
        <f>+'N EERR RODEO'!K130</f>
        <v>0</v>
      </c>
      <c r="BR77" s="20" t="str">
        <f>IF(AND(BQ4=0,BQ77&gt;=0), "",BQ77/BQ4)</f>
        <v/>
      </c>
      <c r="BS77" s="37" t="str">
        <f>IF(AND(BQ124=0,BQ77&gt;=0),"",BQ77/BQ124)</f>
        <v/>
      </c>
      <c r="BT77" s="20" t="str">
        <f t="shared" si="44"/>
        <v/>
      </c>
      <c r="BU77" s="102">
        <f t="shared" si="56"/>
        <v>225.60000000000002</v>
      </c>
      <c r="BV77" s="20">
        <f>IF(AND(BU4=0,BU77&gt;=0), "",BU77/BU4)</f>
        <v>1.3796287661159263E-3</v>
      </c>
      <c r="BW77" s="37">
        <f>IF(AND(BU124=0,BU77&gt;=0),"",BU77/BU124)</f>
        <v>2.959217885009201E-3</v>
      </c>
      <c r="BX77" s="103">
        <f t="shared" si="57"/>
        <v>0</v>
      </c>
      <c r="BY77" s="20" t="str">
        <f>IF(AND(BX4=0,BX77&gt;=0), "",BX77/BX4)</f>
        <v/>
      </c>
      <c r="BZ77" s="37">
        <f t="shared" si="45"/>
        <v>1</v>
      </c>
      <c r="CA77" s="101">
        <f>+'N EERR RODEO'!L130</f>
        <v>0</v>
      </c>
      <c r="CB77" s="20" t="str">
        <f>IF(AND(CA4=0,CA77&gt;=0), "",CA77/CA4)</f>
        <v/>
      </c>
      <c r="CC77" s="37" t="str">
        <f>IF(AND(CA124=0,CA77&gt;=0),"",CA77/CA124)</f>
        <v/>
      </c>
      <c r="CD77" s="20" t="str">
        <f t="shared" si="26"/>
        <v/>
      </c>
      <c r="CE77" s="102">
        <f t="shared" si="58"/>
        <v>225.60000000000002</v>
      </c>
      <c r="CF77" s="20">
        <f>IF(AND(CE4=0,CE77&gt;=0), "",CE77/CE4)</f>
        <v>1.3796287661159263E-3</v>
      </c>
      <c r="CG77" s="37">
        <f>IF(AND(CE124=0,CE77&gt;=0),"",CE77/CE124)</f>
        <v>2.959217885009201E-3</v>
      </c>
      <c r="CH77" s="101">
        <f>+'N EERR RODEO'!M130</f>
        <v>0</v>
      </c>
      <c r="CI77" s="20" t="str">
        <f>IF(AND(CH4=0,CH77&gt;=0), "",CH77/CH4)</f>
        <v/>
      </c>
      <c r="CJ77" s="37" t="str">
        <f>IF(AND(CH124=0,CH77&gt;=0),"",CH77/CH124)</f>
        <v/>
      </c>
      <c r="CK77" s="20" t="str">
        <f t="shared" si="46"/>
        <v/>
      </c>
      <c r="CL77" s="102">
        <f t="shared" si="59"/>
        <v>225.60000000000002</v>
      </c>
      <c r="CM77" s="20">
        <f>IF(AND(CL4=0,CL77&gt;=0), "",CL77/CL4)</f>
        <v>1.3796287661159263E-3</v>
      </c>
      <c r="CN77" s="37">
        <f>IF(AND(CL124=0,CL77&gt;=0),"",CL77/CL124)</f>
        <v>2.959217885009201E-3</v>
      </c>
      <c r="CO77" s="101">
        <f>+'N EERR RODEO'!N130</f>
        <v>0</v>
      </c>
      <c r="CP77" s="20" t="str">
        <f>IF(AND(CO4=0,CO77&gt;=0), "",CO77/CO4)</f>
        <v/>
      </c>
      <c r="CQ77" s="37" t="str">
        <f>IF(AND(CO124=0,CO77&gt;=0),"",CO77/CO124)</f>
        <v/>
      </c>
      <c r="CR77" s="20" t="str">
        <f t="shared" si="47"/>
        <v/>
      </c>
      <c r="CS77" s="102">
        <f t="shared" si="60"/>
        <v>225.60000000000002</v>
      </c>
      <c r="CT77" s="20">
        <f>IF(AND(CS4=0,CS77&gt;=0), "",CS77/CS4)</f>
        <v>1.3796287661159263E-3</v>
      </c>
      <c r="CU77" s="37">
        <f>IF(AND(CS124=0,CS77&gt;=0),"",CS77/CS124)</f>
        <v>2.959217885009201E-3</v>
      </c>
      <c r="CV77" s="103">
        <f t="shared" si="61"/>
        <v>0</v>
      </c>
      <c r="CW77" s="20" t="str">
        <f>IF(AND(CV4=0,CV77&gt;=0), "",CV77/CV4)</f>
        <v/>
      </c>
      <c r="CX77" s="37">
        <f t="shared" si="48"/>
        <v>1</v>
      </c>
    </row>
    <row r="78" spans="1:102" hidden="1" outlineLevel="1" x14ac:dyDescent="0.25">
      <c r="A78" s="19" t="s">
        <v>72</v>
      </c>
      <c r="B78" s="101">
        <f>+'N EERR RODEO'!B131</f>
        <v>0</v>
      </c>
      <c r="C78" s="20" t="str">
        <f>IF(AND(B4=0,B78&gt;=0), "",B78/B4)</f>
        <v/>
      </c>
      <c r="D78" s="37" t="str">
        <f>IF(AND(B124=0,B78&gt;=0),"",B78/B124)</f>
        <v/>
      </c>
      <c r="E78" s="101">
        <f>+'N EERR RODEO'!C131</f>
        <v>12.82</v>
      </c>
      <c r="F78" s="20">
        <f>IF(AND(E4=0,E78&gt;=0), "",E78/E4)</f>
        <v>2.6745649085818278E-4</v>
      </c>
      <c r="G78" s="37">
        <f>IF(AND(E124=0,E78&gt;=0),"",E78/E124)</f>
        <v>4.1401836471788463E-4</v>
      </c>
      <c r="H78" s="101">
        <f>+'N EERR RODEO'!D131</f>
        <v>67.75</v>
      </c>
      <c r="I78" s="20">
        <f>IF(AND(H4=0,H78&gt;=0), "",H78/H4)</f>
        <v>1.3159673554630805E-3</v>
      </c>
      <c r="J78" s="37">
        <f>IF(AND(H124=0,H78&gt;=0),"",H78/H124)</f>
        <v>3.5040644561666104E-3</v>
      </c>
      <c r="K78" s="20">
        <f t="shared" si="19"/>
        <v>4.2847113884555377</v>
      </c>
      <c r="L78" s="102">
        <f t="shared" si="49"/>
        <v>80.569999999999993</v>
      </c>
      <c r="M78" s="20">
        <f>IF(AND(L4=0,L78&gt;=0), "",L78/L4)</f>
        <v>8.1043235766611963E-4</v>
      </c>
      <c r="N78" s="37">
        <f>IF(AND(L124=0,L78&gt;=0),"",L78/L124)</f>
        <v>1.6018051869302876E-3</v>
      </c>
      <c r="O78" s="101">
        <f>+'N EERR RODEO'!E131</f>
        <v>90</v>
      </c>
      <c r="P78" s="20">
        <f>IF(AND(O4=0,O78&gt;=0), "",O78/O4)</f>
        <v>1.4039208076350829E-3</v>
      </c>
      <c r="Q78" s="37">
        <f>IF(AND(O124=0,O78&gt;=0),"",O78/O124)</f>
        <v>3.4699651384169092E-3</v>
      </c>
      <c r="R78" s="20">
        <f t="shared" si="20"/>
        <v>0.32841328413284132</v>
      </c>
      <c r="S78" s="102">
        <f t="shared" si="50"/>
        <v>170.57</v>
      </c>
      <c r="T78" s="20">
        <f>IF(AND(S4=0,S78&gt;=0), "",S78/S4)</f>
        <v>1.0430996393457159E-3</v>
      </c>
      <c r="U78" s="37">
        <f>IF(AND(S124=0,S78&gt;=0),"",S78/S124)</f>
        <v>2.2373838415160434E-3</v>
      </c>
      <c r="V78" s="103"/>
      <c r="W78" s="20" t="str">
        <f>IF(AND(V4=0,V78&gt;=0), "",V78/V4)</f>
        <v/>
      </c>
      <c r="X78" s="37">
        <f t="shared" si="21"/>
        <v>1</v>
      </c>
      <c r="Y78" s="101">
        <f>+'N EERR RODEO'!F131</f>
        <v>0</v>
      </c>
      <c r="Z78" s="20" t="str">
        <f>IF(AND(Y4=0,Y78&gt;=0), "",Y78/Y4)</f>
        <v/>
      </c>
      <c r="AA78" s="37" t="str">
        <f>IF(AND(Y124=0,Y78&gt;=0),"",Y78/Y124)</f>
        <v/>
      </c>
      <c r="AB78" s="20">
        <f t="shared" si="22"/>
        <v>-1</v>
      </c>
      <c r="AC78" s="102">
        <f t="shared" si="51"/>
        <v>170.57</v>
      </c>
      <c r="AD78" s="20">
        <f>IF(AND(AC4=0,AC78&gt;=0), "",AC78/AC4)</f>
        <v>1.0430996393457159E-3</v>
      </c>
      <c r="AE78" s="37">
        <f>IF(AND(AC124=0,AC78&gt;=0),"",AC78/AC124)</f>
        <v>2.2373838415160434E-3</v>
      </c>
      <c r="AF78" s="101">
        <f>+'N EERR RODEO'!G131</f>
        <v>0</v>
      </c>
      <c r="AG78" s="20" t="str">
        <f>IF(AND(AF4=0,AF78&gt;=0), "",AF78/AF4)</f>
        <v/>
      </c>
      <c r="AH78" s="37" t="str">
        <f>IF(AND(AF124=0,AF78&gt;=0),"",AF78/AF124)</f>
        <v/>
      </c>
      <c r="AI78" s="20" t="str">
        <f t="shared" si="41"/>
        <v/>
      </c>
      <c r="AJ78" s="102">
        <f t="shared" si="62"/>
        <v>170.57</v>
      </c>
      <c r="AK78" s="20">
        <f>IF(AND(AJ4=0,AJ78&gt;=0), "",AJ78/AJ4)</f>
        <v>1.0430996393457159E-3</v>
      </c>
      <c r="AL78" s="37">
        <f>IF(AND(AJ124=0,AJ78&gt;=0),"",AJ78/AJ124)</f>
        <v>2.2373838415160434E-3</v>
      </c>
      <c r="AM78" s="101">
        <f>+'N EERR RODEO'!H131</f>
        <v>0</v>
      </c>
      <c r="AN78" s="20" t="str">
        <f>IF(AND(AM4=0,AM78&gt;=0), "",AM78/AM4)</f>
        <v/>
      </c>
      <c r="AO78" s="37" t="str">
        <f>IF(AND(AM124=0,AM78&gt;=0),"",AM78/AM124)</f>
        <v/>
      </c>
      <c r="AP78" s="20" t="str">
        <f t="shared" si="42"/>
        <v/>
      </c>
      <c r="AQ78" s="102">
        <f t="shared" si="63"/>
        <v>170.57</v>
      </c>
      <c r="AR78" s="20">
        <f>IF(AND(AQ4=0,AQ78&gt;=0), "",AQ78/AQ4)</f>
        <v>1.0430996393457159E-3</v>
      </c>
      <c r="AS78" s="37">
        <f>IF(AND(AQ124=0,AQ78&gt;=0),"",AQ78/AQ124)</f>
        <v>2.2373838415160434E-3</v>
      </c>
      <c r="AT78" s="103">
        <f t="shared" si="52"/>
        <v>0</v>
      </c>
      <c r="AU78" s="20" t="str">
        <f>IF(AND(AT4=0,AT78&gt;=0), "",AT78/AT4)</f>
        <v/>
      </c>
      <c r="AV78" s="37">
        <f t="shared" si="23"/>
        <v>1</v>
      </c>
      <c r="AW78" s="103">
        <f t="shared" si="40"/>
        <v>28.428333333333331</v>
      </c>
      <c r="AX78" s="20">
        <f>IF(AND(AW4=0,AW78&gt;=0), "",AW78/AW4)</f>
        <v>1.0430996393457159E-3</v>
      </c>
      <c r="AY78" s="37">
        <f>IF(AND(AW124=0,AW78&gt;=0),"",AW78/AW124)</f>
        <v>2.237383841516043E-3</v>
      </c>
      <c r="AZ78" s="103">
        <f t="shared" si="53"/>
        <v>0</v>
      </c>
      <c r="BA78" s="20" t="str">
        <f>IF(AND(AZ4=0,AZ78&gt;=0), "",AZ78/AZ4)</f>
        <v/>
      </c>
      <c r="BB78" s="37">
        <f t="shared" si="24"/>
        <v>1</v>
      </c>
      <c r="BC78" s="101">
        <f>+'N EERR RODEO'!I131</f>
        <v>0</v>
      </c>
      <c r="BD78" s="20" t="str">
        <f>IF(AND(BC4=0,BC78&gt;=0), "",BC78/BC4)</f>
        <v/>
      </c>
      <c r="BE78" s="37" t="str">
        <f>IF(AND(BC124=0,BC78&gt;=0),"",BC78/BC124)</f>
        <v/>
      </c>
      <c r="BF78" s="20" t="str">
        <f t="shared" si="25"/>
        <v/>
      </c>
      <c r="BG78" s="102">
        <f t="shared" si="54"/>
        <v>170.57</v>
      </c>
      <c r="BH78" s="20">
        <f>IF(AND(BG4=0,BG78&gt;=0), "",BG78/BG4)</f>
        <v>1.0430996393457159E-3</v>
      </c>
      <c r="BI78" s="37">
        <f>IF(AND(BG124=0,BG78&gt;=0),"",BG78/BG124)</f>
        <v>2.2373838415160434E-3</v>
      </c>
      <c r="BJ78" s="101">
        <f>+'N EERR RODEO'!J131</f>
        <v>0</v>
      </c>
      <c r="BK78" s="20" t="str">
        <f>IF(AND(BJ4=0,BJ78&gt;=0), "",BJ78/BJ4)</f>
        <v/>
      </c>
      <c r="BL78" s="37" t="str">
        <f>IF(AND(BJ124=0,BJ78&gt;=0),"",BJ78/BJ124)</f>
        <v/>
      </c>
      <c r="BM78" s="20" t="str">
        <f t="shared" si="43"/>
        <v/>
      </c>
      <c r="BN78" s="102">
        <f t="shared" si="55"/>
        <v>170.57</v>
      </c>
      <c r="BO78" s="20">
        <f>IF(AND(BN4=0,BN78&gt;=0), "",BN78/BN4)</f>
        <v>1.0430996393457159E-3</v>
      </c>
      <c r="BP78" s="37">
        <f>IF(AND(BN124=0,BN78&gt;=0),"",BN78/BN124)</f>
        <v>2.2373838415160434E-3</v>
      </c>
      <c r="BQ78" s="101">
        <f>+'N EERR RODEO'!K131</f>
        <v>0</v>
      </c>
      <c r="BR78" s="20" t="str">
        <f>IF(AND(BQ4=0,BQ78&gt;=0), "",BQ78/BQ4)</f>
        <v/>
      </c>
      <c r="BS78" s="37" t="str">
        <f>IF(AND(BQ124=0,BQ78&gt;=0),"",BQ78/BQ124)</f>
        <v/>
      </c>
      <c r="BT78" s="20" t="str">
        <f t="shared" si="44"/>
        <v/>
      </c>
      <c r="BU78" s="102">
        <f t="shared" si="56"/>
        <v>170.57</v>
      </c>
      <c r="BV78" s="20">
        <f>IF(AND(BU4=0,BU78&gt;=0), "",BU78/BU4)</f>
        <v>1.0430996393457159E-3</v>
      </c>
      <c r="BW78" s="37">
        <f>IF(AND(BU124=0,BU78&gt;=0),"",BU78/BU124)</f>
        <v>2.2373838415160434E-3</v>
      </c>
      <c r="BX78" s="103">
        <f t="shared" si="57"/>
        <v>0</v>
      </c>
      <c r="BY78" s="20" t="str">
        <f>IF(AND(BX4=0,BX78&gt;=0), "",BX78/BX4)</f>
        <v/>
      </c>
      <c r="BZ78" s="37">
        <f t="shared" si="45"/>
        <v>1</v>
      </c>
      <c r="CA78" s="101">
        <f>+'N EERR RODEO'!L131</f>
        <v>0</v>
      </c>
      <c r="CB78" s="20" t="str">
        <f>IF(AND(CA4=0,CA78&gt;=0), "",CA78/CA4)</f>
        <v/>
      </c>
      <c r="CC78" s="37" t="str">
        <f>IF(AND(CA124=0,CA78&gt;=0),"",CA78/CA124)</f>
        <v/>
      </c>
      <c r="CD78" s="20" t="str">
        <f t="shared" si="26"/>
        <v/>
      </c>
      <c r="CE78" s="102">
        <f t="shared" si="58"/>
        <v>170.57</v>
      </c>
      <c r="CF78" s="20">
        <f>IF(AND(CE4=0,CE78&gt;=0), "",CE78/CE4)</f>
        <v>1.0430996393457159E-3</v>
      </c>
      <c r="CG78" s="37">
        <f>IF(AND(CE124=0,CE78&gt;=0),"",CE78/CE124)</f>
        <v>2.2373838415160434E-3</v>
      </c>
      <c r="CH78" s="101">
        <f>+'N EERR RODEO'!M131</f>
        <v>0</v>
      </c>
      <c r="CI78" s="20" t="str">
        <f>IF(AND(CH4=0,CH78&gt;=0), "",CH78/CH4)</f>
        <v/>
      </c>
      <c r="CJ78" s="37" t="str">
        <f>IF(AND(CH124=0,CH78&gt;=0),"",CH78/CH124)</f>
        <v/>
      </c>
      <c r="CK78" s="20" t="str">
        <f t="shared" si="46"/>
        <v/>
      </c>
      <c r="CL78" s="102">
        <f t="shared" si="59"/>
        <v>170.57</v>
      </c>
      <c r="CM78" s="20">
        <f>IF(AND(CL4=0,CL78&gt;=0), "",CL78/CL4)</f>
        <v>1.0430996393457159E-3</v>
      </c>
      <c r="CN78" s="37">
        <f>IF(AND(CL124=0,CL78&gt;=0),"",CL78/CL124)</f>
        <v>2.2373838415160434E-3</v>
      </c>
      <c r="CO78" s="101">
        <f>+'N EERR RODEO'!N131</f>
        <v>0</v>
      </c>
      <c r="CP78" s="20" t="str">
        <f>IF(AND(CO4=0,CO78&gt;=0), "",CO78/CO4)</f>
        <v/>
      </c>
      <c r="CQ78" s="37" t="str">
        <f>IF(AND(CO124=0,CO78&gt;=0),"",CO78/CO124)</f>
        <v/>
      </c>
      <c r="CR78" s="20" t="str">
        <f t="shared" si="47"/>
        <v/>
      </c>
      <c r="CS78" s="102">
        <f t="shared" si="60"/>
        <v>170.57</v>
      </c>
      <c r="CT78" s="20">
        <f>IF(AND(CS4=0,CS78&gt;=0), "",CS78/CS4)</f>
        <v>1.0430996393457159E-3</v>
      </c>
      <c r="CU78" s="37">
        <f>IF(AND(CS124=0,CS78&gt;=0),"",CS78/CS124)</f>
        <v>2.2373838415160434E-3</v>
      </c>
      <c r="CV78" s="103">
        <f t="shared" si="61"/>
        <v>0</v>
      </c>
      <c r="CW78" s="20" t="str">
        <f>IF(AND(CV4=0,CV78&gt;=0), "",CV78/CV4)</f>
        <v/>
      </c>
      <c r="CX78" s="37">
        <f t="shared" si="48"/>
        <v>1</v>
      </c>
    </row>
    <row r="79" spans="1:102" hidden="1" outlineLevel="1" x14ac:dyDescent="0.25">
      <c r="A79" s="19" t="s">
        <v>73</v>
      </c>
      <c r="B79" s="101">
        <f>+'N EERR RODEO'!B132</f>
        <v>0</v>
      </c>
      <c r="C79" s="20" t="str">
        <f>IF(AND(B4=0,B79&gt;=0), "",B79/B4)</f>
        <v/>
      </c>
      <c r="D79" s="37" t="str">
        <f>IF(AND(B124=0,B79&gt;=0),"",B79/B124)</f>
        <v/>
      </c>
      <c r="E79" s="101">
        <f>+'N EERR RODEO'!C132</f>
        <v>0</v>
      </c>
      <c r="F79" s="20">
        <f>IF(AND(E4=0,E79&gt;=0), "",E79/E4)</f>
        <v>0</v>
      </c>
      <c r="G79" s="37">
        <f>IF(AND(E124=0,E79&gt;=0),"",E79/E124)</f>
        <v>0</v>
      </c>
      <c r="H79" s="101">
        <f>+'N EERR RODEO'!D132</f>
        <v>0</v>
      </c>
      <c r="I79" s="20">
        <f>IF(AND(H4=0,H79&gt;=0), "",H79/H4)</f>
        <v>0</v>
      </c>
      <c r="J79" s="37">
        <f>IF(AND(H124=0,H79&gt;=0),"",H79/H124)</f>
        <v>0</v>
      </c>
      <c r="K79" s="20" t="str">
        <f t="shared" si="19"/>
        <v/>
      </c>
      <c r="L79" s="102">
        <f t="shared" si="49"/>
        <v>0</v>
      </c>
      <c r="M79" s="20">
        <f>IF(AND(L4=0,L79&gt;=0), "",L79/L4)</f>
        <v>0</v>
      </c>
      <c r="N79" s="37">
        <f>IF(AND(L124=0,L79&gt;=0),"",L79/L124)</f>
        <v>0</v>
      </c>
      <c r="O79" s="101">
        <f>+'N EERR RODEO'!E132</f>
        <v>0</v>
      </c>
      <c r="P79" s="20">
        <f>IF(AND(O4=0,O79&gt;=0), "",O79/O4)</f>
        <v>0</v>
      </c>
      <c r="Q79" s="37">
        <f>IF(AND(O124=0,O79&gt;=0),"",O79/O124)</f>
        <v>0</v>
      </c>
      <c r="R79" s="20" t="str">
        <f t="shared" si="20"/>
        <v/>
      </c>
      <c r="S79" s="102">
        <f t="shared" si="50"/>
        <v>0</v>
      </c>
      <c r="T79" s="20">
        <f>IF(AND(S4=0,S79&gt;=0), "",S79/S4)</f>
        <v>0</v>
      </c>
      <c r="U79" s="37">
        <f>IF(AND(S124=0,S79&gt;=0),"",S79/S124)</f>
        <v>0</v>
      </c>
      <c r="V79" s="103"/>
      <c r="W79" s="20" t="str">
        <f>IF(AND(V4=0,V79&gt;=0), "",V79/V4)</f>
        <v/>
      </c>
      <c r="X79" s="37" t="str">
        <f t="shared" si="21"/>
        <v/>
      </c>
      <c r="Y79" s="101">
        <f>+'N EERR RODEO'!F132</f>
        <v>0</v>
      </c>
      <c r="Z79" s="20" t="str">
        <f>IF(AND(Y4=0,Y79&gt;=0), "",Y79/Y4)</f>
        <v/>
      </c>
      <c r="AA79" s="37" t="str">
        <f>IF(AND(Y124=0,Y79&gt;=0),"",Y79/Y124)</f>
        <v/>
      </c>
      <c r="AB79" s="20" t="str">
        <f t="shared" si="22"/>
        <v/>
      </c>
      <c r="AC79" s="102">
        <f t="shared" si="51"/>
        <v>0</v>
      </c>
      <c r="AD79" s="20">
        <f>IF(AND(AC4=0,AC79&gt;=0), "",AC79/AC4)</f>
        <v>0</v>
      </c>
      <c r="AE79" s="37">
        <f>IF(AND(AC124=0,AC79&gt;=0),"",AC79/AC124)</f>
        <v>0</v>
      </c>
      <c r="AF79" s="101">
        <f>+'N EERR RODEO'!G132</f>
        <v>0</v>
      </c>
      <c r="AG79" s="20" t="str">
        <f>IF(AND(AF4=0,AF79&gt;=0), "",AF79/AF4)</f>
        <v/>
      </c>
      <c r="AH79" s="37" t="str">
        <f>IF(AND(AF124=0,AF79&gt;=0),"",AF79/AF124)</f>
        <v/>
      </c>
      <c r="AI79" s="20" t="str">
        <f t="shared" si="41"/>
        <v/>
      </c>
      <c r="AJ79" s="102">
        <f t="shared" si="62"/>
        <v>0</v>
      </c>
      <c r="AK79" s="20">
        <f>IF(AND(AJ4=0,AJ79&gt;=0), "",AJ79/AJ4)</f>
        <v>0</v>
      </c>
      <c r="AL79" s="37">
        <f>IF(AND(AJ124=0,AJ79&gt;=0),"",AJ79/AJ124)</f>
        <v>0</v>
      </c>
      <c r="AM79" s="101">
        <f>+'N EERR RODEO'!H132</f>
        <v>0</v>
      </c>
      <c r="AN79" s="20" t="str">
        <f>IF(AND(AM4=0,AM79&gt;=0), "",AM79/AM4)</f>
        <v/>
      </c>
      <c r="AO79" s="37" t="str">
        <f>IF(AND(AM124=0,AM79&gt;=0),"",AM79/AM124)</f>
        <v/>
      </c>
      <c r="AP79" s="20" t="str">
        <f t="shared" si="42"/>
        <v/>
      </c>
      <c r="AQ79" s="102">
        <f t="shared" si="63"/>
        <v>0</v>
      </c>
      <c r="AR79" s="20">
        <f>IF(AND(AQ4=0,AQ79&gt;=0), "",AQ79/AQ4)</f>
        <v>0</v>
      </c>
      <c r="AS79" s="37">
        <f>IF(AND(AQ124=0,AQ79&gt;=0),"",AQ79/AQ124)</f>
        <v>0</v>
      </c>
      <c r="AT79" s="103">
        <f t="shared" si="52"/>
        <v>0</v>
      </c>
      <c r="AU79" s="20" t="str">
        <f>IF(AND(AT4=0,AT79&gt;=0), "",AT79/AT4)</f>
        <v/>
      </c>
      <c r="AV79" s="37" t="str">
        <f t="shared" si="23"/>
        <v/>
      </c>
      <c r="AW79" s="103">
        <f t="shared" si="40"/>
        <v>0</v>
      </c>
      <c r="AX79" s="20">
        <f>IF(AND(AW4=0,AW79&gt;=0), "",AW79/AW4)</f>
        <v>0</v>
      </c>
      <c r="AY79" s="37">
        <f>IF(AND(AW124=0,AW79&gt;=0),"",AW79/AW124)</f>
        <v>0</v>
      </c>
      <c r="AZ79" s="103">
        <f t="shared" si="53"/>
        <v>0</v>
      </c>
      <c r="BA79" s="20" t="str">
        <f>IF(AND(AZ4=0,AZ79&gt;=0), "",AZ79/AZ4)</f>
        <v/>
      </c>
      <c r="BB79" s="37" t="str">
        <f t="shared" si="24"/>
        <v/>
      </c>
      <c r="BC79" s="101">
        <f>+'N EERR RODEO'!I132</f>
        <v>0</v>
      </c>
      <c r="BD79" s="20" t="str">
        <f>IF(AND(BC4=0,BC79&gt;=0), "",BC79/BC4)</f>
        <v/>
      </c>
      <c r="BE79" s="37" t="str">
        <f>IF(AND(BC124=0,BC79&gt;=0),"",BC79/BC124)</f>
        <v/>
      </c>
      <c r="BF79" s="20" t="str">
        <f t="shared" si="25"/>
        <v/>
      </c>
      <c r="BG79" s="102">
        <f t="shared" si="54"/>
        <v>0</v>
      </c>
      <c r="BH79" s="20">
        <f>IF(AND(BG4=0,BG79&gt;=0), "",BG79/BG4)</f>
        <v>0</v>
      </c>
      <c r="BI79" s="37">
        <f>IF(AND(BG124=0,BG79&gt;=0),"",BG79/BG124)</f>
        <v>0</v>
      </c>
      <c r="BJ79" s="101">
        <f>+'N EERR RODEO'!J132</f>
        <v>0</v>
      </c>
      <c r="BK79" s="20" t="str">
        <f>IF(AND(BJ4=0,BJ79&gt;=0), "",BJ79/BJ4)</f>
        <v/>
      </c>
      <c r="BL79" s="37" t="str">
        <f>IF(AND(BJ124=0,BJ79&gt;=0),"",BJ79/BJ124)</f>
        <v/>
      </c>
      <c r="BM79" s="20" t="str">
        <f t="shared" si="43"/>
        <v/>
      </c>
      <c r="BN79" s="102">
        <f t="shared" si="55"/>
        <v>0</v>
      </c>
      <c r="BO79" s="20">
        <f>IF(AND(BN4=0,BN79&gt;=0), "",BN79/BN4)</f>
        <v>0</v>
      </c>
      <c r="BP79" s="37">
        <f>IF(AND(BN124=0,BN79&gt;=0),"",BN79/BN124)</f>
        <v>0</v>
      </c>
      <c r="BQ79" s="101">
        <f>+'N EERR RODEO'!K132</f>
        <v>0</v>
      </c>
      <c r="BR79" s="20" t="str">
        <f>IF(AND(BQ4=0,BQ79&gt;=0), "",BQ79/BQ4)</f>
        <v/>
      </c>
      <c r="BS79" s="37" t="str">
        <f>IF(AND(BQ124=0,BQ79&gt;=0),"",BQ79/BQ124)</f>
        <v/>
      </c>
      <c r="BT79" s="20" t="str">
        <f t="shared" si="44"/>
        <v/>
      </c>
      <c r="BU79" s="102">
        <f t="shared" si="56"/>
        <v>0</v>
      </c>
      <c r="BV79" s="20">
        <f>IF(AND(BU4=0,BU79&gt;=0), "",BU79/BU4)</f>
        <v>0</v>
      </c>
      <c r="BW79" s="37">
        <f>IF(AND(BU124=0,BU79&gt;=0),"",BU79/BU124)</f>
        <v>0</v>
      </c>
      <c r="BX79" s="103">
        <f t="shared" si="57"/>
        <v>0</v>
      </c>
      <c r="BY79" s="20" t="str">
        <f>IF(AND(BX4=0,BX79&gt;=0), "",BX79/BX4)</f>
        <v/>
      </c>
      <c r="BZ79" s="37" t="str">
        <f t="shared" si="45"/>
        <v/>
      </c>
      <c r="CA79" s="101">
        <f>+'N EERR RODEO'!L132</f>
        <v>0</v>
      </c>
      <c r="CB79" s="20" t="str">
        <f>IF(AND(CA4=0,CA79&gt;=0), "",CA79/CA4)</f>
        <v/>
      </c>
      <c r="CC79" s="37" t="str">
        <f>IF(AND(CA124=0,CA79&gt;=0),"",CA79/CA124)</f>
        <v/>
      </c>
      <c r="CD79" s="20" t="str">
        <f t="shared" si="26"/>
        <v/>
      </c>
      <c r="CE79" s="102">
        <f t="shared" si="58"/>
        <v>0</v>
      </c>
      <c r="CF79" s="20">
        <f>IF(AND(CE4=0,CE79&gt;=0), "",CE79/CE4)</f>
        <v>0</v>
      </c>
      <c r="CG79" s="37">
        <f>IF(AND(CE124=0,CE79&gt;=0),"",CE79/CE124)</f>
        <v>0</v>
      </c>
      <c r="CH79" s="101">
        <f>+'N EERR RODEO'!M132</f>
        <v>0</v>
      </c>
      <c r="CI79" s="20" t="str">
        <f>IF(AND(CH4=0,CH79&gt;=0), "",CH79/CH4)</f>
        <v/>
      </c>
      <c r="CJ79" s="37" t="str">
        <f>IF(AND(CH124=0,CH79&gt;=0),"",CH79/CH124)</f>
        <v/>
      </c>
      <c r="CK79" s="20" t="str">
        <f t="shared" si="46"/>
        <v/>
      </c>
      <c r="CL79" s="102">
        <f t="shared" si="59"/>
        <v>0</v>
      </c>
      <c r="CM79" s="20">
        <f>IF(AND(CL4=0,CL79&gt;=0), "",CL79/CL4)</f>
        <v>0</v>
      </c>
      <c r="CN79" s="37">
        <f>IF(AND(CL124=0,CL79&gt;=0),"",CL79/CL124)</f>
        <v>0</v>
      </c>
      <c r="CO79" s="101">
        <f>+'N EERR RODEO'!N132</f>
        <v>0</v>
      </c>
      <c r="CP79" s="20" t="str">
        <f>IF(AND(CO4=0,CO79&gt;=0), "",CO79/CO4)</f>
        <v/>
      </c>
      <c r="CQ79" s="37" t="str">
        <f>IF(AND(CO124=0,CO79&gt;=0),"",CO79/CO124)</f>
        <v/>
      </c>
      <c r="CR79" s="20" t="str">
        <f t="shared" si="47"/>
        <v/>
      </c>
      <c r="CS79" s="102">
        <f t="shared" si="60"/>
        <v>0</v>
      </c>
      <c r="CT79" s="20">
        <f>IF(AND(CS4=0,CS79&gt;=0), "",CS79/CS4)</f>
        <v>0</v>
      </c>
      <c r="CU79" s="37">
        <f>IF(AND(CS124=0,CS79&gt;=0),"",CS79/CS124)</f>
        <v>0</v>
      </c>
      <c r="CV79" s="103">
        <f t="shared" si="61"/>
        <v>0</v>
      </c>
      <c r="CW79" s="20" t="str">
        <f>IF(AND(CV4=0,CV79&gt;=0), "",CV79/CV4)</f>
        <v/>
      </c>
      <c r="CX79" s="37" t="str">
        <f t="shared" si="48"/>
        <v/>
      </c>
    </row>
    <row r="80" spans="1:102" hidden="1" outlineLevel="1" x14ac:dyDescent="0.25">
      <c r="A80" s="19" t="s">
        <v>74</v>
      </c>
      <c r="B80" s="101">
        <f>+'N EERR RODEO'!B133</f>
        <v>0</v>
      </c>
      <c r="C80" s="20" t="str">
        <f>IF(AND(B4=0,B80&gt;=0), "",B80/B4)</f>
        <v/>
      </c>
      <c r="D80" s="37" t="str">
        <f>IF(AND(B124=0,B80&gt;=0),"",B80/B124)</f>
        <v/>
      </c>
      <c r="E80" s="101">
        <f>+'N EERR RODEO'!C133</f>
        <v>394.83</v>
      </c>
      <c r="F80" s="20">
        <f>IF(AND(E4=0,E80&gt;=0), "",E80/E4)</f>
        <v>8.2371174949716301E-3</v>
      </c>
      <c r="G80" s="37">
        <f>IF(AND(E124=0,E80&gt;=0),"",E80/E124)</f>
        <v>1.2750925970480685E-2</v>
      </c>
      <c r="H80" s="101">
        <f>+'N EERR RODEO'!D133</f>
        <v>42</v>
      </c>
      <c r="I80" s="20">
        <f>IF(AND(H4=0,H80&gt;=0), "",H80/H4)</f>
        <v>8.1580264102508319E-4</v>
      </c>
      <c r="J80" s="37">
        <f>IF(AND(H124=0,H80&gt;=0),"",H80/H124)</f>
        <v>2.1722613602804079E-3</v>
      </c>
      <c r="K80" s="20">
        <f t="shared" si="19"/>
        <v>-0.89362510447534382</v>
      </c>
      <c r="L80" s="102">
        <f t="shared" si="49"/>
        <v>436.83</v>
      </c>
      <c r="M80" s="20">
        <f>IF(AND(L4=0,L80&gt;=0), "",L80/L4)</f>
        <v>4.3939576368287334E-3</v>
      </c>
      <c r="N80" s="37">
        <f>IF(AND(L124=0,L80&gt;=0),"",L80/L124)</f>
        <v>8.684579369576239E-3</v>
      </c>
      <c r="O80" s="101">
        <f>+'N EERR RODEO'!E133</f>
        <v>24.8</v>
      </c>
      <c r="P80" s="20">
        <f>IF(AND(O4=0,O80&gt;=0), "",O80/O4)</f>
        <v>3.8685817810388951E-4</v>
      </c>
      <c r="Q80" s="37">
        <f>IF(AND(O124=0,O80&gt;=0),"",O80/O124)</f>
        <v>9.5616817147488168E-4</v>
      </c>
      <c r="R80" s="20">
        <f t="shared" si="20"/>
        <v>-0.40952380952380951</v>
      </c>
      <c r="S80" s="102">
        <f t="shared" si="50"/>
        <v>461.63</v>
      </c>
      <c r="T80" s="20">
        <f>IF(AND(S4=0,S80&gt;=0), "",S80/S4)</f>
        <v>2.8230409011617687E-3</v>
      </c>
      <c r="U80" s="37">
        <f>IF(AND(S124=0,S80&gt;=0),"",S80/S124)</f>
        <v>6.055247128797861E-3</v>
      </c>
      <c r="V80" s="103"/>
      <c r="W80" s="20" t="str">
        <f>IF(AND(V4=0,V80&gt;=0), "",V80/V4)</f>
        <v/>
      </c>
      <c r="X80" s="37">
        <f t="shared" si="21"/>
        <v>1</v>
      </c>
      <c r="Y80" s="101">
        <f>+'N EERR RODEO'!F133</f>
        <v>0</v>
      </c>
      <c r="Z80" s="20" t="str">
        <f>IF(AND(Y4=0,Y80&gt;=0), "",Y80/Y4)</f>
        <v/>
      </c>
      <c r="AA80" s="37" t="str">
        <f>IF(AND(Y124=0,Y80&gt;=0),"",Y80/Y124)</f>
        <v/>
      </c>
      <c r="AB80" s="20">
        <f t="shared" si="22"/>
        <v>-1</v>
      </c>
      <c r="AC80" s="102">
        <f t="shared" si="51"/>
        <v>461.63</v>
      </c>
      <c r="AD80" s="20">
        <f>IF(AND(AC4=0,AC80&gt;=0), "",AC80/AC4)</f>
        <v>2.8230409011617687E-3</v>
      </c>
      <c r="AE80" s="37">
        <f>IF(AND(AC124=0,AC80&gt;=0),"",AC80/AC124)</f>
        <v>6.055247128797861E-3</v>
      </c>
      <c r="AF80" s="101">
        <f>+'N EERR RODEO'!G133</f>
        <v>0</v>
      </c>
      <c r="AG80" s="20" t="str">
        <f>IF(AND(AF4=0,AF80&gt;=0), "",AF80/AF4)</f>
        <v/>
      </c>
      <c r="AH80" s="37" t="str">
        <f>IF(AND(AF124=0,AF80&gt;=0),"",AF80/AF124)</f>
        <v/>
      </c>
      <c r="AI80" s="20" t="str">
        <f t="shared" si="41"/>
        <v/>
      </c>
      <c r="AJ80" s="102">
        <f t="shared" si="62"/>
        <v>461.63</v>
      </c>
      <c r="AK80" s="20">
        <f>IF(AND(AJ4=0,AJ80&gt;=0), "",AJ80/AJ4)</f>
        <v>2.8230409011617687E-3</v>
      </c>
      <c r="AL80" s="37">
        <f>IF(AND(AJ124=0,AJ80&gt;=0),"",AJ80/AJ124)</f>
        <v>6.055247128797861E-3</v>
      </c>
      <c r="AM80" s="101">
        <f>+'N EERR RODEO'!H133</f>
        <v>0</v>
      </c>
      <c r="AN80" s="20" t="str">
        <f>IF(AND(AM4=0,AM80&gt;=0), "",AM80/AM4)</f>
        <v/>
      </c>
      <c r="AO80" s="37" t="str">
        <f>IF(AND(AM124=0,AM80&gt;=0),"",AM80/AM124)</f>
        <v/>
      </c>
      <c r="AP80" s="20" t="str">
        <f t="shared" si="42"/>
        <v/>
      </c>
      <c r="AQ80" s="102">
        <f t="shared" si="63"/>
        <v>461.63</v>
      </c>
      <c r="AR80" s="20">
        <f>IF(AND(AQ4=0,AQ80&gt;=0), "",AQ80/AQ4)</f>
        <v>2.8230409011617687E-3</v>
      </c>
      <c r="AS80" s="37">
        <f>IF(AND(AQ124=0,AQ80&gt;=0),"",AQ80/AQ124)</f>
        <v>6.055247128797861E-3</v>
      </c>
      <c r="AT80" s="103">
        <f t="shared" si="52"/>
        <v>0</v>
      </c>
      <c r="AU80" s="20" t="str">
        <f>IF(AND(AT4=0,AT80&gt;=0), "",AT80/AT4)</f>
        <v/>
      </c>
      <c r="AV80" s="37">
        <f t="shared" si="23"/>
        <v>1</v>
      </c>
      <c r="AW80" s="103">
        <f t="shared" si="40"/>
        <v>76.938333333333333</v>
      </c>
      <c r="AX80" s="20">
        <f>IF(AND(AW4=0,AW80&gt;=0), "",AW80/AW4)</f>
        <v>2.8230409011617687E-3</v>
      </c>
      <c r="AY80" s="37">
        <f>IF(AND(AW124=0,AW80&gt;=0),"",AW80/AW124)</f>
        <v>6.0552471287978601E-3</v>
      </c>
      <c r="AZ80" s="103">
        <f t="shared" si="53"/>
        <v>0</v>
      </c>
      <c r="BA80" s="20" t="str">
        <f>IF(AND(AZ4=0,AZ80&gt;=0), "",AZ80/AZ4)</f>
        <v/>
      </c>
      <c r="BB80" s="37">
        <f t="shared" si="24"/>
        <v>1</v>
      </c>
      <c r="BC80" s="101">
        <f>+'N EERR RODEO'!I133</f>
        <v>0</v>
      </c>
      <c r="BD80" s="20" t="str">
        <f>IF(AND(BC4=0,BC80&gt;=0), "",BC80/BC4)</f>
        <v/>
      </c>
      <c r="BE80" s="37" t="str">
        <f>IF(AND(BC124=0,BC80&gt;=0),"",BC80/BC124)</f>
        <v/>
      </c>
      <c r="BF80" s="20" t="str">
        <f t="shared" si="25"/>
        <v/>
      </c>
      <c r="BG80" s="102">
        <f t="shared" si="54"/>
        <v>461.63</v>
      </c>
      <c r="BH80" s="20">
        <f>IF(AND(BG4=0,BG80&gt;=0), "",BG80/BG4)</f>
        <v>2.8230409011617687E-3</v>
      </c>
      <c r="BI80" s="37">
        <f>IF(AND(BG124=0,BG80&gt;=0),"",BG80/BG124)</f>
        <v>6.055247128797861E-3</v>
      </c>
      <c r="BJ80" s="101">
        <f>+'N EERR RODEO'!J133</f>
        <v>0</v>
      </c>
      <c r="BK80" s="20" t="str">
        <f>IF(AND(BJ4=0,BJ80&gt;=0), "",BJ80/BJ4)</f>
        <v/>
      </c>
      <c r="BL80" s="37" t="str">
        <f>IF(AND(BJ124=0,BJ80&gt;=0),"",BJ80/BJ124)</f>
        <v/>
      </c>
      <c r="BM80" s="20" t="str">
        <f t="shared" si="43"/>
        <v/>
      </c>
      <c r="BN80" s="102">
        <f t="shared" si="55"/>
        <v>461.63</v>
      </c>
      <c r="BO80" s="20">
        <f>IF(AND(BN4=0,BN80&gt;=0), "",BN80/BN4)</f>
        <v>2.8230409011617687E-3</v>
      </c>
      <c r="BP80" s="37">
        <f>IF(AND(BN124=0,BN80&gt;=0),"",BN80/BN124)</f>
        <v>6.055247128797861E-3</v>
      </c>
      <c r="BQ80" s="101">
        <f>+'N EERR RODEO'!K133</f>
        <v>0</v>
      </c>
      <c r="BR80" s="20" t="str">
        <f>IF(AND(BQ4=0,BQ80&gt;=0), "",BQ80/BQ4)</f>
        <v/>
      </c>
      <c r="BS80" s="37" t="str">
        <f>IF(AND(BQ124=0,BQ80&gt;=0),"",BQ80/BQ124)</f>
        <v/>
      </c>
      <c r="BT80" s="20" t="str">
        <f t="shared" si="44"/>
        <v/>
      </c>
      <c r="BU80" s="102">
        <f t="shared" si="56"/>
        <v>461.63</v>
      </c>
      <c r="BV80" s="20">
        <f>IF(AND(BU4=0,BU80&gt;=0), "",BU80/BU4)</f>
        <v>2.8230409011617687E-3</v>
      </c>
      <c r="BW80" s="37">
        <f>IF(AND(BU124=0,BU80&gt;=0),"",BU80/BU124)</f>
        <v>6.055247128797861E-3</v>
      </c>
      <c r="BX80" s="103">
        <f t="shared" si="57"/>
        <v>0</v>
      </c>
      <c r="BY80" s="20" t="str">
        <f>IF(AND(BX4=0,BX80&gt;=0), "",BX80/BX4)</f>
        <v/>
      </c>
      <c r="BZ80" s="37">
        <f t="shared" si="45"/>
        <v>1</v>
      </c>
      <c r="CA80" s="101">
        <f>+'N EERR RODEO'!L133</f>
        <v>0</v>
      </c>
      <c r="CB80" s="20" t="str">
        <f>IF(AND(CA4=0,CA80&gt;=0), "",CA80/CA4)</f>
        <v/>
      </c>
      <c r="CC80" s="37" t="str">
        <f>IF(AND(CA124=0,CA80&gt;=0),"",CA80/CA124)</f>
        <v/>
      </c>
      <c r="CD80" s="20" t="str">
        <f t="shared" si="26"/>
        <v/>
      </c>
      <c r="CE80" s="102">
        <f t="shared" si="58"/>
        <v>461.63</v>
      </c>
      <c r="CF80" s="20">
        <f>IF(AND(CE4=0,CE80&gt;=0), "",CE80/CE4)</f>
        <v>2.8230409011617687E-3</v>
      </c>
      <c r="CG80" s="37">
        <f>IF(AND(CE124=0,CE80&gt;=0),"",CE80/CE124)</f>
        <v>6.055247128797861E-3</v>
      </c>
      <c r="CH80" s="101">
        <f>+'N EERR RODEO'!M133</f>
        <v>0</v>
      </c>
      <c r="CI80" s="20" t="str">
        <f>IF(AND(CH4=0,CH80&gt;=0), "",CH80/CH4)</f>
        <v/>
      </c>
      <c r="CJ80" s="37" t="str">
        <f>IF(AND(CH124=0,CH80&gt;=0),"",CH80/CH124)</f>
        <v/>
      </c>
      <c r="CK80" s="20" t="str">
        <f t="shared" si="46"/>
        <v/>
      </c>
      <c r="CL80" s="102">
        <f t="shared" si="59"/>
        <v>461.63</v>
      </c>
      <c r="CM80" s="20">
        <f>IF(AND(CL4=0,CL80&gt;=0), "",CL80/CL4)</f>
        <v>2.8230409011617687E-3</v>
      </c>
      <c r="CN80" s="37">
        <f>IF(AND(CL124=0,CL80&gt;=0),"",CL80/CL124)</f>
        <v>6.055247128797861E-3</v>
      </c>
      <c r="CO80" s="101">
        <f>+'N EERR RODEO'!N133</f>
        <v>0</v>
      </c>
      <c r="CP80" s="20" t="str">
        <f>IF(AND(CO4=0,CO80&gt;=0), "",CO80/CO4)</f>
        <v/>
      </c>
      <c r="CQ80" s="37" t="str">
        <f>IF(AND(CO124=0,CO80&gt;=0),"",CO80/CO124)</f>
        <v/>
      </c>
      <c r="CR80" s="20" t="str">
        <f t="shared" si="47"/>
        <v/>
      </c>
      <c r="CS80" s="102">
        <f t="shared" si="60"/>
        <v>461.63</v>
      </c>
      <c r="CT80" s="20">
        <f>IF(AND(CS4=0,CS80&gt;=0), "",CS80/CS4)</f>
        <v>2.8230409011617687E-3</v>
      </c>
      <c r="CU80" s="37">
        <f>IF(AND(CS124=0,CS80&gt;=0),"",CS80/CS124)</f>
        <v>6.055247128797861E-3</v>
      </c>
      <c r="CV80" s="103">
        <f t="shared" si="61"/>
        <v>0</v>
      </c>
      <c r="CW80" s="20" t="str">
        <f>IF(AND(CV4=0,CV80&gt;=0), "",CV80/CV4)</f>
        <v/>
      </c>
      <c r="CX80" s="37">
        <f t="shared" si="48"/>
        <v>1</v>
      </c>
    </row>
    <row r="81" spans="1:102" hidden="1" outlineLevel="1" x14ac:dyDescent="0.25">
      <c r="A81" s="19" t="s">
        <v>27</v>
      </c>
      <c r="B81" s="101">
        <f>+'N EERR RODEO'!B134+'N EERR RODEO'!B135+'N EERR RODEO'!B136</f>
        <v>0</v>
      </c>
      <c r="C81" s="20" t="str">
        <f>IF(AND(B4=0,B81&gt;=0), "",B81/B4)</f>
        <v/>
      </c>
      <c r="D81" s="37" t="str">
        <f>IF(AND(B124=0,B81&gt;=0),"",B81/B124)</f>
        <v/>
      </c>
      <c r="E81" s="101">
        <f>+'N EERR RODEO'!C134+'N EERR RODEO'!C135+'N EERR RODEO'!C136</f>
        <v>241.5</v>
      </c>
      <c r="F81" s="20">
        <f>IF(AND(E4=0,E81&gt;=0), "",E81/E4)</f>
        <v>5.0382794494735674E-3</v>
      </c>
      <c r="G81" s="37">
        <f>IF(AND(E124=0,E81&gt;=0),"",E81/E124)</f>
        <v>7.7991759032269214E-3</v>
      </c>
      <c r="H81" s="101">
        <f>+'N EERR RODEO'!D134+'N EERR RODEO'!D135+'N EERR RODEO'!D136</f>
        <v>225</v>
      </c>
      <c r="I81" s="20">
        <f>IF(AND(H4=0,H81&gt;=0), "",H81/H4)</f>
        <v>4.370371291205803E-3</v>
      </c>
      <c r="J81" s="37">
        <f>IF(AND(H124=0,H81&gt;=0),"",H81/H124)</f>
        <v>1.1637114430073614E-2</v>
      </c>
      <c r="K81" s="20">
        <f t="shared" si="19"/>
        <v>-6.8322981366459631E-2</v>
      </c>
      <c r="L81" s="102">
        <f t="shared" si="49"/>
        <v>466.5</v>
      </c>
      <c r="M81" s="20">
        <f>IF(AND(L4=0,L81&gt;=0), "",L81/L4)</f>
        <v>4.69240033326604E-3</v>
      </c>
      <c r="N81" s="37">
        <f>IF(AND(L124=0,L81&gt;=0),"",L81/L124)</f>
        <v>9.274446068052368E-3</v>
      </c>
      <c r="O81" s="101">
        <f>+'N EERR RODEO'!E134+'N EERR RODEO'!E135+'N EERR RODEO'!E136</f>
        <v>323</v>
      </c>
      <c r="P81" s="20">
        <f>IF(AND(O4=0,O81&gt;=0), "",O81/O4)</f>
        <v>5.0385157874014638E-3</v>
      </c>
      <c r="Q81" s="37">
        <f>IF(AND(O124=0,O81&gt;=0),"",O81/O124)</f>
        <v>1.2453319330096241E-2</v>
      </c>
      <c r="R81" s="20">
        <f t="shared" si="20"/>
        <v>0.43555555555555553</v>
      </c>
      <c r="S81" s="102">
        <f t="shared" si="50"/>
        <v>789.5</v>
      </c>
      <c r="T81" s="20">
        <f>IF(AND(S4=0,S81&gt;=0), "",S81/S4)</f>
        <v>4.8280891438321084E-3</v>
      </c>
      <c r="U81" s="37">
        <f>IF(AND(S124=0,S81&gt;=0),"",S81/S124)</f>
        <v>1.0355950887476791E-2</v>
      </c>
      <c r="V81" s="103"/>
      <c r="W81" s="20" t="str">
        <f>IF(AND(V4=0,V81&gt;=0), "",V81/V4)</f>
        <v/>
      </c>
      <c r="X81" s="37">
        <f t="shared" si="21"/>
        <v>1</v>
      </c>
      <c r="Y81" s="101">
        <f>+'N EERR RODEO'!F134+'N EERR RODEO'!F135+'N EERR RODEO'!F136</f>
        <v>0</v>
      </c>
      <c r="Z81" s="20" t="str">
        <f>IF(AND(Y4=0,Y81&gt;=0), "",Y81/Y4)</f>
        <v/>
      </c>
      <c r="AA81" s="37" t="str">
        <f>IF(AND(Y124=0,Y81&gt;=0),"",Y81/Y124)</f>
        <v/>
      </c>
      <c r="AB81" s="20">
        <f t="shared" si="22"/>
        <v>-1</v>
      </c>
      <c r="AC81" s="102">
        <f t="shared" si="51"/>
        <v>789.5</v>
      </c>
      <c r="AD81" s="20">
        <f>IF(AND(AC4=0,AC81&gt;=0), "",AC81/AC4)</f>
        <v>4.8280891438321084E-3</v>
      </c>
      <c r="AE81" s="37">
        <f>IF(AND(AC124=0,AC81&gt;=0),"",AC81/AC124)</f>
        <v>1.0355950887476791E-2</v>
      </c>
      <c r="AF81" s="101">
        <f>+'N EERR RODEO'!G134+'N EERR RODEO'!G135+'N EERR RODEO'!G136</f>
        <v>0</v>
      </c>
      <c r="AG81" s="20" t="str">
        <f>IF(AND(AF4=0,AF81&gt;=0), "",AF81/AF4)</f>
        <v/>
      </c>
      <c r="AH81" s="37" t="str">
        <f>IF(AND(AF124=0,AF81&gt;=0),"",AF81/AF124)</f>
        <v/>
      </c>
      <c r="AI81" s="20" t="str">
        <f t="shared" si="41"/>
        <v/>
      </c>
      <c r="AJ81" s="102">
        <f t="shared" si="62"/>
        <v>789.5</v>
      </c>
      <c r="AK81" s="20">
        <f>IF(AND(AJ4=0,AJ81&gt;=0), "",AJ81/AJ4)</f>
        <v>4.8280891438321084E-3</v>
      </c>
      <c r="AL81" s="37">
        <f>IF(AND(AJ124=0,AJ81&gt;=0),"",AJ81/AJ124)</f>
        <v>1.0355950887476791E-2</v>
      </c>
      <c r="AM81" s="101">
        <f>+'N EERR RODEO'!H134+'N EERR RODEO'!H135+'N EERR RODEO'!H136</f>
        <v>0</v>
      </c>
      <c r="AN81" s="20" t="str">
        <f>IF(AND(AM4=0,AM81&gt;=0), "",AM81/AM4)</f>
        <v/>
      </c>
      <c r="AO81" s="37" t="str">
        <f>IF(AND(AM124=0,AM81&gt;=0),"",AM81/AM124)</f>
        <v/>
      </c>
      <c r="AP81" s="20" t="str">
        <f t="shared" si="42"/>
        <v/>
      </c>
      <c r="AQ81" s="102">
        <f t="shared" si="63"/>
        <v>789.5</v>
      </c>
      <c r="AR81" s="20">
        <f>IF(AND(AQ4=0,AQ81&gt;=0), "",AQ81/AQ4)</f>
        <v>4.8280891438321084E-3</v>
      </c>
      <c r="AS81" s="37">
        <f>IF(AND(AQ124=0,AQ81&gt;=0),"",AQ81/AQ124)</f>
        <v>1.0355950887476791E-2</v>
      </c>
      <c r="AT81" s="103">
        <f t="shared" si="52"/>
        <v>0</v>
      </c>
      <c r="AU81" s="20" t="str">
        <f>IF(AND(AT4=0,AT81&gt;=0), "",AT81/AT4)</f>
        <v/>
      </c>
      <c r="AV81" s="37">
        <f t="shared" si="23"/>
        <v>1</v>
      </c>
      <c r="AW81" s="103">
        <f t="shared" si="40"/>
        <v>131.58333333333334</v>
      </c>
      <c r="AX81" s="20">
        <f>IF(AND(AW4=0,AW81&gt;=0), "",AW81/AW4)</f>
        <v>4.8280891438321092E-3</v>
      </c>
      <c r="AY81" s="37">
        <f>IF(AND(AW124=0,AW81&gt;=0),"",AW81/AW124)</f>
        <v>1.0355950887476791E-2</v>
      </c>
      <c r="AZ81" s="103">
        <f t="shared" si="53"/>
        <v>0</v>
      </c>
      <c r="BA81" s="20" t="str">
        <f>IF(AND(AZ4=0,AZ81&gt;=0), "",AZ81/AZ4)</f>
        <v/>
      </c>
      <c r="BB81" s="37">
        <f t="shared" si="24"/>
        <v>1</v>
      </c>
      <c r="BC81" s="101">
        <f>+'N EERR RODEO'!I134+'N EERR RODEO'!I135+'N EERR RODEO'!I136</f>
        <v>0</v>
      </c>
      <c r="BD81" s="20" t="str">
        <f>IF(AND(BC4=0,BC81&gt;=0), "",BC81/BC4)</f>
        <v/>
      </c>
      <c r="BE81" s="37" t="str">
        <f>IF(AND(BC124=0,BC81&gt;=0),"",BC81/BC124)</f>
        <v/>
      </c>
      <c r="BF81" s="20" t="str">
        <f t="shared" si="25"/>
        <v/>
      </c>
      <c r="BG81" s="102">
        <f t="shared" si="54"/>
        <v>789.5</v>
      </c>
      <c r="BH81" s="20">
        <f>IF(AND(BG4=0,BG81&gt;=0), "",BG81/BG4)</f>
        <v>4.8280891438321084E-3</v>
      </c>
      <c r="BI81" s="37">
        <f>IF(AND(BG124=0,BG81&gt;=0),"",BG81/BG124)</f>
        <v>1.0355950887476791E-2</v>
      </c>
      <c r="BJ81" s="101">
        <f>+'N EERR RODEO'!J134+'N EERR RODEO'!J135+'N EERR RODEO'!J136</f>
        <v>0</v>
      </c>
      <c r="BK81" s="20" t="str">
        <f>IF(AND(BJ4=0,BJ81&gt;=0), "",BJ81/BJ4)</f>
        <v/>
      </c>
      <c r="BL81" s="37" t="str">
        <f>IF(AND(BJ124=0,BJ81&gt;=0),"",BJ81/BJ124)</f>
        <v/>
      </c>
      <c r="BM81" s="20" t="str">
        <f t="shared" si="43"/>
        <v/>
      </c>
      <c r="BN81" s="102">
        <f t="shared" si="55"/>
        <v>789.5</v>
      </c>
      <c r="BO81" s="20">
        <f>IF(AND(BN4=0,BN81&gt;=0), "",BN81/BN4)</f>
        <v>4.8280891438321084E-3</v>
      </c>
      <c r="BP81" s="37">
        <f>IF(AND(BN124=0,BN81&gt;=0),"",BN81/BN124)</f>
        <v>1.0355950887476791E-2</v>
      </c>
      <c r="BQ81" s="101">
        <f>+'N EERR RODEO'!K134+'N EERR RODEO'!K135+'N EERR RODEO'!K136</f>
        <v>0</v>
      </c>
      <c r="BR81" s="20" t="str">
        <f>IF(AND(BQ4=0,BQ81&gt;=0), "",BQ81/BQ4)</f>
        <v/>
      </c>
      <c r="BS81" s="37" t="str">
        <f>IF(AND(BQ124=0,BQ81&gt;=0),"",BQ81/BQ124)</f>
        <v/>
      </c>
      <c r="BT81" s="20" t="str">
        <f t="shared" si="44"/>
        <v/>
      </c>
      <c r="BU81" s="102">
        <f t="shared" si="56"/>
        <v>789.5</v>
      </c>
      <c r="BV81" s="20">
        <f>IF(AND(BU4=0,BU81&gt;=0), "",BU81/BU4)</f>
        <v>4.8280891438321084E-3</v>
      </c>
      <c r="BW81" s="37">
        <f>IF(AND(BU124=0,BU81&gt;=0),"",BU81/BU124)</f>
        <v>1.0355950887476791E-2</v>
      </c>
      <c r="BX81" s="103">
        <f t="shared" si="57"/>
        <v>0</v>
      </c>
      <c r="BY81" s="20" t="str">
        <f>IF(AND(BX4=0,BX81&gt;=0), "",BX81/BX4)</f>
        <v/>
      </c>
      <c r="BZ81" s="37">
        <f t="shared" si="45"/>
        <v>1</v>
      </c>
      <c r="CA81" s="101">
        <f>+'N EERR RODEO'!L134+'N EERR RODEO'!L135+'N EERR RODEO'!L136</f>
        <v>0</v>
      </c>
      <c r="CB81" s="20" t="str">
        <f>IF(AND(CA4=0,CA81&gt;=0), "",CA81/CA4)</f>
        <v/>
      </c>
      <c r="CC81" s="37" t="str">
        <f>IF(AND(CA124=0,CA81&gt;=0),"",CA81/CA124)</f>
        <v/>
      </c>
      <c r="CD81" s="20" t="str">
        <f t="shared" si="26"/>
        <v/>
      </c>
      <c r="CE81" s="102">
        <f t="shared" si="58"/>
        <v>789.5</v>
      </c>
      <c r="CF81" s="20">
        <f>IF(AND(CE4=0,CE81&gt;=0), "",CE81/CE4)</f>
        <v>4.8280891438321084E-3</v>
      </c>
      <c r="CG81" s="37">
        <f>IF(AND(CE124=0,CE81&gt;=0),"",CE81/CE124)</f>
        <v>1.0355950887476791E-2</v>
      </c>
      <c r="CH81" s="101">
        <f>+'N EERR RODEO'!M134+'N EERR RODEO'!M135+'N EERR RODEO'!M136</f>
        <v>0</v>
      </c>
      <c r="CI81" s="20" t="str">
        <f>IF(AND(CH4=0,CH81&gt;=0), "",CH81/CH4)</f>
        <v/>
      </c>
      <c r="CJ81" s="37" t="str">
        <f>IF(AND(CH124=0,CH81&gt;=0),"",CH81/CH124)</f>
        <v/>
      </c>
      <c r="CK81" s="20" t="str">
        <f t="shared" si="46"/>
        <v/>
      </c>
      <c r="CL81" s="102">
        <f t="shared" si="59"/>
        <v>789.5</v>
      </c>
      <c r="CM81" s="20">
        <f>IF(AND(CL4=0,CL81&gt;=0), "",CL81/CL4)</f>
        <v>4.8280891438321084E-3</v>
      </c>
      <c r="CN81" s="37">
        <f>IF(AND(CL124=0,CL81&gt;=0),"",CL81/CL124)</f>
        <v>1.0355950887476791E-2</v>
      </c>
      <c r="CO81" s="101">
        <f>+'N EERR RODEO'!N134+'N EERR RODEO'!N135+'N EERR RODEO'!N136</f>
        <v>0</v>
      </c>
      <c r="CP81" s="20" t="str">
        <f>IF(AND(CO4=0,CO81&gt;=0), "",CO81/CO4)</f>
        <v/>
      </c>
      <c r="CQ81" s="37" t="str">
        <f>IF(AND(CO124=0,CO81&gt;=0),"",CO81/CO124)</f>
        <v/>
      </c>
      <c r="CR81" s="20" t="str">
        <f t="shared" si="47"/>
        <v/>
      </c>
      <c r="CS81" s="102">
        <f t="shared" si="60"/>
        <v>789.5</v>
      </c>
      <c r="CT81" s="20">
        <f>IF(AND(CS4=0,CS81&gt;=0), "",CS81/CS4)</f>
        <v>4.8280891438321084E-3</v>
      </c>
      <c r="CU81" s="37">
        <f>IF(AND(CS124=0,CS81&gt;=0),"",CS81/CS124)</f>
        <v>1.0355950887476791E-2</v>
      </c>
      <c r="CV81" s="103">
        <f t="shared" si="61"/>
        <v>0</v>
      </c>
      <c r="CW81" s="20" t="str">
        <f>IF(AND(CV4=0,CV81&gt;=0), "",CV81/CV4)</f>
        <v/>
      </c>
      <c r="CX81" s="37">
        <f t="shared" si="48"/>
        <v>1</v>
      </c>
    </row>
    <row r="82" spans="1:102" hidden="1" outlineLevel="1" x14ac:dyDescent="0.25">
      <c r="A82" s="19"/>
      <c r="B82" s="101"/>
      <c r="C82" s="13"/>
      <c r="D82" s="36"/>
      <c r="E82" s="101"/>
      <c r="F82" s="13"/>
      <c r="G82" s="36"/>
      <c r="H82" s="101"/>
      <c r="I82" s="13"/>
      <c r="J82" s="36"/>
      <c r="K82" s="22" t="str">
        <f t="shared" si="19"/>
        <v/>
      </c>
      <c r="M82" s="13"/>
      <c r="N82" s="36"/>
      <c r="O82" s="101"/>
      <c r="P82" s="13"/>
      <c r="Q82" s="36"/>
      <c r="R82" s="22" t="str">
        <f t="shared" si="20"/>
        <v/>
      </c>
      <c r="T82" s="13"/>
      <c r="U82" s="36"/>
      <c r="V82" s="103"/>
      <c r="W82" s="13"/>
      <c r="X82" s="79" t="str">
        <f t="shared" si="21"/>
        <v/>
      </c>
      <c r="Y82" s="101"/>
      <c r="Z82" s="13"/>
      <c r="AA82" s="36"/>
      <c r="AB82" s="22" t="str">
        <f t="shared" si="22"/>
        <v/>
      </c>
      <c r="AD82" s="13"/>
      <c r="AE82" s="36"/>
      <c r="AF82" s="101"/>
      <c r="AG82" s="13"/>
      <c r="AH82" s="36"/>
      <c r="AI82" s="22" t="str">
        <f t="shared" si="41"/>
        <v/>
      </c>
      <c r="AJ82" s="102">
        <f t="shared" si="62"/>
        <v>0</v>
      </c>
      <c r="AK82" s="13"/>
      <c r="AL82" s="36"/>
      <c r="AM82" s="101"/>
      <c r="AN82" s="13"/>
      <c r="AO82" s="36"/>
      <c r="AP82" s="22" t="str">
        <f t="shared" si="42"/>
        <v/>
      </c>
      <c r="AQ82" s="102">
        <f t="shared" si="63"/>
        <v>0</v>
      </c>
      <c r="AR82" s="13"/>
      <c r="AS82" s="36"/>
      <c r="AT82" s="103">
        <f t="shared" si="52"/>
        <v>0</v>
      </c>
      <c r="AU82" s="13"/>
      <c r="AV82" s="79" t="str">
        <f t="shared" si="23"/>
        <v/>
      </c>
      <c r="AW82" s="103">
        <f t="shared" si="40"/>
        <v>0</v>
      </c>
      <c r="AX82" s="13"/>
      <c r="AY82" s="36"/>
      <c r="AZ82" s="103">
        <f t="shared" si="53"/>
        <v>0</v>
      </c>
      <c r="BA82" s="13"/>
      <c r="BB82" s="79" t="str">
        <f t="shared" si="24"/>
        <v/>
      </c>
      <c r="BC82" s="101"/>
      <c r="BD82" s="13"/>
      <c r="BE82" s="36"/>
      <c r="BF82" s="22" t="str">
        <f t="shared" si="25"/>
        <v/>
      </c>
      <c r="BG82" s="102">
        <f t="shared" si="54"/>
        <v>0</v>
      </c>
      <c r="BH82" s="13"/>
      <c r="BI82" s="36"/>
      <c r="BJ82" s="101"/>
      <c r="BK82" s="13"/>
      <c r="BL82" s="36"/>
      <c r="BM82" s="22" t="str">
        <f t="shared" si="43"/>
        <v/>
      </c>
      <c r="BN82" s="102">
        <f t="shared" si="55"/>
        <v>0</v>
      </c>
      <c r="BO82" s="13"/>
      <c r="BP82" s="36"/>
      <c r="BQ82" s="101"/>
      <c r="BR82" s="13"/>
      <c r="BS82" s="36"/>
      <c r="BT82" s="22" t="str">
        <f t="shared" si="44"/>
        <v/>
      </c>
      <c r="BU82" s="102">
        <f t="shared" si="56"/>
        <v>0</v>
      </c>
      <c r="BV82" s="13"/>
      <c r="BW82" s="36"/>
      <c r="BX82" s="103">
        <f t="shared" si="57"/>
        <v>0</v>
      </c>
      <c r="BY82" s="13"/>
      <c r="BZ82" s="79" t="str">
        <f t="shared" si="45"/>
        <v/>
      </c>
      <c r="CA82" s="101"/>
      <c r="CB82" s="13"/>
      <c r="CC82" s="36"/>
      <c r="CD82" s="22" t="str">
        <f t="shared" si="26"/>
        <v/>
      </c>
      <c r="CF82" s="13"/>
      <c r="CG82" s="36"/>
      <c r="CH82" s="101"/>
      <c r="CI82" s="13"/>
      <c r="CJ82" s="36"/>
      <c r="CK82" s="22" t="str">
        <f t="shared" si="46"/>
        <v/>
      </c>
      <c r="CL82" s="102">
        <f t="shared" si="59"/>
        <v>0</v>
      </c>
      <c r="CM82" s="13"/>
      <c r="CN82" s="36"/>
      <c r="CO82" s="101"/>
      <c r="CP82" s="13"/>
      <c r="CQ82" s="36"/>
      <c r="CR82" s="22" t="str">
        <f t="shared" si="47"/>
        <v/>
      </c>
      <c r="CS82" s="102">
        <f t="shared" si="60"/>
        <v>0</v>
      </c>
      <c r="CT82" s="13"/>
      <c r="CU82" s="36"/>
      <c r="CV82" s="103">
        <f t="shared" si="61"/>
        <v>0</v>
      </c>
      <c r="CW82" s="13"/>
      <c r="CX82" s="79" t="str">
        <f t="shared" si="48"/>
        <v/>
      </c>
    </row>
    <row r="83" spans="1:102" s="5" customFormat="1" collapsed="1" x14ac:dyDescent="0.25">
      <c r="A83" s="27" t="s">
        <v>75</v>
      </c>
      <c r="B83" s="98">
        <f>SUM(B84:B92)+B110+B111</f>
        <v>0</v>
      </c>
      <c r="C83" s="28" t="str">
        <f>IF(AND(B4=0,B83&gt;=0), "",B83/B4)</f>
        <v/>
      </c>
      <c r="D83" s="33" t="str">
        <f>IF(AND(B124=0,B83&gt;=0),"",B83/B124)</f>
        <v/>
      </c>
      <c r="E83" s="98">
        <f>SUM(E84:E92)+E110+E111</f>
        <v>3337.6</v>
      </c>
      <c r="F83" s="28">
        <f>IF(AND(E4=0,E83&gt;=0), "",E83/E4)</f>
        <v>6.9630482362579627E-2</v>
      </c>
      <c r="G83" s="33">
        <f>IF(AND(E124=0,E83&gt;=0),"",E83/E124)</f>
        <v>0.10778687161329265</v>
      </c>
      <c r="H83" s="98">
        <f>SUM(H84:H92)+H110+H111</f>
        <v>1102.3600000000001</v>
      </c>
      <c r="I83" s="28">
        <f>IF(AND(H4=0,H83&gt;=0), "",H83/H4)</f>
        <v>2.1412099984771685E-2</v>
      </c>
      <c r="J83" s="33">
        <f>IF(AND(H124=0,H83&gt;=0),"",H83/H124)</f>
        <v>5.7014619836159783E-2</v>
      </c>
      <c r="K83" s="28">
        <f>IF(AND(E83=0,H83&gt;0),100%,IF(AND(E83&lt;0,H83&gt;=0),(E83-H83)/E83,IF(AND(E83&gt;0,H83&gt;0),(H83-E83)/E83,IF(AND(E83=0,H83&lt;=0),"",(H83-E83)/E83))))</f>
        <v>-0.66971476510067107</v>
      </c>
      <c r="L83" s="99">
        <f>SUM(L84:L92)+L110+L111</f>
        <v>4439.96</v>
      </c>
      <c r="M83" s="28">
        <f>IF(AND(L4=0,L83&gt;=0), "",L83/L4)</f>
        <v>4.466038538839847E-2</v>
      </c>
      <c r="N83" s="33">
        <f>IF(AND(L124=0,L83&gt;=0),"",L83/L124)</f>
        <v>8.827045994492988E-2</v>
      </c>
      <c r="O83" s="98">
        <f>SUM(O84:O92)+O110+O111</f>
        <v>4204.2800000000007</v>
      </c>
      <c r="P83" s="28">
        <f>IF(AND(O4=0,O83&gt;=0), "",O83/O4)</f>
        <v>6.5583068590266969E-2</v>
      </c>
      <c r="Q83" s="33">
        <f>IF(AND(O124=0,O83&gt;=0),"",O83/O124)</f>
        <v>0.1620967225793716</v>
      </c>
      <c r="R83" s="28">
        <f>IF(AND(H83=0,O83&gt;0),100%,IF(AND(H83&lt;0,O83&gt;=0),(H83-O83)/H83,IF(AND(H83&gt;0,O83&gt;0),(O83-H83)/H83,IF(AND(H83=0,O83&lt;=0),"",(O83-H83)/H83))))</f>
        <v>2.81389019920897</v>
      </c>
      <c r="S83" s="99">
        <f>SUM(S84:S92)+S110+S111</f>
        <v>8644.2400000000016</v>
      </c>
      <c r="T83" s="28">
        <f>IF(AND(S4=0,S83&gt;=0), "",S83/S4)</f>
        <v>5.2862775555008581E-2</v>
      </c>
      <c r="U83" s="33">
        <f>IF(AND(S124=0,S83&gt;=0),"",S83/S124)</f>
        <v>0.11338736529393591</v>
      </c>
      <c r="V83" s="100">
        <f>SUM(V84:V92)+V110+V111</f>
        <v>0</v>
      </c>
      <c r="W83" s="28" t="str">
        <f>IF(AND(V4=0,V83&gt;=0), "",V83/V4)</f>
        <v/>
      </c>
      <c r="X83" s="78">
        <f t="shared" si="21"/>
        <v>1</v>
      </c>
      <c r="Y83" s="98">
        <f>SUM(Y84:Y92)+Y110+Y111</f>
        <v>0</v>
      </c>
      <c r="Z83" s="28" t="str">
        <f>IF(AND(Y4=0,Y83&gt;=0), "",Y83/Y4)</f>
        <v/>
      </c>
      <c r="AA83" s="33" t="str">
        <f>IF(AND(Y124=0,Y83&gt;=0),"",Y83/Y124)</f>
        <v/>
      </c>
      <c r="AB83" s="28">
        <f t="shared" si="22"/>
        <v>-1</v>
      </c>
      <c r="AC83" s="99">
        <f>SUM(AC84:AC92)+AC110+AC111</f>
        <v>8644.2400000000016</v>
      </c>
      <c r="AD83" s="28">
        <f>IF(AND(AC4=0,AC83&gt;=0), "",AC83/AC4)</f>
        <v>5.2862775555008581E-2</v>
      </c>
      <c r="AE83" s="33">
        <f>IF(AND(AC124=0,AC83&gt;=0),"",AC83/AC124)</f>
        <v>0.11338736529393591</v>
      </c>
      <c r="AF83" s="98">
        <f>SUM(AF84:AF92)+AF110+AF111</f>
        <v>0</v>
      </c>
      <c r="AG83" s="28" t="str">
        <f>IF(AND(AF4=0,AF83&gt;=0), "",AF83/AF4)</f>
        <v/>
      </c>
      <c r="AH83" s="33" t="str">
        <f>IF(AND(AF124=0,AF83&gt;=0),"",AF83/AF124)</f>
        <v/>
      </c>
      <c r="AI83" s="28" t="str">
        <f t="shared" si="41"/>
        <v/>
      </c>
      <c r="AJ83" s="99">
        <f>SUM(AJ84:AJ92)+AJ110+AJ111</f>
        <v>8644.2400000000016</v>
      </c>
      <c r="AK83" s="28">
        <f>IF(AND(AJ4=0,AJ83&gt;=0), "",AJ83/AJ4)</f>
        <v>5.2862775555008581E-2</v>
      </c>
      <c r="AL83" s="33">
        <f>IF(AND(AJ124=0,AJ83&gt;=0),"",AJ83/AJ124)</f>
        <v>0.11338736529393591</v>
      </c>
      <c r="AM83" s="98">
        <f>SUM(AM84:AM92)+AM110+AM111</f>
        <v>0</v>
      </c>
      <c r="AN83" s="28" t="str">
        <f>IF(AND(AM4=0,AM83&gt;=0), "",AM83/AM4)</f>
        <v/>
      </c>
      <c r="AO83" s="33" t="str">
        <f>IF(AND(AM124=0,AM83&gt;=0),"",AM83/AM124)</f>
        <v/>
      </c>
      <c r="AP83" s="28" t="str">
        <f t="shared" si="42"/>
        <v/>
      </c>
      <c r="AQ83" s="99">
        <f>SUM(AQ84:AQ92)+AQ110+AQ111</f>
        <v>8644.2400000000016</v>
      </c>
      <c r="AR83" s="28">
        <f>IF(AND(AQ4=0,AQ83&gt;=0), "",AQ83/AQ4)</f>
        <v>5.2862775555008581E-2</v>
      </c>
      <c r="AS83" s="33">
        <f>IF(AND(AQ124=0,AQ83&gt;=0),"",AQ83/AQ124)</f>
        <v>0.11338736529393591</v>
      </c>
      <c r="AT83" s="100">
        <f>SUM(AT84:AT92)+AT110+AT111</f>
        <v>0</v>
      </c>
      <c r="AU83" s="28" t="str">
        <f>IF(AND(AT4=0,AT83&gt;=0), "",AT83/AT4)</f>
        <v/>
      </c>
      <c r="AV83" s="78">
        <f t="shared" si="23"/>
        <v>1</v>
      </c>
      <c r="AW83" s="100">
        <f>SUM(AW84:AW92)+AW110+AW111</f>
        <v>1440.7066666666667</v>
      </c>
      <c r="AX83" s="28">
        <f>IF(AND(AW4=0,AW83&gt;=0), "",AW83/AW4)</f>
        <v>5.2862775555008575E-2</v>
      </c>
      <c r="AY83" s="33">
        <f>IF(AND(AW124=0,AW83&gt;=0),"",AW83/AW124)</f>
        <v>0.11338736529393587</v>
      </c>
      <c r="AZ83" s="100">
        <f>SUM(AZ84:AZ92)+AZ110+AZ111</f>
        <v>0</v>
      </c>
      <c r="BA83" s="28" t="str">
        <f>IF(AND(AZ4=0,AZ83&gt;=0), "",AZ83/AZ4)</f>
        <v/>
      </c>
      <c r="BB83" s="78">
        <f t="shared" si="24"/>
        <v>1</v>
      </c>
      <c r="BC83" s="98">
        <f>SUM(BC84:BC92)+BC110+BC111</f>
        <v>0</v>
      </c>
      <c r="BD83" s="28" t="str">
        <f>IF(AND(BC4=0,BC83&gt;=0), "",BC83/BC4)</f>
        <v/>
      </c>
      <c r="BE83" s="33" t="str">
        <f>IF(AND(BC124=0,BC83&gt;=0),"",BC83/BC124)</f>
        <v/>
      </c>
      <c r="BF83" s="28" t="str">
        <f t="shared" si="25"/>
        <v/>
      </c>
      <c r="BG83" s="99">
        <f>SUM(BG84:BG92)+BG110+BG111</f>
        <v>8644.2400000000016</v>
      </c>
      <c r="BH83" s="28">
        <f>IF(AND(BG4=0,BG83&gt;=0), "",BG83/BG4)</f>
        <v>5.2862775555008581E-2</v>
      </c>
      <c r="BI83" s="33">
        <f>IF(AND(BG124=0,BG83&gt;=0),"",BG83/BG124)</f>
        <v>0.11338736529393591</v>
      </c>
      <c r="BJ83" s="98">
        <f>SUM(BJ84:BJ92)+BJ110+BJ111</f>
        <v>0</v>
      </c>
      <c r="BK83" s="28" t="str">
        <f>IF(AND(BJ4=0,BJ83&gt;=0), "",BJ83/BJ4)</f>
        <v/>
      </c>
      <c r="BL83" s="33" t="str">
        <f>IF(AND(BJ124=0,BJ83&gt;=0),"",BJ83/BJ124)</f>
        <v/>
      </c>
      <c r="BM83" s="28" t="str">
        <f t="shared" si="43"/>
        <v/>
      </c>
      <c r="BN83" s="99">
        <f>SUM(BN84:BN92)+BN110+BN111</f>
        <v>8644.2400000000016</v>
      </c>
      <c r="BO83" s="28">
        <f>IF(AND(BN4=0,BN83&gt;=0), "",BN83/BN4)</f>
        <v>5.2862775555008581E-2</v>
      </c>
      <c r="BP83" s="33">
        <f>IF(AND(BN124=0,BN83&gt;=0),"",BN83/BN124)</f>
        <v>0.11338736529393591</v>
      </c>
      <c r="BQ83" s="98">
        <f>SUM(BQ84:BQ92)+BQ110+BQ111</f>
        <v>0</v>
      </c>
      <c r="BR83" s="28" t="str">
        <f>IF(AND(BQ4=0,BQ83&gt;=0), "",BQ83/BQ4)</f>
        <v/>
      </c>
      <c r="BS83" s="33" t="str">
        <f>IF(AND(BQ124=0,BQ83&gt;=0),"",BQ83/BQ124)</f>
        <v/>
      </c>
      <c r="BT83" s="28" t="str">
        <f t="shared" si="44"/>
        <v/>
      </c>
      <c r="BU83" s="99">
        <f>SUM(BU84:BU92)+BU110+BU111</f>
        <v>8644.2400000000016</v>
      </c>
      <c r="BV83" s="28">
        <f>IF(AND(BU4=0,BU83&gt;=0), "",BU83/BU4)</f>
        <v>5.2862775555008581E-2</v>
      </c>
      <c r="BW83" s="33">
        <f>IF(AND(BU124=0,BU83&gt;=0),"",BU83/BU124)</f>
        <v>0.11338736529393591</v>
      </c>
      <c r="BX83" s="100">
        <f>SUM(BX84:BX92)+BX110+BX111</f>
        <v>0</v>
      </c>
      <c r="BY83" s="28" t="str">
        <f>IF(AND(BX4=0,BX83&gt;=0), "",BX83/BX4)</f>
        <v/>
      </c>
      <c r="BZ83" s="78">
        <f t="shared" si="45"/>
        <v>1</v>
      </c>
      <c r="CA83" s="98">
        <f>SUM(CA84:CA92)+CA110+CA111</f>
        <v>0</v>
      </c>
      <c r="CB83" s="28" t="str">
        <f>IF(AND(CA4=0,CA83&gt;=0), "",CA83/CA4)</f>
        <v/>
      </c>
      <c r="CC83" s="33" t="str">
        <f>IF(AND(CA124=0,CA83&gt;=0),"",CA83/CA124)</f>
        <v/>
      </c>
      <c r="CD83" s="28" t="str">
        <f t="shared" si="26"/>
        <v/>
      </c>
      <c r="CE83" s="99">
        <f>SUM(CE84:CE92)+CE110+CE111</f>
        <v>8644.2400000000016</v>
      </c>
      <c r="CF83" s="28">
        <f>IF(AND(CE4=0,CE83&gt;=0), "",CE83/CE4)</f>
        <v>5.2862775555008581E-2</v>
      </c>
      <c r="CG83" s="33">
        <f>IF(AND(CE124=0,CE83&gt;=0),"",CE83/CE124)</f>
        <v>0.11338736529393591</v>
      </c>
      <c r="CH83" s="98">
        <f>SUM(CH84:CH92)+CH110+CH111</f>
        <v>0</v>
      </c>
      <c r="CI83" s="28" t="str">
        <f>IF(AND(CH4=0,CH83&gt;=0), "",CH83/CH4)</f>
        <v/>
      </c>
      <c r="CJ83" s="33" t="str">
        <f>IF(AND(CH124=0,CH83&gt;=0),"",CH83/CH124)</f>
        <v/>
      </c>
      <c r="CK83" s="28" t="str">
        <f t="shared" si="46"/>
        <v/>
      </c>
      <c r="CL83" s="99">
        <f>SUM(CL84:CL92)+CL110+CL111</f>
        <v>8644.2400000000016</v>
      </c>
      <c r="CM83" s="28">
        <f>IF(AND(CL4=0,CL83&gt;=0), "",CL83/CL4)</f>
        <v>5.2862775555008581E-2</v>
      </c>
      <c r="CN83" s="33">
        <f>IF(AND(CL124=0,CL83&gt;=0),"",CL83/CL124)</f>
        <v>0.11338736529393591</v>
      </c>
      <c r="CO83" s="98">
        <f>SUM(CO84:CO92)+CO110+CO111</f>
        <v>0</v>
      </c>
      <c r="CP83" s="28" t="str">
        <f>IF(AND(CO4=0,CO83&gt;=0), "",CO83/CO4)</f>
        <v/>
      </c>
      <c r="CQ83" s="33" t="str">
        <f>IF(AND(CO124=0,CO83&gt;=0),"",CO83/CO124)</f>
        <v/>
      </c>
      <c r="CR83" s="28" t="str">
        <f t="shared" si="47"/>
        <v/>
      </c>
      <c r="CS83" s="99">
        <f>SUM(CS84:CS92)+CS110+CS111</f>
        <v>8644.2400000000016</v>
      </c>
      <c r="CT83" s="28">
        <f>IF(AND(CS4=0,CS83&gt;=0), "",CS83/CS4)</f>
        <v>5.2862775555008581E-2</v>
      </c>
      <c r="CU83" s="33">
        <f>IF(AND(CS124=0,CS83&gt;=0),"",CS83/CS124)</f>
        <v>0.11338736529393591</v>
      </c>
      <c r="CV83" s="100">
        <f>SUM(CV84:CV92)+CV110+CV111</f>
        <v>0</v>
      </c>
      <c r="CW83" s="28" t="str">
        <f>IF(AND(CV4=0,CV83&gt;=0), "",CV83/CV4)</f>
        <v/>
      </c>
      <c r="CX83" s="78">
        <f t="shared" si="48"/>
        <v>1</v>
      </c>
    </row>
    <row r="84" spans="1:102" hidden="1" outlineLevel="2" x14ac:dyDescent="0.25">
      <c r="A84" s="19" t="s">
        <v>76</v>
      </c>
      <c r="B84" s="101">
        <f>+'N EERR RODEO'!B140+'N EERR RODEO'!B141+'N EERR RODEO'!B142+'N EERR RODEO'!B143+'N EERR RODEO'!B144</f>
        <v>0</v>
      </c>
      <c r="C84" s="20" t="str">
        <f>IF(AND(B4=0,B84&gt;=0), "",B84/B4)</f>
        <v/>
      </c>
      <c r="D84" s="37" t="str">
        <f>IF(AND(B124=0,B84&gt;=0),"",B84/B124)</f>
        <v/>
      </c>
      <c r="E84" s="101">
        <f>+'N EERR RODEO'!C140+'N EERR RODEO'!C141+'N EERR RODEO'!C142+'N EERR RODEO'!C143+'N EERR RODEO'!C144</f>
        <v>0</v>
      </c>
      <c r="F84" s="20">
        <f>IF(AND(E4=0,E84&gt;=0), "",E84/E4)</f>
        <v>0</v>
      </c>
      <c r="G84" s="37">
        <f>IF(AND(E124=0,E84&gt;=0),"",E84/E124)</f>
        <v>0</v>
      </c>
      <c r="H84" s="101">
        <f>+'N EERR RODEO'!D140+'N EERR RODEO'!D141+'N EERR RODEO'!D142+'N EERR RODEO'!D143+'N EERR RODEO'!D144</f>
        <v>0</v>
      </c>
      <c r="I84" s="20">
        <f>IF(AND(H4=0,H84&gt;=0), "",H84/H4)</f>
        <v>0</v>
      </c>
      <c r="J84" s="37">
        <f>IF(AND(H124=0,H84&gt;=0),"",H84/H124)</f>
        <v>0</v>
      </c>
      <c r="K84" s="20" t="str">
        <f t="shared" ref="K84:K108" si="64">IF(AND(E84=0,H84&gt;0),100%,IF(AND(E84&lt;0,H84=0),(E84-H84)/E84,IF(AND(E84&gt;0,H84&gt;0),(H84-E84)/E84,IF(AND(E84=0,H84=0),"",(H84-E84)/E84))))</f>
        <v/>
      </c>
      <c r="L84" s="102">
        <f t="shared" ref="L84:L91" si="65">+E84+H84</f>
        <v>0</v>
      </c>
      <c r="M84" s="20">
        <f>IF(AND(L4=0,L84&gt;=0), "",L84/L4)</f>
        <v>0</v>
      </c>
      <c r="N84" s="37">
        <f>IF(AND(L124=0,L84&gt;=0),"",L84/L124)</f>
        <v>0</v>
      </c>
      <c r="O84" s="101">
        <f>+'N EERR RODEO'!E140+'N EERR RODEO'!E141+'N EERR RODEO'!E142+'N EERR RODEO'!E143+'N EERR RODEO'!E144</f>
        <v>0</v>
      </c>
      <c r="P84" s="20">
        <f>IF(AND(O4=0,O84&gt;=0), "",O84/O4)</f>
        <v>0</v>
      </c>
      <c r="Q84" s="37">
        <f>IF(AND(O124=0,O84&gt;=0),"",O84/O124)</f>
        <v>0</v>
      </c>
      <c r="R84" s="20" t="str">
        <f t="shared" ref="R84:R108" si="66">IF(AND(H84=0,O84&gt;0),100%,IF(AND(H84&lt;0,O84=0),(H84-O84)/H84,IF(AND(H84&gt;0,O84&gt;0),(O84-H84)/H84,IF(AND(H84=0,O84=0),"",(O84-H84)/H84))))</f>
        <v/>
      </c>
      <c r="S84" s="102">
        <f t="shared" ref="S84:S91" si="67">+L84+O84</f>
        <v>0</v>
      </c>
      <c r="T84" s="20">
        <f>IF(AND(S4=0,S84&gt;=0), "",S84/S4)</f>
        <v>0</v>
      </c>
      <c r="U84" s="37">
        <f>IF(AND(S124=0,S84&gt;=0),"",S84/S124)</f>
        <v>0</v>
      </c>
      <c r="V84" s="103"/>
      <c r="W84" s="20" t="str">
        <f>IF(AND(V4=0,V84&gt;=0), "",V84/V4)</f>
        <v/>
      </c>
      <c r="X84" s="37" t="str">
        <f t="shared" si="21"/>
        <v/>
      </c>
      <c r="Y84" s="101">
        <f>+'N EERR RODEO'!F140+'N EERR RODEO'!F141+'N EERR RODEO'!F142+'N EERR RODEO'!F143+'N EERR RODEO'!F144</f>
        <v>0</v>
      </c>
      <c r="Z84" s="20" t="str">
        <f>IF(AND(Y4=0,Y84&gt;=0), "",Y84/Y4)</f>
        <v/>
      </c>
      <c r="AA84" s="37" t="str">
        <f>IF(AND(Y124=0,Y84&gt;=0),"",Y84/Y124)</f>
        <v/>
      </c>
      <c r="AB84" s="20" t="str">
        <f t="shared" si="22"/>
        <v/>
      </c>
      <c r="AC84" s="102">
        <f t="shared" ref="AC84:AC91" si="68">+S84+Y84</f>
        <v>0</v>
      </c>
      <c r="AD84" s="20">
        <f>IF(AND(AC4=0,AC84&gt;=0), "",AC84/AC4)</f>
        <v>0</v>
      </c>
      <c r="AE84" s="37">
        <f>IF(AND(AC124=0,AC84&gt;=0),"",AC84/AC124)</f>
        <v>0</v>
      </c>
      <c r="AF84" s="101">
        <f>+'N EERR RODEO'!G140+'N EERR RODEO'!G141+'N EERR RODEO'!G142+'N EERR RODEO'!G143+'N EERR RODEO'!G144</f>
        <v>0</v>
      </c>
      <c r="AG84" s="20" t="str">
        <f>IF(AND(AF4=0,AF84&gt;=0), "",AF84/AF4)</f>
        <v/>
      </c>
      <c r="AH84" s="37" t="str">
        <f>IF(AND(AF124=0,AF84&gt;=0),"",AF84/AF124)</f>
        <v/>
      </c>
      <c r="AI84" s="20" t="str">
        <f t="shared" si="41"/>
        <v/>
      </c>
      <c r="AJ84" s="102">
        <f t="shared" si="62"/>
        <v>0</v>
      </c>
      <c r="AK84" s="20">
        <f>IF(AND(AJ4=0,AJ84&gt;=0), "",AJ84/AJ4)</f>
        <v>0</v>
      </c>
      <c r="AL84" s="37">
        <f>IF(AND(AJ124=0,AJ84&gt;=0),"",AJ84/AJ124)</f>
        <v>0</v>
      </c>
      <c r="AM84" s="101">
        <f>+'N EERR RODEO'!H140+'N EERR RODEO'!H141+'N EERR RODEO'!H142+'N EERR RODEO'!H143+'N EERR RODEO'!H144</f>
        <v>0</v>
      </c>
      <c r="AN84" s="20" t="str">
        <f>IF(AND(AM4=0,AM84&gt;=0), "",AM84/AM4)</f>
        <v/>
      </c>
      <c r="AO84" s="37" t="str">
        <f>IF(AND(AM124=0,AM84&gt;=0),"",AM84/AM124)</f>
        <v/>
      </c>
      <c r="AP84" s="20" t="str">
        <f t="shared" si="42"/>
        <v/>
      </c>
      <c r="AQ84" s="102">
        <f t="shared" si="63"/>
        <v>0</v>
      </c>
      <c r="AR84" s="20">
        <f>IF(AND(AQ4=0,AQ84&gt;=0), "",AQ84/AQ4)</f>
        <v>0</v>
      </c>
      <c r="AS84" s="37">
        <f>IF(AND(AQ124=0,AQ84&gt;=0),"",AQ84/AQ124)</f>
        <v>0</v>
      </c>
      <c r="AT84" s="103">
        <f t="shared" ref="AT84:AT92" si="69">+V84*2</f>
        <v>0</v>
      </c>
      <c r="AU84" s="20" t="str">
        <f>IF(AND(AT4=0,AT84&gt;=0), "",AT84/AT4)</f>
        <v/>
      </c>
      <c r="AV84" s="37" t="str">
        <f t="shared" si="23"/>
        <v/>
      </c>
      <c r="AW84" s="103">
        <f t="shared" si="40"/>
        <v>0</v>
      </c>
      <c r="AX84" s="20">
        <f>IF(AND(AW4=0,AW84&gt;=0), "",AW84/AW4)</f>
        <v>0</v>
      </c>
      <c r="AY84" s="37">
        <f>IF(AND(AW124=0,AW84&gt;=0),"",AW84/AW124)</f>
        <v>0</v>
      </c>
      <c r="AZ84" s="103">
        <f t="shared" ref="AZ84:AZ102" si="70">+AT84/6</f>
        <v>0</v>
      </c>
      <c r="BA84" s="20" t="str">
        <f>IF(AND(AZ4=0,AZ84&gt;=0), "",AZ84/AZ4)</f>
        <v/>
      </c>
      <c r="BB84" s="37" t="str">
        <f t="shared" si="24"/>
        <v/>
      </c>
      <c r="BC84" s="101">
        <f>+'N EERR RODEO'!I140+'N EERR RODEO'!I141+'N EERR RODEO'!I142+'N EERR RODEO'!I143+'N EERR RODEO'!I144</f>
        <v>0</v>
      </c>
      <c r="BD84" s="20" t="str">
        <f>IF(AND(BC4=0,BC84&gt;=0), "",BC84/BC4)</f>
        <v/>
      </c>
      <c r="BE84" s="37" t="str">
        <f>IF(AND(BC124=0,BC84&gt;=0),"",BC84/BC124)</f>
        <v/>
      </c>
      <c r="BF84" s="20" t="str">
        <f t="shared" si="25"/>
        <v/>
      </c>
      <c r="BG84" s="102">
        <f t="shared" ref="BG84:BG92" si="71">+AQ84+BC84</f>
        <v>0</v>
      </c>
      <c r="BH84" s="20">
        <f>IF(AND(BG4=0,BG84&gt;=0), "",BG84/BG4)</f>
        <v>0</v>
      </c>
      <c r="BI84" s="37">
        <f>IF(AND(BG124=0,BG84&gt;=0),"",BG84/BG124)</f>
        <v>0</v>
      </c>
      <c r="BJ84" s="101">
        <f>+'N EERR RODEO'!J140+'N EERR RODEO'!J141+'N EERR RODEO'!J142+'N EERR RODEO'!J143+'N EERR RODEO'!J144</f>
        <v>0</v>
      </c>
      <c r="BK84" s="20" t="str">
        <f>IF(AND(BJ4=0,BJ84&gt;=0), "",BJ84/BJ4)</f>
        <v/>
      </c>
      <c r="BL84" s="37" t="str">
        <f>IF(AND(BJ124=0,BJ84&gt;=0),"",BJ84/BJ124)</f>
        <v/>
      </c>
      <c r="BM84" s="20" t="str">
        <f t="shared" si="43"/>
        <v/>
      </c>
      <c r="BN84" s="102">
        <f t="shared" ref="BN84:BN92" si="72">+BG84+BJ84</f>
        <v>0</v>
      </c>
      <c r="BO84" s="20">
        <f>IF(AND(BN4=0,BN84&gt;=0), "",BN84/BN4)</f>
        <v>0</v>
      </c>
      <c r="BP84" s="37">
        <f>IF(AND(BN124=0,BN84&gt;=0),"",BN84/BN124)</f>
        <v>0</v>
      </c>
      <c r="BQ84" s="101">
        <f>+'N EERR RODEO'!K140+'N EERR RODEO'!K141+'N EERR RODEO'!K142+'N EERR RODEO'!K143+'N EERR RODEO'!K144</f>
        <v>0</v>
      </c>
      <c r="BR84" s="20" t="str">
        <f>IF(AND(BQ4=0,BQ84&gt;=0), "",BQ84/BQ4)</f>
        <v/>
      </c>
      <c r="BS84" s="37" t="str">
        <f>IF(AND(BQ124=0,BQ84&gt;=0),"",BQ84/BQ124)</f>
        <v/>
      </c>
      <c r="BT84" s="20" t="str">
        <f t="shared" si="44"/>
        <v/>
      </c>
      <c r="BU84" s="102">
        <f t="shared" ref="BU84:BU92" si="73">+BN84+BQ84</f>
        <v>0</v>
      </c>
      <c r="BV84" s="20">
        <f>IF(AND(BU4=0,BU84&gt;=0), "",BU84/BU4)</f>
        <v>0</v>
      </c>
      <c r="BW84" s="37">
        <f>IF(AND(BU124=0,BU84&gt;=0),"",BU84/BU124)</f>
        <v>0</v>
      </c>
      <c r="BX84" s="103">
        <f t="shared" ref="BX84:BX92" si="74">+AZ84*9</f>
        <v>0</v>
      </c>
      <c r="BY84" s="20" t="str">
        <f>IF(AND(BX4=0,BX84&gt;=0), "",BX84/BX4)</f>
        <v/>
      </c>
      <c r="BZ84" s="37" t="str">
        <f t="shared" si="45"/>
        <v/>
      </c>
      <c r="CA84" s="101">
        <f>+'N EERR RODEO'!L140+'N EERR RODEO'!L141+'N EERR RODEO'!L142+'N EERR RODEO'!L143+'N EERR RODEO'!L144</f>
        <v>0</v>
      </c>
      <c r="CB84" s="20" t="str">
        <f>IF(AND(CA4=0,CA84&gt;=0), "",CA84/CA4)</f>
        <v/>
      </c>
      <c r="CC84" s="37" t="str">
        <f>IF(AND(CA124=0,CA84&gt;=0),"",CA84/CA124)</f>
        <v/>
      </c>
      <c r="CD84" s="20" t="str">
        <f t="shared" si="26"/>
        <v/>
      </c>
      <c r="CE84" s="102">
        <f t="shared" ref="CE84:CE92" si="75">+BU84+CA84</f>
        <v>0</v>
      </c>
      <c r="CF84" s="20">
        <f>IF(AND(CE4=0,CE84&gt;=0), "",CE84/CE4)</f>
        <v>0</v>
      </c>
      <c r="CG84" s="37">
        <f>IF(AND(CE124=0,CE84&gt;=0),"",CE84/CE124)</f>
        <v>0</v>
      </c>
      <c r="CH84" s="101">
        <f>+'N EERR RODEO'!M140+'N EERR RODEO'!M141+'N EERR RODEO'!M142+'N EERR RODEO'!M143+'N EERR RODEO'!M144</f>
        <v>0</v>
      </c>
      <c r="CI84" s="20" t="str">
        <f>IF(AND(CH4=0,CH84&gt;=0), "",CH84/CH4)</f>
        <v/>
      </c>
      <c r="CJ84" s="37" t="str">
        <f>IF(AND(CH124=0,CH84&gt;=0),"",CH84/CH124)</f>
        <v/>
      </c>
      <c r="CK84" s="20" t="str">
        <f t="shared" si="46"/>
        <v/>
      </c>
      <c r="CL84" s="102">
        <f t="shared" ref="CL84:CL92" si="76">+CE84+CH84</f>
        <v>0</v>
      </c>
      <c r="CM84" s="20">
        <f>IF(AND(CL4=0,CL84&gt;=0), "",CL84/CL4)</f>
        <v>0</v>
      </c>
      <c r="CN84" s="37">
        <f>IF(AND(CL124=0,CL84&gt;=0),"",CL84/CL124)</f>
        <v>0</v>
      </c>
      <c r="CO84" s="101">
        <f>+'N EERR RODEO'!N140+'N EERR RODEO'!N141+'N EERR RODEO'!N142+'N EERR RODEO'!N143+'N EERR RODEO'!N144</f>
        <v>0</v>
      </c>
      <c r="CP84" s="20" t="str">
        <f>IF(AND(CO4=0,CO84&gt;=0), "",CO84/CO4)</f>
        <v/>
      </c>
      <c r="CQ84" s="37" t="str">
        <f>IF(AND(CO124=0,CO84&gt;=0),"",CO84/CO124)</f>
        <v/>
      </c>
      <c r="CR84" s="20" t="str">
        <f t="shared" si="47"/>
        <v/>
      </c>
      <c r="CS84" s="102">
        <f t="shared" ref="CS84:CS92" si="77">+CL84+CO84</f>
        <v>0</v>
      </c>
      <c r="CT84" s="20">
        <f>IF(AND(CS4=0,CS84&gt;=0), "",CS84/CS4)</f>
        <v>0</v>
      </c>
      <c r="CU84" s="37">
        <f>IF(AND(CS124=0,CS84&gt;=0),"",CS84/CS124)</f>
        <v>0</v>
      </c>
      <c r="CV84" s="103">
        <f t="shared" ref="CV84:CV92" si="78">+AZ84*12</f>
        <v>0</v>
      </c>
      <c r="CW84" s="20" t="str">
        <f>IF(AND(CV4=0,CV84&gt;=0), "",CV84/CV4)</f>
        <v/>
      </c>
      <c r="CX84" s="37" t="str">
        <f t="shared" si="48"/>
        <v/>
      </c>
    </row>
    <row r="85" spans="1:102" hidden="1" outlineLevel="2" x14ac:dyDescent="0.25">
      <c r="A85" s="19" t="s">
        <v>77</v>
      </c>
      <c r="B85" s="101">
        <f>+'N EERR RODEO'!B145</f>
        <v>0</v>
      </c>
      <c r="C85" s="20" t="str">
        <f>IF(AND(B4=0,B85&gt;=0), "",B85/B4)</f>
        <v/>
      </c>
      <c r="D85" s="37" t="str">
        <f>IF(AND(B124=0,B85&gt;=0),"",B85/B124)</f>
        <v/>
      </c>
      <c r="E85" s="101">
        <f>+'N EERR RODEO'!C145</f>
        <v>0</v>
      </c>
      <c r="F85" s="20">
        <f>IF(AND(E4=0,E85&gt;=0), "",E85/E4)</f>
        <v>0</v>
      </c>
      <c r="G85" s="37">
        <f>IF(AND(E124=0,E85&gt;=0),"",E85/E124)</f>
        <v>0</v>
      </c>
      <c r="H85" s="101">
        <f>+'N EERR RODEO'!D145</f>
        <v>32.97</v>
      </c>
      <c r="I85" s="20">
        <f>IF(AND(H4=0,H85&gt;=0), "",H85/H4)</f>
        <v>6.4040507320469028E-4</v>
      </c>
      <c r="J85" s="37">
        <f>IF(AND(H124=0,H85&gt;=0),"",H85/H124)</f>
        <v>1.7052251678201203E-3</v>
      </c>
      <c r="K85" s="20">
        <f t="shared" si="64"/>
        <v>1</v>
      </c>
      <c r="L85" s="102">
        <f t="shared" si="65"/>
        <v>32.97</v>
      </c>
      <c r="M85" s="20">
        <f>IF(AND(L4=0,L85&gt;=0), "",L85/L4)</f>
        <v>3.3163652516137479E-4</v>
      </c>
      <c r="N85" s="37">
        <f>IF(AND(L124=0,L85&gt;=0),"",L85/L124)</f>
        <v>6.5547371246235057E-4</v>
      </c>
      <c r="O85" s="101">
        <f>+'N EERR RODEO'!E145</f>
        <v>27.92</v>
      </c>
      <c r="P85" s="20">
        <f>IF(AND(O4=0,O85&gt;=0), "",O85/O4)</f>
        <v>4.3552743276857239E-4</v>
      </c>
      <c r="Q85" s="37">
        <f>IF(AND(O124=0,O85&gt;=0),"",O85/O124)</f>
        <v>1.0764602962733346E-3</v>
      </c>
      <c r="R85" s="20">
        <f t="shared" si="66"/>
        <v>-0.1531695480740066</v>
      </c>
      <c r="S85" s="102">
        <f t="shared" si="67"/>
        <v>60.89</v>
      </c>
      <c r="T85" s="20">
        <f>IF(AND(S4=0,S85&gt;=0), "",S85/S4)</f>
        <v>3.7236522858510082E-4</v>
      </c>
      <c r="U85" s="37">
        <f>IF(AND(S124=0,S85&gt;=0),"",S85/S124)</f>
        <v>7.987002527402936E-4</v>
      </c>
      <c r="V85" s="103"/>
      <c r="W85" s="20" t="str">
        <f>IF(AND(V4=0,V85&gt;=0), "",V85/V4)</f>
        <v/>
      </c>
      <c r="X85" s="37">
        <f t="shared" si="21"/>
        <v>1</v>
      </c>
      <c r="Y85" s="101">
        <f>+'N EERR RODEO'!F145</f>
        <v>0</v>
      </c>
      <c r="Z85" s="20" t="str">
        <f>IF(AND(Y4=0,Y85&gt;=0), "",Y85/Y4)</f>
        <v/>
      </c>
      <c r="AA85" s="37" t="str">
        <f>IF(AND(Y124=0,Y85&gt;=0),"",Y85/Y124)</f>
        <v/>
      </c>
      <c r="AB85" s="20">
        <f t="shared" si="22"/>
        <v>-1</v>
      </c>
      <c r="AC85" s="102">
        <f t="shared" si="68"/>
        <v>60.89</v>
      </c>
      <c r="AD85" s="20">
        <f>IF(AND(AC4=0,AC85&gt;=0), "",AC85/AC4)</f>
        <v>3.7236522858510082E-4</v>
      </c>
      <c r="AE85" s="37">
        <f>IF(AND(AC124=0,AC85&gt;=0),"",AC85/AC124)</f>
        <v>7.987002527402936E-4</v>
      </c>
      <c r="AF85" s="101">
        <f>+'N EERR RODEO'!G145</f>
        <v>0</v>
      </c>
      <c r="AG85" s="20" t="str">
        <f>IF(AND(AF4=0,AF85&gt;=0), "",AF85/AF4)</f>
        <v/>
      </c>
      <c r="AH85" s="37" t="str">
        <f>IF(AND(AF124=0,AF85&gt;=0),"",AF85/AF124)</f>
        <v/>
      </c>
      <c r="AI85" s="20" t="str">
        <f t="shared" si="41"/>
        <v/>
      </c>
      <c r="AJ85" s="102">
        <f t="shared" si="62"/>
        <v>60.89</v>
      </c>
      <c r="AK85" s="20">
        <f>IF(AND(AJ4=0,AJ85&gt;=0), "",AJ85/AJ4)</f>
        <v>3.7236522858510082E-4</v>
      </c>
      <c r="AL85" s="37">
        <f>IF(AND(AJ124=0,AJ85&gt;=0),"",AJ85/AJ124)</f>
        <v>7.987002527402936E-4</v>
      </c>
      <c r="AM85" s="101">
        <f>+'N EERR RODEO'!H145</f>
        <v>0</v>
      </c>
      <c r="AN85" s="20" t="str">
        <f>IF(AND(AM4=0,AM85&gt;=0), "",AM85/AM4)</f>
        <v/>
      </c>
      <c r="AO85" s="37" t="str">
        <f>IF(AND(AM124=0,AM85&gt;=0),"",AM85/AM124)</f>
        <v/>
      </c>
      <c r="AP85" s="20" t="str">
        <f t="shared" si="42"/>
        <v/>
      </c>
      <c r="AQ85" s="102">
        <f t="shared" si="63"/>
        <v>60.89</v>
      </c>
      <c r="AR85" s="20">
        <f>IF(AND(AQ4=0,AQ85&gt;=0), "",AQ85/AQ4)</f>
        <v>3.7236522858510082E-4</v>
      </c>
      <c r="AS85" s="37">
        <f>IF(AND(AQ124=0,AQ85&gt;=0),"",AQ85/AQ124)</f>
        <v>7.987002527402936E-4</v>
      </c>
      <c r="AT85" s="103">
        <f t="shared" si="69"/>
        <v>0</v>
      </c>
      <c r="AU85" s="20" t="str">
        <f>IF(AND(AT4=0,AT85&gt;=0), "",AT85/AT4)</f>
        <v/>
      </c>
      <c r="AV85" s="37">
        <f t="shared" si="23"/>
        <v>1</v>
      </c>
      <c r="AW85" s="103">
        <f t="shared" si="40"/>
        <v>10.148333333333333</v>
      </c>
      <c r="AX85" s="20">
        <f>IF(AND(AW4=0,AW85&gt;=0), "",AW85/AW4)</f>
        <v>3.7236522858510082E-4</v>
      </c>
      <c r="AY85" s="37">
        <f>IF(AND(AW124=0,AW85&gt;=0),"",AW85/AW124)</f>
        <v>7.9870025274029349E-4</v>
      </c>
      <c r="AZ85" s="103">
        <f t="shared" si="70"/>
        <v>0</v>
      </c>
      <c r="BA85" s="20" t="str">
        <f>IF(AND(AZ4=0,AZ85&gt;=0), "",AZ85/AZ4)</f>
        <v/>
      </c>
      <c r="BB85" s="37">
        <f t="shared" si="24"/>
        <v>1</v>
      </c>
      <c r="BC85" s="101">
        <f>+'N EERR RODEO'!I145</f>
        <v>0</v>
      </c>
      <c r="BD85" s="20" t="str">
        <f>IF(AND(BC4=0,BC85&gt;=0), "",BC85/BC4)</f>
        <v/>
      </c>
      <c r="BE85" s="37" t="str">
        <f>IF(AND(BC124=0,BC85&gt;=0),"",BC85/BC124)</f>
        <v/>
      </c>
      <c r="BF85" s="20" t="str">
        <f t="shared" si="25"/>
        <v/>
      </c>
      <c r="BG85" s="102">
        <f t="shared" si="71"/>
        <v>60.89</v>
      </c>
      <c r="BH85" s="20">
        <f>IF(AND(BG4=0,BG85&gt;=0), "",BG85/BG4)</f>
        <v>3.7236522858510082E-4</v>
      </c>
      <c r="BI85" s="37">
        <f>IF(AND(BG124=0,BG85&gt;=0),"",BG85/BG124)</f>
        <v>7.987002527402936E-4</v>
      </c>
      <c r="BJ85" s="101">
        <f>+'N EERR RODEO'!J145</f>
        <v>0</v>
      </c>
      <c r="BK85" s="20" t="str">
        <f>IF(AND(BJ4=0,BJ85&gt;=0), "",BJ85/BJ4)</f>
        <v/>
      </c>
      <c r="BL85" s="37" t="str">
        <f>IF(AND(BJ124=0,BJ85&gt;=0),"",BJ85/BJ124)</f>
        <v/>
      </c>
      <c r="BM85" s="20" t="str">
        <f t="shared" si="43"/>
        <v/>
      </c>
      <c r="BN85" s="102">
        <f t="shared" si="72"/>
        <v>60.89</v>
      </c>
      <c r="BO85" s="20">
        <f>IF(AND(BN4=0,BN85&gt;=0), "",BN85/BN4)</f>
        <v>3.7236522858510082E-4</v>
      </c>
      <c r="BP85" s="37">
        <f>IF(AND(BN124=0,BN85&gt;=0),"",BN85/BN124)</f>
        <v>7.987002527402936E-4</v>
      </c>
      <c r="BQ85" s="101">
        <f>+'N EERR RODEO'!K145</f>
        <v>0</v>
      </c>
      <c r="BR85" s="20" t="str">
        <f>IF(AND(BQ4=0,BQ85&gt;=0), "",BQ85/BQ4)</f>
        <v/>
      </c>
      <c r="BS85" s="37" t="str">
        <f>IF(AND(BQ124=0,BQ85&gt;=0),"",BQ85/BQ124)</f>
        <v/>
      </c>
      <c r="BT85" s="20" t="str">
        <f t="shared" si="44"/>
        <v/>
      </c>
      <c r="BU85" s="102">
        <f t="shared" si="73"/>
        <v>60.89</v>
      </c>
      <c r="BV85" s="20">
        <f>IF(AND(BU4=0,BU85&gt;=0), "",BU85/BU4)</f>
        <v>3.7236522858510082E-4</v>
      </c>
      <c r="BW85" s="37">
        <f>IF(AND(BU124=0,BU85&gt;=0),"",BU85/BU124)</f>
        <v>7.987002527402936E-4</v>
      </c>
      <c r="BX85" s="103">
        <f t="shared" si="74"/>
        <v>0</v>
      </c>
      <c r="BY85" s="20" t="str">
        <f>IF(AND(BX4=0,BX85&gt;=0), "",BX85/BX4)</f>
        <v/>
      </c>
      <c r="BZ85" s="37">
        <f t="shared" si="45"/>
        <v>1</v>
      </c>
      <c r="CA85" s="101">
        <f>+'N EERR RODEO'!L145</f>
        <v>0</v>
      </c>
      <c r="CB85" s="20" t="str">
        <f>IF(AND(CA4=0,CA85&gt;=0), "",CA85/CA4)</f>
        <v/>
      </c>
      <c r="CC85" s="37" t="str">
        <f>IF(AND(CA124=0,CA85&gt;=0),"",CA85/CA124)</f>
        <v/>
      </c>
      <c r="CD85" s="20" t="str">
        <f t="shared" si="26"/>
        <v/>
      </c>
      <c r="CE85" s="102">
        <f t="shared" si="75"/>
        <v>60.89</v>
      </c>
      <c r="CF85" s="20">
        <f>IF(AND(CE4=0,CE85&gt;=0), "",CE85/CE4)</f>
        <v>3.7236522858510082E-4</v>
      </c>
      <c r="CG85" s="37">
        <f>IF(AND(CE124=0,CE85&gt;=0),"",CE85/CE124)</f>
        <v>7.987002527402936E-4</v>
      </c>
      <c r="CH85" s="101">
        <f>+'N EERR RODEO'!M145</f>
        <v>0</v>
      </c>
      <c r="CI85" s="20" t="str">
        <f>IF(AND(CH4=0,CH85&gt;=0), "",CH85/CH4)</f>
        <v/>
      </c>
      <c r="CJ85" s="37" t="str">
        <f>IF(AND(CH124=0,CH85&gt;=0),"",CH85/CH124)</f>
        <v/>
      </c>
      <c r="CK85" s="20" t="str">
        <f t="shared" si="46"/>
        <v/>
      </c>
      <c r="CL85" s="102">
        <f t="shared" si="76"/>
        <v>60.89</v>
      </c>
      <c r="CM85" s="20">
        <f>IF(AND(CL4=0,CL85&gt;=0), "",CL85/CL4)</f>
        <v>3.7236522858510082E-4</v>
      </c>
      <c r="CN85" s="37">
        <f>IF(AND(CL124=0,CL85&gt;=0),"",CL85/CL124)</f>
        <v>7.987002527402936E-4</v>
      </c>
      <c r="CO85" s="101">
        <f>+'N EERR RODEO'!N145</f>
        <v>0</v>
      </c>
      <c r="CP85" s="20" t="str">
        <f>IF(AND(CO4=0,CO85&gt;=0), "",CO85/CO4)</f>
        <v/>
      </c>
      <c r="CQ85" s="37" t="str">
        <f>IF(AND(CO124=0,CO85&gt;=0),"",CO85/CO124)</f>
        <v/>
      </c>
      <c r="CR85" s="20" t="str">
        <f t="shared" si="47"/>
        <v/>
      </c>
      <c r="CS85" s="102">
        <f t="shared" si="77"/>
        <v>60.89</v>
      </c>
      <c r="CT85" s="20">
        <f>IF(AND(CS4=0,CS85&gt;=0), "",CS85/CS4)</f>
        <v>3.7236522858510082E-4</v>
      </c>
      <c r="CU85" s="37">
        <f>IF(AND(CS124=0,CS85&gt;=0),"",CS85/CS124)</f>
        <v>7.987002527402936E-4</v>
      </c>
      <c r="CV85" s="103">
        <f t="shared" si="78"/>
        <v>0</v>
      </c>
      <c r="CW85" s="20" t="str">
        <f>IF(AND(CV4=0,CV85&gt;=0), "",CV85/CV4)</f>
        <v/>
      </c>
      <c r="CX85" s="37">
        <f t="shared" si="48"/>
        <v>1</v>
      </c>
    </row>
    <row r="86" spans="1:102" hidden="1" outlineLevel="2" x14ac:dyDescent="0.25">
      <c r="A86" s="19" t="s">
        <v>1</v>
      </c>
      <c r="B86" s="101">
        <f>+'N EERR RODEO'!B146+'N EERR RODEO'!B147+'N EERR RODEO'!B148+'N EERR RODEO'!B149+'N EERR RODEO'!B150+'N EERR RODEO'!B151+'N EERR RODEO'!B152+'N EERR RODEO'!B153</f>
        <v>0</v>
      </c>
      <c r="C86" s="20" t="str">
        <f>IF(AND(B4=0,B86&gt;=0), "",B86/B4)</f>
        <v/>
      </c>
      <c r="D86" s="37" t="str">
        <f>IF(AND(B124=0,B86&gt;=0),"",B86/B124)</f>
        <v/>
      </c>
      <c r="E86" s="101">
        <f>+'N EERR RODEO'!C146+'N EERR RODEO'!C147+'N EERR RODEO'!C148+'N EERR RODEO'!C149+'N EERR RODEO'!C150+'N EERR RODEO'!C151+'N EERR RODEO'!C152+'N EERR RODEO'!C153</f>
        <v>0</v>
      </c>
      <c r="F86" s="20">
        <f>IF(AND(E4=0,E86&gt;=0), "",E86/E4)</f>
        <v>0</v>
      </c>
      <c r="G86" s="37">
        <f>IF(AND(E124=0,E86&gt;=0),"",E86/E124)</f>
        <v>0</v>
      </c>
      <c r="H86" s="101">
        <f>+'N EERR RODEO'!D146+'N EERR RODEO'!D147+'N EERR RODEO'!D148+'N EERR RODEO'!D149+'N EERR RODEO'!D150+'N EERR RODEO'!D151+'N EERR RODEO'!D152+'N EERR RODEO'!D153</f>
        <v>0</v>
      </c>
      <c r="I86" s="20">
        <f>IF(AND(H4=0,H86&gt;=0), "",H86/H4)</f>
        <v>0</v>
      </c>
      <c r="J86" s="37">
        <f>IF(AND(H124=0,H86&gt;=0),"",H86/H124)</f>
        <v>0</v>
      </c>
      <c r="K86" s="20" t="str">
        <f t="shared" si="64"/>
        <v/>
      </c>
      <c r="L86" s="102">
        <f t="shared" si="65"/>
        <v>0</v>
      </c>
      <c r="M86" s="20">
        <f>IF(AND(L4=0,L86&gt;=0), "",L86/L4)</f>
        <v>0</v>
      </c>
      <c r="N86" s="37">
        <f>IF(AND(L124=0,L86&gt;=0),"",L86/L124)</f>
        <v>0</v>
      </c>
      <c r="O86" s="101">
        <f>+'N EERR RODEO'!E146+'N EERR RODEO'!E147+'N EERR RODEO'!E148+'N EERR RODEO'!E149+'N EERR RODEO'!E150+'N EERR RODEO'!E151+'N EERR RODEO'!E152+'N EERR RODEO'!E153</f>
        <v>348.81</v>
      </c>
      <c r="P86" s="20">
        <f>IF(AND(O4=0,O86&gt;=0), "",O86/O4)</f>
        <v>5.4411290767910365E-3</v>
      </c>
      <c r="Q86" s="37">
        <f>IF(AND(O124=0,O86&gt;=0),"",O86/O124)</f>
        <v>1.3448428221457802E-2</v>
      </c>
      <c r="R86" s="20">
        <f t="shared" si="66"/>
        <v>1</v>
      </c>
      <c r="S86" s="102">
        <f t="shared" si="67"/>
        <v>348.81</v>
      </c>
      <c r="T86" s="20">
        <f>IF(AND(S4=0,S86&gt;=0), "",S86/S4)</f>
        <v>2.133104210589079E-3</v>
      </c>
      <c r="U86" s="37">
        <f>IF(AND(S124=0,S86&gt;=0),"",S86/S124)</f>
        <v>4.5753758442821776E-3</v>
      </c>
      <c r="V86" s="103"/>
      <c r="W86" s="20" t="str">
        <f>IF(AND(V4=0,V86&gt;=0), "",V86/V4)</f>
        <v/>
      </c>
      <c r="X86" s="37">
        <f t="shared" si="21"/>
        <v>1</v>
      </c>
      <c r="Y86" s="101">
        <f>+'N EERR RODEO'!F146+'N EERR RODEO'!F147+'N EERR RODEO'!F148+'N EERR RODEO'!F149+'N EERR RODEO'!F150+'N EERR RODEO'!F151+'N EERR RODEO'!F152+'N EERR RODEO'!F153</f>
        <v>0</v>
      </c>
      <c r="Z86" s="20" t="str">
        <f>IF(AND(Y4=0,Y86&gt;=0), "",Y86/Y4)</f>
        <v/>
      </c>
      <c r="AA86" s="37" t="str">
        <f>IF(AND(Y124=0,Y86&gt;=0),"",Y86/Y124)</f>
        <v/>
      </c>
      <c r="AB86" s="20">
        <f t="shared" si="22"/>
        <v>-1</v>
      </c>
      <c r="AC86" s="102">
        <f t="shared" si="68"/>
        <v>348.81</v>
      </c>
      <c r="AD86" s="20">
        <f>IF(AND(AC4=0,AC86&gt;=0), "",AC86/AC4)</f>
        <v>2.133104210589079E-3</v>
      </c>
      <c r="AE86" s="37">
        <f>IF(AND(AC124=0,AC86&gt;=0),"",AC86/AC124)</f>
        <v>4.5753758442821776E-3</v>
      </c>
      <c r="AF86" s="101">
        <f>+'N EERR RODEO'!G146+'N EERR RODEO'!G147+'N EERR RODEO'!G148+'N EERR RODEO'!G149+'N EERR RODEO'!G150+'N EERR RODEO'!G151+'N EERR RODEO'!G152+'N EERR RODEO'!G153</f>
        <v>0</v>
      </c>
      <c r="AG86" s="20" t="str">
        <f>IF(AND(AF4=0,AF86&gt;=0), "",AF86/AF4)</f>
        <v/>
      </c>
      <c r="AH86" s="37" t="str">
        <f>IF(AND(AF124=0,AF86&gt;=0),"",AF86/AF124)</f>
        <v/>
      </c>
      <c r="AI86" s="20" t="str">
        <f t="shared" si="41"/>
        <v/>
      </c>
      <c r="AJ86" s="102">
        <f t="shared" si="62"/>
        <v>348.81</v>
      </c>
      <c r="AK86" s="20">
        <f>IF(AND(AJ4=0,AJ86&gt;=0), "",AJ86/AJ4)</f>
        <v>2.133104210589079E-3</v>
      </c>
      <c r="AL86" s="37">
        <f>IF(AND(AJ124=0,AJ86&gt;=0),"",AJ86/AJ124)</f>
        <v>4.5753758442821776E-3</v>
      </c>
      <c r="AM86" s="101">
        <f>+'N EERR RODEO'!H146+'N EERR RODEO'!H147+'N EERR RODEO'!H148+'N EERR RODEO'!H149+'N EERR RODEO'!H150+'N EERR RODEO'!H151+'N EERR RODEO'!H152+'N EERR RODEO'!H153</f>
        <v>0</v>
      </c>
      <c r="AN86" s="20" t="str">
        <f>IF(AND(AM4=0,AM86&gt;=0), "",AM86/AM4)</f>
        <v/>
      </c>
      <c r="AO86" s="37" t="str">
        <f>IF(AND(AM124=0,AM86&gt;=0),"",AM86/AM124)</f>
        <v/>
      </c>
      <c r="AP86" s="20" t="str">
        <f t="shared" si="42"/>
        <v/>
      </c>
      <c r="AQ86" s="102">
        <f t="shared" si="63"/>
        <v>348.81</v>
      </c>
      <c r="AR86" s="20">
        <f>IF(AND(AQ4=0,AQ86&gt;=0), "",AQ86/AQ4)</f>
        <v>2.133104210589079E-3</v>
      </c>
      <c r="AS86" s="37">
        <f>IF(AND(AQ124=0,AQ86&gt;=0),"",AQ86/AQ124)</f>
        <v>4.5753758442821776E-3</v>
      </c>
      <c r="AT86" s="103">
        <f t="shared" si="69"/>
        <v>0</v>
      </c>
      <c r="AU86" s="20" t="str">
        <f>IF(AND(AT4=0,AT86&gt;=0), "",AT86/AT4)</f>
        <v/>
      </c>
      <c r="AV86" s="37">
        <f t="shared" si="23"/>
        <v>1</v>
      </c>
      <c r="AW86" s="103">
        <f t="shared" si="40"/>
        <v>58.134999999999998</v>
      </c>
      <c r="AX86" s="20">
        <f>IF(AND(AW4=0,AW86&gt;=0), "",AW86/AW4)</f>
        <v>2.133104210589079E-3</v>
      </c>
      <c r="AY86" s="37">
        <f>IF(AND(AW124=0,AW86&gt;=0),"",AW86/AW124)</f>
        <v>4.5753758442821776E-3</v>
      </c>
      <c r="AZ86" s="103">
        <f t="shared" si="70"/>
        <v>0</v>
      </c>
      <c r="BA86" s="20" t="str">
        <f>IF(AND(AZ4=0,AZ86&gt;=0), "",AZ86/AZ4)</f>
        <v/>
      </c>
      <c r="BB86" s="37">
        <f t="shared" si="24"/>
        <v>1</v>
      </c>
      <c r="BC86" s="101">
        <f>+'N EERR RODEO'!I146+'N EERR RODEO'!I147+'N EERR RODEO'!I148+'N EERR RODEO'!I149+'N EERR RODEO'!I150+'N EERR RODEO'!I151+'N EERR RODEO'!I152+'N EERR RODEO'!I153</f>
        <v>0</v>
      </c>
      <c r="BD86" s="20" t="str">
        <f>IF(AND(BC4=0,BC86&gt;=0), "",BC86/BC4)</f>
        <v/>
      </c>
      <c r="BE86" s="37" t="str">
        <f>IF(AND(BC124=0,BC86&gt;=0),"",BC86/BC124)</f>
        <v/>
      </c>
      <c r="BF86" s="20" t="str">
        <f t="shared" si="25"/>
        <v/>
      </c>
      <c r="BG86" s="102">
        <f t="shared" si="71"/>
        <v>348.81</v>
      </c>
      <c r="BH86" s="20">
        <f>IF(AND(BG4=0,BG86&gt;=0), "",BG86/BG4)</f>
        <v>2.133104210589079E-3</v>
      </c>
      <c r="BI86" s="37">
        <f>IF(AND(BG124=0,BG86&gt;=0),"",BG86/BG124)</f>
        <v>4.5753758442821776E-3</v>
      </c>
      <c r="BJ86" s="101">
        <f>+'N EERR RODEO'!J146+'N EERR RODEO'!J147+'N EERR RODEO'!J148+'N EERR RODEO'!J149+'N EERR RODEO'!J150+'N EERR RODEO'!J151+'N EERR RODEO'!J152+'N EERR RODEO'!J153</f>
        <v>0</v>
      </c>
      <c r="BK86" s="20" t="str">
        <f>IF(AND(BJ4=0,BJ86&gt;=0), "",BJ86/BJ4)</f>
        <v/>
      </c>
      <c r="BL86" s="37" t="str">
        <f>IF(AND(BJ124=0,BJ86&gt;=0),"",BJ86/BJ124)</f>
        <v/>
      </c>
      <c r="BM86" s="20" t="str">
        <f t="shared" si="43"/>
        <v/>
      </c>
      <c r="BN86" s="102">
        <f t="shared" si="72"/>
        <v>348.81</v>
      </c>
      <c r="BO86" s="20">
        <f>IF(AND(BN4=0,BN86&gt;=0), "",BN86/BN4)</f>
        <v>2.133104210589079E-3</v>
      </c>
      <c r="BP86" s="37">
        <f>IF(AND(BN124=0,BN86&gt;=0),"",BN86/BN124)</f>
        <v>4.5753758442821776E-3</v>
      </c>
      <c r="BQ86" s="101">
        <f>+'N EERR RODEO'!K146+'N EERR RODEO'!K147+'N EERR RODEO'!K148+'N EERR RODEO'!K149+'N EERR RODEO'!K150+'N EERR RODEO'!K151+'N EERR RODEO'!K152+'N EERR RODEO'!K153</f>
        <v>0</v>
      </c>
      <c r="BR86" s="20" t="str">
        <f>IF(AND(BQ4=0,BQ86&gt;=0), "",BQ86/BQ4)</f>
        <v/>
      </c>
      <c r="BS86" s="37" t="str">
        <f>IF(AND(BQ124=0,BQ86&gt;=0),"",BQ86/BQ124)</f>
        <v/>
      </c>
      <c r="BT86" s="20" t="str">
        <f t="shared" si="44"/>
        <v/>
      </c>
      <c r="BU86" s="102">
        <f t="shared" si="73"/>
        <v>348.81</v>
      </c>
      <c r="BV86" s="20">
        <f>IF(AND(BU4=0,BU86&gt;=0), "",BU86/BU4)</f>
        <v>2.133104210589079E-3</v>
      </c>
      <c r="BW86" s="37">
        <f>IF(AND(BU124=0,BU86&gt;=0),"",BU86/BU124)</f>
        <v>4.5753758442821776E-3</v>
      </c>
      <c r="BX86" s="103">
        <f t="shared" si="74"/>
        <v>0</v>
      </c>
      <c r="BY86" s="20" t="str">
        <f>IF(AND(BX4=0,BX86&gt;=0), "",BX86/BX4)</f>
        <v/>
      </c>
      <c r="BZ86" s="37">
        <f t="shared" si="45"/>
        <v>1</v>
      </c>
      <c r="CA86" s="101">
        <f>+'N EERR RODEO'!L146+'N EERR RODEO'!L147+'N EERR RODEO'!L148+'N EERR RODEO'!L149+'N EERR RODEO'!L150+'N EERR RODEO'!L151+'N EERR RODEO'!L152+'N EERR RODEO'!L153</f>
        <v>0</v>
      </c>
      <c r="CB86" s="20" t="str">
        <f>IF(AND(CA4=0,CA86&gt;=0), "",CA86/CA4)</f>
        <v/>
      </c>
      <c r="CC86" s="37" t="str">
        <f>IF(AND(CA124=0,CA86&gt;=0),"",CA86/CA124)</f>
        <v/>
      </c>
      <c r="CD86" s="20" t="str">
        <f t="shared" si="26"/>
        <v/>
      </c>
      <c r="CE86" s="102">
        <f t="shared" si="75"/>
        <v>348.81</v>
      </c>
      <c r="CF86" s="20">
        <f>IF(AND(CE4=0,CE86&gt;=0), "",CE86/CE4)</f>
        <v>2.133104210589079E-3</v>
      </c>
      <c r="CG86" s="37">
        <f>IF(AND(CE124=0,CE86&gt;=0),"",CE86/CE124)</f>
        <v>4.5753758442821776E-3</v>
      </c>
      <c r="CH86" s="101">
        <f>+'N EERR RODEO'!M146+'N EERR RODEO'!M147+'N EERR RODEO'!M148+'N EERR RODEO'!M149+'N EERR RODEO'!M150+'N EERR RODEO'!M151+'N EERR RODEO'!M152+'N EERR RODEO'!M153</f>
        <v>0</v>
      </c>
      <c r="CI86" s="20" t="str">
        <f>IF(AND(CH4=0,CH86&gt;=0), "",CH86/CH4)</f>
        <v/>
      </c>
      <c r="CJ86" s="37" t="str">
        <f>IF(AND(CH124=0,CH86&gt;=0),"",CH86/CH124)</f>
        <v/>
      </c>
      <c r="CK86" s="20" t="str">
        <f t="shared" si="46"/>
        <v/>
      </c>
      <c r="CL86" s="102">
        <f t="shared" si="76"/>
        <v>348.81</v>
      </c>
      <c r="CM86" s="20">
        <f>IF(AND(CL4=0,CL86&gt;=0), "",CL86/CL4)</f>
        <v>2.133104210589079E-3</v>
      </c>
      <c r="CN86" s="37">
        <f>IF(AND(CL124=0,CL86&gt;=0),"",CL86/CL124)</f>
        <v>4.5753758442821776E-3</v>
      </c>
      <c r="CO86" s="101">
        <f>+'N EERR RODEO'!N146+'N EERR RODEO'!N147+'N EERR RODEO'!N148+'N EERR RODEO'!N149+'N EERR RODEO'!N150+'N EERR RODEO'!N151+'N EERR RODEO'!N152+'N EERR RODEO'!N153</f>
        <v>0</v>
      </c>
      <c r="CP86" s="20" t="str">
        <f>IF(AND(CO4=0,CO86&gt;=0), "",CO86/CO4)</f>
        <v/>
      </c>
      <c r="CQ86" s="37" t="str">
        <f>IF(AND(CO124=0,CO86&gt;=0),"",CO86/CO124)</f>
        <v/>
      </c>
      <c r="CR86" s="20" t="str">
        <f t="shared" si="47"/>
        <v/>
      </c>
      <c r="CS86" s="102">
        <f t="shared" si="77"/>
        <v>348.81</v>
      </c>
      <c r="CT86" s="20">
        <f>IF(AND(CS4=0,CS86&gt;=0), "",CS86/CS4)</f>
        <v>2.133104210589079E-3</v>
      </c>
      <c r="CU86" s="37">
        <f>IF(AND(CS124=0,CS86&gt;=0),"",CS86/CS124)</f>
        <v>4.5753758442821776E-3</v>
      </c>
      <c r="CV86" s="103">
        <f t="shared" si="78"/>
        <v>0</v>
      </c>
      <c r="CW86" s="20" t="str">
        <f>IF(AND(CV4=0,CV86&gt;=0), "",CV86/CV4)</f>
        <v/>
      </c>
      <c r="CX86" s="37">
        <f t="shared" si="48"/>
        <v>1</v>
      </c>
    </row>
    <row r="87" spans="1:102" hidden="1" outlineLevel="2" x14ac:dyDescent="0.25">
      <c r="A87" s="19" t="s">
        <v>78</v>
      </c>
      <c r="B87" s="101">
        <f>+'N EERR RODEO'!B157+'N EERR RODEO'!B158</f>
        <v>0</v>
      </c>
      <c r="C87" s="20" t="str">
        <f>IF(AND(B4=0,B87&gt;=0), "",B87/B4)</f>
        <v/>
      </c>
      <c r="D87" s="37" t="str">
        <f>IF(AND(B124=0,B87&gt;=0),"",B87/B124)</f>
        <v/>
      </c>
      <c r="E87" s="101">
        <f>+'N EERR RODEO'!C157+'N EERR RODEO'!C158</f>
        <v>0</v>
      </c>
      <c r="F87" s="20">
        <f>IF(AND(E4=0,E87&gt;=0), "",E87/E4)</f>
        <v>0</v>
      </c>
      <c r="G87" s="37">
        <f>IF(AND(E124=0,E87&gt;=0),"",E87/E124)</f>
        <v>0</v>
      </c>
      <c r="H87" s="101">
        <f>+'N EERR RODEO'!D157+'N EERR RODEO'!D158</f>
        <v>0</v>
      </c>
      <c r="I87" s="20">
        <f>IF(AND(H4=0,H87&gt;=0), "",H87/H4)</f>
        <v>0</v>
      </c>
      <c r="J87" s="37">
        <f>IF(AND(H124=0,H87&gt;=0),"",H87/H124)</f>
        <v>0</v>
      </c>
      <c r="K87" s="20" t="str">
        <f t="shared" si="64"/>
        <v/>
      </c>
      <c r="L87" s="102">
        <f t="shared" si="65"/>
        <v>0</v>
      </c>
      <c r="M87" s="20">
        <f>IF(AND(L4=0,L87&gt;=0), "",L87/L4)</f>
        <v>0</v>
      </c>
      <c r="N87" s="37">
        <f>IF(AND(L124=0,L87&gt;=0),"",L87/L124)</f>
        <v>0</v>
      </c>
      <c r="O87" s="101">
        <f>+'N EERR RODEO'!E157+'N EERR RODEO'!E158</f>
        <v>0</v>
      </c>
      <c r="P87" s="20">
        <f>IF(AND(O4=0,O87&gt;=0), "",O87/O4)</f>
        <v>0</v>
      </c>
      <c r="Q87" s="37">
        <f>IF(AND(O124=0,O87&gt;=0),"",O87/O124)</f>
        <v>0</v>
      </c>
      <c r="R87" s="20" t="str">
        <f t="shared" si="66"/>
        <v/>
      </c>
      <c r="S87" s="102">
        <f t="shared" si="67"/>
        <v>0</v>
      </c>
      <c r="T87" s="20">
        <f>IF(AND(S4=0,S87&gt;=0), "",S87/S4)</f>
        <v>0</v>
      </c>
      <c r="U87" s="37">
        <f>IF(AND(S124=0,S87&gt;=0),"",S87/S124)</f>
        <v>0</v>
      </c>
      <c r="V87" s="103"/>
      <c r="W87" s="20" t="str">
        <f>IF(AND(V4=0,V87&gt;=0), "",V87/V4)</f>
        <v/>
      </c>
      <c r="X87" s="37" t="str">
        <f t="shared" si="21"/>
        <v/>
      </c>
      <c r="Y87" s="101">
        <f>+'N EERR RODEO'!F157+'N EERR RODEO'!F158</f>
        <v>0</v>
      </c>
      <c r="Z87" s="20" t="str">
        <f>IF(AND(Y4=0,Y87&gt;=0), "",Y87/Y4)</f>
        <v/>
      </c>
      <c r="AA87" s="37" t="str">
        <f>IF(AND(Y124=0,Y87&gt;=0),"",Y87/Y124)</f>
        <v/>
      </c>
      <c r="AB87" s="20" t="str">
        <f t="shared" si="22"/>
        <v/>
      </c>
      <c r="AC87" s="102">
        <f t="shared" si="68"/>
        <v>0</v>
      </c>
      <c r="AD87" s="20">
        <f>IF(AND(AC4=0,AC87&gt;=0), "",AC87/AC4)</f>
        <v>0</v>
      </c>
      <c r="AE87" s="37">
        <f>IF(AND(AC124=0,AC87&gt;=0),"",AC87/AC124)</f>
        <v>0</v>
      </c>
      <c r="AF87" s="101">
        <f>+'N EERR RODEO'!G157+'N EERR RODEO'!G158</f>
        <v>0</v>
      </c>
      <c r="AG87" s="20" t="str">
        <f>IF(AND(AF4=0,AF87&gt;=0), "",AF87/AF4)</f>
        <v/>
      </c>
      <c r="AH87" s="37" t="str">
        <f>IF(AND(AF124=0,AF87&gt;=0),"",AF87/AF124)</f>
        <v/>
      </c>
      <c r="AI87" s="20" t="str">
        <f t="shared" si="41"/>
        <v/>
      </c>
      <c r="AJ87" s="102">
        <f t="shared" si="62"/>
        <v>0</v>
      </c>
      <c r="AK87" s="20">
        <f>IF(AND(AJ4=0,AJ87&gt;=0), "",AJ87/AJ4)</f>
        <v>0</v>
      </c>
      <c r="AL87" s="37">
        <f>IF(AND(AJ124=0,AJ87&gt;=0),"",AJ87/AJ124)</f>
        <v>0</v>
      </c>
      <c r="AM87" s="101">
        <f>+'N EERR RODEO'!H157+'N EERR RODEO'!H158</f>
        <v>0</v>
      </c>
      <c r="AN87" s="20" t="str">
        <f>IF(AND(AM4=0,AM87&gt;=0), "",AM87/AM4)</f>
        <v/>
      </c>
      <c r="AO87" s="37" t="str">
        <f>IF(AND(AM124=0,AM87&gt;=0),"",AM87/AM124)</f>
        <v/>
      </c>
      <c r="AP87" s="20" t="str">
        <f t="shared" si="42"/>
        <v/>
      </c>
      <c r="AQ87" s="102">
        <f t="shared" si="63"/>
        <v>0</v>
      </c>
      <c r="AR87" s="20">
        <f>IF(AND(AQ4=0,AQ87&gt;=0), "",AQ87/AQ4)</f>
        <v>0</v>
      </c>
      <c r="AS87" s="37">
        <f>IF(AND(AQ124=0,AQ87&gt;=0),"",AQ87/AQ124)</f>
        <v>0</v>
      </c>
      <c r="AT87" s="103">
        <f t="shared" si="69"/>
        <v>0</v>
      </c>
      <c r="AU87" s="20" t="str">
        <f>IF(AND(AT4=0,AT87&gt;=0), "",AT87/AT4)</f>
        <v/>
      </c>
      <c r="AV87" s="37" t="str">
        <f t="shared" si="23"/>
        <v/>
      </c>
      <c r="AW87" s="103">
        <f t="shared" si="40"/>
        <v>0</v>
      </c>
      <c r="AX87" s="20">
        <f>IF(AND(AW4=0,AW87&gt;=0), "",AW87/AW4)</f>
        <v>0</v>
      </c>
      <c r="AY87" s="37">
        <f>IF(AND(AW124=0,AW87&gt;=0),"",AW87/AW124)</f>
        <v>0</v>
      </c>
      <c r="AZ87" s="103">
        <f t="shared" si="70"/>
        <v>0</v>
      </c>
      <c r="BA87" s="20" t="str">
        <f>IF(AND(AZ4=0,AZ87&gt;=0), "",AZ87/AZ4)</f>
        <v/>
      </c>
      <c r="BB87" s="37" t="str">
        <f t="shared" si="24"/>
        <v/>
      </c>
      <c r="BC87" s="101">
        <f>+'N EERR RODEO'!I157+'N EERR RODEO'!I158</f>
        <v>0</v>
      </c>
      <c r="BD87" s="20" t="str">
        <f>IF(AND(BC4=0,BC87&gt;=0), "",BC87/BC4)</f>
        <v/>
      </c>
      <c r="BE87" s="37" t="str">
        <f>IF(AND(BC124=0,BC87&gt;=0),"",BC87/BC124)</f>
        <v/>
      </c>
      <c r="BF87" s="20" t="str">
        <f t="shared" si="25"/>
        <v/>
      </c>
      <c r="BG87" s="102">
        <f t="shared" si="71"/>
        <v>0</v>
      </c>
      <c r="BH87" s="20">
        <f>IF(AND(BG4=0,BG87&gt;=0), "",BG87/BG4)</f>
        <v>0</v>
      </c>
      <c r="BI87" s="37">
        <f>IF(AND(BG124=0,BG87&gt;=0),"",BG87/BG124)</f>
        <v>0</v>
      </c>
      <c r="BJ87" s="101">
        <f>+'N EERR RODEO'!J157+'N EERR RODEO'!J158</f>
        <v>0</v>
      </c>
      <c r="BK87" s="20" t="str">
        <f>IF(AND(BJ4=0,BJ87&gt;=0), "",BJ87/BJ4)</f>
        <v/>
      </c>
      <c r="BL87" s="37" t="str">
        <f>IF(AND(BJ124=0,BJ87&gt;=0),"",BJ87/BJ124)</f>
        <v/>
      </c>
      <c r="BM87" s="20" t="str">
        <f t="shared" si="43"/>
        <v/>
      </c>
      <c r="BN87" s="102">
        <f t="shared" si="72"/>
        <v>0</v>
      </c>
      <c r="BO87" s="20">
        <f>IF(AND(BN4=0,BN87&gt;=0), "",BN87/BN4)</f>
        <v>0</v>
      </c>
      <c r="BP87" s="37">
        <f>IF(AND(BN124=0,BN87&gt;=0),"",BN87/BN124)</f>
        <v>0</v>
      </c>
      <c r="BQ87" s="101">
        <f>+'N EERR RODEO'!K157+'N EERR RODEO'!K158</f>
        <v>0</v>
      </c>
      <c r="BR87" s="20" t="str">
        <f>IF(AND(BQ4=0,BQ87&gt;=0), "",BQ87/BQ4)</f>
        <v/>
      </c>
      <c r="BS87" s="37" t="str">
        <f>IF(AND(BQ124=0,BQ87&gt;=0),"",BQ87/BQ124)</f>
        <v/>
      </c>
      <c r="BT87" s="20" t="str">
        <f t="shared" si="44"/>
        <v/>
      </c>
      <c r="BU87" s="102">
        <f t="shared" si="73"/>
        <v>0</v>
      </c>
      <c r="BV87" s="20">
        <f>IF(AND(BU4=0,BU87&gt;=0), "",BU87/BU4)</f>
        <v>0</v>
      </c>
      <c r="BW87" s="37">
        <f>IF(AND(BU124=0,BU87&gt;=0),"",BU87/BU124)</f>
        <v>0</v>
      </c>
      <c r="BX87" s="103">
        <f t="shared" si="74"/>
        <v>0</v>
      </c>
      <c r="BY87" s="20" t="str">
        <f>IF(AND(BX4=0,BX87&gt;=0), "",BX87/BX4)</f>
        <v/>
      </c>
      <c r="BZ87" s="37" t="str">
        <f t="shared" si="45"/>
        <v/>
      </c>
      <c r="CA87" s="101">
        <f>+'N EERR RODEO'!L157+'N EERR RODEO'!L158</f>
        <v>0</v>
      </c>
      <c r="CB87" s="20" t="str">
        <f>IF(AND(CA4=0,CA87&gt;=0), "",CA87/CA4)</f>
        <v/>
      </c>
      <c r="CC87" s="37" t="str">
        <f>IF(AND(CA124=0,CA87&gt;=0),"",CA87/CA124)</f>
        <v/>
      </c>
      <c r="CD87" s="20" t="str">
        <f t="shared" si="26"/>
        <v/>
      </c>
      <c r="CE87" s="102">
        <f t="shared" si="75"/>
        <v>0</v>
      </c>
      <c r="CF87" s="20">
        <f>IF(AND(CE4=0,CE87&gt;=0), "",CE87/CE4)</f>
        <v>0</v>
      </c>
      <c r="CG87" s="37">
        <f>IF(AND(CE124=0,CE87&gt;=0),"",CE87/CE124)</f>
        <v>0</v>
      </c>
      <c r="CH87" s="101">
        <f>+'N EERR RODEO'!M157+'N EERR RODEO'!M158</f>
        <v>0</v>
      </c>
      <c r="CI87" s="20" t="str">
        <f>IF(AND(CH4=0,CH87&gt;=0), "",CH87/CH4)</f>
        <v/>
      </c>
      <c r="CJ87" s="37" t="str">
        <f>IF(AND(CH124=0,CH87&gt;=0),"",CH87/CH124)</f>
        <v/>
      </c>
      <c r="CK87" s="20" t="str">
        <f t="shared" si="46"/>
        <v/>
      </c>
      <c r="CL87" s="102">
        <f t="shared" si="76"/>
        <v>0</v>
      </c>
      <c r="CM87" s="20">
        <f>IF(AND(CL4=0,CL87&gt;=0), "",CL87/CL4)</f>
        <v>0</v>
      </c>
      <c r="CN87" s="37">
        <f>IF(AND(CL124=0,CL87&gt;=0),"",CL87/CL124)</f>
        <v>0</v>
      </c>
      <c r="CO87" s="101">
        <f>+'N EERR RODEO'!N157+'N EERR RODEO'!N158</f>
        <v>0</v>
      </c>
      <c r="CP87" s="20" t="str">
        <f>IF(AND(CO4=0,CO87&gt;=0), "",CO87/CO4)</f>
        <v/>
      </c>
      <c r="CQ87" s="37" t="str">
        <f>IF(AND(CO124=0,CO87&gt;=0),"",CO87/CO124)</f>
        <v/>
      </c>
      <c r="CR87" s="20" t="str">
        <f t="shared" si="47"/>
        <v/>
      </c>
      <c r="CS87" s="102">
        <f t="shared" si="77"/>
        <v>0</v>
      </c>
      <c r="CT87" s="20">
        <f>IF(AND(CS4=0,CS87&gt;=0), "",CS87/CS4)</f>
        <v>0</v>
      </c>
      <c r="CU87" s="37">
        <f>IF(AND(CS124=0,CS87&gt;=0),"",CS87/CS124)</f>
        <v>0</v>
      </c>
      <c r="CV87" s="103">
        <f t="shared" si="78"/>
        <v>0</v>
      </c>
      <c r="CW87" s="20" t="str">
        <f>IF(AND(CV4=0,CV87&gt;=0), "",CV87/CV4)</f>
        <v/>
      </c>
      <c r="CX87" s="37" t="str">
        <f t="shared" si="48"/>
        <v/>
      </c>
    </row>
    <row r="88" spans="1:102" hidden="1" outlineLevel="2" x14ac:dyDescent="0.25">
      <c r="A88" s="19" t="s">
        <v>80</v>
      </c>
      <c r="B88" s="101">
        <f>+'N EERR RODEO'!B159</f>
        <v>0</v>
      </c>
      <c r="C88" s="20" t="str">
        <f>IF(AND(B4=0,B88&gt;=0), "",B88/B4)</f>
        <v/>
      </c>
      <c r="D88" s="37" t="str">
        <f>IF(AND(B124=0,B88&gt;=0),"",B88/B124)</f>
        <v/>
      </c>
      <c r="E88" s="101">
        <f>+'N EERR RODEO'!C159</f>
        <v>0</v>
      </c>
      <c r="F88" s="20">
        <f>IF(AND(E4=0,E88&gt;=0), "",E88/E4)</f>
        <v>0</v>
      </c>
      <c r="G88" s="37">
        <f>IF(AND(E124=0,E88&gt;=0),"",E88/E124)</f>
        <v>0</v>
      </c>
      <c r="H88" s="101">
        <f>+'N EERR RODEO'!D159</f>
        <v>0</v>
      </c>
      <c r="I88" s="20">
        <f>IF(AND(H4=0,H88&gt;=0), "",H88/H4)</f>
        <v>0</v>
      </c>
      <c r="J88" s="37">
        <f>IF(AND(H124=0,H88&gt;=0),"",H88/H124)</f>
        <v>0</v>
      </c>
      <c r="K88" s="20" t="str">
        <f t="shared" si="64"/>
        <v/>
      </c>
      <c r="L88" s="102">
        <f t="shared" si="65"/>
        <v>0</v>
      </c>
      <c r="M88" s="20">
        <f>IF(AND(L4=0,L88&gt;=0), "",L88/L4)</f>
        <v>0</v>
      </c>
      <c r="N88" s="37">
        <f>IF(AND(L124=0,L88&gt;=0),"",L88/L124)</f>
        <v>0</v>
      </c>
      <c r="O88" s="101">
        <f>+'N EERR RODEO'!E159</f>
        <v>0</v>
      </c>
      <c r="P88" s="20">
        <f>IF(AND(O4=0,O88&gt;=0), "",O88/O4)</f>
        <v>0</v>
      </c>
      <c r="Q88" s="37">
        <f>IF(AND(O124=0,O88&gt;=0),"",O88/O124)</f>
        <v>0</v>
      </c>
      <c r="R88" s="20" t="str">
        <f t="shared" si="66"/>
        <v/>
      </c>
      <c r="S88" s="102">
        <f t="shared" si="67"/>
        <v>0</v>
      </c>
      <c r="T88" s="20">
        <f>IF(AND(S4=0,S88&gt;=0), "",S88/S4)</f>
        <v>0</v>
      </c>
      <c r="U88" s="37">
        <f>IF(AND(S124=0,S88&gt;=0),"",S88/S124)</f>
        <v>0</v>
      </c>
      <c r="V88" s="103"/>
      <c r="W88" s="20" t="str">
        <f>IF(AND(V4=0,V88&gt;=0), "",V88/V4)</f>
        <v/>
      </c>
      <c r="X88" s="37" t="str">
        <f t="shared" si="21"/>
        <v/>
      </c>
      <c r="Y88" s="101">
        <f>+'N EERR RODEO'!F159</f>
        <v>0</v>
      </c>
      <c r="Z88" s="20" t="str">
        <f>IF(AND(Y4=0,Y88&gt;=0), "",Y88/Y4)</f>
        <v/>
      </c>
      <c r="AA88" s="37" t="str">
        <f>IF(AND(Y124=0,Y88&gt;=0),"",Y88/Y124)</f>
        <v/>
      </c>
      <c r="AB88" s="20" t="str">
        <f t="shared" si="22"/>
        <v/>
      </c>
      <c r="AC88" s="102">
        <f t="shared" si="68"/>
        <v>0</v>
      </c>
      <c r="AD88" s="20">
        <f>IF(AND(AC4=0,AC88&gt;=0), "",AC88/AC4)</f>
        <v>0</v>
      </c>
      <c r="AE88" s="37">
        <f>IF(AND(AC124=0,AC88&gt;=0),"",AC88/AC124)</f>
        <v>0</v>
      </c>
      <c r="AF88" s="101">
        <f>+'N EERR RODEO'!G159</f>
        <v>0</v>
      </c>
      <c r="AG88" s="20" t="str">
        <f>IF(AND(AF4=0,AF88&gt;=0), "",AF88/AF4)</f>
        <v/>
      </c>
      <c r="AH88" s="37" t="str">
        <f>IF(AND(AF124=0,AF88&gt;=0),"",AF88/AF124)</f>
        <v/>
      </c>
      <c r="AI88" s="20" t="str">
        <f t="shared" si="41"/>
        <v/>
      </c>
      <c r="AJ88" s="102">
        <f t="shared" si="62"/>
        <v>0</v>
      </c>
      <c r="AK88" s="20">
        <f>IF(AND(AJ4=0,AJ88&gt;=0), "",AJ88/AJ4)</f>
        <v>0</v>
      </c>
      <c r="AL88" s="37">
        <f>IF(AND(AJ124=0,AJ88&gt;=0),"",AJ88/AJ124)</f>
        <v>0</v>
      </c>
      <c r="AM88" s="101">
        <f>+'N EERR RODEO'!H159</f>
        <v>0</v>
      </c>
      <c r="AN88" s="20" t="str">
        <f>IF(AND(AM4=0,AM88&gt;=0), "",AM88/AM4)</f>
        <v/>
      </c>
      <c r="AO88" s="37" t="str">
        <f>IF(AND(AM124=0,AM88&gt;=0),"",AM88/AM124)</f>
        <v/>
      </c>
      <c r="AP88" s="20" t="str">
        <f t="shared" si="42"/>
        <v/>
      </c>
      <c r="AQ88" s="102">
        <f t="shared" si="63"/>
        <v>0</v>
      </c>
      <c r="AR88" s="20">
        <f>IF(AND(AQ4=0,AQ88&gt;=0), "",AQ88/AQ4)</f>
        <v>0</v>
      </c>
      <c r="AS88" s="37">
        <f>IF(AND(AQ124=0,AQ88&gt;=0),"",AQ88/AQ124)</f>
        <v>0</v>
      </c>
      <c r="AT88" s="103">
        <f t="shared" si="69"/>
        <v>0</v>
      </c>
      <c r="AU88" s="20" t="str">
        <f>IF(AND(AT4=0,AT88&gt;=0), "",AT88/AT4)</f>
        <v/>
      </c>
      <c r="AV88" s="37" t="str">
        <f t="shared" si="23"/>
        <v/>
      </c>
      <c r="AW88" s="103">
        <f t="shared" si="40"/>
        <v>0</v>
      </c>
      <c r="AX88" s="20">
        <f>IF(AND(AW4=0,AW88&gt;=0), "",AW88/AW4)</f>
        <v>0</v>
      </c>
      <c r="AY88" s="37">
        <f>IF(AND(AW124=0,AW88&gt;=0),"",AW88/AW124)</f>
        <v>0</v>
      </c>
      <c r="AZ88" s="103">
        <f t="shared" si="70"/>
        <v>0</v>
      </c>
      <c r="BA88" s="20" t="str">
        <f>IF(AND(AZ4=0,AZ88&gt;=0), "",AZ88/AZ4)</f>
        <v/>
      </c>
      <c r="BB88" s="37" t="str">
        <f t="shared" si="24"/>
        <v/>
      </c>
      <c r="BC88" s="101">
        <f>+'N EERR RODEO'!I159</f>
        <v>0</v>
      </c>
      <c r="BD88" s="20" t="str">
        <f>IF(AND(BC4=0,BC88&gt;=0), "",BC88/BC4)</f>
        <v/>
      </c>
      <c r="BE88" s="37" t="str">
        <f>IF(AND(BC124=0,BC88&gt;=0),"",BC88/BC124)</f>
        <v/>
      </c>
      <c r="BF88" s="20" t="str">
        <f t="shared" si="25"/>
        <v/>
      </c>
      <c r="BG88" s="102">
        <f t="shared" si="71"/>
        <v>0</v>
      </c>
      <c r="BH88" s="20">
        <f>IF(AND(BG4=0,BG88&gt;=0), "",BG88/BG4)</f>
        <v>0</v>
      </c>
      <c r="BI88" s="37">
        <f>IF(AND(BG124=0,BG88&gt;=0),"",BG88/BG124)</f>
        <v>0</v>
      </c>
      <c r="BJ88" s="101">
        <f>+'N EERR RODEO'!J159</f>
        <v>0</v>
      </c>
      <c r="BK88" s="20" t="str">
        <f>IF(AND(BJ4=0,BJ88&gt;=0), "",BJ88/BJ4)</f>
        <v/>
      </c>
      <c r="BL88" s="37" t="str">
        <f>IF(AND(BJ124=0,BJ88&gt;=0),"",BJ88/BJ124)</f>
        <v/>
      </c>
      <c r="BM88" s="20" t="str">
        <f t="shared" si="43"/>
        <v/>
      </c>
      <c r="BN88" s="102">
        <f t="shared" si="72"/>
        <v>0</v>
      </c>
      <c r="BO88" s="20">
        <f>IF(AND(BN4=0,BN88&gt;=0), "",BN88/BN4)</f>
        <v>0</v>
      </c>
      <c r="BP88" s="37">
        <f>IF(AND(BN124=0,BN88&gt;=0),"",BN88/BN124)</f>
        <v>0</v>
      </c>
      <c r="BQ88" s="101">
        <f>+'N EERR RODEO'!K159</f>
        <v>0</v>
      </c>
      <c r="BR88" s="20" t="str">
        <f>IF(AND(BQ4=0,BQ88&gt;=0), "",BQ88/BQ4)</f>
        <v/>
      </c>
      <c r="BS88" s="37" t="str">
        <f>IF(AND(BQ124=0,BQ88&gt;=0),"",BQ88/BQ124)</f>
        <v/>
      </c>
      <c r="BT88" s="20" t="str">
        <f t="shared" si="44"/>
        <v/>
      </c>
      <c r="BU88" s="102">
        <f t="shared" si="73"/>
        <v>0</v>
      </c>
      <c r="BV88" s="20">
        <f>IF(AND(BU4=0,BU88&gt;=0), "",BU88/BU4)</f>
        <v>0</v>
      </c>
      <c r="BW88" s="37">
        <f>IF(AND(BU124=0,BU88&gt;=0),"",BU88/BU124)</f>
        <v>0</v>
      </c>
      <c r="BX88" s="103">
        <f t="shared" si="74"/>
        <v>0</v>
      </c>
      <c r="BY88" s="20" t="str">
        <f>IF(AND(BX4=0,BX88&gt;=0), "",BX88/BX4)</f>
        <v/>
      </c>
      <c r="BZ88" s="37" t="str">
        <f t="shared" si="45"/>
        <v/>
      </c>
      <c r="CA88" s="101">
        <f>+'N EERR RODEO'!L159</f>
        <v>0</v>
      </c>
      <c r="CB88" s="20" t="str">
        <f>IF(AND(CA4=0,CA88&gt;=0), "",CA88/CA4)</f>
        <v/>
      </c>
      <c r="CC88" s="37" t="str">
        <f>IF(AND(CA124=0,CA88&gt;=0),"",CA88/CA124)</f>
        <v/>
      </c>
      <c r="CD88" s="20" t="str">
        <f t="shared" si="26"/>
        <v/>
      </c>
      <c r="CE88" s="102">
        <f t="shared" si="75"/>
        <v>0</v>
      </c>
      <c r="CF88" s="20">
        <f>IF(AND(CE4=0,CE88&gt;=0), "",CE88/CE4)</f>
        <v>0</v>
      </c>
      <c r="CG88" s="37">
        <f>IF(AND(CE124=0,CE88&gt;=0),"",CE88/CE124)</f>
        <v>0</v>
      </c>
      <c r="CH88" s="101">
        <f>+'N EERR RODEO'!M159</f>
        <v>0</v>
      </c>
      <c r="CI88" s="20" t="str">
        <f>IF(AND(CH4=0,CH88&gt;=0), "",CH88/CH4)</f>
        <v/>
      </c>
      <c r="CJ88" s="37" t="str">
        <f>IF(AND(CH124=0,CH88&gt;=0),"",CH88/CH124)</f>
        <v/>
      </c>
      <c r="CK88" s="20" t="str">
        <f t="shared" si="46"/>
        <v/>
      </c>
      <c r="CL88" s="102">
        <f t="shared" si="76"/>
        <v>0</v>
      </c>
      <c r="CM88" s="20">
        <f>IF(AND(CL4=0,CL88&gt;=0), "",CL88/CL4)</f>
        <v>0</v>
      </c>
      <c r="CN88" s="37">
        <f>IF(AND(CL124=0,CL88&gt;=0),"",CL88/CL124)</f>
        <v>0</v>
      </c>
      <c r="CO88" s="101">
        <f>+'N EERR RODEO'!N159</f>
        <v>0</v>
      </c>
      <c r="CP88" s="20" t="str">
        <f>IF(AND(CO4=0,CO88&gt;=0), "",CO88/CO4)</f>
        <v/>
      </c>
      <c r="CQ88" s="37" t="str">
        <f>IF(AND(CO124=0,CO88&gt;=0),"",CO88/CO124)</f>
        <v/>
      </c>
      <c r="CR88" s="20" t="str">
        <f t="shared" si="47"/>
        <v/>
      </c>
      <c r="CS88" s="102">
        <f t="shared" si="77"/>
        <v>0</v>
      </c>
      <c r="CT88" s="20">
        <f>IF(AND(CS4=0,CS88&gt;=0), "",CS88/CS4)</f>
        <v>0</v>
      </c>
      <c r="CU88" s="37">
        <f>IF(AND(CS124=0,CS88&gt;=0),"",CS88/CS124)</f>
        <v>0</v>
      </c>
      <c r="CV88" s="103">
        <f t="shared" si="78"/>
        <v>0</v>
      </c>
      <c r="CW88" s="20" t="str">
        <f>IF(AND(CV4=0,CV88&gt;=0), "",CV88/CV4)</f>
        <v/>
      </c>
      <c r="CX88" s="37" t="str">
        <f t="shared" si="48"/>
        <v/>
      </c>
    </row>
    <row r="89" spans="1:102" hidden="1" outlineLevel="2" x14ac:dyDescent="0.25">
      <c r="A89" s="19" t="s">
        <v>79</v>
      </c>
      <c r="B89" s="101">
        <f>+'N EERR RODEO'!B160</f>
        <v>0</v>
      </c>
      <c r="C89" s="20" t="str">
        <f>IF(AND(B4=0,B89&gt;=0), "",B89/B4)</f>
        <v/>
      </c>
      <c r="D89" s="37" t="str">
        <f>IF(AND(B124=0,B89&gt;=0),"",B89/B124)</f>
        <v/>
      </c>
      <c r="E89" s="101">
        <f>+'N EERR RODEO'!C160</f>
        <v>0</v>
      </c>
      <c r="F89" s="20">
        <f>IF(AND(E4=0,E89&gt;=0), "",E89/E4)</f>
        <v>0</v>
      </c>
      <c r="G89" s="37">
        <f>IF(AND(E124=0,E89&gt;=0),"",E89/E124)</f>
        <v>0</v>
      </c>
      <c r="H89" s="101">
        <f>+'N EERR RODEO'!D160</f>
        <v>0</v>
      </c>
      <c r="I89" s="20">
        <f>IF(AND(H4=0,H89&gt;=0), "",H89/H4)</f>
        <v>0</v>
      </c>
      <c r="J89" s="37">
        <f>IF(AND(H124=0,H89&gt;=0),"",H89/H124)</f>
        <v>0</v>
      </c>
      <c r="K89" s="20" t="str">
        <f t="shared" si="64"/>
        <v/>
      </c>
      <c r="L89" s="102">
        <f t="shared" si="65"/>
        <v>0</v>
      </c>
      <c r="M89" s="20">
        <f>IF(AND(L4=0,L89&gt;=0), "",L89/L4)</f>
        <v>0</v>
      </c>
      <c r="N89" s="37">
        <f>IF(AND(L124=0,L89&gt;=0),"",L89/L124)</f>
        <v>0</v>
      </c>
      <c r="O89" s="101">
        <f>+'N EERR RODEO'!E160</f>
        <v>0</v>
      </c>
      <c r="P89" s="20">
        <f>IF(AND(O4=0,O89&gt;=0), "",O89/O4)</f>
        <v>0</v>
      </c>
      <c r="Q89" s="37">
        <f>IF(AND(O124=0,O89&gt;=0),"",O89/O124)</f>
        <v>0</v>
      </c>
      <c r="R89" s="20" t="str">
        <f t="shared" si="66"/>
        <v/>
      </c>
      <c r="S89" s="102">
        <f t="shared" si="67"/>
        <v>0</v>
      </c>
      <c r="T89" s="20">
        <f>IF(AND(S4=0,S89&gt;=0), "",S89/S4)</f>
        <v>0</v>
      </c>
      <c r="U89" s="37">
        <f>IF(AND(S124=0,S89&gt;=0),"",S89/S124)</f>
        <v>0</v>
      </c>
      <c r="V89" s="103"/>
      <c r="W89" s="20" t="str">
        <f>IF(AND(V4=0,V89&gt;=0), "",V89/V4)</f>
        <v/>
      </c>
      <c r="X89" s="37" t="str">
        <f t="shared" si="21"/>
        <v/>
      </c>
      <c r="Y89" s="101">
        <f>+'N EERR RODEO'!F160</f>
        <v>0</v>
      </c>
      <c r="Z89" s="20" t="str">
        <f>IF(AND(Y4=0,Y89&gt;=0), "",Y89/Y4)</f>
        <v/>
      </c>
      <c r="AA89" s="37" t="str">
        <f>IF(AND(Y124=0,Y89&gt;=0),"",Y89/Y124)</f>
        <v/>
      </c>
      <c r="AB89" s="20" t="str">
        <f t="shared" si="22"/>
        <v/>
      </c>
      <c r="AC89" s="102">
        <f t="shared" si="68"/>
        <v>0</v>
      </c>
      <c r="AD89" s="20">
        <f>IF(AND(AC4=0,AC89&gt;=0), "",AC89/AC4)</f>
        <v>0</v>
      </c>
      <c r="AE89" s="37">
        <f>IF(AND(AC124=0,AC89&gt;=0),"",AC89/AC124)</f>
        <v>0</v>
      </c>
      <c r="AF89" s="101">
        <f>+'N EERR RODEO'!G160</f>
        <v>0</v>
      </c>
      <c r="AG89" s="20" t="str">
        <f>IF(AND(AF4=0,AF89&gt;=0), "",AF89/AF4)</f>
        <v/>
      </c>
      <c r="AH89" s="37" t="str">
        <f>IF(AND(AF124=0,AF89&gt;=0),"",AF89/AF124)</f>
        <v/>
      </c>
      <c r="AI89" s="20" t="str">
        <f t="shared" si="41"/>
        <v/>
      </c>
      <c r="AJ89" s="102">
        <f t="shared" si="62"/>
        <v>0</v>
      </c>
      <c r="AK89" s="20">
        <f>IF(AND(AJ4=0,AJ89&gt;=0), "",AJ89/AJ4)</f>
        <v>0</v>
      </c>
      <c r="AL89" s="37">
        <f>IF(AND(AJ124=0,AJ89&gt;=0),"",AJ89/AJ124)</f>
        <v>0</v>
      </c>
      <c r="AM89" s="101">
        <f>+'N EERR RODEO'!H160</f>
        <v>0</v>
      </c>
      <c r="AN89" s="20" t="str">
        <f>IF(AND(AM4=0,AM89&gt;=0), "",AM89/AM4)</f>
        <v/>
      </c>
      <c r="AO89" s="37" t="str">
        <f>IF(AND(AM124=0,AM89&gt;=0),"",AM89/AM124)</f>
        <v/>
      </c>
      <c r="AP89" s="20" t="str">
        <f t="shared" si="42"/>
        <v/>
      </c>
      <c r="AQ89" s="102">
        <f t="shared" si="63"/>
        <v>0</v>
      </c>
      <c r="AR89" s="20">
        <f>IF(AND(AQ4=0,AQ89&gt;=0), "",AQ89/AQ4)</f>
        <v>0</v>
      </c>
      <c r="AS89" s="37">
        <f>IF(AND(AQ124=0,AQ89&gt;=0),"",AQ89/AQ124)</f>
        <v>0</v>
      </c>
      <c r="AT89" s="103">
        <f t="shared" si="69"/>
        <v>0</v>
      </c>
      <c r="AU89" s="20" t="str">
        <f>IF(AND(AT4=0,AT89&gt;=0), "",AT89/AT4)</f>
        <v/>
      </c>
      <c r="AV89" s="37" t="str">
        <f t="shared" si="23"/>
        <v/>
      </c>
      <c r="AW89" s="103">
        <f t="shared" si="40"/>
        <v>0</v>
      </c>
      <c r="AX89" s="20">
        <f>IF(AND(AW4=0,AW89&gt;=0), "",AW89/AW4)</f>
        <v>0</v>
      </c>
      <c r="AY89" s="37">
        <f>IF(AND(AW124=0,AW89&gt;=0),"",AW89/AW124)</f>
        <v>0</v>
      </c>
      <c r="AZ89" s="103">
        <f t="shared" si="70"/>
        <v>0</v>
      </c>
      <c r="BA89" s="20" t="str">
        <f>IF(AND(AZ4=0,AZ89&gt;=0), "",AZ89/AZ4)</f>
        <v/>
      </c>
      <c r="BB89" s="37" t="str">
        <f t="shared" si="24"/>
        <v/>
      </c>
      <c r="BC89" s="101">
        <f>+'N EERR RODEO'!I160</f>
        <v>0</v>
      </c>
      <c r="BD89" s="20" t="str">
        <f>IF(AND(BC4=0,BC89&gt;=0), "",BC89/BC4)</f>
        <v/>
      </c>
      <c r="BE89" s="37" t="str">
        <f>IF(AND(BC124=0,BC89&gt;=0),"",BC89/BC124)</f>
        <v/>
      </c>
      <c r="BF89" s="20" t="str">
        <f t="shared" si="25"/>
        <v/>
      </c>
      <c r="BG89" s="102">
        <f t="shared" si="71"/>
        <v>0</v>
      </c>
      <c r="BH89" s="20">
        <f>IF(AND(BG4=0,BG89&gt;=0), "",BG89/BG4)</f>
        <v>0</v>
      </c>
      <c r="BI89" s="37">
        <f>IF(AND(BG124=0,BG89&gt;=0),"",BG89/BG124)</f>
        <v>0</v>
      </c>
      <c r="BJ89" s="101">
        <f>+'N EERR RODEO'!J160</f>
        <v>0</v>
      </c>
      <c r="BK89" s="20" t="str">
        <f>IF(AND(BJ4=0,BJ89&gt;=0), "",BJ89/BJ4)</f>
        <v/>
      </c>
      <c r="BL89" s="37" t="str">
        <f>IF(AND(BJ124=0,BJ89&gt;=0),"",BJ89/BJ124)</f>
        <v/>
      </c>
      <c r="BM89" s="20" t="str">
        <f t="shared" si="43"/>
        <v/>
      </c>
      <c r="BN89" s="102">
        <f t="shared" si="72"/>
        <v>0</v>
      </c>
      <c r="BO89" s="20">
        <f>IF(AND(BN4=0,BN89&gt;=0), "",BN89/BN4)</f>
        <v>0</v>
      </c>
      <c r="BP89" s="37">
        <f>IF(AND(BN124=0,BN89&gt;=0),"",BN89/BN124)</f>
        <v>0</v>
      </c>
      <c r="BQ89" s="101">
        <f>+'N EERR RODEO'!K160</f>
        <v>0</v>
      </c>
      <c r="BR89" s="20" t="str">
        <f>IF(AND(BQ4=0,BQ89&gt;=0), "",BQ89/BQ4)</f>
        <v/>
      </c>
      <c r="BS89" s="37" t="str">
        <f>IF(AND(BQ124=0,BQ89&gt;=0),"",BQ89/BQ124)</f>
        <v/>
      </c>
      <c r="BT89" s="20" t="str">
        <f t="shared" si="44"/>
        <v/>
      </c>
      <c r="BU89" s="102">
        <f t="shared" si="73"/>
        <v>0</v>
      </c>
      <c r="BV89" s="20">
        <f>IF(AND(BU4=0,BU89&gt;=0), "",BU89/BU4)</f>
        <v>0</v>
      </c>
      <c r="BW89" s="37">
        <f>IF(AND(BU124=0,BU89&gt;=0),"",BU89/BU124)</f>
        <v>0</v>
      </c>
      <c r="BX89" s="103">
        <f t="shared" si="74"/>
        <v>0</v>
      </c>
      <c r="BY89" s="20" t="str">
        <f>IF(AND(BX4=0,BX89&gt;=0), "",BX89/BX4)</f>
        <v/>
      </c>
      <c r="BZ89" s="37" t="str">
        <f t="shared" si="45"/>
        <v/>
      </c>
      <c r="CA89" s="101">
        <f>+'N EERR RODEO'!L160</f>
        <v>0</v>
      </c>
      <c r="CB89" s="20" t="str">
        <f>IF(AND(CA4=0,CA89&gt;=0), "",CA89/CA4)</f>
        <v/>
      </c>
      <c r="CC89" s="37" t="str">
        <f>IF(AND(CA124=0,CA89&gt;=0),"",CA89/CA124)</f>
        <v/>
      </c>
      <c r="CD89" s="20" t="str">
        <f t="shared" si="26"/>
        <v/>
      </c>
      <c r="CE89" s="102">
        <f t="shared" si="75"/>
        <v>0</v>
      </c>
      <c r="CF89" s="20">
        <f>IF(AND(CE4=0,CE89&gt;=0), "",CE89/CE4)</f>
        <v>0</v>
      </c>
      <c r="CG89" s="37">
        <f>IF(AND(CE124=0,CE89&gt;=0),"",CE89/CE124)</f>
        <v>0</v>
      </c>
      <c r="CH89" s="101">
        <f>+'N EERR RODEO'!M160</f>
        <v>0</v>
      </c>
      <c r="CI89" s="20" t="str">
        <f>IF(AND(CH4=0,CH89&gt;=0), "",CH89/CH4)</f>
        <v/>
      </c>
      <c r="CJ89" s="37" t="str">
        <f>IF(AND(CH124=0,CH89&gt;=0),"",CH89/CH124)</f>
        <v/>
      </c>
      <c r="CK89" s="20" t="str">
        <f t="shared" si="46"/>
        <v/>
      </c>
      <c r="CL89" s="102">
        <f t="shared" si="76"/>
        <v>0</v>
      </c>
      <c r="CM89" s="20">
        <f>IF(AND(CL4=0,CL89&gt;=0), "",CL89/CL4)</f>
        <v>0</v>
      </c>
      <c r="CN89" s="37">
        <f>IF(AND(CL124=0,CL89&gt;=0),"",CL89/CL124)</f>
        <v>0</v>
      </c>
      <c r="CO89" s="101">
        <f>+'N EERR RODEO'!N160</f>
        <v>0</v>
      </c>
      <c r="CP89" s="20" t="str">
        <f>IF(AND(CO4=0,CO89&gt;=0), "",CO89/CO4)</f>
        <v/>
      </c>
      <c r="CQ89" s="37" t="str">
        <f>IF(AND(CO124=0,CO89&gt;=0),"",CO89/CO124)</f>
        <v/>
      </c>
      <c r="CR89" s="20" t="str">
        <f t="shared" si="47"/>
        <v/>
      </c>
      <c r="CS89" s="102">
        <f t="shared" si="77"/>
        <v>0</v>
      </c>
      <c r="CT89" s="20">
        <f>IF(AND(CS4=0,CS89&gt;=0), "",CS89/CS4)</f>
        <v>0</v>
      </c>
      <c r="CU89" s="37">
        <f>IF(AND(CS124=0,CS89&gt;=0),"",CS89/CS124)</f>
        <v>0</v>
      </c>
      <c r="CV89" s="103">
        <f t="shared" si="78"/>
        <v>0</v>
      </c>
      <c r="CW89" s="20" t="str">
        <f>IF(AND(CV4=0,CV89&gt;=0), "",CV89/CV4)</f>
        <v/>
      </c>
      <c r="CX89" s="37" t="str">
        <f t="shared" si="48"/>
        <v/>
      </c>
    </row>
    <row r="90" spans="1:102" hidden="1" outlineLevel="2" x14ac:dyDescent="0.25">
      <c r="A90" s="19" t="s">
        <v>81</v>
      </c>
      <c r="B90" s="101">
        <f>+'N EERR RODEO'!B161</f>
        <v>0</v>
      </c>
      <c r="C90" s="20" t="str">
        <f>IF(AND(B4=0,B90&gt;=0), "",B90/B4)</f>
        <v/>
      </c>
      <c r="D90" s="37" t="str">
        <f>IF(AND(B124=0,B90&gt;=0),"",B90/B124)</f>
        <v/>
      </c>
      <c r="E90" s="101">
        <f>+'N EERR RODEO'!C161</f>
        <v>0</v>
      </c>
      <c r="F90" s="20">
        <f>IF(AND(E4=0,E90&gt;=0), "",E90/E4)</f>
        <v>0</v>
      </c>
      <c r="G90" s="37">
        <f>IF(AND(E124=0,E90&gt;=0),"",E90/E124)</f>
        <v>0</v>
      </c>
      <c r="H90" s="101">
        <f>+'N EERR RODEO'!D161</f>
        <v>0</v>
      </c>
      <c r="I90" s="20">
        <f>IF(AND(H4=0,H90&gt;=0), "",H90/H4)</f>
        <v>0</v>
      </c>
      <c r="J90" s="37">
        <f>IF(AND(H124=0,H90&gt;=0),"",H90/H124)</f>
        <v>0</v>
      </c>
      <c r="K90" s="20" t="str">
        <f t="shared" si="64"/>
        <v/>
      </c>
      <c r="L90" s="102">
        <f t="shared" si="65"/>
        <v>0</v>
      </c>
      <c r="M90" s="20">
        <f>IF(AND(L4=0,L90&gt;=0), "",L90/L4)</f>
        <v>0</v>
      </c>
      <c r="N90" s="37">
        <f>IF(AND(L124=0,L90&gt;=0),"",L90/L124)</f>
        <v>0</v>
      </c>
      <c r="O90" s="101">
        <f>+'N EERR RODEO'!E161</f>
        <v>0</v>
      </c>
      <c r="P90" s="20">
        <f>IF(AND(O4=0,O90&gt;=0), "",O90/O4)</f>
        <v>0</v>
      </c>
      <c r="Q90" s="37">
        <f>IF(AND(O124=0,O90&gt;=0),"",O90/O124)</f>
        <v>0</v>
      </c>
      <c r="R90" s="20" t="str">
        <f t="shared" si="66"/>
        <v/>
      </c>
      <c r="S90" s="102">
        <f t="shared" si="67"/>
        <v>0</v>
      </c>
      <c r="T90" s="20">
        <f>IF(AND(S4=0,S90&gt;=0), "",S90/S4)</f>
        <v>0</v>
      </c>
      <c r="U90" s="37">
        <f>IF(AND(S124=0,S90&gt;=0),"",S90/S124)</f>
        <v>0</v>
      </c>
      <c r="V90" s="103"/>
      <c r="W90" s="20" t="str">
        <f>IF(AND(V4=0,V90&gt;=0), "",V90/V4)</f>
        <v/>
      </c>
      <c r="X90" s="37" t="str">
        <f t="shared" si="21"/>
        <v/>
      </c>
      <c r="Y90" s="101">
        <f>+'N EERR RODEO'!F161</f>
        <v>0</v>
      </c>
      <c r="Z90" s="20" t="str">
        <f>IF(AND(Y4=0,Y90&gt;=0), "",Y90/Y4)</f>
        <v/>
      </c>
      <c r="AA90" s="37" t="str">
        <f>IF(AND(Y124=0,Y90&gt;=0),"",Y90/Y124)</f>
        <v/>
      </c>
      <c r="AB90" s="20" t="str">
        <f t="shared" si="22"/>
        <v/>
      </c>
      <c r="AC90" s="102">
        <f t="shared" si="68"/>
        <v>0</v>
      </c>
      <c r="AD90" s="20">
        <f>IF(AND(AC4=0,AC90&gt;=0), "",AC90/AC4)</f>
        <v>0</v>
      </c>
      <c r="AE90" s="37">
        <f>IF(AND(AC124=0,AC90&gt;=0),"",AC90/AC124)</f>
        <v>0</v>
      </c>
      <c r="AF90" s="101">
        <f>+'N EERR RODEO'!G161</f>
        <v>0</v>
      </c>
      <c r="AG90" s="20" t="str">
        <f>IF(AND(AF4=0,AF90&gt;=0), "",AF90/AF4)</f>
        <v/>
      </c>
      <c r="AH90" s="37" t="str">
        <f>IF(AND(AF124=0,AF90&gt;=0),"",AF90/AF124)</f>
        <v/>
      </c>
      <c r="AI90" s="20" t="str">
        <f t="shared" si="41"/>
        <v/>
      </c>
      <c r="AJ90" s="102">
        <f t="shared" si="62"/>
        <v>0</v>
      </c>
      <c r="AK90" s="20">
        <f>IF(AND(AJ4=0,AJ90&gt;=0), "",AJ90/AJ4)</f>
        <v>0</v>
      </c>
      <c r="AL90" s="37">
        <f>IF(AND(AJ124=0,AJ90&gt;=0),"",AJ90/AJ124)</f>
        <v>0</v>
      </c>
      <c r="AM90" s="101">
        <f>+'N EERR RODEO'!H161</f>
        <v>0</v>
      </c>
      <c r="AN90" s="20" t="str">
        <f>IF(AND(AM4=0,AM90&gt;=0), "",AM90/AM4)</f>
        <v/>
      </c>
      <c r="AO90" s="37" t="str">
        <f>IF(AND(AM124=0,AM90&gt;=0),"",AM90/AM124)</f>
        <v/>
      </c>
      <c r="AP90" s="20" t="str">
        <f t="shared" si="42"/>
        <v/>
      </c>
      <c r="AQ90" s="102">
        <f t="shared" si="63"/>
        <v>0</v>
      </c>
      <c r="AR90" s="20">
        <f>IF(AND(AQ4=0,AQ90&gt;=0), "",AQ90/AQ4)</f>
        <v>0</v>
      </c>
      <c r="AS90" s="37">
        <f>IF(AND(AQ124=0,AQ90&gt;=0),"",AQ90/AQ124)</f>
        <v>0</v>
      </c>
      <c r="AT90" s="103">
        <f t="shared" si="69"/>
        <v>0</v>
      </c>
      <c r="AU90" s="20" t="str">
        <f>IF(AND(AT4=0,AT90&gt;=0), "",AT90/AT4)</f>
        <v/>
      </c>
      <c r="AV90" s="37" t="str">
        <f t="shared" si="23"/>
        <v/>
      </c>
      <c r="AW90" s="103">
        <f t="shared" si="40"/>
        <v>0</v>
      </c>
      <c r="AX90" s="20">
        <f>IF(AND(AW4=0,AW90&gt;=0), "",AW90/AW4)</f>
        <v>0</v>
      </c>
      <c r="AY90" s="37">
        <f>IF(AND(AW124=0,AW90&gt;=0),"",AW90/AW124)</f>
        <v>0</v>
      </c>
      <c r="AZ90" s="103">
        <f t="shared" si="70"/>
        <v>0</v>
      </c>
      <c r="BA90" s="20" t="str">
        <f>IF(AND(AZ4=0,AZ90&gt;=0), "",AZ90/AZ4)</f>
        <v/>
      </c>
      <c r="BB90" s="37" t="str">
        <f t="shared" si="24"/>
        <v/>
      </c>
      <c r="BC90" s="101">
        <f>+'N EERR RODEO'!I161</f>
        <v>0</v>
      </c>
      <c r="BD90" s="20" t="str">
        <f>IF(AND(BC4=0,BC90&gt;=0), "",BC90/BC4)</f>
        <v/>
      </c>
      <c r="BE90" s="37" t="str">
        <f>IF(AND(BC124=0,BC90&gt;=0),"",BC90/BC124)</f>
        <v/>
      </c>
      <c r="BF90" s="20" t="str">
        <f t="shared" si="25"/>
        <v/>
      </c>
      <c r="BG90" s="102">
        <f t="shared" si="71"/>
        <v>0</v>
      </c>
      <c r="BH90" s="20">
        <f>IF(AND(BG4=0,BG90&gt;=0), "",BG90/BG4)</f>
        <v>0</v>
      </c>
      <c r="BI90" s="37">
        <f>IF(AND(BG124=0,BG90&gt;=0),"",BG90/BG124)</f>
        <v>0</v>
      </c>
      <c r="BJ90" s="101">
        <f>+'N EERR RODEO'!J161</f>
        <v>0</v>
      </c>
      <c r="BK90" s="20" t="str">
        <f>IF(AND(BJ4=0,BJ90&gt;=0), "",BJ90/BJ4)</f>
        <v/>
      </c>
      <c r="BL90" s="37" t="str">
        <f>IF(AND(BJ124=0,BJ90&gt;=0),"",BJ90/BJ124)</f>
        <v/>
      </c>
      <c r="BM90" s="20" t="str">
        <f t="shared" si="43"/>
        <v/>
      </c>
      <c r="BN90" s="102">
        <f t="shared" si="72"/>
        <v>0</v>
      </c>
      <c r="BO90" s="20">
        <f>IF(AND(BN4=0,BN90&gt;=0), "",BN90/BN4)</f>
        <v>0</v>
      </c>
      <c r="BP90" s="37">
        <f>IF(AND(BN124=0,BN90&gt;=0),"",BN90/BN124)</f>
        <v>0</v>
      </c>
      <c r="BQ90" s="101">
        <f>+'N EERR RODEO'!K161</f>
        <v>0</v>
      </c>
      <c r="BR90" s="20" t="str">
        <f>IF(AND(BQ4=0,BQ90&gt;=0), "",BQ90/BQ4)</f>
        <v/>
      </c>
      <c r="BS90" s="37" t="str">
        <f>IF(AND(BQ124=0,BQ90&gt;=0),"",BQ90/BQ124)</f>
        <v/>
      </c>
      <c r="BT90" s="20" t="str">
        <f t="shared" si="44"/>
        <v/>
      </c>
      <c r="BU90" s="102">
        <f t="shared" si="73"/>
        <v>0</v>
      </c>
      <c r="BV90" s="20">
        <f>IF(AND(BU4=0,BU90&gt;=0), "",BU90/BU4)</f>
        <v>0</v>
      </c>
      <c r="BW90" s="37">
        <f>IF(AND(BU124=0,BU90&gt;=0),"",BU90/BU124)</f>
        <v>0</v>
      </c>
      <c r="BX90" s="103">
        <f t="shared" si="74"/>
        <v>0</v>
      </c>
      <c r="BY90" s="20" t="str">
        <f>IF(AND(BX4=0,BX90&gt;=0), "",BX90/BX4)</f>
        <v/>
      </c>
      <c r="BZ90" s="37" t="str">
        <f t="shared" si="45"/>
        <v/>
      </c>
      <c r="CA90" s="101">
        <f>+'N EERR RODEO'!L161</f>
        <v>0</v>
      </c>
      <c r="CB90" s="20" t="str">
        <f>IF(AND(CA4=0,CA90&gt;=0), "",CA90/CA4)</f>
        <v/>
      </c>
      <c r="CC90" s="37" t="str">
        <f>IF(AND(CA124=0,CA90&gt;=0),"",CA90/CA124)</f>
        <v/>
      </c>
      <c r="CD90" s="20" t="str">
        <f t="shared" si="26"/>
        <v/>
      </c>
      <c r="CE90" s="102">
        <f t="shared" si="75"/>
        <v>0</v>
      </c>
      <c r="CF90" s="20">
        <f>IF(AND(CE4=0,CE90&gt;=0), "",CE90/CE4)</f>
        <v>0</v>
      </c>
      <c r="CG90" s="37">
        <f>IF(AND(CE124=0,CE90&gt;=0),"",CE90/CE124)</f>
        <v>0</v>
      </c>
      <c r="CH90" s="101">
        <f>+'N EERR RODEO'!M161</f>
        <v>0</v>
      </c>
      <c r="CI90" s="20" t="str">
        <f>IF(AND(CH4=0,CH90&gt;=0), "",CH90/CH4)</f>
        <v/>
      </c>
      <c r="CJ90" s="37" t="str">
        <f>IF(AND(CH124=0,CH90&gt;=0),"",CH90/CH124)</f>
        <v/>
      </c>
      <c r="CK90" s="20" t="str">
        <f t="shared" si="46"/>
        <v/>
      </c>
      <c r="CL90" s="102">
        <f t="shared" si="76"/>
        <v>0</v>
      </c>
      <c r="CM90" s="20">
        <f>IF(AND(CL4=0,CL90&gt;=0), "",CL90/CL4)</f>
        <v>0</v>
      </c>
      <c r="CN90" s="37">
        <f>IF(AND(CL124=0,CL90&gt;=0),"",CL90/CL124)</f>
        <v>0</v>
      </c>
      <c r="CO90" s="101">
        <f>+'N EERR RODEO'!N161</f>
        <v>0</v>
      </c>
      <c r="CP90" s="20" t="str">
        <f>IF(AND(CO4=0,CO90&gt;=0), "",CO90/CO4)</f>
        <v/>
      </c>
      <c r="CQ90" s="37" t="str">
        <f>IF(AND(CO124=0,CO90&gt;=0),"",CO90/CO124)</f>
        <v/>
      </c>
      <c r="CR90" s="20" t="str">
        <f t="shared" si="47"/>
        <v/>
      </c>
      <c r="CS90" s="102">
        <f t="shared" si="77"/>
        <v>0</v>
      </c>
      <c r="CT90" s="20">
        <f>IF(AND(CS4=0,CS90&gt;=0), "",CS90/CS4)</f>
        <v>0</v>
      </c>
      <c r="CU90" s="37">
        <f>IF(AND(CS124=0,CS90&gt;=0),"",CS90/CS124)</f>
        <v>0</v>
      </c>
      <c r="CV90" s="103">
        <f t="shared" si="78"/>
        <v>0</v>
      </c>
      <c r="CW90" s="20" t="str">
        <f>IF(AND(CV4=0,CV90&gt;=0), "",CV90/CV4)</f>
        <v/>
      </c>
      <c r="CX90" s="37" t="str">
        <f t="shared" si="48"/>
        <v/>
      </c>
    </row>
    <row r="91" spans="1:102" hidden="1" outlineLevel="2" x14ac:dyDescent="0.25">
      <c r="A91" s="19" t="s">
        <v>264</v>
      </c>
      <c r="B91" s="101">
        <f>+'N EERR RODEO'!B162+'N EERR RODEO'!B163+'N EERR RODEO'!B164+'N EERR RODEO'!B165+'N EERR RODEO'!B166+'N EERR RODEO'!B167+'N EERR RODEO'!B168+'N EERR RODEO'!B169</f>
        <v>0</v>
      </c>
      <c r="C91" s="20" t="str">
        <f>IF(AND(B4=0,B91&gt;=0), "",B91/B4)</f>
        <v/>
      </c>
      <c r="D91" s="37" t="str">
        <f>IF(AND(B124=0,B91&gt;=0),"",B91/B124)</f>
        <v/>
      </c>
      <c r="E91" s="101">
        <f>+'N EERR RODEO'!C162+'N EERR RODEO'!C163+'N EERR RODEO'!C164+'N EERR RODEO'!C165+'N EERR RODEO'!C166+'N EERR RODEO'!C167+'N EERR RODEO'!C168+'N EERR RODEO'!C169</f>
        <v>0</v>
      </c>
      <c r="F91" s="20">
        <f>IF(AND(E4=0,E91&gt;=0), "",E91/E4)</f>
        <v>0</v>
      </c>
      <c r="G91" s="37">
        <f>IF(AND(E124=0,E91&gt;=0),"",E91/E124)</f>
        <v>0</v>
      </c>
      <c r="H91" s="101">
        <f>+'N EERR RODEO'!D162+'N EERR RODEO'!D163+'N EERR RODEO'!D164+'N EERR RODEO'!D165+'N EERR RODEO'!D166+'N EERR RODEO'!D167+'N EERR RODEO'!D168+'N EERR RODEO'!D169</f>
        <v>0</v>
      </c>
      <c r="I91" s="20">
        <f>IF(AND(H4=0,H91&gt;=0), "",H91/H4)</f>
        <v>0</v>
      </c>
      <c r="J91" s="37">
        <f>IF(AND(H124=0,H91&gt;=0),"",H91/H124)</f>
        <v>0</v>
      </c>
      <c r="K91" s="20" t="str">
        <f t="shared" si="64"/>
        <v/>
      </c>
      <c r="L91" s="102">
        <f t="shared" si="65"/>
        <v>0</v>
      </c>
      <c r="M91" s="20">
        <f>IF(AND(L4=0,L91&gt;=0), "",L91/L4)</f>
        <v>0</v>
      </c>
      <c r="N91" s="37">
        <f>IF(AND(L124=0,L91&gt;=0),"",L91/L124)</f>
        <v>0</v>
      </c>
      <c r="O91" s="101">
        <f>+'N EERR RODEO'!E162+'N EERR RODEO'!E163+'N EERR RODEO'!E164+'N EERR RODEO'!E165+'N EERR RODEO'!E166+'N EERR RODEO'!E167+'N EERR RODEO'!E168+'N EERR RODEO'!E169</f>
        <v>0</v>
      </c>
      <c r="P91" s="20">
        <f>IF(AND(O4=0,O91&gt;=0), "",O91/O4)</f>
        <v>0</v>
      </c>
      <c r="Q91" s="37">
        <f>IF(AND(O124=0,O91&gt;=0),"",O91/O124)</f>
        <v>0</v>
      </c>
      <c r="R91" s="20" t="str">
        <f t="shared" si="66"/>
        <v/>
      </c>
      <c r="S91" s="102">
        <f t="shared" si="67"/>
        <v>0</v>
      </c>
      <c r="T91" s="20">
        <f>IF(AND(S4=0,S91&gt;=0), "",S91/S4)</f>
        <v>0</v>
      </c>
      <c r="U91" s="37">
        <f>IF(AND(S124=0,S91&gt;=0),"",S91/S124)</f>
        <v>0</v>
      </c>
      <c r="V91" s="103"/>
      <c r="W91" s="20" t="str">
        <f>IF(AND(V4=0,V91&gt;=0), "",V91/V4)</f>
        <v/>
      </c>
      <c r="X91" s="37" t="str">
        <f t="shared" si="21"/>
        <v/>
      </c>
      <c r="Y91" s="101">
        <f>+'N EERR RODEO'!F162+'N EERR RODEO'!F163+'N EERR RODEO'!F164+'N EERR RODEO'!F165+'N EERR RODEO'!F166+'N EERR RODEO'!F167+'N EERR RODEO'!F168+'N EERR RODEO'!F169</f>
        <v>0</v>
      </c>
      <c r="Z91" s="20" t="str">
        <f>IF(AND(Y4=0,Y91&gt;=0), "",Y91/Y4)</f>
        <v/>
      </c>
      <c r="AA91" s="37" t="str">
        <f>IF(AND(Y124=0,Y91&gt;=0),"",Y91/Y124)</f>
        <v/>
      </c>
      <c r="AB91" s="20" t="str">
        <f t="shared" si="22"/>
        <v/>
      </c>
      <c r="AC91" s="102">
        <f t="shared" si="68"/>
        <v>0</v>
      </c>
      <c r="AD91" s="20">
        <f>IF(AND(AC4=0,AC91&gt;=0), "",AC91/AC4)</f>
        <v>0</v>
      </c>
      <c r="AE91" s="37">
        <f>IF(AND(AC124=0,AC91&gt;=0),"",AC91/AC124)</f>
        <v>0</v>
      </c>
      <c r="AF91" s="101">
        <f>+'N EERR RODEO'!G162+'N EERR RODEO'!G163+'N EERR RODEO'!G164+'N EERR RODEO'!G165+'N EERR RODEO'!G166+'N EERR RODEO'!G167+'N EERR RODEO'!G168+'N EERR RODEO'!G169</f>
        <v>0</v>
      </c>
      <c r="AG91" s="20" t="str">
        <f>IF(AND(AF4=0,AF91&gt;=0), "",AF91/AF4)</f>
        <v/>
      </c>
      <c r="AH91" s="37" t="str">
        <f>IF(AND(AF124=0,AF91&gt;=0),"",AF91/AF124)</f>
        <v/>
      </c>
      <c r="AI91" s="20" t="str">
        <f t="shared" si="41"/>
        <v/>
      </c>
      <c r="AJ91" s="102">
        <f t="shared" si="62"/>
        <v>0</v>
      </c>
      <c r="AK91" s="20">
        <f>IF(AND(AJ4=0,AJ91&gt;=0), "",AJ91/AJ4)</f>
        <v>0</v>
      </c>
      <c r="AL91" s="37">
        <f>IF(AND(AJ124=0,AJ91&gt;=0),"",AJ91/AJ124)</f>
        <v>0</v>
      </c>
      <c r="AM91" s="101">
        <f>+'N EERR RODEO'!H162+'N EERR RODEO'!H163+'N EERR RODEO'!H164+'N EERR RODEO'!H165+'N EERR RODEO'!H166+'N EERR RODEO'!H167+'N EERR RODEO'!H168+'N EERR RODEO'!H169</f>
        <v>0</v>
      </c>
      <c r="AN91" s="20" t="str">
        <f>IF(AND(AM4=0,AM91&gt;=0), "",AM91/AM4)</f>
        <v/>
      </c>
      <c r="AO91" s="37" t="str">
        <f>IF(AND(AM124=0,AM91&gt;=0),"",AM91/AM124)</f>
        <v/>
      </c>
      <c r="AP91" s="20" t="str">
        <f t="shared" si="42"/>
        <v/>
      </c>
      <c r="AQ91" s="102">
        <f t="shared" si="63"/>
        <v>0</v>
      </c>
      <c r="AR91" s="20">
        <f>IF(AND(AQ4=0,AQ91&gt;=0), "",AQ91/AQ4)</f>
        <v>0</v>
      </c>
      <c r="AS91" s="37">
        <f>IF(AND(AQ124=0,AQ91&gt;=0),"",AQ91/AQ124)</f>
        <v>0</v>
      </c>
      <c r="AT91" s="103">
        <f t="shared" si="69"/>
        <v>0</v>
      </c>
      <c r="AU91" s="20" t="str">
        <f>IF(AND(AT4=0,AT91&gt;=0), "",AT91/AT4)</f>
        <v/>
      </c>
      <c r="AV91" s="37" t="str">
        <f t="shared" si="23"/>
        <v/>
      </c>
      <c r="AW91" s="103">
        <f t="shared" si="40"/>
        <v>0</v>
      </c>
      <c r="AX91" s="20">
        <f>IF(AND(AW4=0,AW91&gt;=0), "",AW91/AW4)</f>
        <v>0</v>
      </c>
      <c r="AY91" s="37">
        <f>IF(AND(AW124=0,AW91&gt;=0),"",AW91/AW124)</f>
        <v>0</v>
      </c>
      <c r="AZ91" s="103">
        <f t="shared" si="70"/>
        <v>0</v>
      </c>
      <c r="BA91" s="20" t="str">
        <f>IF(AND(AZ4=0,AZ91&gt;=0), "",AZ91/AZ4)</f>
        <v/>
      </c>
      <c r="BB91" s="37" t="str">
        <f t="shared" si="24"/>
        <v/>
      </c>
      <c r="BC91" s="101">
        <f>+'N EERR RODEO'!I162+'N EERR RODEO'!I163+'N EERR RODEO'!I164+'N EERR RODEO'!I165+'N EERR RODEO'!I166+'N EERR RODEO'!I167+'N EERR RODEO'!I168+'N EERR RODEO'!I169</f>
        <v>0</v>
      </c>
      <c r="BD91" s="20" t="str">
        <f>IF(AND(BC4=0,BC91&gt;=0), "",BC91/BC4)</f>
        <v/>
      </c>
      <c r="BE91" s="37" t="str">
        <f>IF(AND(BC124=0,BC91&gt;=0),"",BC91/BC124)</f>
        <v/>
      </c>
      <c r="BF91" s="20" t="str">
        <f t="shared" si="25"/>
        <v/>
      </c>
      <c r="BG91" s="102">
        <f>+AZ91+BC91</f>
        <v>0</v>
      </c>
      <c r="BH91" s="20">
        <f>IF(AND(BG4=0,BG91&gt;=0), "",BG91/BG4)</f>
        <v>0</v>
      </c>
      <c r="BI91" s="37">
        <f>IF(AND(BG124=0,BG91&gt;=0),"",BG91/BG124)</f>
        <v>0</v>
      </c>
      <c r="BJ91" s="101">
        <f>+'N EERR RODEO'!J162+'N EERR RODEO'!J163+'N EERR RODEO'!J164+'N EERR RODEO'!J165+'N EERR RODEO'!J166+'N EERR RODEO'!J167+'N EERR RODEO'!J168+'N EERR RODEO'!J169</f>
        <v>0</v>
      </c>
      <c r="BK91" s="20" t="str">
        <f>IF(AND(BJ4=0,BJ91&gt;=0), "",BJ91/BJ4)</f>
        <v/>
      </c>
      <c r="BL91" s="37" t="str">
        <f>IF(AND(BJ124=0,BJ91&gt;=0),"",BJ91/BJ124)</f>
        <v/>
      </c>
      <c r="BM91" s="20" t="str">
        <f t="shared" si="43"/>
        <v/>
      </c>
      <c r="BN91" s="102">
        <f t="shared" si="72"/>
        <v>0</v>
      </c>
      <c r="BO91" s="20">
        <f>IF(AND(BN4=0,BN91&gt;=0), "",BN91/BN4)</f>
        <v>0</v>
      </c>
      <c r="BP91" s="37">
        <f>IF(AND(BN124=0,BN91&gt;=0),"",BN91/BN124)</f>
        <v>0</v>
      </c>
      <c r="BQ91" s="101">
        <f>+'N EERR RODEO'!K162+'N EERR RODEO'!K163+'N EERR RODEO'!K164+'N EERR RODEO'!K165+'N EERR RODEO'!K166+'N EERR RODEO'!K167+'N EERR RODEO'!K168+'N EERR RODEO'!K169</f>
        <v>0</v>
      </c>
      <c r="BR91" s="20" t="str">
        <f>IF(AND(BQ4=0,BQ91&gt;=0), "",BQ91/BQ4)</f>
        <v/>
      </c>
      <c r="BS91" s="37" t="str">
        <f>IF(AND(BQ124=0,BQ91&gt;=0),"",BQ91/BQ124)</f>
        <v/>
      </c>
      <c r="BT91" s="20" t="str">
        <f t="shared" si="44"/>
        <v/>
      </c>
      <c r="BU91" s="102">
        <f t="shared" si="73"/>
        <v>0</v>
      </c>
      <c r="BV91" s="20">
        <f>IF(AND(BU4=0,BU91&gt;=0), "",BU91/BU4)</f>
        <v>0</v>
      </c>
      <c r="BW91" s="37">
        <f>IF(AND(BU124=0,BU91&gt;=0),"",BU91/BU124)</f>
        <v>0</v>
      </c>
      <c r="BX91" s="103">
        <f t="shared" si="74"/>
        <v>0</v>
      </c>
      <c r="BY91" s="20" t="str">
        <f>IF(AND(BX4=0,BX91&gt;=0), "",BX91/BX4)</f>
        <v/>
      </c>
      <c r="BZ91" s="37" t="str">
        <f t="shared" si="45"/>
        <v/>
      </c>
      <c r="CA91" s="101">
        <f>+'N EERR RODEO'!L162+'N EERR RODEO'!L163+'N EERR RODEO'!L164+'N EERR RODEO'!L165+'N EERR RODEO'!L166+'N EERR RODEO'!L167+'N EERR RODEO'!L168+'N EERR RODEO'!L169</f>
        <v>0</v>
      </c>
      <c r="CB91" s="20" t="str">
        <f>IF(AND(CA4=0,CA91&gt;=0), "",CA91/CA4)</f>
        <v/>
      </c>
      <c r="CC91" s="37" t="str">
        <f>IF(AND(CA124=0,CA91&gt;=0),"",CA91/CA124)</f>
        <v/>
      </c>
      <c r="CD91" s="20" t="str">
        <f t="shared" si="26"/>
        <v/>
      </c>
      <c r="CE91" s="102">
        <f t="shared" si="75"/>
        <v>0</v>
      </c>
      <c r="CF91" s="20">
        <f>IF(AND(CE4=0,CE91&gt;=0), "",CE91/CE4)</f>
        <v>0</v>
      </c>
      <c r="CG91" s="37">
        <f>IF(AND(CE124=0,CE91&gt;=0),"",CE91/CE124)</f>
        <v>0</v>
      </c>
      <c r="CH91" s="101">
        <f>+'N EERR RODEO'!M162+'N EERR RODEO'!M163+'N EERR RODEO'!M164+'N EERR RODEO'!M165+'N EERR RODEO'!M166+'N EERR RODEO'!M167+'N EERR RODEO'!M168+'N EERR RODEO'!M169</f>
        <v>0</v>
      </c>
      <c r="CI91" s="20" t="str">
        <f>IF(AND(CH4=0,CH91&gt;=0), "",CH91/CH4)</f>
        <v/>
      </c>
      <c r="CJ91" s="37" t="str">
        <f>IF(AND(CH124=0,CH91&gt;=0),"",CH91/CH124)</f>
        <v/>
      </c>
      <c r="CK91" s="20" t="str">
        <f t="shared" si="46"/>
        <v/>
      </c>
      <c r="CL91" s="102">
        <f t="shared" si="76"/>
        <v>0</v>
      </c>
      <c r="CM91" s="20">
        <f>IF(AND(CL4=0,CL91&gt;=0), "",CL91/CL4)</f>
        <v>0</v>
      </c>
      <c r="CN91" s="37">
        <f>IF(AND(CL124=0,CL91&gt;=0),"",CL91/CL124)</f>
        <v>0</v>
      </c>
      <c r="CO91" s="101">
        <f>+'N EERR RODEO'!N162+'N EERR RODEO'!N163+'N EERR RODEO'!N164+'N EERR RODEO'!N165+'N EERR RODEO'!N166+'N EERR RODEO'!N167+'N EERR RODEO'!N168+'N EERR RODEO'!N169</f>
        <v>0</v>
      </c>
      <c r="CP91" s="20" t="str">
        <f>IF(AND(CO4=0,CO91&gt;=0), "",CO91/CO4)</f>
        <v/>
      </c>
      <c r="CQ91" s="37" t="str">
        <f>IF(AND(CO124=0,CO91&gt;=0),"",CO91/CO124)</f>
        <v/>
      </c>
      <c r="CR91" s="20" t="str">
        <f t="shared" si="47"/>
        <v/>
      </c>
      <c r="CS91" s="102">
        <f t="shared" si="77"/>
        <v>0</v>
      </c>
      <c r="CT91" s="20">
        <f>IF(AND(CS4=0,CS91&gt;=0), "",CS91/CS4)</f>
        <v>0</v>
      </c>
      <c r="CU91" s="37">
        <f>IF(AND(CS124=0,CS91&gt;=0),"",CS91/CS124)</f>
        <v>0</v>
      </c>
      <c r="CV91" s="103">
        <f t="shared" si="78"/>
        <v>0</v>
      </c>
      <c r="CW91" s="20" t="str">
        <f>IF(AND(CV4=0,CV91&gt;=0), "",CV91/CV4)</f>
        <v/>
      </c>
      <c r="CX91" s="37" t="str">
        <f t="shared" si="48"/>
        <v/>
      </c>
    </row>
    <row r="92" spans="1:102" hidden="1" outlineLevel="2" x14ac:dyDescent="0.25">
      <c r="A92" s="19"/>
      <c r="B92" s="101"/>
      <c r="C92" s="13"/>
      <c r="D92" s="36"/>
      <c r="E92" s="101"/>
      <c r="F92" s="13"/>
      <c r="G92" s="36"/>
      <c r="H92" s="101"/>
      <c r="I92" s="13"/>
      <c r="J92" s="36"/>
      <c r="K92" s="22" t="str">
        <f t="shared" si="64"/>
        <v/>
      </c>
      <c r="M92" s="13"/>
      <c r="N92" s="36"/>
      <c r="O92" s="101"/>
      <c r="P92" s="13"/>
      <c r="Q92" s="36"/>
      <c r="R92" s="22" t="str">
        <f t="shared" si="66"/>
        <v/>
      </c>
      <c r="T92" s="13"/>
      <c r="U92" s="36"/>
      <c r="V92" s="103"/>
      <c r="W92" s="13"/>
      <c r="X92" s="79" t="str">
        <f t="shared" si="21"/>
        <v/>
      </c>
      <c r="Y92" s="101"/>
      <c r="Z92" s="13"/>
      <c r="AA92" s="36"/>
      <c r="AB92" s="22" t="str">
        <f t="shared" si="22"/>
        <v/>
      </c>
      <c r="AD92" s="13"/>
      <c r="AE92" s="36"/>
      <c r="AF92" s="101"/>
      <c r="AG92" s="13"/>
      <c r="AH92" s="36"/>
      <c r="AI92" s="22" t="str">
        <f t="shared" si="41"/>
        <v/>
      </c>
      <c r="AJ92" s="102">
        <f t="shared" si="62"/>
        <v>0</v>
      </c>
      <c r="AK92" s="13"/>
      <c r="AL92" s="36"/>
      <c r="AM92" s="101"/>
      <c r="AN92" s="13"/>
      <c r="AO92" s="36"/>
      <c r="AP92" s="22" t="str">
        <f t="shared" si="42"/>
        <v/>
      </c>
      <c r="AQ92" s="102">
        <f t="shared" si="63"/>
        <v>0</v>
      </c>
      <c r="AR92" s="13"/>
      <c r="AS92" s="36"/>
      <c r="AT92" s="103">
        <f t="shared" si="69"/>
        <v>0</v>
      </c>
      <c r="AU92" s="13"/>
      <c r="AV92" s="79" t="str">
        <f t="shared" si="23"/>
        <v/>
      </c>
      <c r="AW92" s="103">
        <f t="shared" si="40"/>
        <v>0</v>
      </c>
      <c r="AX92" s="13"/>
      <c r="AY92" s="36"/>
      <c r="AZ92" s="103">
        <f t="shared" si="70"/>
        <v>0</v>
      </c>
      <c r="BA92" s="13"/>
      <c r="BB92" s="79" t="str">
        <f t="shared" si="24"/>
        <v/>
      </c>
      <c r="BC92" s="101"/>
      <c r="BD92" s="13"/>
      <c r="BE92" s="36"/>
      <c r="BF92" s="22" t="str">
        <f t="shared" si="25"/>
        <v/>
      </c>
      <c r="BG92" s="102">
        <f t="shared" si="71"/>
        <v>0</v>
      </c>
      <c r="BH92" s="13"/>
      <c r="BI92" s="36"/>
      <c r="BJ92" s="101"/>
      <c r="BK92" s="13"/>
      <c r="BL92" s="36"/>
      <c r="BM92" s="22" t="str">
        <f t="shared" si="43"/>
        <v/>
      </c>
      <c r="BN92" s="102">
        <f t="shared" si="72"/>
        <v>0</v>
      </c>
      <c r="BO92" s="13"/>
      <c r="BP92" s="36"/>
      <c r="BQ92" s="101"/>
      <c r="BR92" s="13"/>
      <c r="BS92" s="36"/>
      <c r="BT92" s="22" t="str">
        <f t="shared" si="44"/>
        <v/>
      </c>
      <c r="BU92" s="102">
        <f t="shared" si="73"/>
        <v>0</v>
      </c>
      <c r="BV92" s="13"/>
      <c r="BW92" s="36"/>
      <c r="BX92" s="103">
        <f t="shared" si="74"/>
        <v>0</v>
      </c>
      <c r="BY92" s="13"/>
      <c r="BZ92" s="79" t="str">
        <f t="shared" si="45"/>
        <v/>
      </c>
      <c r="CA92" s="101"/>
      <c r="CB92" s="13"/>
      <c r="CC92" s="36"/>
      <c r="CD92" s="22" t="str">
        <f t="shared" si="26"/>
        <v/>
      </c>
      <c r="CE92" s="102">
        <f t="shared" si="75"/>
        <v>0</v>
      </c>
      <c r="CF92" s="13"/>
      <c r="CG92" s="36"/>
      <c r="CH92" s="101"/>
      <c r="CI92" s="13"/>
      <c r="CJ92" s="36"/>
      <c r="CK92" s="22" t="str">
        <f t="shared" si="46"/>
        <v/>
      </c>
      <c r="CL92" s="102">
        <f t="shared" si="76"/>
        <v>0</v>
      </c>
      <c r="CM92" s="13"/>
      <c r="CN92" s="36"/>
      <c r="CO92" s="101"/>
      <c r="CP92" s="13"/>
      <c r="CQ92" s="36"/>
      <c r="CR92" s="22" t="str">
        <f t="shared" si="47"/>
        <v/>
      </c>
      <c r="CS92" s="102">
        <f t="shared" si="77"/>
        <v>0</v>
      </c>
      <c r="CT92" s="13"/>
      <c r="CU92" s="36"/>
      <c r="CV92" s="103">
        <f t="shared" si="78"/>
        <v>0</v>
      </c>
      <c r="CW92" s="13"/>
      <c r="CX92" s="79" t="str">
        <f t="shared" si="48"/>
        <v/>
      </c>
    </row>
    <row r="93" spans="1:102" s="5" customFormat="1" collapsed="1" x14ac:dyDescent="0.25">
      <c r="A93" s="27" t="s">
        <v>82</v>
      </c>
      <c r="B93" s="98">
        <f>SUM(B94:B103)</f>
        <v>0</v>
      </c>
      <c r="C93" s="28" t="str">
        <f>IF(AND(B4=0,B93&gt;=0), "",B93/B4)</f>
        <v/>
      </c>
      <c r="D93" s="33" t="str">
        <f>IF(AND(B124=0,B93&gt;=0),"",B93/B124)</f>
        <v/>
      </c>
      <c r="E93" s="98">
        <f>SUM(E94:E103)</f>
        <v>212.95999999999998</v>
      </c>
      <c r="F93" s="28">
        <f>IF(AND(E4=0,E93&gt;=0), "",E93/E4)</f>
        <v>4.44286538948195E-3</v>
      </c>
      <c r="G93" s="33">
        <f>IF(AND(E124=0,E93&gt;=0),"",E93/E124)</f>
        <v>6.8774844735039545E-3</v>
      </c>
      <c r="H93" s="98">
        <f>SUM(H94:H103)</f>
        <v>64.66</v>
      </c>
      <c r="I93" s="28">
        <f>IF(AND(H4=0,H93&gt;=0), "",H93/H4)</f>
        <v>1.2559475897305208E-3</v>
      </c>
      <c r="J93" s="33">
        <f>IF(AND(H124=0,H93&gt;=0),"",H93/H124)</f>
        <v>3.344248084660266E-3</v>
      </c>
      <c r="K93" s="28">
        <f t="shared" si="64"/>
        <v>-0.69637490608564989</v>
      </c>
      <c r="L93" s="99">
        <f>SUM(L94:L103)</f>
        <v>277.62</v>
      </c>
      <c r="M93" s="28">
        <f>IF(AND(L4=0,L93&gt;=0), "",L93/L4)</f>
        <v>2.7925062819320859E-3</v>
      </c>
      <c r="N93" s="33">
        <f>IF(AND(L124=0,L93&gt;=0),"",L93/L124)</f>
        <v>5.5193391584409399E-3</v>
      </c>
      <c r="O93" s="98">
        <f>SUM(O94:O103)</f>
        <v>106.16</v>
      </c>
      <c r="P93" s="28">
        <f>IF(AND(O4=0,O93&gt;=0), "",O93/O4)</f>
        <v>1.6560025882060045E-3</v>
      </c>
      <c r="Q93" s="33">
        <f>IF(AND(O124=0,O93&gt;=0),"",O93/O124)</f>
        <v>4.0930166566037676E-3</v>
      </c>
      <c r="R93" s="28">
        <f t="shared" si="66"/>
        <v>0.64181874420043306</v>
      </c>
      <c r="S93" s="99">
        <f>SUM(S94:S103)</f>
        <v>383.78</v>
      </c>
      <c r="T93" s="28">
        <f>IF(AND(S4=0,S93&gt;=0), "",S93/S4)</f>
        <v>2.3469589000885199E-3</v>
      </c>
      <c r="U93" s="33">
        <f>IF(AND(S124=0,S93&gt;=0),"",S93/S124)</f>
        <v>5.0340808506597117E-3</v>
      </c>
      <c r="V93" s="100">
        <f>SUM(V94:V103)</f>
        <v>0</v>
      </c>
      <c r="W93" s="28" t="str">
        <f>IF(AND(V4=0,V93&gt;=0), "",V93/V4)</f>
        <v/>
      </c>
      <c r="X93" s="78">
        <f t="shared" si="21"/>
        <v>1</v>
      </c>
      <c r="Y93" s="98">
        <f>SUM(Y94:Y103)</f>
        <v>0</v>
      </c>
      <c r="Z93" s="28" t="str">
        <f>IF(AND(Y4=0,Y93&gt;=0), "",Y93/Y4)</f>
        <v/>
      </c>
      <c r="AA93" s="33" t="str">
        <f>IF(AND(Y124=0,Y93&gt;=0),"",Y93/Y124)</f>
        <v/>
      </c>
      <c r="AB93" s="28">
        <f t="shared" si="22"/>
        <v>-1</v>
      </c>
      <c r="AC93" s="99">
        <f>SUM(AC94:AC103)</f>
        <v>383.78</v>
      </c>
      <c r="AD93" s="28">
        <f>IF(AND(AC4=0,AC93&gt;=0), "",AC93/AC4)</f>
        <v>2.3469589000885199E-3</v>
      </c>
      <c r="AE93" s="33">
        <f>IF(AND(AC124=0,AC93&gt;=0),"",AC93/AC124)</f>
        <v>5.0340808506597117E-3</v>
      </c>
      <c r="AF93" s="98">
        <f>SUM(AF94:AF103)</f>
        <v>0</v>
      </c>
      <c r="AG93" s="28" t="str">
        <f>IF(AND(AF4=0,AF93&gt;=0), "",AF93/AF4)</f>
        <v/>
      </c>
      <c r="AH93" s="33" t="str">
        <f>IF(AND(AF124=0,AF93&gt;=0),"",AF93/AF124)</f>
        <v/>
      </c>
      <c r="AI93" s="28" t="str">
        <f t="shared" si="41"/>
        <v/>
      </c>
      <c r="AJ93" s="99">
        <f>SUM(AJ94:AJ103)</f>
        <v>383.78</v>
      </c>
      <c r="AK93" s="28">
        <f>IF(AND(AJ4=0,AJ93&gt;=0), "",AJ93/AJ4)</f>
        <v>2.3469589000885199E-3</v>
      </c>
      <c r="AL93" s="33">
        <f>IF(AND(AJ124=0,AJ93&gt;=0),"",AJ93/AJ124)</f>
        <v>5.0340808506597117E-3</v>
      </c>
      <c r="AM93" s="98">
        <f>SUM(AM94:AM103)</f>
        <v>0</v>
      </c>
      <c r="AN93" s="28" t="str">
        <f>IF(AND(AM4=0,AM93&gt;=0), "",AM93/AM4)</f>
        <v/>
      </c>
      <c r="AO93" s="33" t="str">
        <f>IF(AND(AM124=0,AM93&gt;=0),"",AM93/AM124)</f>
        <v/>
      </c>
      <c r="AP93" s="28" t="str">
        <f t="shared" si="42"/>
        <v/>
      </c>
      <c r="AQ93" s="99">
        <f>SUM(AQ94:AQ103)</f>
        <v>383.78</v>
      </c>
      <c r="AR93" s="28">
        <f>IF(AND(AQ4=0,AQ93&gt;=0), "",AQ93/AQ4)</f>
        <v>2.3469589000885199E-3</v>
      </c>
      <c r="AS93" s="33">
        <f>IF(AND(AQ124=0,AQ93&gt;=0),"",AQ93/AQ124)</f>
        <v>5.0340808506597117E-3</v>
      </c>
      <c r="AT93" s="100">
        <f>SUM(AT94:AT103)</f>
        <v>0</v>
      </c>
      <c r="AU93" s="28" t="str">
        <f>IF(AND(AT4=0,AT93&gt;=0), "",AT93/AT4)</f>
        <v/>
      </c>
      <c r="AV93" s="78">
        <f t="shared" si="23"/>
        <v>1</v>
      </c>
      <c r="AW93" s="100">
        <f>SUM(AW94:AW103)</f>
        <v>63.963333333333338</v>
      </c>
      <c r="AX93" s="28">
        <f>IF(AND(AW4=0,AW93&gt;=0), "",AW93/AW4)</f>
        <v>2.3469589000885203E-3</v>
      </c>
      <c r="AY93" s="33">
        <f>IF(AND(AW124=0,AW93&gt;=0),"",AW93/AW124)</f>
        <v>5.0340808506597117E-3</v>
      </c>
      <c r="AZ93" s="100">
        <f>SUM(AZ94:AZ103)</f>
        <v>0</v>
      </c>
      <c r="BA93" s="28" t="str">
        <f>IF(AND(AZ4=0,AZ93&gt;=0), "",AZ93/AZ4)</f>
        <v/>
      </c>
      <c r="BB93" s="78">
        <f t="shared" si="24"/>
        <v>1</v>
      </c>
      <c r="BC93" s="98">
        <f>SUM(BC94:BC103)</f>
        <v>0</v>
      </c>
      <c r="BD93" s="28" t="str">
        <f>IF(AND(BC4=0,BC93&gt;=0), "",BC93/BC4)</f>
        <v/>
      </c>
      <c r="BE93" s="33" t="str">
        <f>IF(AND(BC124=0,BC93&gt;=0),"",BC93/BC124)</f>
        <v/>
      </c>
      <c r="BF93" s="28" t="str">
        <f t="shared" si="25"/>
        <v/>
      </c>
      <c r="BG93" s="99">
        <f>SUM(BG94:BG103)</f>
        <v>383.78</v>
      </c>
      <c r="BH93" s="28">
        <f>IF(AND(BG4=0,BG93&gt;=0), "",BG93/BG4)</f>
        <v>2.3469589000885199E-3</v>
      </c>
      <c r="BI93" s="33">
        <f>IF(AND(BG124=0,BG93&gt;=0),"",BG93/BG124)</f>
        <v>5.0340808506597117E-3</v>
      </c>
      <c r="BJ93" s="98">
        <f>SUM(BJ94:BJ103)</f>
        <v>0</v>
      </c>
      <c r="BK93" s="28" t="str">
        <f>IF(AND(BJ4=0,BJ93&gt;=0), "",BJ93/BJ4)</f>
        <v/>
      </c>
      <c r="BL93" s="33" t="str">
        <f>IF(AND(BJ124=0,BJ93&gt;=0),"",BJ93/BJ124)</f>
        <v/>
      </c>
      <c r="BM93" s="28" t="str">
        <f t="shared" si="43"/>
        <v/>
      </c>
      <c r="BN93" s="99">
        <f>SUM(BN94:BN103)</f>
        <v>383.78</v>
      </c>
      <c r="BO93" s="28">
        <f>IF(AND(BN4=0,BN93&gt;=0), "",BN93/BN4)</f>
        <v>2.3469589000885199E-3</v>
      </c>
      <c r="BP93" s="33">
        <f>IF(AND(BN124=0,BN93&gt;=0),"",BN93/BN124)</f>
        <v>5.0340808506597117E-3</v>
      </c>
      <c r="BQ93" s="98">
        <f>SUM(BQ94:BQ103)</f>
        <v>0</v>
      </c>
      <c r="BR93" s="28" t="str">
        <f>IF(AND(BQ4=0,BQ93&gt;=0), "",BQ93/BQ4)</f>
        <v/>
      </c>
      <c r="BS93" s="33" t="str">
        <f>IF(AND(BQ124=0,BQ93&gt;=0),"",BQ93/BQ124)</f>
        <v/>
      </c>
      <c r="BT93" s="28" t="str">
        <f t="shared" si="44"/>
        <v/>
      </c>
      <c r="BU93" s="99">
        <f>SUM(BU94:BU103)</f>
        <v>383.78</v>
      </c>
      <c r="BV93" s="28">
        <f>IF(AND(BU4=0,BU93&gt;=0), "",BU93/BU4)</f>
        <v>2.3469589000885199E-3</v>
      </c>
      <c r="BW93" s="33">
        <f>IF(AND(BU124=0,BU93&gt;=0),"",BU93/BU124)</f>
        <v>5.0340808506597117E-3</v>
      </c>
      <c r="BX93" s="100">
        <f>SUM(BX94:BX103)</f>
        <v>0</v>
      </c>
      <c r="BY93" s="28" t="str">
        <f>IF(AND(BX4=0,BX93&gt;=0), "",BX93/BX4)</f>
        <v/>
      </c>
      <c r="BZ93" s="78">
        <f t="shared" si="45"/>
        <v>1</v>
      </c>
      <c r="CA93" s="98">
        <f>SUM(CA94:CA103)</f>
        <v>0</v>
      </c>
      <c r="CB93" s="28" t="str">
        <f>IF(AND(CA4=0,CA93&gt;=0), "",CA93/CA4)</f>
        <v/>
      </c>
      <c r="CC93" s="33" t="str">
        <f>IF(AND(CA124=0,CA93&gt;=0),"",CA93/CA124)</f>
        <v/>
      </c>
      <c r="CD93" s="28" t="str">
        <f t="shared" si="26"/>
        <v/>
      </c>
      <c r="CE93" s="99">
        <f>SUM(CE94:CE103)</f>
        <v>383.78</v>
      </c>
      <c r="CF93" s="28">
        <f>IF(AND(CE4=0,CE93&gt;=0), "",CE93/CE4)</f>
        <v>2.3469589000885199E-3</v>
      </c>
      <c r="CG93" s="33">
        <f>IF(AND(CE124=0,CE93&gt;=0),"",CE93/CE124)</f>
        <v>5.0340808506597117E-3</v>
      </c>
      <c r="CH93" s="98">
        <f>SUM(CH94:CH103)</f>
        <v>0</v>
      </c>
      <c r="CI93" s="28" t="str">
        <f>IF(AND(CH4=0,CH93&gt;=0), "",CH93/CH4)</f>
        <v/>
      </c>
      <c r="CJ93" s="33" t="str">
        <f>IF(AND(CH124=0,CH93&gt;=0),"",CH93/CH124)</f>
        <v/>
      </c>
      <c r="CK93" s="28" t="str">
        <f t="shared" si="46"/>
        <v/>
      </c>
      <c r="CL93" s="99">
        <f>SUM(CL94:CL103)</f>
        <v>383.78</v>
      </c>
      <c r="CM93" s="28">
        <f>IF(AND(CL4=0,CL93&gt;=0), "",CL93/CL4)</f>
        <v>2.3469589000885199E-3</v>
      </c>
      <c r="CN93" s="33">
        <f>IF(AND(CL124=0,CL93&gt;=0),"",CL93/CL124)</f>
        <v>5.0340808506597117E-3</v>
      </c>
      <c r="CO93" s="98">
        <f>SUM(CO94:CO103)</f>
        <v>0</v>
      </c>
      <c r="CP93" s="28" t="str">
        <f>IF(AND(CO4=0,CO93&gt;=0), "",CO93/CO4)</f>
        <v/>
      </c>
      <c r="CQ93" s="33" t="str">
        <f>IF(AND(CO124=0,CO93&gt;=0),"",CO93/CO124)</f>
        <v/>
      </c>
      <c r="CR93" s="28" t="str">
        <f t="shared" si="47"/>
        <v/>
      </c>
      <c r="CS93" s="99">
        <f>SUM(CS94:CS103)</f>
        <v>383.78</v>
      </c>
      <c r="CT93" s="28">
        <f>IF(AND(CS4=0,CS93&gt;=0), "",CS93/CS4)</f>
        <v>2.3469589000885199E-3</v>
      </c>
      <c r="CU93" s="33">
        <f>IF(AND(CS124=0,CS93&gt;=0),"",CS93/CS124)</f>
        <v>5.0340808506597117E-3</v>
      </c>
      <c r="CV93" s="100">
        <f>SUM(CV94:CV103)</f>
        <v>0</v>
      </c>
      <c r="CW93" s="28" t="str">
        <f>IF(AND(CV4=0,CV93&gt;=0), "",CV93/CV4)</f>
        <v/>
      </c>
      <c r="CX93" s="78">
        <f t="shared" si="48"/>
        <v>1</v>
      </c>
    </row>
    <row r="94" spans="1:102" hidden="1" outlineLevel="1" x14ac:dyDescent="0.25">
      <c r="A94" s="19" t="s">
        <v>83</v>
      </c>
      <c r="B94" s="101">
        <f>+'N EERR RODEO'!B173</f>
        <v>0</v>
      </c>
      <c r="C94" s="20" t="str">
        <f>IF(AND(B4=0,B94&gt;=0), "",B94/B4)</f>
        <v/>
      </c>
      <c r="D94" s="37" t="str">
        <f>IF(AND(B124=0,B94&gt;=0),"",B94/B124)</f>
        <v/>
      </c>
      <c r="E94" s="101">
        <f>+'N EERR RODEO'!C173</f>
        <v>0</v>
      </c>
      <c r="F94" s="20">
        <f>IF(AND(E4=0,E94&gt;=0), "",E94/E4)</f>
        <v>0</v>
      </c>
      <c r="G94" s="37">
        <f>IF(AND(E124=0,E94&gt;=0),"",E94/E124)</f>
        <v>0</v>
      </c>
      <c r="H94" s="101">
        <f>+'N EERR RODEO'!D173</f>
        <v>0</v>
      </c>
      <c r="I94" s="20">
        <f>IF(AND(H4=0,H94&gt;=0), "",H94/H4)</f>
        <v>0</v>
      </c>
      <c r="J94" s="37">
        <f>IF(AND(H124=0,H94&gt;=0),"",H94/H124)</f>
        <v>0</v>
      </c>
      <c r="K94" s="20" t="str">
        <f t="shared" si="64"/>
        <v/>
      </c>
      <c r="L94" s="102">
        <f t="shared" ref="L94:L102" si="79">+E94+H94</f>
        <v>0</v>
      </c>
      <c r="M94" s="20">
        <f>IF(AND(L4=0,L94&gt;=0), "",L94/L4)</f>
        <v>0</v>
      </c>
      <c r="N94" s="37">
        <f>IF(AND(L124=0,L94&gt;=0),"",L94/L124)</f>
        <v>0</v>
      </c>
      <c r="O94" s="101">
        <f>+'N EERR RODEO'!E173</f>
        <v>0</v>
      </c>
      <c r="P94" s="20">
        <f>IF(AND(O4=0,O94&gt;=0), "",O94/O4)</f>
        <v>0</v>
      </c>
      <c r="Q94" s="37">
        <f>IF(AND(O124=0,O94&gt;=0),"",O94/O124)</f>
        <v>0</v>
      </c>
      <c r="R94" s="20" t="str">
        <f t="shared" si="66"/>
        <v/>
      </c>
      <c r="S94" s="102">
        <f t="shared" ref="S94:S102" si="80">+L94+O94</f>
        <v>0</v>
      </c>
      <c r="T94" s="20">
        <f>IF(AND(S4=0,S94&gt;=0), "",S94/S4)</f>
        <v>0</v>
      </c>
      <c r="U94" s="37">
        <f>IF(AND(S124=0,S94&gt;=0),"",S94/S124)</f>
        <v>0</v>
      </c>
      <c r="V94" s="103"/>
      <c r="W94" s="20" t="str">
        <f>IF(AND(V4=0,V94&gt;=0), "",V94/V4)</f>
        <v/>
      </c>
      <c r="X94" s="37" t="str">
        <f t="shared" si="21"/>
        <v/>
      </c>
      <c r="Y94" s="101">
        <f>+'N EERR RODEO'!F173</f>
        <v>0</v>
      </c>
      <c r="Z94" s="20" t="str">
        <f>IF(AND(Y4=0,Y94&gt;=0), "",Y94/Y4)</f>
        <v/>
      </c>
      <c r="AA94" s="37" t="str">
        <f>IF(AND(Y124=0,Y94&gt;=0),"",Y94/Y124)</f>
        <v/>
      </c>
      <c r="AB94" s="20" t="str">
        <f t="shared" si="22"/>
        <v/>
      </c>
      <c r="AC94" s="102">
        <f t="shared" ref="AC94:AC103" si="81">+S94+Y94</f>
        <v>0</v>
      </c>
      <c r="AD94" s="20">
        <f>IF(AND(AC4=0,AC94&gt;=0), "",AC94/AC4)</f>
        <v>0</v>
      </c>
      <c r="AE94" s="37">
        <f>IF(AND(AC124=0,AC94&gt;=0),"",AC94/AC124)</f>
        <v>0</v>
      </c>
      <c r="AF94" s="101">
        <f>+'N EERR RODEO'!G173</f>
        <v>0</v>
      </c>
      <c r="AG94" s="20" t="str">
        <f>IF(AND(AF4=0,AF94&gt;=0), "",AF94/AF4)</f>
        <v/>
      </c>
      <c r="AH94" s="37" t="str">
        <f>IF(AND(AF124=0,AF94&gt;=0),"",AF94/AF124)</f>
        <v/>
      </c>
      <c r="AI94" s="20" t="str">
        <f t="shared" si="41"/>
        <v/>
      </c>
      <c r="AJ94" s="102">
        <f t="shared" si="62"/>
        <v>0</v>
      </c>
      <c r="AK94" s="20">
        <f>IF(AND(AJ4=0,AJ94&gt;=0), "",AJ94/AJ4)</f>
        <v>0</v>
      </c>
      <c r="AL94" s="37">
        <f>IF(AND(AJ124=0,AJ94&gt;=0),"",AJ94/AJ124)</f>
        <v>0</v>
      </c>
      <c r="AM94" s="101">
        <f>+'N EERR RODEO'!H173</f>
        <v>0</v>
      </c>
      <c r="AN94" s="20" t="str">
        <f>IF(AND(AM4=0,AM94&gt;=0), "",AM94/AM4)</f>
        <v/>
      </c>
      <c r="AO94" s="37" t="str">
        <f>IF(AND(AM124=0,AM94&gt;=0),"",AM94/AM124)</f>
        <v/>
      </c>
      <c r="AP94" s="20" t="str">
        <f t="shared" si="42"/>
        <v/>
      </c>
      <c r="AQ94" s="102">
        <f t="shared" si="63"/>
        <v>0</v>
      </c>
      <c r="AR94" s="20">
        <f>IF(AND(AQ4=0,AQ94&gt;=0), "",AQ94/AQ4)</f>
        <v>0</v>
      </c>
      <c r="AS94" s="37">
        <f>IF(AND(AQ124=0,AQ94&gt;=0),"",AQ94/AQ124)</f>
        <v>0</v>
      </c>
      <c r="AT94" s="103">
        <f t="shared" ref="AT94:AT102" si="82">+V94*2</f>
        <v>0</v>
      </c>
      <c r="AU94" s="20" t="str">
        <f>IF(AND(AT4=0,AT94&gt;=0), "",AT94/AT4)</f>
        <v/>
      </c>
      <c r="AV94" s="37" t="str">
        <f t="shared" si="23"/>
        <v/>
      </c>
      <c r="AW94" s="103">
        <f t="shared" si="40"/>
        <v>0</v>
      </c>
      <c r="AX94" s="20">
        <f>IF(AND(AW4=0,AW94&gt;=0), "",AW94/AW4)</f>
        <v>0</v>
      </c>
      <c r="AY94" s="37">
        <f>IF(AND(AW124=0,AW94&gt;=0),"",AW94/AW124)</f>
        <v>0</v>
      </c>
      <c r="AZ94" s="103">
        <f t="shared" si="70"/>
        <v>0</v>
      </c>
      <c r="BA94" s="20" t="str">
        <f>IF(AND(AZ4=0,AZ94&gt;=0), "",AZ94/AZ4)</f>
        <v/>
      </c>
      <c r="BB94" s="37" t="str">
        <f t="shared" si="24"/>
        <v/>
      </c>
      <c r="BC94" s="101">
        <f>+'N EERR RODEO'!I173</f>
        <v>0</v>
      </c>
      <c r="BD94" s="20" t="str">
        <f>IF(AND(BC4=0,BC94&gt;=0), "",BC94/BC4)</f>
        <v/>
      </c>
      <c r="BE94" s="37" t="str">
        <f>IF(AND(BC124=0,BC94&gt;=0),"",BC94/BC124)</f>
        <v/>
      </c>
      <c r="BF94" s="20" t="str">
        <f t="shared" si="25"/>
        <v/>
      </c>
      <c r="BG94" s="102">
        <f t="shared" ref="BG94:BG103" si="83">+AQ94+BC94</f>
        <v>0</v>
      </c>
      <c r="BH94" s="20">
        <f>IF(AND(BG4=0,BG94&gt;=0), "",BG94/BG4)</f>
        <v>0</v>
      </c>
      <c r="BI94" s="37">
        <f>IF(AND(BG124=0,BG94&gt;=0),"",BG94/BG124)</f>
        <v>0</v>
      </c>
      <c r="BJ94" s="101">
        <f>+'N EERR RODEO'!J173</f>
        <v>0</v>
      </c>
      <c r="BK94" s="20" t="str">
        <f>IF(AND(BJ4=0,BJ94&gt;=0), "",BJ94/BJ4)</f>
        <v/>
      </c>
      <c r="BL94" s="37" t="str">
        <f>IF(AND(BJ124=0,BJ94&gt;=0),"",BJ94/BJ124)</f>
        <v/>
      </c>
      <c r="BM94" s="20" t="str">
        <f t="shared" si="43"/>
        <v/>
      </c>
      <c r="BN94" s="102">
        <f t="shared" ref="BN94:BN103" si="84">+BG94+BJ94</f>
        <v>0</v>
      </c>
      <c r="BO94" s="20">
        <f>IF(AND(BN4=0,BN94&gt;=0), "",BN94/BN4)</f>
        <v>0</v>
      </c>
      <c r="BP94" s="37">
        <f>IF(AND(BN124=0,BN94&gt;=0),"",BN94/BN124)</f>
        <v>0</v>
      </c>
      <c r="BQ94" s="101">
        <f>+'N EERR RODEO'!K173</f>
        <v>0</v>
      </c>
      <c r="BR94" s="20" t="str">
        <f>IF(AND(BQ4=0,BQ94&gt;=0), "",BQ94/BQ4)</f>
        <v/>
      </c>
      <c r="BS94" s="37" t="str">
        <f>IF(AND(BQ124=0,BQ94&gt;=0),"",BQ94/BQ124)</f>
        <v/>
      </c>
      <c r="BT94" s="20" t="str">
        <f t="shared" si="44"/>
        <v/>
      </c>
      <c r="BU94" s="102">
        <f t="shared" ref="BU94:BU103" si="85">+BN94+BQ94</f>
        <v>0</v>
      </c>
      <c r="BV94" s="20">
        <f>IF(AND(BU4=0,BU94&gt;=0), "",BU94/BU4)</f>
        <v>0</v>
      </c>
      <c r="BW94" s="37">
        <f>IF(AND(BU124=0,BU94&gt;=0),"",BU94/BU124)</f>
        <v>0</v>
      </c>
      <c r="BX94" s="103">
        <f t="shared" ref="BX94:BX102" si="86">+AZ94*9</f>
        <v>0</v>
      </c>
      <c r="BY94" s="20" t="str">
        <f>IF(AND(BX4=0,BX94&gt;=0), "",BX94/BX4)</f>
        <v/>
      </c>
      <c r="BZ94" s="37" t="str">
        <f t="shared" si="45"/>
        <v/>
      </c>
      <c r="CA94" s="101">
        <f>+'N EERR RODEO'!L173</f>
        <v>0</v>
      </c>
      <c r="CB94" s="20" t="str">
        <f>IF(AND(CA4=0,CA94&gt;=0), "",CA94/CA4)</f>
        <v/>
      </c>
      <c r="CC94" s="37" t="str">
        <f>IF(AND(CA124=0,CA94&gt;=0),"",CA94/CA124)</f>
        <v/>
      </c>
      <c r="CD94" s="20" t="str">
        <f t="shared" si="26"/>
        <v/>
      </c>
      <c r="CE94" s="102">
        <f t="shared" ref="CE94:CE103" si="87">+BU94+CA94</f>
        <v>0</v>
      </c>
      <c r="CF94" s="20">
        <f>IF(AND(CE4=0,CE94&gt;=0), "",CE94/CE4)</f>
        <v>0</v>
      </c>
      <c r="CG94" s="37">
        <f>IF(AND(CE124=0,CE94&gt;=0),"",CE94/CE124)</f>
        <v>0</v>
      </c>
      <c r="CH94" s="101">
        <f>+'N EERR RODEO'!M173</f>
        <v>0</v>
      </c>
      <c r="CI94" s="20" t="str">
        <f>IF(AND(CH4=0,CH94&gt;=0), "",CH94/CH4)</f>
        <v/>
      </c>
      <c r="CJ94" s="37" t="str">
        <f>IF(AND(CH124=0,CH94&gt;=0),"",CH94/CH124)</f>
        <v/>
      </c>
      <c r="CK94" s="20" t="str">
        <f t="shared" si="46"/>
        <v/>
      </c>
      <c r="CL94" s="102">
        <f t="shared" ref="CL94:CL103" si="88">+CE94+CH94</f>
        <v>0</v>
      </c>
      <c r="CM94" s="20">
        <f>IF(AND(CL4=0,CL94&gt;=0), "",CL94/CL4)</f>
        <v>0</v>
      </c>
      <c r="CN94" s="37">
        <f>IF(AND(CL124=0,CL94&gt;=0),"",CL94/CL124)</f>
        <v>0</v>
      </c>
      <c r="CO94" s="101">
        <f>+'N EERR RODEO'!N173</f>
        <v>0</v>
      </c>
      <c r="CP94" s="20" t="str">
        <f>IF(AND(CO4=0,CO94&gt;=0), "",CO94/CO4)</f>
        <v/>
      </c>
      <c r="CQ94" s="37" t="str">
        <f>IF(AND(CO124=0,CO94&gt;=0),"",CO94/CO124)</f>
        <v/>
      </c>
      <c r="CR94" s="20" t="str">
        <f t="shared" si="47"/>
        <v/>
      </c>
      <c r="CS94" s="102">
        <f t="shared" ref="CS94:CS103" si="89">+CL94+CO94</f>
        <v>0</v>
      </c>
      <c r="CT94" s="20">
        <f>IF(AND(CS4=0,CS94&gt;=0), "",CS94/CS4)</f>
        <v>0</v>
      </c>
      <c r="CU94" s="37">
        <f>IF(AND(CS124=0,CS94&gt;=0),"",CS94/CS124)</f>
        <v>0</v>
      </c>
      <c r="CV94" s="103">
        <f t="shared" ref="CV94:CV102" si="90">+AZ94*12</f>
        <v>0</v>
      </c>
      <c r="CW94" s="20" t="str">
        <f>IF(AND(CV4=0,CV94&gt;=0), "",CV94/CV4)</f>
        <v/>
      </c>
      <c r="CX94" s="37" t="str">
        <f t="shared" si="48"/>
        <v/>
      </c>
    </row>
    <row r="95" spans="1:102" hidden="1" outlineLevel="1" x14ac:dyDescent="0.25">
      <c r="A95" s="19" t="s">
        <v>84</v>
      </c>
      <c r="B95" s="101">
        <f>+'N EERR RODEO'!B174</f>
        <v>0</v>
      </c>
      <c r="C95" s="20" t="str">
        <f>IF(AND(B4=0,B95&gt;=0), "",B95/B4)</f>
        <v/>
      </c>
      <c r="D95" s="37" t="str">
        <f>IF(AND(B124=0,B95&gt;=0),"",B95/B124)</f>
        <v/>
      </c>
      <c r="E95" s="101">
        <f>+'N EERR RODEO'!C174</f>
        <v>129.32</v>
      </c>
      <c r="F95" s="20">
        <f>IF(AND(E4=0,E95&gt;=0), "",E95/E4)</f>
        <v>2.6979308422605455E-3</v>
      </c>
      <c r="G95" s="37">
        <f>IF(AND(E124=0,E95&gt;=0),"",E95/E124)</f>
        <v>4.1763537383242462E-3</v>
      </c>
      <c r="H95" s="101">
        <f>+'N EERR RODEO'!D174</f>
        <v>64.66</v>
      </c>
      <c r="I95" s="20">
        <f>IF(AND(H4=0,H95&gt;=0), "",H95/H4)</f>
        <v>1.2559475897305208E-3</v>
      </c>
      <c r="J95" s="37">
        <f>IF(AND(H124=0,H95&gt;=0),"",H95/H124)</f>
        <v>3.344248084660266E-3</v>
      </c>
      <c r="K95" s="20">
        <f t="shared" si="64"/>
        <v>-0.5</v>
      </c>
      <c r="L95" s="102">
        <f t="shared" si="79"/>
        <v>193.98</v>
      </c>
      <c r="M95" s="20">
        <f>IF(AND(L4=0,L95&gt;=0), "",L95/L4)</f>
        <v>1.9511936048166054E-3</v>
      </c>
      <c r="N95" s="37">
        <f>IF(AND(L124=0,L95&gt;=0),"",L95/L124)</f>
        <v>3.8564995675901353E-3</v>
      </c>
      <c r="O95" s="101">
        <f>+'N EERR RODEO'!E174</f>
        <v>0</v>
      </c>
      <c r="P95" s="20">
        <f>IF(AND(O4=0,O95&gt;=0), "",O95/O4)</f>
        <v>0</v>
      </c>
      <c r="Q95" s="37">
        <f>IF(AND(O124=0,O95&gt;=0),"",O95/O124)</f>
        <v>0</v>
      </c>
      <c r="R95" s="20">
        <f t="shared" si="66"/>
        <v>-1</v>
      </c>
      <c r="S95" s="102">
        <f t="shared" si="80"/>
        <v>193.98</v>
      </c>
      <c r="T95" s="20">
        <f>IF(AND(S4=0,S95&gt;=0), "",S95/S4)</f>
        <v>1.1862605853331886E-3</v>
      </c>
      <c r="U95" s="37">
        <f>IF(AND(S124=0,S95&gt;=0),"",S95/S124)</f>
        <v>2.5444551654879642E-3</v>
      </c>
      <c r="V95" s="103"/>
      <c r="W95" s="20" t="str">
        <f>IF(AND(V4=0,V95&gt;=0), "",V95/V4)</f>
        <v/>
      </c>
      <c r="X95" s="37">
        <f t="shared" si="21"/>
        <v>1</v>
      </c>
      <c r="Y95" s="101">
        <f>+'N EERR RODEO'!F174</f>
        <v>0</v>
      </c>
      <c r="Z95" s="20" t="str">
        <f>IF(AND(Y4=0,Y95&gt;=0), "",Y95/Y4)</f>
        <v/>
      </c>
      <c r="AA95" s="37" t="str">
        <f>IF(AND(Y124=0,Y95&gt;=0),"",Y95/Y124)</f>
        <v/>
      </c>
      <c r="AB95" s="20" t="str">
        <f t="shared" si="22"/>
        <v/>
      </c>
      <c r="AC95" s="102">
        <f t="shared" si="81"/>
        <v>193.98</v>
      </c>
      <c r="AD95" s="20">
        <f>IF(AND(AC4=0,AC95&gt;=0), "",AC95/AC4)</f>
        <v>1.1862605853331886E-3</v>
      </c>
      <c r="AE95" s="37">
        <f>IF(AND(AC124=0,AC95&gt;=0),"",AC95/AC124)</f>
        <v>2.5444551654879642E-3</v>
      </c>
      <c r="AF95" s="101">
        <f>+'N EERR RODEO'!G174</f>
        <v>0</v>
      </c>
      <c r="AG95" s="20" t="str">
        <f>IF(AND(AF4=0,AF95&gt;=0), "",AF95/AF4)</f>
        <v/>
      </c>
      <c r="AH95" s="37" t="str">
        <f>IF(AND(AF124=0,AF95&gt;=0),"",AF95/AF124)</f>
        <v/>
      </c>
      <c r="AI95" s="20" t="str">
        <f t="shared" si="41"/>
        <v/>
      </c>
      <c r="AJ95" s="102">
        <f t="shared" si="62"/>
        <v>193.98</v>
      </c>
      <c r="AK95" s="20">
        <f>IF(AND(AJ4=0,AJ95&gt;=0), "",AJ95/AJ4)</f>
        <v>1.1862605853331886E-3</v>
      </c>
      <c r="AL95" s="37">
        <f>IF(AND(AJ124=0,AJ95&gt;=0),"",AJ95/AJ124)</f>
        <v>2.5444551654879642E-3</v>
      </c>
      <c r="AM95" s="101">
        <f>+'N EERR RODEO'!H174</f>
        <v>0</v>
      </c>
      <c r="AN95" s="20" t="str">
        <f>IF(AND(AM4=0,AM95&gt;=0), "",AM95/AM4)</f>
        <v/>
      </c>
      <c r="AO95" s="37" t="str">
        <f>IF(AND(AM124=0,AM95&gt;=0),"",AM95/AM124)</f>
        <v/>
      </c>
      <c r="AP95" s="20" t="str">
        <f t="shared" si="42"/>
        <v/>
      </c>
      <c r="AQ95" s="102">
        <f t="shared" si="63"/>
        <v>193.98</v>
      </c>
      <c r="AR95" s="20">
        <f>IF(AND(AQ4=0,AQ95&gt;=0), "",AQ95/AQ4)</f>
        <v>1.1862605853331886E-3</v>
      </c>
      <c r="AS95" s="37">
        <f>IF(AND(AQ124=0,AQ95&gt;=0),"",AQ95/AQ124)</f>
        <v>2.5444551654879642E-3</v>
      </c>
      <c r="AT95" s="103">
        <f t="shared" si="82"/>
        <v>0</v>
      </c>
      <c r="AU95" s="20" t="str">
        <f>IF(AND(AT4=0,AT95&gt;=0), "",AT95/AT4)</f>
        <v/>
      </c>
      <c r="AV95" s="37">
        <f t="shared" si="23"/>
        <v>1</v>
      </c>
      <c r="AW95" s="103">
        <f t="shared" si="40"/>
        <v>32.33</v>
      </c>
      <c r="AX95" s="20">
        <f>IF(AND(AW4=0,AW95&gt;=0), "",AW95/AW4)</f>
        <v>1.1862605853331886E-3</v>
      </c>
      <c r="AY95" s="37">
        <f>IF(AND(AW124=0,AW95&gt;=0),"",AW95/AW124)</f>
        <v>2.5444551654879638E-3</v>
      </c>
      <c r="AZ95" s="103">
        <f t="shared" si="70"/>
        <v>0</v>
      </c>
      <c r="BA95" s="20" t="str">
        <f>IF(AND(AZ4=0,AZ95&gt;=0), "",AZ95/AZ4)</f>
        <v/>
      </c>
      <c r="BB95" s="37">
        <f t="shared" si="24"/>
        <v>1</v>
      </c>
      <c r="BC95" s="101">
        <f>+'N EERR RODEO'!I174</f>
        <v>0</v>
      </c>
      <c r="BD95" s="20" t="str">
        <f>IF(AND(BC4=0,BC95&gt;=0), "",BC95/BC4)</f>
        <v/>
      </c>
      <c r="BE95" s="37" t="str">
        <f>IF(AND(BC124=0,BC95&gt;=0),"",BC95/BC124)</f>
        <v/>
      </c>
      <c r="BF95" s="20" t="str">
        <f t="shared" si="25"/>
        <v/>
      </c>
      <c r="BG95" s="102">
        <f t="shared" si="83"/>
        <v>193.98</v>
      </c>
      <c r="BH95" s="20">
        <f>IF(AND(BG4=0,BG95&gt;=0), "",BG95/BG4)</f>
        <v>1.1862605853331886E-3</v>
      </c>
      <c r="BI95" s="37">
        <f>IF(AND(BG124=0,BG95&gt;=0),"",BG95/BG124)</f>
        <v>2.5444551654879642E-3</v>
      </c>
      <c r="BJ95" s="101">
        <f>+'N EERR RODEO'!J174</f>
        <v>0</v>
      </c>
      <c r="BK95" s="20" t="str">
        <f>IF(AND(BJ4=0,BJ95&gt;=0), "",BJ95/BJ4)</f>
        <v/>
      </c>
      <c r="BL95" s="37" t="str">
        <f>IF(AND(BJ124=0,BJ95&gt;=0),"",BJ95/BJ124)</f>
        <v/>
      </c>
      <c r="BM95" s="20" t="str">
        <f t="shared" si="43"/>
        <v/>
      </c>
      <c r="BN95" s="102">
        <f t="shared" si="84"/>
        <v>193.98</v>
      </c>
      <c r="BO95" s="20">
        <f>IF(AND(BN4=0,BN95&gt;=0), "",BN95/BN4)</f>
        <v>1.1862605853331886E-3</v>
      </c>
      <c r="BP95" s="37">
        <f>IF(AND(BN124=0,BN95&gt;=0),"",BN95/BN124)</f>
        <v>2.5444551654879642E-3</v>
      </c>
      <c r="BQ95" s="101">
        <f>+'N EERR RODEO'!K174</f>
        <v>0</v>
      </c>
      <c r="BR95" s="20" t="str">
        <f>IF(AND(BQ4=0,BQ95&gt;=0), "",BQ95/BQ4)</f>
        <v/>
      </c>
      <c r="BS95" s="37" t="str">
        <f>IF(AND(BQ124=0,BQ95&gt;=0),"",BQ95/BQ124)</f>
        <v/>
      </c>
      <c r="BT95" s="20" t="str">
        <f t="shared" si="44"/>
        <v/>
      </c>
      <c r="BU95" s="102">
        <f t="shared" si="85"/>
        <v>193.98</v>
      </c>
      <c r="BV95" s="20">
        <f>IF(AND(BU4=0,BU95&gt;=0), "",BU95/BU4)</f>
        <v>1.1862605853331886E-3</v>
      </c>
      <c r="BW95" s="37">
        <f>IF(AND(BU124=0,BU95&gt;=0),"",BU95/BU124)</f>
        <v>2.5444551654879642E-3</v>
      </c>
      <c r="BX95" s="103">
        <f t="shared" si="86"/>
        <v>0</v>
      </c>
      <c r="BY95" s="20" t="str">
        <f>IF(AND(BX4=0,BX95&gt;=0), "",BX95/BX4)</f>
        <v/>
      </c>
      <c r="BZ95" s="37">
        <f t="shared" si="45"/>
        <v>1</v>
      </c>
      <c r="CA95" s="101">
        <f>+'N EERR RODEO'!L174</f>
        <v>0</v>
      </c>
      <c r="CB95" s="20" t="str">
        <f>IF(AND(CA4=0,CA95&gt;=0), "",CA95/CA4)</f>
        <v/>
      </c>
      <c r="CC95" s="37" t="str">
        <f>IF(AND(CA124=0,CA95&gt;=0),"",CA95/CA124)</f>
        <v/>
      </c>
      <c r="CD95" s="20" t="str">
        <f t="shared" si="26"/>
        <v/>
      </c>
      <c r="CE95" s="102">
        <f t="shared" si="87"/>
        <v>193.98</v>
      </c>
      <c r="CF95" s="20">
        <f>IF(AND(CE4=0,CE95&gt;=0), "",CE95/CE4)</f>
        <v>1.1862605853331886E-3</v>
      </c>
      <c r="CG95" s="37">
        <f>IF(AND(CE124=0,CE95&gt;=0),"",CE95/CE124)</f>
        <v>2.5444551654879642E-3</v>
      </c>
      <c r="CH95" s="101">
        <f>+'N EERR RODEO'!M174</f>
        <v>0</v>
      </c>
      <c r="CI95" s="20" t="str">
        <f>IF(AND(CH4=0,CH95&gt;=0), "",CH95/CH4)</f>
        <v/>
      </c>
      <c r="CJ95" s="37" t="str">
        <f>IF(AND(CH124=0,CH95&gt;=0),"",CH95/CH124)</f>
        <v/>
      </c>
      <c r="CK95" s="20" t="str">
        <f t="shared" si="46"/>
        <v/>
      </c>
      <c r="CL95" s="102">
        <f t="shared" si="88"/>
        <v>193.98</v>
      </c>
      <c r="CM95" s="20">
        <f>IF(AND(CL4=0,CL95&gt;=0), "",CL95/CL4)</f>
        <v>1.1862605853331886E-3</v>
      </c>
      <c r="CN95" s="37">
        <f>IF(AND(CL124=0,CL95&gt;=0),"",CL95/CL124)</f>
        <v>2.5444551654879642E-3</v>
      </c>
      <c r="CO95" s="101">
        <f>+'N EERR RODEO'!N174</f>
        <v>0</v>
      </c>
      <c r="CP95" s="20" t="str">
        <f>IF(AND(CO4=0,CO95&gt;=0), "",CO95/CO4)</f>
        <v/>
      </c>
      <c r="CQ95" s="37" t="str">
        <f>IF(AND(CO124=0,CO95&gt;=0),"",CO95/CO124)</f>
        <v/>
      </c>
      <c r="CR95" s="20" t="str">
        <f t="shared" si="47"/>
        <v/>
      </c>
      <c r="CS95" s="102">
        <f t="shared" si="89"/>
        <v>193.98</v>
      </c>
      <c r="CT95" s="20">
        <f>IF(AND(CS4=0,CS95&gt;=0), "",CS95/CS4)</f>
        <v>1.1862605853331886E-3</v>
      </c>
      <c r="CU95" s="37">
        <f>IF(AND(CS124=0,CS95&gt;=0),"",CS95/CS124)</f>
        <v>2.5444551654879642E-3</v>
      </c>
      <c r="CV95" s="103">
        <f t="shared" si="90"/>
        <v>0</v>
      </c>
      <c r="CW95" s="20" t="str">
        <f>IF(AND(CV4=0,CV95&gt;=0), "",CV95/CV4)</f>
        <v/>
      </c>
      <c r="CX95" s="37">
        <f t="shared" si="48"/>
        <v>1</v>
      </c>
    </row>
    <row r="96" spans="1:102" hidden="1" outlineLevel="1" x14ac:dyDescent="0.25">
      <c r="A96" s="19" t="s">
        <v>2</v>
      </c>
      <c r="B96" s="101">
        <f>+'N EERR RODEO'!B175+'N EERR RODEO'!B176+'N EERR RODEO'!B177+'N EERR RODEO'!B178</f>
        <v>0</v>
      </c>
      <c r="C96" s="20" t="str">
        <f>IF(AND(B4=0,B96&gt;=0), "",B96/B4)</f>
        <v/>
      </c>
      <c r="D96" s="37" t="str">
        <f>IF(AND(B124=0,B96&gt;=0),"",B96/B124)</f>
        <v/>
      </c>
      <c r="E96" s="101">
        <f>+'N EERR RODEO'!C175+'N EERR RODEO'!C176+'N EERR RODEO'!C177+'N EERR RODEO'!C178</f>
        <v>83.64</v>
      </c>
      <c r="F96" s="20">
        <f>IF(AND(E4=0,E96&gt;=0), "",E96/E4)</f>
        <v>1.7449345472214045E-3</v>
      </c>
      <c r="G96" s="37">
        <f>IF(AND(E124=0,E96&gt;=0),"",E96/E124)</f>
        <v>2.7011307351797091E-3</v>
      </c>
      <c r="H96" s="101">
        <f>+'N EERR RODEO'!D175+'N EERR RODEO'!D176+'N EERR RODEO'!D177+'N EERR RODEO'!D178</f>
        <v>0</v>
      </c>
      <c r="I96" s="20">
        <f>IF(AND(H4=0,H96&gt;=0), "",H96/H4)</f>
        <v>0</v>
      </c>
      <c r="J96" s="37">
        <f>IF(AND(H124=0,H96&gt;=0),"",H96/H124)</f>
        <v>0</v>
      </c>
      <c r="K96" s="20">
        <f t="shared" si="64"/>
        <v>-1</v>
      </c>
      <c r="L96" s="102">
        <f t="shared" si="79"/>
        <v>83.64</v>
      </c>
      <c r="M96" s="20">
        <f>IF(AND(L4=0,L96&gt;=0), "",L96/L4)</f>
        <v>8.4131267711548042E-4</v>
      </c>
      <c r="N96" s="37">
        <f>IF(AND(L124=0,L96&gt;=0),"",L96/L124)</f>
        <v>1.662839590850804E-3</v>
      </c>
      <c r="O96" s="101">
        <f>+'N EERR RODEO'!E175+'N EERR RODEO'!E176+'N EERR RODEO'!E177+'N EERR RODEO'!E178</f>
        <v>106.16</v>
      </c>
      <c r="P96" s="20">
        <f>IF(AND(O4=0,O96&gt;=0), "",O96/O4)</f>
        <v>1.6560025882060045E-3</v>
      </c>
      <c r="Q96" s="37">
        <f>IF(AND(O124=0,O96&gt;=0),"",O96/O124)</f>
        <v>4.0930166566037676E-3</v>
      </c>
      <c r="R96" s="20">
        <f t="shared" si="66"/>
        <v>1</v>
      </c>
      <c r="S96" s="102">
        <f t="shared" si="80"/>
        <v>189.8</v>
      </c>
      <c r="T96" s="20">
        <f>IF(AND(S4=0,S96&gt;=0), "",S96/S4)</f>
        <v>1.1606983147553315E-3</v>
      </c>
      <c r="U96" s="37">
        <f>IF(AND(S124=0,S96&gt;=0),"",S96/S124)</f>
        <v>2.489625685171748E-3</v>
      </c>
      <c r="V96" s="103"/>
      <c r="W96" s="20" t="str">
        <f>IF(AND(V4=0,V96&gt;=0), "",V96/V4)</f>
        <v/>
      </c>
      <c r="X96" s="37">
        <f t="shared" si="21"/>
        <v>1</v>
      </c>
      <c r="Y96" s="101">
        <f>+'N EERR RODEO'!F175+'N EERR RODEO'!F176+'N EERR RODEO'!F177+'N EERR RODEO'!F178</f>
        <v>0</v>
      </c>
      <c r="Z96" s="20" t="str">
        <f>IF(AND(Y4=0,Y96&gt;=0), "",Y96/Y4)</f>
        <v/>
      </c>
      <c r="AA96" s="37" t="str">
        <f>IF(AND(Y124=0,Y96&gt;=0),"",Y96/Y124)</f>
        <v/>
      </c>
      <c r="AB96" s="20">
        <f t="shared" si="22"/>
        <v>-1</v>
      </c>
      <c r="AC96" s="102">
        <f t="shared" si="81"/>
        <v>189.8</v>
      </c>
      <c r="AD96" s="20">
        <f>IF(AND(AC4=0,AC96&gt;=0), "",AC96/AC4)</f>
        <v>1.1606983147553315E-3</v>
      </c>
      <c r="AE96" s="37">
        <f>IF(AND(AC124=0,AC96&gt;=0),"",AC96/AC124)</f>
        <v>2.489625685171748E-3</v>
      </c>
      <c r="AF96" s="101">
        <f>+'N EERR RODEO'!G175+'N EERR RODEO'!G176+'N EERR RODEO'!G177+'N EERR RODEO'!G178</f>
        <v>0</v>
      </c>
      <c r="AG96" s="20" t="str">
        <f>IF(AND(AF4=0,AF96&gt;=0), "",AF96/AF4)</f>
        <v/>
      </c>
      <c r="AH96" s="37" t="str">
        <f>IF(AND(AF124=0,AF96&gt;=0),"",AF96/AF124)</f>
        <v/>
      </c>
      <c r="AI96" s="20" t="str">
        <f t="shared" si="41"/>
        <v/>
      </c>
      <c r="AJ96" s="102">
        <f t="shared" si="62"/>
        <v>189.8</v>
      </c>
      <c r="AK96" s="20">
        <f>IF(AND(AJ4=0,AJ96&gt;=0), "",AJ96/AJ4)</f>
        <v>1.1606983147553315E-3</v>
      </c>
      <c r="AL96" s="37">
        <f>IF(AND(AJ124=0,AJ96&gt;=0),"",AJ96/AJ124)</f>
        <v>2.489625685171748E-3</v>
      </c>
      <c r="AM96" s="101">
        <f>+'N EERR RODEO'!H175+'N EERR RODEO'!H176+'N EERR RODEO'!H177+'N EERR RODEO'!H178</f>
        <v>0</v>
      </c>
      <c r="AN96" s="20" t="str">
        <f>IF(AND(AM4=0,AM96&gt;=0), "",AM96/AM4)</f>
        <v/>
      </c>
      <c r="AO96" s="37" t="str">
        <f>IF(AND(AM124=0,AM96&gt;=0),"",AM96/AM124)</f>
        <v/>
      </c>
      <c r="AP96" s="20" t="str">
        <f t="shared" si="42"/>
        <v/>
      </c>
      <c r="AQ96" s="102">
        <f t="shared" si="63"/>
        <v>189.8</v>
      </c>
      <c r="AR96" s="20">
        <f>IF(AND(AQ4=0,AQ96&gt;=0), "",AQ96/AQ4)</f>
        <v>1.1606983147553315E-3</v>
      </c>
      <c r="AS96" s="37">
        <f>IF(AND(AQ124=0,AQ96&gt;=0),"",AQ96/AQ124)</f>
        <v>2.489625685171748E-3</v>
      </c>
      <c r="AT96" s="103">
        <f t="shared" si="82"/>
        <v>0</v>
      </c>
      <c r="AU96" s="20" t="str">
        <f>IF(AND(AT4=0,AT96&gt;=0), "",AT96/AT4)</f>
        <v/>
      </c>
      <c r="AV96" s="37">
        <f t="shared" si="23"/>
        <v>1</v>
      </c>
      <c r="AW96" s="103">
        <f t="shared" si="40"/>
        <v>31.633333333333336</v>
      </c>
      <c r="AX96" s="20">
        <f>IF(AND(AW4=0,AW96&gt;=0), "",AW96/AW4)</f>
        <v>1.1606983147553315E-3</v>
      </c>
      <c r="AY96" s="37">
        <f>IF(AND(AW124=0,AW96&gt;=0),"",AW96/AW124)</f>
        <v>2.489625685171748E-3</v>
      </c>
      <c r="AZ96" s="103">
        <f t="shared" si="70"/>
        <v>0</v>
      </c>
      <c r="BA96" s="20" t="str">
        <f>IF(AND(AZ4=0,AZ96&gt;=0), "",AZ96/AZ4)</f>
        <v/>
      </c>
      <c r="BB96" s="37">
        <f t="shared" si="24"/>
        <v>1</v>
      </c>
      <c r="BC96" s="101">
        <f>+'N EERR RODEO'!I175+'N EERR RODEO'!I176+'N EERR RODEO'!I177+'N EERR RODEO'!I178</f>
        <v>0</v>
      </c>
      <c r="BD96" s="20" t="str">
        <f>IF(AND(BC4=0,BC96&gt;=0), "",BC96/BC4)</f>
        <v/>
      </c>
      <c r="BE96" s="37" t="str">
        <f>IF(AND(BC124=0,BC96&gt;=0),"",BC96/BC124)</f>
        <v/>
      </c>
      <c r="BF96" s="20" t="str">
        <f t="shared" si="25"/>
        <v/>
      </c>
      <c r="BG96" s="102">
        <f t="shared" si="83"/>
        <v>189.8</v>
      </c>
      <c r="BH96" s="20">
        <f>IF(AND(BG4=0,BG96&gt;=0), "",BG96/BG4)</f>
        <v>1.1606983147553315E-3</v>
      </c>
      <c r="BI96" s="37">
        <f>IF(AND(BG124=0,BG96&gt;=0),"",BG96/BG124)</f>
        <v>2.489625685171748E-3</v>
      </c>
      <c r="BJ96" s="101">
        <f>+'N EERR RODEO'!J175+'N EERR RODEO'!J176+'N EERR RODEO'!J177+'N EERR RODEO'!J178</f>
        <v>0</v>
      </c>
      <c r="BK96" s="20" t="str">
        <f>IF(AND(BJ4=0,BJ96&gt;=0), "",BJ96/BJ4)</f>
        <v/>
      </c>
      <c r="BL96" s="37" t="str">
        <f>IF(AND(BJ124=0,BJ96&gt;=0),"",BJ96/BJ124)</f>
        <v/>
      </c>
      <c r="BM96" s="20" t="str">
        <f t="shared" si="43"/>
        <v/>
      </c>
      <c r="BN96" s="102">
        <f t="shared" si="84"/>
        <v>189.8</v>
      </c>
      <c r="BO96" s="20">
        <f>IF(AND(BN4=0,BN96&gt;=0), "",BN96/BN4)</f>
        <v>1.1606983147553315E-3</v>
      </c>
      <c r="BP96" s="37">
        <f>IF(AND(BN124=0,BN96&gt;=0),"",BN96/BN124)</f>
        <v>2.489625685171748E-3</v>
      </c>
      <c r="BQ96" s="101">
        <f>+'N EERR RODEO'!K175+'N EERR RODEO'!K176+'N EERR RODEO'!K177+'N EERR RODEO'!K178</f>
        <v>0</v>
      </c>
      <c r="BR96" s="20" t="str">
        <f>IF(AND(BQ4=0,BQ96&gt;=0), "",BQ96/BQ4)</f>
        <v/>
      </c>
      <c r="BS96" s="37" t="str">
        <f>IF(AND(BQ124=0,BQ96&gt;=0),"",BQ96/BQ124)</f>
        <v/>
      </c>
      <c r="BT96" s="20" t="str">
        <f t="shared" si="44"/>
        <v/>
      </c>
      <c r="BU96" s="102">
        <f t="shared" si="85"/>
        <v>189.8</v>
      </c>
      <c r="BV96" s="20">
        <f>IF(AND(BU4=0,BU96&gt;=0), "",BU96/BU4)</f>
        <v>1.1606983147553315E-3</v>
      </c>
      <c r="BW96" s="37">
        <f>IF(AND(BU124=0,BU96&gt;=0),"",BU96/BU124)</f>
        <v>2.489625685171748E-3</v>
      </c>
      <c r="BX96" s="103">
        <f t="shared" si="86"/>
        <v>0</v>
      </c>
      <c r="BY96" s="20" t="str">
        <f>IF(AND(BX4=0,BX96&gt;=0), "",BX96/BX4)</f>
        <v/>
      </c>
      <c r="BZ96" s="37">
        <f t="shared" si="45"/>
        <v>1</v>
      </c>
      <c r="CA96" s="101">
        <f>+'N EERR RODEO'!L175+'N EERR RODEO'!L176+'N EERR RODEO'!L177+'N EERR RODEO'!L178</f>
        <v>0</v>
      </c>
      <c r="CB96" s="20" t="str">
        <f>IF(AND(CA4=0,CA96&gt;=0), "",CA96/CA4)</f>
        <v/>
      </c>
      <c r="CC96" s="37" t="str">
        <f>IF(AND(CA124=0,CA96&gt;=0),"",CA96/CA124)</f>
        <v/>
      </c>
      <c r="CD96" s="20" t="str">
        <f t="shared" si="26"/>
        <v/>
      </c>
      <c r="CE96" s="102">
        <f t="shared" si="87"/>
        <v>189.8</v>
      </c>
      <c r="CF96" s="20">
        <f>IF(AND(CE4=0,CE96&gt;=0), "",CE96/CE4)</f>
        <v>1.1606983147553315E-3</v>
      </c>
      <c r="CG96" s="37">
        <f>IF(AND(CE124=0,CE96&gt;=0),"",CE96/CE124)</f>
        <v>2.489625685171748E-3</v>
      </c>
      <c r="CH96" s="101">
        <f>+'N EERR RODEO'!M175+'N EERR RODEO'!M176+'N EERR RODEO'!M177+'N EERR RODEO'!M178</f>
        <v>0</v>
      </c>
      <c r="CI96" s="20" t="str">
        <f>IF(AND(CH4=0,CH96&gt;=0), "",CH96/CH4)</f>
        <v/>
      </c>
      <c r="CJ96" s="37" t="str">
        <f>IF(AND(CH124=0,CH96&gt;=0),"",CH96/CH124)</f>
        <v/>
      </c>
      <c r="CK96" s="20" t="str">
        <f t="shared" si="46"/>
        <v/>
      </c>
      <c r="CL96" s="102">
        <f t="shared" si="88"/>
        <v>189.8</v>
      </c>
      <c r="CM96" s="20">
        <f>IF(AND(CL4=0,CL96&gt;=0), "",CL96/CL4)</f>
        <v>1.1606983147553315E-3</v>
      </c>
      <c r="CN96" s="37">
        <f>IF(AND(CL124=0,CL96&gt;=0),"",CL96/CL124)</f>
        <v>2.489625685171748E-3</v>
      </c>
      <c r="CO96" s="101">
        <f>+'N EERR RODEO'!N175+'N EERR RODEO'!N176+'N EERR RODEO'!N177+'N EERR RODEO'!N178</f>
        <v>0</v>
      </c>
      <c r="CP96" s="20" t="str">
        <f>IF(AND(CO4=0,CO96&gt;=0), "",CO96/CO4)</f>
        <v/>
      </c>
      <c r="CQ96" s="37" t="str">
        <f>IF(AND(CO124=0,CO96&gt;=0),"",CO96/CO124)</f>
        <v/>
      </c>
      <c r="CR96" s="20" t="str">
        <f t="shared" si="47"/>
        <v/>
      </c>
      <c r="CS96" s="102">
        <f t="shared" si="89"/>
        <v>189.8</v>
      </c>
      <c r="CT96" s="20">
        <f>IF(AND(CS4=0,CS96&gt;=0), "",CS96/CS4)</f>
        <v>1.1606983147553315E-3</v>
      </c>
      <c r="CU96" s="37">
        <f>IF(AND(CS124=0,CS96&gt;=0),"",CS96/CS124)</f>
        <v>2.489625685171748E-3</v>
      </c>
      <c r="CV96" s="103">
        <f t="shared" si="90"/>
        <v>0</v>
      </c>
      <c r="CW96" s="20" t="str">
        <f>IF(AND(CV4=0,CV96&gt;=0), "",CV96/CV4)</f>
        <v/>
      </c>
      <c r="CX96" s="37">
        <f t="shared" si="48"/>
        <v>1</v>
      </c>
    </row>
    <row r="97" spans="1:219" hidden="1" outlineLevel="1" x14ac:dyDescent="0.25">
      <c r="A97" s="19" t="s">
        <v>85</v>
      </c>
      <c r="B97" s="101">
        <f>+'N EERR RODEO'!B179+'N EERR RODEO'!B180</f>
        <v>0</v>
      </c>
      <c r="C97" s="20" t="str">
        <f>IF(AND(B4=0,B97&gt;=0), "",B97/B4)</f>
        <v/>
      </c>
      <c r="D97" s="37" t="str">
        <f>IF(AND(B124=0,B97&gt;=0),"",B97/B124)</f>
        <v/>
      </c>
      <c r="E97" s="101">
        <f>+'N EERR RODEO'!C179+'N EERR RODEO'!C180</f>
        <v>0</v>
      </c>
      <c r="F97" s="20">
        <f>IF(AND(E4=0,E97&gt;=0), "",E97/E4)</f>
        <v>0</v>
      </c>
      <c r="G97" s="37">
        <f>IF(AND(E124=0,E97&gt;=0),"",E97/E124)</f>
        <v>0</v>
      </c>
      <c r="H97" s="101">
        <f>+'N EERR RODEO'!D179+'N EERR RODEO'!D180</f>
        <v>0</v>
      </c>
      <c r="I97" s="20">
        <f>IF(AND(H4=0,H97&gt;=0), "",H97/H4)</f>
        <v>0</v>
      </c>
      <c r="J97" s="37">
        <f>IF(AND(H124=0,H97&gt;=0),"",H97/H124)</f>
        <v>0</v>
      </c>
      <c r="K97" s="20" t="str">
        <f t="shared" si="64"/>
        <v/>
      </c>
      <c r="L97" s="102">
        <f t="shared" si="79"/>
        <v>0</v>
      </c>
      <c r="M97" s="20">
        <f>IF(AND(L4=0,L97&gt;=0), "",L97/L4)</f>
        <v>0</v>
      </c>
      <c r="N97" s="37">
        <f>IF(AND(L124=0,L97&gt;=0),"",L97/L124)</f>
        <v>0</v>
      </c>
      <c r="O97" s="101">
        <f>+'N EERR RODEO'!E179+'N EERR RODEO'!E180</f>
        <v>0</v>
      </c>
      <c r="P97" s="20">
        <f>IF(AND(O4=0,O97&gt;=0), "",O97/O4)</f>
        <v>0</v>
      </c>
      <c r="Q97" s="37">
        <f>IF(AND(O124=0,O97&gt;=0),"",O97/O124)</f>
        <v>0</v>
      </c>
      <c r="R97" s="20" t="str">
        <f t="shared" si="66"/>
        <v/>
      </c>
      <c r="S97" s="102">
        <f t="shared" si="80"/>
        <v>0</v>
      </c>
      <c r="T97" s="20">
        <f>IF(AND(S4=0,S97&gt;=0), "",S97/S4)</f>
        <v>0</v>
      </c>
      <c r="U97" s="37">
        <f>IF(AND(S124=0,S97&gt;=0),"",S97/S124)</f>
        <v>0</v>
      </c>
      <c r="V97" s="103"/>
      <c r="W97" s="20" t="str">
        <f>IF(AND(V4=0,V97&gt;=0), "",V97/V4)</f>
        <v/>
      </c>
      <c r="X97" s="37" t="str">
        <f t="shared" si="21"/>
        <v/>
      </c>
      <c r="Y97" s="101">
        <f>+'N EERR RODEO'!F179+'N EERR RODEO'!F180</f>
        <v>0</v>
      </c>
      <c r="Z97" s="20" t="str">
        <f>IF(AND(Y4=0,Y97&gt;=0), "",Y97/Y4)</f>
        <v/>
      </c>
      <c r="AA97" s="37" t="str">
        <f>IF(AND(Y124=0,Y97&gt;=0),"",Y97/Y124)</f>
        <v/>
      </c>
      <c r="AB97" s="20" t="str">
        <f t="shared" si="22"/>
        <v/>
      </c>
      <c r="AC97" s="102">
        <f t="shared" si="81"/>
        <v>0</v>
      </c>
      <c r="AD97" s="20">
        <f>IF(AND(AC4=0,AC97&gt;=0), "",AC97/AC4)</f>
        <v>0</v>
      </c>
      <c r="AE97" s="37">
        <f>IF(AND(AC124=0,AC97&gt;=0),"",AC97/AC124)</f>
        <v>0</v>
      </c>
      <c r="AF97" s="101">
        <f>+'N EERR RODEO'!G179+'N EERR RODEO'!G180</f>
        <v>0</v>
      </c>
      <c r="AG97" s="20" t="str">
        <f>IF(AND(AF4=0,AF97&gt;=0), "",AF97/AF4)</f>
        <v/>
      </c>
      <c r="AH97" s="37" t="str">
        <f>IF(AND(AF124=0,AF97&gt;=0),"",AF97/AF124)</f>
        <v/>
      </c>
      <c r="AI97" s="20" t="str">
        <f t="shared" si="41"/>
        <v/>
      </c>
      <c r="AJ97" s="102">
        <f t="shared" si="62"/>
        <v>0</v>
      </c>
      <c r="AK97" s="20">
        <f>IF(AND(AJ4=0,AJ97&gt;=0), "",AJ97/AJ4)</f>
        <v>0</v>
      </c>
      <c r="AL97" s="37">
        <f>IF(AND(AJ124=0,AJ97&gt;=0),"",AJ97/AJ124)</f>
        <v>0</v>
      </c>
      <c r="AM97" s="101">
        <f>+'N EERR RODEO'!H179+'N EERR RODEO'!H180</f>
        <v>0</v>
      </c>
      <c r="AN97" s="20" t="str">
        <f>IF(AND(AM4=0,AM97&gt;=0), "",AM97/AM4)</f>
        <v/>
      </c>
      <c r="AO97" s="37" t="str">
        <f>IF(AND(AM124=0,AM97&gt;=0),"",AM97/AM124)</f>
        <v/>
      </c>
      <c r="AP97" s="20" t="str">
        <f t="shared" si="42"/>
        <v/>
      </c>
      <c r="AQ97" s="102">
        <f t="shared" si="63"/>
        <v>0</v>
      </c>
      <c r="AR97" s="20">
        <f>IF(AND(AQ4=0,AQ97&gt;=0), "",AQ97/AQ4)</f>
        <v>0</v>
      </c>
      <c r="AS97" s="37">
        <f>IF(AND(AQ124=0,AQ97&gt;=0),"",AQ97/AQ124)</f>
        <v>0</v>
      </c>
      <c r="AT97" s="103">
        <f t="shared" si="82"/>
        <v>0</v>
      </c>
      <c r="AU97" s="20" t="str">
        <f>IF(AND(AT4=0,AT97&gt;=0), "",AT97/AT4)</f>
        <v/>
      </c>
      <c r="AV97" s="37" t="str">
        <f t="shared" si="23"/>
        <v/>
      </c>
      <c r="AW97" s="103">
        <f t="shared" si="40"/>
        <v>0</v>
      </c>
      <c r="AX97" s="20">
        <f>IF(AND(AW4=0,AW97&gt;=0), "",AW97/AW4)</f>
        <v>0</v>
      </c>
      <c r="AY97" s="37">
        <f>IF(AND(AW124=0,AW97&gt;=0),"",AW97/AW124)</f>
        <v>0</v>
      </c>
      <c r="AZ97" s="103">
        <f t="shared" si="70"/>
        <v>0</v>
      </c>
      <c r="BA97" s="20" t="str">
        <f>IF(AND(AZ4=0,AZ97&gt;=0), "",AZ97/AZ4)</f>
        <v/>
      </c>
      <c r="BB97" s="37" t="str">
        <f t="shared" si="24"/>
        <v/>
      </c>
      <c r="BC97" s="101">
        <f>+'N EERR RODEO'!I179+'N EERR RODEO'!I180</f>
        <v>0</v>
      </c>
      <c r="BD97" s="20" t="str">
        <f>IF(AND(BC4=0,BC97&gt;=0), "",BC97/BC4)</f>
        <v/>
      </c>
      <c r="BE97" s="37" t="str">
        <f>IF(AND(BC124=0,BC97&gt;=0),"",BC97/BC124)</f>
        <v/>
      </c>
      <c r="BF97" s="20" t="str">
        <f t="shared" si="25"/>
        <v/>
      </c>
      <c r="BG97" s="102">
        <f t="shared" si="83"/>
        <v>0</v>
      </c>
      <c r="BH97" s="20">
        <f>IF(AND(BG4=0,BG97&gt;=0), "",BG97/BG4)</f>
        <v>0</v>
      </c>
      <c r="BI97" s="37">
        <f>IF(AND(BG124=0,BG97&gt;=0),"",BG97/BG124)</f>
        <v>0</v>
      </c>
      <c r="BJ97" s="101">
        <f>+'N EERR RODEO'!J179+'N EERR RODEO'!J180</f>
        <v>0</v>
      </c>
      <c r="BK97" s="20" t="str">
        <f>IF(AND(BJ4=0,BJ97&gt;=0), "",BJ97/BJ4)</f>
        <v/>
      </c>
      <c r="BL97" s="37" t="str">
        <f>IF(AND(BJ124=0,BJ97&gt;=0),"",BJ97/BJ124)</f>
        <v/>
      </c>
      <c r="BM97" s="20" t="str">
        <f t="shared" si="43"/>
        <v/>
      </c>
      <c r="BN97" s="102">
        <f t="shared" si="84"/>
        <v>0</v>
      </c>
      <c r="BO97" s="20">
        <f>IF(AND(BN4=0,BN97&gt;=0), "",BN97/BN4)</f>
        <v>0</v>
      </c>
      <c r="BP97" s="37">
        <f>IF(AND(BN124=0,BN97&gt;=0),"",BN97/BN124)</f>
        <v>0</v>
      </c>
      <c r="BQ97" s="101">
        <f>+'N EERR RODEO'!K179+'N EERR RODEO'!K180</f>
        <v>0</v>
      </c>
      <c r="BR97" s="20" t="str">
        <f>IF(AND(BQ4=0,BQ97&gt;=0), "",BQ97/BQ4)</f>
        <v/>
      </c>
      <c r="BS97" s="37" t="str">
        <f>IF(AND(BQ124=0,BQ97&gt;=0),"",BQ97/BQ124)</f>
        <v/>
      </c>
      <c r="BT97" s="20" t="str">
        <f t="shared" si="44"/>
        <v/>
      </c>
      <c r="BU97" s="102">
        <f t="shared" si="85"/>
        <v>0</v>
      </c>
      <c r="BV97" s="20">
        <f>IF(AND(BU4=0,BU97&gt;=0), "",BU97/BU4)</f>
        <v>0</v>
      </c>
      <c r="BW97" s="37">
        <f>IF(AND(BU124=0,BU97&gt;=0),"",BU97/BU124)</f>
        <v>0</v>
      </c>
      <c r="BX97" s="103">
        <f t="shared" si="86"/>
        <v>0</v>
      </c>
      <c r="BY97" s="20" t="str">
        <f>IF(AND(BX4=0,BX97&gt;=0), "",BX97/BX4)</f>
        <v/>
      </c>
      <c r="BZ97" s="37" t="str">
        <f t="shared" si="45"/>
        <v/>
      </c>
      <c r="CA97" s="101">
        <f>+'N EERR RODEO'!L179+'N EERR RODEO'!L180</f>
        <v>0</v>
      </c>
      <c r="CB97" s="20" t="str">
        <f>IF(AND(CA4=0,CA97&gt;=0), "",CA97/CA4)</f>
        <v/>
      </c>
      <c r="CC97" s="37" t="str">
        <f>IF(AND(CA124=0,CA97&gt;=0),"",CA97/CA124)</f>
        <v/>
      </c>
      <c r="CD97" s="20" t="str">
        <f t="shared" si="26"/>
        <v/>
      </c>
      <c r="CE97" s="102">
        <f t="shared" si="87"/>
        <v>0</v>
      </c>
      <c r="CF97" s="20">
        <f>IF(AND(CE4=0,CE97&gt;=0), "",CE97/CE4)</f>
        <v>0</v>
      </c>
      <c r="CG97" s="37">
        <f>IF(AND(CE124=0,CE97&gt;=0),"",CE97/CE124)</f>
        <v>0</v>
      </c>
      <c r="CH97" s="101">
        <f>+'N EERR RODEO'!M179+'N EERR RODEO'!M180</f>
        <v>0</v>
      </c>
      <c r="CI97" s="20" t="str">
        <f>IF(AND(CH4=0,CH97&gt;=0), "",CH97/CH4)</f>
        <v/>
      </c>
      <c r="CJ97" s="37" t="str">
        <f>IF(AND(CH124=0,CH97&gt;=0),"",CH97/CH124)</f>
        <v/>
      </c>
      <c r="CK97" s="20" t="str">
        <f t="shared" si="46"/>
        <v/>
      </c>
      <c r="CL97" s="102">
        <f t="shared" si="88"/>
        <v>0</v>
      </c>
      <c r="CM97" s="20">
        <f>IF(AND(CL4=0,CL97&gt;=0), "",CL97/CL4)</f>
        <v>0</v>
      </c>
      <c r="CN97" s="37">
        <f>IF(AND(CL124=0,CL97&gt;=0),"",CL97/CL124)</f>
        <v>0</v>
      </c>
      <c r="CO97" s="101">
        <f>+'N EERR RODEO'!N179+'N EERR RODEO'!N180</f>
        <v>0</v>
      </c>
      <c r="CP97" s="20" t="str">
        <f>IF(AND(CO4=0,CO97&gt;=0), "",CO97/CO4)</f>
        <v/>
      </c>
      <c r="CQ97" s="37" t="str">
        <f>IF(AND(CO124=0,CO97&gt;=0),"",CO97/CO124)</f>
        <v/>
      </c>
      <c r="CR97" s="20" t="str">
        <f t="shared" si="47"/>
        <v/>
      </c>
      <c r="CS97" s="102">
        <f t="shared" si="89"/>
        <v>0</v>
      </c>
      <c r="CT97" s="20">
        <f>IF(AND(CS4=0,CS97&gt;=0), "",CS97/CS4)</f>
        <v>0</v>
      </c>
      <c r="CU97" s="37">
        <f>IF(AND(CS124=0,CS97&gt;=0),"",CS97/CS124)</f>
        <v>0</v>
      </c>
      <c r="CV97" s="103">
        <f t="shared" si="90"/>
        <v>0</v>
      </c>
      <c r="CW97" s="20" t="str">
        <f>IF(AND(CV4=0,CV97&gt;=0), "",CV97/CV4)</f>
        <v/>
      </c>
      <c r="CX97" s="37" t="str">
        <f t="shared" si="48"/>
        <v/>
      </c>
    </row>
    <row r="98" spans="1:219" hidden="1" outlineLevel="1" x14ac:dyDescent="0.25">
      <c r="A98" s="19" t="s">
        <v>86</v>
      </c>
      <c r="B98" s="101">
        <f>+'N EERR RODEO'!B181</f>
        <v>0</v>
      </c>
      <c r="C98" s="20" t="str">
        <f>IF(AND(B4=0,B98&gt;=0), "",B98/B4)</f>
        <v/>
      </c>
      <c r="D98" s="37" t="str">
        <f>IF(AND(B124=0,B98&gt;=0),"",B98/B124)</f>
        <v/>
      </c>
      <c r="E98" s="101">
        <f>+'N EERR RODEO'!C181</f>
        <v>0</v>
      </c>
      <c r="F98" s="20">
        <f>IF(AND(E4=0,E98&gt;=0), "",E98/E4)</f>
        <v>0</v>
      </c>
      <c r="G98" s="37">
        <f>IF(AND(E124=0,E98&gt;=0),"",E98/E124)</f>
        <v>0</v>
      </c>
      <c r="H98" s="101">
        <f>+'N EERR RODEO'!D181</f>
        <v>0</v>
      </c>
      <c r="I98" s="20">
        <f>IF(AND(H4=0,H98&gt;=0), "",H98/H4)</f>
        <v>0</v>
      </c>
      <c r="J98" s="37">
        <f>IF(AND(H124=0,H98&gt;=0),"",H98/H124)</f>
        <v>0</v>
      </c>
      <c r="K98" s="20" t="str">
        <f t="shared" si="64"/>
        <v/>
      </c>
      <c r="L98" s="102">
        <f t="shared" si="79"/>
        <v>0</v>
      </c>
      <c r="M98" s="20">
        <f>IF(AND(L4=0,L98&gt;=0), "",L98/L4)</f>
        <v>0</v>
      </c>
      <c r="N98" s="37">
        <f>IF(AND(L124=0,L98&gt;=0),"",L98/L124)</f>
        <v>0</v>
      </c>
      <c r="O98" s="101">
        <f>+'N EERR RODEO'!E181</f>
        <v>0</v>
      </c>
      <c r="P98" s="20">
        <f>IF(AND(O4=0,O98&gt;=0), "",O98/O4)</f>
        <v>0</v>
      </c>
      <c r="Q98" s="37">
        <f>IF(AND(O124=0,O98&gt;=0),"",O98/O124)</f>
        <v>0</v>
      </c>
      <c r="R98" s="20" t="str">
        <f t="shared" si="66"/>
        <v/>
      </c>
      <c r="S98" s="102">
        <f t="shared" si="80"/>
        <v>0</v>
      </c>
      <c r="T98" s="20">
        <f>IF(AND(S4=0,S98&gt;=0), "",S98/S4)</f>
        <v>0</v>
      </c>
      <c r="U98" s="37">
        <f>IF(AND(S124=0,S98&gt;=0),"",S98/S124)</f>
        <v>0</v>
      </c>
      <c r="V98" s="103"/>
      <c r="W98" s="20" t="str">
        <f>IF(AND(V4=0,V98&gt;=0), "",V98/V4)</f>
        <v/>
      </c>
      <c r="X98" s="37" t="str">
        <f t="shared" si="21"/>
        <v/>
      </c>
      <c r="Y98" s="101">
        <f>+'N EERR RODEO'!F181</f>
        <v>0</v>
      </c>
      <c r="Z98" s="20" t="str">
        <f>IF(AND(Y4=0,Y98&gt;=0), "",Y98/Y4)</f>
        <v/>
      </c>
      <c r="AA98" s="37" t="str">
        <f>IF(AND(Y124=0,Y98&gt;=0),"",Y98/Y124)</f>
        <v/>
      </c>
      <c r="AB98" s="20" t="str">
        <f t="shared" si="22"/>
        <v/>
      </c>
      <c r="AC98" s="102">
        <f t="shared" si="81"/>
        <v>0</v>
      </c>
      <c r="AD98" s="20">
        <f>IF(AND(AC4=0,AC98&gt;=0), "",AC98/AC4)</f>
        <v>0</v>
      </c>
      <c r="AE98" s="37">
        <f>IF(AND(AC124=0,AC98&gt;=0),"",AC98/AC124)</f>
        <v>0</v>
      </c>
      <c r="AF98" s="101">
        <f>+'N EERR RODEO'!G181</f>
        <v>0</v>
      </c>
      <c r="AG98" s="20" t="str">
        <f>IF(AND(AF4=0,AF98&gt;=0), "",AF98/AF4)</f>
        <v/>
      </c>
      <c r="AH98" s="37" t="str">
        <f>IF(AND(AF124=0,AF98&gt;=0),"",AF98/AF124)</f>
        <v/>
      </c>
      <c r="AI98" s="20" t="str">
        <f t="shared" si="41"/>
        <v/>
      </c>
      <c r="AJ98" s="102">
        <f t="shared" si="62"/>
        <v>0</v>
      </c>
      <c r="AK98" s="20">
        <f>IF(AND(AJ4=0,AJ98&gt;=0), "",AJ98/AJ4)</f>
        <v>0</v>
      </c>
      <c r="AL98" s="37">
        <f>IF(AND(AJ124=0,AJ98&gt;=0),"",AJ98/AJ124)</f>
        <v>0</v>
      </c>
      <c r="AM98" s="101">
        <f>+'N EERR RODEO'!H181</f>
        <v>0</v>
      </c>
      <c r="AN98" s="20" t="str">
        <f>IF(AND(AM4=0,AM98&gt;=0), "",AM98/AM4)</f>
        <v/>
      </c>
      <c r="AO98" s="37" t="str">
        <f>IF(AND(AM124=0,AM98&gt;=0),"",AM98/AM124)</f>
        <v/>
      </c>
      <c r="AP98" s="20" t="str">
        <f t="shared" si="42"/>
        <v/>
      </c>
      <c r="AQ98" s="102">
        <f t="shared" si="63"/>
        <v>0</v>
      </c>
      <c r="AR98" s="20">
        <f>IF(AND(AQ4=0,AQ98&gt;=0), "",AQ98/AQ4)</f>
        <v>0</v>
      </c>
      <c r="AS98" s="37">
        <f>IF(AND(AQ124=0,AQ98&gt;=0),"",AQ98/AQ124)</f>
        <v>0</v>
      </c>
      <c r="AT98" s="103">
        <f t="shared" si="82"/>
        <v>0</v>
      </c>
      <c r="AU98" s="20" t="str">
        <f>IF(AND(AT4=0,AT98&gt;=0), "",AT98/AT4)</f>
        <v/>
      </c>
      <c r="AV98" s="37" t="str">
        <f t="shared" si="23"/>
        <v/>
      </c>
      <c r="AW98" s="103">
        <f t="shared" si="40"/>
        <v>0</v>
      </c>
      <c r="AX98" s="20">
        <f>IF(AND(AW4=0,AW98&gt;=0), "",AW98/AW4)</f>
        <v>0</v>
      </c>
      <c r="AY98" s="37">
        <f>IF(AND(AW124=0,AW98&gt;=0),"",AW98/AW124)</f>
        <v>0</v>
      </c>
      <c r="AZ98" s="103">
        <f t="shared" si="70"/>
        <v>0</v>
      </c>
      <c r="BA98" s="20" t="str">
        <f>IF(AND(AZ4=0,AZ98&gt;=0), "",AZ98/AZ4)</f>
        <v/>
      </c>
      <c r="BB98" s="37" t="str">
        <f t="shared" si="24"/>
        <v/>
      </c>
      <c r="BC98" s="101">
        <f>+'N EERR RODEO'!I181</f>
        <v>0</v>
      </c>
      <c r="BD98" s="20" t="str">
        <f>IF(AND(BC4=0,BC98&gt;=0), "",BC98/BC4)</f>
        <v/>
      </c>
      <c r="BE98" s="37" t="str">
        <f>IF(AND(BC124=0,BC98&gt;=0),"",BC98/BC124)</f>
        <v/>
      </c>
      <c r="BF98" s="20" t="str">
        <f t="shared" si="25"/>
        <v/>
      </c>
      <c r="BG98" s="102">
        <f t="shared" si="83"/>
        <v>0</v>
      </c>
      <c r="BH98" s="20">
        <f>IF(AND(BG4=0,BG98&gt;=0), "",BG98/BG4)</f>
        <v>0</v>
      </c>
      <c r="BI98" s="37">
        <f>IF(AND(BG124=0,BG98&gt;=0),"",BG98/BG124)</f>
        <v>0</v>
      </c>
      <c r="BJ98" s="101">
        <f>+'N EERR RODEO'!J181</f>
        <v>0</v>
      </c>
      <c r="BK98" s="20" t="str">
        <f>IF(AND(BJ4=0,BJ98&gt;=0), "",BJ98/BJ4)</f>
        <v/>
      </c>
      <c r="BL98" s="37" t="str">
        <f>IF(AND(BJ124=0,BJ98&gt;=0),"",BJ98/BJ124)</f>
        <v/>
      </c>
      <c r="BM98" s="20" t="str">
        <f t="shared" si="43"/>
        <v/>
      </c>
      <c r="BN98" s="102">
        <f t="shared" si="84"/>
        <v>0</v>
      </c>
      <c r="BO98" s="20">
        <f>IF(AND(BN4=0,BN98&gt;=0), "",BN98/BN4)</f>
        <v>0</v>
      </c>
      <c r="BP98" s="37">
        <f>IF(AND(BN124=0,BN98&gt;=0),"",BN98/BN124)</f>
        <v>0</v>
      </c>
      <c r="BQ98" s="101">
        <f>+'N EERR RODEO'!K181</f>
        <v>0</v>
      </c>
      <c r="BR98" s="20" t="str">
        <f>IF(AND(BQ4=0,BQ98&gt;=0), "",BQ98/BQ4)</f>
        <v/>
      </c>
      <c r="BS98" s="37" t="str">
        <f>IF(AND(BQ124=0,BQ98&gt;=0),"",BQ98/BQ124)</f>
        <v/>
      </c>
      <c r="BT98" s="20" t="str">
        <f t="shared" si="44"/>
        <v/>
      </c>
      <c r="BU98" s="102">
        <f t="shared" si="85"/>
        <v>0</v>
      </c>
      <c r="BV98" s="20">
        <f>IF(AND(BU4=0,BU98&gt;=0), "",BU98/BU4)</f>
        <v>0</v>
      </c>
      <c r="BW98" s="37">
        <f>IF(AND(BU124=0,BU98&gt;=0),"",BU98/BU124)</f>
        <v>0</v>
      </c>
      <c r="BX98" s="103">
        <f t="shared" si="86"/>
        <v>0</v>
      </c>
      <c r="BY98" s="20" t="str">
        <f>IF(AND(BX4=0,BX98&gt;=0), "",BX98/BX4)</f>
        <v/>
      </c>
      <c r="BZ98" s="37" t="str">
        <f t="shared" si="45"/>
        <v/>
      </c>
      <c r="CA98" s="101">
        <f>+'N EERR RODEO'!L181</f>
        <v>0</v>
      </c>
      <c r="CB98" s="20" t="str">
        <f>IF(AND(CA4=0,CA98&gt;=0), "",CA98/CA4)</f>
        <v/>
      </c>
      <c r="CC98" s="37" t="str">
        <f>IF(AND(CA124=0,CA98&gt;=0),"",CA98/CA124)</f>
        <v/>
      </c>
      <c r="CD98" s="20" t="str">
        <f t="shared" si="26"/>
        <v/>
      </c>
      <c r="CE98" s="102">
        <f t="shared" si="87"/>
        <v>0</v>
      </c>
      <c r="CF98" s="20">
        <f>IF(AND(CE4=0,CE98&gt;=0), "",CE98/CE4)</f>
        <v>0</v>
      </c>
      <c r="CG98" s="37">
        <f>IF(AND(CE124=0,CE98&gt;=0),"",CE98/CE124)</f>
        <v>0</v>
      </c>
      <c r="CH98" s="101">
        <f>+'N EERR RODEO'!M181</f>
        <v>0</v>
      </c>
      <c r="CI98" s="20" t="str">
        <f>IF(AND(CH4=0,CH98&gt;=0), "",CH98/CH4)</f>
        <v/>
      </c>
      <c r="CJ98" s="37" t="str">
        <f>IF(AND(CH124=0,CH98&gt;=0),"",CH98/CH124)</f>
        <v/>
      </c>
      <c r="CK98" s="20" t="str">
        <f t="shared" si="46"/>
        <v/>
      </c>
      <c r="CL98" s="102">
        <f t="shared" si="88"/>
        <v>0</v>
      </c>
      <c r="CM98" s="20">
        <f>IF(AND(CL4=0,CL98&gt;=0), "",CL98/CL4)</f>
        <v>0</v>
      </c>
      <c r="CN98" s="37">
        <f>IF(AND(CL124=0,CL98&gt;=0),"",CL98/CL124)</f>
        <v>0</v>
      </c>
      <c r="CO98" s="101">
        <f>+'N EERR RODEO'!N181</f>
        <v>0</v>
      </c>
      <c r="CP98" s="20" t="str">
        <f>IF(AND(CO4=0,CO98&gt;=0), "",CO98/CO4)</f>
        <v/>
      </c>
      <c r="CQ98" s="37" t="str">
        <f>IF(AND(CO124=0,CO98&gt;=0),"",CO98/CO124)</f>
        <v/>
      </c>
      <c r="CR98" s="20" t="str">
        <f t="shared" si="47"/>
        <v/>
      </c>
      <c r="CS98" s="102">
        <f t="shared" si="89"/>
        <v>0</v>
      </c>
      <c r="CT98" s="20">
        <f>IF(AND(CS4=0,CS98&gt;=0), "",CS98/CS4)</f>
        <v>0</v>
      </c>
      <c r="CU98" s="37">
        <f>IF(AND(CS124=0,CS98&gt;=0),"",CS98/CS124)</f>
        <v>0</v>
      </c>
      <c r="CV98" s="103">
        <f t="shared" si="90"/>
        <v>0</v>
      </c>
      <c r="CW98" s="20" t="str">
        <f>IF(AND(CV4=0,CV98&gt;=0), "",CV98/CV4)</f>
        <v/>
      </c>
      <c r="CX98" s="37" t="str">
        <f t="shared" si="48"/>
        <v/>
      </c>
    </row>
    <row r="99" spans="1:219" hidden="1" outlineLevel="1" x14ac:dyDescent="0.25">
      <c r="A99" s="19" t="s">
        <v>87</v>
      </c>
      <c r="B99" s="101">
        <f>+'N EERR RODEO'!B182</f>
        <v>0</v>
      </c>
      <c r="C99" s="20" t="str">
        <f>IF(AND(B4=0,B99&gt;=0), "",B99/B4)</f>
        <v/>
      </c>
      <c r="D99" s="37" t="str">
        <f>IF(AND(B124=0,B99&gt;=0),"",B99/B124)</f>
        <v/>
      </c>
      <c r="E99" s="101">
        <f>+'N EERR RODEO'!C182</f>
        <v>0</v>
      </c>
      <c r="F99" s="20">
        <f>IF(AND(E4=0,E99&gt;=0), "",E99/E4)</f>
        <v>0</v>
      </c>
      <c r="G99" s="37">
        <f>IF(AND(E124=0,E99&gt;=0),"",E99/E124)</f>
        <v>0</v>
      </c>
      <c r="H99" s="101">
        <f>+'N EERR RODEO'!D182</f>
        <v>0</v>
      </c>
      <c r="I99" s="20">
        <f>IF(AND(H4=0,H99&gt;=0), "",H99/H4)</f>
        <v>0</v>
      </c>
      <c r="J99" s="37">
        <f>IF(AND(H124=0,H99&gt;=0),"",H99/H124)</f>
        <v>0</v>
      </c>
      <c r="K99" s="20" t="str">
        <f t="shared" si="64"/>
        <v/>
      </c>
      <c r="L99" s="102">
        <f t="shared" si="79"/>
        <v>0</v>
      </c>
      <c r="M99" s="20">
        <f>IF(AND(L4=0,L99&gt;=0), "",L99/L4)</f>
        <v>0</v>
      </c>
      <c r="N99" s="37">
        <f>IF(AND(L124=0,L99&gt;=0),"",L99/L124)</f>
        <v>0</v>
      </c>
      <c r="O99" s="101">
        <f>+'N EERR RODEO'!E182</f>
        <v>0</v>
      </c>
      <c r="P99" s="20">
        <f>IF(AND(O4=0,O99&gt;=0), "",O99/O4)</f>
        <v>0</v>
      </c>
      <c r="Q99" s="37">
        <f>IF(AND(O124=0,O99&gt;=0),"",O99/O124)</f>
        <v>0</v>
      </c>
      <c r="R99" s="20" t="str">
        <f t="shared" si="66"/>
        <v/>
      </c>
      <c r="S99" s="102">
        <f t="shared" si="80"/>
        <v>0</v>
      </c>
      <c r="T99" s="20">
        <f>IF(AND(S4=0,S99&gt;=0), "",S99/S4)</f>
        <v>0</v>
      </c>
      <c r="U99" s="37">
        <f>IF(AND(S124=0,S99&gt;=0),"",S99/S124)</f>
        <v>0</v>
      </c>
      <c r="V99" s="103"/>
      <c r="W99" s="20" t="str">
        <f>IF(AND(V4=0,V99&gt;=0), "",V99/V4)</f>
        <v/>
      </c>
      <c r="X99" s="37" t="str">
        <f t="shared" si="21"/>
        <v/>
      </c>
      <c r="Y99" s="101">
        <f>+'N EERR RODEO'!F182</f>
        <v>0</v>
      </c>
      <c r="Z99" s="20" t="str">
        <f>IF(AND(Y4=0,Y99&gt;=0), "",Y99/Y4)</f>
        <v/>
      </c>
      <c r="AA99" s="37" t="str">
        <f>IF(AND(Y124=0,Y99&gt;=0),"",Y99/Y124)</f>
        <v/>
      </c>
      <c r="AB99" s="20" t="str">
        <f t="shared" si="22"/>
        <v/>
      </c>
      <c r="AC99" s="102">
        <f t="shared" si="81"/>
        <v>0</v>
      </c>
      <c r="AD99" s="20">
        <f>IF(AND(AC4=0,AC99&gt;=0), "",AC99/AC4)</f>
        <v>0</v>
      </c>
      <c r="AE99" s="37">
        <f>IF(AND(AC124=0,AC99&gt;=0),"",AC99/AC124)</f>
        <v>0</v>
      </c>
      <c r="AF99" s="101">
        <f>+'N EERR RODEO'!G182</f>
        <v>0</v>
      </c>
      <c r="AG99" s="20" t="str">
        <f>IF(AND(AF4=0,AF99&gt;=0), "",AF99/AF4)</f>
        <v/>
      </c>
      <c r="AH99" s="37" t="str">
        <f>IF(AND(AF124=0,AF99&gt;=0),"",AF99/AF124)</f>
        <v/>
      </c>
      <c r="AI99" s="20" t="str">
        <f t="shared" si="41"/>
        <v/>
      </c>
      <c r="AJ99" s="102">
        <f t="shared" si="62"/>
        <v>0</v>
      </c>
      <c r="AK99" s="20">
        <f>IF(AND(AJ4=0,AJ99&gt;=0), "",AJ99/AJ4)</f>
        <v>0</v>
      </c>
      <c r="AL99" s="37">
        <f>IF(AND(AJ124=0,AJ99&gt;=0),"",AJ99/AJ124)</f>
        <v>0</v>
      </c>
      <c r="AM99" s="101">
        <f>+'N EERR RODEO'!H182</f>
        <v>0</v>
      </c>
      <c r="AN99" s="20" t="str">
        <f>IF(AND(AM4=0,AM99&gt;=0), "",AM99/AM4)</f>
        <v/>
      </c>
      <c r="AO99" s="37" t="str">
        <f>IF(AND(AM124=0,AM99&gt;=0),"",AM99/AM124)</f>
        <v/>
      </c>
      <c r="AP99" s="20" t="str">
        <f t="shared" si="42"/>
        <v/>
      </c>
      <c r="AQ99" s="102">
        <f t="shared" si="63"/>
        <v>0</v>
      </c>
      <c r="AR99" s="20">
        <f>IF(AND(AQ4=0,AQ99&gt;=0), "",AQ99/AQ4)</f>
        <v>0</v>
      </c>
      <c r="AS99" s="37">
        <f>IF(AND(AQ124=0,AQ99&gt;=0),"",AQ99/AQ124)</f>
        <v>0</v>
      </c>
      <c r="AT99" s="103">
        <f t="shared" si="82"/>
        <v>0</v>
      </c>
      <c r="AU99" s="20" t="str">
        <f>IF(AND(AT4=0,AT99&gt;=0), "",AT99/AT4)</f>
        <v/>
      </c>
      <c r="AV99" s="37" t="str">
        <f t="shared" si="23"/>
        <v/>
      </c>
      <c r="AW99" s="103">
        <f t="shared" si="40"/>
        <v>0</v>
      </c>
      <c r="AX99" s="20">
        <f>IF(AND(AW4=0,AW99&gt;=0), "",AW99/AW4)</f>
        <v>0</v>
      </c>
      <c r="AY99" s="37">
        <f>IF(AND(AW124=0,AW99&gt;=0),"",AW99/AW124)</f>
        <v>0</v>
      </c>
      <c r="AZ99" s="103">
        <f t="shared" si="70"/>
        <v>0</v>
      </c>
      <c r="BA99" s="20" t="str">
        <f>IF(AND(AZ4=0,AZ99&gt;=0), "",AZ99/AZ4)</f>
        <v/>
      </c>
      <c r="BB99" s="37" t="str">
        <f t="shared" si="24"/>
        <v/>
      </c>
      <c r="BC99" s="101">
        <f>+'N EERR RODEO'!I182</f>
        <v>0</v>
      </c>
      <c r="BD99" s="20" t="str">
        <f>IF(AND(BC4=0,BC99&gt;=0), "",BC99/BC4)</f>
        <v/>
      </c>
      <c r="BE99" s="37" t="str">
        <f>IF(AND(BC124=0,BC99&gt;=0),"",BC99/BC124)</f>
        <v/>
      </c>
      <c r="BF99" s="20" t="str">
        <f t="shared" si="25"/>
        <v/>
      </c>
      <c r="BG99" s="102">
        <f t="shared" si="83"/>
        <v>0</v>
      </c>
      <c r="BH99" s="20">
        <f>IF(AND(BG4=0,BG99&gt;=0), "",BG99/BG4)</f>
        <v>0</v>
      </c>
      <c r="BI99" s="37">
        <f>IF(AND(BG124=0,BG99&gt;=0),"",BG99/BG124)</f>
        <v>0</v>
      </c>
      <c r="BJ99" s="101">
        <f>+'N EERR RODEO'!J182</f>
        <v>0</v>
      </c>
      <c r="BK99" s="20" t="str">
        <f>IF(AND(BJ4=0,BJ99&gt;=0), "",BJ99/BJ4)</f>
        <v/>
      </c>
      <c r="BL99" s="37" t="str">
        <f>IF(AND(BJ124=0,BJ99&gt;=0),"",BJ99/BJ124)</f>
        <v/>
      </c>
      <c r="BM99" s="20" t="str">
        <f t="shared" si="43"/>
        <v/>
      </c>
      <c r="BN99" s="102">
        <f t="shared" si="84"/>
        <v>0</v>
      </c>
      <c r="BO99" s="20">
        <f>IF(AND(BN4=0,BN99&gt;=0), "",BN99/BN4)</f>
        <v>0</v>
      </c>
      <c r="BP99" s="37">
        <f>IF(AND(BN124=0,BN99&gt;=0),"",BN99/BN124)</f>
        <v>0</v>
      </c>
      <c r="BQ99" s="101">
        <f>+'N EERR RODEO'!K182</f>
        <v>0</v>
      </c>
      <c r="BR99" s="20" t="str">
        <f>IF(AND(BQ4=0,BQ99&gt;=0), "",BQ99/BQ4)</f>
        <v/>
      </c>
      <c r="BS99" s="37" t="str">
        <f>IF(AND(BQ124=0,BQ99&gt;=0),"",BQ99/BQ124)</f>
        <v/>
      </c>
      <c r="BT99" s="20" t="str">
        <f t="shared" si="44"/>
        <v/>
      </c>
      <c r="BU99" s="102">
        <f t="shared" si="85"/>
        <v>0</v>
      </c>
      <c r="BV99" s="20">
        <f>IF(AND(BU4=0,BU99&gt;=0), "",BU99/BU4)</f>
        <v>0</v>
      </c>
      <c r="BW99" s="37">
        <f>IF(AND(BU124=0,BU99&gt;=0),"",BU99/BU124)</f>
        <v>0</v>
      </c>
      <c r="BX99" s="103">
        <f t="shared" si="86"/>
        <v>0</v>
      </c>
      <c r="BY99" s="20" t="str">
        <f>IF(AND(BX4=0,BX99&gt;=0), "",BX99/BX4)</f>
        <v/>
      </c>
      <c r="BZ99" s="37" t="str">
        <f t="shared" si="45"/>
        <v/>
      </c>
      <c r="CA99" s="101">
        <f>+'N EERR RODEO'!L182</f>
        <v>0</v>
      </c>
      <c r="CB99" s="20" t="str">
        <f>IF(AND(CA4=0,CA99&gt;=0), "",CA99/CA4)</f>
        <v/>
      </c>
      <c r="CC99" s="37" t="str">
        <f>IF(AND(CA124=0,CA99&gt;=0),"",CA99/CA124)</f>
        <v/>
      </c>
      <c r="CD99" s="20" t="str">
        <f t="shared" si="26"/>
        <v/>
      </c>
      <c r="CE99" s="102">
        <f t="shared" si="87"/>
        <v>0</v>
      </c>
      <c r="CF99" s="20">
        <f>IF(AND(CE4=0,CE99&gt;=0), "",CE99/CE4)</f>
        <v>0</v>
      </c>
      <c r="CG99" s="37">
        <f>IF(AND(CE124=0,CE99&gt;=0),"",CE99/CE124)</f>
        <v>0</v>
      </c>
      <c r="CH99" s="101">
        <f>+'N EERR RODEO'!M182</f>
        <v>0</v>
      </c>
      <c r="CI99" s="20" t="str">
        <f>IF(AND(CH4=0,CH99&gt;=0), "",CH99/CH4)</f>
        <v/>
      </c>
      <c r="CJ99" s="37" t="str">
        <f>IF(AND(CH124=0,CH99&gt;=0),"",CH99/CH124)</f>
        <v/>
      </c>
      <c r="CK99" s="20" t="str">
        <f t="shared" si="46"/>
        <v/>
      </c>
      <c r="CL99" s="102">
        <f t="shared" si="88"/>
        <v>0</v>
      </c>
      <c r="CM99" s="20">
        <f>IF(AND(CL4=0,CL99&gt;=0), "",CL99/CL4)</f>
        <v>0</v>
      </c>
      <c r="CN99" s="37">
        <f>IF(AND(CL124=0,CL99&gt;=0),"",CL99/CL124)</f>
        <v>0</v>
      </c>
      <c r="CO99" s="101">
        <f>+'N EERR RODEO'!N182</f>
        <v>0</v>
      </c>
      <c r="CP99" s="20" t="str">
        <f>IF(AND(CO4=0,CO99&gt;=0), "",CO99/CO4)</f>
        <v/>
      </c>
      <c r="CQ99" s="37" t="str">
        <f>IF(AND(CO124=0,CO99&gt;=0),"",CO99/CO124)</f>
        <v/>
      </c>
      <c r="CR99" s="20" t="str">
        <f t="shared" si="47"/>
        <v/>
      </c>
      <c r="CS99" s="102">
        <f t="shared" si="89"/>
        <v>0</v>
      </c>
      <c r="CT99" s="20">
        <f>IF(AND(CS4=0,CS99&gt;=0), "",CS99/CS4)</f>
        <v>0</v>
      </c>
      <c r="CU99" s="37">
        <f>IF(AND(CS124=0,CS99&gt;=0),"",CS99/CS124)</f>
        <v>0</v>
      </c>
      <c r="CV99" s="103">
        <f t="shared" si="90"/>
        <v>0</v>
      </c>
      <c r="CW99" s="20" t="str">
        <f>IF(AND(CV4=0,CV99&gt;=0), "",CV99/CV4)</f>
        <v/>
      </c>
      <c r="CX99" s="37" t="str">
        <f t="shared" si="48"/>
        <v/>
      </c>
    </row>
    <row r="100" spans="1:219" hidden="1" outlineLevel="1" x14ac:dyDescent="0.25">
      <c r="A100" s="19" t="s">
        <v>88</v>
      </c>
      <c r="B100" s="101">
        <f>+'N EERR RODEO'!B183</f>
        <v>0</v>
      </c>
      <c r="C100" s="20" t="str">
        <f>IF(AND(B4=0,B100&gt;=0), "",B100/B4)</f>
        <v/>
      </c>
      <c r="D100" s="37" t="str">
        <f>IF(AND(B124=0,B100&gt;=0),"",B100/B124)</f>
        <v/>
      </c>
      <c r="E100" s="101">
        <f>+'N EERR RODEO'!C183</f>
        <v>0</v>
      </c>
      <c r="F100" s="20">
        <f>IF(AND(E4=0,E100&gt;=0), "",E100/E4)</f>
        <v>0</v>
      </c>
      <c r="G100" s="37">
        <f>IF(AND(E124=0,E100&gt;=0),"",E100/E124)</f>
        <v>0</v>
      </c>
      <c r="H100" s="101">
        <f>+'N EERR RODEO'!D183</f>
        <v>0</v>
      </c>
      <c r="I100" s="20">
        <f>IF(AND(H4=0,H100&gt;=0), "",H100/H4)</f>
        <v>0</v>
      </c>
      <c r="J100" s="37">
        <f>IF(AND(H124=0,H100&gt;=0),"",H100/H124)</f>
        <v>0</v>
      </c>
      <c r="K100" s="20" t="str">
        <f t="shared" si="64"/>
        <v/>
      </c>
      <c r="L100" s="102">
        <f t="shared" si="79"/>
        <v>0</v>
      </c>
      <c r="M100" s="20">
        <f>IF(AND(L4=0,L100&gt;=0), "",L100/L4)</f>
        <v>0</v>
      </c>
      <c r="N100" s="37">
        <f>IF(AND(L124=0,L100&gt;=0),"",L100/L124)</f>
        <v>0</v>
      </c>
      <c r="O100" s="101">
        <f>+'N EERR RODEO'!E183</f>
        <v>0</v>
      </c>
      <c r="P100" s="20">
        <f>IF(AND(O4=0,O100&gt;=0), "",O100/O4)</f>
        <v>0</v>
      </c>
      <c r="Q100" s="37">
        <f>IF(AND(O124=0,O100&gt;=0),"",O100/O124)</f>
        <v>0</v>
      </c>
      <c r="R100" s="20" t="str">
        <f t="shared" si="66"/>
        <v/>
      </c>
      <c r="S100" s="102">
        <f t="shared" si="80"/>
        <v>0</v>
      </c>
      <c r="T100" s="20">
        <f>IF(AND(S4=0,S100&gt;=0), "",S100/S4)</f>
        <v>0</v>
      </c>
      <c r="U100" s="37">
        <f>IF(AND(S124=0,S100&gt;=0),"",S100/S124)</f>
        <v>0</v>
      </c>
      <c r="V100" s="103"/>
      <c r="W100" s="20" t="str">
        <f>IF(AND(V4=0,V100&gt;=0), "",V100/V4)</f>
        <v/>
      </c>
      <c r="X100" s="37" t="str">
        <f t="shared" si="21"/>
        <v/>
      </c>
      <c r="Y100" s="101">
        <f>+'N EERR RODEO'!F183</f>
        <v>0</v>
      </c>
      <c r="Z100" s="20" t="str">
        <f>IF(AND(Y4=0,Y100&gt;=0), "",Y100/Y4)</f>
        <v/>
      </c>
      <c r="AA100" s="37" t="str">
        <f>IF(AND(Y124=0,Y100&gt;=0),"",Y100/Y124)</f>
        <v/>
      </c>
      <c r="AB100" s="20" t="str">
        <f t="shared" si="22"/>
        <v/>
      </c>
      <c r="AC100" s="102">
        <f t="shared" si="81"/>
        <v>0</v>
      </c>
      <c r="AD100" s="20">
        <f>IF(AND(AC4=0,AC100&gt;=0), "",AC100/AC4)</f>
        <v>0</v>
      </c>
      <c r="AE100" s="37">
        <f>IF(AND(AC124=0,AC100&gt;=0),"",AC100/AC124)</f>
        <v>0</v>
      </c>
      <c r="AF100" s="101">
        <f>+'N EERR RODEO'!G183</f>
        <v>0</v>
      </c>
      <c r="AG100" s="20" t="str">
        <f>IF(AND(AF4=0,AF100&gt;=0), "",AF100/AF4)</f>
        <v/>
      </c>
      <c r="AH100" s="37" t="str">
        <f>IF(AND(AF124=0,AF100&gt;=0),"",AF100/AF124)</f>
        <v/>
      </c>
      <c r="AI100" s="20" t="str">
        <f t="shared" si="41"/>
        <v/>
      </c>
      <c r="AJ100" s="102">
        <f t="shared" si="62"/>
        <v>0</v>
      </c>
      <c r="AK100" s="20">
        <f>IF(AND(AJ4=0,AJ100&gt;=0), "",AJ100/AJ4)</f>
        <v>0</v>
      </c>
      <c r="AL100" s="37">
        <f>IF(AND(AJ124=0,AJ100&gt;=0),"",AJ100/AJ124)</f>
        <v>0</v>
      </c>
      <c r="AM100" s="101">
        <f>+'N EERR RODEO'!H183</f>
        <v>0</v>
      </c>
      <c r="AN100" s="20" t="str">
        <f>IF(AND(AM4=0,AM100&gt;=0), "",AM100/AM4)</f>
        <v/>
      </c>
      <c r="AO100" s="37" t="str">
        <f>IF(AND(AM124=0,AM100&gt;=0),"",AM100/AM124)</f>
        <v/>
      </c>
      <c r="AP100" s="20" t="str">
        <f t="shared" si="42"/>
        <v/>
      </c>
      <c r="AQ100" s="102">
        <f t="shared" si="63"/>
        <v>0</v>
      </c>
      <c r="AR100" s="20">
        <f>IF(AND(AQ4=0,AQ100&gt;=0), "",AQ100/AQ4)</f>
        <v>0</v>
      </c>
      <c r="AS100" s="37">
        <f>IF(AND(AQ124=0,AQ100&gt;=0),"",AQ100/AQ124)</f>
        <v>0</v>
      </c>
      <c r="AT100" s="103">
        <f t="shared" si="82"/>
        <v>0</v>
      </c>
      <c r="AU100" s="20" t="str">
        <f>IF(AND(AT4=0,AT100&gt;=0), "",AT100/AT4)</f>
        <v/>
      </c>
      <c r="AV100" s="37" t="str">
        <f t="shared" si="23"/>
        <v/>
      </c>
      <c r="AW100" s="103">
        <f t="shared" si="40"/>
        <v>0</v>
      </c>
      <c r="AX100" s="20">
        <f>IF(AND(AW4=0,AW100&gt;=0), "",AW100/AW4)</f>
        <v>0</v>
      </c>
      <c r="AY100" s="37">
        <f>IF(AND(AW124=0,AW100&gt;=0),"",AW100/AW124)</f>
        <v>0</v>
      </c>
      <c r="AZ100" s="103">
        <f t="shared" si="70"/>
        <v>0</v>
      </c>
      <c r="BA100" s="20" t="str">
        <f>IF(AND(AZ4=0,AZ100&gt;=0), "",AZ100/AZ4)</f>
        <v/>
      </c>
      <c r="BB100" s="37" t="str">
        <f t="shared" si="24"/>
        <v/>
      </c>
      <c r="BC100" s="101">
        <f>+'N EERR RODEO'!I183</f>
        <v>0</v>
      </c>
      <c r="BD100" s="20" t="str">
        <f>IF(AND(BC4=0,BC100&gt;=0), "",BC100/BC4)</f>
        <v/>
      </c>
      <c r="BE100" s="37" t="str">
        <f>IF(AND(BC124=0,BC100&gt;=0),"",BC100/BC124)</f>
        <v/>
      </c>
      <c r="BF100" s="20" t="str">
        <f t="shared" si="25"/>
        <v/>
      </c>
      <c r="BG100" s="102">
        <f t="shared" si="83"/>
        <v>0</v>
      </c>
      <c r="BH100" s="20">
        <f>IF(AND(BG4=0,BG100&gt;=0), "",BG100/BG4)</f>
        <v>0</v>
      </c>
      <c r="BI100" s="37">
        <f>IF(AND(BG124=0,BG100&gt;=0),"",BG100/BG124)</f>
        <v>0</v>
      </c>
      <c r="BJ100" s="101">
        <f>+'N EERR RODEO'!J183</f>
        <v>0</v>
      </c>
      <c r="BK100" s="20" t="str">
        <f>IF(AND(BJ4=0,BJ100&gt;=0), "",BJ100/BJ4)</f>
        <v/>
      </c>
      <c r="BL100" s="37" t="str">
        <f>IF(AND(BJ124=0,BJ100&gt;=0),"",BJ100/BJ124)</f>
        <v/>
      </c>
      <c r="BM100" s="20" t="str">
        <f t="shared" si="43"/>
        <v/>
      </c>
      <c r="BN100" s="102">
        <f t="shared" si="84"/>
        <v>0</v>
      </c>
      <c r="BO100" s="20">
        <f>IF(AND(BN4=0,BN100&gt;=0), "",BN100/BN4)</f>
        <v>0</v>
      </c>
      <c r="BP100" s="37">
        <f>IF(AND(BN124=0,BN100&gt;=0),"",BN100/BN124)</f>
        <v>0</v>
      </c>
      <c r="BQ100" s="101">
        <f>+'N EERR RODEO'!K183</f>
        <v>0</v>
      </c>
      <c r="BR100" s="20" t="str">
        <f>IF(AND(BQ4=0,BQ100&gt;=0), "",BQ100/BQ4)</f>
        <v/>
      </c>
      <c r="BS100" s="37" t="str">
        <f>IF(AND(BQ124=0,BQ100&gt;=0),"",BQ100/BQ124)</f>
        <v/>
      </c>
      <c r="BT100" s="20" t="str">
        <f t="shared" si="44"/>
        <v/>
      </c>
      <c r="BU100" s="102">
        <f t="shared" si="85"/>
        <v>0</v>
      </c>
      <c r="BV100" s="20">
        <f>IF(AND(BU4=0,BU100&gt;=0), "",BU100/BU4)</f>
        <v>0</v>
      </c>
      <c r="BW100" s="37">
        <f>IF(AND(BU124=0,BU100&gt;=0),"",BU100/BU124)</f>
        <v>0</v>
      </c>
      <c r="BX100" s="103">
        <f t="shared" si="86"/>
        <v>0</v>
      </c>
      <c r="BY100" s="20" t="str">
        <f>IF(AND(BX4=0,BX100&gt;=0), "",BX100/BX4)</f>
        <v/>
      </c>
      <c r="BZ100" s="37" t="str">
        <f t="shared" si="45"/>
        <v/>
      </c>
      <c r="CA100" s="101">
        <f>+'N EERR RODEO'!L183</f>
        <v>0</v>
      </c>
      <c r="CB100" s="20" t="str">
        <f>IF(AND(CA4=0,CA100&gt;=0), "",CA100/CA4)</f>
        <v/>
      </c>
      <c r="CC100" s="37" t="str">
        <f>IF(AND(CA124=0,CA100&gt;=0),"",CA100/CA124)</f>
        <v/>
      </c>
      <c r="CD100" s="20" t="str">
        <f t="shared" si="26"/>
        <v/>
      </c>
      <c r="CE100" s="102">
        <f t="shared" si="87"/>
        <v>0</v>
      </c>
      <c r="CF100" s="20">
        <f>IF(AND(CE4=0,CE100&gt;=0), "",CE100/CE4)</f>
        <v>0</v>
      </c>
      <c r="CG100" s="37">
        <f>IF(AND(CE124=0,CE100&gt;=0),"",CE100/CE124)</f>
        <v>0</v>
      </c>
      <c r="CH100" s="101">
        <f>+'N EERR RODEO'!M183</f>
        <v>0</v>
      </c>
      <c r="CI100" s="20" t="str">
        <f>IF(AND(CH4=0,CH100&gt;=0), "",CH100/CH4)</f>
        <v/>
      </c>
      <c r="CJ100" s="37" t="str">
        <f>IF(AND(CH124=0,CH100&gt;=0),"",CH100/CH124)</f>
        <v/>
      </c>
      <c r="CK100" s="20" t="str">
        <f t="shared" si="46"/>
        <v/>
      </c>
      <c r="CL100" s="102">
        <f t="shared" si="88"/>
        <v>0</v>
      </c>
      <c r="CM100" s="20">
        <f>IF(AND(CL4=0,CL100&gt;=0), "",CL100/CL4)</f>
        <v>0</v>
      </c>
      <c r="CN100" s="37">
        <f>IF(AND(CL124=0,CL100&gt;=0),"",CL100/CL124)</f>
        <v>0</v>
      </c>
      <c r="CO100" s="101">
        <f>+'N EERR RODEO'!N183</f>
        <v>0</v>
      </c>
      <c r="CP100" s="20" t="str">
        <f>IF(AND(CO4=0,CO100&gt;=0), "",CO100/CO4)</f>
        <v/>
      </c>
      <c r="CQ100" s="37" t="str">
        <f>IF(AND(CO124=0,CO100&gt;=0),"",CO100/CO124)</f>
        <v/>
      </c>
      <c r="CR100" s="20" t="str">
        <f t="shared" si="47"/>
        <v/>
      </c>
      <c r="CS100" s="102">
        <f t="shared" si="89"/>
        <v>0</v>
      </c>
      <c r="CT100" s="20">
        <f>IF(AND(CS4=0,CS100&gt;=0), "",CS100/CS4)</f>
        <v>0</v>
      </c>
      <c r="CU100" s="37">
        <f>IF(AND(CS124=0,CS100&gt;=0),"",CS100/CS124)</f>
        <v>0</v>
      </c>
      <c r="CV100" s="103">
        <f t="shared" si="90"/>
        <v>0</v>
      </c>
      <c r="CW100" s="20" t="str">
        <f>IF(AND(CV4=0,CV100&gt;=0), "",CV100/CV4)</f>
        <v/>
      </c>
      <c r="CX100" s="37" t="str">
        <f t="shared" si="48"/>
        <v/>
      </c>
    </row>
    <row r="101" spans="1:219" hidden="1" outlineLevel="1" x14ac:dyDescent="0.25">
      <c r="A101" s="19" t="s">
        <v>89</v>
      </c>
      <c r="B101" s="101">
        <f>+'N EERR RODEO'!B184</f>
        <v>0</v>
      </c>
      <c r="C101" s="20" t="str">
        <f>IF(AND(B4=0,B101&gt;=0), "",B101/B4)</f>
        <v/>
      </c>
      <c r="D101" s="37" t="str">
        <f>IF(AND(B124=0,B101&gt;=0),"",B101/B124)</f>
        <v/>
      </c>
      <c r="E101" s="101">
        <f>+'N EERR RODEO'!C184</f>
        <v>0</v>
      </c>
      <c r="F101" s="20">
        <f>IF(AND(E4=0,E101&gt;=0), "",E101/E4)</f>
        <v>0</v>
      </c>
      <c r="G101" s="37">
        <f>IF(AND(E124=0,E101&gt;=0),"",E101/E124)</f>
        <v>0</v>
      </c>
      <c r="H101" s="101">
        <f>+'N EERR RODEO'!D184</f>
        <v>0</v>
      </c>
      <c r="I101" s="20">
        <f>IF(AND(H4=0,H101&gt;=0), "",H101/H4)</f>
        <v>0</v>
      </c>
      <c r="J101" s="37">
        <f>IF(AND(H124=0,H101&gt;=0),"",H101/H124)</f>
        <v>0</v>
      </c>
      <c r="K101" s="20" t="str">
        <f t="shared" si="64"/>
        <v/>
      </c>
      <c r="L101" s="102">
        <f t="shared" si="79"/>
        <v>0</v>
      </c>
      <c r="M101" s="20">
        <f>IF(AND(L4=0,L101&gt;=0), "",L101/L4)</f>
        <v>0</v>
      </c>
      <c r="N101" s="37">
        <f>IF(AND(L124=0,L101&gt;=0),"",L101/L124)</f>
        <v>0</v>
      </c>
      <c r="O101" s="101">
        <f>+'N EERR RODEO'!E184</f>
        <v>0</v>
      </c>
      <c r="P101" s="20">
        <f>IF(AND(O4=0,O101&gt;=0), "",O101/O4)</f>
        <v>0</v>
      </c>
      <c r="Q101" s="37">
        <f>IF(AND(O124=0,O101&gt;=0),"",O101/O124)</f>
        <v>0</v>
      </c>
      <c r="R101" s="20" t="str">
        <f t="shared" si="66"/>
        <v/>
      </c>
      <c r="S101" s="102">
        <f t="shared" si="80"/>
        <v>0</v>
      </c>
      <c r="T101" s="20">
        <f>IF(AND(S4=0,S101&gt;=0), "",S101/S4)</f>
        <v>0</v>
      </c>
      <c r="U101" s="37">
        <f>IF(AND(S124=0,S101&gt;=0),"",S101/S124)</f>
        <v>0</v>
      </c>
      <c r="V101" s="103"/>
      <c r="W101" s="20" t="str">
        <f>IF(AND(V4=0,V101&gt;=0), "",V101/V4)</f>
        <v/>
      </c>
      <c r="X101" s="37" t="str">
        <f t="shared" si="21"/>
        <v/>
      </c>
      <c r="Y101" s="101">
        <f>+'N EERR RODEO'!F184</f>
        <v>0</v>
      </c>
      <c r="Z101" s="20" t="str">
        <f>IF(AND(Y4=0,Y101&gt;=0), "",Y101/Y4)</f>
        <v/>
      </c>
      <c r="AA101" s="37" t="str">
        <f>IF(AND(Y124=0,Y101&gt;=0),"",Y101/Y124)</f>
        <v/>
      </c>
      <c r="AB101" s="20" t="str">
        <f t="shared" si="22"/>
        <v/>
      </c>
      <c r="AC101" s="102">
        <f t="shared" si="81"/>
        <v>0</v>
      </c>
      <c r="AD101" s="20">
        <f>IF(AND(AC4=0,AC101&gt;=0), "",AC101/AC4)</f>
        <v>0</v>
      </c>
      <c r="AE101" s="37">
        <f>IF(AND(AC124=0,AC101&gt;=0),"",AC101/AC124)</f>
        <v>0</v>
      </c>
      <c r="AF101" s="101">
        <f>+'N EERR RODEO'!G184</f>
        <v>0</v>
      </c>
      <c r="AG101" s="20" t="str">
        <f>IF(AND(AF4=0,AF101&gt;=0), "",AF101/AF4)</f>
        <v/>
      </c>
      <c r="AH101" s="37" t="str">
        <f>IF(AND(AF124=0,AF101&gt;=0),"",AF101/AF124)</f>
        <v/>
      </c>
      <c r="AI101" s="20" t="str">
        <f t="shared" si="41"/>
        <v/>
      </c>
      <c r="AJ101" s="102">
        <f t="shared" si="62"/>
        <v>0</v>
      </c>
      <c r="AK101" s="20">
        <f>IF(AND(AJ4=0,AJ101&gt;=0), "",AJ101/AJ4)</f>
        <v>0</v>
      </c>
      <c r="AL101" s="37">
        <f>IF(AND(AJ124=0,AJ101&gt;=0),"",AJ101/AJ124)</f>
        <v>0</v>
      </c>
      <c r="AM101" s="101">
        <f>+'N EERR RODEO'!H184</f>
        <v>0</v>
      </c>
      <c r="AN101" s="20" t="str">
        <f>IF(AND(AM4=0,AM101&gt;=0), "",AM101/AM4)</f>
        <v/>
      </c>
      <c r="AO101" s="37" t="str">
        <f>IF(AND(AM124=0,AM101&gt;=0),"",AM101/AM124)</f>
        <v/>
      </c>
      <c r="AP101" s="20" t="str">
        <f t="shared" si="42"/>
        <v/>
      </c>
      <c r="AQ101" s="102">
        <f t="shared" si="63"/>
        <v>0</v>
      </c>
      <c r="AR101" s="20">
        <f>IF(AND(AQ4=0,AQ101&gt;=0), "",AQ101/AQ4)</f>
        <v>0</v>
      </c>
      <c r="AS101" s="37">
        <f>IF(AND(AQ124=0,AQ101&gt;=0),"",AQ101/AQ124)</f>
        <v>0</v>
      </c>
      <c r="AT101" s="103">
        <f t="shared" si="82"/>
        <v>0</v>
      </c>
      <c r="AU101" s="20" t="str">
        <f>IF(AND(AT4=0,AT101&gt;=0), "",AT101/AT4)</f>
        <v/>
      </c>
      <c r="AV101" s="37" t="str">
        <f t="shared" si="23"/>
        <v/>
      </c>
      <c r="AW101" s="103">
        <f t="shared" si="40"/>
        <v>0</v>
      </c>
      <c r="AX101" s="20">
        <f>IF(AND(AW4=0,AW101&gt;=0), "",AW101/AW4)</f>
        <v>0</v>
      </c>
      <c r="AY101" s="37">
        <f>IF(AND(AW124=0,AW101&gt;=0),"",AW101/AW124)</f>
        <v>0</v>
      </c>
      <c r="AZ101" s="103">
        <f t="shared" si="70"/>
        <v>0</v>
      </c>
      <c r="BA101" s="20" t="str">
        <f>IF(AND(AZ4=0,AZ101&gt;=0), "",AZ101/AZ4)</f>
        <v/>
      </c>
      <c r="BB101" s="37" t="str">
        <f t="shared" si="24"/>
        <v/>
      </c>
      <c r="BC101" s="101">
        <f>+'N EERR RODEO'!I184</f>
        <v>0</v>
      </c>
      <c r="BD101" s="20" t="str">
        <f>IF(AND(BC4=0,BC101&gt;=0), "",BC101/BC4)</f>
        <v/>
      </c>
      <c r="BE101" s="37" t="str">
        <f>IF(AND(BC124=0,BC101&gt;=0),"",BC101/BC124)</f>
        <v/>
      </c>
      <c r="BF101" s="20" t="str">
        <f t="shared" si="25"/>
        <v/>
      </c>
      <c r="BG101" s="102">
        <f t="shared" si="83"/>
        <v>0</v>
      </c>
      <c r="BH101" s="20">
        <f>IF(AND(BG4=0,BG101&gt;=0), "",BG101/BG4)</f>
        <v>0</v>
      </c>
      <c r="BI101" s="37">
        <f>IF(AND(BG124=0,BG101&gt;=0),"",BG101/BG124)</f>
        <v>0</v>
      </c>
      <c r="BJ101" s="101">
        <f>+'N EERR RODEO'!J184</f>
        <v>0</v>
      </c>
      <c r="BK101" s="20" t="str">
        <f>IF(AND(BJ4=0,BJ101&gt;=0), "",BJ101/BJ4)</f>
        <v/>
      </c>
      <c r="BL101" s="37" t="str">
        <f>IF(AND(BJ124=0,BJ101&gt;=0),"",BJ101/BJ124)</f>
        <v/>
      </c>
      <c r="BM101" s="20" t="str">
        <f t="shared" si="43"/>
        <v/>
      </c>
      <c r="BN101" s="102">
        <f t="shared" si="84"/>
        <v>0</v>
      </c>
      <c r="BO101" s="20">
        <f>IF(AND(BN4=0,BN101&gt;=0), "",BN101/BN4)</f>
        <v>0</v>
      </c>
      <c r="BP101" s="37">
        <f>IF(AND(BN124=0,BN101&gt;=0),"",BN101/BN124)</f>
        <v>0</v>
      </c>
      <c r="BQ101" s="101">
        <f>+'N EERR RODEO'!K184</f>
        <v>0</v>
      </c>
      <c r="BR101" s="20" t="str">
        <f>IF(AND(BQ4=0,BQ101&gt;=0), "",BQ101/BQ4)</f>
        <v/>
      </c>
      <c r="BS101" s="37" t="str">
        <f>IF(AND(BQ124=0,BQ101&gt;=0),"",BQ101/BQ124)</f>
        <v/>
      </c>
      <c r="BT101" s="20" t="str">
        <f t="shared" si="44"/>
        <v/>
      </c>
      <c r="BU101" s="102">
        <f t="shared" si="85"/>
        <v>0</v>
      </c>
      <c r="BV101" s="20">
        <f>IF(AND(BU4=0,BU101&gt;=0), "",BU101/BU4)</f>
        <v>0</v>
      </c>
      <c r="BW101" s="37">
        <f>IF(AND(BU124=0,BU101&gt;=0),"",BU101/BU124)</f>
        <v>0</v>
      </c>
      <c r="BX101" s="103">
        <f t="shared" si="86"/>
        <v>0</v>
      </c>
      <c r="BY101" s="20" t="str">
        <f>IF(AND(BX4=0,BX101&gt;=0), "",BX101/BX4)</f>
        <v/>
      </c>
      <c r="BZ101" s="37" t="str">
        <f t="shared" si="45"/>
        <v/>
      </c>
      <c r="CA101" s="101">
        <f>+'N EERR RODEO'!L184</f>
        <v>0</v>
      </c>
      <c r="CB101" s="20" t="str">
        <f>IF(AND(CA4=0,CA101&gt;=0), "",CA101/CA4)</f>
        <v/>
      </c>
      <c r="CC101" s="37" t="str">
        <f>IF(AND(CA124=0,CA101&gt;=0),"",CA101/CA124)</f>
        <v/>
      </c>
      <c r="CD101" s="20" t="str">
        <f t="shared" si="26"/>
        <v/>
      </c>
      <c r="CE101" s="102">
        <f t="shared" si="87"/>
        <v>0</v>
      </c>
      <c r="CF101" s="20">
        <f>IF(AND(CE4=0,CE101&gt;=0), "",CE101/CE4)</f>
        <v>0</v>
      </c>
      <c r="CG101" s="37">
        <f>IF(AND(CE124=0,CE101&gt;=0),"",CE101/CE124)</f>
        <v>0</v>
      </c>
      <c r="CH101" s="101">
        <f>+'N EERR RODEO'!M184</f>
        <v>0</v>
      </c>
      <c r="CI101" s="20" t="str">
        <f>IF(AND(CH4=0,CH101&gt;=0), "",CH101/CH4)</f>
        <v/>
      </c>
      <c r="CJ101" s="37" t="str">
        <f>IF(AND(CH124=0,CH101&gt;=0),"",CH101/CH124)</f>
        <v/>
      </c>
      <c r="CK101" s="20" t="str">
        <f t="shared" si="46"/>
        <v/>
      </c>
      <c r="CL101" s="102">
        <f t="shared" si="88"/>
        <v>0</v>
      </c>
      <c r="CM101" s="20">
        <f>IF(AND(CL4=0,CL101&gt;=0), "",CL101/CL4)</f>
        <v>0</v>
      </c>
      <c r="CN101" s="37">
        <f>IF(AND(CL124=0,CL101&gt;=0),"",CL101/CL124)</f>
        <v>0</v>
      </c>
      <c r="CO101" s="101">
        <f>+'N EERR RODEO'!N184</f>
        <v>0</v>
      </c>
      <c r="CP101" s="20" t="str">
        <f>IF(AND(CO4=0,CO101&gt;=0), "",CO101/CO4)</f>
        <v/>
      </c>
      <c r="CQ101" s="37" t="str">
        <f>IF(AND(CO124=0,CO101&gt;=0),"",CO101/CO124)</f>
        <v/>
      </c>
      <c r="CR101" s="20" t="str">
        <f t="shared" si="47"/>
        <v/>
      </c>
      <c r="CS101" s="102">
        <f t="shared" si="89"/>
        <v>0</v>
      </c>
      <c r="CT101" s="20">
        <f>IF(AND(CS4=0,CS101&gt;=0), "",CS101/CS4)</f>
        <v>0</v>
      </c>
      <c r="CU101" s="37">
        <f>IF(AND(CS124=0,CS101&gt;=0),"",CS101/CS124)</f>
        <v>0</v>
      </c>
      <c r="CV101" s="103">
        <f t="shared" si="90"/>
        <v>0</v>
      </c>
      <c r="CW101" s="20" t="str">
        <f>IF(AND(CV4=0,CV101&gt;=0), "",CV101/CV4)</f>
        <v/>
      </c>
      <c r="CX101" s="37" t="str">
        <f t="shared" si="48"/>
        <v/>
      </c>
    </row>
    <row r="102" spans="1:219" hidden="1" outlineLevel="1" x14ac:dyDescent="0.25">
      <c r="A102" s="19" t="s">
        <v>90</v>
      </c>
      <c r="B102" s="101">
        <f>+'N EERR RODEO'!B185</f>
        <v>0</v>
      </c>
      <c r="C102" s="20" t="str">
        <f>IF(AND(B4=0,B102&gt;=0), "",B102/B4)</f>
        <v/>
      </c>
      <c r="D102" s="37" t="str">
        <f>IF(AND(B124=0,B102&gt;=0),"",B102/B124)</f>
        <v/>
      </c>
      <c r="E102" s="101">
        <f>+'N EERR RODEO'!C185</f>
        <v>0</v>
      </c>
      <c r="F102" s="20">
        <f>IF(AND(E4=0,E102&gt;=0), "",E102/E4)</f>
        <v>0</v>
      </c>
      <c r="G102" s="37">
        <f>IF(AND(E124=0,E102&gt;=0),"",E102/E124)</f>
        <v>0</v>
      </c>
      <c r="H102" s="101">
        <f>+'N EERR RODEO'!D185</f>
        <v>0</v>
      </c>
      <c r="I102" s="20">
        <f>IF(AND(H4=0,H102&gt;=0), "",H102/H4)</f>
        <v>0</v>
      </c>
      <c r="J102" s="37">
        <f>IF(AND(H124=0,H102&gt;=0),"",H102/H124)</f>
        <v>0</v>
      </c>
      <c r="K102" s="20" t="str">
        <f t="shared" si="64"/>
        <v/>
      </c>
      <c r="L102" s="102">
        <f t="shared" si="79"/>
        <v>0</v>
      </c>
      <c r="M102" s="20">
        <f>IF(AND(L4=0,L102&gt;=0), "",L102/L4)</f>
        <v>0</v>
      </c>
      <c r="N102" s="37">
        <f>IF(AND(L124=0,L102&gt;=0),"",L102/L124)</f>
        <v>0</v>
      </c>
      <c r="O102" s="101">
        <f>+'N EERR RODEO'!E185</f>
        <v>0</v>
      </c>
      <c r="P102" s="20">
        <f>IF(AND(O4=0,O102&gt;=0), "",O102/O4)</f>
        <v>0</v>
      </c>
      <c r="Q102" s="37">
        <f>IF(AND(O124=0,O102&gt;=0),"",O102/O124)</f>
        <v>0</v>
      </c>
      <c r="R102" s="20" t="str">
        <f t="shared" si="66"/>
        <v/>
      </c>
      <c r="S102" s="102">
        <f t="shared" si="80"/>
        <v>0</v>
      </c>
      <c r="T102" s="20">
        <f>IF(AND(S4=0,S102&gt;=0), "",S102/S4)</f>
        <v>0</v>
      </c>
      <c r="U102" s="37">
        <f>IF(AND(S124=0,S102&gt;=0),"",S102/S124)</f>
        <v>0</v>
      </c>
      <c r="V102" s="103"/>
      <c r="W102" s="20" t="str">
        <f>IF(AND(V4=0,V102&gt;=0), "",V102/V4)</f>
        <v/>
      </c>
      <c r="X102" s="37" t="str">
        <f t="shared" ref="X102:X114" si="91">IF(AND(V102=0,S102&gt;0),100%,IF(AND(V102&lt;0,S102=0),(V102-S102)/V102,IF(AND(V102&gt;0,S102&gt;0),(S102-V102)/V102,IF(AND(V102=0,S102=0),"",(S102-V102)/V102))))</f>
        <v/>
      </c>
      <c r="Y102" s="101">
        <f>+'N EERR RODEO'!F185</f>
        <v>0</v>
      </c>
      <c r="Z102" s="20" t="str">
        <f>IF(AND(Y4=0,Y102&gt;=0), "",Y102/Y4)</f>
        <v/>
      </c>
      <c r="AA102" s="37" t="str">
        <f>IF(AND(Y124=0,Y102&gt;=0),"",Y102/Y124)</f>
        <v/>
      </c>
      <c r="AB102" s="20" t="str">
        <f t="shared" ref="AB102:AB114" si="92">IF(AND(O102=0,Y102&gt;0),100%,IF(AND(O102&lt;0,Y102=0),(O102-Y102)/O102,IF(AND(O102&gt;0,Y102&gt;0),(Y102-O102)/O102,IF(AND(O102=0,Y102=0),"",(Y102-O102)/O102))))</f>
        <v/>
      </c>
      <c r="AC102" s="102">
        <f t="shared" si="81"/>
        <v>0</v>
      </c>
      <c r="AD102" s="20">
        <f>IF(AND(AC4=0,AC102&gt;=0), "",AC102/AC4)</f>
        <v>0</v>
      </c>
      <c r="AE102" s="37">
        <f>IF(AND(AC124=0,AC102&gt;=0),"",AC102/AC124)</f>
        <v>0</v>
      </c>
      <c r="AF102" s="101">
        <f>+'N EERR RODEO'!G185</f>
        <v>0</v>
      </c>
      <c r="AG102" s="20" t="str">
        <f>IF(AND(AF4=0,AF102&gt;=0), "",AF102/AF4)</f>
        <v/>
      </c>
      <c r="AH102" s="37" t="str">
        <f>IF(AND(AF124=0,AF102&gt;=0),"",AF102/AF124)</f>
        <v/>
      </c>
      <c r="AI102" s="20" t="str">
        <f t="shared" si="41"/>
        <v/>
      </c>
      <c r="AJ102" s="102">
        <f t="shared" si="62"/>
        <v>0</v>
      </c>
      <c r="AK102" s="20">
        <f>IF(AND(AJ4=0,AJ102&gt;=0), "",AJ102/AJ4)</f>
        <v>0</v>
      </c>
      <c r="AL102" s="37">
        <f>IF(AND(AJ124=0,AJ102&gt;=0),"",AJ102/AJ124)</f>
        <v>0</v>
      </c>
      <c r="AM102" s="101">
        <f>+'N EERR RODEO'!H185</f>
        <v>0</v>
      </c>
      <c r="AN102" s="20" t="str">
        <f>IF(AND(AM4=0,AM102&gt;=0), "",AM102/AM4)</f>
        <v/>
      </c>
      <c r="AO102" s="37" t="str">
        <f>IF(AND(AM124=0,AM102&gt;=0),"",AM102/AM124)</f>
        <v/>
      </c>
      <c r="AP102" s="20" t="str">
        <f t="shared" si="42"/>
        <v/>
      </c>
      <c r="AQ102" s="102">
        <f t="shared" si="63"/>
        <v>0</v>
      </c>
      <c r="AR102" s="20">
        <f>IF(AND(AQ4=0,AQ102&gt;=0), "",AQ102/AQ4)</f>
        <v>0</v>
      </c>
      <c r="AS102" s="37">
        <f>IF(AND(AQ124=0,AQ102&gt;=0),"",AQ102/AQ124)</f>
        <v>0</v>
      </c>
      <c r="AT102" s="103">
        <f t="shared" si="82"/>
        <v>0</v>
      </c>
      <c r="AU102" s="20" t="str">
        <f>IF(AND(AT4=0,AT102&gt;=0), "",AT102/AT4)</f>
        <v/>
      </c>
      <c r="AV102" s="37" t="str">
        <f t="shared" ref="AV102:AV114" si="93">IF(AND(AT102=0,AQ102&gt;0),100%,IF(AND(AT102&lt;0,AQ102=0),(AT102-AQ102)/AT102,IF(AND(AT102&gt;0,AQ102&gt;0),(AQ102-AT102)/AT102,IF(AND(AT102=0,AQ102=0),"",(AQ102-AT102)/AT102))))</f>
        <v/>
      </c>
      <c r="AW102" s="103">
        <f t="shared" si="40"/>
        <v>0</v>
      </c>
      <c r="AX102" s="20">
        <f>IF(AND(AW4=0,AW102&gt;=0), "",AW102/AW4)</f>
        <v>0</v>
      </c>
      <c r="AY102" s="37">
        <f>IF(AND(AW124=0,AW102&gt;=0),"",AW102/AW124)</f>
        <v>0</v>
      </c>
      <c r="AZ102" s="103">
        <f t="shared" si="70"/>
        <v>0</v>
      </c>
      <c r="BA102" s="20" t="str">
        <f>IF(AND(AZ4=0,AZ102&gt;=0), "",AZ102/AZ4)</f>
        <v/>
      </c>
      <c r="BB102" s="37" t="str">
        <f t="shared" ref="BB102:BB114" si="94">IF(AND(AZ102=0,AW102&gt;0),100%,IF(AND(AZ102&lt;0,AW102=0),(AZ102-AW102)/AZ102,IF(AND(AZ102&gt;0,AW102&gt;0),(AW102-AZ102)/AZ102,IF(AND(AZ102=0,AW102=0),"",(AW102-AZ102)/AZ102))))</f>
        <v/>
      </c>
      <c r="BC102" s="101">
        <f>+'N EERR RODEO'!I185</f>
        <v>0</v>
      </c>
      <c r="BD102" s="20" t="str">
        <f>IF(AND(BC4=0,BC102&gt;=0), "",BC102/BC4)</f>
        <v/>
      </c>
      <c r="BE102" s="37" t="str">
        <f>IF(AND(BC124=0,BC102&gt;=0),"",BC102/BC124)</f>
        <v/>
      </c>
      <c r="BF102" s="20" t="str">
        <f t="shared" ref="BF102:BF114" si="95">IF(AND(AM102=0,BC102&gt;0),100%,IF(AND(AM102&lt;0,BC102=0),(AM102-BC102)/AM102,IF(AND(AM102&gt;0,BC102&gt;0),(BC102-AM102)/AM102,IF(AND(AM102=0,BC102=0),"",(BC102-AM102)/AM102))))</f>
        <v/>
      </c>
      <c r="BG102" s="102">
        <f t="shared" si="83"/>
        <v>0</v>
      </c>
      <c r="BH102" s="20">
        <f>IF(AND(BG4=0,BG102&gt;=0), "",BG102/BG4)</f>
        <v>0</v>
      </c>
      <c r="BI102" s="37">
        <f>IF(AND(BG124=0,BG102&gt;=0),"",BG102/BG124)</f>
        <v>0</v>
      </c>
      <c r="BJ102" s="101">
        <f>+'N EERR RODEO'!J185</f>
        <v>0</v>
      </c>
      <c r="BK102" s="20" t="str">
        <f>IF(AND(BJ4=0,BJ102&gt;=0), "",BJ102/BJ4)</f>
        <v/>
      </c>
      <c r="BL102" s="37" t="str">
        <f>IF(AND(BJ124=0,BJ102&gt;=0),"",BJ102/BJ124)</f>
        <v/>
      </c>
      <c r="BM102" s="20" t="str">
        <f t="shared" si="43"/>
        <v/>
      </c>
      <c r="BN102" s="102">
        <f t="shared" si="84"/>
        <v>0</v>
      </c>
      <c r="BO102" s="20">
        <f>IF(AND(BN4=0,BN102&gt;=0), "",BN102/BN4)</f>
        <v>0</v>
      </c>
      <c r="BP102" s="37">
        <f>IF(AND(BN124=0,BN102&gt;=0),"",BN102/BN124)</f>
        <v>0</v>
      </c>
      <c r="BQ102" s="101">
        <f>+'N EERR RODEO'!K185</f>
        <v>0</v>
      </c>
      <c r="BR102" s="20" t="str">
        <f>IF(AND(BQ4=0,BQ102&gt;=0), "",BQ102/BQ4)</f>
        <v/>
      </c>
      <c r="BS102" s="37" t="str">
        <f>IF(AND(BQ124=0,BQ102&gt;=0),"",BQ102/BQ124)</f>
        <v/>
      </c>
      <c r="BT102" s="20" t="str">
        <f t="shared" si="44"/>
        <v/>
      </c>
      <c r="BU102" s="102">
        <f t="shared" si="85"/>
        <v>0</v>
      </c>
      <c r="BV102" s="20">
        <f>IF(AND(BU4=0,BU102&gt;=0), "",BU102/BU4)</f>
        <v>0</v>
      </c>
      <c r="BW102" s="37">
        <f>IF(AND(BU124=0,BU102&gt;=0),"",BU102/BU124)</f>
        <v>0</v>
      </c>
      <c r="BX102" s="103">
        <f t="shared" si="86"/>
        <v>0</v>
      </c>
      <c r="BY102" s="20" t="str">
        <f>IF(AND(BX4=0,BX102&gt;=0), "",BX102/BX4)</f>
        <v/>
      </c>
      <c r="BZ102" s="37" t="str">
        <f t="shared" si="45"/>
        <v/>
      </c>
      <c r="CA102" s="101">
        <f>+'N EERR RODEO'!L185</f>
        <v>0</v>
      </c>
      <c r="CB102" s="20" t="str">
        <f>IF(AND(CA4=0,CA102&gt;=0), "",CA102/CA4)</f>
        <v/>
      </c>
      <c r="CC102" s="37" t="str">
        <f>IF(AND(CA124=0,CA102&gt;=0),"",CA102/CA124)</f>
        <v/>
      </c>
      <c r="CD102" s="20" t="str">
        <f t="shared" ref="CD102:CD114" si="96">IF(AND(BQ102=0,CA102&gt;0),100%,IF(AND(BQ102&lt;0,CA102=0),(BQ102-CA102)/BQ102,IF(AND(BQ102&gt;0,CA102&gt;0),(CA102-BQ102)/BQ102,IF(AND(BQ102=0,CA102=0),"",(CA102-BQ102)/BQ102))))</f>
        <v/>
      </c>
      <c r="CE102" s="102">
        <f t="shared" si="87"/>
        <v>0</v>
      </c>
      <c r="CF102" s="20">
        <f>IF(AND(CE4=0,CE102&gt;=0), "",CE102/CE4)</f>
        <v>0</v>
      </c>
      <c r="CG102" s="37">
        <f>IF(AND(CE124=0,CE102&gt;=0),"",CE102/CE124)</f>
        <v>0</v>
      </c>
      <c r="CH102" s="101">
        <f>+'N EERR RODEO'!M185</f>
        <v>0</v>
      </c>
      <c r="CI102" s="20" t="str">
        <f>IF(AND(CH4=0,CH102&gt;=0), "",CH102/CH4)</f>
        <v/>
      </c>
      <c r="CJ102" s="37" t="str">
        <f>IF(AND(CH124=0,CH102&gt;=0),"",CH102/CH124)</f>
        <v/>
      </c>
      <c r="CK102" s="20" t="str">
        <f t="shared" si="46"/>
        <v/>
      </c>
      <c r="CL102" s="102">
        <f t="shared" si="88"/>
        <v>0</v>
      </c>
      <c r="CM102" s="20">
        <f>IF(AND(CL4=0,CL102&gt;=0), "",CL102/CL4)</f>
        <v>0</v>
      </c>
      <c r="CN102" s="37">
        <f>IF(AND(CL124=0,CL102&gt;=0),"",CL102/CL124)</f>
        <v>0</v>
      </c>
      <c r="CO102" s="101">
        <f>+'N EERR RODEO'!N185</f>
        <v>0</v>
      </c>
      <c r="CP102" s="20" t="str">
        <f>IF(AND(CO4=0,CO102&gt;=0), "",CO102/CO4)</f>
        <v/>
      </c>
      <c r="CQ102" s="37" t="str">
        <f>IF(AND(CO124=0,CO102&gt;=0),"",CO102/CO124)</f>
        <v/>
      </c>
      <c r="CR102" s="20" t="str">
        <f t="shared" si="47"/>
        <v/>
      </c>
      <c r="CS102" s="102">
        <f t="shared" si="89"/>
        <v>0</v>
      </c>
      <c r="CT102" s="20">
        <f>IF(AND(CS4=0,CS102&gt;=0), "",CS102/CS4)</f>
        <v>0</v>
      </c>
      <c r="CU102" s="37">
        <f>IF(AND(CS124=0,CS102&gt;=0),"",CS102/CS124)</f>
        <v>0</v>
      </c>
      <c r="CV102" s="103">
        <f t="shared" si="90"/>
        <v>0</v>
      </c>
      <c r="CW102" s="20" t="str">
        <f>IF(AND(CV4=0,CV102&gt;=0), "",CV102/CV4)</f>
        <v/>
      </c>
      <c r="CX102" s="37" t="str">
        <f t="shared" si="48"/>
        <v/>
      </c>
    </row>
    <row r="103" spans="1:219" hidden="1" outlineLevel="1" x14ac:dyDescent="0.25">
      <c r="A103" s="19"/>
      <c r="B103" s="101"/>
      <c r="C103" s="13"/>
      <c r="D103" s="36"/>
      <c r="E103" s="101"/>
      <c r="F103" s="13"/>
      <c r="G103" s="36"/>
      <c r="H103" s="101"/>
      <c r="I103" s="13"/>
      <c r="J103" s="36"/>
      <c r="K103" s="22" t="str">
        <f t="shared" si="64"/>
        <v/>
      </c>
      <c r="M103" s="13"/>
      <c r="N103" s="36"/>
      <c r="O103" s="101"/>
      <c r="P103" s="13"/>
      <c r="Q103" s="36"/>
      <c r="R103" s="22" t="str">
        <f t="shared" si="66"/>
        <v/>
      </c>
      <c r="T103" s="13"/>
      <c r="U103" s="36"/>
      <c r="V103" s="103"/>
      <c r="W103" s="13"/>
      <c r="X103" s="79" t="str">
        <f t="shared" si="91"/>
        <v/>
      </c>
      <c r="Y103" s="101"/>
      <c r="Z103" s="13"/>
      <c r="AA103" s="36"/>
      <c r="AB103" s="22" t="str">
        <f t="shared" si="92"/>
        <v/>
      </c>
      <c r="AC103" s="102">
        <f t="shared" si="81"/>
        <v>0</v>
      </c>
      <c r="AD103" s="13"/>
      <c r="AE103" s="36"/>
      <c r="AF103" s="101"/>
      <c r="AG103" s="13"/>
      <c r="AH103" s="36"/>
      <c r="AI103" s="22" t="str">
        <f t="shared" si="41"/>
        <v/>
      </c>
      <c r="AJ103" s="102">
        <f t="shared" si="62"/>
        <v>0</v>
      </c>
      <c r="AK103" s="13"/>
      <c r="AL103" s="36"/>
      <c r="AM103" s="101"/>
      <c r="AN103" s="13"/>
      <c r="AO103" s="36"/>
      <c r="AP103" s="22" t="str">
        <f t="shared" si="42"/>
        <v/>
      </c>
      <c r="AQ103" s="102">
        <f t="shared" si="63"/>
        <v>0</v>
      </c>
      <c r="AR103" s="13"/>
      <c r="AS103" s="36"/>
      <c r="AT103" s="103"/>
      <c r="AU103" s="13"/>
      <c r="AV103" s="79" t="str">
        <f t="shared" si="93"/>
        <v/>
      </c>
      <c r="AW103" s="103"/>
      <c r="AX103" s="13"/>
      <c r="AY103" s="36"/>
      <c r="AZ103" s="103"/>
      <c r="BA103" s="13"/>
      <c r="BB103" s="79" t="str">
        <f t="shared" si="94"/>
        <v/>
      </c>
      <c r="BC103" s="101"/>
      <c r="BD103" s="13"/>
      <c r="BE103" s="36"/>
      <c r="BF103" s="22" t="str">
        <f t="shared" si="95"/>
        <v/>
      </c>
      <c r="BG103" s="102">
        <f t="shared" si="83"/>
        <v>0</v>
      </c>
      <c r="BH103" s="13"/>
      <c r="BI103" s="36"/>
      <c r="BJ103" s="101"/>
      <c r="BK103" s="13"/>
      <c r="BL103" s="36"/>
      <c r="BM103" s="22" t="str">
        <f t="shared" si="43"/>
        <v/>
      </c>
      <c r="BN103" s="102">
        <f t="shared" si="84"/>
        <v>0</v>
      </c>
      <c r="BO103" s="13"/>
      <c r="BP103" s="36"/>
      <c r="BQ103" s="101"/>
      <c r="BR103" s="13"/>
      <c r="BS103" s="36"/>
      <c r="BT103" s="22" t="str">
        <f t="shared" si="44"/>
        <v/>
      </c>
      <c r="BU103" s="102">
        <f t="shared" si="85"/>
        <v>0</v>
      </c>
      <c r="BV103" s="13"/>
      <c r="BW103" s="36"/>
      <c r="BX103" s="103"/>
      <c r="BY103" s="13"/>
      <c r="BZ103" s="79" t="str">
        <f t="shared" si="45"/>
        <v/>
      </c>
      <c r="CA103" s="101"/>
      <c r="CB103" s="13"/>
      <c r="CC103" s="36"/>
      <c r="CD103" s="22" t="str">
        <f t="shared" si="96"/>
        <v/>
      </c>
      <c r="CE103" s="102">
        <f t="shared" si="87"/>
        <v>0</v>
      </c>
      <c r="CF103" s="13"/>
      <c r="CG103" s="36"/>
      <c r="CH103" s="101"/>
      <c r="CI103" s="13"/>
      <c r="CJ103" s="36"/>
      <c r="CK103" s="22" t="str">
        <f t="shared" si="46"/>
        <v/>
      </c>
      <c r="CL103" s="102">
        <f t="shared" si="88"/>
        <v>0</v>
      </c>
      <c r="CM103" s="13"/>
      <c r="CN103" s="36"/>
      <c r="CO103" s="101"/>
      <c r="CP103" s="13"/>
      <c r="CQ103" s="36"/>
      <c r="CR103" s="22" t="str">
        <f t="shared" si="47"/>
        <v/>
      </c>
      <c r="CS103" s="102">
        <f t="shared" si="89"/>
        <v>0</v>
      </c>
      <c r="CT103" s="13"/>
      <c r="CU103" s="36"/>
      <c r="CV103" s="103"/>
      <c r="CW103" s="13"/>
      <c r="CX103" s="79" t="str">
        <f t="shared" si="48"/>
        <v/>
      </c>
    </row>
    <row r="104" spans="1:219" s="5" customFormat="1" collapsed="1" x14ac:dyDescent="0.25">
      <c r="A104" s="27" t="s">
        <v>35</v>
      </c>
      <c r="B104" s="98">
        <f>SUM(B105:B107)</f>
        <v>0</v>
      </c>
      <c r="C104" s="28" t="str">
        <f>IF(AND(B4=0,B104&gt;=0), "",B104/B4)</f>
        <v/>
      </c>
      <c r="D104" s="33" t="str">
        <f>IF(AND(B124=0,B104&gt;=0),"",B104/B124)</f>
        <v/>
      </c>
      <c r="E104" s="98">
        <f>SUM(E105:E107)</f>
        <v>0</v>
      </c>
      <c r="F104" s="28">
        <f>IF(AND(E4=0,E104&gt;=0), "",E104/E4)</f>
        <v>0</v>
      </c>
      <c r="G104" s="33">
        <f>IF(AND(E124=0,E104&gt;=0),"",E104/E124)</f>
        <v>0</v>
      </c>
      <c r="H104" s="98">
        <f>SUM(H105:H107)</f>
        <v>0</v>
      </c>
      <c r="I104" s="28">
        <f>IF(AND(H4=0,H104&gt;=0), "",H104/H4)</f>
        <v>0</v>
      </c>
      <c r="J104" s="33">
        <f>IF(AND(H124=0,H104&gt;=0),"",H104/H124)</f>
        <v>0</v>
      </c>
      <c r="K104" s="28" t="str">
        <f t="shared" si="64"/>
        <v/>
      </c>
      <c r="L104" s="99">
        <f>SUM(L105:L107)</f>
        <v>0</v>
      </c>
      <c r="M104" s="28">
        <f>IF(AND(L4=0,L104&gt;=0), "",L104/L4)</f>
        <v>0</v>
      </c>
      <c r="N104" s="33">
        <f>IF(AND(L124=0,L104&gt;=0),"",L104/L124)</f>
        <v>0</v>
      </c>
      <c r="O104" s="98">
        <f>SUM(O105:O107)</f>
        <v>0</v>
      </c>
      <c r="P104" s="28">
        <f>IF(AND(O4=0,O104&gt;=0), "",O104/O4)</f>
        <v>0</v>
      </c>
      <c r="Q104" s="33">
        <f>IF(AND(O124=0,O104&gt;=0),"",O104/O124)</f>
        <v>0</v>
      </c>
      <c r="R104" s="28" t="str">
        <f t="shared" si="66"/>
        <v/>
      </c>
      <c r="S104" s="99">
        <f>SUM(S105:S107)</f>
        <v>0</v>
      </c>
      <c r="T104" s="28">
        <f>IF(AND(S4=0,S104&gt;=0), "",S104/S4)</f>
        <v>0</v>
      </c>
      <c r="U104" s="33">
        <f>IF(AND(S124=0,S104&gt;=0),"",S104/S124)</f>
        <v>0</v>
      </c>
      <c r="V104" s="100">
        <f>SUM(V105:V107)</f>
        <v>0</v>
      </c>
      <c r="W104" s="28" t="str">
        <f>IF(AND(V4=0,V104&gt;=0), "",V104/V4)</f>
        <v/>
      </c>
      <c r="X104" s="78" t="str">
        <f t="shared" si="91"/>
        <v/>
      </c>
      <c r="Y104" s="98">
        <f>SUM(Y105:Y107)</f>
        <v>0</v>
      </c>
      <c r="Z104" s="28" t="str">
        <f>IF(AND(Y4=0,Y104&gt;=0), "",Y104/Y4)</f>
        <v/>
      </c>
      <c r="AA104" s="33" t="str">
        <f>IF(AND(Y124=0,Y104&gt;=0),"",Y104/Y124)</f>
        <v/>
      </c>
      <c r="AB104" s="28" t="str">
        <f t="shared" si="92"/>
        <v/>
      </c>
      <c r="AC104" s="99">
        <f>SUM(AC105:AC107)</f>
        <v>0</v>
      </c>
      <c r="AD104" s="28">
        <f>IF(AND(AC4=0,AC104&gt;=0), "",AC104/AC4)</f>
        <v>0</v>
      </c>
      <c r="AE104" s="33">
        <f>IF(AND(AC124=0,AC104&gt;=0),"",AC104/AC124)</f>
        <v>0</v>
      </c>
      <c r="AF104" s="98">
        <f>SUM(AF105:AF107)</f>
        <v>0</v>
      </c>
      <c r="AG104" s="28" t="str">
        <f>IF(AND(AF4=0,AF104&gt;=0), "",AF104/AF4)</f>
        <v/>
      </c>
      <c r="AH104" s="33" t="str">
        <f>IF(AND(AF124=0,AF104&gt;=0),"",AF104/AF124)</f>
        <v/>
      </c>
      <c r="AI104" s="28" t="str">
        <f t="shared" si="41"/>
        <v/>
      </c>
      <c r="AJ104" s="99">
        <f>SUM(AJ105:AJ107)</f>
        <v>0</v>
      </c>
      <c r="AK104" s="28">
        <f>IF(AND(AJ4=0,AJ104&gt;=0), "",AJ104/AJ4)</f>
        <v>0</v>
      </c>
      <c r="AL104" s="33">
        <f>IF(AND(AJ124=0,AJ104&gt;=0),"",AJ104/AJ124)</f>
        <v>0</v>
      </c>
      <c r="AM104" s="98">
        <f>SUM(AM105:AM107)</f>
        <v>0</v>
      </c>
      <c r="AN104" s="28" t="str">
        <f>IF(AND(AM4=0,AM104&gt;=0), "",AM104/AM4)</f>
        <v/>
      </c>
      <c r="AO104" s="33" t="str">
        <f>IF(AND(AM124=0,AM104&gt;=0),"",AM104/AM124)</f>
        <v/>
      </c>
      <c r="AP104" s="28" t="str">
        <f t="shared" si="42"/>
        <v/>
      </c>
      <c r="AQ104" s="99">
        <f>SUM(AQ105:AQ107)</f>
        <v>0</v>
      </c>
      <c r="AR104" s="28">
        <f>IF(AND(AQ4=0,AQ104&gt;=0), "",AQ104/AQ4)</f>
        <v>0</v>
      </c>
      <c r="AS104" s="33">
        <f>IF(AND(AQ124=0,AQ104&gt;=0),"",AQ104/AQ124)</f>
        <v>0</v>
      </c>
      <c r="AT104" s="100">
        <f>SUM(AT105:AT107)</f>
        <v>0</v>
      </c>
      <c r="AU104" s="28" t="str">
        <f>IF(AND(AT4=0,AT104&gt;=0), "",AT104/AT4)</f>
        <v/>
      </c>
      <c r="AV104" s="78" t="str">
        <f t="shared" si="93"/>
        <v/>
      </c>
      <c r="AW104" s="100">
        <f>SUM(AW105:AW107)</f>
        <v>0</v>
      </c>
      <c r="AX104" s="28">
        <f>IF(AND(AW4=0,AW104&gt;=0), "",AW104/AW4)</f>
        <v>0</v>
      </c>
      <c r="AY104" s="33">
        <f>IF(AND(AW124=0,AW104&gt;=0),"",AW104/AW124)</f>
        <v>0</v>
      </c>
      <c r="AZ104" s="100">
        <f>SUM(AZ105:AZ107)</f>
        <v>0</v>
      </c>
      <c r="BA104" s="28" t="str">
        <f>IF(AND(AZ4=0,AZ104&gt;=0), "",AZ104/AZ4)</f>
        <v/>
      </c>
      <c r="BB104" s="78" t="str">
        <f t="shared" si="94"/>
        <v/>
      </c>
      <c r="BC104" s="98">
        <f>SUM(BC105:BC107)</f>
        <v>0</v>
      </c>
      <c r="BD104" s="28" t="str">
        <f>IF(AND(BC4=0,BC104&gt;=0), "",BC104/BC4)</f>
        <v/>
      </c>
      <c r="BE104" s="33" t="str">
        <f>IF(AND(BC124=0,BC104&gt;=0),"",BC104/BC124)</f>
        <v/>
      </c>
      <c r="BF104" s="28" t="str">
        <f t="shared" si="95"/>
        <v/>
      </c>
      <c r="BG104" s="99">
        <f>SUM(BG105:BG107)</f>
        <v>0</v>
      </c>
      <c r="BH104" s="28">
        <f>IF(AND(BG4=0,BG104&gt;=0), "",BG104/BG4)</f>
        <v>0</v>
      </c>
      <c r="BI104" s="33">
        <f>IF(AND(BG124=0,BG104&gt;=0),"",BG104/BG124)</f>
        <v>0</v>
      </c>
      <c r="BJ104" s="98">
        <f>SUM(BJ105:BJ107)</f>
        <v>0</v>
      </c>
      <c r="BK104" s="28" t="str">
        <f>IF(AND(BJ4=0,BJ104&gt;=0), "",BJ104/BJ4)</f>
        <v/>
      </c>
      <c r="BL104" s="33" t="str">
        <f>IF(AND(BJ124=0,BJ104&gt;=0),"",BJ104/BJ124)</f>
        <v/>
      </c>
      <c r="BM104" s="28" t="str">
        <f t="shared" si="43"/>
        <v/>
      </c>
      <c r="BN104" s="99">
        <f>SUM(BN105:BN107)</f>
        <v>0</v>
      </c>
      <c r="BO104" s="28">
        <f>IF(AND(BN4=0,BN104&gt;=0), "",BN104/BN4)</f>
        <v>0</v>
      </c>
      <c r="BP104" s="33">
        <f>IF(AND(BN124=0,BN104&gt;=0),"",BN104/BN124)</f>
        <v>0</v>
      </c>
      <c r="BQ104" s="98">
        <f>SUM(BQ105:BQ107)</f>
        <v>0</v>
      </c>
      <c r="BR104" s="28" t="str">
        <f>IF(AND(BQ4=0,BQ104&gt;=0), "",BQ104/BQ4)</f>
        <v/>
      </c>
      <c r="BS104" s="33" t="str">
        <f>IF(AND(BQ124=0,BQ104&gt;=0),"",BQ104/BQ124)</f>
        <v/>
      </c>
      <c r="BT104" s="28" t="str">
        <f t="shared" si="44"/>
        <v/>
      </c>
      <c r="BU104" s="99">
        <f>SUM(BU105:BU107)</f>
        <v>0</v>
      </c>
      <c r="BV104" s="28">
        <f>IF(AND(BU4=0,BU104&gt;=0), "",BU104/BU4)</f>
        <v>0</v>
      </c>
      <c r="BW104" s="33">
        <f>IF(AND(BU124=0,BU104&gt;=0),"",BU104/BU124)</f>
        <v>0</v>
      </c>
      <c r="BX104" s="100">
        <f>SUM(BX105:BX107)</f>
        <v>0</v>
      </c>
      <c r="BY104" s="28" t="str">
        <f>IF(AND(BX4=0,BX104&gt;=0), "",BX104/BX4)</f>
        <v/>
      </c>
      <c r="BZ104" s="78" t="str">
        <f t="shared" si="45"/>
        <v/>
      </c>
      <c r="CA104" s="98">
        <f>SUM(CA105:CA107)</f>
        <v>0</v>
      </c>
      <c r="CB104" s="28" t="str">
        <f>IF(AND(CA4=0,CA104&gt;=0), "",CA104/CA4)</f>
        <v/>
      </c>
      <c r="CC104" s="33" t="str">
        <f>IF(AND(CA124=0,CA104&gt;=0),"",CA104/CA124)</f>
        <v/>
      </c>
      <c r="CD104" s="28" t="str">
        <f t="shared" si="96"/>
        <v/>
      </c>
      <c r="CE104" s="99">
        <f>SUM(CE105:CE107)</f>
        <v>0</v>
      </c>
      <c r="CF104" s="28">
        <f>IF(AND(CE4=0,CE104&gt;=0), "",CE104/CE4)</f>
        <v>0</v>
      </c>
      <c r="CG104" s="33">
        <f>IF(AND(CE124=0,CE104&gt;=0),"",CE104/CE124)</f>
        <v>0</v>
      </c>
      <c r="CH104" s="98">
        <f>SUM(CH105:CH107)</f>
        <v>0</v>
      </c>
      <c r="CI104" s="28" t="str">
        <f>IF(AND(CH4=0,CH104&gt;=0), "",CH104/CH4)</f>
        <v/>
      </c>
      <c r="CJ104" s="33" t="str">
        <f>IF(AND(CH124=0,CH104&gt;=0),"",CH104/CH124)</f>
        <v/>
      </c>
      <c r="CK104" s="28" t="str">
        <f t="shared" si="46"/>
        <v/>
      </c>
      <c r="CL104" s="99">
        <f>SUM(CL105:CL107)</f>
        <v>0</v>
      </c>
      <c r="CM104" s="28">
        <f>IF(AND(CL4=0,CL104&gt;=0), "",CL104/CL4)</f>
        <v>0</v>
      </c>
      <c r="CN104" s="33">
        <f>IF(AND(CL124=0,CL104&gt;=0),"",CL104/CL124)</f>
        <v>0</v>
      </c>
      <c r="CO104" s="98">
        <f>SUM(CO105:CO107)</f>
        <v>0</v>
      </c>
      <c r="CP104" s="28" t="str">
        <f>IF(AND(CO4=0,CO104&gt;=0), "",CO104/CO4)</f>
        <v/>
      </c>
      <c r="CQ104" s="33" t="str">
        <f>IF(AND(CO124=0,CO104&gt;=0),"",CO104/CO124)</f>
        <v/>
      </c>
      <c r="CR104" s="28" t="str">
        <f t="shared" si="47"/>
        <v/>
      </c>
      <c r="CS104" s="99">
        <f>SUM(CS105:CS107)</f>
        <v>0</v>
      </c>
      <c r="CT104" s="28">
        <f>IF(AND(CS4=0,CS104&gt;=0), "",CS104/CS4)</f>
        <v>0</v>
      </c>
      <c r="CU104" s="33">
        <f>IF(AND(CS124=0,CS104&gt;=0),"",CS104/CS124)</f>
        <v>0</v>
      </c>
      <c r="CV104" s="100">
        <f>SUM(CV105:CV107)</f>
        <v>0</v>
      </c>
      <c r="CW104" s="28" t="str">
        <f>IF(AND(CV4=0,CV104&gt;=0), "",CV104/CV4)</f>
        <v/>
      </c>
      <c r="CX104" s="78" t="str">
        <f t="shared" si="48"/>
        <v/>
      </c>
    </row>
    <row r="105" spans="1:219" hidden="1" outlineLevel="1" x14ac:dyDescent="0.25">
      <c r="A105" s="19" t="s">
        <v>91</v>
      </c>
      <c r="B105" s="101">
        <f>+'N EERR RODEO'!B189+'N EERR RODEO'!B190</f>
        <v>0</v>
      </c>
      <c r="C105" s="20" t="str">
        <f>IF(AND(B4=0,B105&gt;=0), "",B105/B4)</f>
        <v/>
      </c>
      <c r="D105" s="37" t="str">
        <f>IF(AND(B124=0,B105&gt;=0),"",B105/B124)</f>
        <v/>
      </c>
      <c r="E105" s="101">
        <f>+'N EERR RODEO'!C189+'N EERR RODEO'!C190</f>
        <v>0</v>
      </c>
      <c r="F105" s="20">
        <f>IF(AND(E4=0,E105&gt;=0), "",E105/E4)</f>
        <v>0</v>
      </c>
      <c r="G105" s="37">
        <f>IF(AND(E124=0,E105&gt;=0),"",E105/E124)</f>
        <v>0</v>
      </c>
      <c r="H105" s="101">
        <f>+'N EERR RODEO'!D189+'N EERR RODEO'!D190</f>
        <v>0</v>
      </c>
      <c r="I105" s="20">
        <f>IF(AND(H4=0,H105&gt;=0), "",H105/H4)</f>
        <v>0</v>
      </c>
      <c r="J105" s="37">
        <f>IF(AND(H124=0,H105&gt;=0),"",H105/H124)</f>
        <v>0</v>
      </c>
      <c r="K105" s="20" t="str">
        <f t="shared" si="64"/>
        <v/>
      </c>
      <c r="L105" s="102">
        <f>+E105+H105</f>
        <v>0</v>
      </c>
      <c r="M105" s="20">
        <f>IF(AND(L4=0,L105&gt;=0), "",L105/L4)</f>
        <v>0</v>
      </c>
      <c r="N105" s="37">
        <f>IF(AND(L124=0,L105&gt;=0),"",L105/L124)</f>
        <v>0</v>
      </c>
      <c r="O105" s="101">
        <f>+'N EERR RODEO'!E189+'N EERR RODEO'!E190</f>
        <v>0</v>
      </c>
      <c r="P105" s="20">
        <f>IF(AND(O4=0,O105&gt;=0), "",O105/O4)</f>
        <v>0</v>
      </c>
      <c r="Q105" s="37">
        <f>IF(AND(O124=0,O105&gt;=0),"",O105/O124)</f>
        <v>0</v>
      </c>
      <c r="R105" s="20" t="str">
        <f t="shared" si="66"/>
        <v/>
      </c>
      <c r="S105" s="102">
        <f>+L105+O105</f>
        <v>0</v>
      </c>
      <c r="T105" s="20">
        <f>IF(AND(S4=0,S105&gt;=0), "",S105/S4)</f>
        <v>0</v>
      </c>
      <c r="U105" s="37">
        <f>IF(AND(S124=0,S105&gt;=0),"",S105/S124)</f>
        <v>0</v>
      </c>
      <c r="V105" s="103"/>
      <c r="W105" s="20" t="str">
        <f>IF(AND(V4=0,V105&gt;=0), "",V105/V4)</f>
        <v/>
      </c>
      <c r="X105" s="37" t="str">
        <f t="shared" si="91"/>
        <v/>
      </c>
      <c r="Y105" s="101">
        <f>+'N EERR RODEO'!F189+'N EERR RODEO'!F190</f>
        <v>0</v>
      </c>
      <c r="Z105" s="20" t="str">
        <f>IF(AND(Y4=0,Y105&gt;=0), "",Y105/Y4)</f>
        <v/>
      </c>
      <c r="AA105" s="37" t="str">
        <f>IF(AND(Y124=0,Y105&gt;=0),"",Y105/Y124)</f>
        <v/>
      </c>
      <c r="AB105" s="20" t="str">
        <f t="shared" si="92"/>
        <v/>
      </c>
      <c r="AC105" s="102">
        <f>+S105+Y105</f>
        <v>0</v>
      </c>
      <c r="AD105" s="20">
        <f>IF(AND(AC4=0,AC105&gt;=0), "",AC105/AC4)</f>
        <v>0</v>
      </c>
      <c r="AE105" s="37">
        <f>IF(AND(AC124=0,AC105&gt;=0),"",AC105/AC124)</f>
        <v>0</v>
      </c>
      <c r="AF105" s="101">
        <f>+'N EERR RODEO'!G189+'N EERR RODEO'!G190</f>
        <v>0</v>
      </c>
      <c r="AG105" s="20" t="str">
        <f>IF(AND(AF4=0,AF105&gt;=0), "",AF105/AF4)</f>
        <v/>
      </c>
      <c r="AH105" s="37" t="str">
        <f>IF(AND(AF124=0,AF105&gt;=0),"",AF105/AF124)</f>
        <v/>
      </c>
      <c r="AI105" s="20" t="str">
        <f t="shared" si="41"/>
        <v/>
      </c>
      <c r="AJ105" s="102">
        <f t="shared" si="62"/>
        <v>0</v>
      </c>
      <c r="AK105" s="20">
        <f>IF(AND(AJ4=0,AJ105&gt;=0), "",AJ105/AJ4)</f>
        <v>0</v>
      </c>
      <c r="AL105" s="37">
        <f>IF(AND(AJ124=0,AJ105&gt;=0),"",AJ105/AJ124)</f>
        <v>0</v>
      </c>
      <c r="AM105" s="101">
        <f>+'N EERR RODEO'!H189+'N EERR RODEO'!H190</f>
        <v>0</v>
      </c>
      <c r="AN105" s="20" t="str">
        <f>IF(AND(AM4=0,AM105&gt;=0), "",AM105/AM4)</f>
        <v/>
      </c>
      <c r="AO105" s="37" t="str">
        <f>IF(AND(AM124=0,AM105&gt;=0),"",AM105/AM124)</f>
        <v/>
      </c>
      <c r="AP105" s="20" t="str">
        <f t="shared" si="42"/>
        <v/>
      </c>
      <c r="AQ105" s="102">
        <f t="shared" si="63"/>
        <v>0</v>
      </c>
      <c r="AR105" s="20">
        <f>IF(AND(AQ4=0,AQ105&gt;=0), "",AQ105/AQ4)</f>
        <v>0</v>
      </c>
      <c r="AS105" s="37">
        <f>IF(AND(AQ124=0,AQ105&gt;=0),"",AQ105/AQ124)</f>
        <v>0</v>
      </c>
      <c r="AT105" s="103">
        <f>+V105*2</f>
        <v>0</v>
      </c>
      <c r="AU105" s="20" t="str">
        <f>IF(AND(AT4=0,AT105&gt;=0), "",AT105/AT4)</f>
        <v/>
      </c>
      <c r="AV105" s="37" t="str">
        <f t="shared" si="93"/>
        <v/>
      </c>
      <c r="AW105" s="103">
        <f>+AQ105/6</f>
        <v>0</v>
      </c>
      <c r="AX105" s="20">
        <f>IF(AND(AW4=0,AW105&gt;=0), "",AW105/AW4)</f>
        <v>0</v>
      </c>
      <c r="AY105" s="37">
        <f>IF(AND(AW124=0,AW105&gt;=0),"",AW105/AW124)</f>
        <v>0</v>
      </c>
      <c r="AZ105" s="103">
        <f>+AT105/6</f>
        <v>0</v>
      </c>
      <c r="BA105" s="20" t="str">
        <f>IF(AND(AZ4=0,AZ105&gt;=0), "",AZ105/AZ4)</f>
        <v/>
      </c>
      <c r="BB105" s="37" t="str">
        <f t="shared" si="94"/>
        <v/>
      </c>
      <c r="BC105" s="101">
        <f>+'N EERR RODEO'!I189+'N EERR RODEO'!I190</f>
        <v>0</v>
      </c>
      <c r="BD105" s="20" t="str">
        <f>IF(AND(BC4=0,BC105&gt;=0), "",BC105/BC4)</f>
        <v/>
      </c>
      <c r="BE105" s="37" t="str">
        <f>IF(AND(BC124=0,BC105&gt;=0),"",BC105/BC124)</f>
        <v/>
      </c>
      <c r="BF105" s="20" t="str">
        <f t="shared" si="95"/>
        <v/>
      </c>
      <c r="BG105" s="102">
        <f>+AQ105+BC105</f>
        <v>0</v>
      </c>
      <c r="BH105" s="20">
        <f>IF(AND(BG4=0,BG105&gt;=0), "",BG105/BG4)</f>
        <v>0</v>
      </c>
      <c r="BI105" s="37">
        <f>IF(AND(BG124=0,BG105&gt;=0),"",BG105/BG124)</f>
        <v>0</v>
      </c>
      <c r="BJ105" s="101">
        <f>+'N EERR RODEO'!J189+'N EERR RODEO'!J190</f>
        <v>0</v>
      </c>
      <c r="BK105" s="20" t="str">
        <f>IF(AND(BJ4=0,BJ105&gt;=0), "",BJ105/BJ4)</f>
        <v/>
      </c>
      <c r="BL105" s="37" t="str">
        <f>IF(AND(BJ124=0,BJ105&gt;=0),"",BJ105/BJ124)</f>
        <v/>
      </c>
      <c r="BM105" s="20" t="str">
        <f t="shared" si="43"/>
        <v/>
      </c>
      <c r="BN105" s="102">
        <f>+BG105+BJ105</f>
        <v>0</v>
      </c>
      <c r="BO105" s="20">
        <f>IF(AND(BN4=0,BN105&gt;=0), "",BN105/BN4)</f>
        <v>0</v>
      </c>
      <c r="BP105" s="37">
        <f>IF(AND(BN124=0,BN105&gt;=0),"",BN105/BN124)</f>
        <v>0</v>
      </c>
      <c r="BQ105" s="101">
        <f>+'N EERR RODEO'!K189+'N EERR RODEO'!K190</f>
        <v>0</v>
      </c>
      <c r="BR105" s="20" t="str">
        <f>IF(AND(BQ4=0,BQ105&gt;=0), "",BQ105/BQ4)</f>
        <v/>
      </c>
      <c r="BS105" s="37" t="str">
        <f>IF(AND(BQ124=0,BQ105&gt;=0),"",BQ105/BQ124)</f>
        <v/>
      </c>
      <c r="BT105" s="20" t="str">
        <f t="shared" si="44"/>
        <v/>
      </c>
      <c r="BU105" s="102">
        <f>+BN105+BQ105</f>
        <v>0</v>
      </c>
      <c r="BV105" s="20">
        <f>IF(AND(BU4=0,BU105&gt;=0), "",BU105/BU4)</f>
        <v>0</v>
      </c>
      <c r="BW105" s="37">
        <f>IF(AND(BU124=0,BU105&gt;=0),"",BU105/BU124)</f>
        <v>0</v>
      </c>
      <c r="BX105" s="103">
        <f>+AZ105*9</f>
        <v>0</v>
      </c>
      <c r="BY105" s="20" t="str">
        <f>IF(AND(BX4=0,BX105&gt;=0), "",BX105/BX4)</f>
        <v/>
      </c>
      <c r="BZ105" s="37" t="str">
        <f t="shared" si="45"/>
        <v/>
      </c>
      <c r="CA105" s="101">
        <f>+'N EERR RODEO'!L189+'N EERR RODEO'!L190</f>
        <v>0</v>
      </c>
      <c r="CB105" s="20" t="str">
        <f>IF(AND(CA4=0,CA105&gt;=0), "",CA105/CA4)</f>
        <v/>
      </c>
      <c r="CC105" s="37" t="str">
        <f>IF(AND(CA124=0,CA105&gt;=0),"",CA105/CA124)</f>
        <v/>
      </c>
      <c r="CD105" s="20" t="str">
        <f t="shared" si="96"/>
        <v/>
      </c>
      <c r="CE105" s="102">
        <f>+BU105+CA105</f>
        <v>0</v>
      </c>
      <c r="CF105" s="20">
        <f>IF(AND(CE4=0,CE105&gt;=0), "",CE105/CE4)</f>
        <v>0</v>
      </c>
      <c r="CG105" s="37">
        <f>IF(AND(CE124=0,CE105&gt;=0),"",CE105/CE124)</f>
        <v>0</v>
      </c>
      <c r="CH105" s="101">
        <f>+'N EERR RODEO'!M189+'N EERR RODEO'!M190</f>
        <v>0</v>
      </c>
      <c r="CI105" s="20" t="str">
        <f>IF(AND(CH4=0,CH105&gt;=0), "",CH105/CH4)</f>
        <v/>
      </c>
      <c r="CJ105" s="37" t="str">
        <f>IF(AND(CH124=0,CH105&gt;=0),"",CH105/CH124)</f>
        <v/>
      </c>
      <c r="CK105" s="20" t="str">
        <f t="shared" si="46"/>
        <v/>
      </c>
      <c r="CL105" s="102">
        <f>+CE105+CH105</f>
        <v>0</v>
      </c>
      <c r="CM105" s="20">
        <f>IF(AND(CL4=0,CL105&gt;=0), "",CL105/CL4)</f>
        <v>0</v>
      </c>
      <c r="CN105" s="37">
        <f>IF(AND(CL124=0,CL105&gt;=0),"",CL105/CL124)</f>
        <v>0</v>
      </c>
      <c r="CO105" s="101">
        <f>+'N EERR RODEO'!N189+'N EERR RODEO'!N190</f>
        <v>0</v>
      </c>
      <c r="CP105" s="20" t="str">
        <f>IF(AND(CO4=0,CO105&gt;=0), "",CO105/CO4)</f>
        <v/>
      </c>
      <c r="CQ105" s="37" t="str">
        <f>IF(AND(CO124=0,CO105&gt;=0),"",CO105/CO124)</f>
        <v/>
      </c>
      <c r="CR105" s="20" t="str">
        <f t="shared" si="47"/>
        <v/>
      </c>
      <c r="CS105" s="102">
        <f>+CL105+CO105</f>
        <v>0</v>
      </c>
      <c r="CT105" s="20">
        <f>IF(AND(CS4=0,CS105&gt;=0), "",CS105/CS4)</f>
        <v>0</v>
      </c>
      <c r="CU105" s="37">
        <f>IF(AND(CS124=0,CS105&gt;=0),"",CS105/CS124)</f>
        <v>0</v>
      </c>
      <c r="CV105" s="103">
        <f>+AZ105*12</f>
        <v>0</v>
      </c>
      <c r="CW105" s="20" t="str">
        <f>IF(AND(CV4=0,CV105&gt;=0), "",CV105/CV4)</f>
        <v/>
      </c>
      <c r="CX105" s="37" t="str">
        <f t="shared" si="48"/>
        <v/>
      </c>
    </row>
    <row r="106" spans="1:219" hidden="1" outlineLevel="1" x14ac:dyDescent="0.25">
      <c r="A106" s="19" t="s">
        <v>92</v>
      </c>
      <c r="B106" s="101">
        <f>+'N EERR RODEO'!B191</f>
        <v>0</v>
      </c>
      <c r="C106" s="20" t="str">
        <f>IF(AND(B4=0,B106&gt;=0), "",B106/B4)</f>
        <v/>
      </c>
      <c r="D106" s="37" t="str">
        <f>IF(AND(B124=0,B106&gt;=0),"",B106/B124)</f>
        <v/>
      </c>
      <c r="E106" s="101">
        <f>+'N EERR RODEO'!C191</f>
        <v>0</v>
      </c>
      <c r="F106" s="20">
        <f>IF(AND(E4=0,E106&gt;=0), "",E106/E4)</f>
        <v>0</v>
      </c>
      <c r="G106" s="37">
        <f>IF(AND(E124=0,E106&gt;=0),"",E106/E124)</f>
        <v>0</v>
      </c>
      <c r="H106" s="101">
        <f>+'N EERR RODEO'!D191</f>
        <v>0</v>
      </c>
      <c r="I106" s="20">
        <f>IF(AND(H4=0,H106&gt;=0), "",H106/H4)</f>
        <v>0</v>
      </c>
      <c r="J106" s="37">
        <f>IF(AND(H124=0,H106&gt;=0),"",H106/H124)</f>
        <v>0</v>
      </c>
      <c r="K106" s="20" t="str">
        <f t="shared" si="64"/>
        <v/>
      </c>
      <c r="L106" s="102">
        <f>+E106+H106</f>
        <v>0</v>
      </c>
      <c r="M106" s="20">
        <f>IF(AND(L4=0,L106&gt;=0), "",L106/L4)</f>
        <v>0</v>
      </c>
      <c r="N106" s="37">
        <f>IF(AND(L124=0,L106&gt;=0),"",L106/L124)</f>
        <v>0</v>
      </c>
      <c r="O106" s="101">
        <f>+'N EERR RODEO'!E191</f>
        <v>0</v>
      </c>
      <c r="P106" s="20">
        <f>IF(AND(O4=0,O106&gt;=0), "",O106/O4)</f>
        <v>0</v>
      </c>
      <c r="Q106" s="37">
        <f>IF(AND(O124=0,O106&gt;=0),"",O106/O124)</f>
        <v>0</v>
      </c>
      <c r="R106" s="20" t="str">
        <f t="shared" si="66"/>
        <v/>
      </c>
      <c r="S106" s="102">
        <f>+L106+O106</f>
        <v>0</v>
      </c>
      <c r="T106" s="20">
        <f>IF(AND(S4=0,S106&gt;=0), "",S106/S4)</f>
        <v>0</v>
      </c>
      <c r="U106" s="37">
        <f>IF(AND(S124=0,S106&gt;=0),"",S106/S124)</f>
        <v>0</v>
      </c>
      <c r="V106" s="103"/>
      <c r="W106" s="20" t="str">
        <f>IF(AND(V4=0,V106&gt;=0), "",V106/V4)</f>
        <v/>
      </c>
      <c r="X106" s="37" t="str">
        <f t="shared" si="91"/>
        <v/>
      </c>
      <c r="Y106" s="101">
        <f>+'N EERR RODEO'!F191</f>
        <v>0</v>
      </c>
      <c r="Z106" s="20" t="str">
        <f>IF(AND(Y4=0,Y106&gt;=0), "",Y106/Y4)</f>
        <v/>
      </c>
      <c r="AA106" s="37" t="str">
        <f>IF(AND(Y124=0,Y106&gt;=0),"",Y106/Y124)</f>
        <v/>
      </c>
      <c r="AB106" s="20" t="str">
        <f t="shared" si="92"/>
        <v/>
      </c>
      <c r="AC106" s="102">
        <f>+S106+Y106</f>
        <v>0</v>
      </c>
      <c r="AD106" s="20">
        <f>IF(AND(AC4=0,AC106&gt;=0), "",AC106/AC4)</f>
        <v>0</v>
      </c>
      <c r="AE106" s="37">
        <f>IF(AND(AC124=0,AC106&gt;=0),"",AC106/AC124)</f>
        <v>0</v>
      </c>
      <c r="AF106" s="101">
        <f>+'N EERR RODEO'!G191</f>
        <v>0</v>
      </c>
      <c r="AG106" s="20" t="str">
        <f>IF(AND(AF4=0,AF106&gt;=0), "",AF106/AF4)</f>
        <v/>
      </c>
      <c r="AH106" s="37" t="str">
        <f>IF(AND(AF124=0,AF106&gt;=0),"",AF106/AF124)</f>
        <v/>
      </c>
      <c r="AI106" s="20" t="str">
        <f t="shared" si="41"/>
        <v/>
      </c>
      <c r="AJ106" s="102">
        <f t="shared" si="62"/>
        <v>0</v>
      </c>
      <c r="AK106" s="20">
        <f>IF(AND(AJ4=0,AJ106&gt;=0), "",AJ106/AJ4)</f>
        <v>0</v>
      </c>
      <c r="AL106" s="37">
        <f>IF(AND(AJ124=0,AJ106&gt;=0),"",AJ106/AJ124)</f>
        <v>0</v>
      </c>
      <c r="AM106" s="101">
        <f>+'N EERR RODEO'!H191</f>
        <v>0</v>
      </c>
      <c r="AN106" s="20" t="str">
        <f>IF(AND(AM4=0,AM106&gt;=0), "",AM106/AM4)</f>
        <v/>
      </c>
      <c r="AO106" s="37" t="str">
        <f>IF(AND(AM124=0,AM106&gt;=0),"",AM106/AM124)</f>
        <v/>
      </c>
      <c r="AP106" s="20" t="str">
        <f t="shared" si="42"/>
        <v/>
      </c>
      <c r="AQ106" s="102">
        <f t="shared" si="63"/>
        <v>0</v>
      </c>
      <c r="AR106" s="20">
        <f>IF(AND(AQ4=0,AQ106&gt;=0), "",AQ106/AQ4)</f>
        <v>0</v>
      </c>
      <c r="AS106" s="37">
        <f>IF(AND(AQ124=0,AQ106&gt;=0),"",AQ106/AQ124)</f>
        <v>0</v>
      </c>
      <c r="AT106" s="103">
        <f>+V106*2</f>
        <v>0</v>
      </c>
      <c r="AU106" s="20" t="str">
        <f>IF(AND(AT4=0,AT106&gt;=0), "",AT106/AT4)</f>
        <v/>
      </c>
      <c r="AV106" s="37" t="str">
        <f t="shared" si="93"/>
        <v/>
      </c>
      <c r="AW106" s="103">
        <f>+AQ106/6</f>
        <v>0</v>
      </c>
      <c r="AX106" s="20">
        <f>IF(AND(AW4=0,AW106&gt;=0), "",AW106/AW4)</f>
        <v>0</v>
      </c>
      <c r="AY106" s="37">
        <f>IF(AND(AW124=0,AW106&gt;=0),"",AW106/AW124)</f>
        <v>0</v>
      </c>
      <c r="AZ106" s="103">
        <f>+AT106/6</f>
        <v>0</v>
      </c>
      <c r="BA106" s="20" t="str">
        <f>IF(AND(AZ4=0,AZ106&gt;=0), "",AZ106/AZ4)</f>
        <v/>
      </c>
      <c r="BB106" s="37" t="str">
        <f t="shared" si="94"/>
        <v/>
      </c>
      <c r="BC106" s="101">
        <f>+'N EERR RODEO'!I191</f>
        <v>0</v>
      </c>
      <c r="BD106" s="20" t="str">
        <f>IF(AND(BC4=0,BC106&gt;=0), "",BC106/BC4)</f>
        <v/>
      </c>
      <c r="BE106" s="37" t="str">
        <f>IF(AND(BC124=0,BC106&gt;=0),"",BC106/BC124)</f>
        <v/>
      </c>
      <c r="BF106" s="20" t="str">
        <f t="shared" si="95"/>
        <v/>
      </c>
      <c r="BG106" s="102">
        <f>+AQ106+BC106</f>
        <v>0</v>
      </c>
      <c r="BH106" s="20">
        <f>IF(AND(BG4=0,BG106&gt;=0), "",BG106/BG4)</f>
        <v>0</v>
      </c>
      <c r="BI106" s="37">
        <f>IF(AND(BG124=0,BG106&gt;=0),"",BG106/BG124)</f>
        <v>0</v>
      </c>
      <c r="BJ106" s="101">
        <f>+'N EERR RODEO'!J191</f>
        <v>0</v>
      </c>
      <c r="BK106" s="20" t="str">
        <f>IF(AND(BJ4=0,BJ106&gt;=0), "",BJ106/BJ4)</f>
        <v/>
      </c>
      <c r="BL106" s="37" t="str">
        <f>IF(AND(BJ124=0,BJ106&gt;=0),"",BJ106/BJ124)</f>
        <v/>
      </c>
      <c r="BM106" s="20" t="str">
        <f t="shared" si="43"/>
        <v/>
      </c>
      <c r="BN106" s="102">
        <f>+BG106+BJ106</f>
        <v>0</v>
      </c>
      <c r="BO106" s="20">
        <f>IF(AND(BN4=0,BN106&gt;=0), "",BN106/BN4)</f>
        <v>0</v>
      </c>
      <c r="BP106" s="37">
        <f>IF(AND(BN124=0,BN106&gt;=0),"",BN106/BN124)</f>
        <v>0</v>
      </c>
      <c r="BQ106" s="101">
        <f>+'N EERR RODEO'!K191</f>
        <v>0</v>
      </c>
      <c r="BR106" s="20" t="str">
        <f>IF(AND(BQ4=0,BQ106&gt;=0), "",BQ106/BQ4)</f>
        <v/>
      </c>
      <c r="BS106" s="37" t="str">
        <f>IF(AND(BQ124=0,BQ106&gt;=0),"",BQ106/BQ124)</f>
        <v/>
      </c>
      <c r="BT106" s="20" t="str">
        <f t="shared" si="44"/>
        <v/>
      </c>
      <c r="BU106" s="102">
        <f>+BN106+BQ106</f>
        <v>0</v>
      </c>
      <c r="BV106" s="20">
        <f>IF(AND(BU4=0,BU106&gt;=0), "",BU106/BU4)</f>
        <v>0</v>
      </c>
      <c r="BW106" s="37">
        <f>IF(AND(BU124=0,BU106&gt;=0),"",BU106/BU124)</f>
        <v>0</v>
      </c>
      <c r="BX106" s="103">
        <f>+AZ106*9</f>
        <v>0</v>
      </c>
      <c r="BY106" s="20" t="str">
        <f>IF(AND(BX4=0,BX106&gt;=0), "",BX106/BX4)</f>
        <v/>
      </c>
      <c r="BZ106" s="37" t="str">
        <f t="shared" si="45"/>
        <v/>
      </c>
      <c r="CA106" s="101">
        <f>+'N EERR RODEO'!L191</f>
        <v>0</v>
      </c>
      <c r="CB106" s="20" t="str">
        <f>IF(AND(CA4=0,CA106&gt;=0), "",CA106/CA4)</f>
        <v/>
      </c>
      <c r="CC106" s="37" t="str">
        <f>IF(AND(CA124=0,CA106&gt;=0),"",CA106/CA124)</f>
        <v/>
      </c>
      <c r="CD106" s="20" t="str">
        <f t="shared" si="96"/>
        <v/>
      </c>
      <c r="CE106" s="102">
        <f>+BU106+CA106</f>
        <v>0</v>
      </c>
      <c r="CF106" s="20">
        <f>IF(AND(CE4=0,CE106&gt;=0), "",CE106/CE4)</f>
        <v>0</v>
      </c>
      <c r="CG106" s="37">
        <f>IF(AND(CE124=0,CE106&gt;=0),"",CE106/CE124)</f>
        <v>0</v>
      </c>
      <c r="CH106" s="101">
        <f>+'N EERR RODEO'!M191</f>
        <v>0</v>
      </c>
      <c r="CI106" s="20" t="str">
        <f>IF(AND(CH4=0,CH106&gt;=0), "",CH106/CH4)</f>
        <v/>
      </c>
      <c r="CJ106" s="37" t="str">
        <f>IF(AND(CH124=0,CH106&gt;=0),"",CH106/CH124)</f>
        <v/>
      </c>
      <c r="CK106" s="20" t="str">
        <f t="shared" si="46"/>
        <v/>
      </c>
      <c r="CL106" s="102">
        <f>+CE106+CH106</f>
        <v>0</v>
      </c>
      <c r="CM106" s="20">
        <f>IF(AND(CL4=0,CL106&gt;=0), "",CL106/CL4)</f>
        <v>0</v>
      </c>
      <c r="CN106" s="37">
        <f>IF(AND(CL124=0,CL106&gt;=0),"",CL106/CL124)</f>
        <v>0</v>
      </c>
      <c r="CO106" s="101">
        <f>+'N EERR RODEO'!N191</f>
        <v>0</v>
      </c>
      <c r="CP106" s="20" t="str">
        <f>IF(AND(CO4=0,CO106&gt;=0), "",CO106/CO4)</f>
        <v/>
      </c>
      <c r="CQ106" s="37" t="str">
        <f>IF(AND(CO124=0,CO106&gt;=0),"",CO106/CO124)</f>
        <v/>
      </c>
      <c r="CR106" s="20" t="str">
        <f t="shared" si="47"/>
        <v/>
      </c>
      <c r="CS106" s="102">
        <f>+CL106+CO106</f>
        <v>0</v>
      </c>
      <c r="CT106" s="20">
        <f>IF(AND(CS4=0,CS106&gt;=0), "",CS106/CS4)</f>
        <v>0</v>
      </c>
      <c r="CU106" s="37">
        <f>IF(AND(CS124=0,CS106&gt;=0),"",CS106/CS124)</f>
        <v>0</v>
      </c>
      <c r="CV106" s="103">
        <f>+AZ106*12</f>
        <v>0</v>
      </c>
      <c r="CW106" s="20" t="str">
        <f>IF(AND(CV4=0,CV106&gt;=0), "",CV106/CV4)</f>
        <v/>
      </c>
      <c r="CX106" s="37" t="str">
        <f t="shared" si="48"/>
        <v/>
      </c>
    </row>
    <row r="107" spans="1:219" hidden="1" outlineLevel="1" x14ac:dyDescent="0.25">
      <c r="A107" s="19"/>
      <c r="B107" s="101"/>
      <c r="C107" s="13"/>
      <c r="D107" s="36"/>
      <c r="E107" s="101"/>
      <c r="F107" s="13"/>
      <c r="G107" s="36"/>
      <c r="H107" s="101"/>
      <c r="I107" s="13"/>
      <c r="J107" s="36"/>
      <c r="K107" s="22" t="str">
        <f t="shared" si="64"/>
        <v/>
      </c>
      <c r="M107" s="13"/>
      <c r="N107" s="36"/>
      <c r="O107" s="101"/>
      <c r="P107" s="13"/>
      <c r="Q107" s="36"/>
      <c r="R107" s="22" t="str">
        <f t="shared" si="66"/>
        <v/>
      </c>
      <c r="T107" s="13"/>
      <c r="U107" s="36"/>
      <c r="V107" s="103"/>
      <c r="W107" s="13"/>
      <c r="X107" s="79" t="str">
        <f t="shared" si="91"/>
        <v/>
      </c>
      <c r="Y107" s="101"/>
      <c r="Z107" s="13"/>
      <c r="AA107" s="36"/>
      <c r="AB107" s="22" t="str">
        <f t="shared" si="92"/>
        <v/>
      </c>
      <c r="AD107" s="13"/>
      <c r="AE107" s="36"/>
      <c r="AF107" s="101"/>
      <c r="AG107" s="13"/>
      <c r="AH107" s="36"/>
      <c r="AI107" s="22" t="str">
        <f t="shared" si="41"/>
        <v/>
      </c>
      <c r="AJ107" s="102">
        <f t="shared" si="62"/>
        <v>0</v>
      </c>
      <c r="AK107" s="13"/>
      <c r="AL107" s="36"/>
      <c r="AM107" s="101"/>
      <c r="AN107" s="13"/>
      <c r="AO107" s="36"/>
      <c r="AP107" s="22" t="str">
        <f t="shared" si="42"/>
        <v/>
      </c>
      <c r="AQ107" s="102">
        <f t="shared" si="63"/>
        <v>0</v>
      </c>
      <c r="AR107" s="13"/>
      <c r="AS107" s="36"/>
      <c r="AT107" s="103">
        <f>+V107*2</f>
        <v>0</v>
      </c>
      <c r="AU107" s="13"/>
      <c r="AV107" s="79" t="str">
        <f t="shared" si="93"/>
        <v/>
      </c>
      <c r="AW107" s="103">
        <f>+AQ107/6</f>
        <v>0</v>
      </c>
      <c r="AX107" s="13"/>
      <c r="AY107" s="36"/>
      <c r="AZ107" s="103">
        <f>+AT107/6</f>
        <v>0</v>
      </c>
      <c r="BA107" s="13"/>
      <c r="BB107" s="79" t="str">
        <f t="shared" si="94"/>
        <v/>
      </c>
      <c r="BC107" s="101"/>
      <c r="BD107" s="13"/>
      <c r="BE107" s="36"/>
      <c r="BF107" s="22" t="str">
        <f t="shared" si="95"/>
        <v/>
      </c>
      <c r="BG107" s="102">
        <f>+AQ107+BC107</f>
        <v>0</v>
      </c>
      <c r="BH107" s="13"/>
      <c r="BI107" s="36"/>
      <c r="BJ107" s="101"/>
      <c r="BK107" s="13"/>
      <c r="BL107" s="36"/>
      <c r="BM107" s="22" t="str">
        <f t="shared" si="43"/>
        <v/>
      </c>
      <c r="BN107" s="102">
        <f>+BG107+BJ107</f>
        <v>0</v>
      </c>
      <c r="BO107" s="13"/>
      <c r="BP107" s="36"/>
      <c r="BQ107" s="101"/>
      <c r="BR107" s="13"/>
      <c r="BS107" s="36"/>
      <c r="BT107" s="22" t="str">
        <f t="shared" si="44"/>
        <v/>
      </c>
      <c r="BU107" s="102">
        <f>+BN107+BQ107</f>
        <v>0</v>
      </c>
      <c r="BV107" s="13"/>
      <c r="BW107" s="36"/>
      <c r="BX107" s="103">
        <f>+AZ107*9</f>
        <v>0</v>
      </c>
      <c r="BY107" s="13"/>
      <c r="BZ107" s="79" t="str">
        <f t="shared" si="45"/>
        <v/>
      </c>
      <c r="CA107" s="101"/>
      <c r="CB107" s="13"/>
      <c r="CC107" s="36"/>
      <c r="CD107" s="22" t="str">
        <f t="shared" si="96"/>
        <v/>
      </c>
      <c r="CF107" s="13"/>
      <c r="CG107" s="36"/>
      <c r="CH107" s="101"/>
      <c r="CI107" s="13"/>
      <c r="CJ107" s="36"/>
      <c r="CK107" s="22" t="str">
        <f t="shared" si="46"/>
        <v/>
      </c>
      <c r="CL107" s="102">
        <f>+CE107+CH107</f>
        <v>0</v>
      </c>
      <c r="CM107" s="13"/>
      <c r="CN107" s="36"/>
      <c r="CO107" s="101"/>
      <c r="CP107" s="13"/>
      <c r="CQ107" s="36"/>
      <c r="CR107" s="22" t="str">
        <f t="shared" si="47"/>
        <v/>
      </c>
      <c r="CS107" s="102">
        <f>+CL107+CO107</f>
        <v>0</v>
      </c>
      <c r="CT107" s="13"/>
      <c r="CU107" s="36"/>
      <c r="CV107" s="103">
        <f>+AZ107*12</f>
        <v>0</v>
      </c>
      <c r="CW107" s="13"/>
      <c r="CX107" s="79" t="str">
        <f t="shared" si="48"/>
        <v/>
      </c>
    </row>
    <row r="108" spans="1:219" s="2" customFormat="1" hidden="1" outlineLevel="1" x14ac:dyDescent="0.25">
      <c r="B108" s="104"/>
      <c r="C108" s="13"/>
      <c r="D108" s="36"/>
      <c r="E108" s="104"/>
      <c r="F108" s="13"/>
      <c r="G108" s="36"/>
      <c r="H108" s="104"/>
      <c r="I108" s="13"/>
      <c r="J108" s="36"/>
      <c r="K108" s="13" t="str">
        <f t="shared" si="64"/>
        <v/>
      </c>
      <c r="L108" s="90"/>
      <c r="M108" s="13"/>
      <c r="N108" s="36"/>
      <c r="O108" s="104"/>
      <c r="P108" s="13"/>
      <c r="Q108" s="36"/>
      <c r="R108" s="13" t="str">
        <f t="shared" si="66"/>
        <v/>
      </c>
      <c r="S108" s="90"/>
      <c r="T108" s="13"/>
      <c r="U108" s="36"/>
      <c r="V108" s="105"/>
      <c r="W108" s="13"/>
      <c r="X108" s="36" t="str">
        <f t="shared" si="91"/>
        <v/>
      </c>
      <c r="Y108" s="104"/>
      <c r="Z108" s="13"/>
      <c r="AA108" s="36"/>
      <c r="AB108" s="13" t="str">
        <f t="shared" si="92"/>
        <v/>
      </c>
      <c r="AC108" s="90"/>
      <c r="AD108" s="13"/>
      <c r="AE108" s="36"/>
      <c r="AF108" s="104"/>
      <c r="AG108" s="13"/>
      <c r="AH108" s="36"/>
      <c r="AI108" s="13" t="str">
        <f t="shared" si="41"/>
        <v/>
      </c>
      <c r="AJ108" s="90">
        <f t="shared" si="62"/>
        <v>0</v>
      </c>
      <c r="AK108" s="13"/>
      <c r="AL108" s="36"/>
      <c r="AM108" s="104"/>
      <c r="AN108" s="13"/>
      <c r="AO108" s="36"/>
      <c r="AP108" s="13" t="str">
        <f t="shared" si="42"/>
        <v/>
      </c>
      <c r="AQ108" s="90">
        <f t="shared" si="63"/>
        <v>0</v>
      </c>
      <c r="AR108" s="13"/>
      <c r="AS108" s="36"/>
      <c r="AT108" s="103">
        <f>+V108*2</f>
        <v>0</v>
      </c>
      <c r="AU108" s="13"/>
      <c r="AV108" s="36" t="str">
        <f t="shared" si="93"/>
        <v/>
      </c>
      <c r="AW108" s="105"/>
      <c r="AX108" s="13"/>
      <c r="AY108" s="36"/>
      <c r="AZ108" s="103">
        <f>+AT108/6</f>
        <v>0</v>
      </c>
      <c r="BA108" s="13"/>
      <c r="BB108" s="36" t="str">
        <f t="shared" si="94"/>
        <v/>
      </c>
      <c r="BC108" s="104"/>
      <c r="BD108" s="13"/>
      <c r="BE108" s="36"/>
      <c r="BF108" s="13" t="str">
        <f t="shared" si="95"/>
        <v/>
      </c>
      <c r="BG108" s="102">
        <f>+AQ108+BC108</f>
        <v>0</v>
      </c>
      <c r="BH108" s="13"/>
      <c r="BI108" s="36"/>
      <c r="BJ108" s="104"/>
      <c r="BK108" s="13"/>
      <c r="BL108" s="36"/>
      <c r="BM108" s="13" t="str">
        <f t="shared" si="43"/>
        <v/>
      </c>
      <c r="BN108" s="90">
        <f>+BG108+BJ108</f>
        <v>0</v>
      </c>
      <c r="BO108" s="13"/>
      <c r="BP108" s="36"/>
      <c r="BQ108" s="104"/>
      <c r="BR108" s="13"/>
      <c r="BS108" s="36"/>
      <c r="BT108" s="13" t="str">
        <f t="shared" si="44"/>
        <v/>
      </c>
      <c r="BU108" s="90">
        <f>+BN108+BQ108</f>
        <v>0</v>
      </c>
      <c r="BV108" s="13"/>
      <c r="BW108" s="36"/>
      <c r="BX108" s="103">
        <f>+AZ108*9</f>
        <v>0</v>
      </c>
      <c r="BY108" s="13"/>
      <c r="BZ108" s="36" t="str">
        <f t="shared" si="45"/>
        <v/>
      </c>
      <c r="CA108" s="104"/>
      <c r="CB108" s="13"/>
      <c r="CC108" s="36"/>
      <c r="CD108" s="13" t="str">
        <f t="shared" si="96"/>
        <v/>
      </c>
      <c r="CE108" s="90"/>
      <c r="CF108" s="13"/>
      <c r="CG108" s="36"/>
      <c r="CH108" s="104"/>
      <c r="CI108" s="13"/>
      <c r="CJ108" s="36"/>
      <c r="CK108" s="13" t="str">
        <f t="shared" si="46"/>
        <v/>
      </c>
      <c r="CL108" s="90">
        <f>+CE108+CH108</f>
        <v>0</v>
      </c>
      <c r="CM108" s="13"/>
      <c r="CN108" s="36"/>
      <c r="CO108" s="104"/>
      <c r="CP108" s="13"/>
      <c r="CQ108" s="36"/>
      <c r="CR108" s="13" t="str">
        <f t="shared" si="47"/>
        <v/>
      </c>
      <c r="CS108" s="90">
        <f>+CL108+CO108</f>
        <v>0</v>
      </c>
      <c r="CT108" s="13"/>
      <c r="CU108" s="36"/>
      <c r="CV108" s="103">
        <f>+AZ108*12</f>
        <v>0</v>
      </c>
      <c r="CW108" s="13"/>
      <c r="CX108" s="36" t="str">
        <f t="shared" si="48"/>
        <v/>
      </c>
    </row>
    <row r="109" spans="1:219" s="31" customFormat="1" ht="16.5" collapsed="1" thickBot="1" x14ac:dyDescent="0.3">
      <c r="A109" s="132" t="s">
        <v>117</v>
      </c>
      <c r="B109" s="133">
        <f>+B36-B38+B110+B111</f>
        <v>0</v>
      </c>
      <c r="C109" s="134" t="str">
        <f>IF(AND(B4=0,B109&lt;=0), "",B109/B4)</f>
        <v/>
      </c>
      <c r="D109" s="135"/>
      <c r="E109" s="133">
        <f>+E36-E38+E110+E111</f>
        <v>17744.14</v>
      </c>
      <c r="F109" s="134">
        <f>IF(AND(E4=0,E109&lt;=0), "",E109/E4)</f>
        <v>0.37018607002311349</v>
      </c>
      <c r="G109" s="135"/>
      <c r="H109" s="133">
        <f>+H36-H38+H110+H111</f>
        <v>18390.520000000004</v>
      </c>
      <c r="I109" s="134">
        <f>IF(AND(H4=0,H109&lt;=0), "",H109/H4)</f>
        <v>0.35721511394820515</v>
      </c>
      <c r="J109" s="135"/>
      <c r="K109" s="134">
        <f>IF(AND(E109=0,H109&gt;0),100%,IF(AND(E109&lt;0,H109&gt;=0),(E109-H109)/E109,IF(AND(E109&gt;0,H109&gt;0),(H109-E109)/E109,IF(AND(E109=0,H109&lt;=0),"",(H109-E109)/E109))))</f>
        <v>3.6427800952878231E-2</v>
      </c>
      <c r="L109" s="136">
        <f>+L36-L38+L110+L111</f>
        <v>36134.660000000011</v>
      </c>
      <c r="M109" s="134">
        <f>IF(AND(L4=0,L109&lt;=0), "",L109/L4)</f>
        <v>0.36346900455831749</v>
      </c>
      <c r="N109" s="135"/>
      <c r="O109" s="133">
        <f>+O36-O38+O110+O111</f>
        <v>34102.750000000007</v>
      </c>
      <c r="P109" s="134">
        <f>IF(AND(O4=0,O109&lt;=0), "",O109/O4)</f>
        <v>0.53197289247308144</v>
      </c>
      <c r="Q109" s="135"/>
      <c r="R109" s="134">
        <f>IF(AND(H109=0,O109&gt;0),100%,IF(AND(H109&lt;0,O109&gt;=0),(H109-O109)/H109,IF(AND(H109&gt;0,O109&gt;0),(O109-H109)/H109,IF(AND(H109=0,O109&lt;=0),"",(O109-H109)/H109))))</f>
        <v>0.85436572755963403</v>
      </c>
      <c r="S109" s="136">
        <f>+S36-S38+S110+S111</f>
        <v>70237.41</v>
      </c>
      <c r="T109" s="134">
        <f>IF(AND(S4=0,S109&lt;=0), "",S109/S4)</f>
        <v>0.42952815289662416</v>
      </c>
      <c r="U109" s="135"/>
      <c r="V109" s="137">
        <f>+V36-V38+V110+V111</f>
        <v>0</v>
      </c>
      <c r="W109" s="134" t="str">
        <f>IF(AND(V4=0,V109&lt;=0), "",V109/V4)</f>
        <v/>
      </c>
      <c r="X109" s="135">
        <f t="shared" si="91"/>
        <v>1</v>
      </c>
      <c r="Y109" s="133">
        <f>+Y36-Y38+Y110+Y111</f>
        <v>0</v>
      </c>
      <c r="Z109" s="134" t="str">
        <f>IF(AND(Y4=0,Y109&lt;=0), "",Y109/Y4)</f>
        <v/>
      </c>
      <c r="AA109" s="135"/>
      <c r="AB109" s="134">
        <f t="shared" si="92"/>
        <v>-1</v>
      </c>
      <c r="AC109" s="136">
        <f>+AC36-AC38+AC110+AC111</f>
        <v>70237.41</v>
      </c>
      <c r="AD109" s="134">
        <f>IF(AND(AC4=0,AC109&lt;=0), "",AC109/AC4)</f>
        <v>0.42952815289662416</v>
      </c>
      <c r="AE109" s="135"/>
      <c r="AF109" s="133">
        <f>+AF36-AF38+AF110+AF111</f>
        <v>0</v>
      </c>
      <c r="AG109" s="134" t="str">
        <f>IF(AND(AF4=0,AF109&lt;=0), "",AF109/AF4)</f>
        <v/>
      </c>
      <c r="AH109" s="135"/>
      <c r="AI109" s="134" t="str">
        <f t="shared" si="41"/>
        <v/>
      </c>
      <c r="AJ109" s="136">
        <f>+AJ36-AJ38+AJ110+AJ111</f>
        <v>70237.41</v>
      </c>
      <c r="AK109" s="134">
        <f>IF(AND(AJ4=0,AJ109&lt;=0), "",AJ109/AJ4)</f>
        <v>0.42952815289662416</v>
      </c>
      <c r="AL109" s="135"/>
      <c r="AM109" s="133">
        <f>+AM36-AM38+AM110+AM111</f>
        <v>0</v>
      </c>
      <c r="AN109" s="134" t="str">
        <f>IF(AND(AM4=0,AM109&lt;=0), "",AM109/AM4)</f>
        <v/>
      </c>
      <c r="AO109" s="135"/>
      <c r="AP109" s="134" t="str">
        <f t="shared" si="42"/>
        <v/>
      </c>
      <c r="AQ109" s="136">
        <f>+AQ36-AQ38+AQ110+AQ111</f>
        <v>70237.41</v>
      </c>
      <c r="AR109" s="134">
        <f>IF(AND(AQ4=0,AQ109&lt;=0), "",AQ109/AQ4)</f>
        <v>0.42952815289662416</v>
      </c>
      <c r="AS109" s="135"/>
      <c r="AT109" s="137">
        <f>+AT36-AT38+AT110+AT111</f>
        <v>0</v>
      </c>
      <c r="AU109" s="134" t="str">
        <f>IF(AND(AT4=0,AT109&lt;=0), "",AT109/AT4)</f>
        <v/>
      </c>
      <c r="AV109" s="135">
        <f t="shared" si="93"/>
        <v>1</v>
      </c>
      <c r="AW109" s="137">
        <f>+AW36-AW38+AW110+AW111</f>
        <v>11706.235000000002</v>
      </c>
      <c r="AX109" s="134">
        <f>IF(AND(AW4=0,AW109&lt;=0), "",AW109/AW4)</f>
        <v>0.42952815289662427</v>
      </c>
      <c r="AY109" s="135"/>
      <c r="AZ109" s="137">
        <f>+AZ36-AZ38+AZ110+AZ111</f>
        <v>0</v>
      </c>
      <c r="BA109" s="134" t="str">
        <f>IF(AND(AZ4=0,AZ109&lt;=0), "",AZ109/AZ4)</f>
        <v/>
      </c>
      <c r="BB109" s="135">
        <f t="shared" si="94"/>
        <v>1</v>
      </c>
      <c r="BC109" s="133">
        <f>+BC36-BC38+BC110+BC111</f>
        <v>0</v>
      </c>
      <c r="BD109" s="134" t="str">
        <f>IF(AND(BC4=0,BC109&lt;=0), "",BC109/BC4)</f>
        <v/>
      </c>
      <c r="BE109" s="135"/>
      <c r="BF109" s="134" t="str">
        <f t="shared" si="95"/>
        <v/>
      </c>
      <c r="BG109" s="136">
        <f>+BG36-BG38+BG110+BG111</f>
        <v>70237.41</v>
      </c>
      <c r="BH109" s="134">
        <f>IF(AND(BG4=0,BG109&lt;=0), "",BG109/BG4)</f>
        <v>0.42952815289662416</v>
      </c>
      <c r="BI109" s="135"/>
      <c r="BJ109" s="133">
        <f>+BJ36-BJ38+BJ110+BJ111</f>
        <v>0</v>
      </c>
      <c r="BK109" s="134" t="str">
        <f>IF(AND(BJ4=0,BJ109&lt;=0), "",BJ109/BJ4)</f>
        <v/>
      </c>
      <c r="BL109" s="135"/>
      <c r="BM109" s="134" t="str">
        <f t="shared" si="43"/>
        <v/>
      </c>
      <c r="BN109" s="136">
        <f>+BN36-BN38+BN110+BN111</f>
        <v>70237.41</v>
      </c>
      <c r="BO109" s="134">
        <f>IF(AND(BN4=0,BN109&lt;=0), "",BN109/BN4)</f>
        <v>0.42952815289662416</v>
      </c>
      <c r="BP109" s="135"/>
      <c r="BQ109" s="133">
        <f>+BQ36-BQ38+BQ110+BQ111</f>
        <v>0</v>
      </c>
      <c r="BR109" s="134" t="str">
        <f>IF(AND(BQ4=0,BQ109&lt;=0), "",BQ109/BQ4)</f>
        <v/>
      </c>
      <c r="BS109" s="135"/>
      <c r="BT109" s="134" t="str">
        <f t="shared" si="44"/>
        <v/>
      </c>
      <c r="BU109" s="136">
        <f>+BU36-BU38+BU110+BU111</f>
        <v>70237.41</v>
      </c>
      <c r="BV109" s="134">
        <f>IF(AND(BU4=0,BU109&lt;=0), "",BU109/BU4)</f>
        <v>0.42952815289662416</v>
      </c>
      <c r="BW109" s="135"/>
      <c r="BX109" s="137">
        <f>+BX36-BX38+BX110+BX111</f>
        <v>0</v>
      </c>
      <c r="BY109" s="134" t="str">
        <f>IF(AND(BX4=0,BX109&lt;=0), "",BX109/BX4)</f>
        <v/>
      </c>
      <c r="BZ109" s="135">
        <f t="shared" si="45"/>
        <v>1</v>
      </c>
      <c r="CA109" s="133">
        <f>+CA36-CA38+CA110+CA111</f>
        <v>0</v>
      </c>
      <c r="CB109" s="134" t="str">
        <f>IF(AND(CA4=0,CA109&lt;=0), "",CA109/CA4)</f>
        <v/>
      </c>
      <c r="CC109" s="135"/>
      <c r="CD109" s="134" t="str">
        <f t="shared" si="96"/>
        <v/>
      </c>
      <c r="CE109" s="136">
        <f>+CE36-CE38+CE110+CE111</f>
        <v>70237.41</v>
      </c>
      <c r="CF109" s="134">
        <f>IF(AND(CE4=0,CE109&lt;=0), "",CE109/CE4)</f>
        <v>0.42952815289662416</v>
      </c>
      <c r="CG109" s="135"/>
      <c r="CH109" s="133">
        <f>+CH36-CH38+CH110+CH111</f>
        <v>0</v>
      </c>
      <c r="CI109" s="134" t="str">
        <f>IF(AND(CH4=0,CH109&lt;=0), "",CH109/CH4)</f>
        <v/>
      </c>
      <c r="CJ109" s="135"/>
      <c r="CK109" s="134" t="str">
        <f t="shared" si="46"/>
        <v/>
      </c>
      <c r="CL109" s="136">
        <f>+CL36-CL38+CL110+CL111</f>
        <v>70237.41</v>
      </c>
      <c r="CM109" s="134">
        <f>IF(AND(CL4=0,CL109&lt;=0), "",CL109/CL4)</f>
        <v>0.42952815289662416</v>
      </c>
      <c r="CN109" s="135"/>
      <c r="CO109" s="133">
        <f>+CO36-CO38+CO110+CO111</f>
        <v>0</v>
      </c>
      <c r="CP109" s="134" t="str">
        <f>IF(AND(CO4=0,CO109&lt;=0), "",CO109/CO4)</f>
        <v/>
      </c>
      <c r="CQ109" s="135"/>
      <c r="CR109" s="134" t="str">
        <f t="shared" si="47"/>
        <v/>
      </c>
      <c r="CS109" s="136">
        <f>+CS36-CS38+CS110+CS111</f>
        <v>70237.41</v>
      </c>
      <c r="CT109" s="134">
        <f>IF(AND(CS4=0,CS109&lt;=0), "",CS109/CS4)</f>
        <v>0.42952815289662416</v>
      </c>
      <c r="CU109" s="135"/>
      <c r="CV109" s="137">
        <f>+CV36-CV38+CV110+CV111</f>
        <v>0</v>
      </c>
      <c r="CW109" s="134" t="str">
        <f>IF(AND(CV4=0,CV109&lt;=0), "",CV109/CV4)</f>
        <v/>
      </c>
      <c r="CX109" s="135">
        <f t="shared" si="48"/>
        <v>1</v>
      </c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</row>
    <row r="110" spans="1:219" s="2" customFormat="1" ht="15.75" thickTop="1" x14ac:dyDescent="0.25">
      <c r="A110" s="19" t="s">
        <v>115</v>
      </c>
      <c r="B110" s="101">
        <f>+'N EERR RODEO'!B154+'N EERR RODEO'!B156</f>
        <v>0</v>
      </c>
      <c r="C110" s="20" t="str">
        <f>IF(AND(B4=0,B110&gt;=0), "",B110/B4)</f>
        <v/>
      </c>
      <c r="D110" s="37" t="str">
        <f>IF(AND(B124=0,B110&gt;=0),"",B110/B124)</f>
        <v/>
      </c>
      <c r="E110" s="101">
        <f>+'N EERR RODEO'!C154+'N EERR RODEO'!C156</f>
        <v>3337.6</v>
      </c>
      <c r="F110" s="20">
        <f>IF(AND(E4=0,E110&gt;=0), "",E110/E4)</f>
        <v>6.9630482362579627E-2</v>
      </c>
      <c r="G110" s="37">
        <f>IF(AND(E124=0,E110&gt;=0),"",E110/E124)</f>
        <v>0.10778687161329265</v>
      </c>
      <c r="H110" s="101">
        <f>+'N EERR RODEO'!D154+'N EERR RODEO'!D156</f>
        <v>1069.3900000000001</v>
      </c>
      <c r="I110" s="20">
        <f>IF(AND(H4=0,H110&gt;=0), "",H110/H4)</f>
        <v>2.0771694911566996E-2</v>
      </c>
      <c r="J110" s="37">
        <f>IF(AND(H124=0,H110&gt;=0),"",H110/H124)</f>
        <v>5.5309394668339659E-2</v>
      </c>
      <c r="K110" s="20">
        <f>IF(AND(E110=0,H110&gt;0),100%,IF(AND(E110&lt;0,H110=0),(E110-H110)/E110,IF(AND(E110&gt;0,H110&gt;0),(H110-E110)/E110,IF(AND(E110=0,H110=0),"",(H110-E110)/E110))))</f>
        <v>-0.67959312080536916</v>
      </c>
      <c r="L110" s="102">
        <f>+E110+H110</f>
        <v>4406.99</v>
      </c>
      <c r="M110" s="20">
        <f>IF(AND(L4=0,L110&gt;=0), "",L110/L4)</f>
        <v>4.4328748863237094E-2</v>
      </c>
      <c r="N110" s="37">
        <f>IF(AND(L124=0,L110&gt;=0),"",L110/L124)</f>
        <v>8.7614986232467523E-2</v>
      </c>
      <c r="O110" s="101">
        <f>+'N EERR RODEO'!E154+'N EERR RODEO'!E156</f>
        <v>3827.55</v>
      </c>
      <c r="P110" s="20">
        <f>IF(AND(O4=0,O110&gt;=0), "",O110/O4)</f>
        <v>5.9706412080707351E-2</v>
      </c>
      <c r="Q110" s="37">
        <f>IF(AND(O124=0,O110&gt;=0),"",O110/O124)</f>
        <v>0.14757183406164046</v>
      </c>
      <c r="R110" s="20">
        <f>IF(AND(H110=0,O110&gt;0),100%,IF(AND(H110&lt;0,O110=0),(H110-O110)/H110,IF(AND(H110&gt;0,O110&gt;0),(O110-H110)/H110,IF(AND(H110=0,O110=0),"",(O110-H110)/H110))))</f>
        <v>2.5791900055171637</v>
      </c>
      <c r="S110" s="102">
        <f>+L110+O110</f>
        <v>8234.5400000000009</v>
      </c>
      <c r="T110" s="20">
        <f>IF(AND(S4=0,S110&gt;=0), "",S110/S4)</f>
        <v>5.0357306115834395E-2</v>
      </c>
      <c r="U110" s="37">
        <f>IF(AND(S124=0,S110&gt;=0),"",S110/S124)</f>
        <v>0.10801328919691341</v>
      </c>
      <c r="V110" s="103"/>
      <c r="W110" s="20" t="str">
        <f>IF(AND(V4=0,V110&gt;=0), "",V110/V4)</f>
        <v/>
      </c>
      <c r="X110" s="37">
        <f t="shared" si="91"/>
        <v>1</v>
      </c>
      <c r="Y110" s="101">
        <f>+'N EERR RODEO'!F154+'N EERR RODEO'!F156</f>
        <v>0</v>
      </c>
      <c r="Z110" s="20" t="str">
        <f>IF(AND(Y4=0,Y110&gt;=0), "",Y110/Y4)</f>
        <v/>
      </c>
      <c r="AA110" s="37" t="str">
        <f>IF(AND(Y124=0,Y110&gt;=0),"",Y110/Y124)</f>
        <v/>
      </c>
      <c r="AB110" s="20">
        <f t="shared" si="92"/>
        <v>-1</v>
      </c>
      <c r="AC110" s="102">
        <f>+S110+Y110</f>
        <v>8234.5400000000009</v>
      </c>
      <c r="AD110" s="20">
        <f>IF(AND(AC4=0,AC110&gt;=0), "",AC110/AC4)</f>
        <v>5.0357306115834395E-2</v>
      </c>
      <c r="AE110" s="37">
        <f>IF(AND(AC124=0,AC110&gt;=0),"",AC110/AC124)</f>
        <v>0.10801328919691341</v>
      </c>
      <c r="AF110" s="101">
        <f>+'N EERR RODEO'!G154+'N EERR RODEO'!G156</f>
        <v>0</v>
      </c>
      <c r="AG110" s="20" t="str">
        <f>IF(AND(AF4=0,AF110&gt;=0), "",AF110/AF4)</f>
        <v/>
      </c>
      <c r="AH110" s="37" t="str">
        <f>IF(AND(AF124=0,AF110&gt;=0),"",AF110/AF124)</f>
        <v/>
      </c>
      <c r="AI110" s="20" t="str">
        <f t="shared" si="41"/>
        <v/>
      </c>
      <c r="AJ110" s="102">
        <f t="shared" si="62"/>
        <v>8234.5400000000009</v>
      </c>
      <c r="AK110" s="20">
        <f>IF(AND(AJ4=0,AJ110&gt;=0), "",AJ110/AJ4)</f>
        <v>5.0357306115834395E-2</v>
      </c>
      <c r="AL110" s="37">
        <f>IF(AND(AJ124=0,AJ110&gt;=0),"",AJ110/AJ124)</f>
        <v>0.10801328919691341</v>
      </c>
      <c r="AM110" s="101">
        <f>+'N EERR RODEO'!H154+'N EERR RODEO'!H156</f>
        <v>0</v>
      </c>
      <c r="AN110" s="20" t="str">
        <f>IF(AND(AM4=0,AM110&gt;=0), "",AM110/AM4)</f>
        <v/>
      </c>
      <c r="AO110" s="37" t="str">
        <f>IF(AND(AM124=0,AM110&gt;=0),"",AM110/AM124)</f>
        <v/>
      </c>
      <c r="AP110" s="20" t="str">
        <f t="shared" si="42"/>
        <v/>
      </c>
      <c r="AQ110" s="102">
        <f t="shared" si="63"/>
        <v>8234.5400000000009</v>
      </c>
      <c r="AR110" s="20">
        <f>IF(AND(AQ4=0,AQ110&gt;=0), "",AQ110/AQ4)</f>
        <v>5.0357306115834395E-2</v>
      </c>
      <c r="AS110" s="37">
        <f>IF(AND(AQ124=0,AQ110&gt;=0),"",AQ110/AQ124)</f>
        <v>0.10801328919691341</v>
      </c>
      <c r="AT110" s="103">
        <f>+V110*2</f>
        <v>0</v>
      </c>
      <c r="AU110" s="20" t="str">
        <f>IF(AND(AT4=0,AT110&gt;=0), "",AT110/AT4)</f>
        <v/>
      </c>
      <c r="AV110" s="37">
        <f t="shared" si="93"/>
        <v>1</v>
      </c>
      <c r="AW110" s="103">
        <f>+AQ110/6</f>
        <v>1372.4233333333334</v>
      </c>
      <c r="AX110" s="20">
        <f>IF(AND(AW4=0,AW110&gt;=0), "",AW110/AW4)</f>
        <v>5.0357306115834395E-2</v>
      </c>
      <c r="AY110" s="37">
        <f>IF(AND(AW124=0,AW110&gt;=0),"",AW110/AW124)</f>
        <v>0.1080132891969134</v>
      </c>
      <c r="AZ110" s="103">
        <f>+AT110/6</f>
        <v>0</v>
      </c>
      <c r="BA110" s="20" t="str">
        <f>IF(AND(AZ4=0,AZ110&gt;=0), "",AZ110/AZ4)</f>
        <v/>
      </c>
      <c r="BB110" s="37">
        <f t="shared" si="94"/>
        <v>1</v>
      </c>
      <c r="BC110" s="101">
        <f>+'N EERR RODEO'!I154+'N EERR RODEO'!I156</f>
        <v>0</v>
      </c>
      <c r="BD110" s="20" t="str">
        <f>IF(AND(BC4=0,BC110&gt;=0), "",BC110/BC4)</f>
        <v/>
      </c>
      <c r="BE110" s="37" t="str">
        <f>IF(AND(BC124=0,BC110&gt;=0),"",BC110/BC124)</f>
        <v/>
      </c>
      <c r="BF110" s="20" t="str">
        <f t="shared" si="95"/>
        <v/>
      </c>
      <c r="BG110" s="102">
        <f>+AQ110+BC110</f>
        <v>8234.5400000000009</v>
      </c>
      <c r="BH110" s="20">
        <f>IF(AND(BG4=0,BG110&gt;=0), "",BG110/BG4)</f>
        <v>5.0357306115834395E-2</v>
      </c>
      <c r="BI110" s="37">
        <f>IF(AND(BG124=0,BG110&gt;=0),"",BG110/BG124)</f>
        <v>0.10801328919691341</v>
      </c>
      <c r="BJ110" s="101">
        <f>+'N EERR RODEO'!J154+'N EERR RODEO'!J156</f>
        <v>0</v>
      </c>
      <c r="BK110" s="20" t="str">
        <f>IF(AND(BJ4=0,BJ110&gt;=0), "",BJ110/BJ4)</f>
        <v/>
      </c>
      <c r="BL110" s="37" t="str">
        <f>IF(AND(BJ124=0,BJ110&gt;=0),"",BJ110/BJ124)</f>
        <v/>
      </c>
      <c r="BM110" s="20" t="str">
        <f t="shared" si="43"/>
        <v/>
      </c>
      <c r="BN110" s="102">
        <f>+BG110+BJ110</f>
        <v>8234.5400000000009</v>
      </c>
      <c r="BO110" s="20">
        <f>IF(AND(BN4=0,BN110&gt;=0), "",BN110/BN4)</f>
        <v>5.0357306115834395E-2</v>
      </c>
      <c r="BP110" s="37">
        <f>IF(AND(BN124=0,BN110&gt;=0),"",BN110/BN124)</f>
        <v>0.10801328919691341</v>
      </c>
      <c r="BQ110" s="101">
        <f>+'N EERR RODEO'!K154+'N EERR RODEO'!K156</f>
        <v>0</v>
      </c>
      <c r="BR110" s="20" t="str">
        <f>IF(AND(BQ4=0,BQ110&gt;=0), "",BQ110/BQ4)</f>
        <v/>
      </c>
      <c r="BS110" s="37" t="str">
        <f>IF(AND(BQ124=0,BQ110&gt;=0),"",BQ110/BQ124)</f>
        <v/>
      </c>
      <c r="BT110" s="20" t="str">
        <f t="shared" si="44"/>
        <v/>
      </c>
      <c r="BU110" s="102">
        <f>+BN110+BQ110</f>
        <v>8234.5400000000009</v>
      </c>
      <c r="BV110" s="20">
        <f>IF(AND(BU4=0,BU110&gt;=0), "",BU110/BU4)</f>
        <v>5.0357306115834395E-2</v>
      </c>
      <c r="BW110" s="37">
        <f>IF(AND(BU124=0,BU110&gt;=0),"",BU110/BU124)</f>
        <v>0.10801328919691341</v>
      </c>
      <c r="BX110" s="103">
        <f>+AZ110*9</f>
        <v>0</v>
      </c>
      <c r="BY110" s="20" t="str">
        <f>IF(AND(BX4=0,BX110&gt;=0), "",BX110/BX4)</f>
        <v/>
      </c>
      <c r="BZ110" s="37">
        <f t="shared" si="45"/>
        <v>1</v>
      </c>
      <c r="CA110" s="101">
        <f>+'N EERR RODEO'!L154+'N EERR RODEO'!L156</f>
        <v>0</v>
      </c>
      <c r="CB110" s="20" t="str">
        <f>IF(AND(CA4=0,CA110&gt;=0), "",CA110/CA4)</f>
        <v/>
      </c>
      <c r="CC110" s="37" t="str">
        <f>IF(AND(CA124=0,CA110&gt;=0),"",CA110/CA124)</f>
        <v/>
      </c>
      <c r="CD110" s="20" t="str">
        <f t="shared" si="96"/>
        <v/>
      </c>
      <c r="CE110" s="102">
        <f>+BU110+CA110</f>
        <v>8234.5400000000009</v>
      </c>
      <c r="CF110" s="20">
        <f>IF(AND(CE4=0,CE110&gt;=0), "",CE110/CE4)</f>
        <v>5.0357306115834395E-2</v>
      </c>
      <c r="CG110" s="37">
        <f>IF(AND(CE124=0,CE110&gt;=0),"",CE110/CE124)</f>
        <v>0.10801328919691341</v>
      </c>
      <c r="CH110" s="101">
        <f>+'N EERR RODEO'!M154+'N EERR RODEO'!M156</f>
        <v>0</v>
      </c>
      <c r="CI110" s="20" t="str">
        <f>IF(AND(CH4=0,CH110&gt;=0), "",CH110/CH4)</f>
        <v/>
      </c>
      <c r="CJ110" s="37" t="str">
        <f>IF(AND(CH124=0,CH110&gt;=0),"",CH110/CH124)</f>
        <v/>
      </c>
      <c r="CK110" s="20" t="str">
        <f t="shared" si="46"/>
        <v/>
      </c>
      <c r="CL110" s="102">
        <f>+CE110+CH110</f>
        <v>8234.5400000000009</v>
      </c>
      <c r="CM110" s="20">
        <f>IF(AND(CL4=0,CL110&gt;=0), "",CL110/CL4)</f>
        <v>5.0357306115834395E-2</v>
      </c>
      <c r="CN110" s="37">
        <f>IF(AND(CL124=0,CL110&gt;=0),"",CL110/CL124)</f>
        <v>0.10801328919691341</v>
      </c>
      <c r="CO110" s="101">
        <f>+'N EERR RODEO'!N154+'N EERR RODEO'!N156</f>
        <v>0</v>
      </c>
      <c r="CP110" s="20" t="str">
        <f>IF(AND(CO4=0,CO110&gt;=0), "",CO110/CO4)</f>
        <v/>
      </c>
      <c r="CQ110" s="37" t="str">
        <f>IF(AND(CO124=0,CO110&gt;=0),"",CO110/CO124)</f>
        <v/>
      </c>
      <c r="CR110" s="20" t="str">
        <f t="shared" si="47"/>
        <v/>
      </c>
      <c r="CS110" s="102">
        <f>+CL110+CO110</f>
        <v>8234.5400000000009</v>
      </c>
      <c r="CT110" s="20">
        <f>IF(AND(CS4=0,CS110&gt;=0), "",CS110/CS4)</f>
        <v>5.0357306115834395E-2</v>
      </c>
      <c r="CU110" s="37">
        <f>IF(AND(CS124=0,CS110&gt;=0),"",CS110/CS124)</f>
        <v>0.10801328919691341</v>
      </c>
      <c r="CV110" s="103">
        <f>+AZ110*12</f>
        <v>0</v>
      </c>
      <c r="CW110" s="20" t="str">
        <f>IF(AND(CV4=0,CV110&gt;=0), "",CV110/CV4)</f>
        <v/>
      </c>
      <c r="CX110" s="37">
        <f t="shared" si="48"/>
        <v>1</v>
      </c>
    </row>
    <row r="111" spans="1:219" s="2" customFormat="1" x14ac:dyDescent="0.25">
      <c r="A111" s="19" t="s">
        <v>126</v>
      </c>
      <c r="B111" s="101">
        <f>+'N EERR RODEO'!B155</f>
        <v>0</v>
      </c>
      <c r="C111" s="20" t="str">
        <f>IF(AND(B4=0,B111&gt;=0), "",B111/B4)</f>
        <v/>
      </c>
      <c r="D111" s="37" t="str">
        <f>IF(AND(B124=0,B111&gt;=0),"",B111/B124)</f>
        <v/>
      </c>
      <c r="E111" s="101">
        <f>+'N EERR RODEO'!C155</f>
        <v>0</v>
      </c>
      <c r="F111" s="20">
        <f>IF(AND(E4=0,E111&gt;=0), "",E111/E4)</f>
        <v>0</v>
      </c>
      <c r="G111" s="37">
        <f>IF(AND(E124=0,E111&gt;=0),"",E111/E124)</f>
        <v>0</v>
      </c>
      <c r="H111" s="101">
        <f>+'N EERR RODEO'!D155</f>
        <v>0</v>
      </c>
      <c r="I111" s="20">
        <f>IF(AND(H4=0,H111&gt;=0), "",H111/H4)</f>
        <v>0</v>
      </c>
      <c r="J111" s="37">
        <f>IF(AND(H124=0,H111&gt;=0),"",H111/H124)</f>
        <v>0</v>
      </c>
      <c r="K111" s="20" t="str">
        <f>IF(AND(E111=0,H111&gt;0),100%,IF(AND(E111&lt;0,H111&gt;=0),(E111-H111)/E111,IF(AND(E111&gt;0,H111&gt;0),(H111-E111)/E111,IF(AND(E111=0,H111&lt;=0),"",(H111-E111)/E111))))</f>
        <v/>
      </c>
      <c r="L111" s="102">
        <f>+E111+H111</f>
        <v>0</v>
      </c>
      <c r="M111" s="20">
        <f>IF(AND(L4=0,L111&gt;=0), "",L111/L4)</f>
        <v>0</v>
      </c>
      <c r="N111" s="37">
        <f>IF(AND(L124=0,L111&gt;=0),"",L111/L124)</f>
        <v>0</v>
      </c>
      <c r="O111" s="101">
        <f>+'N EERR RODEO'!E155</f>
        <v>0</v>
      </c>
      <c r="P111" s="20">
        <f>IF(AND(O4=0,O111&gt;=0), "",O111/O4)</f>
        <v>0</v>
      </c>
      <c r="Q111" s="37">
        <f>IF(AND(O124=0,O111&gt;=0),"",O111/O124)</f>
        <v>0</v>
      </c>
      <c r="R111" s="20" t="str">
        <f>IF(AND(H111=0,O111&gt;0),100%,IF(AND(H111&lt;0,O111&gt;=0),(H111-O111)/H111,IF(AND(H111&gt;0,O111&gt;0),(O111-H111)/H111,IF(AND(H111=0,O111&lt;=0),"",(O111-H111)/H111))))</f>
        <v/>
      </c>
      <c r="S111" s="102">
        <f>+L111+O111</f>
        <v>0</v>
      </c>
      <c r="T111" s="20">
        <f>IF(AND(S4=0,S111&gt;=0), "",S111/S4)</f>
        <v>0</v>
      </c>
      <c r="U111" s="37">
        <f>IF(AND(S124=0,S111&gt;=0),"",S111/S124)</f>
        <v>0</v>
      </c>
      <c r="V111" s="103"/>
      <c r="W111" s="20" t="str">
        <f>IF(AND(V4=0,V111&gt;=0), "",V111/V4)</f>
        <v/>
      </c>
      <c r="X111" s="37" t="str">
        <f t="shared" si="91"/>
        <v/>
      </c>
      <c r="Y111" s="101">
        <f>+'N EERR RODEO'!F155</f>
        <v>0</v>
      </c>
      <c r="Z111" s="20" t="str">
        <f>IF(AND(Y4=0,Y111&gt;=0), "",Y111/Y4)</f>
        <v/>
      </c>
      <c r="AA111" s="37" t="str">
        <f>IF(AND(Y124=0,Y111&gt;=0),"",Y111/Y124)</f>
        <v/>
      </c>
      <c r="AB111" s="20" t="str">
        <f t="shared" si="92"/>
        <v/>
      </c>
      <c r="AC111" s="102">
        <f>+S111+Y111</f>
        <v>0</v>
      </c>
      <c r="AD111" s="20">
        <f>IF(AND(AC4=0,AC111&gt;=0), "",AC111/AC4)</f>
        <v>0</v>
      </c>
      <c r="AE111" s="37">
        <f>IF(AND(AC124=0,AC111&gt;=0),"",AC111/AC124)</f>
        <v>0</v>
      </c>
      <c r="AF111" s="101">
        <f>+'N EERR RODEO'!G155</f>
        <v>0</v>
      </c>
      <c r="AG111" s="20" t="str">
        <f>IF(AND(AF4=0,AF111&gt;=0), "",AF111/AF4)</f>
        <v/>
      </c>
      <c r="AH111" s="37" t="str">
        <f>IF(AND(AF124=0,AF111&gt;=0),"",AF111/AF124)</f>
        <v/>
      </c>
      <c r="AI111" s="20" t="str">
        <f t="shared" si="41"/>
        <v/>
      </c>
      <c r="AJ111" s="102">
        <f t="shared" si="62"/>
        <v>0</v>
      </c>
      <c r="AK111" s="20">
        <f>IF(AND(AJ4=0,AJ111&gt;=0), "",AJ111/AJ4)</f>
        <v>0</v>
      </c>
      <c r="AL111" s="37">
        <f>IF(AND(AJ124=0,AJ111&gt;=0),"",AJ111/AJ124)</f>
        <v>0</v>
      </c>
      <c r="AM111" s="101">
        <f>+'N EERR RODEO'!H155</f>
        <v>0</v>
      </c>
      <c r="AN111" s="20" t="str">
        <f>IF(AND(AM4=0,AM111&gt;=0), "",AM111/AM4)</f>
        <v/>
      </c>
      <c r="AO111" s="37" t="str">
        <f>IF(AND(AM124=0,AM111&gt;=0),"",AM111/AM124)</f>
        <v/>
      </c>
      <c r="AP111" s="20" t="str">
        <f t="shared" si="42"/>
        <v/>
      </c>
      <c r="AQ111" s="102">
        <f t="shared" si="63"/>
        <v>0</v>
      </c>
      <c r="AR111" s="20">
        <f>IF(AND(AQ4=0,AQ111&gt;=0), "",AQ111/AQ4)</f>
        <v>0</v>
      </c>
      <c r="AS111" s="37">
        <f>IF(AND(AQ124=0,AQ111&gt;=0),"",AQ111/AQ124)</f>
        <v>0</v>
      </c>
      <c r="AT111" s="103">
        <f>+V111*2</f>
        <v>0</v>
      </c>
      <c r="AU111" s="20" t="str">
        <f>IF(AND(AT4=0,AT111&gt;=0), "",AT111/AT4)</f>
        <v/>
      </c>
      <c r="AV111" s="37" t="str">
        <f t="shared" si="93"/>
        <v/>
      </c>
      <c r="AW111" s="103">
        <f>+AQ111/6</f>
        <v>0</v>
      </c>
      <c r="AX111" s="20">
        <f>IF(AND(AW4=0,AW111&gt;=0), "",AW111/AW4)</f>
        <v>0</v>
      </c>
      <c r="AY111" s="37">
        <f>IF(AND(AW124=0,AW111&gt;=0),"",AW111/AW124)</f>
        <v>0</v>
      </c>
      <c r="AZ111" s="103">
        <f>+AT111/6</f>
        <v>0</v>
      </c>
      <c r="BA111" s="20" t="str">
        <f>IF(AND(AZ4=0,AZ111&gt;=0), "",AZ111/AZ4)</f>
        <v/>
      </c>
      <c r="BB111" s="37" t="str">
        <f t="shared" si="94"/>
        <v/>
      </c>
      <c r="BC111" s="101">
        <f>+'N EERR RODEO'!I155</f>
        <v>0</v>
      </c>
      <c r="BD111" s="20" t="str">
        <f>IF(AND(BC4=0,BC111&gt;=0), "",BC111/BC4)</f>
        <v/>
      </c>
      <c r="BE111" s="37" t="str">
        <f>IF(AND(BC124=0,BC111&gt;=0),"",BC111/BC124)</f>
        <v/>
      </c>
      <c r="BF111" s="20" t="str">
        <f t="shared" si="95"/>
        <v/>
      </c>
      <c r="BG111" s="102">
        <f>+AQ111+BC111</f>
        <v>0</v>
      </c>
      <c r="BH111" s="20">
        <f>IF(AND(BG4=0,BG111&gt;=0), "",BG111/BG4)</f>
        <v>0</v>
      </c>
      <c r="BI111" s="37">
        <f>IF(AND(BG124=0,BG111&gt;=0),"",BG111/BG124)</f>
        <v>0</v>
      </c>
      <c r="BJ111" s="101">
        <f>+'N EERR RODEO'!J155</f>
        <v>0</v>
      </c>
      <c r="BK111" s="20" t="str">
        <f>IF(AND(BJ4=0,BJ111&gt;=0), "",BJ111/BJ4)</f>
        <v/>
      </c>
      <c r="BL111" s="37" t="str">
        <f>IF(AND(BJ124=0,BJ111&gt;=0),"",BJ111/BJ124)</f>
        <v/>
      </c>
      <c r="BM111" s="20" t="str">
        <f t="shared" si="43"/>
        <v/>
      </c>
      <c r="BN111" s="102">
        <f>+BG111+BJ111</f>
        <v>0</v>
      </c>
      <c r="BO111" s="20">
        <f>IF(AND(BN4=0,BN111&gt;=0), "",BN111/BN4)</f>
        <v>0</v>
      </c>
      <c r="BP111" s="37">
        <f>IF(AND(BN124=0,BN111&gt;=0),"",BN111/BN124)</f>
        <v>0</v>
      </c>
      <c r="BQ111" s="101">
        <f>+'N EERR RODEO'!K155</f>
        <v>0</v>
      </c>
      <c r="BR111" s="20" t="str">
        <f>IF(AND(BQ4=0,BQ111&gt;=0), "",BQ111/BQ4)</f>
        <v/>
      </c>
      <c r="BS111" s="37" t="str">
        <f>IF(AND(BQ124=0,BQ111&gt;=0),"",BQ111/BQ124)</f>
        <v/>
      </c>
      <c r="BT111" s="20" t="str">
        <f t="shared" si="44"/>
        <v/>
      </c>
      <c r="BU111" s="102">
        <f>+BN111+BQ111</f>
        <v>0</v>
      </c>
      <c r="BV111" s="20">
        <f>IF(AND(BU4=0,BU111&gt;=0), "",BU111/BU4)</f>
        <v>0</v>
      </c>
      <c r="BW111" s="37">
        <f>IF(AND(BU124=0,BU111&gt;=0),"",BU111/BU124)</f>
        <v>0</v>
      </c>
      <c r="BX111" s="103">
        <f>+AZ111*9</f>
        <v>0</v>
      </c>
      <c r="BY111" s="20" t="str">
        <f>IF(AND(BX4=0,BX111&gt;=0), "",BX111/BX4)</f>
        <v/>
      </c>
      <c r="BZ111" s="37" t="str">
        <f t="shared" si="45"/>
        <v/>
      </c>
      <c r="CA111" s="101">
        <f>+'N EERR RODEO'!L155</f>
        <v>0</v>
      </c>
      <c r="CB111" s="20" t="str">
        <f>IF(AND(CA4=0,CA111&gt;=0), "",CA111/CA4)</f>
        <v/>
      </c>
      <c r="CC111" s="37" t="str">
        <f>IF(AND(CA124=0,CA111&gt;=0),"",CA111/CA124)</f>
        <v/>
      </c>
      <c r="CD111" s="20" t="str">
        <f t="shared" si="96"/>
        <v/>
      </c>
      <c r="CE111" s="102">
        <f>+BU111+CA111</f>
        <v>0</v>
      </c>
      <c r="CF111" s="20">
        <f>IF(AND(CE4=0,CE111&gt;=0), "",CE111/CE4)</f>
        <v>0</v>
      </c>
      <c r="CG111" s="37">
        <f>IF(AND(CE124=0,CE111&gt;=0),"",CE111/CE124)</f>
        <v>0</v>
      </c>
      <c r="CH111" s="101">
        <f>+'N EERR RODEO'!M155</f>
        <v>0</v>
      </c>
      <c r="CI111" s="20" t="str">
        <f>IF(AND(CH4=0,CH111&gt;=0), "",CH111/CH4)</f>
        <v/>
      </c>
      <c r="CJ111" s="37" t="str">
        <f>IF(AND(CH124=0,CH111&gt;=0),"",CH111/CH124)</f>
        <v/>
      </c>
      <c r="CK111" s="20" t="str">
        <f t="shared" si="46"/>
        <v/>
      </c>
      <c r="CL111" s="102">
        <f>+CE111+CH111</f>
        <v>0</v>
      </c>
      <c r="CM111" s="20">
        <f>IF(AND(CL4=0,CL111&gt;=0), "",CL111/CL4)</f>
        <v>0</v>
      </c>
      <c r="CN111" s="37">
        <f>IF(AND(CL124=0,CL111&gt;=0),"",CL111/CL124)</f>
        <v>0</v>
      </c>
      <c r="CO111" s="101">
        <f>+'N EERR RODEO'!N155</f>
        <v>0</v>
      </c>
      <c r="CP111" s="20" t="str">
        <f>IF(AND(CO4=0,CO111&gt;=0), "",CO111/CO4)</f>
        <v/>
      </c>
      <c r="CQ111" s="37" t="str">
        <f>IF(AND(CO124=0,CO111&gt;=0),"",CO111/CO124)</f>
        <v/>
      </c>
      <c r="CR111" s="20" t="str">
        <f t="shared" si="47"/>
        <v/>
      </c>
      <c r="CS111" s="102">
        <f>+CL111+CO111</f>
        <v>0</v>
      </c>
      <c r="CT111" s="20">
        <f>IF(AND(CS4=0,CS111&gt;=0), "",CS111/CS4)</f>
        <v>0</v>
      </c>
      <c r="CU111" s="37">
        <f>IF(AND(CS124=0,CS111&gt;=0),"",CS111/CS124)</f>
        <v>0</v>
      </c>
      <c r="CV111" s="103">
        <f>+AZ111*12</f>
        <v>0</v>
      </c>
      <c r="CW111" s="20" t="str">
        <f>IF(AND(CV4=0,CV111&gt;=0), "",CV111/CV4)</f>
        <v/>
      </c>
      <c r="CX111" s="37" t="str">
        <f t="shared" si="48"/>
        <v/>
      </c>
    </row>
    <row r="112" spans="1:219" s="24" customFormat="1" ht="15.75" x14ac:dyDescent="0.25">
      <c r="A112" s="120" t="s">
        <v>118</v>
      </c>
      <c r="B112" s="121">
        <f>+B109-B110-B111</f>
        <v>0</v>
      </c>
      <c r="C112" s="122" t="str">
        <f>IF(AND(B4=0,B112&lt;=0), "",B112/B4)</f>
        <v/>
      </c>
      <c r="D112" s="123"/>
      <c r="E112" s="121">
        <f>+E109-E110-E111</f>
        <v>14406.539999999999</v>
      </c>
      <c r="F112" s="122">
        <f>IF(AND(E4=0,E112&lt;=0), "",E112/E4)</f>
        <v>0.30055558766053386</v>
      </c>
      <c r="G112" s="123"/>
      <c r="H112" s="121">
        <f>+H109-H110-H111</f>
        <v>17321.130000000005</v>
      </c>
      <c r="I112" s="122">
        <f>IF(AND(H4=0,H112&lt;=0), "",H112/H4)</f>
        <v>0.33644341903663816</v>
      </c>
      <c r="J112" s="123"/>
      <c r="K112" s="122">
        <f>IF(AND(E112=0,H112&gt;0),100%,IF(AND(E112&lt;0,H112&gt;=0),(E112-H112)/E112,IF(AND(E112&gt;0,H112&gt;0),(H112-E112)/E112,IF(AND(E112=0,H112&lt;=0),"",(H112-E112)/E112))))</f>
        <v>0.20231020078381109</v>
      </c>
      <c r="L112" s="124">
        <f>+L109-L110-L111</f>
        <v>31727.670000000013</v>
      </c>
      <c r="M112" s="122">
        <f>IF(AND(L4=0,L112&lt;=0), "",L112/L4)</f>
        <v>0.31914025569508037</v>
      </c>
      <c r="N112" s="123"/>
      <c r="O112" s="121">
        <f>+O109-O110-O111</f>
        <v>30275.200000000008</v>
      </c>
      <c r="P112" s="122">
        <f>IF(AND(O4=0,O112&lt;=0), "",O112/O4)</f>
        <v>0.47226648039237418</v>
      </c>
      <c r="Q112" s="123"/>
      <c r="R112" s="122">
        <f>IF(AND(H112=0,O112&gt;0),100%,IF(AND(H112&lt;0,O112&gt;=0),(H112-O112)/H112,IF(AND(H112&gt;0,O112&gt;0),(O112-H112)/H112,IF(AND(H112=0,O112&lt;=0),"",(O112-H112)/H112))))</f>
        <v>0.74787672628748814</v>
      </c>
      <c r="S112" s="124">
        <f>+S109-S110-S111</f>
        <v>62002.87</v>
      </c>
      <c r="T112" s="122">
        <f>IF(AND(S4=0,S112&lt;=0), "",S112/S4)</f>
        <v>0.37917084678078977</v>
      </c>
      <c r="U112" s="123"/>
      <c r="V112" s="125">
        <f>+V109-V110-V111</f>
        <v>0</v>
      </c>
      <c r="W112" s="122" t="str">
        <f>IF(AND(V4=0,V112&lt;=0), "",V112/V4)</f>
        <v/>
      </c>
      <c r="X112" s="123">
        <f t="shared" si="91"/>
        <v>1</v>
      </c>
      <c r="Y112" s="121">
        <f>+Y109-Y110-Y111</f>
        <v>0</v>
      </c>
      <c r="Z112" s="122" t="str">
        <f>IF(AND(Y4=0,Y112&lt;=0), "",Y112/Y4)</f>
        <v/>
      </c>
      <c r="AA112" s="123"/>
      <c r="AB112" s="122">
        <f t="shared" si="92"/>
        <v>-1</v>
      </c>
      <c r="AC112" s="124">
        <f>+AC109-AC110-AC111</f>
        <v>62002.87</v>
      </c>
      <c r="AD112" s="122">
        <f>IF(AND(AC4=0,AC112&lt;=0), "",AC112/AC4)</f>
        <v>0.37917084678078977</v>
      </c>
      <c r="AE112" s="123"/>
      <c r="AF112" s="121">
        <f>+AF109-AF110-AF111</f>
        <v>0</v>
      </c>
      <c r="AG112" s="122" t="str">
        <f>IF(AND(AF4=0,AF112&lt;=0), "",AF112/AF4)</f>
        <v/>
      </c>
      <c r="AH112" s="123"/>
      <c r="AI112" s="122" t="str">
        <f t="shared" si="41"/>
        <v/>
      </c>
      <c r="AJ112" s="124">
        <f>+AJ109-AJ110-AJ111</f>
        <v>62002.87</v>
      </c>
      <c r="AK112" s="122">
        <f>IF(AND(AJ4=0,AJ112&lt;=0), "",AJ112/AJ4)</f>
        <v>0.37917084678078977</v>
      </c>
      <c r="AL112" s="123"/>
      <c r="AM112" s="121">
        <f>+AM109-AM110-AM111</f>
        <v>0</v>
      </c>
      <c r="AN112" s="122" t="str">
        <f>IF(AND(AM4=0,AM112&lt;=0), "",AM112/AM4)</f>
        <v/>
      </c>
      <c r="AO112" s="123"/>
      <c r="AP112" s="122" t="str">
        <f t="shared" si="42"/>
        <v/>
      </c>
      <c r="AQ112" s="124">
        <f>+AQ109-AQ110-AQ111</f>
        <v>62002.87</v>
      </c>
      <c r="AR112" s="122">
        <f>IF(AND(AQ4=0,AQ112&lt;=0), "",AQ112/AQ4)</f>
        <v>0.37917084678078977</v>
      </c>
      <c r="AS112" s="123"/>
      <c r="AT112" s="125">
        <f>+AT109-AT110-AT111</f>
        <v>0</v>
      </c>
      <c r="AU112" s="122" t="str">
        <f>IF(AND(AT4=0,AT112&lt;=0), "",AT112/AT4)</f>
        <v/>
      </c>
      <c r="AV112" s="123">
        <f t="shared" si="93"/>
        <v>1</v>
      </c>
      <c r="AW112" s="125">
        <f>+AW109-AW110-AW111</f>
        <v>10333.811666666668</v>
      </c>
      <c r="AX112" s="122">
        <f>IF(AND(AW4=0,AW112&lt;=0), "",AW112/AW4)</f>
        <v>0.37917084678078983</v>
      </c>
      <c r="AY112" s="123"/>
      <c r="AZ112" s="125">
        <f>+AZ109-AZ110-AZ111</f>
        <v>0</v>
      </c>
      <c r="BA112" s="122" t="str">
        <f>IF(AND(AZ4=0,AZ112&lt;=0), "",AZ112/AZ4)</f>
        <v/>
      </c>
      <c r="BB112" s="123">
        <f t="shared" si="94"/>
        <v>1</v>
      </c>
      <c r="BC112" s="121">
        <f>+BC109-BC110-BC111</f>
        <v>0</v>
      </c>
      <c r="BD112" s="122" t="str">
        <f>IF(AND(BC4=0,BC112&lt;=0), "",BC112/BC4)</f>
        <v/>
      </c>
      <c r="BE112" s="123"/>
      <c r="BF112" s="122" t="str">
        <f t="shared" si="95"/>
        <v/>
      </c>
      <c r="BG112" s="124">
        <f>+BG109-BG110-BG111</f>
        <v>62002.87</v>
      </c>
      <c r="BH112" s="122">
        <f>IF(AND(BG4=0,BG112&lt;=0), "",BG112/BG4)</f>
        <v>0.37917084678078977</v>
      </c>
      <c r="BI112" s="123"/>
      <c r="BJ112" s="121">
        <f>+BJ109-BJ110-BJ111</f>
        <v>0</v>
      </c>
      <c r="BK112" s="122" t="str">
        <f>IF(AND(BJ4=0,BJ112&lt;=0), "",BJ112/BJ4)</f>
        <v/>
      </c>
      <c r="BL112" s="123"/>
      <c r="BM112" s="122" t="str">
        <f t="shared" si="43"/>
        <v/>
      </c>
      <c r="BN112" s="124">
        <f>+BN109-BN110-BN111</f>
        <v>62002.87</v>
      </c>
      <c r="BO112" s="122">
        <f>IF(AND(BN4=0,BN112&lt;=0), "",BN112/BN4)</f>
        <v>0.37917084678078977</v>
      </c>
      <c r="BP112" s="123"/>
      <c r="BQ112" s="121">
        <f>+BQ109-BQ110-BQ111</f>
        <v>0</v>
      </c>
      <c r="BR112" s="122" t="str">
        <f>IF(AND(BQ4=0,BQ112&lt;=0), "",BQ112/BQ4)</f>
        <v/>
      </c>
      <c r="BS112" s="123"/>
      <c r="BT112" s="122" t="str">
        <f t="shared" si="44"/>
        <v/>
      </c>
      <c r="BU112" s="124">
        <f>+BU109-BU110-BU111</f>
        <v>62002.87</v>
      </c>
      <c r="BV112" s="122">
        <f>IF(AND(BU4=0,BU112&lt;=0), "",BU112/BU4)</f>
        <v>0.37917084678078977</v>
      </c>
      <c r="BW112" s="123"/>
      <c r="BX112" s="125">
        <f>+BX109-BX110-BX111</f>
        <v>0</v>
      </c>
      <c r="BY112" s="122" t="str">
        <f>IF(AND(BX4=0,BX112&lt;=0), "",BX112/BX4)</f>
        <v/>
      </c>
      <c r="BZ112" s="123">
        <f t="shared" si="45"/>
        <v>1</v>
      </c>
      <c r="CA112" s="121">
        <f>+CA109-CA110-CA111</f>
        <v>0</v>
      </c>
      <c r="CB112" s="122" t="str">
        <f>IF(AND(CA4=0,CA112&lt;=0), "",CA112/CA4)</f>
        <v/>
      </c>
      <c r="CC112" s="123"/>
      <c r="CD112" s="122" t="str">
        <f t="shared" si="96"/>
        <v/>
      </c>
      <c r="CE112" s="124">
        <f>+CE109-CE110-CE111</f>
        <v>62002.87</v>
      </c>
      <c r="CF112" s="122">
        <f>IF(AND(CE4=0,CE112&lt;=0), "",CE112/CE4)</f>
        <v>0.37917084678078977</v>
      </c>
      <c r="CG112" s="123"/>
      <c r="CH112" s="121">
        <f>+CH109-CH110-CH111</f>
        <v>0</v>
      </c>
      <c r="CI112" s="122" t="str">
        <f>IF(AND(CH4=0,CH112&lt;=0), "",CH112/CH4)</f>
        <v/>
      </c>
      <c r="CJ112" s="123"/>
      <c r="CK112" s="122" t="str">
        <f t="shared" si="46"/>
        <v/>
      </c>
      <c r="CL112" s="124">
        <f>+CL109-CL110-CL111</f>
        <v>62002.87</v>
      </c>
      <c r="CM112" s="122">
        <f>IF(AND(CL4=0,CL112&lt;=0), "",CL112/CL4)</f>
        <v>0.37917084678078977</v>
      </c>
      <c r="CN112" s="123"/>
      <c r="CO112" s="121">
        <f>+CO109-CO110-CO111</f>
        <v>0</v>
      </c>
      <c r="CP112" s="122" t="str">
        <f>IF(AND(CO4=0,CO112&lt;=0), "",CO112/CO4)</f>
        <v/>
      </c>
      <c r="CQ112" s="123"/>
      <c r="CR112" s="122" t="str">
        <f t="shared" si="47"/>
        <v/>
      </c>
      <c r="CS112" s="124">
        <f>+CS109-CS110-CS111</f>
        <v>62002.87</v>
      </c>
      <c r="CT112" s="122">
        <f>IF(AND(CS4=0,CS112&lt;=0), "",CS112/CS4)</f>
        <v>0.37917084678078977</v>
      </c>
      <c r="CU112" s="123"/>
      <c r="CV112" s="125">
        <f>+CV109-CV110-CV111</f>
        <v>0</v>
      </c>
      <c r="CW112" s="122" t="str">
        <f>IF(AND(CV4=0,CV112&lt;=0), "",CV112/CV4)</f>
        <v/>
      </c>
      <c r="CX112" s="123">
        <f t="shared" si="48"/>
        <v>1</v>
      </c>
    </row>
    <row r="113" spans="1:102" s="24" customFormat="1" ht="31.5" x14ac:dyDescent="0.25">
      <c r="A113" s="120" t="s">
        <v>93</v>
      </c>
      <c r="B113" s="121">
        <f>+B36-B38+B66+B63+B64</f>
        <v>0</v>
      </c>
      <c r="C113" s="122" t="str">
        <f>IF(AND(B4=0,B113&lt;=0), "",B113/B4)</f>
        <v/>
      </c>
      <c r="D113" s="123"/>
      <c r="E113" s="121">
        <f>+E36-E38+E66+E63+E64</f>
        <v>15382.660000000002</v>
      </c>
      <c r="F113" s="122">
        <f>IF(AND(E4=0,E113&lt;=0), "",E113/E4)</f>
        <v>0.32091983335916802</v>
      </c>
      <c r="G113" s="123"/>
      <c r="H113" s="121">
        <f>+H36-H38+H66+H63+H64</f>
        <v>18002.440000000006</v>
      </c>
      <c r="I113" s="122">
        <f>IF(AND(H4=0,H113&lt;=0), "",H113/H4)</f>
        <v>0.34967709754513343</v>
      </c>
      <c r="J113" s="123"/>
      <c r="K113" s="122">
        <f>IF(AND(E113=0,H113&gt;0),100%,IF(AND(E113&lt;0,H113=0),(E113-H113)/E113,IF(AND(E113&gt;0,H113&gt;0),(H113-E113)/E113,IF(AND(E113=0,H113=0),"",(H113-E113)/E113))))</f>
        <v>0.17030734606368494</v>
      </c>
      <c r="L113" s="124">
        <f>+L36-L38+L66+L63+L64</f>
        <v>33385.100000000013</v>
      </c>
      <c r="M113" s="122">
        <f>IF(AND(L4=0,L113&lt;=0), "",L113/L4)</f>
        <v>0.33581190646542364</v>
      </c>
      <c r="N113" s="123"/>
      <c r="O113" s="121">
        <f>+O36-O38+O66+O63+O64</f>
        <v>30793.400000000005</v>
      </c>
      <c r="P113" s="122">
        <f>IF(AND(O4=0,O113&lt;=0), "",O113/O4)</f>
        <v>0.48034994442033524</v>
      </c>
      <c r="Q113" s="123"/>
      <c r="R113" s="122">
        <f>IF(AND(H113=0,O113&gt;0),100%,IF(AND(H113&lt;0,O113=0),(H113-O113)/H113,IF(AND(H113&gt;0,O113&gt;0),(O113-H113)/H113,IF(AND(H113=0,O113=0),"",(O113-H113)/H113))))</f>
        <v>0.71051257496206044</v>
      </c>
      <c r="S113" s="124">
        <f>+S36-S38+S66+S63+S64</f>
        <v>64178.500000000007</v>
      </c>
      <c r="T113" s="122">
        <f>IF(AND(S4=0,S113&lt;=0), "",S113/S4)</f>
        <v>0.39247564169402027</v>
      </c>
      <c r="U113" s="123"/>
      <c r="V113" s="125">
        <f>+V36-V38+V66+V63+V64</f>
        <v>0</v>
      </c>
      <c r="W113" s="122" t="str">
        <f>IF(AND(V4=0,V113&lt;=0), "",V113/V4)</f>
        <v/>
      </c>
      <c r="X113" s="123">
        <f t="shared" si="91"/>
        <v>1</v>
      </c>
      <c r="Y113" s="121">
        <f>+Y36-Y38+Y66+Y63+Y64</f>
        <v>0</v>
      </c>
      <c r="Z113" s="122" t="str">
        <f>IF(AND(Y4=0,Y113&lt;=0), "",Y113/Y4)</f>
        <v/>
      </c>
      <c r="AA113" s="123"/>
      <c r="AB113" s="122">
        <f t="shared" si="92"/>
        <v>-1</v>
      </c>
      <c r="AC113" s="124">
        <f>+AC36-AC38+AC66+AC63+AC64</f>
        <v>64178.500000000007</v>
      </c>
      <c r="AD113" s="122">
        <f>IF(AND(AC4=0,AC113&lt;=0), "",AC113/AC4)</f>
        <v>0.39247564169402027</v>
      </c>
      <c r="AE113" s="123"/>
      <c r="AF113" s="121">
        <f>+AF36-AF38+AF66+AF63+AF64</f>
        <v>0</v>
      </c>
      <c r="AG113" s="122" t="str">
        <f>IF(AND(AF4=0,AF113&lt;=0), "",AF113/AF4)</f>
        <v/>
      </c>
      <c r="AH113" s="123"/>
      <c r="AI113" s="122" t="str">
        <f t="shared" si="41"/>
        <v/>
      </c>
      <c r="AJ113" s="124">
        <f>+AJ36-AJ38+AJ66+AJ63+AJ64</f>
        <v>64178.500000000007</v>
      </c>
      <c r="AK113" s="122">
        <f>IF(AND(AJ4=0,AJ113&lt;=0), "",AJ113/AJ4)</f>
        <v>0.39247564169402027</v>
      </c>
      <c r="AL113" s="123"/>
      <c r="AM113" s="121">
        <f>+AM36-AM38+AM66+AM63+AM64</f>
        <v>0</v>
      </c>
      <c r="AN113" s="122" t="str">
        <f>IF(AND(AM4=0,AM113&lt;=0), "",AM113/AM4)</f>
        <v/>
      </c>
      <c r="AO113" s="123"/>
      <c r="AP113" s="122" t="str">
        <f t="shared" si="42"/>
        <v/>
      </c>
      <c r="AQ113" s="124">
        <f>+AQ36-AQ38+AQ66+AQ63+AQ64</f>
        <v>64178.500000000007</v>
      </c>
      <c r="AR113" s="122">
        <f>IF(AND(AQ4=0,AQ113&lt;=0), "",AQ113/AQ4)</f>
        <v>0.39247564169402027</v>
      </c>
      <c r="AS113" s="123"/>
      <c r="AT113" s="125">
        <f>+AT36-AT38+AT66+AT63+AT64</f>
        <v>0</v>
      </c>
      <c r="AU113" s="122" t="str">
        <f>IF(AND(AT4=0,AT113&lt;=0), "",AT113/AT4)</f>
        <v/>
      </c>
      <c r="AV113" s="123">
        <f t="shared" si="93"/>
        <v>1</v>
      </c>
      <c r="AW113" s="125">
        <f>+AW36-AW38+AW66+AW63+AW64</f>
        <v>10696.41666666667</v>
      </c>
      <c r="AX113" s="122">
        <f>IF(AND(AW4=0,AW113&lt;=0), "",AW113/AW4)</f>
        <v>0.39247564169402038</v>
      </c>
      <c r="AY113" s="123"/>
      <c r="AZ113" s="125">
        <f>+AZ36-AZ38+AZ66+AZ63+AZ64</f>
        <v>0</v>
      </c>
      <c r="BA113" s="122" t="str">
        <f>IF(AND(AZ4=0,AZ113&lt;=0), "",AZ113/AZ4)</f>
        <v/>
      </c>
      <c r="BB113" s="123">
        <f t="shared" si="94"/>
        <v>1</v>
      </c>
      <c r="BC113" s="121">
        <f>+BC36-BC38+BC66+BC63+BC64</f>
        <v>0</v>
      </c>
      <c r="BD113" s="122" t="str">
        <f>IF(AND(BC4=0,BC113&lt;=0), "",BC113/BC4)</f>
        <v/>
      </c>
      <c r="BE113" s="123"/>
      <c r="BF113" s="122" t="str">
        <f t="shared" si="95"/>
        <v/>
      </c>
      <c r="BG113" s="124">
        <f>+BG36-BG38+BG66+BG63+BG64</f>
        <v>64178.500000000007</v>
      </c>
      <c r="BH113" s="122">
        <f>IF(AND(BG4=0,BG113&lt;=0), "",BG113/BG4)</f>
        <v>0.39247564169402027</v>
      </c>
      <c r="BI113" s="123"/>
      <c r="BJ113" s="121">
        <f>+BJ36-BJ38+BJ66+BJ63+BJ64</f>
        <v>0</v>
      </c>
      <c r="BK113" s="122" t="str">
        <f>IF(AND(BJ4=0,BJ113&lt;=0), "",BJ113/BJ4)</f>
        <v/>
      </c>
      <c r="BL113" s="123"/>
      <c r="BM113" s="122" t="str">
        <f t="shared" si="43"/>
        <v/>
      </c>
      <c r="BN113" s="124">
        <f>+BN36-BN38+BN66+BN63+BN64</f>
        <v>64178.500000000007</v>
      </c>
      <c r="BO113" s="122">
        <f>IF(AND(BN4=0,BN113&lt;=0), "",BN113/BN4)</f>
        <v>0.39247564169402027</v>
      </c>
      <c r="BP113" s="123"/>
      <c r="BQ113" s="121">
        <f>+BQ36-BQ38+BQ66+BQ63+BQ64</f>
        <v>0</v>
      </c>
      <c r="BR113" s="122" t="str">
        <f>IF(AND(BQ4=0,BQ113&lt;=0), "",BQ113/BQ4)</f>
        <v/>
      </c>
      <c r="BS113" s="123"/>
      <c r="BT113" s="122" t="str">
        <f t="shared" si="44"/>
        <v/>
      </c>
      <c r="BU113" s="124">
        <f>+BU36-BU38+BU66+BU63+BU64</f>
        <v>64178.500000000007</v>
      </c>
      <c r="BV113" s="122">
        <f>IF(AND(BU4=0,BU113&lt;=0), "",BU113/BU4)</f>
        <v>0.39247564169402027</v>
      </c>
      <c r="BW113" s="123"/>
      <c r="BX113" s="125">
        <f>+BX36-BX38+BX66+BX63+BX64</f>
        <v>0</v>
      </c>
      <c r="BY113" s="122" t="str">
        <f>IF(AND(BX4=0,BX113&lt;=0), "",BX113/BX4)</f>
        <v/>
      </c>
      <c r="BZ113" s="123">
        <f t="shared" si="45"/>
        <v>1</v>
      </c>
      <c r="CA113" s="121">
        <f>+CA36-CA38+CA66+CA63+CA64</f>
        <v>0</v>
      </c>
      <c r="CB113" s="122" t="str">
        <f>IF(AND(CA4=0,CA113&lt;=0), "",CA113/CA4)</f>
        <v/>
      </c>
      <c r="CC113" s="123"/>
      <c r="CD113" s="122" t="str">
        <f t="shared" si="96"/>
        <v/>
      </c>
      <c r="CE113" s="124">
        <f>+CE36-CE38+CE66+CE63+CE64</f>
        <v>64178.500000000007</v>
      </c>
      <c r="CF113" s="122">
        <f>IF(AND(CE4=0,CE113&lt;=0), "",CE113/CE4)</f>
        <v>0.39247564169402027</v>
      </c>
      <c r="CG113" s="123"/>
      <c r="CH113" s="121">
        <f>+CH36-CH38+CH66+CH63+CH64</f>
        <v>0</v>
      </c>
      <c r="CI113" s="122" t="str">
        <f>IF(AND(CH4=0,CH113&lt;=0), "",CH113/CH4)</f>
        <v/>
      </c>
      <c r="CJ113" s="123"/>
      <c r="CK113" s="122" t="str">
        <f t="shared" si="46"/>
        <v/>
      </c>
      <c r="CL113" s="124">
        <f>+CL36-CL38+CL66+CL63+CL64</f>
        <v>64178.500000000007</v>
      </c>
      <c r="CM113" s="122">
        <f>IF(AND(CL4=0,CL113&lt;=0), "",CL113/CL4)</f>
        <v>0.39247564169402027</v>
      </c>
      <c r="CN113" s="123"/>
      <c r="CO113" s="121">
        <f>+CO36-CO38+CO66+CO63+CO64</f>
        <v>0</v>
      </c>
      <c r="CP113" s="122" t="str">
        <f>IF(AND(CO4=0,CO113&lt;=0), "",CO113/CO4)</f>
        <v/>
      </c>
      <c r="CQ113" s="123"/>
      <c r="CR113" s="122" t="str">
        <f t="shared" si="47"/>
        <v/>
      </c>
      <c r="CS113" s="124">
        <f>+CS36-CS38+CS66+CS63+CS64</f>
        <v>64178.500000000007</v>
      </c>
      <c r="CT113" s="122">
        <f>IF(AND(CS4=0,CS113&lt;=0), "",CS113/CS4)</f>
        <v>0.39247564169402027</v>
      </c>
      <c r="CU113" s="123"/>
      <c r="CV113" s="125">
        <f>+CV36-CV38+CV66+CV63+CV64</f>
        <v>0</v>
      </c>
      <c r="CW113" s="122" t="str">
        <f>IF(AND(CV4=0,CV113&lt;=0), "",CV113/CV4)</f>
        <v/>
      </c>
      <c r="CX113" s="123">
        <f t="shared" si="48"/>
        <v>1</v>
      </c>
    </row>
    <row r="114" spans="1:102" s="24" customFormat="1" ht="16.5" thickBot="1" x14ac:dyDescent="0.3">
      <c r="A114" s="132" t="s">
        <v>94</v>
      </c>
      <c r="B114" s="133">
        <f>+B36-B38+B66+B63</f>
        <v>0</v>
      </c>
      <c r="C114" s="134" t="str">
        <f>IF(AND(B4=0,B114&lt;=0), "",B114/B4)</f>
        <v/>
      </c>
      <c r="D114" s="135"/>
      <c r="E114" s="133">
        <f>+E36-E38+E66+E63</f>
        <v>15382.660000000002</v>
      </c>
      <c r="F114" s="134">
        <f>IF(AND(E4=0,E114&lt;=0), "",E114/E4)</f>
        <v>0.32091983335916802</v>
      </c>
      <c r="G114" s="135"/>
      <c r="H114" s="133">
        <f>+H36-H38+H66+H63</f>
        <v>17844.490000000005</v>
      </c>
      <c r="I114" s="134">
        <f>IF(AND(H4=0,H114&lt;=0), "",H114/H4)</f>
        <v>0.34660909689870695</v>
      </c>
      <c r="J114" s="135"/>
      <c r="K114" s="134">
        <f>IF(AND(E114=0,H114&gt;0),100%,IF(AND(E114&lt;0,H114=0),(E114-H114)/E114,IF(AND(E114&gt;0,H114&gt;0),(H114-E114)/E114,IF(AND(E114=0,H114=0),"",(H114-E114)/E114))))</f>
        <v>0.16003929099388553</v>
      </c>
      <c r="L114" s="136">
        <f>+L36-L38+L66+L63</f>
        <v>33227.150000000016</v>
      </c>
      <c r="M114" s="134">
        <f>IF(AND(L4=0,L114&lt;=0), "",L114/L4)</f>
        <v>0.33422312911785806</v>
      </c>
      <c r="N114" s="135"/>
      <c r="O114" s="133">
        <f>+O36-O38+O66+O63</f>
        <v>30793.400000000005</v>
      </c>
      <c r="P114" s="134">
        <f>IF(AND(O4=0,O114&lt;=0), "",O114/O4)</f>
        <v>0.48034994442033524</v>
      </c>
      <c r="Q114" s="135"/>
      <c r="R114" s="134">
        <f>IF(AND(H114=0,O114&gt;0),100%,IF(AND(H114&lt;0,O114=0),(H114-O114)/H114,IF(AND(H114&gt;0,O114&gt;0),(O114-H114)/H114,IF(AND(H114=0,O114=0),"",(O114-H114)/H114))))</f>
        <v>0.7256531287809288</v>
      </c>
      <c r="S114" s="136">
        <f>+S36-S38+S66+S63</f>
        <v>64020.55000000001</v>
      </c>
      <c r="T114" s="134">
        <f>IF(AND(S4=0,S114&lt;=0), "",S114/S4)</f>
        <v>0.39150971809646706</v>
      </c>
      <c r="U114" s="135"/>
      <c r="V114" s="137">
        <f>+V36-V38+V66+V63</f>
        <v>0</v>
      </c>
      <c r="W114" s="134" t="str">
        <f>IF(AND(V4=0,V114&lt;=0), "",V114/V4)</f>
        <v/>
      </c>
      <c r="X114" s="135">
        <f t="shared" si="91"/>
        <v>1</v>
      </c>
      <c r="Y114" s="133">
        <f>+Y36-Y38+Y66+Y63</f>
        <v>0</v>
      </c>
      <c r="Z114" s="134" t="str">
        <f>IF(AND(Y4=0,Y114&lt;=0), "",Y114/Y4)</f>
        <v/>
      </c>
      <c r="AA114" s="135"/>
      <c r="AB114" s="134">
        <f t="shared" si="92"/>
        <v>-1</v>
      </c>
      <c r="AC114" s="136">
        <f>+AC36-AC38+AC66+AC63</f>
        <v>64020.55000000001</v>
      </c>
      <c r="AD114" s="134">
        <f>IF(AND(AC4=0,AC114&lt;=0), "",AC114/AC4)</f>
        <v>0.39150971809646706</v>
      </c>
      <c r="AE114" s="135"/>
      <c r="AF114" s="133">
        <f>+AF36-AF38+AF66+AF63</f>
        <v>0</v>
      </c>
      <c r="AG114" s="134" t="str">
        <f>IF(AND(AF4=0,AF114&lt;=0), "",AF114/AF4)</f>
        <v/>
      </c>
      <c r="AH114" s="135"/>
      <c r="AI114" s="134" t="str">
        <f t="shared" si="41"/>
        <v/>
      </c>
      <c r="AJ114" s="136">
        <f>+AJ36-AJ38+AJ66+AJ63</f>
        <v>64020.55000000001</v>
      </c>
      <c r="AK114" s="134">
        <f>IF(AND(AJ4=0,AJ114&lt;=0), "",AJ114/AJ4)</f>
        <v>0.39150971809646706</v>
      </c>
      <c r="AL114" s="135"/>
      <c r="AM114" s="133">
        <f>+AM36-AM38+AM66+AM63</f>
        <v>0</v>
      </c>
      <c r="AN114" s="134" t="str">
        <f>IF(AND(AM4=0,AM114&lt;=0), "",AM114/AM4)</f>
        <v/>
      </c>
      <c r="AO114" s="135"/>
      <c r="AP114" s="134" t="str">
        <f t="shared" si="42"/>
        <v/>
      </c>
      <c r="AQ114" s="136">
        <f>+AQ36-AQ38+AQ66+AQ63</f>
        <v>64020.55000000001</v>
      </c>
      <c r="AR114" s="134">
        <f>IF(AND(AQ4=0,AQ114&lt;=0), "",AQ114/AQ4)</f>
        <v>0.39150971809646706</v>
      </c>
      <c r="AS114" s="135"/>
      <c r="AT114" s="137">
        <f>+AT36-AT38+AT66+AT63</f>
        <v>0</v>
      </c>
      <c r="AU114" s="134" t="str">
        <f>IF(AND(AT4=0,AT114&lt;=0), "",AT114/AT4)</f>
        <v/>
      </c>
      <c r="AV114" s="135">
        <f t="shared" si="93"/>
        <v>1</v>
      </c>
      <c r="AW114" s="137">
        <f>+AW36-AW38+AW66+AW63</f>
        <v>10670.091666666669</v>
      </c>
      <c r="AX114" s="134">
        <f>IF(AND(AW4=0,AW114&lt;=0), "",AW114/AW4)</f>
        <v>0.39150971809646712</v>
      </c>
      <c r="AY114" s="135"/>
      <c r="AZ114" s="137">
        <f>+AZ36-AZ38+AZ66+AZ63</f>
        <v>0</v>
      </c>
      <c r="BA114" s="134" t="str">
        <f>IF(AND(AZ4=0,AZ114&lt;=0), "",AZ114/AZ4)</f>
        <v/>
      </c>
      <c r="BB114" s="135">
        <f t="shared" si="94"/>
        <v>1</v>
      </c>
      <c r="BC114" s="133">
        <f>+BC36-BC38+BC66+BC63</f>
        <v>0</v>
      </c>
      <c r="BD114" s="134" t="str">
        <f>IF(AND(BC4=0,BC114&lt;=0), "",BC114/BC4)</f>
        <v/>
      </c>
      <c r="BE114" s="135"/>
      <c r="BF114" s="134" t="str">
        <f t="shared" si="95"/>
        <v/>
      </c>
      <c r="BG114" s="136">
        <f>+BG36-BG38+BG66+BG63</f>
        <v>64020.55000000001</v>
      </c>
      <c r="BH114" s="134">
        <f>IF(AND(BG4=0,BG114&lt;=0), "",BG114/BG4)</f>
        <v>0.39150971809646706</v>
      </c>
      <c r="BI114" s="135"/>
      <c r="BJ114" s="133">
        <f>+BJ36-BJ38+BJ66+BJ63</f>
        <v>0</v>
      </c>
      <c r="BK114" s="134" t="str">
        <f>IF(AND(BJ4=0,BJ114&lt;=0), "",BJ114/BJ4)</f>
        <v/>
      </c>
      <c r="BL114" s="135"/>
      <c r="BM114" s="134" t="str">
        <f t="shared" si="43"/>
        <v/>
      </c>
      <c r="BN114" s="136">
        <f>+BN36-BN38+BN66+BN63</f>
        <v>64020.55000000001</v>
      </c>
      <c r="BO114" s="134">
        <f>IF(AND(BN4=0,BN114&lt;=0), "",BN114/BN4)</f>
        <v>0.39150971809646706</v>
      </c>
      <c r="BP114" s="135"/>
      <c r="BQ114" s="133">
        <f>+BQ36-BQ38+BQ66+BQ63</f>
        <v>0</v>
      </c>
      <c r="BR114" s="134" t="str">
        <f>IF(AND(BQ4=0,BQ114&lt;=0), "",BQ114/BQ4)</f>
        <v/>
      </c>
      <c r="BS114" s="135"/>
      <c r="BT114" s="134" t="str">
        <f t="shared" si="44"/>
        <v/>
      </c>
      <c r="BU114" s="136">
        <f>+BU36-BU38+BU66+BU63</f>
        <v>64020.55000000001</v>
      </c>
      <c r="BV114" s="134">
        <f>IF(AND(BU4=0,BU114&lt;=0), "",BU114/BU4)</f>
        <v>0.39150971809646706</v>
      </c>
      <c r="BW114" s="135"/>
      <c r="BX114" s="137">
        <f>+BX36-BX38+BX66+BX63</f>
        <v>0</v>
      </c>
      <c r="BY114" s="134" t="str">
        <f>IF(AND(BX4=0,BX114&lt;=0), "",BX114/BX4)</f>
        <v/>
      </c>
      <c r="BZ114" s="135">
        <f t="shared" si="45"/>
        <v>1</v>
      </c>
      <c r="CA114" s="133">
        <f>+CA36-CA38+CA66+CA63</f>
        <v>0</v>
      </c>
      <c r="CB114" s="134" t="str">
        <f>IF(AND(CA4=0,CA114&lt;=0), "",CA114/CA4)</f>
        <v/>
      </c>
      <c r="CC114" s="135"/>
      <c r="CD114" s="134" t="str">
        <f t="shared" si="96"/>
        <v/>
      </c>
      <c r="CE114" s="136">
        <f>+CE36-CE38+CE66+CE63</f>
        <v>64020.55000000001</v>
      </c>
      <c r="CF114" s="134">
        <f>IF(AND(CE4=0,CE114&lt;=0), "",CE114/CE4)</f>
        <v>0.39150971809646706</v>
      </c>
      <c r="CG114" s="135"/>
      <c r="CH114" s="133">
        <f>+CH36-CH38+CH66+CH63</f>
        <v>0</v>
      </c>
      <c r="CI114" s="134" t="str">
        <f>IF(AND(CH4=0,CH114&lt;=0), "",CH114/CH4)</f>
        <v/>
      </c>
      <c r="CJ114" s="135"/>
      <c r="CK114" s="134" t="str">
        <f t="shared" si="46"/>
        <v/>
      </c>
      <c r="CL114" s="136">
        <f>+CL36-CL38+CL66+CL63</f>
        <v>64020.55000000001</v>
      </c>
      <c r="CM114" s="134">
        <f>IF(AND(CL4=0,CL114&lt;=0), "",CL114/CL4)</f>
        <v>0.39150971809646706</v>
      </c>
      <c r="CN114" s="135"/>
      <c r="CO114" s="133">
        <f>+CO36-CO38+CO66+CO63</f>
        <v>0</v>
      </c>
      <c r="CP114" s="134" t="str">
        <f>IF(AND(CO4=0,CO114&lt;=0), "",CO114/CO4)</f>
        <v/>
      </c>
      <c r="CQ114" s="135"/>
      <c r="CR114" s="134" t="str">
        <f t="shared" si="47"/>
        <v/>
      </c>
      <c r="CS114" s="136">
        <f>+CS36-CS38+CS66+CS63</f>
        <v>64020.55000000001</v>
      </c>
      <c r="CT114" s="134">
        <f>IF(AND(CS4=0,CS114&lt;=0), "",CS114/CS4)</f>
        <v>0.39150971809646706</v>
      </c>
      <c r="CU114" s="135"/>
      <c r="CV114" s="137">
        <f>+CV36-CV38+CV66+CV63</f>
        <v>0</v>
      </c>
      <c r="CW114" s="134" t="str">
        <f>IF(AND(CV4=0,CV114&lt;=0), "",CV114/CV4)</f>
        <v/>
      </c>
      <c r="CX114" s="135">
        <f t="shared" si="48"/>
        <v>1</v>
      </c>
    </row>
    <row r="115" spans="1:102" s="2" customFormat="1" ht="16.5" thickTop="1" x14ac:dyDescent="0.25">
      <c r="A115" s="9"/>
      <c r="B115" s="109"/>
      <c r="C115" s="6"/>
      <c r="D115" s="38"/>
      <c r="E115" s="109"/>
      <c r="F115" s="6"/>
      <c r="G115" s="38"/>
      <c r="H115" s="109"/>
      <c r="I115" s="6"/>
      <c r="J115" s="38"/>
      <c r="K115" s="25"/>
      <c r="L115" s="110"/>
      <c r="M115" s="6"/>
      <c r="N115" s="38"/>
      <c r="O115" s="109"/>
      <c r="P115" s="6"/>
      <c r="Q115" s="38"/>
      <c r="R115" s="25"/>
      <c r="S115" s="110"/>
      <c r="T115" s="6"/>
      <c r="U115" s="38"/>
      <c r="V115" s="111"/>
      <c r="W115" s="6"/>
      <c r="X115" s="81"/>
      <c r="Y115" s="109"/>
      <c r="Z115" s="6"/>
      <c r="AA115" s="38"/>
      <c r="AB115" s="25"/>
      <c r="AC115" s="110"/>
      <c r="AD115" s="6"/>
      <c r="AE115" s="38"/>
      <c r="AF115" s="109"/>
      <c r="AG115" s="6"/>
      <c r="AH115" s="38"/>
      <c r="AI115" s="25" t="str">
        <f t="shared" si="41"/>
        <v/>
      </c>
      <c r="AJ115" s="110"/>
      <c r="AK115" s="6"/>
      <c r="AL115" s="38"/>
      <c r="AM115" s="109"/>
      <c r="AN115" s="6"/>
      <c r="AO115" s="38"/>
      <c r="AP115" s="25" t="str">
        <f t="shared" si="42"/>
        <v/>
      </c>
      <c r="AQ115" s="110"/>
      <c r="AR115" s="6"/>
      <c r="AS115" s="38"/>
      <c r="AT115" s="111"/>
      <c r="AU115" s="6"/>
      <c r="AV115" s="81"/>
      <c r="AW115" s="111"/>
      <c r="AX115" s="6"/>
      <c r="AY115" s="38"/>
      <c r="AZ115" s="111"/>
      <c r="BA115" s="6"/>
      <c r="BB115" s="81"/>
      <c r="BC115" s="109"/>
      <c r="BD115" s="6"/>
      <c r="BE115" s="38"/>
      <c r="BF115" s="25"/>
      <c r="BG115" s="110"/>
      <c r="BH115" s="6"/>
      <c r="BI115" s="38"/>
      <c r="BJ115" s="109"/>
      <c r="BK115" s="6"/>
      <c r="BL115" s="38"/>
      <c r="BM115" s="25" t="str">
        <f t="shared" si="43"/>
        <v/>
      </c>
      <c r="BN115" s="110"/>
      <c r="BO115" s="6"/>
      <c r="BP115" s="38"/>
      <c r="BQ115" s="109"/>
      <c r="BR115" s="6"/>
      <c r="BS115" s="38"/>
      <c r="BT115" s="25" t="str">
        <f t="shared" si="44"/>
        <v/>
      </c>
      <c r="BU115" s="110"/>
      <c r="BV115" s="6"/>
      <c r="BW115" s="38"/>
      <c r="BX115" s="111"/>
      <c r="BY115" s="6"/>
      <c r="BZ115" s="81" t="str">
        <f t="shared" si="45"/>
        <v/>
      </c>
      <c r="CA115" s="109"/>
      <c r="CB115" s="6"/>
      <c r="CC115" s="38"/>
      <c r="CD115" s="25"/>
      <c r="CE115" s="110"/>
      <c r="CF115" s="6"/>
      <c r="CG115" s="38"/>
      <c r="CH115" s="109"/>
      <c r="CI115" s="6"/>
      <c r="CJ115" s="38"/>
      <c r="CK115" s="25" t="str">
        <f t="shared" si="46"/>
        <v/>
      </c>
      <c r="CL115" s="110"/>
      <c r="CM115" s="6"/>
      <c r="CN115" s="38"/>
      <c r="CO115" s="109"/>
      <c r="CP115" s="6"/>
      <c r="CQ115" s="38"/>
      <c r="CR115" s="25" t="str">
        <f t="shared" si="47"/>
        <v/>
      </c>
      <c r="CS115" s="110"/>
      <c r="CT115" s="6"/>
      <c r="CU115" s="38"/>
      <c r="CV115" s="111"/>
      <c r="CW115" s="6"/>
      <c r="CX115" s="81" t="str">
        <f t="shared" si="48"/>
        <v/>
      </c>
    </row>
    <row r="116" spans="1:102" s="18" customFormat="1" ht="18" customHeight="1" x14ac:dyDescent="0.25">
      <c r="A116" s="15" t="s">
        <v>102</v>
      </c>
      <c r="B116" s="95">
        <f>SUM(B117:B123)</f>
        <v>0</v>
      </c>
      <c r="C116" s="26" t="str">
        <f>IF(AND(B4=0,B116&gt;=0), "",B116/B4)</f>
        <v/>
      </c>
      <c r="D116" s="32" t="str">
        <f>IF(AND(B124=0,B116&gt;=0),"",B116/B124)</f>
        <v/>
      </c>
      <c r="E116" s="95">
        <f>SUM(E117:E123)</f>
        <v>18109.169999999998</v>
      </c>
      <c r="F116" s="26">
        <f>IF(AND(E4=0,E116&gt;=0), "",E116/E4)</f>
        <v>0.37780148678270492</v>
      </c>
      <c r="G116" s="32">
        <f>IF(AND(E124=0,E116&gt;=0),"",E116/E124)</f>
        <v>0.58483065131030998</v>
      </c>
      <c r="H116" s="95">
        <f>SUM(H117:H123)</f>
        <v>9485.81</v>
      </c>
      <c r="I116" s="26">
        <f>IF(AND(H4=0,H116&gt;=0), "",H116/H4)</f>
        <v>0.18425116310147963</v>
      </c>
      <c r="J116" s="32">
        <f>IF(AND(H124=0,H116&gt;=0),"",H116/H124)</f>
        <v>0.49061091747527374</v>
      </c>
      <c r="K116" s="26">
        <f t="shared" ref="K116:K139" si="97">IF(AND(E116=0,H116&gt;0),100%,IF(AND(E116&lt;0,H116=0),(E116-H116)/E116,IF(AND(E116&gt;0,H116&gt;0),(H116-E116)/E116,IF(AND(E116=0,H116=0),"",(H116-E116)/E116))))</f>
        <v>-0.47618747849846238</v>
      </c>
      <c r="L116" s="96">
        <f>SUM(L117:L123)</f>
        <v>27594.979999999996</v>
      </c>
      <c r="M116" s="26">
        <f>IF(AND(L4=0,L116&gt;=0), "",L116/L4)</f>
        <v>0.27757061811033162</v>
      </c>
      <c r="N116" s="32">
        <f>IF(AND(L124=0,L116&gt;=0),"",L116/L124)</f>
        <v>0.54861340569985784</v>
      </c>
      <c r="O116" s="95">
        <f>SUM(O117:O123)</f>
        <v>11988.900000000001</v>
      </c>
      <c r="P116" s="26">
        <f>IF(AND(O4=0,O116&gt;=0), "",O116/O4)</f>
        <v>0.18701629078506943</v>
      </c>
      <c r="Q116" s="32">
        <f>IF(AND(O124=0,O116&gt;=0),"",O116/O124)</f>
        <v>0.46223405608851653</v>
      </c>
      <c r="R116" s="26">
        <f t="shared" ref="R116:R139" si="98">IF(AND(H116=0,O116&gt;0),100%,IF(AND(H116&lt;0,O116=0),(H116-O116)/H116,IF(AND(H116&gt;0,O116&gt;0),(O116-H116)/H116,IF(AND(H116=0,O116=0),"",(O116-H116)/H116))))</f>
        <v>0.26387730726211067</v>
      </c>
      <c r="S116" s="96">
        <f>SUM(S117:S123)</f>
        <v>39583.879999999997</v>
      </c>
      <c r="T116" s="26">
        <f>IF(AND(S4=0,S116&gt;=0), "",S116/S4)</f>
        <v>0.24207029930177695</v>
      </c>
      <c r="U116" s="32">
        <f>IF(AND(S124=0,S116&gt;=0),"",S116/S124)</f>
        <v>0.519225734282172</v>
      </c>
      <c r="V116" s="97">
        <f>SUM(V117:V123)</f>
        <v>0</v>
      </c>
      <c r="W116" s="26" t="str">
        <f>IF(AND(V4=0,V116&gt;=0), "",V116/V4)</f>
        <v/>
      </c>
      <c r="X116" s="32">
        <f t="shared" ref="X116:X139" si="99">IF(AND(V116=0,S116&gt;0),100%,IF(AND(V116&lt;0,S116=0),(V116-S116)/V116,IF(AND(V116&gt;0,S116&gt;0),(S116-V116)/V116,IF(AND(V116=0,S116=0),"",(S116-V116)/V116))))</f>
        <v>1</v>
      </c>
      <c r="Y116" s="95">
        <f>SUM(Y117:Y123)</f>
        <v>0</v>
      </c>
      <c r="Z116" s="26" t="str">
        <f>IF(AND(Y4=0,Y116&gt;=0), "",Y116/Y4)</f>
        <v/>
      </c>
      <c r="AA116" s="32" t="str">
        <f>IF(AND(Y124=0,Y116&gt;=0),"",Y116/Y124)</f>
        <v/>
      </c>
      <c r="AB116" s="26">
        <f t="shared" ref="AB116:AB139" si="100">IF(AND(O116=0,Y116&gt;0),100%,IF(AND(O116&lt;0,Y116=0),(O116-Y116)/O116,IF(AND(O116&gt;0,Y116&gt;0),(Y116-O116)/O116,IF(AND(O116=0,Y116=0),"",(Y116-O116)/O116))))</f>
        <v>-1</v>
      </c>
      <c r="AC116" s="96">
        <f>SUM(AC117:AC123)</f>
        <v>39583.879999999997</v>
      </c>
      <c r="AD116" s="26">
        <f>IF(AND(AC4=0,AC116&gt;=0), "",AC116/AC4)</f>
        <v>0.24207029930177695</v>
      </c>
      <c r="AE116" s="32">
        <f>IF(AND(AC124=0,AC116&gt;=0),"",AC116/AC124)</f>
        <v>0.519225734282172</v>
      </c>
      <c r="AF116" s="95">
        <f>SUM(AF117:AF123)</f>
        <v>0</v>
      </c>
      <c r="AG116" s="26" t="str">
        <f>IF(AND(AF4=0,AF116&gt;=0), "",AF116/AF4)</f>
        <v/>
      </c>
      <c r="AH116" s="32" t="str">
        <f>IF(AND(AF124=0,AF116&gt;=0),"",AF116/AF124)</f>
        <v/>
      </c>
      <c r="AI116" s="26" t="str">
        <f t="shared" si="41"/>
        <v/>
      </c>
      <c r="AJ116" s="96">
        <f>SUM(AJ117:AJ123)</f>
        <v>39583.879999999997</v>
      </c>
      <c r="AK116" s="26">
        <f>IF(AND(AJ4=0,AJ116&gt;=0), "",AJ116/AJ4)</f>
        <v>0.24207029930177695</v>
      </c>
      <c r="AL116" s="32">
        <f>IF(AND(AJ124=0,AJ116&gt;=0),"",AJ116/AJ124)</f>
        <v>0.519225734282172</v>
      </c>
      <c r="AM116" s="95">
        <f>SUM(AM117:AM123)</f>
        <v>0</v>
      </c>
      <c r="AN116" s="26" t="str">
        <f>IF(AND(AM4=0,AM116&gt;=0), "",AM116/AM4)</f>
        <v/>
      </c>
      <c r="AO116" s="32" t="str">
        <f>IF(AND(AM124=0,AM116&gt;=0),"",AM116/AM124)</f>
        <v/>
      </c>
      <c r="AP116" s="26" t="str">
        <f t="shared" si="42"/>
        <v/>
      </c>
      <c r="AQ116" s="96">
        <f>SUM(AQ117:AQ123)</f>
        <v>39583.879999999997</v>
      </c>
      <c r="AR116" s="26">
        <f>IF(AND(AQ4=0,AQ116&gt;=0), "",AQ116/AQ4)</f>
        <v>0.24207029930177695</v>
      </c>
      <c r="AS116" s="32">
        <f>IF(AND(AQ124=0,AQ116&gt;=0),"",AQ116/AQ124)</f>
        <v>0.519225734282172</v>
      </c>
      <c r="AT116" s="97">
        <f>SUM(AT117:AT123)</f>
        <v>0</v>
      </c>
      <c r="AU116" s="26" t="str">
        <f>IF(AND(AT4=0,AT116&gt;=0), "",AT116/AT4)</f>
        <v/>
      </c>
      <c r="AV116" s="32">
        <f t="shared" ref="AV116:AV139" si="101">IF(AND(AT116=0,AQ116&gt;0),100%,IF(AND(AT116&lt;0,AQ116=0),(AT116-AQ116)/AT116,IF(AND(AT116&gt;0,AQ116&gt;0),(AQ116-AT116)/AT116,IF(AND(AT116=0,AQ116=0),"",(AQ116-AT116)/AT116))))</f>
        <v>1</v>
      </c>
      <c r="AW116" s="97">
        <f>SUM(AW117:AW123)</f>
        <v>6597.3133333333335</v>
      </c>
      <c r="AX116" s="26">
        <f>IF(AND(AW4=0,AW116&gt;=0), "",AW116/AW4)</f>
        <v>0.24207029930177698</v>
      </c>
      <c r="AY116" s="32">
        <f>IF(AND(AW124=0,AW116&gt;=0),"",AW116/AW124)</f>
        <v>0.519225734282172</v>
      </c>
      <c r="AZ116" s="97">
        <f>SUM(AZ117:AZ123)</f>
        <v>0</v>
      </c>
      <c r="BA116" s="26" t="str">
        <f>IF(AND(AZ4=0,AZ116&gt;=0), "",AZ116/AZ4)</f>
        <v/>
      </c>
      <c r="BB116" s="32">
        <f t="shared" ref="BB116:BB139" si="102">IF(AND(AZ116=0,AW116&gt;0),100%,IF(AND(AZ116&lt;0,AW116=0),(AZ116-AW116)/AZ116,IF(AND(AZ116&gt;0,AW116&gt;0),(AW116-AZ116)/AZ116,IF(AND(AZ116=0,AW116=0),"",(AW116-AZ116)/AZ116))))</f>
        <v>1</v>
      </c>
      <c r="BC116" s="95">
        <f>SUM(BC117:BC123)</f>
        <v>0</v>
      </c>
      <c r="BD116" s="26" t="str">
        <f>IF(AND(BC4=0,BC116&gt;=0), "",BC116/BC4)</f>
        <v/>
      </c>
      <c r="BE116" s="32" t="str">
        <f>IF(AND(BC124=0,BC116&gt;=0),"",BC116/BC124)</f>
        <v/>
      </c>
      <c r="BF116" s="26" t="str">
        <f t="shared" ref="BF116:BF139" si="103">IF(AND(AM116=0,BC116&gt;0),100%,IF(AND(AM116&lt;0,BC116=0),(AM116-BC116)/AM116,IF(AND(AM116&gt;0,BC116&gt;0),(BC116-AM116)/AM116,IF(AND(AM116=0,BC116=0),"",(BC116-AM116)/AM116))))</f>
        <v/>
      </c>
      <c r="BG116" s="96">
        <f>SUM(BG117:BG123)</f>
        <v>39583.879999999997</v>
      </c>
      <c r="BH116" s="26">
        <f>IF(AND(BG4=0,BG116&gt;=0), "",BG116/BG4)</f>
        <v>0.24207029930177695</v>
      </c>
      <c r="BI116" s="32">
        <f>IF(AND(BG124=0,BG116&gt;=0),"",BG116/BG124)</f>
        <v>0.519225734282172</v>
      </c>
      <c r="BJ116" s="95">
        <f>SUM(BJ117:BJ123)</f>
        <v>0</v>
      </c>
      <c r="BK116" s="26" t="str">
        <f>IF(AND(BJ4=0,BJ116&gt;=0), "",BJ116/BJ4)</f>
        <v/>
      </c>
      <c r="BL116" s="32" t="str">
        <f>IF(AND(BJ124=0,BJ116&gt;=0),"",BJ116/BJ124)</f>
        <v/>
      </c>
      <c r="BM116" s="26" t="str">
        <f t="shared" si="43"/>
        <v/>
      </c>
      <c r="BN116" s="96">
        <f>SUM(BN117:BN123)</f>
        <v>39583.879999999997</v>
      </c>
      <c r="BO116" s="26">
        <f>IF(AND(BN4=0,BN116&gt;=0), "",BN116/BN4)</f>
        <v>0.24207029930177695</v>
      </c>
      <c r="BP116" s="32">
        <f>IF(AND(BN124=0,BN116&gt;=0),"",BN116/BN124)</f>
        <v>0.519225734282172</v>
      </c>
      <c r="BQ116" s="95">
        <f>SUM(BQ117:BQ123)</f>
        <v>0</v>
      </c>
      <c r="BR116" s="26" t="str">
        <f>IF(AND(BQ4=0,BQ116&gt;=0), "",BQ116/BQ4)</f>
        <v/>
      </c>
      <c r="BS116" s="32" t="str">
        <f>IF(AND(BQ124=0,BQ116&gt;=0),"",BQ116/BQ124)</f>
        <v/>
      </c>
      <c r="BT116" s="26" t="str">
        <f t="shared" si="44"/>
        <v/>
      </c>
      <c r="BU116" s="96">
        <f>SUM(BU117:BU123)</f>
        <v>39583.879999999997</v>
      </c>
      <c r="BV116" s="26">
        <f>IF(AND(BU4=0,BU116&gt;=0), "",BU116/BU4)</f>
        <v>0.24207029930177695</v>
      </c>
      <c r="BW116" s="32">
        <f>IF(AND(BU124=0,BU116&gt;=0),"",BU116/BU124)</f>
        <v>0.519225734282172</v>
      </c>
      <c r="BX116" s="97">
        <f>SUM(BX117:BX123)</f>
        <v>0</v>
      </c>
      <c r="BY116" s="26" t="str">
        <f>IF(AND(BX4=0,BX116&gt;=0), "",BX116/BX4)</f>
        <v/>
      </c>
      <c r="BZ116" s="32">
        <f t="shared" si="45"/>
        <v>1</v>
      </c>
      <c r="CA116" s="95">
        <f>SUM(CA117:CA123)</f>
        <v>0</v>
      </c>
      <c r="CB116" s="26" t="str">
        <f>IF(AND(CA4=0,CA116&gt;=0), "",CA116/CA4)</f>
        <v/>
      </c>
      <c r="CC116" s="32" t="str">
        <f>IF(AND(CA124=0,CA116&gt;=0),"",CA116/CA124)</f>
        <v/>
      </c>
      <c r="CD116" s="26" t="str">
        <f t="shared" ref="CD116:CD139" si="104">IF(AND(BQ116=0,CA116&gt;0),100%,IF(AND(BQ116&lt;0,CA116=0),(BQ116-CA116)/BQ116,IF(AND(BQ116&gt;0,CA116&gt;0),(CA116-BQ116)/BQ116,IF(AND(BQ116=0,CA116=0),"",(CA116-BQ116)/BQ116))))</f>
        <v/>
      </c>
      <c r="CE116" s="96">
        <f>SUM(CE117:CE123)</f>
        <v>39583.879999999997</v>
      </c>
      <c r="CF116" s="26">
        <f>IF(AND(CE4=0,CE116&gt;=0), "",CE116/CE4)</f>
        <v>0.24207029930177695</v>
      </c>
      <c r="CG116" s="32">
        <f>IF(AND(CE124=0,CE116&gt;=0),"",CE116/CE124)</f>
        <v>0.519225734282172</v>
      </c>
      <c r="CH116" s="95">
        <f>SUM(CH117:CH123)</f>
        <v>0</v>
      </c>
      <c r="CI116" s="26" t="str">
        <f>IF(AND(CH4=0,CH116&gt;=0), "",CH116/CH4)</f>
        <v/>
      </c>
      <c r="CJ116" s="32" t="str">
        <f>IF(AND(CH124=0,CH116&gt;=0),"",CH116/CH124)</f>
        <v/>
      </c>
      <c r="CK116" s="26" t="str">
        <f t="shared" si="46"/>
        <v/>
      </c>
      <c r="CL116" s="96">
        <f>SUM(CL117:CL123)</f>
        <v>39583.879999999997</v>
      </c>
      <c r="CM116" s="26">
        <f>IF(AND(CL4=0,CL116&gt;=0), "",CL116/CL4)</f>
        <v>0.24207029930177695</v>
      </c>
      <c r="CN116" s="32">
        <f>IF(AND(CL124=0,CL116&gt;=0),"",CL116/CL124)</f>
        <v>0.519225734282172</v>
      </c>
      <c r="CO116" s="95">
        <f>SUM(CO117:CO123)</f>
        <v>0</v>
      </c>
      <c r="CP116" s="26" t="str">
        <f>IF(AND(CO4=0,CO116&gt;=0), "",CO116/CO4)</f>
        <v/>
      </c>
      <c r="CQ116" s="32" t="str">
        <f>IF(AND(CO124=0,CO116&gt;=0),"",CO116/CO124)</f>
        <v/>
      </c>
      <c r="CR116" s="26" t="str">
        <f t="shared" si="47"/>
        <v/>
      </c>
      <c r="CS116" s="96">
        <f>SUM(CS117:CS123)</f>
        <v>39583.879999999997</v>
      </c>
      <c r="CT116" s="26">
        <f>IF(AND(CS4=0,CS116&gt;=0), "",CS116/CS4)</f>
        <v>0.24207029930177695</v>
      </c>
      <c r="CU116" s="32">
        <f>IF(AND(CS124=0,CS116&gt;=0),"",CS116/CS124)</f>
        <v>0.519225734282172</v>
      </c>
      <c r="CV116" s="97">
        <f>SUM(CV117:CV123)</f>
        <v>0</v>
      </c>
      <c r="CW116" s="26" t="str">
        <f>IF(AND(CV4=0,CV116&gt;=0), "",CV116/CV4)</f>
        <v/>
      </c>
      <c r="CX116" s="32">
        <f t="shared" si="48"/>
        <v>1</v>
      </c>
    </row>
    <row r="117" spans="1:102" hidden="1" outlineLevel="1" x14ac:dyDescent="0.25">
      <c r="A117" s="19" t="s">
        <v>95</v>
      </c>
      <c r="B117" s="101">
        <f>+'N EERR RODEO'!B194</f>
        <v>0</v>
      </c>
      <c r="C117" s="20" t="str">
        <f>IF(AND(B4=0,B117&gt;=0), "",B117/B4)</f>
        <v/>
      </c>
      <c r="D117" s="37" t="str">
        <f>IF(AND(B124=0,B117&gt;=0),"",B117/B124)</f>
        <v/>
      </c>
      <c r="E117" s="101">
        <f>+'N EERR RODEO'!C194</f>
        <v>21.64</v>
      </c>
      <c r="F117" s="20">
        <f>IF(AND(E4=0,E117&gt;=0), "",E117/E4)</f>
        <v>4.5146321857808698E-4</v>
      </c>
      <c r="G117" s="37">
        <f>IF(AND(E124=0,E117&gt;=0),"",E117/E124)</f>
        <v>6.9885783248791139E-4</v>
      </c>
      <c r="H117" s="101">
        <f>+'N EERR RODEO'!D194</f>
        <v>19.66</v>
      </c>
      <c r="I117" s="20">
        <f>IF(AND(H4=0,H117&gt;=0), "",H117/H4)</f>
        <v>3.818733314893604E-4</v>
      </c>
      <c r="J117" s="37">
        <f>IF(AND(H124=0,H117&gt;=0),"",H117/H124)</f>
        <v>1.0168251986455434E-3</v>
      </c>
      <c r="K117" s="20">
        <f t="shared" si="97"/>
        <v>-9.1497227356746785E-2</v>
      </c>
      <c r="L117" s="102">
        <f t="shared" ref="L117:L123" si="105">+E117+H117</f>
        <v>41.3</v>
      </c>
      <c r="M117" s="20">
        <f>IF(AND(L4=0,L117&gt;=0), "",L117/L4)</f>
        <v>4.1542579584970512E-4</v>
      </c>
      <c r="N117" s="37">
        <f>IF(AND(L124=0,L117&gt;=0),"",L117/L124)</f>
        <v>8.2108172049423955E-4</v>
      </c>
      <c r="O117" s="101">
        <f>+'N EERR RODEO'!E194</f>
        <v>34.950000000000003</v>
      </c>
      <c r="P117" s="20">
        <f>IF(AND(O4=0,O117&gt;=0), "",O117/O4)</f>
        <v>5.4518924696495723E-4</v>
      </c>
      <c r="Q117" s="37">
        <f>IF(AND(O124=0,O117&gt;=0),"",O117/O124)</f>
        <v>1.3475031287518999E-3</v>
      </c>
      <c r="R117" s="20">
        <f t="shared" si="98"/>
        <v>0.77772126144455755</v>
      </c>
      <c r="S117" s="102">
        <f t="shared" ref="S117:S123" si="106">+L117+O117</f>
        <v>76.25</v>
      </c>
      <c r="T117" s="20">
        <f>IF(AND(S4=0,S117&gt;=0), "",S117/S4)</f>
        <v>4.6629739989512131E-4</v>
      </c>
      <c r="U117" s="37">
        <f>IF(AND(S124=0,S117&gt;=0),"",S117/S124)</f>
        <v>1.0001789172515583E-3</v>
      </c>
      <c r="V117" s="103"/>
      <c r="W117" s="20" t="str">
        <f>IF(AND(V4=0,V117&gt;=0), "",V117/V4)</f>
        <v/>
      </c>
      <c r="X117" s="37">
        <f t="shared" si="99"/>
        <v>1</v>
      </c>
      <c r="Y117" s="101">
        <f>+'N EERR RODEO'!F194</f>
        <v>0</v>
      </c>
      <c r="Z117" s="20" t="str">
        <f>IF(AND(Y4=0,Y117&gt;=0), "",Y117/Y4)</f>
        <v/>
      </c>
      <c r="AA117" s="37" t="str">
        <f>IF(AND(Y124=0,Y117&gt;=0),"",Y117/Y124)</f>
        <v/>
      </c>
      <c r="AB117" s="20">
        <f t="shared" si="100"/>
        <v>-1</v>
      </c>
      <c r="AC117" s="102">
        <f t="shared" ref="AC117:AC123" si="107">+S117+Y117</f>
        <v>76.25</v>
      </c>
      <c r="AD117" s="20">
        <f>IF(AND(AC4=0,AC117&gt;=0), "",AC117/AC4)</f>
        <v>4.6629739989512131E-4</v>
      </c>
      <c r="AE117" s="37">
        <f>IF(AND(AC124=0,AC117&gt;=0),"",AC117/AC124)</f>
        <v>1.0001789172515583E-3</v>
      </c>
      <c r="AF117" s="101">
        <f>+'N EERR RODEO'!G194</f>
        <v>0</v>
      </c>
      <c r="AG117" s="20" t="str">
        <f>IF(AND(AF4=0,AF117&gt;=0), "",AF117/AF4)</f>
        <v/>
      </c>
      <c r="AH117" s="37" t="str">
        <f>IF(AND(AF124=0,AF117&gt;=0),"",AF117/AF124)</f>
        <v/>
      </c>
      <c r="AI117" s="20" t="str">
        <f t="shared" si="41"/>
        <v/>
      </c>
      <c r="AJ117" s="102">
        <f t="shared" si="62"/>
        <v>76.25</v>
      </c>
      <c r="AK117" s="20">
        <f>IF(AND(AJ4=0,AJ117&gt;=0), "",AJ117/AJ4)</f>
        <v>4.6629739989512131E-4</v>
      </c>
      <c r="AL117" s="37">
        <f>IF(AND(AJ124=0,AJ117&gt;=0),"",AJ117/AJ124)</f>
        <v>1.0001789172515583E-3</v>
      </c>
      <c r="AM117" s="101">
        <f>+'N EERR RODEO'!H194</f>
        <v>0</v>
      </c>
      <c r="AN117" s="20" t="str">
        <f>IF(AND(AM4=0,AM117&gt;=0), "",AM117/AM4)</f>
        <v/>
      </c>
      <c r="AO117" s="37" t="str">
        <f>IF(AND(AM124=0,AM117&gt;=0),"",AM117/AM124)</f>
        <v/>
      </c>
      <c r="AP117" s="20" t="str">
        <f t="shared" si="42"/>
        <v/>
      </c>
      <c r="AQ117" s="102">
        <f t="shared" si="63"/>
        <v>76.25</v>
      </c>
      <c r="AR117" s="20">
        <f>IF(AND(AQ4=0,AQ117&gt;=0), "",AQ117/AQ4)</f>
        <v>4.6629739989512131E-4</v>
      </c>
      <c r="AS117" s="37">
        <f>IF(AND(AQ124=0,AQ117&gt;=0),"",AQ117/AQ124)</f>
        <v>1.0001789172515583E-3</v>
      </c>
      <c r="AT117" s="103">
        <f t="shared" ref="AT117:AT123" si="108">+V117*2</f>
        <v>0</v>
      </c>
      <c r="AU117" s="20" t="str">
        <f>IF(AND(AT4=0,AT117&gt;=0), "",AT117/AT4)</f>
        <v/>
      </c>
      <c r="AV117" s="37">
        <f t="shared" si="101"/>
        <v>1</v>
      </c>
      <c r="AW117" s="103">
        <f>+AQ117/6</f>
        <v>12.708333333333334</v>
      </c>
      <c r="AX117" s="20">
        <f>IF(AND(AW4=0,AW117&gt;=0), "",AW117/AW4)</f>
        <v>4.6629739989512137E-4</v>
      </c>
      <c r="AY117" s="37">
        <f>IF(AND(AW124=0,AW117&gt;=0),"",AW117/AW124)</f>
        <v>1.0001789172515583E-3</v>
      </c>
      <c r="AZ117" s="103">
        <f t="shared" ref="AZ117:AZ123" si="109">+AT117/6</f>
        <v>0</v>
      </c>
      <c r="BA117" s="20" t="str">
        <f>IF(AND(AZ4=0,AZ117&gt;=0), "",AZ117/AZ4)</f>
        <v/>
      </c>
      <c r="BB117" s="37">
        <f t="shared" si="102"/>
        <v>1</v>
      </c>
      <c r="BC117" s="101">
        <f>+'N EERR RODEO'!I194</f>
        <v>0</v>
      </c>
      <c r="BD117" s="20" t="str">
        <f>IF(AND(BC4=0,BC117&gt;=0), "",BC117/BC4)</f>
        <v/>
      </c>
      <c r="BE117" s="37" t="str">
        <f>IF(AND(BC124=0,BC117&gt;=0),"",BC117/BC124)</f>
        <v/>
      </c>
      <c r="BF117" s="20" t="str">
        <f t="shared" si="103"/>
        <v/>
      </c>
      <c r="BG117" s="102">
        <f t="shared" ref="BG117:BG123" si="110">+AQ117+BC117</f>
        <v>76.25</v>
      </c>
      <c r="BH117" s="20">
        <f>IF(AND(BG4=0,BG117&gt;=0), "",BG117/BG4)</f>
        <v>4.6629739989512131E-4</v>
      </c>
      <c r="BI117" s="37">
        <f>IF(AND(BG124=0,BG117&gt;=0),"",BG117/BG124)</f>
        <v>1.0001789172515583E-3</v>
      </c>
      <c r="BJ117" s="101">
        <f>+'N EERR RODEO'!J194</f>
        <v>0</v>
      </c>
      <c r="BK117" s="20" t="str">
        <f>IF(AND(BJ4=0,BJ117&gt;=0), "",BJ117/BJ4)</f>
        <v/>
      </c>
      <c r="BL117" s="37" t="str">
        <f>IF(AND(BJ124=0,BJ117&gt;=0),"",BJ117/BJ124)</f>
        <v/>
      </c>
      <c r="BM117" s="20" t="str">
        <f t="shared" si="43"/>
        <v/>
      </c>
      <c r="BN117" s="102">
        <f t="shared" ref="BN117:BN123" si="111">+BG117+BJ117</f>
        <v>76.25</v>
      </c>
      <c r="BO117" s="20">
        <f>IF(AND(BN4=0,BN117&gt;=0), "",BN117/BN4)</f>
        <v>4.6629739989512131E-4</v>
      </c>
      <c r="BP117" s="37">
        <f>IF(AND(BN124=0,BN117&gt;=0),"",BN117/BN124)</f>
        <v>1.0001789172515583E-3</v>
      </c>
      <c r="BQ117" s="101">
        <f>+'N EERR RODEO'!K194</f>
        <v>0</v>
      </c>
      <c r="BR117" s="20" t="str">
        <f>IF(AND(BQ4=0,BQ117&gt;=0), "",BQ117/BQ4)</f>
        <v/>
      </c>
      <c r="BS117" s="37" t="str">
        <f>IF(AND(BQ124=0,BQ117&gt;=0),"",BQ117/BQ124)</f>
        <v/>
      </c>
      <c r="BT117" s="20" t="str">
        <f t="shared" si="44"/>
        <v/>
      </c>
      <c r="BU117" s="102">
        <f t="shared" ref="BU117:BU123" si="112">+BN117+BQ117</f>
        <v>76.25</v>
      </c>
      <c r="BV117" s="20">
        <f>IF(AND(BU4=0,BU117&gt;=0), "",BU117/BU4)</f>
        <v>4.6629739989512131E-4</v>
      </c>
      <c r="BW117" s="37">
        <f>IF(AND(BU124=0,BU117&gt;=0),"",BU117/BU124)</f>
        <v>1.0001789172515583E-3</v>
      </c>
      <c r="BX117" s="103">
        <f t="shared" ref="BX117:BX123" si="113">+AZ117*9</f>
        <v>0</v>
      </c>
      <c r="BY117" s="20" t="str">
        <f>IF(AND(BX4=0,BX117&gt;=0), "",BX117/BX4)</f>
        <v/>
      </c>
      <c r="BZ117" s="37">
        <f t="shared" si="45"/>
        <v>1</v>
      </c>
      <c r="CA117" s="101">
        <f>+'N EERR RODEO'!L194</f>
        <v>0</v>
      </c>
      <c r="CB117" s="20" t="str">
        <f>IF(AND(CA4=0,CA117&gt;=0), "",CA117/CA4)</f>
        <v/>
      </c>
      <c r="CC117" s="37" t="str">
        <f>IF(AND(CA124=0,CA117&gt;=0),"",CA117/CA124)</f>
        <v/>
      </c>
      <c r="CD117" s="20" t="str">
        <f t="shared" si="104"/>
        <v/>
      </c>
      <c r="CE117" s="102">
        <f t="shared" ref="CE117:CE123" si="114">+BU117+CA117</f>
        <v>76.25</v>
      </c>
      <c r="CF117" s="20">
        <f>IF(AND(CE4=0,CE117&gt;=0), "",CE117/CE4)</f>
        <v>4.6629739989512131E-4</v>
      </c>
      <c r="CG117" s="37">
        <f>IF(AND(CE124=0,CE117&gt;=0),"",CE117/CE124)</f>
        <v>1.0001789172515583E-3</v>
      </c>
      <c r="CH117" s="101">
        <f>+'N EERR RODEO'!M194</f>
        <v>0</v>
      </c>
      <c r="CI117" s="20" t="str">
        <f>IF(AND(CH4=0,CH117&gt;=0), "",CH117/CH4)</f>
        <v/>
      </c>
      <c r="CJ117" s="37" t="str">
        <f>IF(AND(CH124=0,CH117&gt;=0),"",CH117/CH124)</f>
        <v/>
      </c>
      <c r="CK117" s="20" t="str">
        <f t="shared" si="46"/>
        <v/>
      </c>
      <c r="CL117" s="102">
        <f t="shared" ref="CL117:CL123" si="115">+CE117+CH117</f>
        <v>76.25</v>
      </c>
      <c r="CM117" s="20">
        <f>IF(AND(CL4=0,CL117&gt;=0), "",CL117/CL4)</f>
        <v>4.6629739989512131E-4</v>
      </c>
      <c r="CN117" s="37">
        <f>IF(AND(CL124=0,CL117&gt;=0),"",CL117/CL124)</f>
        <v>1.0001789172515583E-3</v>
      </c>
      <c r="CO117" s="101">
        <f>+'N EERR RODEO'!N194</f>
        <v>0</v>
      </c>
      <c r="CP117" s="20" t="str">
        <f>IF(AND(CO4=0,CO117&gt;=0), "",CO117/CO4)</f>
        <v/>
      </c>
      <c r="CQ117" s="37" t="str">
        <f>IF(AND(CO124=0,CO117&gt;=0),"",CO117/CO124)</f>
        <v/>
      </c>
      <c r="CR117" s="20" t="str">
        <f t="shared" si="47"/>
        <v/>
      </c>
      <c r="CS117" s="102">
        <f t="shared" ref="CS117:CS123" si="116">+CL117+CO117</f>
        <v>76.25</v>
      </c>
      <c r="CT117" s="20">
        <f>IF(AND(CS4=0,CS117&gt;=0), "",CS117/CS4)</f>
        <v>4.6629739989512131E-4</v>
      </c>
      <c r="CU117" s="37">
        <f>IF(AND(CS124=0,CS117&gt;=0),"",CS117/CS124)</f>
        <v>1.0001789172515583E-3</v>
      </c>
      <c r="CV117" s="103">
        <f t="shared" ref="CV117:CV123" si="117">+AZ117*12</f>
        <v>0</v>
      </c>
      <c r="CW117" s="20" t="str">
        <f>IF(AND(CV4=0,CV117&gt;=0), "",CV117/CV4)</f>
        <v/>
      </c>
      <c r="CX117" s="37">
        <f t="shared" si="48"/>
        <v>1</v>
      </c>
    </row>
    <row r="118" spans="1:102" hidden="1" outlineLevel="1" x14ac:dyDescent="0.25">
      <c r="A118" s="19" t="s">
        <v>96</v>
      </c>
      <c r="B118" s="101">
        <f>+'N EERR RODEO'!B195</f>
        <v>0</v>
      </c>
      <c r="C118" s="20" t="str">
        <f>IF(AND(B4=0,B118&gt;=0), "",B118/B4)</f>
        <v/>
      </c>
      <c r="D118" s="37" t="str">
        <f>IF(AND(B124=0,B118&gt;=0),"",B118/B124)</f>
        <v/>
      </c>
      <c r="E118" s="101">
        <f>+'N EERR RODEO'!C195</f>
        <v>0</v>
      </c>
      <c r="F118" s="20">
        <f>IF(AND(E4=0,E118&gt;=0), "",E118/E4)</f>
        <v>0</v>
      </c>
      <c r="G118" s="37">
        <f>IF(AND(E124=0,E118&gt;=0),"",E118/E124)</f>
        <v>0</v>
      </c>
      <c r="H118" s="101">
        <f>+'N EERR RODEO'!D195</f>
        <v>0</v>
      </c>
      <c r="I118" s="20">
        <f>IF(AND(H4=0,H118&gt;=0), "",H118/H4)</f>
        <v>0</v>
      </c>
      <c r="J118" s="37">
        <f>IF(AND(H124=0,H118&gt;=0),"",H118/H124)</f>
        <v>0</v>
      </c>
      <c r="K118" s="20" t="str">
        <f t="shared" si="97"/>
        <v/>
      </c>
      <c r="L118" s="102">
        <f t="shared" si="105"/>
        <v>0</v>
      </c>
      <c r="M118" s="20">
        <f>IF(AND(L4=0,L118&gt;=0), "",L118/L4)</f>
        <v>0</v>
      </c>
      <c r="N118" s="37">
        <f>IF(AND(L124=0,L118&gt;=0),"",L118/L124)</f>
        <v>0</v>
      </c>
      <c r="O118" s="101">
        <f>+'N EERR RODEO'!E195</f>
        <v>0</v>
      </c>
      <c r="P118" s="20">
        <f>IF(AND(O4=0,O118&gt;=0), "",O118/O4)</f>
        <v>0</v>
      </c>
      <c r="Q118" s="37">
        <f>IF(AND(O124=0,O118&gt;=0),"",O118/O124)</f>
        <v>0</v>
      </c>
      <c r="R118" s="20" t="str">
        <f t="shared" si="98"/>
        <v/>
      </c>
      <c r="S118" s="102">
        <f t="shared" si="106"/>
        <v>0</v>
      </c>
      <c r="T118" s="20">
        <f>IF(AND(S4=0,S118&gt;=0), "",S118/S4)</f>
        <v>0</v>
      </c>
      <c r="U118" s="37">
        <f>IF(AND(S124=0,S118&gt;=0),"",S118/S124)</f>
        <v>0</v>
      </c>
      <c r="V118" s="103"/>
      <c r="W118" s="20" t="str">
        <f>IF(AND(V4=0,V118&gt;=0), "",V118/V4)</f>
        <v/>
      </c>
      <c r="X118" s="37" t="str">
        <f t="shared" si="99"/>
        <v/>
      </c>
      <c r="Y118" s="101">
        <f>+'N EERR RODEO'!F195</f>
        <v>0</v>
      </c>
      <c r="Z118" s="20" t="str">
        <f>IF(AND(Y4=0,Y118&gt;=0), "",Y118/Y4)</f>
        <v/>
      </c>
      <c r="AA118" s="37" t="str">
        <f>IF(AND(Y124=0,Y118&gt;=0),"",Y118/Y124)</f>
        <v/>
      </c>
      <c r="AB118" s="20" t="str">
        <f t="shared" si="100"/>
        <v/>
      </c>
      <c r="AC118" s="102">
        <f t="shared" si="107"/>
        <v>0</v>
      </c>
      <c r="AD118" s="20">
        <f>IF(AND(AC4=0,AC118&gt;=0), "",AC118/AC4)</f>
        <v>0</v>
      </c>
      <c r="AE118" s="37">
        <f>IF(AND(AC124=0,AC118&gt;=0),"",AC118/AC124)</f>
        <v>0</v>
      </c>
      <c r="AF118" s="101">
        <f>+'N EERR RODEO'!G195</f>
        <v>0</v>
      </c>
      <c r="AG118" s="20" t="str">
        <f>IF(AND(AF4=0,AF118&gt;=0), "",AF118/AF4)</f>
        <v/>
      </c>
      <c r="AH118" s="37" t="str">
        <f>IF(AND(AF124=0,AF118&gt;=0),"",AF118/AF124)</f>
        <v/>
      </c>
      <c r="AI118" s="20" t="str">
        <f t="shared" si="41"/>
        <v/>
      </c>
      <c r="AJ118" s="102">
        <f t="shared" si="62"/>
        <v>0</v>
      </c>
      <c r="AK118" s="20">
        <f>IF(AND(AJ4=0,AJ118&gt;=0), "",AJ118/AJ4)</f>
        <v>0</v>
      </c>
      <c r="AL118" s="37">
        <f>IF(AND(AJ124=0,AJ118&gt;=0),"",AJ118/AJ124)</f>
        <v>0</v>
      </c>
      <c r="AM118" s="101">
        <f>+'N EERR RODEO'!H195</f>
        <v>0</v>
      </c>
      <c r="AN118" s="20" t="str">
        <f>IF(AND(AM4=0,AM118&gt;=0), "",AM118/AM4)</f>
        <v/>
      </c>
      <c r="AO118" s="37" t="str">
        <f>IF(AND(AM124=0,AM118&gt;=0),"",AM118/AM124)</f>
        <v/>
      </c>
      <c r="AP118" s="20" t="str">
        <f t="shared" si="42"/>
        <v/>
      </c>
      <c r="AQ118" s="102">
        <f t="shared" si="63"/>
        <v>0</v>
      </c>
      <c r="AR118" s="20">
        <f>IF(AND(AQ4=0,AQ118&gt;=0), "",AQ118/AQ4)</f>
        <v>0</v>
      </c>
      <c r="AS118" s="37">
        <f>IF(AND(AQ124=0,AQ118&gt;=0),"",AQ118/AQ124)</f>
        <v>0</v>
      </c>
      <c r="AT118" s="103">
        <f t="shared" si="108"/>
        <v>0</v>
      </c>
      <c r="AU118" s="20" t="str">
        <f>IF(AND(AT4=0,AT118&gt;=0), "",AT118/AT4)</f>
        <v/>
      </c>
      <c r="AV118" s="37" t="str">
        <f t="shared" si="101"/>
        <v/>
      </c>
      <c r="AW118" s="103">
        <f t="shared" ref="AW118:AW123" si="118">+AQ118/6</f>
        <v>0</v>
      </c>
      <c r="AX118" s="20">
        <f>IF(AND(AW4=0,AW118&gt;=0), "",AW118/AW4)</f>
        <v>0</v>
      </c>
      <c r="AY118" s="37">
        <f>IF(AND(AW124=0,AW118&gt;=0),"",AW118/AW124)</f>
        <v>0</v>
      </c>
      <c r="AZ118" s="103">
        <f t="shared" si="109"/>
        <v>0</v>
      </c>
      <c r="BA118" s="20" t="str">
        <f>IF(AND(AZ4=0,AZ118&gt;=0), "",AZ118/AZ4)</f>
        <v/>
      </c>
      <c r="BB118" s="37" t="str">
        <f t="shared" si="102"/>
        <v/>
      </c>
      <c r="BC118" s="101">
        <f>+'N EERR RODEO'!I195</f>
        <v>0</v>
      </c>
      <c r="BD118" s="20" t="str">
        <f>IF(AND(BC4=0,BC118&gt;=0), "",BC118/BC4)</f>
        <v/>
      </c>
      <c r="BE118" s="37" t="str">
        <f>IF(AND(BC124=0,BC118&gt;=0),"",BC118/BC124)</f>
        <v/>
      </c>
      <c r="BF118" s="20" t="str">
        <f t="shared" si="103"/>
        <v/>
      </c>
      <c r="BG118" s="102">
        <f t="shared" si="110"/>
        <v>0</v>
      </c>
      <c r="BH118" s="20">
        <f>IF(AND(BG4=0,BG118&gt;=0), "",BG118/BG4)</f>
        <v>0</v>
      </c>
      <c r="BI118" s="37">
        <f>IF(AND(BG124=0,BG118&gt;=0),"",BG118/BG124)</f>
        <v>0</v>
      </c>
      <c r="BJ118" s="101">
        <f>+'N EERR RODEO'!J195</f>
        <v>0</v>
      </c>
      <c r="BK118" s="20" t="str">
        <f>IF(AND(BJ4=0,BJ118&gt;=0), "",BJ118/BJ4)</f>
        <v/>
      </c>
      <c r="BL118" s="37" t="str">
        <f>IF(AND(BJ124=0,BJ118&gt;=0),"",BJ118/BJ124)</f>
        <v/>
      </c>
      <c r="BM118" s="20" t="str">
        <f t="shared" si="43"/>
        <v/>
      </c>
      <c r="BN118" s="102">
        <f t="shared" si="111"/>
        <v>0</v>
      </c>
      <c r="BO118" s="20">
        <f>IF(AND(BN4=0,BN118&gt;=0), "",BN118/BN4)</f>
        <v>0</v>
      </c>
      <c r="BP118" s="37">
        <f>IF(AND(BN124=0,BN118&gt;=0),"",BN118/BN124)</f>
        <v>0</v>
      </c>
      <c r="BQ118" s="101">
        <f>+'N EERR RODEO'!K195</f>
        <v>0</v>
      </c>
      <c r="BR118" s="20" t="str">
        <f>IF(AND(BQ4=0,BQ118&gt;=0), "",BQ118/BQ4)</f>
        <v/>
      </c>
      <c r="BS118" s="37" t="str">
        <f>IF(AND(BQ124=0,BQ118&gt;=0),"",BQ118/BQ124)</f>
        <v/>
      </c>
      <c r="BT118" s="20" t="str">
        <f t="shared" si="44"/>
        <v/>
      </c>
      <c r="BU118" s="102">
        <f t="shared" si="112"/>
        <v>0</v>
      </c>
      <c r="BV118" s="20">
        <f>IF(AND(BU4=0,BU118&gt;=0), "",BU118/BU4)</f>
        <v>0</v>
      </c>
      <c r="BW118" s="37">
        <f>IF(AND(BU124=0,BU118&gt;=0),"",BU118/BU124)</f>
        <v>0</v>
      </c>
      <c r="BX118" s="103">
        <f t="shared" si="113"/>
        <v>0</v>
      </c>
      <c r="BY118" s="20" t="str">
        <f>IF(AND(BX4=0,BX118&gt;=0), "",BX118/BX4)</f>
        <v/>
      </c>
      <c r="BZ118" s="37" t="str">
        <f t="shared" si="45"/>
        <v/>
      </c>
      <c r="CA118" s="101">
        <f>+'N EERR RODEO'!L195</f>
        <v>0</v>
      </c>
      <c r="CB118" s="20" t="str">
        <f>IF(AND(CA4=0,CA118&gt;=0), "",CA118/CA4)</f>
        <v/>
      </c>
      <c r="CC118" s="37" t="str">
        <f>IF(AND(CA124=0,CA118&gt;=0),"",CA118/CA124)</f>
        <v/>
      </c>
      <c r="CD118" s="20" t="str">
        <f t="shared" si="104"/>
        <v/>
      </c>
      <c r="CE118" s="102">
        <f t="shared" si="114"/>
        <v>0</v>
      </c>
      <c r="CF118" s="20">
        <f>IF(AND(CE4=0,CE118&gt;=0), "",CE118/CE4)</f>
        <v>0</v>
      </c>
      <c r="CG118" s="37">
        <f>IF(AND(CE124=0,CE118&gt;=0),"",CE118/CE124)</f>
        <v>0</v>
      </c>
      <c r="CH118" s="101">
        <f>+'N EERR RODEO'!M195</f>
        <v>0</v>
      </c>
      <c r="CI118" s="20" t="str">
        <f>IF(AND(CH4=0,CH118&gt;=0), "",CH118/CH4)</f>
        <v/>
      </c>
      <c r="CJ118" s="37" t="str">
        <f>IF(AND(CH124=0,CH118&gt;=0),"",CH118/CH124)</f>
        <v/>
      </c>
      <c r="CK118" s="20" t="str">
        <f t="shared" si="46"/>
        <v/>
      </c>
      <c r="CL118" s="102">
        <f t="shared" si="115"/>
        <v>0</v>
      </c>
      <c r="CM118" s="20">
        <f>IF(AND(CL4=0,CL118&gt;=0), "",CL118/CL4)</f>
        <v>0</v>
      </c>
      <c r="CN118" s="37">
        <f>IF(AND(CL124=0,CL118&gt;=0),"",CL118/CL124)</f>
        <v>0</v>
      </c>
      <c r="CO118" s="101">
        <f>+'N EERR RODEO'!N195</f>
        <v>0</v>
      </c>
      <c r="CP118" s="20" t="str">
        <f>IF(AND(CO4=0,CO118&gt;=0), "",CO118/CO4)</f>
        <v/>
      </c>
      <c r="CQ118" s="37" t="str">
        <f>IF(AND(CO124=0,CO118&gt;=0),"",CO118/CO124)</f>
        <v/>
      </c>
      <c r="CR118" s="20" t="str">
        <f t="shared" si="47"/>
        <v/>
      </c>
      <c r="CS118" s="102">
        <f t="shared" si="116"/>
        <v>0</v>
      </c>
      <c r="CT118" s="20">
        <f>IF(AND(CS4=0,CS118&gt;=0), "",CS118/CS4)</f>
        <v>0</v>
      </c>
      <c r="CU118" s="37">
        <f>IF(AND(CS124=0,CS118&gt;=0),"",CS118/CS124)</f>
        <v>0</v>
      </c>
      <c r="CV118" s="103">
        <f t="shared" si="117"/>
        <v>0</v>
      </c>
      <c r="CW118" s="20" t="str">
        <f>IF(AND(CV4=0,CV118&gt;=0), "",CV118/CV4)</f>
        <v/>
      </c>
      <c r="CX118" s="37" t="str">
        <f t="shared" si="48"/>
        <v/>
      </c>
    </row>
    <row r="119" spans="1:102" hidden="1" outlineLevel="1" x14ac:dyDescent="0.25">
      <c r="A119" s="19" t="s">
        <v>97</v>
      </c>
      <c r="B119" s="101">
        <f>+'N EERR RODEO'!B196</f>
        <v>0</v>
      </c>
      <c r="C119" s="20" t="str">
        <f>IF(AND(B4=0,B119&gt;=0), "",B119/B4)</f>
        <v/>
      </c>
      <c r="D119" s="37" t="str">
        <f>IF(AND(B124=0,B119&gt;=0),"",B119/B124)</f>
        <v/>
      </c>
      <c r="E119" s="101">
        <f>+'N EERR RODEO'!C196</f>
        <v>0</v>
      </c>
      <c r="F119" s="20">
        <f>IF(AND(E4=0,E119&gt;=0), "",E119/E4)</f>
        <v>0</v>
      </c>
      <c r="G119" s="37">
        <f>IF(AND(E124=0,E119&gt;=0),"",E119/E124)</f>
        <v>0</v>
      </c>
      <c r="H119" s="101">
        <f>+'N EERR RODEO'!D196</f>
        <v>0</v>
      </c>
      <c r="I119" s="20">
        <f>IF(AND(H4=0,H119&gt;=0), "",H119/H4)</f>
        <v>0</v>
      </c>
      <c r="J119" s="37">
        <f>IF(AND(H124=0,H119&gt;=0),"",H119/H124)</f>
        <v>0</v>
      </c>
      <c r="K119" s="20" t="str">
        <f t="shared" si="97"/>
        <v/>
      </c>
      <c r="L119" s="102">
        <f t="shared" si="105"/>
        <v>0</v>
      </c>
      <c r="M119" s="20">
        <f>IF(AND(L4=0,L119&gt;=0), "",L119/L4)</f>
        <v>0</v>
      </c>
      <c r="N119" s="37">
        <f>IF(AND(L124=0,L119&gt;=0),"",L119/L124)</f>
        <v>0</v>
      </c>
      <c r="O119" s="101">
        <f>+'N EERR RODEO'!E196</f>
        <v>0</v>
      </c>
      <c r="P119" s="20">
        <f>IF(AND(O4=0,O119&gt;=0), "",O119/O4)</f>
        <v>0</v>
      </c>
      <c r="Q119" s="37">
        <f>IF(AND(O124=0,O119&gt;=0),"",O119/O124)</f>
        <v>0</v>
      </c>
      <c r="R119" s="20" t="str">
        <f t="shared" si="98"/>
        <v/>
      </c>
      <c r="S119" s="102">
        <f t="shared" si="106"/>
        <v>0</v>
      </c>
      <c r="T119" s="20">
        <f>IF(AND(S4=0,S119&gt;=0), "",S119/S4)</f>
        <v>0</v>
      </c>
      <c r="U119" s="37">
        <f>IF(AND(S124=0,S119&gt;=0),"",S119/S124)</f>
        <v>0</v>
      </c>
      <c r="V119" s="103"/>
      <c r="W119" s="20" t="str">
        <f>IF(AND(V4=0,V119&gt;=0), "",V119/V4)</f>
        <v/>
      </c>
      <c r="X119" s="37" t="str">
        <f t="shared" si="99"/>
        <v/>
      </c>
      <c r="Y119" s="101">
        <f>+'N EERR RODEO'!F196</f>
        <v>0</v>
      </c>
      <c r="Z119" s="20" t="str">
        <f>IF(AND(Y4=0,Y119&gt;=0), "",Y119/Y4)</f>
        <v/>
      </c>
      <c r="AA119" s="37" t="str">
        <f>IF(AND(Y124=0,Y119&gt;=0),"",Y119/Y124)</f>
        <v/>
      </c>
      <c r="AB119" s="20" t="str">
        <f t="shared" si="100"/>
        <v/>
      </c>
      <c r="AC119" s="102">
        <f t="shared" si="107"/>
        <v>0</v>
      </c>
      <c r="AD119" s="20">
        <f>IF(AND(AC4=0,AC119&gt;=0), "",AC119/AC4)</f>
        <v>0</v>
      </c>
      <c r="AE119" s="37">
        <f>IF(AND(AC124=0,AC119&gt;=0),"",AC119/AC124)</f>
        <v>0</v>
      </c>
      <c r="AF119" s="101">
        <f>+'N EERR RODEO'!G196</f>
        <v>0</v>
      </c>
      <c r="AG119" s="20" t="str">
        <f>IF(AND(AF4=0,AF119&gt;=0), "",AF119/AF4)</f>
        <v/>
      </c>
      <c r="AH119" s="37" t="str">
        <f>IF(AND(AF124=0,AF119&gt;=0),"",AF119/AF124)</f>
        <v/>
      </c>
      <c r="AI119" s="20" t="str">
        <f t="shared" si="41"/>
        <v/>
      </c>
      <c r="AJ119" s="102">
        <f t="shared" si="62"/>
        <v>0</v>
      </c>
      <c r="AK119" s="20">
        <f>IF(AND(AJ4=0,AJ119&gt;=0), "",AJ119/AJ4)</f>
        <v>0</v>
      </c>
      <c r="AL119" s="37">
        <f>IF(AND(AJ124=0,AJ119&gt;=0),"",AJ119/AJ124)</f>
        <v>0</v>
      </c>
      <c r="AM119" s="101">
        <f>+'N EERR RODEO'!H196</f>
        <v>0</v>
      </c>
      <c r="AN119" s="20" t="str">
        <f>IF(AND(AM4=0,AM119&gt;=0), "",AM119/AM4)</f>
        <v/>
      </c>
      <c r="AO119" s="37" t="str">
        <f>IF(AND(AM124=0,AM119&gt;=0),"",AM119/AM124)</f>
        <v/>
      </c>
      <c r="AP119" s="20" t="str">
        <f t="shared" si="42"/>
        <v/>
      </c>
      <c r="AQ119" s="102">
        <f t="shared" si="63"/>
        <v>0</v>
      </c>
      <c r="AR119" s="20">
        <f>IF(AND(AQ4=0,AQ119&gt;=0), "",AQ119/AQ4)</f>
        <v>0</v>
      </c>
      <c r="AS119" s="37">
        <f>IF(AND(AQ124=0,AQ119&gt;=0),"",AQ119/AQ124)</f>
        <v>0</v>
      </c>
      <c r="AT119" s="103">
        <f t="shared" si="108"/>
        <v>0</v>
      </c>
      <c r="AU119" s="20" t="str">
        <f>IF(AND(AT4=0,AT119&gt;=0), "",AT119/AT4)</f>
        <v/>
      </c>
      <c r="AV119" s="37" t="str">
        <f t="shared" si="101"/>
        <v/>
      </c>
      <c r="AW119" s="103">
        <f t="shared" si="118"/>
        <v>0</v>
      </c>
      <c r="AX119" s="20">
        <f>IF(AND(AW4=0,AW119&gt;=0), "",AW119/AW4)</f>
        <v>0</v>
      </c>
      <c r="AY119" s="37">
        <f>IF(AND(AW124=0,AW119&gt;=0),"",AW119/AW124)</f>
        <v>0</v>
      </c>
      <c r="AZ119" s="103">
        <f t="shared" si="109"/>
        <v>0</v>
      </c>
      <c r="BA119" s="20" t="str">
        <f>IF(AND(AZ4=0,AZ119&gt;=0), "",AZ119/AZ4)</f>
        <v/>
      </c>
      <c r="BB119" s="37" t="str">
        <f t="shared" si="102"/>
        <v/>
      </c>
      <c r="BC119" s="101">
        <f>+'N EERR RODEO'!I196</f>
        <v>0</v>
      </c>
      <c r="BD119" s="20" t="str">
        <f>IF(AND(BC4=0,BC119&gt;=0), "",BC119/BC4)</f>
        <v/>
      </c>
      <c r="BE119" s="37" t="str">
        <f>IF(AND(BC124=0,BC119&gt;=0),"",BC119/BC124)</f>
        <v/>
      </c>
      <c r="BF119" s="20" t="str">
        <f t="shared" si="103"/>
        <v/>
      </c>
      <c r="BG119" s="102">
        <f t="shared" si="110"/>
        <v>0</v>
      </c>
      <c r="BH119" s="20">
        <f>IF(AND(BG4=0,BG119&gt;=0), "",BG119/BG4)</f>
        <v>0</v>
      </c>
      <c r="BI119" s="37">
        <f>IF(AND(BG124=0,BG119&gt;=0),"",BG119/BG124)</f>
        <v>0</v>
      </c>
      <c r="BJ119" s="101">
        <f>+'N EERR RODEO'!J196</f>
        <v>0</v>
      </c>
      <c r="BK119" s="20" t="str">
        <f>IF(AND(BJ4=0,BJ119&gt;=0), "",BJ119/BJ4)</f>
        <v/>
      </c>
      <c r="BL119" s="37" t="str">
        <f>IF(AND(BJ124=0,BJ119&gt;=0),"",BJ119/BJ124)</f>
        <v/>
      </c>
      <c r="BM119" s="20" t="str">
        <f t="shared" si="43"/>
        <v/>
      </c>
      <c r="BN119" s="102">
        <f t="shared" si="111"/>
        <v>0</v>
      </c>
      <c r="BO119" s="20">
        <f>IF(AND(BN4=0,BN119&gt;=0), "",BN119/BN4)</f>
        <v>0</v>
      </c>
      <c r="BP119" s="37">
        <f>IF(AND(BN124=0,BN119&gt;=0),"",BN119/BN124)</f>
        <v>0</v>
      </c>
      <c r="BQ119" s="101">
        <f>+'N EERR RODEO'!K196</f>
        <v>0</v>
      </c>
      <c r="BR119" s="20" t="str">
        <f>IF(AND(BQ4=0,BQ119&gt;=0), "",BQ119/BQ4)</f>
        <v/>
      </c>
      <c r="BS119" s="37" t="str">
        <f>IF(AND(BQ124=0,BQ119&gt;=0),"",BQ119/BQ124)</f>
        <v/>
      </c>
      <c r="BT119" s="20" t="str">
        <f t="shared" si="44"/>
        <v/>
      </c>
      <c r="BU119" s="102">
        <f t="shared" si="112"/>
        <v>0</v>
      </c>
      <c r="BV119" s="20">
        <f>IF(AND(BU4=0,BU119&gt;=0), "",BU119/BU4)</f>
        <v>0</v>
      </c>
      <c r="BW119" s="37">
        <f>IF(AND(BU124=0,BU119&gt;=0),"",BU119/BU124)</f>
        <v>0</v>
      </c>
      <c r="BX119" s="103">
        <f t="shared" si="113"/>
        <v>0</v>
      </c>
      <c r="BY119" s="20" t="str">
        <f>IF(AND(BX4=0,BX119&gt;=0), "",BX119/BX4)</f>
        <v/>
      </c>
      <c r="BZ119" s="37" t="str">
        <f t="shared" si="45"/>
        <v/>
      </c>
      <c r="CA119" s="101">
        <f>+'N EERR RODEO'!L196</f>
        <v>0</v>
      </c>
      <c r="CB119" s="20" t="str">
        <f>IF(AND(CA4=0,CA119&gt;=0), "",CA119/CA4)</f>
        <v/>
      </c>
      <c r="CC119" s="37" t="str">
        <f>IF(AND(CA124=0,CA119&gt;=0),"",CA119/CA124)</f>
        <v/>
      </c>
      <c r="CD119" s="20" t="str">
        <f t="shared" si="104"/>
        <v/>
      </c>
      <c r="CE119" s="102">
        <f t="shared" si="114"/>
        <v>0</v>
      </c>
      <c r="CF119" s="20">
        <f>IF(AND(CE4=0,CE119&gt;=0), "",CE119/CE4)</f>
        <v>0</v>
      </c>
      <c r="CG119" s="37">
        <f>IF(AND(CE124=0,CE119&gt;=0),"",CE119/CE124)</f>
        <v>0</v>
      </c>
      <c r="CH119" s="101">
        <f>+'N EERR RODEO'!M196</f>
        <v>0</v>
      </c>
      <c r="CI119" s="20" t="str">
        <f>IF(AND(CH4=0,CH119&gt;=0), "",CH119/CH4)</f>
        <v/>
      </c>
      <c r="CJ119" s="37" t="str">
        <f>IF(AND(CH124=0,CH119&gt;=0),"",CH119/CH124)</f>
        <v/>
      </c>
      <c r="CK119" s="20" t="str">
        <f t="shared" si="46"/>
        <v/>
      </c>
      <c r="CL119" s="102">
        <f t="shared" si="115"/>
        <v>0</v>
      </c>
      <c r="CM119" s="20">
        <f>IF(AND(CL4=0,CL119&gt;=0), "",CL119/CL4)</f>
        <v>0</v>
      </c>
      <c r="CN119" s="37">
        <f>IF(AND(CL124=0,CL119&gt;=0),"",CL119/CL124)</f>
        <v>0</v>
      </c>
      <c r="CO119" s="101">
        <f>+'N EERR RODEO'!N196</f>
        <v>0</v>
      </c>
      <c r="CP119" s="20" t="str">
        <f>IF(AND(CO4=0,CO119&gt;=0), "",CO119/CO4)</f>
        <v/>
      </c>
      <c r="CQ119" s="37" t="str">
        <f>IF(AND(CO124=0,CO119&gt;=0),"",CO119/CO124)</f>
        <v/>
      </c>
      <c r="CR119" s="20" t="str">
        <f t="shared" si="47"/>
        <v/>
      </c>
      <c r="CS119" s="102">
        <f t="shared" si="116"/>
        <v>0</v>
      </c>
      <c r="CT119" s="20">
        <f>IF(AND(CS4=0,CS119&gt;=0), "",CS119/CS4)</f>
        <v>0</v>
      </c>
      <c r="CU119" s="37">
        <f>IF(AND(CS124=0,CS119&gt;=0),"",CS119/CS124)</f>
        <v>0</v>
      </c>
      <c r="CV119" s="103">
        <f t="shared" si="117"/>
        <v>0</v>
      </c>
      <c r="CW119" s="20" t="str">
        <f>IF(AND(CV4=0,CV119&gt;=0), "",CV119/CV4)</f>
        <v/>
      </c>
      <c r="CX119" s="37" t="str">
        <f t="shared" si="48"/>
        <v/>
      </c>
    </row>
    <row r="120" spans="1:102" hidden="1" outlineLevel="1" x14ac:dyDescent="0.25">
      <c r="A120" s="19" t="s">
        <v>31</v>
      </c>
      <c r="B120" s="101">
        <f>+'N EERR RODEO'!B197</f>
        <v>0</v>
      </c>
      <c r="C120" s="20" t="str">
        <f>IF(AND(B4=0,B120&gt;=0), "",B120/B4)</f>
        <v/>
      </c>
      <c r="D120" s="37" t="str">
        <f>IF(AND(B124=0,B120&gt;=0),"",B120/B124)</f>
        <v/>
      </c>
      <c r="E120" s="101">
        <f>+'N EERR RODEO'!C197</f>
        <v>18087.53</v>
      </c>
      <c r="F120" s="20">
        <f>IF(AND(E4=0,E120&gt;=0), "",E120/E4)</f>
        <v>0.37735002356412684</v>
      </c>
      <c r="G120" s="37">
        <f>IF(AND(E124=0,E120&gt;=0),"",E120/E124)</f>
        <v>0.58413179347782207</v>
      </c>
      <c r="H120" s="101">
        <f>+'N EERR RODEO'!D197</f>
        <v>9466.14</v>
      </c>
      <c r="I120" s="20">
        <f>IF(AND(H4=0,H120&gt;=0), "",H120/H4)</f>
        <v>0.18386909553126621</v>
      </c>
      <c r="J120" s="37">
        <f>IF(AND(H124=0,H120&gt;=0),"",H120/H124)</f>
        <v>0.48959357507154239</v>
      </c>
      <c r="K120" s="20">
        <f t="shared" si="97"/>
        <v>-0.47664827646450342</v>
      </c>
      <c r="L120" s="102">
        <f t="shared" si="105"/>
        <v>27553.67</v>
      </c>
      <c r="M120" s="20">
        <f>IF(AND(L4=0,L120&gt;=0), "",L120/L4)</f>
        <v>0.27715509172712216</v>
      </c>
      <c r="N120" s="37">
        <f>IF(AND(L124=0,L120&gt;=0),"",L120/L124)</f>
        <v>0.54779212517023035</v>
      </c>
      <c r="O120" s="101">
        <f>+'N EERR RODEO'!E197</f>
        <v>11951.53</v>
      </c>
      <c r="P120" s="20">
        <f>IF(AND(O4=0,O120&gt;=0), "",O120/O4)</f>
        <v>0.18643335166749914</v>
      </c>
      <c r="Q120" s="37">
        <f>IF(AND(O124=0,O120&gt;=0),"",O120/O124)</f>
        <v>0.46079324945270939</v>
      </c>
      <c r="R120" s="20">
        <f t="shared" si="98"/>
        <v>0.26255580416093588</v>
      </c>
      <c r="S120" s="102">
        <f t="shared" si="106"/>
        <v>39505.199999999997</v>
      </c>
      <c r="T120" s="20">
        <f>IF(AND(S4=0,S120&gt;=0), "",S120/S4)</f>
        <v>0.24158914153884256</v>
      </c>
      <c r="U120" s="37">
        <f>IF(AND(S124=0,S120&gt;=0),"",S120/S124)</f>
        <v>0.51819368081057393</v>
      </c>
      <c r="V120" s="103"/>
      <c r="W120" s="20" t="str">
        <f>IF(AND(V4=0,V120&gt;=0), "",V120/V4)</f>
        <v/>
      </c>
      <c r="X120" s="37">
        <f t="shared" si="99"/>
        <v>1</v>
      </c>
      <c r="Y120" s="101">
        <f>+'N EERR RODEO'!F197</f>
        <v>0</v>
      </c>
      <c r="Z120" s="20" t="str">
        <f>IF(AND(Y4=0,Y120&gt;=0), "",Y120/Y4)</f>
        <v/>
      </c>
      <c r="AA120" s="37" t="str">
        <f>IF(AND(Y124=0,Y120&gt;=0),"",Y120/Y124)</f>
        <v/>
      </c>
      <c r="AB120" s="20">
        <f t="shared" si="100"/>
        <v>-1</v>
      </c>
      <c r="AC120" s="102">
        <f t="shared" si="107"/>
        <v>39505.199999999997</v>
      </c>
      <c r="AD120" s="20">
        <f>IF(AND(AC4=0,AC120&gt;=0), "",AC120/AC4)</f>
        <v>0.24158914153884256</v>
      </c>
      <c r="AE120" s="37">
        <f>IF(AND(AC124=0,AC120&gt;=0),"",AC120/AC124)</f>
        <v>0.51819368081057393</v>
      </c>
      <c r="AF120" s="101">
        <f>+'N EERR RODEO'!G197</f>
        <v>0</v>
      </c>
      <c r="AG120" s="20" t="str">
        <f>IF(AND(AF4=0,AF120&gt;=0), "",AF120/AF4)</f>
        <v/>
      </c>
      <c r="AH120" s="37" t="str">
        <f>IF(AND(AF124=0,AF120&gt;=0),"",AF120/AF124)</f>
        <v/>
      </c>
      <c r="AI120" s="20" t="str">
        <f t="shared" si="41"/>
        <v/>
      </c>
      <c r="AJ120" s="102">
        <f t="shared" si="62"/>
        <v>39505.199999999997</v>
      </c>
      <c r="AK120" s="20">
        <f>IF(AND(AJ4=0,AJ120&gt;=0), "",AJ120/AJ4)</f>
        <v>0.24158914153884256</v>
      </c>
      <c r="AL120" s="37">
        <f>IF(AND(AJ124=0,AJ120&gt;=0),"",AJ120/AJ124)</f>
        <v>0.51819368081057393</v>
      </c>
      <c r="AM120" s="101">
        <f>+'N EERR RODEO'!H197</f>
        <v>0</v>
      </c>
      <c r="AN120" s="20" t="str">
        <f>IF(AND(AM4=0,AM120&gt;=0), "",AM120/AM4)</f>
        <v/>
      </c>
      <c r="AO120" s="37" t="str">
        <f>IF(AND(AM124=0,AM120&gt;=0),"",AM120/AM124)</f>
        <v/>
      </c>
      <c r="AP120" s="20" t="str">
        <f t="shared" si="42"/>
        <v/>
      </c>
      <c r="AQ120" s="102">
        <f t="shared" si="63"/>
        <v>39505.199999999997</v>
      </c>
      <c r="AR120" s="20">
        <f>IF(AND(AQ4=0,AQ120&gt;=0), "",AQ120/AQ4)</f>
        <v>0.24158914153884256</v>
      </c>
      <c r="AS120" s="37">
        <f>IF(AND(AQ124=0,AQ120&gt;=0),"",AQ120/AQ124)</f>
        <v>0.51819368081057393</v>
      </c>
      <c r="AT120" s="103">
        <f t="shared" si="108"/>
        <v>0</v>
      </c>
      <c r="AU120" s="20" t="str">
        <f>IF(AND(AT4=0,AT120&gt;=0), "",AT120/AT4)</f>
        <v/>
      </c>
      <c r="AV120" s="37">
        <f t="shared" si="101"/>
        <v>1</v>
      </c>
      <c r="AW120" s="103">
        <f t="shared" si="118"/>
        <v>6584.2</v>
      </c>
      <c r="AX120" s="20">
        <f>IF(AND(AW4=0,AW120&gt;=0), "",AW120/AW4)</f>
        <v>0.24158914153884259</v>
      </c>
      <c r="AY120" s="37">
        <f>IF(AND(AW124=0,AW120&gt;=0),"",AW120/AW124)</f>
        <v>0.51819368081057382</v>
      </c>
      <c r="AZ120" s="103">
        <f t="shared" si="109"/>
        <v>0</v>
      </c>
      <c r="BA120" s="20" t="str">
        <f>IF(AND(AZ4=0,AZ120&gt;=0), "",AZ120/AZ4)</f>
        <v/>
      </c>
      <c r="BB120" s="37">
        <f t="shared" si="102"/>
        <v>1</v>
      </c>
      <c r="BC120" s="101">
        <f>+'N EERR RODEO'!I197</f>
        <v>0</v>
      </c>
      <c r="BD120" s="20" t="str">
        <f>IF(AND(BC4=0,BC120&gt;=0), "",BC120/BC4)</f>
        <v/>
      </c>
      <c r="BE120" s="37" t="str">
        <f>IF(AND(BC124=0,BC120&gt;=0),"",BC120/BC124)</f>
        <v/>
      </c>
      <c r="BF120" s="20" t="str">
        <f t="shared" si="103"/>
        <v/>
      </c>
      <c r="BG120" s="102">
        <f t="shared" si="110"/>
        <v>39505.199999999997</v>
      </c>
      <c r="BH120" s="20">
        <f>IF(AND(BG4=0,BG120&gt;=0), "",BG120/BG4)</f>
        <v>0.24158914153884256</v>
      </c>
      <c r="BI120" s="37">
        <f>IF(AND(BG124=0,BG120&gt;=0),"",BG120/BG124)</f>
        <v>0.51819368081057393</v>
      </c>
      <c r="BJ120" s="101">
        <f>+'N EERR RODEO'!J197</f>
        <v>0</v>
      </c>
      <c r="BK120" s="20" t="str">
        <f>IF(AND(BJ4=0,BJ120&gt;=0), "",BJ120/BJ4)</f>
        <v/>
      </c>
      <c r="BL120" s="37" t="str">
        <f>IF(AND(BJ124=0,BJ120&gt;=0),"",BJ120/BJ124)</f>
        <v/>
      </c>
      <c r="BM120" s="20" t="str">
        <f t="shared" si="43"/>
        <v/>
      </c>
      <c r="BN120" s="102">
        <f t="shared" si="111"/>
        <v>39505.199999999997</v>
      </c>
      <c r="BO120" s="20">
        <f>IF(AND(BN4=0,BN120&gt;=0), "",BN120/BN4)</f>
        <v>0.24158914153884256</v>
      </c>
      <c r="BP120" s="37">
        <f>IF(AND(BN124=0,BN120&gt;=0),"",BN120/BN124)</f>
        <v>0.51819368081057393</v>
      </c>
      <c r="BQ120" s="101">
        <f>+'N EERR RODEO'!K197</f>
        <v>0</v>
      </c>
      <c r="BR120" s="20" t="str">
        <f>IF(AND(BQ4=0,BQ120&gt;=0), "",BQ120/BQ4)</f>
        <v/>
      </c>
      <c r="BS120" s="37" t="str">
        <f>IF(AND(BQ124=0,BQ120&gt;=0),"",BQ120/BQ124)</f>
        <v/>
      </c>
      <c r="BT120" s="20" t="str">
        <f t="shared" si="44"/>
        <v/>
      </c>
      <c r="BU120" s="102">
        <f t="shared" si="112"/>
        <v>39505.199999999997</v>
      </c>
      <c r="BV120" s="20">
        <f>IF(AND(BU4=0,BU120&gt;=0), "",BU120/BU4)</f>
        <v>0.24158914153884256</v>
      </c>
      <c r="BW120" s="37">
        <f>IF(AND(BU124=0,BU120&gt;=0),"",BU120/BU124)</f>
        <v>0.51819368081057393</v>
      </c>
      <c r="BX120" s="103">
        <f t="shared" si="113"/>
        <v>0</v>
      </c>
      <c r="BY120" s="20" t="str">
        <f>IF(AND(BX4=0,BX120&gt;=0), "",BX120/BX4)</f>
        <v/>
      </c>
      <c r="BZ120" s="37">
        <f t="shared" si="45"/>
        <v>1</v>
      </c>
      <c r="CA120" s="101">
        <f>+'N EERR RODEO'!L197</f>
        <v>0</v>
      </c>
      <c r="CB120" s="20" t="str">
        <f>IF(AND(CA4=0,CA120&gt;=0), "",CA120/CA4)</f>
        <v/>
      </c>
      <c r="CC120" s="37" t="str">
        <f>IF(AND(CA124=0,CA120&gt;=0),"",CA120/CA124)</f>
        <v/>
      </c>
      <c r="CD120" s="20" t="str">
        <f t="shared" si="104"/>
        <v/>
      </c>
      <c r="CE120" s="102">
        <f t="shared" si="114"/>
        <v>39505.199999999997</v>
      </c>
      <c r="CF120" s="20">
        <f>IF(AND(CE4=0,CE120&gt;=0), "",CE120/CE4)</f>
        <v>0.24158914153884256</v>
      </c>
      <c r="CG120" s="37">
        <f>IF(AND(CE124=0,CE120&gt;=0),"",CE120/CE124)</f>
        <v>0.51819368081057393</v>
      </c>
      <c r="CH120" s="101">
        <f>+'N EERR RODEO'!M197</f>
        <v>0</v>
      </c>
      <c r="CI120" s="20" t="str">
        <f>IF(AND(CH4=0,CH120&gt;=0), "",CH120/CH4)</f>
        <v/>
      </c>
      <c r="CJ120" s="37" t="str">
        <f>IF(AND(CH124=0,CH120&gt;=0),"",CH120/CH124)</f>
        <v/>
      </c>
      <c r="CK120" s="20" t="str">
        <f t="shared" si="46"/>
        <v/>
      </c>
      <c r="CL120" s="102">
        <f t="shared" si="115"/>
        <v>39505.199999999997</v>
      </c>
      <c r="CM120" s="20">
        <f>IF(AND(CL4=0,CL120&gt;=0), "",CL120/CL4)</f>
        <v>0.24158914153884256</v>
      </c>
      <c r="CN120" s="37">
        <f>IF(AND(CL124=0,CL120&gt;=0),"",CL120/CL124)</f>
        <v>0.51819368081057393</v>
      </c>
      <c r="CO120" s="101">
        <f>+'N EERR RODEO'!N197</f>
        <v>0</v>
      </c>
      <c r="CP120" s="20" t="str">
        <f>IF(AND(CO4=0,CO120&gt;=0), "",CO120/CO4)</f>
        <v/>
      </c>
      <c r="CQ120" s="37" t="str">
        <f>IF(AND(CO124=0,CO120&gt;=0),"",CO120/CO124)</f>
        <v/>
      </c>
      <c r="CR120" s="20" t="str">
        <f t="shared" si="47"/>
        <v/>
      </c>
      <c r="CS120" s="102">
        <f t="shared" si="116"/>
        <v>39505.199999999997</v>
      </c>
      <c r="CT120" s="20">
        <f>IF(AND(CS4=0,CS120&gt;=0), "",CS120/CS4)</f>
        <v>0.24158914153884256</v>
      </c>
      <c r="CU120" s="37">
        <f>IF(AND(CS124=0,CS120&gt;=0),"",CS120/CS124)</f>
        <v>0.51819368081057393</v>
      </c>
      <c r="CV120" s="103">
        <f t="shared" si="117"/>
        <v>0</v>
      </c>
      <c r="CW120" s="20" t="str">
        <f>IF(AND(CV4=0,CV120&gt;=0), "",CV120/CV4)</f>
        <v/>
      </c>
      <c r="CX120" s="37">
        <f t="shared" si="48"/>
        <v>1</v>
      </c>
    </row>
    <row r="121" spans="1:102" hidden="1" outlineLevel="1" x14ac:dyDescent="0.25">
      <c r="A121" s="19" t="s">
        <v>98</v>
      </c>
      <c r="B121" s="101">
        <f>+'N EERR RODEO'!B198</f>
        <v>0</v>
      </c>
      <c r="C121" s="20" t="str">
        <f>IF(AND(B4=0,B121&gt;=0), "",B121/B4)</f>
        <v/>
      </c>
      <c r="D121" s="37" t="str">
        <f>IF(AND(B124=0,B121&gt;=0),"",B121/B124)</f>
        <v/>
      </c>
      <c r="E121" s="101">
        <f>+'N EERR RODEO'!C198</f>
        <v>0</v>
      </c>
      <c r="F121" s="20">
        <f>IF(AND(E4=0,E121&gt;=0), "",E121/E4)</f>
        <v>0</v>
      </c>
      <c r="G121" s="37">
        <f>IF(AND(E124=0,E121&gt;=0),"",E121/E124)</f>
        <v>0</v>
      </c>
      <c r="H121" s="101">
        <f>+'N EERR RODEO'!D198</f>
        <v>0.01</v>
      </c>
      <c r="I121" s="20">
        <f>IF(AND(H4=0,H121&gt;=0), "",H121/H4)</f>
        <v>1.9423872405359125E-7</v>
      </c>
      <c r="J121" s="37">
        <f>IF(AND(H124=0,H121&gt;=0),"",H121/H124)</f>
        <v>5.1720508578104953E-7</v>
      </c>
      <c r="K121" s="20">
        <f t="shared" si="97"/>
        <v>1</v>
      </c>
      <c r="L121" s="102">
        <f t="shared" si="105"/>
        <v>0.01</v>
      </c>
      <c r="M121" s="20">
        <f>IF(AND(L4=0,L121&gt;=0), "",L121/L4)</f>
        <v>1.0058735976990439E-7</v>
      </c>
      <c r="N121" s="37">
        <f>IF(AND(L124=0,L121&gt;=0),"",L121/L124)</f>
        <v>1.9880913329158344E-7</v>
      </c>
      <c r="O121" s="101">
        <f>+'N EERR RODEO'!E198</f>
        <v>-1.74</v>
      </c>
      <c r="P121" s="20">
        <f>IF(AND(O4=0,O121&gt;=0), "",O121/O4)</f>
        <v>-2.7142468947611603E-5</v>
      </c>
      <c r="Q121" s="37">
        <f>IF(AND(O124=0,O121&gt;=0),"",O121/O124)</f>
        <v>-6.7085992676060247E-5</v>
      </c>
      <c r="R121" s="20">
        <f t="shared" si="98"/>
        <v>-175</v>
      </c>
      <c r="S121" s="102">
        <f t="shared" si="106"/>
        <v>-1.73</v>
      </c>
      <c r="T121" s="20">
        <f>IF(AND(S4=0,S121&gt;=0), "",S121/S4)</f>
        <v>-1.0579600023849965E-5</v>
      </c>
      <c r="U121" s="37">
        <f>IF(AND(S124=0,S121&gt;=0),"",S121/S124)</f>
        <v>-2.269258395862552E-5</v>
      </c>
      <c r="V121" s="103"/>
      <c r="W121" s="20" t="str">
        <f>IF(AND(V4=0,V121&gt;=0), "",V121/V4)</f>
        <v/>
      </c>
      <c r="X121" s="37" t="e">
        <f t="shared" si="99"/>
        <v>#DIV/0!</v>
      </c>
      <c r="Y121" s="101">
        <f>+'N EERR RODEO'!F198</f>
        <v>0</v>
      </c>
      <c r="Z121" s="20" t="str">
        <f>IF(AND(Y4=0,Y121&gt;=0), "",Y121/Y4)</f>
        <v/>
      </c>
      <c r="AA121" s="37" t="str">
        <f>IF(AND(Y124=0,Y121&gt;=0),"",Y121/Y124)</f>
        <v/>
      </c>
      <c r="AB121" s="20">
        <f t="shared" si="100"/>
        <v>1</v>
      </c>
      <c r="AC121" s="102">
        <f t="shared" si="107"/>
        <v>-1.73</v>
      </c>
      <c r="AD121" s="20">
        <f>IF(AND(AC4=0,AC121&gt;=0), "",AC121/AC4)</f>
        <v>-1.0579600023849965E-5</v>
      </c>
      <c r="AE121" s="37">
        <f>IF(AND(AC124=0,AC121&gt;=0),"",AC121/AC124)</f>
        <v>-2.269258395862552E-5</v>
      </c>
      <c r="AF121" s="101">
        <f>+'N EERR RODEO'!G198</f>
        <v>0</v>
      </c>
      <c r="AG121" s="20" t="str">
        <f>IF(AND(AF4=0,AF121&gt;=0), "",AF121/AF4)</f>
        <v/>
      </c>
      <c r="AH121" s="37" t="str">
        <f>IF(AND(AF124=0,AF121&gt;=0),"",AF121/AF124)</f>
        <v/>
      </c>
      <c r="AI121" s="20" t="str">
        <f t="shared" si="41"/>
        <v/>
      </c>
      <c r="AJ121" s="102">
        <f t="shared" si="62"/>
        <v>-1.73</v>
      </c>
      <c r="AK121" s="20">
        <f>IF(AND(AJ4=0,AJ121&gt;=0), "",AJ121/AJ4)</f>
        <v>-1.0579600023849965E-5</v>
      </c>
      <c r="AL121" s="37">
        <f>IF(AND(AJ124=0,AJ121&gt;=0),"",AJ121/AJ124)</f>
        <v>-2.269258395862552E-5</v>
      </c>
      <c r="AM121" s="101">
        <f>+'N EERR RODEO'!H198</f>
        <v>0</v>
      </c>
      <c r="AN121" s="20" t="str">
        <f>IF(AND(AM4=0,AM121&gt;=0), "",AM121/AM4)</f>
        <v/>
      </c>
      <c r="AO121" s="37" t="str">
        <f>IF(AND(AM124=0,AM121&gt;=0),"",AM121/AM124)</f>
        <v/>
      </c>
      <c r="AP121" s="20" t="str">
        <f t="shared" si="42"/>
        <v/>
      </c>
      <c r="AQ121" s="102">
        <f t="shared" si="63"/>
        <v>-1.73</v>
      </c>
      <c r="AR121" s="20">
        <f>IF(AND(AQ4=0,AQ121&gt;=0), "",AQ121/AQ4)</f>
        <v>-1.0579600023849965E-5</v>
      </c>
      <c r="AS121" s="37">
        <f>IF(AND(AQ124=0,AQ121&gt;=0),"",AQ121/AQ124)</f>
        <v>-2.269258395862552E-5</v>
      </c>
      <c r="AT121" s="103">
        <f t="shared" si="108"/>
        <v>0</v>
      </c>
      <c r="AU121" s="20" t="str">
        <f>IF(AND(AT4=0,AT121&gt;=0), "",AT121/AT4)</f>
        <v/>
      </c>
      <c r="AV121" s="37" t="e">
        <f t="shared" si="101"/>
        <v>#DIV/0!</v>
      </c>
      <c r="AW121" s="103">
        <f t="shared" si="118"/>
        <v>-0.28833333333333333</v>
      </c>
      <c r="AX121" s="20">
        <f>IF(AND(AW4=0,AW121&gt;=0), "",AW121/AW4)</f>
        <v>-1.0579600023849965E-5</v>
      </c>
      <c r="AY121" s="37">
        <f>IF(AND(AW124=0,AW121&gt;=0),"",AW121/AW124)</f>
        <v>-2.2692583958625517E-5</v>
      </c>
      <c r="AZ121" s="103">
        <f t="shared" si="109"/>
        <v>0</v>
      </c>
      <c r="BA121" s="20" t="str">
        <f>IF(AND(AZ4=0,AZ121&gt;=0), "",AZ121/AZ4)</f>
        <v/>
      </c>
      <c r="BB121" s="37" t="e">
        <f t="shared" si="102"/>
        <v>#DIV/0!</v>
      </c>
      <c r="BC121" s="101">
        <f>+'N EERR RODEO'!I198</f>
        <v>0</v>
      </c>
      <c r="BD121" s="20" t="str">
        <f>IF(AND(BC4=0,BC121&gt;=0), "",BC121/BC4)</f>
        <v/>
      </c>
      <c r="BE121" s="37" t="str">
        <f>IF(AND(BC124=0,BC121&gt;=0),"",BC121/BC124)</f>
        <v/>
      </c>
      <c r="BF121" s="20" t="str">
        <f t="shared" si="103"/>
        <v/>
      </c>
      <c r="BG121" s="102">
        <f t="shared" si="110"/>
        <v>-1.73</v>
      </c>
      <c r="BH121" s="20">
        <f>IF(AND(BG4=0,BG121&gt;=0), "",BG121/BG4)</f>
        <v>-1.0579600023849965E-5</v>
      </c>
      <c r="BI121" s="37">
        <f>IF(AND(BG124=0,BG121&gt;=0),"",BG121/BG124)</f>
        <v>-2.269258395862552E-5</v>
      </c>
      <c r="BJ121" s="101">
        <f>+'N EERR RODEO'!J198</f>
        <v>0</v>
      </c>
      <c r="BK121" s="20" t="str">
        <f>IF(AND(BJ4=0,BJ121&gt;=0), "",BJ121/BJ4)</f>
        <v/>
      </c>
      <c r="BL121" s="37" t="str">
        <f>IF(AND(BJ124=0,BJ121&gt;=0),"",BJ121/BJ124)</f>
        <v/>
      </c>
      <c r="BM121" s="20" t="str">
        <f t="shared" si="43"/>
        <v/>
      </c>
      <c r="BN121" s="102">
        <f t="shared" si="111"/>
        <v>-1.73</v>
      </c>
      <c r="BO121" s="20">
        <f>IF(AND(BN4=0,BN121&gt;=0), "",BN121/BN4)</f>
        <v>-1.0579600023849965E-5</v>
      </c>
      <c r="BP121" s="37">
        <f>IF(AND(BN124=0,BN121&gt;=0),"",BN121/BN124)</f>
        <v>-2.269258395862552E-5</v>
      </c>
      <c r="BQ121" s="101">
        <f>+'N EERR RODEO'!K198</f>
        <v>0</v>
      </c>
      <c r="BR121" s="20" t="str">
        <f>IF(AND(BQ4=0,BQ121&gt;=0), "",BQ121/BQ4)</f>
        <v/>
      </c>
      <c r="BS121" s="37" t="str">
        <f>IF(AND(BQ124=0,BQ121&gt;=0),"",BQ121/BQ124)</f>
        <v/>
      </c>
      <c r="BT121" s="20" t="str">
        <f t="shared" si="44"/>
        <v/>
      </c>
      <c r="BU121" s="102">
        <f t="shared" si="112"/>
        <v>-1.73</v>
      </c>
      <c r="BV121" s="20">
        <f>IF(AND(BU4=0,BU121&gt;=0), "",BU121/BU4)</f>
        <v>-1.0579600023849965E-5</v>
      </c>
      <c r="BW121" s="37">
        <f>IF(AND(BU124=0,BU121&gt;=0),"",BU121/BU124)</f>
        <v>-2.269258395862552E-5</v>
      </c>
      <c r="BX121" s="103">
        <f t="shared" si="113"/>
        <v>0</v>
      </c>
      <c r="BY121" s="20" t="str">
        <f>IF(AND(BX4=0,BX121&gt;=0), "",BX121/BX4)</f>
        <v/>
      </c>
      <c r="BZ121" s="37" t="e">
        <f t="shared" si="45"/>
        <v>#DIV/0!</v>
      </c>
      <c r="CA121" s="101">
        <f>+'N EERR RODEO'!L198</f>
        <v>0</v>
      </c>
      <c r="CB121" s="20" t="str">
        <f>IF(AND(CA4=0,CA121&gt;=0), "",CA121/CA4)</f>
        <v/>
      </c>
      <c r="CC121" s="37" t="str">
        <f>IF(AND(CA124=0,CA121&gt;=0),"",CA121/CA124)</f>
        <v/>
      </c>
      <c r="CD121" s="20" t="str">
        <f t="shared" si="104"/>
        <v/>
      </c>
      <c r="CE121" s="102">
        <f t="shared" si="114"/>
        <v>-1.73</v>
      </c>
      <c r="CF121" s="20">
        <f>IF(AND(CE4=0,CE121&gt;=0), "",CE121/CE4)</f>
        <v>-1.0579600023849965E-5</v>
      </c>
      <c r="CG121" s="37">
        <f>IF(AND(CE124=0,CE121&gt;=0),"",CE121/CE124)</f>
        <v>-2.269258395862552E-5</v>
      </c>
      <c r="CH121" s="101">
        <f>+'N EERR RODEO'!M198</f>
        <v>0</v>
      </c>
      <c r="CI121" s="20" t="str">
        <f>IF(AND(CH4=0,CH121&gt;=0), "",CH121/CH4)</f>
        <v/>
      </c>
      <c r="CJ121" s="37" t="str">
        <f>IF(AND(CH124=0,CH121&gt;=0),"",CH121/CH124)</f>
        <v/>
      </c>
      <c r="CK121" s="20" t="str">
        <f t="shared" si="46"/>
        <v/>
      </c>
      <c r="CL121" s="102">
        <f t="shared" si="115"/>
        <v>-1.73</v>
      </c>
      <c r="CM121" s="20">
        <f>IF(AND(CL4=0,CL121&gt;=0), "",CL121/CL4)</f>
        <v>-1.0579600023849965E-5</v>
      </c>
      <c r="CN121" s="37">
        <f>IF(AND(CL124=0,CL121&gt;=0),"",CL121/CL124)</f>
        <v>-2.269258395862552E-5</v>
      </c>
      <c r="CO121" s="101">
        <f>+'N EERR RODEO'!N198</f>
        <v>0</v>
      </c>
      <c r="CP121" s="20" t="str">
        <f>IF(AND(CO4=0,CO121&gt;=0), "",CO121/CO4)</f>
        <v/>
      </c>
      <c r="CQ121" s="37" t="str">
        <f>IF(AND(CO124=0,CO121&gt;=0),"",CO121/CO124)</f>
        <v/>
      </c>
      <c r="CR121" s="20" t="str">
        <f t="shared" si="47"/>
        <v/>
      </c>
      <c r="CS121" s="102">
        <f t="shared" si="116"/>
        <v>-1.73</v>
      </c>
      <c r="CT121" s="20">
        <f>IF(AND(CS4=0,CS121&gt;=0), "",CS121/CS4)</f>
        <v>-1.0579600023849965E-5</v>
      </c>
      <c r="CU121" s="37">
        <f>IF(AND(CS124=0,CS121&gt;=0),"",CS121/CS124)</f>
        <v>-2.269258395862552E-5</v>
      </c>
      <c r="CV121" s="103">
        <f t="shared" si="117"/>
        <v>0</v>
      </c>
      <c r="CW121" s="20" t="str">
        <f>IF(AND(CV4=0,CV121&gt;=0), "",CV121/CV4)</f>
        <v/>
      </c>
      <c r="CX121" s="37" t="e">
        <f t="shared" si="48"/>
        <v>#DIV/0!</v>
      </c>
    </row>
    <row r="122" spans="1:102" hidden="1" outlineLevel="1" x14ac:dyDescent="0.25">
      <c r="A122" s="19" t="s">
        <v>32</v>
      </c>
      <c r="B122" s="101">
        <f>+'N EERR RODEO'!B199</f>
        <v>0</v>
      </c>
      <c r="C122" s="20" t="str">
        <f>IF(AND(B4=0,B122&gt;=0), "",B122/B4)</f>
        <v/>
      </c>
      <c r="D122" s="37" t="str">
        <f>IF(AND(B124=0,B122&gt;=0),"",B122/B124)</f>
        <v/>
      </c>
      <c r="E122" s="101">
        <f>+'N EERR RODEO'!C199</f>
        <v>0</v>
      </c>
      <c r="F122" s="20">
        <f>IF(AND(E4=0,E122&gt;=0), "",E122/E4)</f>
        <v>0</v>
      </c>
      <c r="G122" s="37">
        <f>IF(AND(E124=0,E122&gt;=0),"",E122/E124)</f>
        <v>0</v>
      </c>
      <c r="H122" s="101">
        <f>+'N EERR RODEO'!D199</f>
        <v>0</v>
      </c>
      <c r="I122" s="20">
        <f>IF(AND(H4=0,H122&gt;=0), "",H122/H4)</f>
        <v>0</v>
      </c>
      <c r="J122" s="37">
        <f>IF(AND(H124=0,H122&gt;=0),"",H122/H124)</f>
        <v>0</v>
      </c>
      <c r="K122" s="20" t="str">
        <f t="shared" si="97"/>
        <v/>
      </c>
      <c r="L122" s="102">
        <f t="shared" si="105"/>
        <v>0</v>
      </c>
      <c r="M122" s="20">
        <f>IF(AND(L4=0,L122&gt;=0), "",L122/L4)</f>
        <v>0</v>
      </c>
      <c r="N122" s="37">
        <f>IF(AND(L124=0,L122&gt;=0),"",L122/L124)</f>
        <v>0</v>
      </c>
      <c r="O122" s="101">
        <f>+'N EERR RODEO'!E199</f>
        <v>4.16</v>
      </c>
      <c r="P122" s="20">
        <f>IF(AND(O4=0,O122&gt;=0), "",O122/O4)</f>
        <v>6.4892339552910503E-5</v>
      </c>
      <c r="Q122" s="37">
        <f>IF(AND(O124=0,O122&gt;=0),"",O122/O124)</f>
        <v>1.6038949973127048E-4</v>
      </c>
      <c r="R122" s="20">
        <f t="shared" si="98"/>
        <v>1</v>
      </c>
      <c r="S122" s="102">
        <f t="shared" si="106"/>
        <v>4.16</v>
      </c>
      <c r="T122" s="20">
        <f>IF(AND(S4=0,S122&gt;=0), "",S122/S4)</f>
        <v>2.5439963063130554E-5</v>
      </c>
      <c r="U122" s="37">
        <f>IF(AND(S124=0,S122&gt;=0),"",S122/S124)</f>
        <v>5.4567138305134206E-5</v>
      </c>
      <c r="V122" s="103"/>
      <c r="W122" s="20" t="str">
        <f>IF(AND(V4=0,V122&gt;=0), "",V122/V4)</f>
        <v/>
      </c>
      <c r="X122" s="37">
        <f t="shared" si="99"/>
        <v>1</v>
      </c>
      <c r="Y122" s="101">
        <f>+'N EERR RODEO'!F199</f>
        <v>0</v>
      </c>
      <c r="Z122" s="20" t="str">
        <f>IF(AND(Y4=0,Y122&gt;=0), "",Y122/Y4)</f>
        <v/>
      </c>
      <c r="AA122" s="37" t="str">
        <f>IF(AND(Y124=0,Y122&gt;=0),"",Y122/Y124)</f>
        <v/>
      </c>
      <c r="AB122" s="20">
        <f t="shared" si="100"/>
        <v>-1</v>
      </c>
      <c r="AC122" s="102">
        <f t="shared" si="107"/>
        <v>4.16</v>
      </c>
      <c r="AD122" s="20">
        <f>IF(AND(AC4=0,AC122&gt;=0), "",AC122/AC4)</f>
        <v>2.5439963063130554E-5</v>
      </c>
      <c r="AE122" s="37">
        <f>IF(AND(AC124=0,AC122&gt;=0),"",AC122/AC124)</f>
        <v>5.4567138305134206E-5</v>
      </c>
      <c r="AF122" s="101">
        <f>+'N EERR RODEO'!G199</f>
        <v>0</v>
      </c>
      <c r="AG122" s="20" t="str">
        <f>IF(AND(AF4=0,AF122&gt;=0), "",AF122/AF4)</f>
        <v/>
      </c>
      <c r="AH122" s="37" t="str">
        <f>IF(AND(AF124=0,AF122&gt;=0),"",AF122/AF124)</f>
        <v/>
      </c>
      <c r="AI122" s="20" t="str">
        <f t="shared" si="41"/>
        <v/>
      </c>
      <c r="AJ122" s="102">
        <f t="shared" si="62"/>
        <v>4.16</v>
      </c>
      <c r="AK122" s="20">
        <f>IF(AND(AJ4=0,AJ122&gt;=0), "",AJ122/AJ4)</f>
        <v>2.5439963063130554E-5</v>
      </c>
      <c r="AL122" s="37">
        <f>IF(AND(AJ124=0,AJ122&gt;=0),"",AJ122/AJ124)</f>
        <v>5.4567138305134206E-5</v>
      </c>
      <c r="AM122" s="101">
        <f>+'N EERR RODEO'!H199</f>
        <v>0</v>
      </c>
      <c r="AN122" s="20" t="str">
        <f>IF(AND(AM4=0,AM122&gt;=0), "",AM122/AM4)</f>
        <v/>
      </c>
      <c r="AO122" s="37" t="str">
        <f>IF(AND(AM124=0,AM122&gt;=0),"",AM122/AM124)</f>
        <v/>
      </c>
      <c r="AP122" s="20" t="str">
        <f t="shared" si="42"/>
        <v/>
      </c>
      <c r="AQ122" s="102">
        <f t="shared" si="63"/>
        <v>4.16</v>
      </c>
      <c r="AR122" s="20">
        <f>IF(AND(AQ4=0,AQ122&gt;=0), "",AQ122/AQ4)</f>
        <v>2.5439963063130554E-5</v>
      </c>
      <c r="AS122" s="37">
        <f>IF(AND(AQ124=0,AQ122&gt;=0),"",AQ122/AQ124)</f>
        <v>5.4567138305134206E-5</v>
      </c>
      <c r="AT122" s="103">
        <f t="shared" si="108"/>
        <v>0</v>
      </c>
      <c r="AU122" s="20" t="str">
        <f>IF(AND(AT4=0,AT122&gt;=0), "",AT122/AT4)</f>
        <v/>
      </c>
      <c r="AV122" s="37">
        <f t="shared" si="101"/>
        <v>1</v>
      </c>
      <c r="AW122" s="103">
        <f t="shared" si="118"/>
        <v>0.69333333333333336</v>
      </c>
      <c r="AX122" s="20">
        <f>IF(AND(AW4=0,AW122&gt;=0), "",AW122/AW4)</f>
        <v>2.5439963063130554E-5</v>
      </c>
      <c r="AY122" s="37">
        <f>IF(AND(AW124=0,AW122&gt;=0),"",AW122/AW124)</f>
        <v>5.4567138305134192E-5</v>
      </c>
      <c r="AZ122" s="103">
        <f t="shared" si="109"/>
        <v>0</v>
      </c>
      <c r="BA122" s="20" t="str">
        <f>IF(AND(AZ4=0,AZ122&gt;=0), "",AZ122/AZ4)</f>
        <v/>
      </c>
      <c r="BB122" s="37">
        <f t="shared" si="102"/>
        <v>1</v>
      </c>
      <c r="BC122" s="101">
        <f>+'N EERR RODEO'!I199</f>
        <v>0</v>
      </c>
      <c r="BD122" s="20" t="str">
        <f>IF(AND(BC4=0,BC122&gt;=0), "",BC122/BC4)</f>
        <v/>
      </c>
      <c r="BE122" s="37" t="str">
        <f>IF(AND(BC124=0,BC122&gt;=0),"",BC122/BC124)</f>
        <v/>
      </c>
      <c r="BF122" s="20" t="str">
        <f t="shared" si="103"/>
        <v/>
      </c>
      <c r="BG122" s="102">
        <f t="shared" si="110"/>
        <v>4.16</v>
      </c>
      <c r="BH122" s="20">
        <f>IF(AND(BG4=0,BG122&gt;=0), "",BG122/BG4)</f>
        <v>2.5439963063130554E-5</v>
      </c>
      <c r="BI122" s="37">
        <f>IF(AND(BG124=0,BG122&gt;=0),"",BG122/BG124)</f>
        <v>5.4567138305134206E-5</v>
      </c>
      <c r="BJ122" s="101">
        <f>+'N EERR RODEO'!J199</f>
        <v>0</v>
      </c>
      <c r="BK122" s="20" t="str">
        <f>IF(AND(BJ4=0,BJ122&gt;=0), "",BJ122/BJ4)</f>
        <v/>
      </c>
      <c r="BL122" s="37" t="str">
        <f>IF(AND(BJ124=0,BJ122&gt;=0),"",BJ122/BJ124)</f>
        <v/>
      </c>
      <c r="BM122" s="20" t="str">
        <f t="shared" si="43"/>
        <v/>
      </c>
      <c r="BN122" s="102">
        <f t="shared" si="111"/>
        <v>4.16</v>
      </c>
      <c r="BO122" s="20">
        <f>IF(AND(BN4=0,BN122&gt;=0), "",BN122/BN4)</f>
        <v>2.5439963063130554E-5</v>
      </c>
      <c r="BP122" s="37">
        <f>IF(AND(BN124=0,BN122&gt;=0),"",BN122/BN124)</f>
        <v>5.4567138305134206E-5</v>
      </c>
      <c r="BQ122" s="101">
        <f>+'N EERR RODEO'!K199</f>
        <v>0</v>
      </c>
      <c r="BR122" s="20" t="str">
        <f>IF(AND(BQ4=0,BQ122&gt;=0), "",BQ122/BQ4)</f>
        <v/>
      </c>
      <c r="BS122" s="37" t="str">
        <f>IF(AND(BQ124=0,BQ122&gt;=0),"",BQ122/BQ124)</f>
        <v/>
      </c>
      <c r="BT122" s="20" t="str">
        <f t="shared" si="44"/>
        <v/>
      </c>
      <c r="BU122" s="102">
        <f t="shared" si="112"/>
        <v>4.16</v>
      </c>
      <c r="BV122" s="20">
        <f>IF(AND(BU4=0,BU122&gt;=0), "",BU122/BU4)</f>
        <v>2.5439963063130554E-5</v>
      </c>
      <c r="BW122" s="37">
        <f>IF(AND(BU124=0,BU122&gt;=0),"",BU122/BU124)</f>
        <v>5.4567138305134206E-5</v>
      </c>
      <c r="BX122" s="103">
        <f t="shared" si="113"/>
        <v>0</v>
      </c>
      <c r="BY122" s="20" t="str">
        <f>IF(AND(BX4=0,BX122&gt;=0), "",BX122/BX4)</f>
        <v/>
      </c>
      <c r="BZ122" s="37">
        <f t="shared" si="45"/>
        <v>1</v>
      </c>
      <c r="CA122" s="101">
        <f>+'N EERR RODEO'!L199</f>
        <v>0</v>
      </c>
      <c r="CB122" s="20" t="str">
        <f>IF(AND(CA4=0,CA122&gt;=0), "",CA122/CA4)</f>
        <v/>
      </c>
      <c r="CC122" s="37" t="str">
        <f>IF(AND(CA124=0,CA122&gt;=0),"",CA122/CA124)</f>
        <v/>
      </c>
      <c r="CD122" s="20" t="str">
        <f t="shared" si="104"/>
        <v/>
      </c>
      <c r="CE122" s="102">
        <f t="shared" si="114"/>
        <v>4.16</v>
      </c>
      <c r="CF122" s="20">
        <f>IF(AND(CE4=0,CE122&gt;=0), "",CE122/CE4)</f>
        <v>2.5439963063130554E-5</v>
      </c>
      <c r="CG122" s="37">
        <f>IF(AND(CE124=0,CE122&gt;=0),"",CE122/CE124)</f>
        <v>5.4567138305134206E-5</v>
      </c>
      <c r="CH122" s="101">
        <f>+'N EERR RODEO'!M199</f>
        <v>0</v>
      </c>
      <c r="CI122" s="20" t="str">
        <f>IF(AND(CH4=0,CH122&gt;=0), "",CH122/CH4)</f>
        <v/>
      </c>
      <c r="CJ122" s="37" t="str">
        <f>IF(AND(CH124=0,CH122&gt;=0),"",CH122/CH124)</f>
        <v/>
      </c>
      <c r="CK122" s="20" t="str">
        <f t="shared" si="46"/>
        <v/>
      </c>
      <c r="CL122" s="102">
        <f t="shared" si="115"/>
        <v>4.16</v>
      </c>
      <c r="CM122" s="20">
        <f>IF(AND(CL4=0,CL122&gt;=0), "",CL122/CL4)</f>
        <v>2.5439963063130554E-5</v>
      </c>
      <c r="CN122" s="37">
        <f>IF(AND(CL124=0,CL122&gt;=0),"",CL122/CL124)</f>
        <v>5.4567138305134206E-5</v>
      </c>
      <c r="CO122" s="101">
        <f>+'N EERR RODEO'!N199</f>
        <v>0</v>
      </c>
      <c r="CP122" s="20" t="str">
        <f>IF(AND(CO4=0,CO122&gt;=0), "",CO122/CO4)</f>
        <v/>
      </c>
      <c r="CQ122" s="37" t="str">
        <f>IF(AND(CO124=0,CO122&gt;=0),"",CO122/CO124)</f>
        <v/>
      </c>
      <c r="CR122" s="20" t="str">
        <f t="shared" si="47"/>
        <v/>
      </c>
      <c r="CS122" s="102">
        <f t="shared" si="116"/>
        <v>4.16</v>
      </c>
      <c r="CT122" s="20">
        <f>IF(AND(CS4=0,CS122&gt;=0), "",CS122/CS4)</f>
        <v>2.5439963063130554E-5</v>
      </c>
      <c r="CU122" s="37">
        <f>IF(AND(CS124=0,CS122&gt;=0),"",CS122/CS124)</f>
        <v>5.4567138305134206E-5</v>
      </c>
      <c r="CV122" s="103">
        <f t="shared" si="117"/>
        <v>0</v>
      </c>
      <c r="CW122" s="20" t="str">
        <f>IF(AND(CV4=0,CV122&gt;=0), "",CV122/CV4)</f>
        <v/>
      </c>
      <c r="CX122" s="37">
        <f t="shared" si="48"/>
        <v>1</v>
      </c>
    </row>
    <row r="123" spans="1:102" hidden="1" outlineLevel="1" x14ac:dyDescent="0.25">
      <c r="A123" s="19" t="s">
        <v>276</v>
      </c>
      <c r="B123" s="101">
        <f>+'N EERR RODEO'!B200+'N EERR RODEO'!B201</f>
        <v>0</v>
      </c>
      <c r="C123" s="20" t="str">
        <f>IF(AND(B4=0,B123&gt;=0), "",B123/B4)</f>
        <v/>
      </c>
      <c r="D123" s="37" t="str">
        <f>IF(AND(B124=0,B123&gt;=0),"",B123/B124)</f>
        <v/>
      </c>
      <c r="E123" s="101">
        <f>+'N EERR RODEO'!C200+'N EERR RODEO'!C201</f>
        <v>0</v>
      </c>
      <c r="F123" s="20">
        <f>IF(AND(E4=0,E123&gt;=0), "",E123/E4)</f>
        <v>0</v>
      </c>
      <c r="G123" s="37">
        <f>IF(AND(E124=0,E123&gt;=0),"",E123/E124)</f>
        <v>0</v>
      </c>
      <c r="H123" s="101">
        <f>+'N EERR RODEO'!D200+'N EERR RODEO'!D201</f>
        <v>0</v>
      </c>
      <c r="I123" s="20">
        <f>IF(AND(H4=0,H123&gt;=0), "",H123/H4)</f>
        <v>0</v>
      </c>
      <c r="J123" s="37">
        <f>IF(AND(H124=0,H123&gt;=0),"",H123/H124)</f>
        <v>0</v>
      </c>
      <c r="K123" s="20" t="str">
        <f t="shared" si="97"/>
        <v/>
      </c>
      <c r="L123" s="102">
        <f t="shared" si="105"/>
        <v>0</v>
      </c>
      <c r="M123" s="20">
        <f>IF(AND(L4=0,L123&gt;=0), "",L123/L4)</f>
        <v>0</v>
      </c>
      <c r="N123" s="37">
        <f>IF(AND(L124=0,L123&gt;=0),"",L123/L124)</f>
        <v>0</v>
      </c>
      <c r="O123" s="101">
        <f>+'N EERR RODEO'!E200+'N EERR RODEO'!E201</f>
        <v>0</v>
      </c>
      <c r="P123" s="20">
        <f>IF(AND(O4=0,O123&gt;=0), "",O123/O4)</f>
        <v>0</v>
      </c>
      <c r="Q123" s="37">
        <f>IF(AND(O124=0,O123&gt;=0),"",O123/O124)</f>
        <v>0</v>
      </c>
      <c r="R123" s="20" t="str">
        <f t="shared" si="98"/>
        <v/>
      </c>
      <c r="S123" s="102">
        <f t="shared" si="106"/>
        <v>0</v>
      </c>
      <c r="T123" s="20">
        <f>IF(AND(S4=0,S123&gt;=0), "",S123/S4)</f>
        <v>0</v>
      </c>
      <c r="U123" s="37">
        <f>IF(AND(S124=0,S123&gt;=0),"",S123/S124)</f>
        <v>0</v>
      </c>
      <c r="V123" s="103"/>
      <c r="W123" s="20" t="str">
        <f>IF(AND(V4=0,V123&gt;=0), "",V123/V4)</f>
        <v/>
      </c>
      <c r="X123" s="37" t="str">
        <f t="shared" si="99"/>
        <v/>
      </c>
      <c r="Y123" s="101">
        <f>+'N EERR RODEO'!F200+'N EERR RODEO'!F201</f>
        <v>0</v>
      </c>
      <c r="Z123" s="20" t="str">
        <f>IF(AND(Y4=0,Y123&gt;=0), "",Y123/Y4)</f>
        <v/>
      </c>
      <c r="AA123" s="37" t="str">
        <f>IF(AND(Y124=0,Y123&gt;=0),"",Y123/Y124)</f>
        <v/>
      </c>
      <c r="AB123" s="20" t="str">
        <f t="shared" si="100"/>
        <v/>
      </c>
      <c r="AC123" s="102">
        <f t="shared" si="107"/>
        <v>0</v>
      </c>
      <c r="AD123" s="20">
        <f>IF(AND(AC4=0,AC123&gt;=0), "",AC123/AC4)</f>
        <v>0</v>
      </c>
      <c r="AE123" s="37">
        <f>IF(AND(AC124=0,AC123&gt;=0),"",AC123/AC124)</f>
        <v>0</v>
      </c>
      <c r="AF123" s="101">
        <f>+'N EERR RODEO'!G200+'N EERR RODEO'!G201</f>
        <v>0</v>
      </c>
      <c r="AG123" s="20" t="str">
        <f>IF(AND(AF4=0,AF123&gt;=0), "",AF123/AF4)</f>
        <v/>
      </c>
      <c r="AH123" s="37" t="str">
        <f>IF(AND(AF124=0,AF123&gt;=0),"",AF123/AF124)</f>
        <v/>
      </c>
      <c r="AI123" s="20" t="str">
        <f t="shared" si="41"/>
        <v/>
      </c>
      <c r="AJ123" s="102">
        <f t="shared" si="62"/>
        <v>0</v>
      </c>
      <c r="AK123" s="20">
        <f>IF(AND(AJ4=0,AJ123&gt;=0), "",AJ123/AJ4)</f>
        <v>0</v>
      </c>
      <c r="AL123" s="37">
        <f>IF(AND(AJ124=0,AJ123&gt;=0),"",AJ123/AJ124)</f>
        <v>0</v>
      </c>
      <c r="AM123" s="101">
        <f>+'N EERR RODEO'!H200+'N EERR RODEO'!H201</f>
        <v>0</v>
      </c>
      <c r="AN123" s="20" t="str">
        <f>IF(AND(AM4=0,AM123&gt;=0), "",AM123/AM4)</f>
        <v/>
      </c>
      <c r="AO123" s="37" t="str">
        <f>IF(AND(AM124=0,AM123&gt;=0),"",AM123/AM124)</f>
        <v/>
      </c>
      <c r="AP123" s="20" t="str">
        <f t="shared" si="42"/>
        <v/>
      </c>
      <c r="AQ123" s="102">
        <f t="shared" si="63"/>
        <v>0</v>
      </c>
      <c r="AR123" s="20">
        <f>IF(AND(AQ4=0,AQ123&gt;=0), "",AQ123/AQ4)</f>
        <v>0</v>
      </c>
      <c r="AS123" s="37">
        <f>IF(AND(AQ124=0,AQ123&gt;=0),"",AQ123/AQ124)</f>
        <v>0</v>
      </c>
      <c r="AT123" s="103">
        <f t="shared" si="108"/>
        <v>0</v>
      </c>
      <c r="AU123" s="20" t="str">
        <f>IF(AND(AT4=0,AT123&gt;=0), "",AT123/AT4)</f>
        <v/>
      </c>
      <c r="AV123" s="37" t="str">
        <f t="shared" si="101"/>
        <v/>
      </c>
      <c r="AW123" s="103">
        <f t="shared" si="118"/>
        <v>0</v>
      </c>
      <c r="AX123" s="20">
        <f>IF(AND(AW4=0,AW123&gt;=0), "",AW123/AW4)</f>
        <v>0</v>
      </c>
      <c r="AY123" s="37">
        <f>IF(AND(AW124=0,AW123&gt;=0),"",AW123/AW124)</f>
        <v>0</v>
      </c>
      <c r="AZ123" s="103">
        <f t="shared" si="109"/>
        <v>0</v>
      </c>
      <c r="BA123" s="20" t="str">
        <f>IF(AND(AZ4=0,AZ123&gt;=0), "",AZ123/AZ4)</f>
        <v/>
      </c>
      <c r="BB123" s="37" t="str">
        <f t="shared" si="102"/>
        <v/>
      </c>
      <c r="BC123" s="101">
        <f>+'N EERR RODEO'!I200+'N EERR RODEO'!I201</f>
        <v>0</v>
      </c>
      <c r="BD123" s="20" t="str">
        <f>IF(AND(BC4=0,BC123&gt;=0), "",BC123/BC4)</f>
        <v/>
      </c>
      <c r="BE123" s="37" t="str">
        <f>IF(AND(BC124=0,BC123&gt;=0),"",BC123/BC124)</f>
        <v/>
      </c>
      <c r="BF123" s="20" t="str">
        <f t="shared" si="103"/>
        <v/>
      </c>
      <c r="BG123" s="102">
        <f t="shared" si="110"/>
        <v>0</v>
      </c>
      <c r="BH123" s="20">
        <f>IF(AND(BG4=0,BG123&gt;=0), "",BG123/BG4)</f>
        <v>0</v>
      </c>
      <c r="BI123" s="37">
        <f>IF(AND(BG124=0,BG123&gt;=0),"",BG123/BG124)</f>
        <v>0</v>
      </c>
      <c r="BJ123" s="101">
        <f>+'N EERR RODEO'!J200+'N EERR RODEO'!J201</f>
        <v>0</v>
      </c>
      <c r="BK123" s="20" t="str">
        <f>IF(AND(BJ4=0,BJ123&gt;=0), "",BJ123/BJ4)</f>
        <v/>
      </c>
      <c r="BL123" s="37" t="str">
        <f>IF(AND(BJ124=0,BJ123&gt;=0),"",BJ123/BJ124)</f>
        <v/>
      </c>
      <c r="BM123" s="20" t="str">
        <f t="shared" si="43"/>
        <v/>
      </c>
      <c r="BN123" s="102">
        <f t="shared" si="111"/>
        <v>0</v>
      </c>
      <c r="BO123" s="20">
        <f>IF(AND(BN4=0,BN123&gt;=0), "",BN123/BN4)</f>
        <v>0</v>
      </c>
      <c r="BP123" s="37">
        <f>IF(AND(BN124=0,BN123&gt;=0),"",BN123/BN124)</f>
        <v>0</v>
      </c>
      <c r="BQ123" s="101">
        <f>+'N EERR RODEO'!K200+'N EERR RODEO'!K201</f>
        <v>0</v>
      </c>
      <c r="BR123" s="20" t="str">
        <f>IF(AND(BQ4=0,BQ123&gt;=0), "",BQ123/BQ4)</f>
        <v/>
      </c>
      <c r="BS123" s="37" t="str">
        <f>IF(AND(BQ124=0,BQ123&gt;=0),"",BQ123/BQ124)</f>
        <v/>
      </c>
      <c r="BT123" s="20" t="str">
        <f t="shared" si="44"/>
        <v/>
      </c>
      <c r="BU123" s="102">
        <f t="shared" si="112"/>
        <v>0</v>
      </c>
      <c r="BV123" s="20">
        <f>IF(AND(BU4=0,BU123&gt;=0), "",BU123/BU4)</f>
        <v>0</v>
      </c>
      <c r="BW123" s="37">
        <f>IF(AND(BU124=0,BU123&gt;=0),"",BU123/BU124)</f>
        <v>0</v>
      </c>
      <c r="BX123" s="103">
        <f t="shared" si="113"/>
        <v>0</v>
      </c>
      <c r="BY123" s="20" t="str">
        <f>IF(AND(BX4=0,BX123&gt;=0), "",BX123/BX4)</f>
        <v/>
      </c>
      <c r="BZ123" s="37" t="str">
        <f t="shared" si="45"/>
        <v/>
      </c>
      <c r="CA123" s="101">
        <f>+'N EERR RODEO'!L200+'N EERR RODEO'!L201</f>
        <v>0</v>
      </c>
      <c r="CB123" s="20" t="str">
        <f>IF(AND(CA4=0,CA123&gt;=0), "",CA123/CA4)</f>
        <v/>
      </c>
      <c r="CC123" s="37" t="str">
        <f>IF(AND(CA124=0,CA123&gt;=0),"",CA123/CA124)</f>
        <v/>
      </c>
      <c r="CD123" s="20" t="str">
        <f t="shared" si="104"/>
        <v/>
      </c>
      <c r="CE123" s="102">
        <f t="shared" si="114"/>
        <v>0</v>
      </c>
      <c r="CF123" s="20">
        <f>IF(AND(CE4=0,CE123&gt;=0), "",CE123/CE4)</f>
        <v>0</v>
      </c>
      <c r="CG123" s="37">
        <f>IF(AND(CE124=0,CE123&gt;=0),"",CE123/CE124)</f>
        <v>0</v>
      </c>
      <c r="CH123" s="101">
        <f>+'N EERR RODEO'!M200+'N EERR RODEO'!M201</f>
        <v>0</v>
      </c>
      <c r="CI123" s="20" t="str">
        <f>IF(AND(CH4=0,CH123&gt;=0), "",CH123/CH4)</f>
        <v/>
      </c>
      <c r="CJ123" s="37" t="str">
        <f>IF(AND(CH124=0,CH123&gt;=0),"",CH123/CH124)</f>
        <v/>
      </c>
      <c r="CK123" s="20" t="str">
        <f t="shared" si="46"/>
        <v/>
      </c>
      <c r="CL123" s="102">
        <f t="shared" si="115"/>
        <v>0</v>
      </c>
      <c r="CM123" s="20">
        <f>IF(AND(CL4=0,CL123&gt;=0), "",CL123/CL4)</f>
        <v>0</v>
      </c>
      <c r="CN123" s="37">
        <f>IF(AND(CL124=0,CL123&gt;=0),"",CL123/CL124)</f>
        <v>0</v>
      </c>
      <c r="CO123" s="101">
        <f>+'N EERR RODEO'!N200+'N EERR RODEO'!N201</f>
        <v>0</v>
      </c>
      <c r="CP123" s="20" t="str">
        <f>IF(AND(CO4=0,CO123&gt;=0), "",CO123/CO4)</f>
        <v/>
      </c>
      <c r="CQ123" s="37" t="str">
        <f>IF(AND(CO124=0,CO123&gt;=0),"",CO123/CO124)</f>
        <v/>
      </c>
      <c r="CR123" s="20" t="str">
        <f t="shared" si="47"/>
        <v/>
      </c>
      <c r="CS123" s="102">
        <f t="shared" si="116"/>
        <v>0</v>
      </c>
      <c r="CT123" s="20">
        <f>IF(AND(CS4=0,CS123&gt;=0), "",CS123/CS4)</f>
        <v>0</v>
      </c>
      <c r="CU123" s="37">
        <f>IF(AND(CS124=0,CS123&gt;=0),"",CS123/CS124)</f>
        <v>0</v>
      </c>
      <c r="CV123" s="103">
        <f t="shared" si="117"/>
        <v>0</v>
      </c>
      <c r="CW123" s="20" t="str">
        <f>IF(AND(CV4=0,CV123&gt;=0), "",CV123/CV4)</f>
        <v/>
      </c>
      <c r="CX123" s="37" t="str">
        <f t="shared" si="48"/>
        <v/>
      </c>
    </row>
    <row r="124" spans="1:102" s="18" customFormat="1" ht="18" customHeight="1" collapsed="1" x14ac:dyDescent="0.25">
      <c r="A124" s="138" t="s">
        <v>103</v>
      </c>
      <c r="B124" s="139">
        <f>+B38+B116</f>
        <v>0</v>
      </c>
      <c r="C124" s="140" t="str">
        <f>IF(AND(B4=0,B124&gt;=0), "",B124/B4)</f>
        <v/>
      </c>
      <c r="D124" s="141" t="str">
        <f>IF(AND(B124=0,B124&gt;=0),"",B124/B124)</f>
        <v/>
      </c>
      <c r="E124" s="139">
        <f>+E38+E116</f>
        <v>30964.809999999998</v>
      </c>
      <c r="F124" s="140">
        <f>IF(AND(E4=0,E124&gt;=0), "",E124/E4)</f>
        <v>0.64600151503044978</v>
      </c>
      <c r="G124" s="141">
        <f>IF(AND(E124=0,E124&gt;=0),"",E124/E124)</f>
        <v>1</v>
      </c>
      <c r="H124" s="139">
        <f>+H38+H116</f>
        <v>19334.689999999999</v>
      </c>
      <c r="I124" s="140">
        <f>IF(AND(H4=0,H124&gt;=0), "",H124/H4)</f>
        <v>0.37555455155717299</v>
      </c>
      <c r="J124" s="141">
        <f>IF(AND(H124=0,H124&gt;=0),"",H124/H124)</f>
        <v>1</v>
      </c>
      <c r="K124" s="140">
        <f t="shared" si="97"/>
        <v>-0.37559151824280529</v>
      </c>
      <c r="L124" s="142">
        <f>+L38+L116</f>
        <v>50299.499999999993</v>
      </c>
      <c r="M124" s="140">
        <f>IF(AND(L4=0,L124&gt;=0), "",L124/L4)</f>
        <v>0.50594939027463059</v>
      </c>
      <c r="N124" s="141">
        <f>IF(AND(L124=0,L124&gt;=0),"",L124/L124)</f>
        <v>1</v>
      </c>
      <c r="O124" s="139">
        <f>+O38+O116</f>
        <v>25936.86</v>
      </c>
      <c r="P124" s="140">
        <f>IF(AND(O4=0,O124&gt;=0), "",O124/O4)</f>
        <v>0.40459219376353417</v>
      </c>
      <c r="Q124" s="141">
        <f>IF(AND(O124=0,O124&gt;=0),"",O124/O124)</f>
        <v>1</v>
      </c>
      <c r="R124" s="140">
        <f t="shared" si="98"/>
        <v>0.34146759011910727</v>
      </c>
      <c r="S124" s="142">
        <f>+S38+S116</f>
        <v>76236.359999999986</v>
      </c>
      <c r="T124" s="140">
        <f>IF(AND(S4=0,S124&gt;=0), "",S124/S4)</f>
        <v>0.4662139861700777</v>
      </c>
      <c r="U124" s="141">
        <f>IF(AND(S124=0,S124&gt;=0),"",S124/S124)</f>
        <v>1</v>
      </c>
      <c r="V124" s="143">
        <f>+V38+V116</f>
        <v>0</v>
      </c>
      <c r="W124" s="140" t="str">
        <f>IF(AND(V4=0,V124&gt;=0), "",V124/V4)</f>
        <v/>
      </c>
      <c r="X124" s="141">
        <f t="shared" si="99"/>
        <v>1</v>
      </c>
      <c r="Y124" s="139">
        <f>+Y38+Y116</f>
        <v>0</v>
      </c>
      <c r="Z124" s="140" t="str">
        <f>IF(AND(Y4=0,Y124&gt;=0), "",Y124/Y4)</f>
        <v/>
      </c>
      <c r="AA124" s="141" t="str">
        <f>IF(AND(Y124=0,Y124&gt;=0),"",Y124/Y124)</f>
        <v/>
      </c>
      <c r="AB124" s="140">
        <f t="shared" si="100"/>
        <v>-1</v>
      </c>
      <c r="AC124" s="142">
        <f>+AC38+AC116</f>
        <v>76236.359999999986</v>
      </c>
      <c r="AD124" s="140">
        <f>IF(AND(AC4=0,AC124&gt;=0), "",AC124/AC4)</f>
        <v>0.4662139861700777</v>
      </c>
      <c r="AE124" s="141">
        <f>IF(AND(AC124=0,AC124&gt;=0),"",AC124/AC124)</f>
        <v>1</v>
      </c>
      <c r="AF124" s="139">
        <f>+AF38+AF116</f>
        <v>0</v>
      </c>
      <c r="AG124" s="140" t="str">
        <f>IF(AND(AF4=0,AF124&gt;=0), "",AF124/AF4)</f>
        <v/>
      </c>
      <c r="AH124" s="141" t="str">
        <f>IF(AND(AF124=0,AF124&gt;=0),"",AF124/AF124)</f>
        <v/>
      </c>
      <c r="AI124" s="140" t="str">
        <f t="shared" si="41"/>
        <v/>
      </c>
      <c r="AJ124" s="142">
        <f>+AJ38+AJ116</f>
        <v>76236.359999999986</v>
      </c>
      <c r="AK124" s="140">
        <f>IF(AND(AJ4=0,AJ124&gt;=0), "",AJ124/AJ4)</f>
        <v>0.4662139861700777</v>
      </c>
      <c r="AL124" s="141">
        <f>IF(AND(AJ124=0,AJ124&gt;=0),"",AJ124/AJ124)</f>
        <v>1</v>
      </c>
      <c r="AM124" s="139">
        <f>+AM38+AM116</f>
        <v>0</v>
      </c>
      <c r="AN124" s="140" t="str">
        <f>IF(AND(AM4=0,AM124&gt;=0), "",AM124/AM4)</f>
        <v/>
      </c>
      <c r="AO124" s="141" t="str">
        <f>IF(AND(AM124=0,AM124&gt;=0),"",AM124/AM124)</f>
        <v/>
      </c>
      <c r="AP124" s="140" t="str">
        <f t="shared" si="42"/>
        <v/>
      </c>
      <c r="AQ124" s="142">
        <f>+AQ38+AQ116</f>
        <v>76236.359999999986</v>
      </c>
      <c r="AR124" s="140">
        <f>IF(AND(AQ4=0,AQ124&gt;=0), "",AQ124/AQ4)</f>
        <v>0.4662139861700777</v>
      </c>
      <c r="AS124" s="141">
        <f>IF(AND(AQ124=0,AQ124&gt;=0),"",AQ124/AQ124)</f>
        <v>1</v>
      </c>
      <c r="AT124" s="143">
        <f>+AT38+AT116</f>
        <v>0</v>
      </c>
      <c r="AU124" s="140" t="str">
        <f>IF(AND(AT4=0,AT124&gt;=0), "",AT124/AT4)</f>
        <v/>
      </c>
      <c r="AV124" s="141">
        <f t="shared" si="101"/>
        <v>1</v>
      </c>
      <c r="AW124" s="143">
        <f>+AW38+AW116</f>
        <v>12706.06</v>
      </c>
      <c r="AX124" s="140">
        <f>IF(AND(AW4=0,AW124&gt;=0), "",AW124/AW4)</f>
        <v>0.46621398617007775</v>
      </c>
      <c r="AY124" s="141">
        <f>IF(AND(AW124=0,AW124&gt;=0),"",AW124/AW124)</f>
        <v>1</v>
      </c>
      <c r="AZ124" s="143">
        <f>+AZ38+AZ116</f>
        <v>0</v>
      </c>
      <c r="BA124" s="140" t="str">
        <f>IF(AND(AZ4=0,AZ124&gt;=0), "",AZ124/AZ4)</f>
        <v/>
      </c>
      <c r="BB124" s="141">
        <f t="shared" si="102"/>
        <v>1</v>
      </c>
      <c r="BC124" s="139">
        <f>+BC38+BC116</f>
        <v>0</v>
      </c>
      <c r="BD124" s="140" t="str">
        <f>IF(AND(BC4=0,BC124&gt;=0), "",BC124/BC4)</f>
        <v/>
      </c>
      <c r="BE124" s="141" t="str">
        <f>IF(AND(BC124=0,BC124&gt;=0),"",BC124/BC124)</f>
        <v/>
      </c>
      <c r="BF124" s="140" t="str">
        <f t="shared" si="103"/>
        <v/>
      </c>
      <c r="BG124" s="142">
        <f>+BG38+BG116</f>
        <v>76236.359999999986</v>
      </c>
      <c r="BH124" s="140">
        <f>IF(AND(BG4=0,BG124&gt;=0), "",BG124/BG4)</f>
        <v>0.4662139861700777</v>
      </c>
      <c r="BI124" s="141">
        <f>IF(AND(BG124=0,BG124&gt;=0),"",BG124/BG124)</f>
        <v>1</v>
      </c>
      <c r="BJ124" s="139">
        <f>+BJ38+BJ116</f>
        <v>0</v>
      </c>
      <c r="BK124" s="140" t="str">
        <f>IF(AND(BJ4=0,BJ124&gt;=0), "",BJ124/BJ4)</f>
        <v/>
      </c>
      <c r="BL124" s="141" t="str">
        <f>IF(AND(BJ124=0,BJ124&gt;=0),"",BJ124/BJ124)</f>
        <v/>
      </c>
      <c r="BM124" s="140" t="str">
        <f t="shared" si="43"/>
        <v/>
      </c>
      <c r="BN124" s="142">
        <f>+BN38+BN116</f>
        <v>76236.359999999986</v>
      </c>
      <c r="BO124" s="140">
        <f>IF(AND(BN4=0,BN124&gt;=0), "",BN124/BN4)</f>
        <v>0.4662139861700777</v>
      </c>
      <c r="BP124" s="141">
        <f>IF(AND(BN124=0,BN124&gt;=0),"",BN124/BN124)</f>
        <v>1</v>
      </c>
      <c r="BQ124" s="139">
        <f>+BQ38+BQ116</f>
        <v>0</v>
      </c>
      <c r="BR124" s="140" t="str">
        <f>IF(AND(BQ4=0,BQ124&gt;=0), "",BQ124/BQ4)</f>
        <v/>
      </c>
      <c r="BS124" s="141" t="str">
        <f>IF(AND(BQ124=0,BQ124&gt;=0),"",BQ124/BQ124)</f>
        <v/>
      </c>
      <c r="BT124" s="140" t="str">
        <f t="shared" si="44"/>
        <v/>
      </c>
      <c r="BU124" s="142">
        <f>+BU38+BU116</f>
        <v>76236.359999999986</v>
      </c>
      <c r="BV124" s="140">
        <f>IF(AND(BU4=0,BU124&gt;=0), "",BU124/BU4)</f>
        <v>0.4662139861700777</v>
      </c>
      <c r="BW124" s="141">
        <f>IF(AND(BU124=0,BU124&gt;=0),"",BU124/BU124)</f>
        <v>1</v>
      </c>
      <c r="BX124" s="143">
        <f>+BX38+BX116</f>
        <v>0</v>
      </c>
      <c r="BY124" s="140" t="str">
        <f>IF(AND(BX4=0,BX124&gt;=0), "",BX124/BX4)</f>
        <v/>
      </c>
      <c r="BZ124" s="141">
        <f t="shared" si="45"/>
        <v>1</v>
      </c>
      <c r="CA124" s="139">
        <f>+CA38+CA116</f>
        <v>0</v>
      </c>
      <c r="CB124" s="140" t="str">
        <f>IF(AND(CA4=0,CA124&gt;=0), "",CA124/CA4)</f>
        <v/>
      </c>
      <c r="CC124" s="141" t="str">
        <f>IF(AND(CA124=0,CA124&gt;=0),"",CA124/CA124)</f>
        <v/>
      </c>
      <c r="CD124" s="140" t="str">
        <f t="shared" si="104"/>
        <v/>
      </c>
      <c r="CE124" s="142">
        <f>+CE38+CE116</f>
        <v>76236.359999999986</v>
      </c>
      <c r="CF124" s="140">
        <f>IF(AND(CE4=0,CE124&gt;=0), "",CE124/CE4)</f>
        <v>0.4662139861700777</v>
      </c>
      <c r="CG124" s="141">
        <f>IF(AND(CE124=0,CE124&gt;=0),"",CE124/CE124)</f>
        <v>1</v>
      </c>
      <c r="CH124" s="139">
        <f>+CH38+CH116</f>
        <v>0</v>
      </c>
      <c r="CI124" s="140" t="str">
        <f>IF(AND(CH4=0,CH124&gt;=0), "",CH124/CH4)</f>
        <v/>
      </c>
      <c r="CJ124" s="141" t="str">
        <f>IF(AND(CH124=0,CH124&gt;=0),"",CH124/CH124)</f>
        <v/>
      </c>
      <c r="CK124" s="140" t="str">
        <f t="shared" si="46"/>
        <v/>
      </c>
      <c r="CL124" s="142">
        <f>+CL38+CL116</f>
        <v>76236.359999999986</v>
      </c>
      <c r="CM124" s="140">
        <f>IF(AND(CL4=0,CL124&gt;=0), "",CL124/CL4)</f>
        <v>0.4662139861700777</v>
      </c>
      <c r="CN124" s="141">
        <f>IF(AND(CL124=0,CL124&gt;=0),"",CL124/CL124)</f>
        <v>1</v>
      </c>
      <c r="CO124" s="139">
        <f>+CO38+CO116</f>
        <v>0</v>
      </c>
      <c r="CP124" s="140" t="str">
        <f>IF(AND(CO4=0,CO124&gt;=0), "",CO124/CO4)</f>
        <v/>
      </c>
      <c r="CQ124" s="141" t="str">
        <f>IF(AND(CO124=0,CO124&gt;=0),"",CO124/CO124)</f>
        <v/>
      </c>
      <c r="CR124" s="140" t="str">
        <f t="shared" si="47"/>
        <v/>
      </c>
      <c r="CS124" s="142">
        <f>+CS38+CS116</f>
        <v>76236.359999999986</v>
      </c>
      <c r="CT124" s="140">
        <f>IF(AND(CS4=0,CS124&gt;=0), "",CS124/CS4)</f>
        <v>0.4662139861700777</v>
      </c>
      <c r="CU124" s="141">
        <f>IF(AND(CS124=0,CS124&gt;=0),"",CS124/CS124)</f>
        <v>1</v>
      </c>
      <c r="CV124" s="143">
        <f>+CV38+CV116</f>
        <v>0</v>
      </c>
      <c r="CW124" s="140" t="str">
        <f>IF(AND(CV4=0,CV124&gt;=0), "",CV124/CV4)</f>
        <v/>
      </c>
      <c r="CX124" s="141">
        <f t="shared" si="48"/>
        <v>1</v>
      </c>
    </row>
    <row r="125" spans="1:102" s="5" customFormat="1" x14ac:dyDescent="0.25">
      <c r="A125" s="27" t="s">
        <v>100</v>
      </c>
      <c r="B125" s="98">
        <f>SUM(B126:B135)</f>
        <v>0</v>
      </c>
      <c r="C125" s="28" t="str">
        <f>IF(AND(B4=0,B125&gt;=0), "",B125/B4)</f>
        <v/>
      </c>
      <c r="D125" s="33"/>
      <c r="E125" s="98">
        <f>SUM(E126:E135)</f>
        <v>188.98000000000002</v>
      </c>
      <c r="F125" s="28">
        <f>IF(AND(E4=0,E125&gt;=0), "",E125/E4)</f>
        <v>3.9425840594679703E-3</v>
      </c>
      <c r="G125" s="33"/>
      <c r="H125" s="98">
        <f>SUM(H126:H135)</f>
        <v>254.18</v>
      </c>
      <c r="I125" s="28">
        <f>IF(AND(H4=0,H125&gt;=0), "",H125/H4)</f>
        <v>4.9371598879941825E-3</v>
      </c>
      <c r="J125" s="33"/>
      <c r="K125" s="28">
        <f t="shared" si="97"/>
        <v>0.34501005397396539</v>
      </c>
      <c r="L125" s="99">
        <f>SUM(L126:L135)</f>
        <v>443.16000000000008</v>
      </c>
      <c r="M125" s="28">
        <f>IF(AND(L4=0,L125&gt;=0), "",L125/L4)</f>
        <v>4.4576294355630841E-3</v>
      </c>
      <c r="N125" s="33"/>
      <c r="O125" s="98">
        <f>SUM(O126:O135)</f>
        <v>3114.9999999999995</v>
      </c>
      <c r="P125" s="28">
        <f>IF(AND(O4=0,O125&gt;=0), "",O125/O4)</f>
        <v>4.8591259064258693E-2</v>
      </c>
      <c r="Q125" s="33"/>
      <c r="R125" s="28">
        <f t="shared" si="98"/>
        <v>11.255094814698245</v>
      </c>
      <c r="S125" s="99">
        <f>SUM(S126:S135)</f>
        <v>3558.16</v>
      </c>
      <c r="T125" s="28">
        <f>IF(AND(S4=0,S125&gt;=0), "",S125/S4)</f>
        <v>2.175948532997803E-2</v>
      </c>
      <c r="U125" s="33"/>
      <c r="V125" s="100">
        <f>SUM(V126:V135)</f>
        <v>0</v>
      </c>
      <c r="W125" s="28" t="str">
        <f>IF(AND(V4=0,V125&gt;=0), "",V125/V4)</f>
        <v/>
      </c>
      <c r="X125" s="78">
        <f t="shared" si="99"/>
        <v>1</v>
      </c>
      <c r="Y125" s="98">
        <f>SUM(Y126:Y135)</f>
        <v>0</v>
      </c>
      <c r="Z125" s="28" t="str">
        <f>IF(AND(Y4=0,Y125&gt;=0), "",Y125/Y4)</f>
        <v/>
      </c>
      <c r="AA125" s="33"/>
      <c r="AB125" s="28">
        <f t="shared" si="100"/>
        <v>-1</v>
      </c>
      <c r="AC125" s="99">
        <f>SUM(AC126:AC135)</f>
        <v>3558.16</v>
      </c>
      <c r="AD125" s="28">
        <f>IF(AND(AC4=0,AC125&gt;=0), "",AC125/AC4)</f>
        <v>2.175948532997803E-2</v>
      </c>
      <c r="AE125" s="33"/>
      <c r="AF125" s="98">
        <f>SUM(AF126:AF135)</f>
        <v>0</v>
      </c>
      <c r="AG125" s="28" t="str">
        <f>IF(AND(AF4=0,AF125&gt;=0), "",AF125/AF4)</f>
        <v/>
      </c>
      <c r="AH125" s="33"/>
      <c r="AI125" s="28" t="str">
        <f t="shared" si="41"/>
        <v/>
      </c>
      <c r="AJ125" s="99">
        <f>SUM(AJ126:AJ135)</f>
        <v>3558.16</v>
      </c>
      <c r="AK125" s="28">
        <f>IF(AND(AJ4=0,AJ125&gt;=0), "",AJ125/AJ4)</f>
        <v>2.175948532997803E-2</v>
      </c>
      <c r="AL125" s="33"/>
      <c r="AM125" s="98">
        <f>SUM(AM126:AM135)</f>
        <v>0</v>
      </c>
      <c r="AN125" s="28" t="str">
        <f>IF(AND(AM4=0,AM125&gt;=0), "",AM125/AM4)</f>
        <v/>
      </c>
      <c r="AO125" s="33"/>
      <c r="AP125" s="28" t="str">
        <f t="shared" si="42"/>
        <v/>
      </c>
      <c r="AQ125" s="99">
        <f>SUM(AQ126:AQ135)</f>
        <v>3558.16</v>
      </c>
      <c r="AR125" s="28">
        <f>IF(AND(AQ4=0,AQ125&gt;=0), "",AQ125/AQ4)</f>
        <v>2.175948532997803E-2</v>
      </c>
      <c r="AS125" s="33"/>
      <c r="AT125" s="100">
        <f>SUM(AT126:AT135)</f>
        <v>0</v>
      </c>
      <c r="AU125" s="28" t="str">
        <f>IF(AND(AT4=0,AT125&gt;=0), "",AT125/AT4)</f>
        <v/>
      </c>
      <c r="AV125" s="78">
        <f t="shared" si="101"/>
        <v>1</v>
      </c>
      <c r="AW125" s="100">
        <f>SUM(AW126:AW135)</f>
        <v>593.02666666666664</v>
      </c>
      <c r="AX125" s="28">
        <f>IF(AND(AW4=0,AW125&gt;=0), "",AW125/AW4)</f>
        <v>2.175948532997803E-2</v>
      </c>
      <c r="AY125" s="33"/>
      <c r="AZ125" s="100">
        <f>SUM(AZ126:AZ135)</f>
        <v>0</v>
      </c>
      <c r="BA125" s="28" t="str">
        <f>IF(AND(AZ4=0,AZ125&gt;=0), "",AZ125/AZ4)</f>
        <v/>
      </c>
      <c r="BB125" s="78">
        <f t="shared" si="102"/>
        <v>1</v>
      </c>
      <c r="BC125" s="98">
        <f>SUM(BC126:BC135)</f>
        <v>0</v>
      </c>
      <c r="BD125" s="28" t="str">
        <f>IF(AND(BC4=0,BC125&gt;=0), "",BC125/BC4)</f>
        <v/>
      </c>
      <c r="BE125" s="33"/>
      <c r="BF125" s="28" t="str">
        <f t="shared" si="103"/>
        <v/>
      </c>
      <c r="BG125" s="99">
        <f>SUM(BG126:BG135)</f>
        <v>3558.16</v>
      </c>
      <c r="BH125" s="28">
        <f>IF(AND(BG4=0,BG125&gt;=0), "",BG125/BG4)</f>
        <v>2.175948532997803E-2</v>
      </c>
      <c r="BI125" s="33"/>
      <c r="BJ125" s="98">
        <f>SUM(BJ126:BJ135)</f>
        <v>0</v>
      </c>
      <c r="BK125" s="28" t="str">
        <f>IF(AND(BJ4=0,BJ125&gt;=0), "",BJ125/BJ4)</f>
        <v/>
      </c>
      <c r="BL125" s="33"/>
      <c r="BM125" s="28" t="str">
        <f t="shared" si="43"/>
        <v/>
      </c>
      <c r="BN125" s="99">
        <f>SUM(BN126:BN135)</f>
        <v>3558.16</v>
      </c>
      <c r="BO125" s="28">
        <f>IF(AND(BN4=0,BN125&gt;=0), "",BN125/BN4)</f>
        <v>2.175948532997803E-2</v>
      </c>
      <c r="BP125" s="33"/>
      <c r="BQ125" s="98">
        <f>SUM(BQ126:BQ135)</f>
        <v>0</v>
      </c>
      <c r="BR125" s="28" t="str">
        <f>IF(AND(BQ4=0,BQ125&gt;=0), "",BQ125/BQ4)</f>
        <v/>
      </c>
      <c r="BS125" s="33"/>
      <c r="BT125" s="28" t="str">
        <f t="shared" si="44"/>
        <v/>
      </c>
      <c r="BU125" s="99">
        <f>SUM(BU126:BU135)</f>
        <v>3558.16</v>
      </c>
      <c r="BV125" s="28">
        <f>IF(AND(BU4=0,BU125&gt;=0), "",BU125/BU4)</f>
        <v>2.175948532997803E-2</v>
      </c>
      <c r="BW125" s="33"/>
      <c r="BX125" s="100">
        <f>SUM(BX126:BX135)</f>
        <v>0</v>
      </c>
      <c r="BY125" s="28" t="str">
        <f>IF(AND(BX4=0,BX125&gt;=0), "",BX125/BX4)</f>
        <v/>
      </c>
      <c r="BZ125" s="78">
        <f t="shared" si="45"/>
        <v>1</v>
      </c>
      <c r="CA125" s="98">
        <f>SUM(CA126:CA135)</f>
        <v>0</v>
      </c>
      <c r="CB125" s="28" t="str">
        <f>IF(AND(CA4=0,CA125&gt;=0), "",CA125/CA4)</f>
        <v/>
      </c>
      <c r="CC125" s="33"/>
      <c r="CD125" s="28" t="str">
        <f t="shared" si="104"/>
        <v/>
      </c>
      <c r="CE125" s="99">
        <f>SUM(CE126:CE135)</f>
        <v>3558.16</v>
      </c>
      <c r="CF125" s="28">
        <f>IF(AND(CE4=0,CE125&gt;=0), "",CE125/CE4)</f>
        <v>2.175948532997803E-2</v>
      </c>
      <c r="CG125" s="33"/>
      <c r="CH125" s="98">
        <f>SUM(CH126:CH135)</f>
        <v>0</v>
      </c>
      <c r="CI125" s="28" t="str">
        <f>IF(AND(CH4=0,CH125&gt;=0), "",CH125/CH4)</f>
        <v/>
      </c>
      <c r="CJ125" s="33"/>
      <c r="CK125" s="28" t="str">
        <f t="shared" si="46"/>
        <v/>
      </c>
      <c r="CL125" s="99">
        <f>SUM(CL126:CL135)</f>
        <v>3558.16</v>
      </c>
      <c r="CM125" s="28">
        <f>IF(AND(CL4=0,CL125&gt;=0), "",CL125/CL4)</f>
        <v>2.175948532997803E-2</v>
      </c>
      <c r="CN125" s="33"/>
      <c r="CO125" s="98">
        <f>SUM(CO126:CO135)</f>
        <v>0</v>
      </c>
      <c r="CP125" s="28" t="str">
        <f>IF(AND(CO4=0,CO125&gt;=0), "",CO125/CO4)</f>
        <v/>
      </c>
      <c r="CQ125" s="33"/>
      <c r="CR125" s="28" t="str">
        <f t="shared" si="47"/>
        <v/>
      </c>
      <c r="CS125" s="99">
        <f>SUM(CS126:CS135)</f>
        <v>3558.16</v>
      </c>
      <c r="CT125" s="28">
        <f>IF(AND(CS4=0,CS125&gt;=0), "",CS125/CS4)</f>
        <v>2.175948532997803E-2</v>
      </c>
      <c r="CU125" s="33"/>
      <c r="CV125" s="100">
        <f>SUM(CV126:CV135)</f>
        <v>0</v>
      </c>
      <c r="CW125" s="28" t="str">
        <f>IF(AND(CV4=0,CV125&gt;=0), "",CV125/CV4)</f>
        <v/>
      </c>
      <c r="CX125" s="78">
        <f t="shared" si="48"/>
        <v>1</v>
      </c>
    </row>
    <row r="126" spans="1:102" s="5" customFormat="1" hidden="1" outlineLevel="1" x14ac:dyDescent="0.25">
      <c r="A126" s="19" t="s">
        <v>104</v>
      </c>
      <c r="B126" s="101">
        <f>+'N EERR RODEO'!B19</f>
        <v>0</v>
      </c>
      <c r="C126" s="20" t="str">
        <f>IF(AND(B4=0,B126&gt;=0), "",B126/B4)</f>
        <v/>
      </c>
      <c r="D126" s="36"/>
      <c r="E126" s="101">
        <f>+'N EERR RODEO'!C19</f>
        <v>0</v>
      </c>
      <c r="F126" s="20">
        <f>IF(AND(E4=0,E126&gt;=0), "",E126/E4)</f>
        <v>0</v>
      </c>
      <c r="G126" s="36"/>
      <c r="H126" s="101">
        <f>+'N EERR RODEO'!D19</f>
        <v>0</v>
      </c>
      <c r="I126" s="20">
        <f>IF(AND(H4=0,H126&gt;=0), "",H126/H4)</f>
        <v>0</v>
      </c>
      <c r="J126" s="36"/>
      <c r="K126" s="20" t="str">
        <f t="shared" si="97"/>
        <v/>
      </c>
      <c r="L126" s="102">
        <f t="shared" ref="L126:L134" si="119">+E126+H126</f>
        <v>0</v>
      </c>
      <c r="M126" s="20">
        <f>IF(AND(L4=0,L126&gt;=0), "",L126/L4)</f>
        <v>0</v>
      </c>
      <c r="N126" s="36"/>
      <c r="O126" s="101">
        <f>+'N EERR RODEO'!E19</f>
        <v>0</v>
      </c>
      <c r="P126" s="20">
        <f>IF(AND(O4=0,O126&gt;=0), "",O126/O4)</f>
        <v>0</v>
      </c>
      <c r="Q126" s="36"/>
      <c r="R126" s="20" t="str">
        <f t="shared" si="98"/>
        <v/>
      </c>
      <c r="S126" s="102">
        <f t="shared" ref="S126:S134" si="120">+L126+O126</f>
        <v>0</v>
      </c>
      <c r="T126" s="20">
        <f>IF(AND(S4=0,S126&gt;=0), "",S126/S4)</f>
        <v>0</v>
      </c>
      <c r="U126" s="36"/>
      <c r="V126" s="103"/>
      <c r="W126" s="20" t="str">
        <f>IF(AND(V4=0,V126&gt;=0), "",V126/V4)</f>
        <v/>
      </c>
      <c r="X126" s="37" t="str">
        <f t="shared" si="99"/>
        <v/>
      </c>
      <c r="Y126" s="101">
        <f>+'N EERR RODEO'!F19</f>
        <v>0</v>
      </c>
      <c r="Z126" s="20" t="str">
        <f>IF(AND(Y4=0,Y126&gt;=0), "",Y126/Y4)</f>
        <v/>
      </c>
      <c r="AA126" s="36"/>
      <c r="AB126" s="20" t="str">
        <f t="shared" si="100"/>
        <v/>
      </c>
      <c r="AC126" s="102">
        <f t="shared" ref="AC126:AC134" si="121">+S126+Y126</f>
        <v>0</v>
      </c>
      <c r="AD126" s="20">
        <f>IF(AND(AC4=0,AC126&gt;=0), "",AC126/AC4)</f>
        <v>0</v>
      </c>
      <c r="AE126" s="36"/>
      <c r="AF126" s="101">
        <f>+'N EERR RODEO'!G19</f>
        <v>0</v>
      </c>
      <c r="AG126" s="20" t="str">
        <f>IF(AND(AF4=0,AF126&gt;=0), "",AF126/AF4)</f>
        <v/>
      </c>
      <c r="AH126" s="36"/>
      <c r="AI126" s="20" t="str">
        <f t="shared" si="41"/>
        <v/>
      </c>
      <c r="AJ126" s="102">
        <f t="shared" si="62"/>
        <v>0</v>
      </c>
      <c r="AK126" s="20">
        <f>IF(AND(AJ4=0,AJ126&gt;=0), "",AJ126/AJ4)</f>
        <v>0</v>
      </c>
      <c r="AL126" s="36"/>
      <c r="AM126" s="101">
        <f>+'N EERR RODEO'!H19</f>
        <v>0</v>
      </c>
      <c r="AN126" s="20" t="str">
        <f>IF(AND(AM4=0,AM126&gt;=0), "",AM126/AM4)</f>
        <v/>
      </c>
      <c r="AO126" s="36"/>
      <c r="AP126" s="20" t="str">
        <f t="shared" si="42"/>
        <v/>
      </c>
      <c r="AQ126" s="102">
        <f t="shared" si="63"/>
        <v>0</v>
      </c>
      <c r="AR126" s="20">
        <f>IF(AND(AQ4=0,AQ126&gt;=0), "",AQ126/AQ4)</f>
        <v>0</v>
      </c>
      <c r="AS126" s="36"/>
      <c r="AT126" s="103">
        <f t="shared" ref="AT126:AT136" si="122">+V126*2</f>
        <v>0</v>
      </c>
      <c r="AU126" s="20" t="str">
        <f>IF(AND(AT4=0,AT126&gt;=0), "",AT126/AT4)</f>
        <v/>
      </c>
      <c r="AV126" s="37" t="str">
        <f t="shared" si="101"/>
        <v/>
      </c>
      <c r="AW126" s="103">
        <f>+AQ126/6</f>
        <v>0</v>
      </c>
      <c r="AX126" s="20">
        <f>IF(AND(AW4=0,AW126&gt;=0), "",AW126/AW4)</f>
        <v>0</v>
      </c>
      <c r="AY126" s="36"/>
      <c r="AZ126" s="103">
        <f t="shared" ref="AZ126:AZ136" si="123">+AT126/6</f>
        <v>0</v>
      </c>
      <c r="BA126" s="20" t="str">
        <f>IF(AND(AZ4=0,AZ126&gt;=0), "",AZ126/AZ4)</f>
        <v/>
      </c>
      <c r="BB126" s="37" t="str">
        <f t="shared" si="102"/>
        <v/>
      </c>
      <c r="BC126" s="101">
        <f>+'N EERR RODEO'!I19</f>
        <v>0</v>
      </c>
      <c r="BD126" s="20" t="str">
        <f>IF(AND(BC4=0,BC126&gt;=0), "",BC126/BC4)</f>
        <v/>
      </c>
      <c r="BE126" s="36"/>
      <c r="BF126" s="20" t="str">
        <f t="shared" si="103"/>
        <v/>
      </c>
      <c r="BG126" s="102">
        <f>+AQ126+BC126</f>
        <v>0</v>
      </c>
      <c r="BH126" s="20">
        <f>IF(AND(BG4=0,BG126&gt;=0), "",BG126/BG4)</f>
        <v>0</v>
      </c>
      <c r="BI126" s="36"/>
      <c r="BJ126" s="101">
        <f>+'N EERR RODEO'!J19</f>
        <v>0</v>
      </c>
      <c r="BK126" s="20" t="str">
        <f>IF(AND(BJ4=0,BJ126&gt;=0), "",BJ126/BJ4)</f>
        <v/>
      </c>
      <c r="BL126" s="36"/>
      <c r="BM126" s="20" t="str">
        <f t="shared" si="43"/>
        <v/>
      </c>
      <c r="BN126" s="102">
        <f>+BG126+BJ126</f>
        <v>0</v>
      </c>
      <c r="BO126" s="20">
        <f>IF(AND(BN4=0,BN126&gt;=0), "",BN126/BN4)</f>
        <v>0</v>
      </c>
      <c r="BP126" s="36"/>
      <c r="BQ126" s="101">
        <f>+'N EERR RODEO'!K19</f>
        <v>0</v>
      </c>
      <c r="BR126" s="20" t="str">
        <f>IF(AND(BQ4=0,BQ126&gt;=0), "",BQ126/BQ4)</f>
        <v/>
      </c>
      <c r="BS126" s="36"/>
      <c r="BT126" s="20" t="str">
        <f t="shared" si="44"/>
        <v/>
      </c>
      <c r="BU126" s="102">
        <f t="shared" ref="BU126:BU136" si="124">+BN126+BQ126</f>
        <v>0</v>
      </c>
      <c r="BV126" s="20">
        <f>IF(AND(BU4=0,BU126&gt;=0), "",BU126/BU4)</f>
        <v>0</v>
      </c>
      <c r="BW126" s="36"/>
      <c r="BX126" s="103">
        <f t="shared" ref="BX126:BX136" si="125">+AZ126*9</f>
        <v>0</v>
      </c>
      <c r="BY126" s="20" t="str">
        <f>IF(AND(BX4=0,BX126&gt;=0), "",BX126/BX4)</f>
        <v/>
      </c>
      <c r="BZ126" s="37" t="str">
        <f t="shared" si="45"/>
        <v/>
      </c>
      <c r="CA126" s="101">
        <f>+'N EERR RODEO'!L19</f>
        <v>0</v>
      </c>
      <c r="CB126" s="20" t="str">
        <f>IF(AND(CA4=0,CA126&gt;=0), "",CA126/CA4)</f>
        <v/>
      </c>
      <c r="CC126" s="36"/>
      <c r="CD126" s="20" t="str">
        <f t="shared" si="104"/>
        <v/>
      </c>
      <c r="CE126" s="102">
        <f t="shared" ref="CE126:CE134" si="126">+BU126+CA126</f>
        <v>0</v>
      </c>
      <c r="CF126" s="20">
        <f>IF(AND(CE4=0,CE126&gt;=0), "",CE126/CE4)</f>
        <v>0</v>
      </c>
      <c r="CG126" s="36"/>
      <c r="CH126" s="101">
        <f>+'N EERR RODEO'!M19</f>
        <v>0</v>
      </c>
      <c r="CI126" s="20" t="str">
        <f>IF(AND(CH4=0,CH126&gt;=0), "",CH126/CH4)</f>
        <v/>
      </c>
      <c r="CJ126" s="36"/>
      <c r="CK126" s="20" t="str">
        <f t="shared" si="46"/>
        <v/>
      </c>
      <c r="CL126" s="102">
        <f t="shared" ref="CL126:CL136" si="127">+CE126+CH126</f>
        <v>0</v>
      </c>
      <c r="CM126" s="20">
        <f>IF(AND(CL4=0,CL126&gt;=0), "",CL126/CL4)</f>
        <v>0</v>
      </c>
      <c r="CN126" s="36"/>
      <c r="CO126" s="101">
        <f>+'N EERR RODEO'!N19</f>
        <v>0</v>
      </c>
      <c r="CP126" s="20" t="str">
        <f>IF(AND(CO4=0,CO126&gt;=0), "",CO126/CO4)</f>
        <v/>
      </c>
      <c r="CQ126" s="36"/>
      <c r="CR126" s="20" t="str">
        <f t="shared" si="47"/>
        <v/>
      </c>
      <c r="CS126" s="102">
        <f t="shared" ref="CS126:CS136" si="128">+CL126+CO126</f>
        <v>0</v>
      </c>
      <c r="CT126" s="20">
        <f>IF(AND(CS4=0,CS126&gt;=0), "",CS126/CS4)</f>
        <v>0</v>
      </c>
      <c r="CU126" s="36"/>
      <c r="CV126" s="103">
        <f t="shared" ref="CV126:CV136" si="129">+AZ126*12</f>
        <v>0</v>
      </c>
      <c r="CW126" s="20" t="str">
        <f>IF(AND(CV4=0,CV126&gt;=0), "",CV126/CV4)</f>
        <v/>
      </c>
      <c r="CX126" s="37" t="str">
        <f t="shared" si="48"/>
        <v/>
      </c>
    </row>
    <row r="127" spans="1:102" s="5" customFormat="1" hidden="1" outlineLevel="1" x14ac:dyDescent="0.25">
      <c r="A127" s="19" t="s">
        <v>105</v>
      </c>
      <c r="B127" s="101">
        <f>+'N EERR RODEO'!B20</f>
        <v>0</v>
      </c>
      <c r="C127" s="20" t="str">
        <f>IF(AND(B4=0,B127&gt;=0), "",B127/B4)</f>
        <v/>
      </c>
      <c r="D127" s="36"/>
      <c r="E127" s="101">
        <f>+'N EERR RODEO'!C20</f>
        <v>0.05</v>
      </c>
      <c r="F127" s="20">
        <f>IF(AND(E4=0,E127&gt;=0), "",E127/E4)</f>
        <v>1.0431220392284821E-6</v>
      </c>
      <c r="G127" s="36"/>
      <c r="H127" s="101">
        <f>+'N EERR RODEO'!D20</f>
        <v>0</v>
      </c>
      <c r="I127" s="20">
        <f>IF(AND(H4=0,H127&gt;=0), "",H127/H4)</f>
        <v>0</v>
      </c>
      <c r="J127" s="36"/>
      <c r="K127" s="20">
        <f t="shared" si="97"/>
        <v>-1</v>
      </c>
      <c r="L127" s="102">
        <f t="shared" si="119"/>
        <v>0.05</v>
      </c>
      <c r="M127" s="20">
        <f>IF(AND(L4=0,L127&gt;=0), "",L127/L4)</f>
        <v>5.0293679884952201E-7</v>
      </c>
      <c r="N127" s="36"/>
      <c r="O127" s="101">
        <f>+'N EERR RODEO'!E20</f>
        <v>0.05</v>
      </c>
      <c r="P127" s="20">
        <f>IF(AND(O4=0,O127&gt;=0), "",O127/O4)</f>
        <v>7.7995600424171272E-7</v>
      </c>
      <c r="Q127" s="36"/>
      <c r="R127" s="20">
        <f t="shared" si="98"/>
        <v>1</v>
      </c>
      <c r="S127" s="102">
        <f t="shared" si="120"/>
        <v>0.1</v>
      </c>
      <c r="T127" s="20">
        <f>IF(AND(S4=0,S127&gt;=0), "",S127/S4)</f>
        <v>6.1153757363294602E-7</v>
      </c>
      <c r="U127" s="36"/>
      <c r="V127" s="103"/>
      <c r="W127" s="20" t="str">
        <f>IF(AND(V4=0,V127&gt;=0), "",V127/V4)</f>
        <v/>
      </c>
      <c r="X127" s="37">
        <f t="shared" si="99"/>
        <v>1</v>
      </c>
      <c r="Y127" s="101">
        <f>+'N EERR RODEO'!F20</f>
        <v>0</v>
      </c>
      <c r="Z127" s="20" t="str">
        <f>IF(AND(Y4=0,Y127&gt;=0), "",Y127/Y4)</f>
        <v/>
      </c>
      <c r="AA127" s="36"/>
      <c r="AB127" s="20">
        <f t="shared" si="100"/>
        <v>-1</v>
      </c>
      <c r="AC127" s="102">
        <f t="shared" si="121"/>
        <v>0.1</v>
      </c>
      <c r="AD127" s="20">
        <f>IF(AND(AC4=0,AC127&gt;=0), "",AC127/AC4)</f>
        <v>6.1153757363294602E-7</v>
      </c>
      <c r="AE127" s="36"/>
      <c r="AF127" s="101">
        <f>+'N EERR RODEO'!G20</f>
        <v>0</v>
      </c>
      <c r="AG127" s="20" t="str">
        <f>IF(AND(AF4=0,AF127&gt;=0), "",AF127/AF4)</f>
        <v/>
      </c>
      <c r="AH127" s="36"/>
      <c r="AI127" s="20" t="str">
        <f t="shared" si="41"/>
        <v/>
      </c>
      <c r="AJ127" s="102">
        <f t="shared" si="62"/>
        <v>0.1</v>
      </c>
      <c r="AK127" s="20">
        <f>IF(AND(AJ4=0,AJ127&gt;=0), "",AJ127/AJ4)</f>
        <v>6.1153757363294602E-7</v>
      </c>
      <c r="AL127" s="36"/>
      <c r="AM127" s="101">
        <f>+'N EERR RODEO'!H20</f>
        <v>0</v>
      </c>
      <c r="AN127" s="20" t="str">
        <f>IF(AND(AM4=0,AM127&gt;=0), "",AM127/AM4)</f>
        <v/>
      </c>
      <c r="AO127" s="36"/>
      <c r="AP127" s="20" t="str">
        <f t="shared" si="42"/>
        <v/>
      </c>
      <c r="AQ127" s="102">
        <f t="shared" si="63"/>
        <v>0.1</v>
      </c>
      <c r="AR127" s="20">
        <f>IF(AND(AQ4=0,AQ127&gt;=0), "",AQ127/AQ4)</f>
        <v>6.1153757363294602E-7</v>
      </c>
      <c r="AS127" s="36"/>
      <c r="AT127" s="103">
        <f t="shared" si="122"/>
        <v>0</v>
      </c>
      <c r="AU127" s="20" t="str">
        <f>IF(AND(AT4=0,AT127&gt;=0), "",AT127/AT4)</f>
        <v/>
      </c>
      <c r="AV127" s="37">
        <f t="shared" si="101"/>
        <v>1</v>
      </c>
      <c r="AW127" s="103">
        <f t="shared" ref="AW127:AW134" si="130">+AQ127/6</f>
        <v>1.6666666666666666E-2</v>
      </c>
      <c r="AX127" s="20">
        <f>IF(AND(AW4=0,AW127&gt;=0), "",AW127/AW4)</f>
        <v>6.1153757363294602E-7</v>
      </c>
      <c r="AY127" s="36"/>
      <c r="AZ127" s="103">
        <f t="shared" si="123"/>
        <v>0</v>
      </c>
      <c r="BA127" s="20" t="str">
        <f>IF(AND(AZ4=0,AZ127&gt;=0), "",AZ127/AZ4)</f>
        <v/>
      </c>
      <c r="BB127" s="37">
        <f t="shared" si="102"/>
        <v>1</v>
      </c>
      <c r="BC127" s="101">
        <f>+'N EERR RODEO'!I20</f>
        <v>0</v>
      </c>
      <c r="BD127" s="20" t="str">
        <f>IF(AND(BC4=0,BC127&gt;=0), "",BC127/BC4)</f>
        <v/>
      </c>
      <c r="BE127" s="36"/>
      <c r="BF127" s="20" t="str">
        <f t="shared" si="103"/>
        <v/>
      </c>
      <c r="BG127" s="102">
        <f t="shared" ref="BG127:BG136" si="131">+AQ127+BC127</f>
        <v>0.1</v>
      </c>
      <c r="BH127" s="20">
        <f>IF(AND(BG4=0,BG127&gt;=0), "",BG127/BG4)</f>
        <v>6.1153757363294602E-7</v>
      </c>
      <c r="BI127" s="36"/>
      <c r="BJ127" s="101">
        <f>+'N EERR RODEO'!J20</f>
        <v>0</v>
      </c>
      <c r="BK127" s="20" t="str">
        <f>IF(AND(BJ4=0,BJ127&gt;=0), "",BJ127/BJ4)</f>
        <v/>
      </c>
      <c r="BL127" s="36"/>
      <c r="BM127" s="20" t="str">
        <f t="shared" si="43"/>
        <v/>
      </c>
      <c r="BN127" s="102">
        <f t="shared" ref="BN127:BN136" si="132">+BG127+BJ127</f>
        <v>0.1</v>
      </c>
      <c r="BO127" s="20">
        <f>IF(AND(BN4=0,BN127&gt;=0), "",BN127/BN4)</f>
        <v>6.1153757363294602E-7</v>
      </c>
      <c r="BP127" s="36"/>
      <c r="BQ127" s="101">
        <f>+'N EERR RODEO'!K20</f>
        <v>0</v>
      </c>
      <c r="BR127" s="20" t="str">
        <f>IF(AND(BQ4=0,BQ127&gt;=0), "",BQ127/BQ4)</f>
        <v/>
      </c>
      <c r="BS127" s="36"/>
      <c r="BT127" s="20" t="str">
        <f t="shared" si="44"/>
        <v/>
      </c>
      <c r="BU127" s="102">
        <f t="shared" si="124"/>
        <v>0.1</v>
      </c>
      <c r="BV127" s="20">
        <f>IF(AND(BU4=0,BU127&gt;=0), "",BU127/BU4)</f>
        <v>6.1153757363294602E-7</v>
      </c>
      <c r="BW127" s="36"/>
      <c r="BX127" s="103">
        <f t="shared" si="125"/>
        <v>0</v>
      </c>
      <c r="BY127" s="20" t="str">
        <f>IF(AND(BX4=0,BX127&gt;=0), "",BX127/BX4)</f>
        <v/>
      </c>
      <c r="BZ127" s="37">
        <f t="shared" si="45"/>
        <v>1</v>
      </c>
      <c r="CA127" s="101">
        <f>+'N EERR RODEO'!L20</f>
        <v>0</v>
      </c>
      <c r="CB127" s="20" t="str">
        <f>IF(AND(CA4=0,CA127&gt;=0), "",CA127/CA4)</f>
        <v/>
      </c>
      <c r="CC127" s="36"/>
      <c r="CD127" s="20" t="str">
        <f t="shared" si="104"/>
        <v/>
      </c>
      <c r="CE127" s="102">
        <f t="shared" si="126"/>
        <v>0.1</v>
      </c>
      <c r="CF127" s="20">
        <f>IF(AND(CE4=0,CE127&gt;=0), "",CE127/CE4)</f>
        <v>6.1153757363294602E-7</v>
      </c>
      <c r="CG127" s="36"/>
      <c r="CH127" s="101">
        <f>+'N EERR RODEO'!M20</f>
        <v>0</v>
      </c>
      <c r="CI127" s="20" t="str">
        <f>IF(AND(CH4=0,CH127&gt;=0), "",CH127/CH4)</f>
        <v/>
      </c>
      <c r="CJ127" s="36"/>
      <c r="CK127" s="20" t="str">
        <f t="shared" si="46"/>
        <v/>
      </c>
      <c r="CL127" s="102">
        <f t="shared" si="127"/>
        <v>0.1</v>
      </c>
      <c r="CM127" s="20">
        <f>IF(AND(CL4=0,CL127&gt;=0), "",CL127/CL4)</f>
        <v>6.1153757363294602E-7</v>
      </c>
      <c r="CN127" s="36"/>
      <c r="CO127" s="101">
        <f>+'N EERR RODEO'!N20</f>
        <v>0</v>
      </c>
      <c r="CP127" s="20" t="str">
        <f>IF(AND(CO4=0,CO127&gt;=0), "",CO127/CO4)</f>
        <v/>
      </c>
      <c r="CQ127" s="36"/>
      <c r="CR127" s="20" t="str">
        <f t="shared" si="47"/>
        <v/>
      </c>
      <c r="CS127" s="102">
        <f t="shared" si="128"/>
        <v>0.1</v>
      </c>
      <c r="CT127" s="20">
        <f>IF(AND(CS4=0,CS127&gt;=0), "",CS127/CS4)</f>
        <v>6.1153757363294602E-7</v>
      </c>
      <c r="CU127" s="36"/>
      <c r="CV127" s="103">
        <f t="shared" si="129"/>
        <v>0</v>
      </c>
      <c r="CW127" s="20" t="str">
        <f>IF(AND(CV4=0,CV127&gt;=0), "",CV127/CV4)</f>
        <v/>
      </c>
      <c r="CX127" s="37">
        <f t="shared" si="48"/>
        <v>1</v>
      </c>
    </row>
    <row r="128" spans="1:102" s="5" customFormat="1" hidden="1" outlineLevel="1" x14ac:dyDescent="0.25">
      <c r="A128" s="19" t="s">
        <v>106</v>
      </c>
      <c r="B128" s="101">
        <f>+'N EERR RODEO'!B21</f>
        <v>0</v>
      </c>
      <c r="C128" s="20" t="str">
        <f>IF(AND(B4=0,B128&gt;=0), "",B128/B4)</f>
        <v/>
      </c>
      <c r="D128" s="36"/>
      <c r="E128" s="101">
        <f>+'N EERR RODEO'!C21</f>
        <v>4.49</v>
      </c>
      <c r="F128" s="20">
        <f>IF(AND(E4=0,E128&gt;=0), "",E128/E4)</f>
        <v>9.3672359122717682E-5</v>
      </c>
      <c r="G128" s="36"/>
      <c r="H128" s="101">
        <f>+'N EERR RODEO'!D21</f>
        <v>2.7</v>
      </c>
      <c r="I128" s="20">
        <f>IF(AND(H4=0,H128&gt;=0), "",H128/H4)</f>
        <v>5.2444455494469638E-5</v>
      </c>
      <c r="J128" s="36"/>
      <c r="K128" s="20">
        <f t="shared" si="97"/>
        <v>-0.39866369710467703</v>
      </c>
      <c r="L128" s="102">
        <f t="shared" si="119"/>
        <v>7.19</v>
      </c>
      <c r="M128" s="20">
        <f>IF(AND(L4=0,L128&gt;=0), "",L128/L4)</f>
        <v>7.2322311674561258E-5</v>
      </c>
      <c r="N128" s="36"/>
      <c r="O128" s="101">
        <f>+'N EERR RODEO'!E21</f>
        <v>0.95</v>
      </c>
      <c r="P128" s="20">
        <f>IF(AND(O4=0,O128&gt;=0), "",O128/O4)</f>
        <v>1.4819164080592541E-5</v>
      </c>
      <c r="Q128" s="36"/>
      <c r="R128" s="20">
        <f t="shared" si="98"/>
        <v>-0.64814814814814814</v>
      </c>
      <c r="S128" s="102">
        <f t="shared" si="120"/>
        <v>8.14</v>
      </c>
      <c r="T128" s="20">
        <f>IF(AND(S4=0,S128&gt;=0), "",S128/S4)</f>
        <v>4.9779158493721808E-5</v>
      </c>
      <c r="U128" s="36"/>
      <c r="V128" s="103"/>
      <c r="W128" s="20" t="str">
        <f>IF(AND(V4=0,V128&gt;=0), "",V128/V4)</f>
        <v/>
      </c>
      <c r="X128" s="37">
        <f t="shared" si="99"/>
        <v>1</v>
      </c>
      <c r="Y128" s="101">
        <f>+'N EERR RODEO'!F21</f>
        <v>0</v>
      </c>
      <c r="Z128" s="20" t="str">
        <f>IF(AND(Y4=0,Y128&gt;=0), "",Y128/Y4)</f>
        <v/>
      </c>
      <c r="AA128" s="36"/>
      <c r="AB128" s="20">
        <f t="shared" si="100"/>
        <v>-1</v>
      </c>
      <c r="AC128" s="102">
        <f t="shared" si="121"/>
        <v>8.14</v>
      </c>
      <c r="AD128" s="20">
        <f>IF(AND(AC4=0,AC128&gt;=0), "",AC128/AC4)</f>
        <v>4.9779158493721808E-5</v>
      </c>
      <c r="AE128" s="36"/>
      <c r="AF128" s="101">
        <f>+'N EERR RODEO'!G21</f>
        <v>0</v>
      </c>
      <c r="AG128" s="20" t="str">
        <f>IF(AND(AF4=0,AF128&gt;=0), "",AF128/AF4)</f>
        <v/>
      </c>
      <c r="AH128" s="36"/>
      <c r="AI128" s="20" t="str">
        <f t="shared" si="41"/>
        <v/>
      </c>
      <c r="AJ128" s="102">
        <f t="shared" si="62"/>
        <v>8.14</v>
      </c>
      <c r="AK128" s="20">
        <f>IF(AND(AJ4=0,AJ128&gt;=0), "",AJ128/AJ4)</f>
        <v>4.9779158493721808E-5</v>
      </c>
      <c r="AL128" s="36"/>
      <c r="AM128" s="101">
        <f>+'N EERR RODEO'!H21</f>
        <v>0</v>
      </c>
      <c r="AN128" s="20" t="str">
        <f>IF(AND(AM4=0,AM128&gt;=0), "",AM128/AM4)</f>
        <v/>
      </c>
      <c r="AO128" s="36"/>
      <c r="AP128" s="20" t="str">
        <f t="shared" si="42"/>
        <v/>
      </c>
      <c r="AQ128" s="102">
        <f t="shared" si="63"/>
        <v>8.14</v>
      </c>
      <c r="AR128" s="20">
        <f>IF(AND(AQ4=0,AQ128&gt;=0), "",AQ128/AQ4)</f>
        <v>4.9779158493721808E-5</v>
      </c>
      <c r="AS128" s="36"/>
      <c r="AT128" s="103">
        <f t="shared" si="122"/>
        <v>0</v>
      </c>
      <c r="AU128" s="20" t="str">
        <f>IF(AND(AT4=0,AT128&gt;=0), "",AT128/AT4)</f>
        <v/>
      </c>
      <c r="AV128" s="37">
        <f t="shared" si="101"/>
        <v>1</v>
      </c>
      <c r="AW128" s="103">
        <f t="shared" si="130"/>
        <v>1.3566666666666667</v>
      </c>
      <c r="AX128" s="20">
        <f>IF(AND(AW4=0,AW128&gt;=0), "",AW128/AW4)</f>
        <v>4.9779158493721808E-5</v>
      </c>
      <c r="AY128" s="36"/>
      <c r="AZ128" s="103">
        <f t="shared" si="123"/>
        <v>0</v>
      </c>
      <c r="BA128" s="20" t="str">
        <f>IF(AND(AZ4=0,AZ128&gt;=0), "",AZ128/AZ4)</f>
        <v/>
      </c>
      <c r="BB128" s="37">
        <f t="shared" si="102"/>
        <v>1</v>
      </c>
      <c r="BC128" s="101">
        <f>+'N EERR RODEO'!I21</f>
        <v>0</v>
      </c>
      <c r="BD128" s="20" t="str">
        <f>IF(AND(BC4=0,BC128&gt;=0), "",BC128/BC4)</f>
        <v/>
      </c>
      <c r="BE128" s="36"/>
      <c r="BF128" s="20" t="str">
        <f t="shared" si="103"/>
        <v/>
      </c>
      <c r="BG128" s="102">
        <f t="shared" si="131"/>
        <v>8.14</v>
      </c>
      <c r="BH128" s="20">
        <f>IF(AND(BG4=0,BG128&gt;=0), "",BG128/BG4)</f>
        <v>4.9779158493721808E-5</v>
      </c>
      <c r="BI128" s="36"/>
      <c r="BJ128" s="101">
        <f>+'N EERR RODEO'!J21</f>
        <v>0</v>
      </c>
      <c r="BK128" s="20" t="str">
        <f>IF(AND(BJ4=0,BJ128&gt;=0), "",BJ128/BJ4)</f>
        <v/>
      </c>
      <c r="BL128" s="36"/>
      <c r="BM128" s="20" t="str">
        <f t="shared" si="43"/>
        <v/>
      </c>
      <c r="BN128" s="102">
        <f t="shared" si="132"/>
        <v>8.14</v>
      </c>
      <c r="BO128" s="20">
        <f>IF(AND(BN4=0,BN128&gt;=0), "",BN128/BN4)</f>
        <v>4.9779158493721808E-5</v>
      </c>
      <c r="BP128" s="36"/>
      <c r="BQ128" s="101">
        <f>+'N EERR RODEO'!K21</f>
        <v>0</v>
      </c>
      <c r="BR128" s="20" t="str">
        <f>IF(AND(BQ4=0,BQ128&gt;=0), "",BQ128/BQ4)</f>
        <v/>
      </c>
      <c r="BS128" s="36"/>
      <c r="BT128" s="20" t="str">
        <f t="shared" si="44"/>
        <v/>
      </c>
      <c r="BU128" s="102">
        <f t="shared" si="124"/>
        <v>8.14</v>
      </c>
      <c r="BV128" s="20">
        <f>IF(AND(BU4=0,BU128&gt;=0), "",BU128/BU4)</f>
        <v>4.9779158493721808E-5</v>
      </c>
      <c r="BW128" s="36"/>
      <c r="BX128" s="103">
        <f t="shared" si="125"/>
        <v>0</v>
      </c>
      <c r="BY128" s="20" t="str">
        <f>IF(AND(BX4=0,BX128&gt;=0), "",BX128/BX4)</f>
        <v/>
      </c>
      <c r="BZ128" s="37">
        <f t="shared" si="45"/>
        <v>1</v>
      </c>
      <c r="CA128" s="101">
        <f>+'N EERR RODEO'!L21</f>
        <v>0</v>
      </c>
      <c r="CB128" s="20" t="str">
        <f>IF(AND(CA4=0,CA128&gt;=0), "",CA128/CA4)</f>
        <v/>
      </c>
      <c r="CC128" s="36"/>
      <c r="CD128" s="20" t="str">
        <f t="shared" si="104"/>
        <v/>
      </c>
      <c r="CE128" s="102">
        <f t="shared" si="126"/>
        <v>8.14</v>
      </c>
      <c r="CF128" s="20">
        <f>IF(AND(CE4=0,CE128&gt;=0), "",CE128/CE4)</f>
        <v>4.9779158493721808E-5</v>
      </c>
      <c r="CG128" s="36"/>
      <c r="CH128" s="101">
        <f>+'N EERR RODEO'!M21</f>
        <v>0</v>
      </c>
      <c r="CI128" s="20" t="str">
        <f>IF(AND(CH4=0,CH128&gt;=0), "",CH128/CH4)</f>
        <v/>
      </c>
      <c r="CJ128" s="36"/>
      <c r="CK128" s="20" t="str">
        <f t="shared" si="46"/>
        <v/>
      </c>
      <c r="CL128" s="102">
        <f t="shared" si="127"/>
        <v>8.14</v>
      </c>
      <c r="CM128" s="20">
        <f>IF(AND(CL4=0,CL128&gt;=0), "",CL128/CL4)</f>
        <v>4.9779158493721808E-5</v>
      </c>
      <c r="CN128" s="36"/>
      <c r="CO128" s="101">
        <f>+'N EERR RODEO'!N21</f>
        <v>0</v>
      </c>
      <c r="CP128" s="20" t="str">
        <f>IF(AND(CO4=0,CO128&gt;=0), "",CO128/CO4)</f>
        <v/>
      </c>
      <c r="CQ128" s="36"/>
      <c r="CR128" s="20" t="str">
        <f t="shared" si="47"/>
        <v/>
      </c>
      <c r="CS128" s="102">
        <f t="shared" si="128"/>
        <v>8.14</v>
      </c>
      <c r="CT128" s="20">
        <f>IF(AND(CS4=0,CS128&gt;=0), "",CS128/CS4)</f>
        <v>4.9779158493721808E-5</v>
      </c>
      <c r="CU128" s="36"/>
      <c r="CV128" s="103">
        <f t="shared" si="129"/>
        <v>0</v>
      </c>
      <c r="CW128" s="20" t="str">
        <f>IF(AND(CV4=0,CV128&gt;=0), "",CV128/CV4)</f>
        <v/>
      </c>
      <c r="CX128" s="37">
        <f t="shared" si="48"/>
        <v>1</v>
      </c>
    </row>
    <row r="129" spans="1:219" s="5" customFormat="1" hidden="1" outlineLevel="1" x14ac:dyDescent="0.25">
      <c r="A129" s="19" t="s">
        <v>107</v>
      </c>
      <c r="B129" s="101">
        <f>+'N EERR RODEO'!B22</f>
        <v>0</v>
      </c>
      <c r="C129" s="20" t="str">
        <f>IF(AND(B4=0,B129&gt;=0), "",B129/B4)</f>
        <v/>
      </c>
      <c r="D129" s="36"/>
      <c r="E129" s="101">
        <f>+'N EERR RODEO'!C22</f>
        <v>0</v>
      </c>
      <c r="F129" s="20">
        <f>IF(AND(E4=0,E129&gt;=0), "",E129/E4)</f>
        <v>0</v>
      </c>
      <c r="G129" s="36"/>
      <c r="H129" s="101">
        <f>+'N EERR RODEO'!D22</f>
        <v>27.08</v>
      </c>
      <c r="I129" s="20">
        <f>IF(AND(H4=0,H129&gt;=0), "",H129/H4)</f>
        <v>5.2599846473712505E-4</v>
      </c>
      <c r="J129" s="36"/>
      <c r="K129" s="20">
        <f t="shared" si="97"/>
        <v>1</v>
      </c>
      <c r="L129" s="102">
        <f t="shared" si="119"/>
        <v>27.08</v>
      </c>
      <c r="M129" s="20">
        <f>IF(AND(L4=0,L129&gt;=0), "",L129/L4)</f>
        <v>2.7239057025690107E-4</v>
      </c>
      <c r="N129" s="36"/>
      <c r="O129" s="101">
        <f>+'N EERR RODEO'!E22</f>
        <v>0</v>
      </c>
      <c r="P129" s="20">
        <f>IF(AND(O4=0,O129&gt;=0), "",O129/O4)</f>
        <v>0</v>
      </c>
      <c r="Q129" s="36"/>
      <c r="R129" s="20">
        <f t="shared" si="98"/>
        <v>-1</v>
      </c>
      <c r="S129" s="102">
        <f t="shared" si="120"/>
        <v>27.08</v>
      </c>
      <c r="T129" s="20">
        <f>IF(AND(S4=0,S129&gt;=0), "",S129/S4)</f>
        <v>1.6560437493980175E-4</v>
      </c>
      <c r="U129" s="36"/>
      <c r="V129" s="103"/>
      <c r="W129" s="20" t="str">
        <f>IF(AND(V4=0,V129&gt;=0), "",V129/V4)</f>
        <v/>
      </c>
      <c r="X129" s="37">
        <f t="shared" si="99"/>
        <v>1</v>
      </c>
      <c r="Y129" s="101">
        <f>+'N EERR RODEO'!F22</f>
        <v>0</v>
      </c>
      <c r="Z129" s="20" t="str">
        <f>IF(AND(Y4=0,Y129&gt;=0), "",Y129/Y4)</f>
        <v/>
      </c>
      <c r="AA129" s="36"/>
      <c r="AB129" s="20" t="str">
        <f t="shared" si="100"/>
        <v/>
      </c>
      <c r="AC129" s="102">
        <f t="shared" si="121"/>
        <v>27.08</v>
      </c>
      <c r="AD129" s="20">
        <f>IF(AND(AC4=0,AC129&gt;=0), "",AC129/AC4)</f>
        <v>1.6560437493980175E-4</v>
      </c>
      <c r="AE129" s="36"/>
      <c r="AF129" s="101">
        <f>+'N EERR RODEO'!G22</f>
        <v>0</v>
      </c>
      <c r="AG129" s="20" t="str">
        <f>IF(AND(AF4=0,AF129&gt;=0), "",AF129/AF4)</f>
        <v/>
      </c>
      <c r="AH129" s="36"/>
      <c r="AI129" s="20" t="str">
        <f t="shared" si="41"/>
        <v/>
      </c>
      <c r="AJ129" s="102">
        <f t="shared" si="62"/>
        <v>27.08</v>
      </c>
      <c r="AK129" s="20">
        <f>IF(AND(AJ4=0,AJ129&gt;=0), "",AJ129/AJ4)</f>
        <v>1.6560437493980175E-4</v>
      </c>
      <c r="AL129" s="36"/>
      <c r="AM129" s="101">
        <f>+'N EERR RODEO'!H22</f>
        <v>0</v>
      </c>
      <c r="AN129" s="20" t="str">
        <f>IF(AND(AM4=0,AM129&gt;=0), "",AM129/AM4)</f>
        <v/>
      </c>
      <c r="AO129" s="36"/>
      <c r="AP129" s="20" t="str">
        <f t="shared" si="42"/>
        <v/>
      </c>
      <c r="AQ129" s="102">
        <f t="shared" si="63"/>
        <v>27.08</v>
      </c>
      <c r="AR129" s="20">
        <f>IF(AND(AQ4=0,AQ129&gt;=0), "",AQ129/AQ4)</f>
        <v>1.6560437493980175E-4</v>
      </c>
      <c r="AS129" s="36"/>
      <c r="AT129" s="103">
        <f t="shared" si="122"/>
        <v>0</v>
      </c>
      <c r="AU129" s="20" t="str">
        <f>IF(AND(AT4=0,AT129&gt;=0), "",AT129/AT4)</f>
        <v/>
      </c>
      <c r="AV129" s="37">
        <f t="shared" si="101"/>
        <v>1</v>
      </c>
      <c r="AW129" s="103">
        <f t="shared" si="130"/>
        <v>4.5133333333333328</v>
      </c>
      <c r="AX129" s="20">
        <f>IF(AND(AW4=0,AW129&gt;=0), "",AW129/AW4)</f>
        <v>1.6560437493980175E-4</v>
      </c>
      <c r="AY129" s="36"/>
      <c r="AZ129" s="103">
        <f t="shared" si="123"/>
        <v>0</v>
      </c>
      <c r="BA129" s="20" t="str">
        <f>IF(AND(AZ4=0,AZ129&gt;=0), "",AZ129/AZ4)</f>
        <v/>
      </c>
      <c r="BB129" s="37">
        <f t="shared" si="102"/>
        <v>1</v>
      </c>
      <c r="BC129" s="101">
        <f>+'N EERR RODEO'!I22</f>
        <v>0</v>
      </c>
      <c r="BD129" s="20" t="str">
        <f>IF(AND(BC4=0,BC129&gt;=0), "",BC129/BC4)</f>
        <v/>
      </c>
      <c r="BE129" s="36"/>
      <c r="BF129" s="20" t="str">
        <f t="shared" si="103"/>
        <v/>
      </c>
      <c r="BG129" s="102">
        <f t="shared" si="131"/>
        <v>27.08</v>
      </c>
      <c r="BH129" s="20">
        <f>IF(AND(BG4=0,BG129&gt;=0), "",BG129/BG4)</f>
        <v>1.6560437493980175E-4</v>
      </c>
      <c r="BI129" s="36"/>
      <c r="BJ129" s="101">
        <f>+'N EERR RODEO'!J22</f>
        <v>0</v>
      </c>
      <c r="BK129" s="20" t="str">
        <f>IF(AND(BJ4=0,BJ129&gt;=0), "",BJ129/BJ4)</f>
        <v/>
      </c>
      <c r="BL129" s="36"/>
      <c r="BM129" s="20" t="str">
        <f t="shared" si="43"/>
        <v/>
      </c>
      <c r="BN129" s="102">
        <f t="shared" si="132"/>
        <v>27.08</v>
      </c>
      <c r="BO129" s="20">
        <f>IF(AND(BN4=0,BN129&gt;=0), "",BN129/BN4)</f>
        <v>1.6560437493980175E-4</v>
      </c>
      <c r="BP129" s="36"/>
      <c r="BQ129" s="101">
        <f>+'N EERR RODEO'!K22</f>
        <v>0</v>
      </c>
      <c r="BR129" s="20" t="str">
        <f>IF(AND(BQ4=0,BQ129&gt;=0), "",BQ129/BQ4)</f>
        <v/>
      </c>
      <c r="BS129" s="36"/>
      <c r="BT129" s="20" t="str">
        <f t="shared" si="44"/>
        <v/>
      </c>
      <c r="BU129" s="102">
        <f t="shared" si="124"/>
        <v>27.08</v>
      </c>
      <c r="BV129" s="20">
        <f>IF(AND(BU4=0,BU129&gt;=0), "",BU129/BU4)</f>
        <v>1.6560437493980175E-4</v>
      </c>
      <c r="BW129" s="36"/>
      <c r="BX129" s="103">
        <f t="shared" si="125"/>
        <v>0</v>
      </c>
      <c r="BY129" s="20" t="str">
        <f>IF(AND(BX4=0,BX129&gt;=0), "",BX129/BX4)</f>
        <v/>
      </c>
      <c r="BZ129" s="37">
        <f t="shared" si="45"/>
        <v>1</v>
      </c>
      <c r="CA129" s="101">
        <f>+'N EERR RODEO'!L22</f>
        <v>0</v>
      </c>
      <c r="CB129" s="20" t="str">
        <f>IF(AND(CA4=0,CA129&gt;=0), "",CA129/CA4)</f>
        <v/>
      </c>
      <c r="CC129" s="36"/>
      <c r="CD129" s="20" t="str">
        <f t="shared" si="104"/>
        <v/>
      </c>
      <c r="CE129" s="102">
        <f t="shared" si="126"/>
        <v>27.08</v>
      </c>
      <c r="CF129" s="20">
        <f>IF(AND(CE4=0,CE129&gt;=0), "",CE129/CE4)</f>
        <v>1.6560437493980175E-4</v>
      </c>
      <c r="CG129" s="36"/>
      <c r="CH129" s="101">
        <f>+'N EERR RODEO'!M22</f>
        <v>0</v>
      </c>
      <c r="CI129" s="20" t="str">
        <f>IF(AND(CH4=0,CH129&gt;=0), "",CH129/CH4)</f>
        <v/>
      </c>
      <c r="CJ129" s="36"/>
      <c r="CK129" s="20" t="str">
        <f t="shared" si="46"/>
        <v/>
      </c>
      <c r="CL129" s="102">
        <f t="shared" si="127"/>
        <v>27.08</v>
      </c>
      <c r="CM129" s="20">
        <f>IF(AND(CL4=0,CL129&gt;=0), "",CL129/CL4)</f>
        <v>1.6560437493980175E-4</v>
      </c>
      <c r="CN129" s="36"/>
      <c r="CO129" s="101">
        <f>+'N EERR RODEO'!N22</f>
        <v>0</v>
      </c>
      <c r="CP129" s="20" t="str">
        <f>IF(AND(CO4=0,CO129&gt;=0), "",CO129/CO4)</f>
        <v/>
      </c>
      <c r="CQ129" s="36"/>
      <c r="CR129" s="20" t="str">
        <f t="shared" si="47"/>
        <v/>
      </c>
      <c r="CS129" s="102">
        <f t="shared" si="128"/>
        <v>27.08</v>
      </c>
      <c r="CT129" s="20">
        <f>IF(AND(CS4=0,CS129&gt;=0), "",CS129/CS4)</f>
        <v>1.6560437493980175E-4</v>
      </c>
      <c r="CU129" s="36"/>
      <c r="CV129" s="103">
        <f t="shared" si="129"/>
        <v>0</v>
      </c>
      <c r="CW129" s="20" t="str">
        <f>IF(AND(CV4=0,CV129&gt;=0), "",CV129/CV4)</f>
        <v/>
      </c>
      <c r="CX129" s="37">
        <f t="shared" si="48"/>
        <v>1</v>
      </c>
    </row>
    <row r="130" spans="1:219" s="5" customFormat="1" hidden="1" outlineLevel="1" x14ac:dyDescent="0.25">
      <c r="A130" s="19" t="s">
        <v>108</v>
      </c>
      <c r="B130" s="101">
        <f>+'N EERR RODEO'!B23</f>
        <v>0</v>
      </c>
      <c r="C130" s="20" t="str">
        <f>IF(AND(B4=0,B130&gt;=0), "",B130/B4)</f>
        <v/>
      </c>
      <c r="D130" s="36"/>
      <c r="E130" s="101">
        <f>+'N EERR RODEO'!C23</f>
        <v>4.78</v>
      </c>
      <c r="F130" s="20">
        <f>IF(AND(E4=0,E130&gt;=0), "",E130/E4)</f>
        <v>9.9722466950242882E-5</v>
      </c>
      <c r="G130" s="36"/>
      <c r="H130" s="101">
        <f>+'N EERR RODEO'!D23</f>
        <v>12.89</v>
      </c>
      <c r="I130" s="20">
        <f>IF(AND(H4=0,H130&gt;=0), "",H130/H4)</f>
        <v>2.5037371530507914E-4</v>
      </c>
      <c r="J130" s="36"/>
      <c r="K130" s="20">
        <f t="shared" si="97"/>
        <v>1.6966527196652719</v>
      </c>
      <c r="L130" s="102">
        <f t="shared" si="119"/>
        <v>17.670000000000002</v>
      </c>
      <c r="M130" s="20">
        <f>IF(AND(L4=0,L130&gt;=0), "",L130/L4)</f>
        <v>1.7773786471342109E-4</v>
      </c>
      <c r="N130" s="36"/>
      <c r="O130" s="101">
        <f>+'N EERR RODEO'!E23</f>
        <v>3.54</v>
      </c>
      <c r="P130" s="20">
        <f>IF(AND(O4=0,O130&gt;=0), "",O130/O4)</f>
        <v>5.5220885100313262E-5</v>
      </c>
      <c r="Q130" s="36"/>
      <c r="R130" s="20">
        <f t="shared" si="98"/>
        <v>-0.72536850271528319</v>
      </c>
      <c r="S130" s="102">
        <f t="shared" si="120"/>
        <v>21.21</v>
      </c>
      <c r="T130" s="20">
        <f>IF(AND(S4=0,S130&gt;=0), "",S130/S4)</f>
        <v>1.2970711936754784E-4</v>
      </c>
      <c r="U130" s="36"/>
      <c r="V130" s="103"/>
      <c r="W130" s="20" t="str">
        <f>IF(AND(V4=0,V130&gt;=0), "",V130/V4)</f>
        <v/>
      </c>
      <c r="X130" s="37">
        <f t="shared" si="99"/>
        <v>1</v>
      </c>
      <c r="Y130" s="101">
        <f>+'N EERR RODEO'!F23</f>
        <v>0</v>
      </c>
      <c r="Z130" s="20" t="str">
        <f>IF(AND(Y4=0,Y130&gt;=0), "",Y130/Y4)</f>
        <v/>
      </c>
      <c r="AA130" s="36"/>
      <c r="AB130" s="20">
        <f t="shared" si="100"/>
        <v>-1</v>
      </c>
      <c r="AC130" s="102">
        <f t="shared" si="121"/>
        <v>21.21</v>
      </c>
      <c r="AD130" s="20">
        <f>IF(AND(AC4=0,AC130&gt;=0), "",AC130/AC4)</f>
        <v>1.2970711936754784E-4</v>
      </c>
      <c r="AE130" s="36"/>
      <c r="AF130" s="101">
        <f>+'N EERR RODEO'!G23</f>
        <v>0</v>
      </c>
      <c r="AG130" s="20" t="str">
        <f>IF(AND(AF4=0,AF130&gt;=0), "",AF130/AF4)</f>
        <v/>
      </c>
      <c r="AH130" s="36"/>
      <c r="AI130" s="20" t="str">
        <f t="shared" si="41"/>
        <v/>
      </c>
      <c r="AJ130" s="102">
        <f t="shared" si="62"/>
        <v>21.21</v>
      </c>
      <c r="AK130" s="20">
        <f>IF(AND(AJ4=0,AJ130&gt;=0), "",AJ130/AJ4)</f>
        <v>1.2970711936754784E-4</v>
      </c>
      <c r="AL130" s="36"/>
      <c r="AM130" s="101">
        <f>+'N EERR RODEO'!H23</f>
        <v>0</v>
      </c>
      <c r="AN130" s="20" t="str">
        <f>IF(AND(AM4=0,AM130&gt;=0), "",AM130/AM4)</f>
        <v/>
      </c>
      <c r="AO130" s="36"/>
      <c r="AP130" s="20" t="str">
        <f t="shared" si="42"/>
        <v/>
      </c>
      <c r="AQ130" s="102">
        <f t="shared" si="63"/>
        <v>21.21</v>
      </c>
      <c r="AR130" s="20">
        <f>IF(AND(AQ4=0,AQ130&gt;=0), "",AQ130/AQ4)</f>
        <v>1.2970711936754784E-4</v>
      </c>
      <c r="AS130" s="36"/>
      <c r="AT130" s="103">
        <f t="shared" si="122"/>
        <v>0</v>
      </c>
      <c r="AU130" s="20" t="str">
        <f>IF(AND(AT4=0,AT130&gt;=0), "",AT130/AT4)</f>
        <v/>
      </c>
      <c r="AV130" s="37">
        <f t="shared" si="101"/>
        <v>1</v>
      </c>
      <c r="AW130" s="103">
        <f t="shared" si="130"/>
        <v>3.5350000000000001</v>
      </c>
      <c r="AX130" s="20">
        <f>IF(AND(AW4=0,AW130&gt;=0), "",AW130/AW4)</f>
        <v>1.2970711936754784E-4</v>
      </c>
      <c r="AY130" s="36"/>
      <c r="AZ130" s="103">
        <f t="shared" si="123"/>
        <v>0</v>
      </c>
      <c r="BA130" s="20" t="str">
        <f>IF(AND(AZ4=0,AZ130&gt;=0), "",AZ130/AZ4)</f>
        <v/>
      </c>
      <c r="BB130" s="37">
        <f t="shared" si="102"/>
        <v>1</v>
      </c>
      <c r="BC130" s="101">
        <f>+'N EERR RODEO'!I23</f>
        <v>0</v>
      </c>
      <c r="BD130" s="20" t="str">
        <f>IF(AND(BC4=0,BC130&gt;=0), "",BC130/BC4)</f>
        <v/>
      </c>
      <c r="BE130" s="36"/>
      <c r="BF130" s="20" t="str">
        <f t="shared" si="103"/>
        <v/>
      </c>
      <c r="BG130" s="102">
        <f t="shared" si="131"/>
        <v>21.21</v>
      </c>
      <c r="BH130" s="20">
        <f>IF(AND(BG4=0,BG130&gt;=0), "",BG130/BG4)</f>
        <v>1.2970711936754784E-4</v>
      </c>
      <c r="BI130" s="36"/>
      <c r="BJ130" s="101">
        <f>+'N EERR RODEO'!J23</f>
        <v>0</v>
      </c>
      <c r="BK130" s="20" t="str">
        <f>IF(AND(BJ4=0,BJ130&gt;=0), "",BJ130/BJ4)</f>
        <v/>
      </c>
      <c r="BL130" s="36"/>
      <c r="BM130" s="20" t="str">
        <f t="shared" si="43"/>
        <v/>
      </c>
      <c r="BN130" s="102">
        <f t="shared" si="132"/>
        <v>21.21</v>
      </c>
      <c r="BO130" s="20">
        <f>IF(AND(BN4=0,BN130&gt;=0), "",BN130/BN4)</f>
        <v>1.2970711936754784E-4</v>
      </c>
      <c r="BP130" s="36"/>
      <c r="BQ130" s="101">
        <f>+'N EERR RODEO'!K23</f>
        <v>0</v>
      </c>
      <c r="BR130" s="20" t="str">
        <f>IF(AND(BQ4=0,BQ130&gt;=0), "",BQ130/BQ4)</f>
        <v/>
      </c>
      <c r="BS130" s="36"/>
      <c r="BT130" s="20" t="str">
        <f t="shared" si="44"/>
        <v/>
      </c>
      <c r="BU130" s="102">
        <f t="shared" si="124"/>
        <v>21.21</v>
      </c>
      <c r="BV130" s="20">
        <f>IF(AND(BU4=0,BU130&gt;=0), "",BU130/BU4)</f>
        <v>1.2970711936754784E-4</v>
      </c>
      <c r="BW130" s="36"/>
      <c r="BX130" s="103">
        <f t="shared" si="125"/>
        <v>0</v>
      </c>
      <c r="BY130" s="20" t="str">
        <f>IF(AND(BX4=0,BX130&gt;=0), "",BX130/BX4)</f>
        <v/>
      </c>
      <c r="BZ130" s="37">
        <f t="shared" si="45"/>
        <v>1</v>
      </c>
      <c r="CA130" s="101">
        <f>+'N EERR RODEO'!L23</f>
        <v>0</v>
      </c>
      <c r="CB130" s="20" t="str">
        <f>IF(AND(CA4=0,CA130&gt;=0), "",CA130/CA4)</f>
        <v/>
      </c>
      <c r="CC130" s="36"/>
      <c r="CD130" s="20" t="str">
        <f t="shared" si="104"/>
        <v/>
      </c>
      <c r="CE130" s="102">
        <f t="shared" si="126"/>
        <v>21.21</v>
      </c>
      <c r="CF130" s="20">
        <f>IF(AND(CE4=0,CE130&gt;=0), "",CE130/CE4)</f>
        <v>1.2970711936754784E-4</v>
      </c>
      <c r="CG130" s="36"/>
      <c r="CH130" s="101">
        <f>+'N EERR RODEO'!M23</f>
        <v>0</v>
      </c>
      <c r="CI130" s="20" t="str">
        <f>IF(AND(CH4=0,CH130&gt;=0), "",CH130/CH4)</f>
        <v/>
      </c>
      <c r="CJ130" s="36"/>
      <c r="CK130" s="20" t="str">
        <f t="shared" si="46"/>
        <v/>
      </c>
      <c r="CL130" s="102">
        <f t="shared" si="127"/>
        <v>21.21</v>
      </c>
      <c r="CM130" s="20">
        <f>IF(AND(CL4=0,CL130&gt;=0), "",CL130/CL4)</f>
        <v>1.2970711936754784E-4</v>
      </c>
      <c r="CN130" s="36"/>
      <c r="CO130" s="101">
        <f>+'N EERR RODEO'!N23</f>
        <v>0</v>
      </c>
      <c r="CP130" s="20" t="str">
        <f>IF(AND(CO4=0,CO130&gt;=0), "",CO130/CO4)</f>
        <v/>
      </c>
      <c r="CQ130" s="36"/>
      <c r="CR130" s="20" t="str">
        <f t="shared" si="47"/>
        <v/>
      </c>
      <c r="CS130" s="102">
        <f t="shared" si="128"/>
        <v>21.21</v>
      </c>
      <c r="CT130" s="20">
        <f>IF(AND(CS4=0,CS130&gt;=0), "",CS130/CS4)</f>
        <v>1.2970711936754784E-4</v>
      </c>
      <c r="CU130" s="36"/>
      <c r="CV130" s="103">
        <f t="shared" si="129"/>
        <v>0</v>
      </c>
      <c r="CW130" s="20" t="str">
        <f>IF(AND(CV4=0,CV130&gt;=0), "",CV130/CV4)</f>
        <v/>
      </c>
      <c r="CX130" s="37">
        <f t="shared" si="48"/>
        <v>1</v>
      </c>
    </row>
    <row r="131" spans="1:219" s="5" customFormat="1" hidden="1" outlineLevel="1" x14ac:dyDescent="0.25">
      <c r="A131" s="19" t="s">
        <v>109</v>
      </c>
      <c r="B131" s="101">
        <f>+'N EERR RODEO'!B24</f>
        <v>0</v>
      </c>
      <c r="C131" s="20" t="str">
        <f>IF(AND(B4=0,B131&gt;=0), "",B131/B4)</f>
        <v/>
      </c>
      <c r="D131" s="36"/>
      <c r="E131" s="101">
        <f>+'N EERR RODEO'!C24</f>
        <v>0</v>
      </c>
      <c r="F131" s="20">
        <f>IF(AND(E4=0,E131&gt;=0), "",E131/E4)</f>
        <v>0</v>
      </c>
      <c r="G131" s="36"/>
      <c r="H131" s="101">
        <f>+'N EERR RODEO'!D24</f>
        <v>0</v>
      </c>
      <c r="I131" s="20">
        <f>IF(AND(H4=0,H131&gt;=0), "",H131/H4)</f>
        <v>0</v>
      </c>
      <c r="J131" s="36"/>
      <c r="K131" s="20" t="str">
        <f t="shared" si="97"/>
        <v/>
      </c>
      <c r="L131" s="102">
        <f t="shared" si="119"/>
        <v>0</v>
      </c>
      <c r="M131" s="20">
        <f>IF(AND(L4=0,L131&gt;=0), "",L131/L4)</f>
        <v>0</v>
      </c>
      <c r="N131" s="36"/>
      <c r="O131" s="101">
        <f>+'N EERR RODEO'!E24</f>
        <v>0</v>
      </c>
      <c r="P131" s="20">
        <f>IF(AND(O4=0,O131&gt;=0), "",O131/O4)</f>
        <v>0</v>
      </c>
      <c r="Q131" s="36"/>
      <c r="R131" s="20" t="str">
        <f t="shared" si="98"/>
        <v/>
      </c>
      <c r="S131" s="102">
        <f t="shared" si="120"/>
        <v>0</v>
      </c>
      <c r="T131" s="20">
        <f>IF(AND(S4=0,S131&gt;=0), "",S131/S4)</f>
        <v>0</v>
      </c>
      <c r="U131" s="36"/>
      <c r="V131" s="103"/>
      <c r="W131" s="20" t="str">
        <f>IF(AND(V4=0,V131&gt;=0), "",V131/V4)</f>
        <v/>
      </c>
      <c r="X131" s="37" t="str">
        <f t="shared" si="99"/>
        <v/>
      </c>
      <c r="Y131" s="101">
        <f>+'N EERR RODEO'!F24</f>
        <v>0</v>
      </c>
      <c r="Z131" s="20" t="str">
        <f>IF(AND(Y4=0,Y131&gt;=0), "",Y131/Y4)</f>
        <v/>
      </c>
      <c r="AA131" s="36"/>
      <c r="AB131" s="20" t="str">
        <f t="shared" si="100"/>
        <v/>
      </c>
      <c r="AC131" s="102">
        <f t="shared" si="121"/>
        <v>0</v>
      </c>
      <c r="AD131" s="20">
        <f>IF(AND(AC4=0,AC131&gt;=0), "",AC131/AC4)</f>
        <v>0</v>
      </c>
      <c r="AE131" s="36"/>
      <c r="AF131" s="101">
        <f>+'N EERR RODEO'!G24</f>
        <v>0</v>
      </c>
      <c r="AG131" s="20" t="str">
        <f>IF(AND(AF4=0,AF131&gt;=0), "",AF131/AF4)</f>
        <v/>
      </c>
      <c r="AH131" s="36"/>
      <c r="AI131" s="20" t="str">
        <f t="shared" si="41"/>
        <v/>
      </c>
      <c r="AJ131" s="102">
        <f t="shared" si="62"/>
        <v>0</v>
      </c>
      <c r="AK131" s="20">
        <f>IF(AND(AJ4=0,AJ131&gt;=0), "",AJ131/AJ4)</f>
        <v>0</v>
      </c>
      <c r="AL131" s="36"/>
      <c r="AM131" s="101">
        <f>+'N EERR RODEO'!H24</f>
        <v>0</v>
      </c>
      <c r="AN131" s="20" t="str">
        <f>IF(AND(AM4=0,AM131&gt;=0), "",AM131/AM4)</f>
        <v/>
      </c>
      <c r="AO131" s="36"/>
      <c r="AP131" s="20" t="str">
        <f t="shared" si="42"/>
        <v/>
      </c>
      <c r="AQ131" s="102">
        <f t="shared" si="63"/>
        <v>0</v>
      </c>
      <c r="AR131" s="20">
        <f>IF(AND(AQ4=0,AQ131&gt;=0), "",AQ131/AQ4)</f>
        <v>0</v>
      </c>
      <c r="AS131" s="36"/>
      <c r="AT131" s="103">
        <f t="shared" si="122"/>
        <v>0</v>
      </c>
      <c r="AU131" s="20" t="str">
        <f>IF(AND(AT4=0,AT131&gt;=0), "",AT131/AT4)</f>
        <v/>
      </c>
      <c r="AV131" s="37" t="str">
        <f t="shared" si="101"/>
        <v/>
      </c>
      <c r="AW131" s="103">
        <f t="shared" si="130"/>
        <v>0</v>
      </c>
      <c r="AX131" s="20">
        <f>IF(AND(AW4=0,AW131&gt;=0), "",AW131/AW4)</f>
        <v>0</v>
      </c>
      <c r="AY131" s="36"/>
      <c r="AZ131" s="103">
        <f t="shared" si="123"/>
        <v>0</v>
      </c>
      <c r="BA131" s="20" t="str">
        <f>IF(AND(AZ4=0,AZ131&gt;=0), "",AZ131/AZ4)</f>
        <v/>
      </c>
      <c r="BB131" s="37" t="str">
        <f t="shared" si="102"/>
        <v/>
      </c>
      <c r="BC131" s="101">
        <f>+'N EERR RODEO'!I24</f>
        <v>0</v>
      </c>
      <c r="BD131" s="20" t="str">
        <f>IF(AND(BC4=0,BC131&gt;=0), "",BC131/BC4)</f>
        <v/>
      </c>
      <c r="BE131" s="36"/>
      <c r="BF131" s="20" t="str">
        <f t="shared" si="103"/>
        <v/>
      </c>
      <c r="BG131" s="102">
        <f t="shared" si="131"/>
        <v>0</v>
      </c>
      <c r="BH131" s="20">
        <f>IF(AND(BG4=0,BG131&gt;=0), "",BG131/BG4)</f>
        <v>0</v>
      </c>
      <c r="BI131" s="36"/>
      <c r="BJ131" s="101">
        <f>+'N EERR RODEO'!J24</f>
        <v>0</v>
      </c>
      <c r="BK131" s="20" t="str">
        <f>IF(AND(BJ4=0,BJ131&gt;=0), "",BJ131/BJ4)</f>
        <v/>
      </c>
      <c r="BL131" s="36"/>
      <c r="BM131" s="20" t="str">
        <f t="shared" si="43"/>
        <v/>
      </c>
      <c r="BN131" s="102">
        <f t="shared" si="132"/>
        <v>0</v>
      </c>
      <c r="BO131" s="20">
        <f>IF(AND(BN4=0,BN131&gt;=0), "",BN131/BN4)</f>
        <v>0</v>
      </c>
      <c r="BP131" s="36"/>
      <c r="BQ131" s="101">
        <f>+'N EERR RODEO'!K24</f>
        <v>0</v>
      </c>
      <c r="BR131" s="20" t="str">
        <f>IF(AND(BQ4=0,BQ131&gt;=0), "",BQ131/BQ4)</f>
        <v/>
      </c>
      <c r="BS131" s="36"/>
      <c r="BT131" s="20" t="str">
        <f t="shared" si="44"/>
        <v/>
      </c>
      <c r="BU131" s="102">
        <f t="shared" si="124"/>
        <v>0</v>
      </c>
      <c r="BV131" s="20">
        <f>IF(AND(BU4=0,BU131&gt;=0), "",BU131/BU4)</f>
        <v>0</v>
      </c>
      <c r="BW131" s="36"/>
      <c r="BX131" s="103">
        <f t="shared" si="125"/>
        <v>0</v>
      </c>
      <c r="BY131" s="20" t="str">
        <f>IF(AND(BX4=0,BX131&gt;=0), "",BX131/BX4)</f>
        <v/>
      </c>
      <c r="BZ131" s="37" t="str">
        <f t="shared" si="45"/>
        <v/>
      </c>
      <c r="CA131" s="101">
        <f>+'N EERR RODEO'!L24</f>
        <v>0</v>
      </c>
      <c r="CB131" s="20" t="str">
        <f>IF(AND(CA4=0,CA131&gt;=0), "",CA131/CA4)</f>
        <v/>
      </c>
      <c r="CC131" s="36"/>
      <c r="CD131" s="20" t="str">
        <f t="shared" si="104"/>
        <v/>
      </c>
      <c r="CE131" s="102">
        <f t="shared" si="126"/>
        <v>0</v>
      </c>
      <c r="CF131" s="20">
        <f>IF(AND(CE4=0,CE131&gt;=0), "",CE131/CE4)</f>
        <v>0</v>
      </c>
      <c r="CG131" s="36"/>
      <c r="CH131" s="101">
        <f>+'N EERR RODEO'!M24</f>
        <v>0</v>
      </c>
      <c r="CI131" s="20" t="str">
        <f>IF(AND(CH4=0,CH131&gt;=0), "",CH131/CH4)</f>
        <v/>
      </c>
      <c r="CJ131" s="36"/>
      <c r="CK131" s="20" t="str">
        <f t="shared" si="46"/>
        <v/>
      </c>
      <c r="CL131" s="102">
        <f t="shared" si="127"/>
        <v>0</v>
      </c>
      <c r="CM131" s="20">
        <f>IF(AND(CL4=0,CL131&gt;=0), "",CL131/CL4)</f>
        <v>0</v>
      </c>
      <c r="CN131" s="36"/>
      <c r="CO131" s="101">
        <f>+'N EERR RODEO'!N24</f>
        <v>0</v>
      </c>
      <c r="CP131" s="20" t="str">
        <f>IF(AND(CO4=0,CO131&gt;=0), "",CO131/CO4)</f>
        <v/>
      </c>
      <c r="CQ131" s="36"/>
      <c r="CR131" s="20" t="str">
        <f t="shared" si="47"/>
        <v/>
      </c>
      <c r="CS131" s="102">
        <f t="shared" si="128"/>
        <v>0</v>
      </c>
      <c r="CT131" s="20">
        <f>IF(AND(CS4=0,CS131&gt;=0), "",CS131/CS4)</f>
        <v>0</v>
      </c>
      <c r="CU131" s="36"/>
      <c r="CV131" s="103">
        <f t="shared" si="129"/>
        <v>0</v>
      </c>
      <c r="CW131" s="20" t="str">
        <f>IF(AND(CV4=0,CV131&gt;=0), "",CV131/CV4)</f>
        <v/>
      </c>
      <c r="CX131" s="37" t="str">
        <f t="shared" si="48"/>
        <v/>
      </c>
    </row>
    <row r="132" spans="1:219" s="5" customFormat="1" hidden="1" outlineLevel="1" x14ac:dyDescent="0.25">
      <c r="A132" s="19" t="s">
        <v>110</v>
      </c>
      <c r="B132" s="101">
        <f>+'N EERR RODEO'!B25</f>
        <v>0</v>
      </c>
      <c r="C132" s="20" t="str">
        <f>IF(AND(B4=0,B132&gt;=0), "",B132/B4)</f>
        <v/>
      </c>
      <c r="D132" s="36"/>
      <c r="E132" s="101">
        <f>+'N EERR RODEO'!C25</f>
        <v>0</v>
      </c>
      <c r="F132" s="20">
        <f>IF(AND(E4=0,E132&gt;=0), "",E132/E4)</f>
        <v>0</v>
      </c>
      <c r="G132" s="36"/>
      <c r="H132" s="101">
        <f>+'N EERR RODEO'!D25</f>
        <v>0</v>
      </c>
      <c r="I132" s="20">
        <f>IF(AND(H4=0,H132&gt;=0), "",H132/H4)</f>
        <v>0</v>
      </c>
      <c r="J132" s="36"/>
      <c r="K132" s="20" t="str">
        <f t="shared" si="97"/>
        <v/>
      </c>
      <c r="L132" s="102">
        <f t="shared" si="119"/>
        <v>0</v>
      </c>
      <c r="M132" s="20">
        <f>IF(AND(L4=0,L132&gt;=0), "",L132/L4)</f>
        <v>0</v>
      </c>
      <c r="N132" s="36"/>
      <c r="O132" s="101">
        <f>+'N EERR RODEO'!E25</f>
        <v>0</v>
      </c>
      <c r="P132" s="20">
        <f>IF(AND(O4=0,O132&gt;=0), "",O132/O4)</f>
        <v>0</v>
      </c>
      <c r="Q132" s="36"/>
      <c r="R132" s="20" t="str">
        <f t="shared" si="98"/>
        <v/>
      </c>
      <c r="S132" s="102">
        <f>+L132+O132</f>
        <v>0</v>
      </c>
      <c r="T132" s="20">
        <f>IF(AND(S4=0,S132&gt;=0), "",S132/S4)</f>
        <v>0</v>
      </c>
      <c r="U132" s="36"/>
      <c r="V132" s="103"/>
      <c r="W132" s="20" t="str">
        <f>IF(AND(V4=0,V132&gt;=0), "",V132/V4)</f>
        <v/>
      </c>
      <c r="X132" s="37" t="str">
        <f t="shared" si="99"/>
        <v/>
      </c>
      <c r="Y132" s="101">
        <f>+'N EERR RODEO'!F25</f>
        <v>0</v>
      </c>
      <c r="Z132" s="20" t="str">
        <f>IF(AND(Y4=0,Y132&gt;=0), "",Y132/Y4)</f>
        <v/>
      </c>
      <c r="AA132" s="36"/>
      <c r="AB132" s="20" t="str">
        <f t="shared" si="100"/>
        <v/>
      </c>
      <c r="AC132" s="102">
        <f t="shared" si="121"/>
        <v>0</v>
      </c>
      <c r="AD132" s="20">
        <f>IF(AND(AC4=0,AC132&gt;=0), "",AC132/AC4)</f>
        <v>0</v>
      </c>
      <c r="AE132" s="36"/>
      <c r="AF132" s="101">
        <f>+'N EERR RODEO'!G25</f>
        <v>0</v>
      </c>
      <c r="AG132" s="20" t="str">
        <f>IF(AND(AF4=0,AF132&gt;=0), "",AF132/AF4)</f>
        <v/>
      </c>
      <c r="AH132" s="36"/>
      <c r="AI132" s="20" t="str">
        <f t="shared" ref="AI132:AI139" si="133">IF(AND(Y132=0,AF132&gt;0),100%,IF(AND(Y132&lt;0,AF132=0),(Y132-AF132)/Y132,IF(AND(Y132&gt;0,AF132&gt;0),(AF132-Y132)/Y132,IF(AND(Y132=0,AF132=0),"",(AF132-Y132)/Y132))))</f>
        <v/>
      </c>
      <c r="AJ132" s="102">
        <f t="shared" si="62"/>
        <v>0</v>
      </c>
      <c r="AK132" s="20">
        <f>IF(AND(AJ4=0,AJ132&gt;=0), "",AJ132/AJ4)</f>
        <v>0</v>
      </c>
      <c r="AL132" s="36"/>
      <c r="AM132" s="101">
        <f>+'N EERR RODEO'!H25</f>
        <v>0</v>
      </c>
      <c r="AN132" s="20" t="str">
        <f>IF(AND(AM4=0,AM132&gt;=0), "",AM132/AM4)</f>
        <v/>
      </c>
      <c r="AO132" s="36"/>
      <c r="AP132" s="20" t="str">
        <f t="shared" ref="AP132:AP139" si="134">IF(AND(AF132=0,AM132&gt;0),100%,IF(AND(AF132&lt;0,AM132=0),(AF132-AM132)/AF132,IF(AND(AF132&gt;0,AM132&gt;0),(AM132-AF132)/AF132,IF(AND(AF132=0,AM132=0),"",(AM132-AF132)/AF132))))</f>
        <v/>
      </c>
      <c r="AQ132" s="102">
        <f t="shared" si="63"/>
        <v>0</v>
      </c>
      <c r="AR132" s="20">
        <f>IF(AND(AQ4=0,AQ132&gt;=0), "",AQ132/AQ4)</f>
        <v>0</v>
      </c>
      <c r="AS132" s="36"/>
      <c r="AT132" s="103">
        <f t="shared" si="122"/>
        <v>0</v>
      </c>
      <c r="AU132" s="20" t="str">
        <f>IF(AND(AT4=0,AT132&gt;=0), "",AT132/AT4)</f>
        <v/>
      </c>
      <c r="AV132" s="37" t="str">
        <f t="shared" si="101"/>
        <v/>
      </c>
      <c r="AW132" s="103">
        <f t="shared" si="130"/>
        <v>0</v>
      </c>
      <c r="AX132" s="20">
        <f>IF(AND(AW4=0,AW132&gt;=0), "",AW132/AW4)</f>
        <v>0</v>
      </c>
      <c r="AY132" s="36"/>
      <c r="AZ132" s="103">
        <f t="shared" si="123"/>
        <v>0</v>
      </c>
      <c r="BA132" s="20" t="str">
        <f>IF(AND(AZ4=0,AZ132&gt;=0), "",AZ132/AZ4)</f>
        <v/>
      </c>
      <c r="BB132" s="37" t="str">
        <f t="shared" si="102"/>
        <v/>
      </c>
      <c r="BC132" s="101">
        <f>+'N EERR RODEO'!I25</f>
        <v>0</v>
      </c>
      <c r="BD132" s="20" t="str">
        <f>IF(AND(BC4=0,BC132&gt;=0), "",BC132/BC4)</f>
        <v/>
      </c>
      <c r="BE132" s="36"/>
      <c r="BF132" s="20" t="str">
        <f t="shared" si="103"/>
        <v/>
      </c>
      <c r="BG132" s="102">
        <f t="shared" si="131"/>
        <v>0</v>
      </c>
      <c r="BH132" s="20">
        <f>IF(AND(BG4=0,BG132&gt;=0), "",BG132/BG4)</f>
        <v>0</v>
      </c>
      <c r="BI132" s="36"/>
      <c r="BJ132" s="101">
        <f>+'N EERR RODEO'!J25</f>
        <v>0</v>
      </c>
      <c r="BK132" s="20" t="str">
        <f>IF(AND(BJ4=0,BJ132&gt;=0), "",BJ132/BJ4)</f>
        <v/>
      </c>
      <c r="BL132" s="36"/>
      <c r="BM132" s="20" t="str">
        <f t="shared" ref="BM132:BM139" si="135">IF(AND(BC132=0,BJ132&gt;0),100%,IF(AND(BC132&lt;0,BJ132=0),(BC132-BJ132)/BC132,IF(AND(BC132&gt;0,BJ132&gt;0),(BJ132-BC132)/BC132,IF(AND(BC132=0,BJ132=0),"",(BJ132-BC132)/BC132))))</f>
        <v/>
      </c>
      <c r="BN132" s="102">
        <f t="shared" si="132"/>
        <v>0</v>
      </c>
      <c r="BO132" s="20">
        <f>IF(AND(BN4=0,BN132&gt;=0), "",BN132/BN4)</f>
        <v>0</v>
      </c>
      <c r="BP132" s="36"/>
      <c r="BQ132" s="101">
        <f>+'N EERR RODEO'!K25</f>
        <v>0</v>
      </c>
      <c r="BR132" s="20" t="str">
        <f>IF(AND(BQ4=0,BQ132&gt;=0), "",BQ132/BQ4)</f>
        <v/>
      </c>
      <c r="BS132" s="36"/>
      <c r="BT132" s="20" t="str">
        <f t="shared" ref="BT132:BT139" si="136">IF(AND(BJ132=0,BQ132&gt;0),100%,IF(AND(BJ132&lt;0,BQ132=0),(BJ132-BQ132)/BJ132,IF(AND(BJ132&gt;0,BQ132&gt;0),(BQ132-BJ132)/BJ132,IF(AND(BJ132=0,BQ132=0),"",(BQ132-BJ132)/BJ132))))</f>
        <v/>
      </c>
      <c r="BU132" s="102">
        <f t="shared" si="124"/>
        <v>0</v>
      </c>
      <c r="BV132" s="20">
        <f>IF(AND(BU4=0,BU132&gt;=0), "",BU132/BU4)</f>
        <v>0</v>
      </c>
      <c r="BW132" s="36"/>
      <c r="BX132" s="103">
        <f t="shared" si="125"/>
        <v>0</v>
      </c>
      <c r="BY132" s="20" t="str">
        <f>IF(AND(BX4=0,BX132&gt;=0), "",BX132/BX4)</f>
        <v/>
      </c>
      <c r="BZ132" s="37" t="str">
        <f t="shared" ref="BZ132:BZ139" si="137">IF(AND(BX132=0,BU132&gt;0),100%,IF(AND(BX132&lt;0,BU132=0),(BX132-BU132)/BX132,IF(AND(BX132&gt;0,BU132&gt;0),(BU132-BX132)/BX132,IF(AND(BX132=0,BU132=0),"",(BU132-BX132)/BX132))))</f>
        <v/>
      </c>
      <c r="CA132" s="101">
        <f>+'N EERR RODEO'!L25</f>
        <v>0</v>
      </c>
      <c r="CB132" s="20" t="str">
        <f>IF(AND(CA4=0,CA132&gt;=0), "",CA132/CA4)</f>
        <v/>
      </c>
      <c r="CC132" s="36"/>
      <c r="CD132" s="20" t="str">
        <f t="shared" si="104"/>
        <v/>
      </c>
      <c r="CE132" s="102">
        <f t="shared" si="126"/>
        <v>0</v>
      </c>
      <c r="CF132" s="20">
        <f>IF(AND(CE4=0,CE132&gt;=0), "",CE132/CE4)</f>
        <v>0</v>
      </c>
      <c r="CG132" s="36"/>
      <c r="CH132" s="101">
        <f>+'N EERR RODEO'!M25</f>
        <v>0</v>
      </c>
      <c r="CI132" s="20" t="str">
        <f>IF(AND(CH4=0,CH132&gt;=0), "",CH132/CH4)</f>
        <v/>
      </c>
      <c r="CJ132" s="36"/>
      <c r="CK132" s="20" t="str">
        <f t="shared" ref="CK132:CK139" si="138">IF(AND(CA132=0,CH132&gt;0),100%,IF(AND(CA132&lt;0,CH132=0),(CA132-CH132)/CA132,IF(AND(CA132&gt;0,CH132&gt;0),(CH132-CA132)/CA132,IF(AND(CA132=0,CH132=0),"",(CH132-CA132)/CA132))))</f>
        <v/>
      </c>
      <c r="CL132" s="102">
        <f t="shared" si="127"/>
        <v>0</v>
      </c>
      <c r="CM132" s="20">
        <f>IF(AND(CL4=0,CL132&gt;=0), "",CL132/CL4)</f>
        <v>0</v>
      </c>
      <c r="CN132" s="36"/>
      <c r="CO132" s="101">
        <f>+'N EERR RODEO'!N25</f>
        <v>0</v>
      </c>
      <c r="CP132" s="20" t="str">
        <f>IF(AND(CO4=0,CO132&gt;=0), "",CO132/CO4)</f>
        <v/>
      </c>
      <c r="CQ132" s="36"/>
      <c r="CR132" s="20" t="str">
        <f t="shared" ref="CR132:CR139" si="139">IF(AND(CH132=0,CO132&gt;0),100%,IF(AND(CH132&lt;0,CO132=0),(CH132-CO132)/CH132,IF(AND(CH132&gt;0,CO132&gt;0),(CO132-CH132)/CH132,IF(AND(CH132=0,CO132=0),"",(CO132-CH132)/CH132))))</f>
        <v/>
      </c>
      <c r="CS132" s="102">
        <f t="shared" si="128"/>
        <v>0</v>
      </c>
      <c r="CT132" s="20">
        <f>IF(AND(CS4=0,CS132&gt;=0), "",CS132/CS4)</f>
        <v>0</v>
      </c>
      <c r="CU132" s="36"/>
      <c r="CV132" s="103">
        <f t="shared" si="129"/>
        <v>0</v>
      </c>
      <c r="CW132" s="20" t="str">
        <f>IF(AND(CV4=0,CV132&gt;=0), "",CV132/CV4)</f>
        <v/>
      </c>
      <c r="CX132" s="37" t="str">
        <f t="shared" ref="CX132:CX139" si="140">IF(AND(CV132=0,CS132&gt;0),100%,IF(AND(CV132&lt;0,CS132=0),(CV132-CS132)/CV132,IF(AND(CV132&gt;0,CS132&gt;0),(CS132-CV132)/CV132,IF(AND(CV132=0,CS132=0),"",(CS132-CV132)/CV132))))</f>
        <v/>
      </c>
    </row>
    <row r="133" spans="1:219" s="5" customFormat="1" hidden="1" outlineLevel="1" x14ac:dyDescent="0.25">
      <c r="A133" s="19" t="s">
        <v>111</v>
      </c>
      <c r="B133" s="101">
        <f>+'N EERR RODEO'!B26</f>
        <v>0</v>
      </c>
      <c r="C133" s="20" t="str">
        <f>IF(AND(B4=0,B133&gt;=0), "",B133/B4)</f>
        <v/>
      </c>
      <c r="D133" s="36"/>
      <c r="E133" s="101">
        <f>+'N EERR RODEO'!C26</f>
        <v>179.05</v>
      </c>
      <c r="F133" s="20">
        <f>IF(AND(E4=0,E133&gt;=0), "",E133/E4)</f>
        <v>3.7354200224771939E-3</v>
      </c>
      <c r="G133" s="36"/>
      <c r="H133" s="101">
        <f>+'N EERR RODEO'!D26</f>
        <v>102.53</v>
      </c>
      <c r="I133" s="20">
        <f>IF(AND(H4=0,H133&gt;=0), "",H133/H4)</f>
        <v>1.9915296377214708E-3</v>
      </c>
      <c r="J133" s="36"/>
      <c r="K133" s="20">
        <f t="shared" si="97"/>
        <v>-0.42736665735827983</v>
      </c>
      <c r="L133" s="102">
        <f t="shared" si="119"/>
        <v>281.58000000000004</v>
      </c>
      <c r="M133" s="20">
        <f>IF(AND(L4=0,L133&gt;=0), "",L133/L4)</f>
        <v>2.8323388764009685E-3</v>
      </c>
      <c r="N133" s="36"/>
      <c r="O133" s="101">
        <f>+'N EERR RODEO'!E26</f>
        <v>3032.74</v>
      </c>
      <c r="P133" s="20">
        <f>IF(AND(O4=0,O133&gt;=0), "",O133/O4)</f>
        <v>4.7308075446080233E-2</v>
      </c>
      <c r="Q133" s="36"/>
      <c r="R133" s="20">
        <f t="shared" si="98"/>
        <v>28.579050034136348</v>
      </c>
      <c r="S133" s="102">
        <f t="shared" si="120"/>
        <v>3314.3199999999997</v>
      </c>
      <c r="T133" s="20">
        <f>IF(AND(S4=0,S133&gt;=0), "",S133/S4)</f>
        <v>2.0268312110431452E-2</v>
      </c>
      <c r="U133" s="36"/>
      <c r="V133" s="103"/>
      <c r="W133" s="20" t="str">
        <f>IF(AND(V4=0,V133&gt;=0), "",V133/V4)</f>
        <v/>
      </c>
      <c r="X133" s="37">
        <f t="shared" si="99"/>
        <v>1</v>
      </c>
      <c r="Y133" s="101">
        <f>+'N EERR RODEO'!F26</f>
        <v>0</v>
      </c>
      <c r="Z133" s="20" t="str">
        <f>IF(AND(Y4=0,Y133&gt;=0), "",Y133/Y4)</f>
        <v/>
      </c>
      <c r="AA133" s="36"/>
      <c r="AB133" s="20">
        <f t="shared" si="100"/>
        <v>-1</v>
      </c>
      <c r="AC133" s="102">
        <f t="shared" si="121"/>
        <v>3314.3199999999997</v>
      </c>
      <c r="AD133" s="20">
        <f>IF(AND(AC4=0,AC133&gt;=0), "",AC133/AC4)</f>
        <v>2.0268312110431452E-2</v>
      </c>
      <c r="AE133" s="36"/>
      <c r="AF133" s="101">
        <f>+'N EERR RODEO'!G26</f>
        <v>0</v>
      </c>
      <c r="AG133" s="20" t="str">
        <f>IF(AND(AF4=0,AF133&gt;=0), "",AF133/AF4)</f>
        <v/>
      </c>
      <c r="AH133" s="36"/>
      <c r="AI133" s="20" t="str">
        <f t="shared" si="133"/>
        <v/>
      </c>
      <c r="AJ133" s="102">
        <f t="shared" si="62"/>
        <v>3314.3199999999997</v>
      </c>
      <c r="AK133" s="20">
        <f>IF(AND(AJ4=0,AJ133&gt;=0), "",AJ133/AJ4)</f>
        <v>2.0268312110431452E-2</v>
      </c>
      <c r="AL133" s="36"/>
      <c r="AM133" s="101">
        <f>+'N EERR RODEO'!H26</f>
        <v>0</v>
      </c>
      <c r="AN133" s="20" t="str">
        <f>IF(AND(AM4=0,AM133&gt;=0), "",AM133/AM4)</f>
        <v/>
      </c>
      <c r="AO133" s="36"/>
      <c r="AP133" s="20" t="str">
        <f t="shared" si="134"/>
        <v/>
      </c>
      <c r="AQ133" s="102">
        <f t="shared" si="63"/>
        <v>3314.3199999999997</v>
      </c>
      <c r="AR133" s="20">
        <f>IF(AND(AQ4=0,AQ133&gt;=0), "",AQ133/AQ4)</f>
        <v>2.0268312110431452E-2</v>
      </c>
      <c r="AS133" s="36"/>
      <c r="AT133" s="103">
        <f t="shared" si="122"/>
        <v>0</v>
      </c>
      <c r="AU133" s="20" t="str">
        <f>IF(AND(AT4=0,AT133&gt;=0), "",AT133/AT4)</f>
        <v/>
      </c>
      <c r="AV133" s="37">
        <f t="shared" si="101"/>
        <v>1</v>
      </c>
      <c r="AW133" s="103">
        <f t="shared" si="130"/>
        <v>552.38666666666666</v>
      </c>
      <c r="AX133" s="20">
        <f>IF(AND(AW4=0,AW133&gt;=0), "",AW133/AW4)</f>
        <v>2.0268312110431456E-2</v>
      </c>
      <c r="AY133" s="36"/>
      <c r="AZ133" s="103">
        <f t="shared" si="123"/>
        <v>0</v>
      </c>
      <c r="BA133" s="20" t="str">
        <f>IF(AND(AZ4=0,AZ133&gt;=0), "",AZ133/AZ4)</f>
        <v/>
      </c>
      <c r="BB133" s="37">
        <f t="shared" si="102"/>
        <v>1</v>
      </c>
      <c r="BC133" s="101">
        <f>+'N EERR RODEO'!I26</f>
        <v>0</v>
      </c>
      <c r="BD133" s="20" t="str">
        <f>IF(AND(BC4=0,BC133&gt;=0), "",BC133/BC4)</f>
        <v/>
      </c>
      <c r="BE133" s="36"/>
      <c r="BF133" s="20" t="str">
        <f t="shared" si="103"/>
        <v/>
      </c>
      <c r="BG133" s="102">
        <f t="shared" si="131"/>
        <v>3314.3199999999997</v>
      </c>
      <c r="BH133" s="20">
        <f>IF(AND(BG4=0,BG133&gt;=0), "",BG133/BG4)</f>
        <v>2.0268312110431452E-2</v>
      </c>
      <c r="BI133" s="36"/>
      <c r="BJ133" s="101">
        <f>+'N EERR RODEO'!J26</f>
        <v>0</v>
      </c>
      <c r="BK133" s="20" t="str">
        <f>IF(AND(BJ4=0,BJ133&gt;=0), "",BJ133/BJ4)</f>
        <v/>
      </c>
      <c r="BL133" s="36"/>
      <c r="BM133" s="20" t="str">
        <f t="shared" si="135"/>
        <v/>
      </c>
      <c r="BN133" s="102">
        <f t="shared" si="132"/>
        <v>3314.3199999999997</v>
      </c>
      <c r="BO133" s="20">
        <f>IF(AND(BN4=0,BN133&gt;=0), "",BN133/BN4)</f>
        <v>2.0268312110431452E-2</v>
      </c>
      <c r="BP133" s="36"/>
      <c r="BQ133" s="101">
        <f>+'N EERR RODEO'!K26</f>
        <v>0</v>
      </c>
      <c r="BR133" s="20" t="str">
        <f>IF(AND(BQ4=0,BQ133&gt;=0), "",BQ133/BQ4)</f>
        <v/>
      </c>
      <c r="BS133" s="36"/>
      <c r="BT133" s="20" t="str">
        <f t="shared" si="136"/>
        <v/>
      </c>
      <c r="BU133" s="102">
        <f t="shared" si="124"/>
        <v>3314.3199999999997</v>
      </c>
      <c r="BV133" s="20">
        <f>IF(AND(BU4=0,BU133&gt;=0), "",BU133/BU4)</f>
        <v>2.0268312110431452E-2</v>
      </c>
      <c r="BW133" s="36"/>
      <c r="BX133" s="103">
        <f t="shared" si="125"/>
        <v>0</v>
      </c>
      <c r="BY133" s="20" t="str">
        <f>IF(AND(BX4=0,BX133&gt;=0), "",BX133/BX4)</f>
        <v/>
      </c>
      <c r="BZ133" s="37">
        <f t="shared" si="137"/>
        <v>1</v>
      </c>
      <c r="CA133" s="101">
        <f>+'N EERR RODEO'!L26</f>
        <v>0</v>
      </c>
      <c r="CB133" s="20" t="str">
        <f>IF(AND(CA4=0,CA133&gt;=0), "",CA133/CA4)</f>
        <v/>
      </c>
      <c r="CC133" s="36"/>
      <c r="CD133" s="20" t="str">
        <f t="shared" si="104"/>
        <v/>
      </c>
      <c r="CE133" s="102">
        <f t="shared" si="126"/>
        <v>3314.3199999999997</v>
      </c>
      <c r="CF133" s="20">
        <f>IF(AND(CE4=0,CE133&gt;=0), "",CE133/CE4)</f>
        <v>2.0268312110431452E-2</v>
      </c>
      <c r="CG133" s="36"/>
      <c r="CH133" s="101">
        <f>+'N EERR RODEO'!M26</f>
        <v>0</v>
      </c>
      <c r="CI133" s="20" t="str">
        <f>IF(AND(CH4=0,CH133&gt;=0), "",CH133/CH4)</f>
        <v/>
      </c>
      <c r="CJ133" s="36"/>
      <c r="CK133" s="20" t="str">
        <f t="shared" si="138"/>
        <v/>
      </c>
      <c r="CL133" s="102">
        <f t="shared" si="127"/>
        <v>3314.3199999999997</v>
      </c>
      <c r="CM133" s="20">
        <f>IF(AND(CL4=0,CL133&gt;=0), "",CL133/CL4)</f>
        <v>2.0268312110431452E-2</v>
      </c>
      <c r="CN133" s="36"/>
      <c r="CO133" s="101">
        <f>+'N EERR RODEO'!N26</f>
        <v>0</v>
      </c>
      <c r="CP133" s="20" t="str">
        <f>IF(AND(CO4=0,CO133&gt;=0), "",CO133/CO4)</f>
        <v/>
      </c>
      <c r="CQ133" s="36"/>
      <c r="CR133" s="20" t="str">
        <f t="shared" si="139"/>
        <v/>
      </c>
      <c r="CS133" s="102">
        <f t="shared" si="128"/>
        <v>3314.3199999999997</v>
      </c>
      <c r="CT133" s="20">
        <f>IF(AND(CS4=0,CS133&gt;=0), "",CS133/CS4)</f>
        <v>2.0268312110431452E-2</v>
      </c>
      <c r="CU133" s="36"/>
      <c r="CV133" s="103">
        <f t="shared" si="129"/>
        <v>0</v>
      </c>
      <c r="CW133" s="20" t="str">
        <f>IF(AND(CV4=0,CV133&gt;=0), "",CV133/CV4)</f>
        <v/>
      </c>
      <c r="CX133" s="37">
        <f t="shared" si="140"/>
        <v>1</v>
      </c>
    </row>
    <row r="134" spans="1:219" s="5" customFormat="1" hidden="1" outlineLevel="1" x14ac:dyDescent="0.25">
      <c r="A134" s="19" t="s">
        <v>112</v>
      </c>
      <c r="B134" s="101">
        <f>+'N EERR RODEO'!B27</f>
        <v>0</v>
      </c>
      <c r="C134" s="20" t="str">
        <f>IF(AND(B4=0,B134&gt;=0), "",B134/B4)</f>
        <v/>
      </c>
      <c r="D134" s="36"/>
      <c r="E134" s="101">
        <f>+'N EERR RODEO'!C27</f>
        <v>0.61</v>
      </c>
      <c r="F134" s="20">
        <f>IF(AND(E4=0,E134&gt;=0), "",E134/E4)</f>
        <v>1.272608887858748E-5</v>
      </c>
      <c r="G134" s="36"/>
      <c r="H134" s="101">
        <f>+'N EERR RODEO'!D27</f>
        <v>108.98</v>
      </c>
      <c r="I134" s="20">
        <f>IF(AND(H4=0,H134&gt;=0), "",H134/H4)</f>
        <v>2.1168136147360372E-3</v>
      </c>
      <c r="J134" s="36"/>
      <c r="K134" s="20">
        <f t="shared" si="97"/>
        <v>177.65573770491804</v>
      </c>
      <c r="L134" s="102">
        <f t="shared" si="119"/>
        <v>109.59</v>
      </c>
      <c r="M134" s="20">
        <f>IF(AND(L4=0,L134&gt;=0), "",L134/L4)</f>
        <v>1.1023368757183823E-3</v>
      </c>
      <c r="N134" s="36"/>
      <c r="O134" s="101">
        <f>+'N EERR RODEO'!E27</f>
        <v>77.72</v>
      </c>
      <c r="P134" s="20">
        <f>IF(AND(O4=0,O134&gt;=0), "",O134/O4)</f>
        <v>1.2123636129933182E-3</v>
      </c>
      <c r="Q134" s="36"/>
      <c r="R134" s="20">
        <f t="shared" si="98"/>
        <v>-0.28684162231602134</v>
      </c>
      <c r="S134" s="102">
        <f t="shared" si="120"/>
        <v>187.31</v>
      </c>
      <c r="T134" s="20">
        <f>IF(AND(S4=0,S134&gt;=0), "",S134/S4)</f>
        <v>1.1454710291718712E-3</v>
      </c>
      <c r="U134" s="36"/>
      <c r="V134" s="103"/>
      <c r="W134" s="20" t="str">
        <f>IF(AND(V4=0,V134&gt;=0), "",V134/V4)</f>
        <v/>
      </c>
      <c r="X134" s="37">
        <f t="shared" si="99"/>
        <v>1</v>
      </c>
      <c r="Y134" s="101">
        <f>+'N EERR RODEO'!F27</f>
        <v>0</v>
      </c>
      <c r="Z134" s="20" t="str">
        <f>IF(AND(Y4=0,Y134&gt;=0), "",Y134/Y4)</f>
        <v/>
      </c>
      <c r="AA134" s="36"/>
      <c r="AB134" s="20">
        <f t="shared" si="100"/>
        <v>-1</v>
      </c>
      <c r="AC134" s="102">
        <f t="shared" si="121"/>
        <v>187.31</v>
      </c>
      <c r="AD134" s="20">
        <f>IF(AND(AC4=0,AC134&gt;=0), "",AC134/AC4)</f>
        <v>1.1454710291718712E-3</v>
      </c>
      <c r="AE134" s="36"/>
      <c r="AF134" s="101">
        <f>+'N EERR RODEO'!G27</f>
        <v>0</v>
      </c>
      <c r="AG134" s="20" t="str">
        <f>IF(AND(AF4=0,AF134&gt;=0), "",AF134/AF4)</f>
        <v/>
      </c>
      <c r="AH134" s="36"/>
      <c r="AI134" s="20" t="str">
        <f t="shared" si="133"/>
        <v/>
      </c>
      <c r="AJ134" s="102">
        <f t="shared" si="62"/>
        <v>187.31</v>
      </c>
      <c r="AK134" s="20">
        <f>IF(AND(AJ4=0,AJ134&gt;=0), "",AJ134/AJ4)</f>
        <v>1.1454710291718712E-3</v>
      </c>
      <c r="AL134" s="36"/>
      <c r="AM134" s="101">
        <f>+'N EERR RODEO'!H27</f>
        <v>0</v>
      </c>
      <c r="AN134" s="20" t="str">
        <f>IF(AND(AM4=0,AM134&gt;=0), "",AM134/AM4)</f>
        <v/>
      </c>
      <c r="AO134" s="36"/>
      <c r="AP134" s="20" t="str">
        <f t="shared" si="134"/>
        <v/>
      </c>
      <c r="AQ134" s="102">
        <f t="shared" si="63"/>
        <v>187.31</v>
      </c>
      <c r="AR134" s="20">
        <f>IF(AND(AQ4=0,AQ134&gt;=0), "",AQ134/AQ4)</f>
        <v>1.1454710291718712E-3</v>
      </c>
      <c r="AS134" s="36"/>
      <c r="AT134" s="103">
        <f t="shared" si="122"/>
        <v>0</v>
      </c>
      <c r="AU134" s="20" t="str">
        <f>IF(AND(AT4=0,AT134&gt;=0), "",AT134/AT4)</f>
        <v/>
      </c>
      <c r="AV134" s="37">
        <f t="shared" si="101"/>
        <v>1</v>
      </c>
      <c r="AW134" s="103">
        <f t="shared" si="130"/>
        <v>31.218333333333334</v>
      </c>
      <c r="AX134" s="20">
        <f>IF(AND(AW4=0,AW134&gt;=0), "",AW134/AW4)</f>
        <v>1.1454710291718712E-3</v>
      </c>
      <c r="AY134" s="36"/>
      <c r="AZ134" s="103">
        <f t="shared" si="123"/>
        <v>0</v>
      </c>
      <c r="BA134" s="20" t="str">
        <f>IF(AND(AZ4=0,AZ134&gt;=0), "",AZ134/AZ4)</f>
        <v/>
      </c>
      <c r="BB134" s="37">
        <f t="shared" si="102"/>
        <v>1</v>
      </c>
      <c r="BC134" s="101">
        <f>+'N EERR RODEO'!I27</f>
        <v>0</v>
      </c>
      <c r="BD134" s="20" t="str">
        <f>IF(AND(BC4=0,BC134&gt;=0), "",BC134/BC4)</f>
        <v/>
      </c>
      <c r="BE134" s="36"/>
      <c r="BF134" s="20" t="str">
        <f t="shared" si="103"/>
        <v/>
      </c>
      <c r="BG134" s="102">
        <f t="shared" si="131"/>
        <v>187.31</v>
      </c>
      <c r="BH134" s="20">
        <f>IF(AND(BG4=0,BG134&gt;=0), "",BG134/BG4)</f>
        <v>1.1454710291718712E-3</v>
      </c>
      <c r="BI134" s="36"/>
      <c r="BJ134" s="101">
        <f>+'N EERR RODEO'!J27</f>
        <v>0</v>
      </c>
      <c r="BK134" s="20" t="str">
        <f>IF(AND(BJ4=0,BJ134&gt;=0), "",BJ134/BJ4)</f>
        <v/>
      </c>
      <c r="BL134" s="36"/>
      <c r="BM134" s="20" t="str">
        <f t="shared" si="135"/>
        <v/>
      </c>
      <c r="BN134" s="102">
        <f t="shared" si="132"/>
        <v>187.31</v>
      </c>
      <c r="BO134" s="20">
        <f>IF(AND(BN4=0,BN134&gt;=0), "",BN134/BN4)</f>
        <v>1.1454710291718712E-3</v>
      </c>
      <c r="BP134" s="36"/>
      <c r="BQ134" s="101">
        <f>+'N EERR RODEO'!K27</f>
        <v>0</v>
      </c>
      <c r="BR134" s="20" t="str">
        <f>IF(AND(BQ4=0,BQ134&gt;=0), "",BQ134/BQ4)</f>
        <v/>
      </c>
      <c r="BS134" s="36"/>
      <c r="BT134" s="20" t="str">
        <f t="shared" si="136"/>
        <v/>
      </c>
      <c r="BU134" s="102">
        <f t="shared" si="124"/>
        <v>187.31</v>
      </c>
      <c r="BV134" s="20">
        <f>IF(AND(BU4=0,BU134&gt;=0), "",BU134/BU4)</f>
        <v>1.1454710291718712E-3</v>
      </c>
      <c r="BW134" s="36"/>
      <c r="BX134" s="103">
        <f t="shared" si="125"/>
        <v>0</v>
      </c>
      <c r="BY134" s="20" t="str">
        <f>IF(AND(BX4=0,BX134&gt;=0), "",BX134/BX4)</f>
        <v/>
      </c>
      <c r="BZ134" s="37">
        <f t="shared" si="137"/>
        <v>1</v>
      </c>
      <c r="CA134" s="101">
        <f>+'N EERR RODEO'!L27</f>
        <v>0</v>
      </c>
      <c r="CB134" s="20" t="str">
        <f>IF(AND(CA4=0,CA134&gt;=0), "",CA134/CA4)</f>
        <v/>
      </c>
      <c r="CC134" s="36"/>
      <c r="CD134" s="20" t="str">
        <f t="shared" si="104"/>
        <v/>
      </c>
      <c r="CE134" s="102">
        <f t="shared" si="126"/>
        <v>187.31</v>
      </c>
      <c r="CF134" s="20">
        <f>IF(AND(CE4=0,CE134&gt;=0), "",CE134/CE4)</f>
        <v>1.1454710291718712E-3</v>
      </c>
      <c r="CG134" s="36"/>
      <c r="CH134" s="101">
        <f>+'N EERR RODEO'!M27</f>
        <v>0</v>
      </c>
      <c r="CI134" s="20" t="str">
        <f>IF(AND(CH4=0,CH134&gt;=0), "",CH134/CH4)</f>
        <v/>
      </c>
      <c r="CJ134" s="36"/>
      <c r="CK134" s="20" t="str">
        <f t="shared" si="138"/>
        <v/>
      </c>
      <c r="CL134" s="102">
        <f t="shared" si="127"/>
        <v>187.31</v>
      </c>
      <c r="CM134" s="20">
        <f>IF(AND(CL4=0,CL134&gt;=0), "",CL134/CL4)</f>
        <v>1.1454710291718712E-3</v>
      </c>
      <c r="CN134" s="36"/>
      <c r="CO134" s="101">
        <f>+'N EERR RODEO'!N27</f>
        <v>0</v>
      </c>
      <c r="CP134" s="20" t="str">
        <f>IF(AND(CO4=0,CO134&gt;=0), "",CO134/CO4)</f>
        <v/>
      </c>
      <c r="CQ134" s="36"/>
      <c r="CR134" s="20" t="str">
        <f t="shared" si="139"/>
        <v/>
      </c>
      <c r="CS134" s="102">
        <f t="shared" si="128"/>
        <v>187.31</v>
      </c>
      <c r="CT134" s="20">
        <f>IF(AND(CS4=0,CS134&gt;=0), "",CS134/CS4)</f>
        <v>1.1454710291718712E-3</v>
      </c>
      <c r="CU134" s="36"/>
      <c r="CV134" s="103">
        <f t="shared" si="129"/>
        <v>0</v>
      </c>
      <c r="CW134" s="20" t="str">
        <f>IF(AND(CV4=0,CV134&gt;=0), "",CV134/CV4)</f>
        <v/>
      </c>
      <c r="CX134" s="37">
        <f t="shared" si="140"/>
        <v>1</v>
      </c>
    </row>
    <row r="135" spans="1:219" s="5" customFormat="1" hidden="1" outlineLevel="1" x14ac:dyDescent="0.25">
      <c r="A135" s="19"/>
      <c r="B135" s="101"/>
      <c r="C135" s="13"/>
      <c r="D135" s="36"/>
      <c r="E135" s="101"/>
      <c r="F135" s="13"/>
      <c r="G135" s="36"/>
      <c r="H135" s="101"/>
      <c r="I135" s="13"/>
      <c r="J135" s="36"/>
      <c r="K135" s="22" t="str">
        <f t="shared" si="97"/>
        <v/>
      </c>
      <c r="L135" s="102"/>
      <c r="M135" s="13"/>
      <c r="N135" s="36"/>
      <c r="O135" s="101"/>
      <c r="P135" s="13"/>
      <c r="Q135" s="36"/>
      <c r="R135" s="22" t="str">
        <f t="shared" si="98"/>
        <v/>
      </c>
      <c r="S135" s="102"/>
      <c r="T135" s="13"/>
      <c r="U135" s="36"/>
      <c r="V135" s="103"/>
      <c r="W135" s="13"/>
      <c r="X135" s="79" t="str">
        <f t="shared" si="99"/>
        <v/>
      </c>
      <c r="Y135" s="101"/>
      <c r="Z135" s="13"/>
      <c r="AA135" s="36"/>
      <c r="AB135" s="22" t="str">
        <f t="shared" si="100"/>
        <v/>
      </c>
      <c r="AC135" s="102"/>
      <c r="AD135" s="13"/>
      <c r="AE135" s="36"/>
      <c r="AF135" s="101"/>
      <c r="AG135" s="13"/>
      <c r="AH135" s="36"/>
      <c r="AI135" s="22" t="str">
        <f t="shared" si="133"/>
        <v/>
      </c>
      <c r="AJ135" s="102">
        <f t="shared" si="62"/>
        <v>0</v>
      </c>
      <c r="AK135" s="13"/>
      <c r="AL135" s="36"/>
      <c r="AM135" s="101"/>
      <c r="AN135" s="13"/>
      <c r="AO135" s="36"/>
      <c r="AP135" s="22" t="str">
        <f t="shared" si="134"/>
        <v/>
      </c>
      <c r="AQ135" s="102">
        <f t="shared" si="63"/>
        <v>0</v>
      </c>
      <c r="AR135" s="13"/>
      <c r="AS135" s="36"/>
      <c r="AT135" s="103">
        <f t="shared" si="122"/>
        <v>0</v>
      </c>
      <c r="AU135" s="13"/>
      <c r="AV135" s="79" t="str">
        <f t="shared" si="101"/>
        <v/>
      </c>
      <c r="AW135" s="103"/>
      <c r="AX135" s="13"/>
      <c r="AY135" s="36"/>
      <c r="AZ135" s="103">
        <f t="shared" si="123"/>
        <v>0</v>
      </c>
      <c r="BA135" s="13"/>
      <c r="BB135" s="79" t="str">
        <f t="shared" si="102"/>
        <v/>
      </c>
      <c r="BC135" s="101"/>
      <c r="BD135" s="13"/>
      <c r="BE135" s="36"/>
      <c r="BF135" s="22" t="str">
        <f t="shared" si="103"/>
        <v/>
      </c>
      <c r="BG135" s="102">
        <f t="shared" si="131"/>
        <v>0</v>
      </c>
      <c r="BH135" s="13"/>
      <c r="BI135" s="36"/>
      <c r="BJ135" s="101"/>
      <c r="BK135" s="13"/>
      <c r="BL135" s="36"/>
      <c r="BM135" s="22" t="str">
        <f t="shared" si="135"/>
        <v/>
      </c>
      <c r="BN135" s="102">
        <f t="shared" si="132"/>
        <v>0</v>
      </c>
      <c r="BO135" s="13"/>
      <c r="BP135" s="36"/>
      <c r="BQ135" s="101"/>
      <c r="BR135" s="13"/>
      <c r="BS135" s="36"/>
      <c r="BT135" s="22" t="str">
        <f t="shared" si="136"/>
        <v/>
      </c>
      <c r="BU135" s="102">
        <f t="shared" si="124"/>
        <v>0</v>
      </c>
      <c r="BV135" s="13"/>
      <c r="BW135" s="36"/>
      <c r="BX135" s="103">
        <f t="shared" si="125"/>
        <v>0</v>
      </c>
      <c r="BY135" s="13"/>
      <c r="BZ135" s="79" t="str">
        <f t="shared" si="137"/>
        <v/>
      </c>
      <c r="CA135" s="101"/>
      <c r="CB135" s="13"/>
      <c r="CC135" s="36"/>
      <c r="CD135" s="22" t="str">
        <f t="shared" si="104"/>
        <v/>
      </c>
      <c r="CE135" s="102"/>
      <c r="CF135" s="13"/>
      <c r="CG135" s="36"/>
      <c r="CH135" s="101"/>
      <c r="CI135" s="13"/>
      <c r="CJ135" s="36"/>
      <c r="CK135" s="22" t="str">
        <f t="shared" si="138"/>
        <v/>
      </c>
      <c r="CL135" s="102">
        <f t="shared" si="127"/>
        <v>0</v>
      </c>
      <c r="CM135" s="13"/>
      <c r="CN135" s="36"/>
      <c r="CO135" s="101"/>
      <c r="CP135" s="13"/>
      <c r="CQ135" s="36"/>
      <c r="CR135" s="22" t="str">
        <f t="shared" si="139"/>
        <v/>
      </c>
      <c r="CS135" s="102">
        <f t="shared" si="128"/>
        <v>0</v>
      </c>
      <c r="CT135" s="13"/>
      <c r="CU135" s="36"/>
      <c r="CV135" s="103">
        <f t="shared" si="129"/>
        <v>0</v>
      </c>
      <c r="CW135" s="13"/>
      <c r="CX135" s="79" t="str">
        <f t="shared" si="140"/>
        <v/>
      </c>
    </row>
    <row r="136" spans="1:219" s="2" customFormat="1" hidden="1" outlineLevel="1" x14ac:dyDescent="0.25">
      <c r="B136" s="104"/>
      <c r="C136" s="13"/>
      <c r="D136" s="36"/>
      <c r="E136" s="104"/>
      <c r="F136" s="13"/>
      <c r="G136" s="36"/>
      <c r="H136" s="104"/>
      <c r="I136" s="13"/>
      <c r="J136" s="36"/>
      <c r="K136" s="13" t="str">
        <f t="shared" si="97"/>
        <v/>
      </c>
      <c r="L136" s="90"/>
      <c r="M136" s="13"/>
      <c r="N136" s="36"/>
      <c r="O136" s="104"/>
      <c r="P136" s="13"/>
      <c r="Q136" s="36"/>
      <c r="R136" s="13" t="str">
        <f t="shared" si="98"/>
        <v/>
      </c>
      <c r="S136" s="90"/>
      <c r="T136" s="13"/>
      <c r="U136" s="36"/>
      <c r="V136" s="105"/>
      <c r="W136" s="13"/>
      <c r="X136" s="36" t="str">
        <f t="shared" si="99"/>
        <v/>
      </c>
      <c r="Y136" s="104"/>
      <c r="Z136" s="13"/>
      <c r="AA136" s="36"/>
      <c r="AB136" s="13" t="str">
        <f t="shared" si="100"/>
        <v/>
      </c>
      <c r="AC136" s="90"/>
      <c r="AD136" s="13"/>
      <c r="AE136" s="36"/>
      <c r="AF136" s="104"/>
      <c r="AG136" s="13"/>
      <c r="AH136" s="36"/>
      <c r="AI136" s="13" t="str">
        <f t="shared" si="133"/>
        <v/>
      </c>
      <c r="AJ136" s="90">
        <f>+AC136+AF136</f>
        <v>0</v>
      </c>
      <c r="AK136" s="13"/>
      <c r="AL136" s="36"/>
      <c r="AM136" s="104"/>
      <c r="AN136" s="13"/>
      <c r="AO136" s="36"/>
      <c r="AP136" s="13" t="str">
        <f t="shared" si="134"/>
        <v/>
      </c>
      <c r="AQ136" s="90">
        <f>+AJ136+AM136</f>
        <v>0</v>
      </c>
      <c r="AR136" s="13"/>
      <c r="AS136" s="36"/>
      <c r="AT136" s="103">
        <f t="shared" si="122"/>
        <v>0</v>
      </c>
      <c r="AU136" s="13"/>
      <c r="AV136" s="36" t="str">
        <f t="shared" si="101"/>
        <v/>
      </c>
      <c r="AW136" s="103"/>
      <c r="AX136" s="13"/>
      <c r="AY136" s="36"/>
      <c r="AZ136" s="103">
        <f t="shared" si="123"/>
        <v>0</v>
      </c>
      <c r="BA136" s="13"/>
      <c r="BB136" s="36" t="str">
        <f t="shared" si="102"/>
        <v/>
      </c>
      <c r="BC136" s="104"/>
      <c r="BD136" s="13"/>
      <c r="BE136" s="36"/>
      <c r="BF136" s="13" t="str">
        <f t="shared" si="103"/>
        <v/>
      </c>
      <c r="BG136" s="102">
        <f t="shared" si="131"/>
        <v>0</v>
      </c>
      <c r="BH136" s="13"/>
      <c r="BI136" s="36"/>
      <c r="BJ136" s="104"/>
      <c r="BK136" s="13"/>
      <c r="BL136" s="36"/>
      <c r="BM136" s="13" t="str">
        <f t="shared" si="135"/>
        <v/>
      </c>
      <c r="BN136" s="90">
        <f t="shared" si="132"/>
        <v>0</v>
      </c>
      <c r="BO136" s="13"/>
      <c r="BP136" s="36"/>
      <c r="BQ136" s="104"/>
      <c r="BR136" s="13"/>
      <c r="BS136" s="36"/>
      <c r="BT136" s="13" t="str">
        <f t="shared" si="136"/>
        <v/>
      </c>
      <c r="BU136" s="90">
        <f t="shared" si="124"/>
        <v>0</v>
      </c>
      <c r="BV136" s="13"/>
      <c r="BW136" s="36"/>
      <c r="BX136" s="103">
        <f t="shared" si="125"/>
        <v>0</v>
      </c>
      <c r="BY136" s="13"/>
      <c r="BZ136" s="36" t="str">
        <f t="shared" si="137"/>
        <v/>
      </c>
      <c r="CA136" s="104"/>
      <c r="CB136" s="13"/>
      <c r="CC136" s="36"/>
      <c r="CD136" s="13" t="str">
        <f t="shared" si="104"/>
        <v/>
      </c>
      <c r="CE136" s="90"/>
      <c r="CF136" s="13"/>
      <c r="CG136" s="36"/>
      <c r="CH136" s="104"/>
      <c r="CI136" s="13"/>
      <c r="CJ136" s="36"/>
      <c r="CK136" s="13" t="str">
        <f t="shared" si="138"/>
        <v/>
      </c>
      <c r="CL136" s="90">
        <f t="shared" si="127"/>
        <v>0</v>
      </c>
      <c r="CM136" s="13"/>
      <c r="CN136" s="36"/>
      <c r="CO136" s="104"/>
      <c r="CP136" s="13"/>
      <c r="CQ136" s="36"/>
      <c r="CR136" s="13" t="str">
        <f t="shared" si="139"/>
        <v/>
      </c>
      <c r="CS136" s="90">
        <f t="shared" si="128"/>
        <v>0</v>
      </c>
      <c r="CT136" s="13"/>
      <c r="CU136" s="36"/>
      <c r="CV136" s="103">
        <f t="shared" si="129"/>
        <v>0</v>
      </c>
      <c r="CW136" s="13"/>
      <c r="CX136" s="36" t="str">
        <f t="shared" si="140"/>
        <v/>
      </c>
    </row>
    <row r="137" spans="1:219" s="31" customFormat="1" ht="16.5" collapsed="1" thickBot="1" x14ac:dyDescent="0.3">
      <c r="A137" s="132" t="s">
        <v>113</v>
      </c>
      <c r="B137" s="133">
        <f>+B112-B116+B125</f>
        <v>0</v>
      </c>
      <c r="C137" s="134" t="str">
        <f>IF(AND(B4=0,B137&lt;=0), "",B137/B4)</f>
        <v/>
      </c>
      <c r="D137" s="135"/>
      <c r="E137" s="133">
        <f>+E112-E116+E125</f>
        <v>-3513.6499999999992</v>
      </c>
      <c r="F137" s="134">
        <f>IF(AND(E4=0,E137&lt;=0), "",E137/E4)</f>
        <v>-7.33033150627031E-2</v>
      </c>
      <c r="G137" s="135"/>
      <c r="H137" s="133">
        <f>+H112-H116+H125</f>
        <v>8089.5000000000055</v>
      </c>
      <c r="I137" s="134">
        <f>IF(AND(H4=0,H137&lt;=0), "",H137/H4)</f>
        <v>0.15712941582315273</v>
      </c>
      <c r="J137" s="135"/>
      <c r="K137" s="134">
        <f t="shared" si="97"/>
        <v>-3.3023067180851844</v>
      </c>
      <c r="L137" s="136">
        <f>+L112-L116+L125</f>
        <v>4575.8500000000167</v>
      </c>
      <c r="M137" s="134">
        <f>IF(AND(L4=0,L137&lt;=0), "",L137/L4)</f>
        <v>4.6027267020311874E-2</v>
      </c>
      <c r="N137" s="135"/>
      <c r="O137" s="133">
        <f>+O112-O116+O125</f>
        <v>21401.300000000007</v>
      </c>
      <c r="P137" s="134">
        <f>IF(AND(O4=0,O137&lt;=0), "",O137/O4)</f>
        <v>0.33384144867156346</v>
      </c>
      <c r="Q137" s="135"/>
      <c r="R137" s="134">
        <f t="shared" si="98"/>
        <v>1.645565238889918</v>
      </c>
      <c r="S137" s="136">
        <f>+S112-S116+S125</f>
        <v>25977.150000000005</v>
      </c>
      <c r="T137" s="134">
        <f>IF(AND(S4=0,S137&lt;=0), "",S137/S4)</f>
        <v>0.15886003280899086</v>
      </c>
      <c r="U137" s="135"/>
      <c r="V137" s="137">
        <f>+V112-V116+V125</f>
        <v>0</v>
      </c>
      <c r="W137" s="134" t="str">
        <f>IF(AND(V4=0,V137&lt;=0), "",V137/V4)</f>
        <v/>
      </c>
      <c r="X137" s="135">
        <f t="shared" si="99"/>
        <v>1</v>
      </c>
      <c r="Y137" s="133">
        <f>+Y112-Y116+Y125</f>
        <v>0</v>
      </c>
      <c r="Z137" s="134" t="str">
        <f>IF(AND(Y4=0,Y137&lt;=0), "",Y137/Y4)</f>
        <v/>
      </c>
      <c r="AA137" s="135"/>
      <c r="AB137" s="134">
        <f t="shared" si="100"/>
        <v>-1</v>
      </c>
      <c r="AC137" s="136">
        <f>+AC112-AC116+AC125</f>
        <v>25977.150000000005</v>
      </c>
      <c r="AD137" s="134">
        <f>IF(AND(AC4=0,AC137&lt;=0), "",AC137/AC4)</f>
        <v>0.15886003280899086</v>
      </c>
      <c r="AE137" s="135"/>
      <c r="AF137" s="133">
        <f>+AF112-AF116+AF125</f>
        <v>0</v>
      </c>
      <c r="AG137" s="134" t="str">
        <f>IF(AND(AF4=0,AF137&lt;=0), "",AF137/AF4)</f>
        <v/>
      </c>
      <c r="AH137" s="135"/>
      <c r="AI137" s="134" t="str">
        <f t="shared" si="133"/>
        <v/>
      </c>
      <c r="AJ137" s="136">
        <f>+AJ112-AJ116+AJ125</f>
        <v>25977.150000000005</v>
      </c>
      <c r="AK137" s="134">
        <f>IF(AND(AJ4=0,AJ137&lt;=0), "",AJ137/AJ4)</f>
        <v>0.15886003280899086</v>
      </c>
      <c r="AL137" s="135"/>
      <c r="AM137" s="133">
        <f>+AM112-AM116+AM125</f>
        <v>0</v>
      </c>
      <c r="AN137" s="134" t="str">
        <f>IF(AND(AM4=0,AM137&lt;=0), "",AM137/AM4)</f>
        <v/>
      </c>
      <c r="AO137" s="135"/>
      <c r="AP137" s="134" t="str">
        <f t="shared" si="134"/>
        <v/>
      </c>
      <c r="AQ137" s="136">
        <f>+AQ112-AQ116+AQ125</f>
        <v>25977.150000000005</v>
      </c>
      <c r="AR137" s="134">
        <f>IF(AND(AQ4=0,AQ137&lt;=0), "",AQ137/AQ4)</f>
        <v>0.15886003280899086</v>
      </c>
      <c r="AS137" s="135"/>
      <c r="AT137" s="137">
        <f>+AT112-AT116+AT125</f>
        <v>0</v>
      </c>
      <c r="AU137" s="134" t="str">
        <f>IF(AND(AT4=0,AT137&lt;=0), "",AT137/AT4)</f>
        <v/>
      </c>
      <c r="AV137" s="135">
        <f t="shared" si="101"/>
        <v>1</v>
      </c>
      <c r="AW137" s="137">
        <f>+AW112-AW116+AW125</f>
        <v>4329.5250000000015</v>
      </c>
      <c r="AX137" s="134">
        <f>IF(AND(AW4=0,AW137&lt;=0), "",AW137/AW4)</f>
        <v>0.15886003280899089</v>
      </c>
      <c r="AY137" s="135"/>
      <c r="AZ137" s="137">
        <f>+AZ112-AZ116+AZ125</f>
        <v>0</v>
      </c>
      <c r="BA137" s="134" t="str">
        <f>IF(AND(AZ4=0,AZ137&lt;=0), "",AZ137/AZ4)</f>
        <v/>
      </c>
      <c r="BB137" s="135">
        <f t="shared" si="102"/>
        <v>1</v>
      </c>
      <c r="BC137" s="133">
        <f>+BC112-BC116+BC125</f>
        <v>0</v>
      </c>
      <c r="BD137" s="134" t="str">
        <f>IF(AND(BC4=0,BC137&lt;=0), "",BC137/BC4)</f>
        <v/>
      </c>
      <c r="BE137" s="135"/>
      <c r="BF137" s="134" t="str">
        <f t="shared" si="103"/>
        <v/>
      </c>
      <c r="BG137" s="136">
        <f>+BG112-BG116+BG125</f>
        <v>25977.150000000005</v>
      </c>
      <c r="BH137" s="134">
        <f>IF(AND(BG4=0,BG137&lt;=0), "",BG137/BG4)</f>
        <v>0.15886003280899086</v>
      </c>
      <c r="BI137" s="135"/>
      <c r="BJ137" s="133">
        <f>+BJ112-BJ116+BJ125</f>
        <v>0</v>
      </c>
      <c r="BK137" s="134" t="str">
        <f>IF(AND(BJ4=0,BJ137&lt;=0), "",BJ137/BJ4)</f>
        <v/>
      </c>
      <c r="BL137" s="135"/>
      <c r="BM137" s="134" t="str">
        <f t="shared" si="135"/>
        <v/>
      </c>
      <c r="BN137" s="136">
        <f>+BN112-BN116+BN125</f>
        <v>25977.150000000005</v>
      </c>
      <c r="BO137" s="134">
        <f>IF(AND(BN4=0,BN137&lt;=0), "",BN137/BN4)</f>
        <v>0.15886003280899086</v>
      </c>
      <c r="BP137" s="135"/>
      <c r="BQ137" s="133">
        <f>+BQ112-BQ116+BQ125</f>
        <v>0</v>
      </c>
      <c r="BR137" s="134" t="str">
        <f>IF(AND(BQ4=0,BQ137&lt;=0), "",BQ137/BQ4)</f>
        <v/>
      </c>
      <c r="BS137" s="135"/>
      <c r="BT137" s="134" t="str">
        <f t="shared" si="136"/>
        <v/>
      </c>
      <c r="BU137" s="136">
        <f>+BU112-BU116+BU125</f>
        <v>25977.150000000005</v>
      </c>
      <c r="BV137" s="134">
        <f>IF(AND(BU4=0,BU137&lt;=0), "",BU137/BU4)</f>
        <v>0.15886003280899086</v>
      </c>
      <c r="BW137" s="135"/>
      <c r="BX137" s="137">
        <f>+BX112-BX116+BX125</f>
        <v>0</v>
      </c>
      <c r="BY137" s="134" t="str">
        <f>IF(AND(BX4=0,BX137&lt;=0), "",BX137/BX4)</f>
        <v/>
      </c>
      <c r="BZ137" s="135">
        <f t="shared" si="137"/>
        <v>1</v>
      </c>
      <c r="CA137" s="133">
        <f>+CA112-CA116+CA125</f>
        <v>0</v>
      </c>
      <c r="CB137" s="134" t="str">
        <f>IF(AND(CA4=0,CA137&lt;=0), "",CA137/CA4)</f>
        <v/>
      </c>
      <c r="CC137" s="135"/>
      <c r="CD137" s="134" t="str">
        <f t="shared" si="104"/>
        <v/>
      </c>
      <c r="CE137" s="136">
        <f>+CE112-CE116+CE125</f>
        <v>25977.150000000005</v>
      </c>
      <c r="CF137" s="134">
        <f>IF(AND(CE4=0,CE137&lt;=0), "",CE137/CE4)</f>
        <v>0.15886003280899086</v>
      </c>
      <c r="CG137" s="135"/>
      <c r="CH137" s="133">
        <f>+CH112-CH116+CH125</f>
        <v>0</v>
      </c>
      <c r="CI137" s="134" t="str">
        <f>IF(AND(CH4=0,CH137&lt;=0), "",CH137/CH4)</f>
        <v/>
      </c>
      <c r="CJ137" s="135"/>
      <c r="CK137" s="134" t="str">
        <f t="shared" si="138"/>
        <v/>
      </c>
      <c r="CL137" s="136">
        <f>+CL112-CL116+CL125</f>
        <v>25977.150000000005</v>
      </c>
      <c r="CM137" s="134">
        <f>IF(AND(CL4=0,CL137&lt;=0), "",CL137/CL4)</f>
        <v>0.15886003280899086</v>
      </c>
      <c r="CN137" s="135"/>
      <c r="CO137" s="133">
        <f>+CO112-CO116+CO125</f>
        <v>0</v>
      </c>
      <c r="CP137" s="134" t="str">
        <f>IF(AND(CO4=0,CO137&lt;=0), "",CO137/CO4)</f>
        <v/>
      </c>
      <c r="CQ137" s="135"/>
      <c r="CR137" s="134" t="str">
        <f t="shared" si="139"/>
        <v/>
      </c>
      <c r="CS137" s="136">
        <f>+CS112-CS116+CS125</f>
        <v>25977.150000000005</v>
      </c>
      <c r="CT137" s="134">
        <f>IF(AND(CS4=0,CS137&lt;=0), "",CS137/CS4)</f>
        <v>0.15886003280899086</v>
      </c>
      <c r="CU137" s="135"/>
      <c r="CV137" s="137">
        <f>+CV112-CV116+CV125</f>
        <v>0</v>
      </c>
      <c r="CW137" s="134" t="str">
        <f>IF(AND(CV4=0,CV137&lt;=0), "",CV137/CV4)</f>
        <v/>
      </c>
      <c r="CX137" s="135">
        <f t="shared" si="140"/>
        <v>1</v>
      </c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</row>
    <row r="138" spans="1:219" s="7" customFormat="1" ht="18" customHeight="1" collapsed="1" thickTop="1" x14ac:dyDescent="0.25">
      <c r="A138" s="144" t="s">
        <v>28</v>
      </c>
      <c r="B138" s="145">
        <f>+'N EERR RODEO'!B205</f>
        <v>0</v>
      </c>
      <c r="C138" s="10" t="str">
        <f>IF(AND(B4=0,B138&gt;=0), "",B138/B4)</f>
        <v/>
      </c>
      <c r="D138" s="38" t="str">
        <f>IF(AND(B124=0,B138&gt;=0),"",B138/B124)</f>
        <v/>
      </c>
      <c r="E138" s="145">
        <f>+'N EERR RODEO'!C205</f>
        <v>0</v>
      </c>
      <c r="F138" s="10">
        <f>IF(AND(E4=0,E138&gt;=0), "",E138/E4)</f>
        <v>0</v>
      </c>
      <c r="G138" s="38">
        <f>IF(AND(E124=0,E138&gt;=0),"",E138/E124)</f>
        <v>0</v>
      </c>
      <c r="H138" s="145">
        <f>+'N EERR RODEO'!D205</f>
        <v>0</v>
      </c>
      <c r="I138" s="10">
        <f>IF(AND(H4=0,H138&gt;=0), "",H138/H4)</f>
        <v>0</v>
      </c>
      <c r="J138" s="38">
        <f>IF(AND(H124=0,H138&gt;=0),"",H138/H124)</f>
        <v>0</v>
      </c>
      <c r="K138" s="10" t="str">
        <f t="shared" si="97"/>
        <v/>
      </c>
      <c r="L138" s="146">
        <f>+E138+H138</f>
        <v>0</v>
      </c>
      <c r="M138" s="10">
        <f>IF(AND(L4=0,L138&gt;=0), "",L138/L4)</f>
        <v>0</v>
      </c>
      <c r="N138" s="38">
        <f>IF(AND(L124=0,L138&gt;=0),"",L138/L124)</f>
        <v>0</v>
      </c>
      <c r="O138" s="145">
        <f>+'N EERR RODEO'!E205</f>
        <v>0</v>
      </c>
      <c r="P138" s="10">
        <f>IF(AND(O4=0,O138&gt;=0), "",O138/O4)</f>
        <v>0</v>
      </c>
      <c r="Q138" s="38">
        <f>IF(AND(O124=0,O138&gt;=0),"",O138/O124)</f>
        <v>0</v>
      </c>
      <c r="R138" s="10" t="str">
        <f t="shared" si="98"/>
        <v/>
      </c>
      <c r="S138" s="146">
        <f>+L138+O138</f>
        <v>0</v>
      </c>
      <c r="T138" s="10">
        <f>IF(AND(S4=0,S138&gt;=0), "",S138/S4)</f>
        <v>0</v>
      </c>
      <c r="U138" s="38">
        <f>IF(AND(S124=0,S138&gt;=0),"",S138/S124)</f>
        <v>0</v>
      </c>
      <c r="V138" s="147"/>
      <c r="W138" s="10" t="str">
        <f>IF(AND(V4=0,V138&gt;=0), "",V138/V4)</f>
        <v/>
      </c>
      <c r="X138" s="38" t="str">
        <f t="shared" si="99"/>
        <v/>
      </c>
      <c r="Y138" s="145">
        <f>+'N EERR RODEO'!F205</f>
        <v>0</v>
      </c>
      <c r="Z138" s="10" t="str">
        <f>IF(AND(Y4=0,Y138&gt;=0), "",Y138/Y4)</f>
        <v/>
      </c>
      <c r="AA138" s="38" t="str">
        <f>IF(AND(Y124=0,Y138&gt;=0),"",Y138/Y124)</f>
        <v/>
      </c>
      <c r="AB138" s="10" t="str">
        <f t="shared" si="100"/>
        <v/>
      </c>
      <c r="AC138" s="146">
        <f>+S138+Y138</f>
        <v>0</v>
      </c>
      <c r="AD138" s="10">
        <f>IF(AND(AC4=0,AC138&gt;=0), "",AC138/AC4)</f>
        <v>0</v>
      </c>
      <c r="AE138" s="38">
        <f>IF(AND(AC124=0,AC138&gt;=0),"",AC138/AC124)</f>
        <v>0</v>
      </c>
      <c r="AF138" s="145">
        <f>+'N EERR RODEO'!G205</f>
        <v>0</v>
      </c>
      <c r="AG138" s="10" t="str">
        <f>IF(AND(AF4=0,AF138&gt;=0), "",AF138/AF4)</f>
        <v/>
      </c>
      <c r="AH138" s="38" t="str">
        <f>IF(AND(AF124=0,AF138&gt;=0),"",AF138/AF124)</f>
        <v/>
      </c>
      <c r="AI138" s="10" t="str">
        <f t="shared" si="133"/>
        <v/>
      </c>
      <c r="AJ138" s="146">
        <f>+AC138+AF138</f>
        <v>0</v>
      </c>
      <c r="AK138" s="10">
        <f>IF(AND(AJ4=0,AJ138&gt;=0), "",AJ138/AJ4)</f>
        <v>0</v>
      </c>
      <c r="AL138" s="38">
        <f>IF(AND(AJ124=0,AJ138&gt;=0),"",AJ138/AJ124)</f>
        <v>0</v>
      </c>
      <c r="AM138" s="145">
        <f>+'N EERR RODEO'!H205</f>
        <v>0</v>
      </c>
      <c r="AN138" s="10" t="str">
        <f>IF(AND(AM4=0,AM138&gt;=0), "",AM138/AM4)</f>
        <v/>
      </c>
      <c r="AO138" s="38" t="str">
        <f>IF(AND(AM124=0,AM138&gt;=0),"",AM138/AM124)</f>
        <v/>
      </c>
      <c r="AP138" s="10" t="str">
        <f t="shared" si="134"/>
        <v/>
      </c>
      <c r="AQ138" s="146">
        <f>+AJ138+AM138</f>
        <v>0</v>
      </c>
      <c r="AR138" s="10">
        <f>IF(AND(AQ4=0,AQ138&gt;=0), "",AQ138/AQ4)</f>
        <v>0</v>
      </c>
      <c r="AS138" s="38">
        <f>IF(AND(AQ124=0,AQ138&gt;=0),"",AQ138/AQ124)</f>
        <v>0</v>
      </c>
      <c r="AT138" s="147">
        <f>+V138*2</f>
        <v>0</v>
      </c>
      <c r="AU138" s="10" t="str">
        <f>IF(AND(AT4=0,AT138&gt;=0), "",AT138/AT4)</f>
        <v/>
      </c>
      <c r="AV138" s="38" t="str">
        <f t="shared" si="101"/>
        <v/>
      </c>
      <c r="AW138" s="147"/>
      <c r="AX138" s="10">
        <f>IF(AND(AW4=0,AW138&gt;=0), "",AW138/AW4)</f>
        <v>0</v>
      </c>
      <c r="AY138" s="38">
        <f>IF(AND(AW124=0,AW138&gt;=0),"",AW138/AW124)</f>
        <v>0</v>
      </c>
      <c r="AZ138" s="147">
        <f>+AT138/6</f>
        <v>0</v>
      </c>
      <c r="BA138" s="10" t="str">
        <f>IF(AND(AZ4=0,AZ138&gt;=0), "",AZ138/AZ4)</f>
        <v/>
      </c>
      <c r="BB138" s="38" t="str">
        <f t="shared" si="102"/>
        <v/>
      </c>
      <c r="BC138" s="145">
        <f>+'N EERR RODEO'!I205</f>
        <v>0</v>
      </c>
      <c r="BD138" s="10" t="str">
        <f>IF(AND(BC4=0,BC138&gt;=0), "",BC138/BC4)</f>
        <v/>
      </c>
      <c r="BE138" s="38" t="str">
        <f>IF(AND(BC124=0,BC138&gt;=0),"",BC138/BC124)</f>
        <v/>
      </c>
      <c r="BF138" s="10" t="str">
        <f t="shared" si="103"/>
        <v/>
      </c>
      <c r="BG138" s="146">
        <f>+AQ138+BC138</f>
        <v>0</v>
      </c>
      <c r="BH138" s="10">
        <f>IF(AND(BG4=0,BG138&gt;=0), "",BG138/BG4)</f>
        <v>0</v>
      </c>
      <c r="BI138" s="38">
        <f>IF(AND(BG124=0,BG138&gt;=0),"",BG138/BG124)</f>
        <v>0</v>
      </c>
      <c r="BJ138" s="145">
        <f>+'N EERR RODEO'!J205</f>
        <v>0</v>
      </c>
      <c r="BK138" s="10" t="str">
        <f>IF(AND(BJ4=0,BJ138&gt;=0), "",BJ138/BJ4)</f>
        <v/>
      </c>
      <c r="BL138" s="38" t="str">
        <f>IF(AND(BJ124=0,BJ138&gt;=0),"",BJ138/BJ124)</f>
        <v/>
      </c>
      <c r="BM138" s="10" t="str">
        <f t="shared" si="135"/>
        <v/>
      </c>
      <c r="BN138" s="146">
        <f>+BG138+BJ138</f>
        <v>0</v>
      </c>
      <c r="BO138" s="10">
        <f>IF(AND(BN4=0,BN138&gt;=0), "",BN138/BN4)</f>
        <v>0</v>
      </c>
      <c r="BP138" s="38">
        <f>IF(AND(BN124=0,BN138&gt;=0),"",BN138/BN124)</f>
        <v>0</v>
      </c>
      <c r="BQ138" s="145">
        <f>+'N EERR RODEO'!K205</f>
        <v>0</v>
      </c>
      <c r="BR138" s="10" t="str">
        <f>IF(AND(BQ4=0,BQ138&gt;=0), "",BQ138/BQ4)</f>
        <v/>
      </c>
      <c r="BS138" s="38" t="str">
        <f>IF(AND(BQ124=0,BQ138&gt;=0),"",BQ138/BQ124)</f>
        <v/>
      </c>
      <c r="BT138" s="10" t="str">
        <f t="shared" si="136"/>
        <v/>
      </c>
      <c r="BU138" s="146">
        <f>+BN138+BQ138</f>
        <v>0</v>
      </c>
      <c r="BV138" s="10">
        <f>IF(AND(BU4=0,BU138&gt;=0), "",BU138/BU4)</f>
        <v>0</v>
      </c>
      <c r="BW138" s="38">
        <f>IF(AND(BU124=0,BU138&gt;=0),"",BU138/BU124)</f>
        <v>0</v>
      </c>
      <c r="BX138" s="147">
        <f>+AZ138*9</f>
        <v>0</v>
      </c>
      <c r="BY138" s="10" t="str">
        <f>IF(AND(BX4=0,BX138&gt;=0), "",BX138/BX4)</f>
        <v/>
      </c>
      <c r="BZ138" s="38" t="str">
        <f t="shared" si="137"/>
        <v/>
      </c>
      <c r="CA138" s="145">
        <f>+'N EERR RODEO'!L205</f>
        <v>0</v>
      </c>
      <c r="CB138" s="10" t="str">
        <f>IF(AND(CA4=0,CA138&gt;=0), "",CA138/CA4)</f>
        <v/>
      </c>
      <c r="CC138" s="38" t="str">
        <f>IF(AND(CA124=0,CA138&gt;=0),"",CA138/CA124)</f>
        <v/>
      </c>
      <c r="CD138" s="10" t="str">
        <f t="shared" si="104"/>
        <v/>
      </c>
      <c r="CE138" s="146">
        <f>+BU138+CA138</f>
        <v>0</v>
      </c>
      <c r="CF138" s="10">
        <f>IF(AND(CE4=0,CE138&gt;=0), "",CE138/CE4)</f>
        <v>0</v>
      </c>
      <c r="CG138" s="38">
        <f>IF(AND(CE124=0,CE138&gt;=0),"",CE138/CE124)</f>
        <v>0</v>
      </c>
      <c r="CH138" s="145">
        <f>+'N EERR RODEO'!M205</f>
        <v>0</v>
      </c>
      <c r="CI138" s="10" t="str">
        <f>IF(AND(CH4=0,CH138&gt;=0), "",CH138/CH4)</f>
        <v/>
      </c>
      <c r="CJ138" s="38" t="str">
        <f>IF(AND(CH124=0,CH138&gt;=0),"",CH138/CH124)</f>
        <v/>
      </c>
      <c r="CK138" s="10" t="str">
        <f t="shared" si="138"/>
        <v/>
      </c>
      <c r="CL138" s="146">
        <f>+CE138+CH138</f>
        <v>0</v>
      </c>
      <c r="CM138" s="10">
        <f>IF(AND(CL4=0,CL138&gt;=0), "",CL138/CL4)</f>
        <v>0</v>
      </c>
      <c r="CN138" s="38">
        <f>IF(AND(CL124=0,CL138&gt;=0),"",CL138/CL124)</f>
        <v>0</v>
      </c>
      <c r="CO138" s="145">
        <f>+'N EERR RODEO'!N205</f>
        <v>0</v>
      </c>
      <c r="CP138" s="10" t="str">
        <f>IF(AND(CO4=0,CO138&gt;=0), "",CO138/CO4)</f>
        <v/>
      </c>
      <c r="CQ138" s="38" t="str">
        <f>IF(AND(CO124=0,CO138&gt;=0),"",CO138/CO124)</f>
        <v/>
      </c>
      <c r="CR138" s="10" t="str">
        <f t="shared" si="139"/>
        <v/>
      </c>
      <c r="CS138" s="146">
        <f>+'N EERR RODEO'!O205</f>
        <v>0</v>
      </c>
      <c r="CT138" s="10">
        <f>IF(AND(CS4=0,CS138&gt;=0), "",CS138/CS4)</f>
        <v>0</v>
      </c>
      <c r="CU138" s="38">
        <f>IF(AND(CS124=0,CS138&gt;=0),"",CS138/CS124)</f>
        <v>0</v>
      </c>
      <c r="CV138" s="147">
        <f>+AZ138*12</f>
        <v>0</v>
      </c>
      <c r="CW138" s="10" t="str">
        <f>IF(AND(CV4=0,CV138&gt;=0), "",CV138/CV4)</f>
        <v/>
      </c>
      <c r="CX138" s="38" t="str">
        <f t="shared" si="140"/>
        <v/>
      </c>
    </row>
    <row r="139" spans="1:219" s="155" customFormat="1" ht="19.5" thickBot="1" x14ac:dyDescent="0.35">
      <c r="A139" s="148" t="s">
        <v>114</v>
      </c>
      <c r="B139" s="149">
        <f>+B137-B138</f>
        <v>0</v>
      </c>
      <c r="C139" s="150" t="str">
        <f>IF(AND(B4=0,B139&lt;=0), "",B139/B4)</f>
        <v/>
      </c>
      <c r="D139" s="151"/>
      <c r="E139" s="149">
        <f>+E137-E138</f>
        <v>-3513.6499999999992</v>
      </c>
      <c r="F139" s="150">
        <f>IF(AND(E4=0,E139&lt;=0), "",E139/E4)</f>
        <v>-7.33033150627031E-2</v>
      </c>
      <c r="G139" s="151"/>
      <c r="H139" s="149">
        <f>+H137-H138</f>
        <v>8089.5000000000055</v>
      </c>
      <c r="I139" s="150">
        <f>IF(AND(H4=0,H139&lt;=0), "",H139/H4)</f>
        <v>0.15712941582315273</v>
      </c>
      <c r="J139" s="151"/>
      <c r="K139" s="150">
        <f t="shared" si="97"/>
        <v>-3.3023067180851844</v>
      </c>
      <c r="L139" s="152">
        <f>+L137-L138</f>
        <v>4575.8500000000167</v>
      </c>
      <c r="M139" s="150">
        <f>IF(AND(L4=0,L139&lt;=0), "",L139/L4)</f>
        <v>4.6027267020311874E-2</v>
      </c>
      <c r="N139" s="151"/>
      <c r="O139" s="149">
        <f>+O137-O138</f>
        <v>21401.300000000007</v>
      </c>
      <c r="P139" s="150">
        <f>IF(AND(O4=0,O139&lt;=0), "",O139/O4)</f>
        <v>0.33384144867156346</v>
      </c>
      <c r="Q139" s="151"/>
      <c r="R139" s="150">
        <f t="shared" si="98"/>
        <v>1.645565238889918</v>
      </c>
      <c r="S139" s="152">
        <f>+S137-S138</f>
        <v>25977.150000000005</v>
      </c>
      <c r="T139" s="150">
        <f>IF(AND(S4=0,S139&lt;=0), "",S139/S4)</f>
        <v>0.15886003280899086</v>
      </c>
      <c r="U139" s="151"/>
      <c r="V139" s="153">
        <f>+V137-V138</f>
        <v>0</v>
      </c>
      <c r="W139" s="150" t="str">
        <f>IF(AND(V4=0,V139&lt;=0), "",V139/V4)</f>
        <v/>
      </c>
      <c r="X139" s="151">
        <f t="shared" si="99"/>
        <v>1</v>
      </c>
      <c r="Y139" s="149">
        <f>+Y137-Y138</f>
        <v>0</v>
      </c>
      <c r="Z139" s="150" t="str">
        <f>IF(AND(Y4=0,Y139&lt;=0), "",Y139/Y4)</f>
        <v/>
      </c>
      <c r="AA139" s="151"/>
      <c r="AB139" s="150">
        <f t="shared" si="100"/>
        <v>-1</v>
      </c>
      <c r="AC139" s="152">
        <f>+AC137-AC138</f>
        <v>25977.150000000005</v>
      </c>
      <c r="AD139" s="150">
        <f>IF(AND(AC4=0,AC139&lt;=0), "",AC139/AC4)</f>
        <v>0.15886003280899086</v>
      </c>
      <c r="AE139" s="151"/>
      <c r="AF139" s="153">
        <f>+AF137-AF138</f>
        <v>0</v>
      </c>
      <c r="AG139" s="150" t="str">
        <f>IF(AND(AF4=0,AF139&lt;=0), "",AF139/AF4)</f>
        <v/>
      </c>
      <c r="AH139" s="151"/>
      <c r="AI139" s="150" t="str">
        <f t="shared" si="133"/>
        <v/>
      </c>
      <c r="AJ139" s="152">
        <f>+AJ137-AJ138</f>
        <v>25977.150000000005</v>
      </c>
      <c r="AK139" s="150">
        <f>IF(AND(AJ4=0,AJ139&lt;=0), "",AJ139/AJ4)</f>
        <v>0.15886003280899086</v>
      </c>
      <c r="AL139" s="151"/>
      <c r="AM139" s="153">
        <f>+AM137-AM138</f>
        <v>0</v>
      </c>
      <c r="AN139" s="150" t="str">
        <f>IF(AND(AM4=0,AM139&lt;=0), "",AM139/AM4)</f>
        <v/>
      </c>
      <c r="AO139" s="151"/>
      <c r="AP139" s="150" t="str">
        <f t="shared" si="134"/>
        <v/>
      </c>
      <c r="AQ139" s="152">
        <f>+AQ137-AQ138</f>
        <v>25977.150000000005</v>
      </c>
      <c r="AR139" s="150">
        <f>IF(AND(AQ4=0,AQ139&lt;=0), "",AQ139/AQ4)</f>
        <v>0.15886003280899086</v>
      </c>
      <c r="AS139" s="151"/>
      <c r="AT139" s="153">
        <f>+AT137-AT138</f>
        <v>0</v>
      </c>
      <c r="AU139" s="150" t="str">
        <f>IF(AND(AT4=0,AT139&lt;=0), "",AT139/AT4)</f>
        <v/>
      </c>
      <c r="AV139" s="151">
        <f t="shared" si="101"/>
        <v>1</v>
      </c>
      <c r="AW139" s="153">
        <f>+AW137-AW138</f>
        <v>4329.5250000000015</v>
      </c>
      <c r="AX139" s="150">
        <f>IF(AND(AW4=0,AW139&lt;=0), "",AW139/AW4)</f>
        <v>0.15886003280899089</v>
      </c>
      <c r="AY139" s="151"/>
      <c r="AZ139" s="153">
        <f>+AZ137-AZ138</f>
        <v>0</v>
      </c>
      <c r="BA139" s="150" t="str">
        <f>IF(AND(AZ4=0,AZ139&lt;=0), "",AZ139/AZ4)</f>
        <v/>
      </c>
      <c r="BB139" s="151">
        <f t="shared" si="102"/>
        <v>1</v>
      </c>
      <c r="BC139" s="153">
        <f>+BC137-BC138</f>
        <v>0</v>
      </c>
      <c r="BD139" s="150" t="str">
        <f>IF(AND(BC4=0,BC139&lt;=0), "",BC139/BC4)</f>
        <v/>
      </c>
      <c r="BE139" s="151"/>
      <c r="BF139" s="150" t="str">
        <f t="shared" si="103"/>
        <v/>
      </c>
      <c r="BG139" s="152">
        <f>+BG137-BG138</f>
        <v>25977.150000000005</v>
      </c>
      <c r="BH139" s="150">
        <f>IF(AND(BG4=0,BG139&lt;=0), "",BG139/BG4)</f>
        <v>0.15886003280899086</v>
      </c>
      <c r="BI139" s="151"/>
      <c r="BJ139" s="153">
        <f>+BJ137-BJ138</f>
        <v>0</v>
      </c>
      <c r="BK139" s="150" t="str">
        <f>IF(AND(BJ4=0,BJ139&lt;=0), "",BJ139/BJ4)</f>
        <v/>
      </c>
      <c r="BL139" s="151"/>
      <c r="BM139" s="150" t="str">
        <f t="shared" si="135"/>
        <v/>
      </c>
      <c r="BN139" s="152">
        <f>+BN137-BN138</f>
        <v>25977.150000000005</v>
      </c>
      <c r="BO139" s="150">
        <f>IF(AND(BN4=0,BN139&lt;=0), "",BN139/BN4)</f>
        <v>0.15886003280899086</v>
      </c>
      <c r="BP139" s="151"/>
      <c r="BQ139" s="153">
        <f>+BQ137-BQ138</f>
        <v>0</v>
      </c>
      <c r="BR139" s="150" t="str">
        <f>IF(AND(BQ4=0,BQ139&lt;=0), "",BQ139/BQ4)</f>
        <v/>
      </c>
      <c r="BS139" s="151"/>
      <c r="BT139" s="150" t="str">
        <f t="shared" si="136"/>
        <v/>
      </c>
      <c r="BU139" s="152">
        <f>+BU137-BU138</f>
        <v>25977.150000000005</v>
      </c>
      <c r="BV139" s="150">
        <f>IF(AND(BU4=0,BU139&lt;=0), "",BU139/BU4)</f>
        <v>0.15886003280899086</v>
      </c>
      <c r="BW139" s="151"/>
      <c r="BX139" s="153">
        <f>+BX137-BX138</f>
        <v>0</v>
      </c>
      <c r="BY139" s="150" t="str">
        <f>IF(AND(BX4=0,BX139&lt;=0), "",BX139/BX4)</f>
        <v/>
      </c>
      <c r="BZ139" s="151">
        <f t="shared" si="137"/>
        <v>1</v>
      </c>
      <c r="CA139" s="153">
        <f>+CA137-CA138</f>
        <v>0</v>
      </c>
      <c r="CB139" s="150" t="str">
        <f>IF(AND(CA4=0,CA139&lt;=0), "",CA139/CA4)</f>
        <v/>
      </c>
      <c r="CC139" s="151"/>
      <c r="CD139" s="150" t="str">
        <f t="shared" si="104"/>
        <v/>
      </c>
      <c r="CE139" s="152">
        <f>+CE137-CE138</f>
        <v>25977.150000000005</v>
      </c>
      <c r="CF139" s="150">
        <f>IF(AND(CE4=0,CE139&lt;=0), "",CE139/CE4)</f>
        <v>0.15886003280899086</v>
      </c>
      <c r="CG139" s="151"/>
      <c r="CH139" s="153">
        <f>+CH137-CH138</f>
        <v>0</v>
      </c>
      <c r="CI139" s="150" t="str">
        <f>IF(AND(CH4=0,CH139&lt;=0), "",CH139/CH4)</f>
        <v/>
      </c>
      <c r="CJ139" s="151"/>
      <c r="CK139" s="150" t="str">
        <f t="shared" si="138"/>
        <v/>
      </c>
      <c r="CL139" s="152">
        <f>+CL137-CL138</f>
        <v>25977.150000000005</v>
      </c>
      <c r="CM139" s="150">
        <f>IF(AND(CL4=0,CL139&lt;=0), "",CL139/CL4)</f>
        <v>0.15886003280899086</v>
      </c>
      <c r="CN139" s="151"/>
      <c r="CO139" s="153">
        <f>+CO137-CO138</f>
        <v>0</v>
      </c>
      <c r="CP139" s="150" t="str">
        <f>IF(AND(CO4=0,CO139&lt;=0), "",CO139/CO4)</f>
        <v/>
      </c>
      <c r="CQ139" s="151"/>
      <c r="CR139" s="150" t="str">
        <f t="shared" si="139"/>
        <v/>
      </c>
      <c r="CS139" s="152">
        <f>+CS137-CS138</f>
        <v>25977.150000000005</v>
      </c>
      <c r="CT139" s="150">
        <f>IF(AND(CS4=0,CS139&lt;=0), "",CS139/CS4)</f>
        <v>0.15886003280899086</v>
      </c>
      <c r="CU139" s="151"/>
      <c r="CV139" s="153">
        <f>+CV137-CV138</f>
        <v>0</v>
      </c>
      <c r="CW139" s="150" t="str">
        <f>IF(AND(CV4=0,CV139&lt;=0), "",CV139/CV4)</f>
        <v/>
      </c>
      <c r="CX139" s="151">
        <f t="shared" si="140"/>
        <v>1</v>
      </c>
      <c r="CY139" s="154"/>
      <c r="CZ139" s="154"/>
      <c r="DA139" s="154"/>
      <c r="DB139" s="154"/>
      <c r="DC139" s="154"/>
      <c r="DD139" s="154"/>
      <c r="DE139" s="154"/>
      <c r="DF139" s="154"/>
      <c r="DG139" s="154"/>
      <c r="DH139" s="154"/>
      <c r="DI139" s="154"/>
      <c r="DJ139" s="154"/>
      <c r="DK139" s="154"/>
      <c r="DL139" s="154"/>
      <c r="DM139" s="154"/>
      <c r="DN139" s="154"/>
      <c r="DO139" s="154"/>
      <c r="DP139" s="154"/>
      <c r="DQ139" s="154"/>
      <c r="DR139" s="154"/>
      <c r="DS139" s="154"/>
      <c r="DT139" s="154"/>
      <c r="DU139" s="154"/>
      <c r="DV139" s="154"/>
      <c r="DW139" s="154"/>
      <c r="DX139" s="154"/>
      <c r="DY139" s="154"/>
      <c r="DZ139" s="154"/>
      <c r="EA139" s="154"/>
      <c r="EB139" s="154"/>
      <c r="EC139" s="154"/>
      <c r="ED139" s="154"/>
      <c r="EE139" s="154"/>
      <c r="EF139" s="154"/>
      <c r="EG139" s="154"/>
      <c r="EH139" s="154"/>
      <c r="EI139" s="154"/>
      <c r="EJ139" s="154"/>
      <c r="EK139" s="154"/>
      <c r="EL139" s="154"/>
      <c r="EM139" s="154"/>
      <c r="EN139" s="154"/>
      <c r="EO139" s="154"/>
      <c r="EP139" s="154"/>
      <c r="EQ139" s="154"/>
      <c r="ER139" s="154"/>
      <c r="ES139" s="154"/>
      <c r="ET139" s="154"/>
      <c r="EU139" s="154"/>
      <c r="EV139" s="154"/>
      <c r="EW139" s="154"/>
      <c r="EX139" s="154"/>
      <c r="EY139" s="154"/>
      <c r="EZ139" s="154"/>
      <c r="FA139" s="154"/>
      <c r="FB139" s="154"/>
      <c r="FC139" s="154"/>
      <c r="FD139" s="154"/>
      <c r="FE139" s="154"/>
      <c r="FF139" s="154"/>
      <c r="FG139" s="154"/>
      <c r="FH139" s="154"/>
      <c r="FI139" s="154"/>
      <c r="FJ139" s="154"/>
      <c r="FK139" s="154"/>
      <c r="FL139" s="154"/>
      <c r="FM139" s="154"/>
      <c r="FN139" s="154"/>
      <c r="FO139" s="154"/>
      <c r="FP139" s="154"/>
      <c r="FQ139" s="154"/>
      <c r="FR139" s="154"/>
      <c r="FS139" s="154"/>
      <c r="FT139" s="154"/>
      <c r="FU139" s="154"/>
      <c r="FV139" s="154"/>
      <c r="FW139" s="154"/>
      <c r="FX139" s="154"/>
      <c r="FY139" s="154"/>
      <c r="FZ139" s="154"/>
      <c r="GA139" s="154"/>
      <c r="GB139" s="154"/>
      <c r="GC139" s="154"/>
      <c r="GD139" s="154"/>
      <c r="GE139" s="154"/>
      <c r="GF139" s="154"/>
      <c r="GG139" s="154"/>
      <c r="GH139" s="154"/>
      <c r="GI139" s="154"/>
      <c r="GJ139" s="154"/>
      <c r="GK139" s="154"/>
      <c r="GL139" s="154"/>
      <c r="GM139" s="154"/>
      <c r="GN139" s="154"/>
      <c r="GO139" s="154"/>
      <c r="GP139" s="154"/>
      <c r="GQ139" s="154"/>
      <c r="GR139" s="154"/>
      <c r="GS139" s="154"/>
      <c r="GT139" s="154"/>
      <c r="GU139" s="154"/>
      <c r="GV139" s="154"/>
      <c r="GW139" s="154"/>
      <c r="GX139" s="154"/>
      <c r="GY139" s="154"/>
      <c r="GZ139" s="154"/>
      <c r="HA139" s="154"/>
      <c r="HB139" s="154"/>
      <c r="HC139" s="154"/>
      <c r="HD139" s="154"/>
      <c r="HE139" s="154"/>
      <c r="HF139" s="154"/>
      <c r="HG139" s="154"/>
      <c r="HH139" s="154"/>
      <c r="HI139" s="154"/>
      <c r="HJ139" s="154"/>
      <c r="HK139" s="154"/>
    </row>
    <row r="140" spans="1:219" s="2" customFormat="1" ht="15.75" thickTop="1" x14ac:dyDescent="0.25">
      <c r="B140" s="11"/>
      <c r="C140" s="13"/>
      <c r="D140" s="13"/>
      <c r="E140" s="11"/>
      <c r="F140" s="13"/>
      <c r="G140" s="13"/>
      <c r="H140" s="90"/>
      <c r="I140" s="13"/>
      <c r="J140" s="13"/>
      <c r="K140" s="13"/>
      <c r="L140" s="90"/>
      <c r="M140" s="13"/>
      <c r="N140" s="13"/>
      <c r="O140" s="90"/>
      <c r="P140" s="13"/>
      <c r="Q140" s="13"/>
      <c r="R140" s="13"/>
      <c r="S140" s="90"/>
      <c r="T140" s="13"/>
      <c r="U140" s="13"/>
      <c r="V140" s="90">
        <f>+V124+V138</f>
        <v>0</v>
      </c>
      <c r="W140" s="13"/>
      <c r="X140" s="13"/>
      <c r="Y140" s="90"/>
      <c r="Z140" s="13"/>
      <c r="AA140" s="13"/>
      <c r="AB140" s="13"/>
      <c r="AC140" s="90"/>
      <c r="AD140" s="13"/>
      <c r="AE140" s="13"/>
      <c r="AF140" s="90"/>
      <c r="AG140" s="13"/>
      <c r="AH140" s="13"/>
      <c r="AI140" s="13"/>
      <c r="AJ140" s="90"/>
      <c r="AK140" s="13"/>
      <c r="AL140" s="13"/>
      <c r="AM140" s="90"/>
      <c r="AN140" s="13"/>
      <c r="AO140" s="13"/>
      <c r="AP140" s="13"/>
      <c r="AQ140" s="90">
        <f>+AQ139/6</f>
        <v>4329.5250000000005</v>
      </c>
      <c r="AR140" s="13"/>
      <c r="AS140" s="13"/>
      <c r="AT140" s="90"/>
      <c r="AU140" s="13"/>
      <c r="AV140" s="13"/>
      <c r="AW140" s="90"/>
      <c r="AX140" s="13"/>
      <c r="AY140" s="13"/>
      <c r="AZ140" s="90"/>
      <c r="BA140" s="13"/>
      <c r="BB140" s="13"/>
      <c r="BC140" s="90"/>
      <c r="BD140" s="13"/>
      <c r="BE140" s="13"/>
      <c r="BF140" s="13"/>
      <c r="BG140" s="90">
        <f>+BG139/6</f>
        <v>4329.5250000000005</v>
      </c>
      <c r="BH140" s="13"/>
      <c r="BI140" s="13"/>
      <c r="BJ140" s="90"/>
      <c r="BK140" s="13"/>
      <c r="BL140" s="13"/>
      <c r="BM140" s="13"/>
      <c r="BN140" s="90"/>
      <c r="BO140" s="13"/>
      <c r="BP140" s="13"/>
      <c r="BQ140" s="90"/>
      <c r="BR140" s="13"/>
      <c r="BS140" s="13"/>
      <c r="BT140" s="13"/>
      <c r="BU140" s="90"/>
      <c r="BV140" s="13"/>
      <c r="BW140" s="13"/>
      <c r="BX140" s="90"/>
      <c r="BY140" s="13"/>
      <c r="BZ140" s="13"/>
      <c r="CA140" s="90"/>
      <c r="CB140" s="13"/>
      <c r="CC140" s="13"/>
      <c r="CD140" s="13"/>
      <c r="CE140" s="90"/>
      <c r="CF140" s="13"/>
      <c r="CG140" s="13"/>
      <c r="CH140" s="90"/>
      <c r="CI140" s="13"/>
      <c r="CJ140" s="13"/>
      <c r="CK140" s="13"/>
      <c r="CL140" s="90"/>
      <c r="CM140" s="13"/>
      <c r="CN140" s="13"/>
      <c r="CO140" s="90"/>
      <c r="CP140" s="13"/>
      <c r="CQ140" s="13"/>
      <c r="CR140" s="13"/>
      <c r="CS140" s="90"/>
      <c r="CT140" s="13"/>
      <c r="CU140" s="13"/>
      <c r="CV140" s="90"/>
      <c r="CW140" s="13"/>
      <c r="CX140" s="13"/>
    </row>
    <row r="141" spans="1:219" s="2" customFormat="1" x14ac:dyDescent="0.25">
      <c r="B141" s="11"/>
      <c r="C141" s="13" t="e">
        <f>+C4-C22-C38-C116+C125-C138</f>
        <v>#VALUE!</v>
      </c>
      <c r="D141" s="13" t="e">
        <f>+D40+D41+D42+D43+D44+D45+D46+D47+D48+D49+D50+D51+D52+D53+D54+D55+D56+D57+D58+D59+D60+D61+D62+D63+D64+D65+D66+D67+D69+D70+D71+D72+D73+D74+D75+D76+D77+D78+D79+D80+D81+D82+D84+D85+D86+D87+D88+D89+D90+D92+D94+D95+D96+D97+D98+D99+D100+D101+D102+D103+D105+D106+D107+D110+D117+D118+D119+D120+D121+D122+D123</f>
        <v>#VALUE!</v>
      </c>
      <c r="E141" s="11"/>
      <c r="F141" s="13">
        <f>+F4-F22-F38-F116+F125-F138</f>
        <v>-7.3303315062703031E-2</v>
      </c>
      <c r="G141" s="13">
        <f>+G40+G41+G42+G43+G44+G45+G46+G47+G48+G49+G50+G51+G52+G53+G54+G55+G56+G57+G58+G59+G60+G61+G62+G63+G64+G65+G66+G67+G69+G70+G71+G72+G73+G74+G75+G76+G77+G78+G79+G80+G81+G82+G84+G85+G86+G87+G88+G89+G90+G92+G94+G95+G96+G97+G98+G99+G100+G101+G102+G103+G105+G106+G107+G110+G117+G118+G119+G120+G121+G122+G123</f>
        <v>1</v>
      </c>
      <c r="H141" s="90"/>
      <c r="I141" s="13">
        <f>+I4-I22-I38-I116+I125-I138</f>
        <v>0.15712941582315265</v>
      </c>
      <c r="J141" s="13">
        <f>+J40+J41+J42+J43+J44+J45+J46+J47+J48+J49+J50+J51+J52+J53+J54+J55+J56+J57+J58+J59+J60+J61+J62+J63+J64+J65+J66+J67+J69+J70+J71+J72+J73+J74+J75+J76+J77+J78+J79+J80+J81+J82+J84+J85+J86+J87+J88+J89+J90+J92+J94+J95+J96+J97+J98+J99+J100+J101+J102+J103+J105+J106+J107+J110+J117+J118+J119+J120+J121+J122+J123</f>
        <v>0.99999999999999989</v>
      </c>
      <c r="K141" s="13"/>
      <c r="L141" s="90"/>
      <c r="M141" s="13">
        <f>+M4-M22-M38-M116+M125-M138</f>
        <v>4.6027267020311881E-2</v>
      </c>
      <c r="N141" s="13">
        <f>+N40+N41+N42+N43+N44+N45+N46+N47+N48+N49+N50+N51+N52+N53+N54+N55+N56+N57+N58+N59+N60+N61+N62+N63+N64+N65+N66+N67+N69+N70+N71+N72+N73+N74+N75+N76+N77+N78+N79+N80+N81+N82+N84+N85+N86+N87+N88+N89+N90+N92+N94+N95+N96+N97+N98+N99+N100+N101+N102+N103+N105+N106+N107+N110+N117+N118+N119+N120+N121+N122+N123</f>
        <v>1</v>
      </c>
      <c r="O141" s="90"/>
      <c r="P141" s="13">
        <f>+P4-P22-P38-P116+P125-P138</f>
        <v>0.33384144867156335</v>
      </c>
      <c r="Q141" s="13">
        <f>+Q40+Q41+Q42+Q43+Q44+Q45+Q46+Q47+Q48+Q49+Q50+Q51+Q52+Q53+Q54+Q55+Q56+Q57+Q58+Q59+Q60+Q61+Q62+Q63+Q64+Q65+Q66+Q67+Q69+Q70+Q71+Q72+Q73+Q74+Q75+Q76+Q77+Q78+Q79+Q80+Q81+Q82+Q84+Q85+Q86+Q87+Q88+Q89+Q90+Q92+Q94+Q95+Q96+Q97+Q98+Q99+Q100+Q101+Q102+Q103+Q105+Q106+Q107+Q110+Q117+Q118+Q119+Q120+Q121+Q122+Q123</f>
        <v>0.99999999999999989</v>
      </c>
      <c r="R141" s="13"/>
      <c r="S141" s="90"/>
      <c r="T141" s="13">
        <f>+T4-T22-T38-T116+T125-T138</f>
        <v>0.15886003280899091</v>
      </c>
      <c r="U141" s="13">
        <f>+U40+U41+U42+U43+U44+U45+U46+U47+U48+U49+U50+U51+U52+U53+U54+U55+U56+U57+U58+U59+U60+U61+U62+U63+U64+U65+U66+U67+U69+U70+U71+U72+U73+U74+U75+U76+U77+U78+U79+U80+U81+U82+U84+U85+U86+U87+U88+U89+U90+U92+U94+U95+U96+U97+U98+U99+U100+U101+U102+U103+U105+U106+U107+U110+U117+U118+U119+U120+U121+U122+U123</f>
        <v>1.0000000000000002</v>
      </c>
      <c r="V141" s="90"/>
      <c r="W141" s="13" t="e">
        <f>+W4-W22-W38-W116+W125-W138</f>
        <v>#VALUE!</v>
      </c>
      <c r="X141" s="13"/>
      <c r="Y141" s="90"/>
      <c r="Z141" s="13" t="e">
        <f>+Z4-Z22-Z38-Z116+Z125-Z138</f>
        <v>#VALUE!</v>
      </c>
      <c r="AA141" s="13" t="e">
        <f>+AA40+AA41+AA42+AA43+AA44+AA45+AA46+AA47+AA48+AA49+AA50+AA51+AA52+AA53+AA54+AA55+AA56+AA57+AA58+AA59+AA60+AA61+AA62+AA63+AA64+AA65+AA66+AA67+AA69+AA70+AA71+AA72+AA73+AA74+AA75+AA76+AA77+AA78+AA79+AA80+AA81+AA82+AA84+AA85+AA86+AA87+AA88+AA89+AA90+AA92+AA94+AA95+AA96+AA97+AA98+AA99+AA100+AA101+AA102+AA103+AA105+AA106+AA107+AA110+AA117+AA118+AA119+AA120+AA121+AA122+AA123</f>
        <v>#VALUE!</v>
      </c>
      <c r="AB141" s="13"/>
      <c r="AC141" s="90"/>
      <c r="AD141" s="13">
        <f>+AD4-AD22-AD38-AD116+AD125-AD138</f>
        <v>0.15886003280899091</v>
      </c>
      <c r="AE141" s="13">
        <f>+AE40+AE41+AE42+AE43+AE44+AE45+AE46+AE47+AE48+AE49+AE50+AE51+AE52+AE53+AE54+AE55+AE56+AE57+AE58+AE59+AE60+AE61+AE62+AE63+AE64+AE65+AE66+AE67+AE69+AE70+AE71+AE72+AE73+AE74+AE75+AE76+AE77+AE78+AE79+AE80+AE81+AE82+AE84+AE85+AE86+AE87+AE88+AE89+AE90+AE92+AE94+AE95+AE96+AE97+AE98+AE99+AE100+AE101+AE102+AE103+AE105+AE106+AE107+AE110+AE117+AE118+AE119+AE120+AE121+AE122+AE123</f>
        <v>1.0000000000000002</v>
      </c>
      <c r="AF141" s="90"/>
      <c r="AG141" s="13" t="e">
        <f>+AG4-AG22-AG38-AG116+AG125-AG138</f>
        <v>#VALUE!</v>
      </c>
      <c r="AH141" s="13" t="e">
        <f>+AH40+AH41+AH42+AH43+AH44+AH45+AH46+AH47+AH48+AH49+AH50+AH51+AH52+AH53+AH54+AH55+AH56+AH57+AH58+AH59+AH60+AH61+AH62+AH63+AH64+AH65+AH66+AH67+AH69+AH70+AH71+AH72+AH73+AH74+AH75+AH76+AH77+AH78+AH79+AH80+AH81+AH82+AH84+AH85+AH86+AH87+AH88+AH89+AH90+AH92+AH94+AH95+AH96+AH97+AH98+AH99+AH100+AH101+AH102+AH103+AH105+AH106+AH107+AH110+AH117+AH118+AH119+AH120+AH121+AH122+AH123</f>
        <v>#VALUE!</v>
      </c>
      <c r="AI141" s="13"/>
      <c r="AJ141" s="90"/>
      <c r="AK141" s="13">
        <f>+AK4-AK22-AK38-AK116+AK125-AK138</f>
        <v>0.15886003280899091</v>
      </c>
      <c r="AL141" s="13">
        <f>+AL40+AL41+AL42+AL43+AL44+AL45+AL46+AL47+AL48+AL49+AL50+AL51+AL52+AL53+AL54+AL55+AL56+AL57+AL58+AL59+AL60+AL61+AL62+AL63+AL64+AL65+AL66+AL67+AL69+AL70+AL71+AL72+AL73+AL74+AL75+AL76+AL77+AL78+AL79+AL80+AL81+AL82+AL84+AL85+AL86+AL87+AL88+AL89+AL90+AL92+AL94+AL95+AL96+AL97+AL98+AL99+AL100+AL101+AL102+AL103+AL105+AL106+AL107+AL110+AL117+AL118+AL119+AL120+AL121+AL122+AL123</f>
        <v>1.0000000000000002</v>
      </c>
      <c r="AM141" s="90"/>
      <c r="AN141" s="13" t="e">
        <f>+AN4-AN22-AN38-AN116+AN125-AN138</f>
        <v>#VALUE!</v>
      </c>
      <c r="AO141" s="13" t="e">
        <f>+AO40+AO41+AO42+AO43+AO44+AO45+AO46+AO47+AO48+AO49+AO50+AO51+AO52+AO53+AO54+AO55+AO56+AO57+AO58+AO59+AO60+AO61+AO62+AO63+AO64+AO65+AO66+AO67+AO69+AO70+AO71+AO72+AO73+AO74+AO75+AO76+AO77+AO78+AO79+AO80+AO81+AO82+AO84+AO85+AO86+AO87+AO88+AO89+AO90+AO92+AO94+AO95+AO96+AO97+AO98+AO99+AO100+AO101+AO102+AO103+AO105+AO106+AO107+AO110+AO117+AO118+AO119+AO120+AO121+AO122+AO123</f>
        <v>#VALUE!</v>
      </c>
      <c r="AP141" s="13"/>
      <c r="AQ141" s="90"/>
      <c r="AR141" s="13">
        <f>+AR4-AR22-AR38-AR116+AR125-AR138</f>
        <v>0.15886003280899091</v>
      </c>
      <c r="AS141" s="13">
        <f>+AS40+AS41+AS42+AS43+AS44+AS45+AS46+AS47+AS48+AS49+AS50+AS51+AS52+AS53+AS54+AS55+AS56+AS57+AS58+AS59+AS60+AS61+AS62+AS63+AS64+AS65+AS66+AS67+AS69+AS70+AS71+AS72+AS73+AS74+AS75+AS76+AS77+AS78+AS79+AS80+AS81+AS82+AS84+AS85+AS86+AS87+AS88+AS89+AS90+AS92+AS94+AS95+AS96+AS97+AS98+AS99+AS100+AS101+AS102+AS103+AS105+AS106+AS107+AS110+AS117+AS118+AS119+AS120+AS121+AS122+AS123</f>
        <v>1.0000000000000002</v>
      </c>
      <c r="AT141" s="90">
        <f>+AT139/6</f>
        <v>0</v>
      </c>
      <c r="AU141" s="13" t="e">
        <f>+AU4-AU22-AU38-AU116+AU125-AU138</f>
        <v>#VALUE!</v>
      </c>
      <c r="AV141" s="13"/>
      <c r="AW141" s="90"/>
      <c r="AX141" s="13">
        <f>+AX4-AX22-AX38-AX116+AX125-AX138</f>
        <v>0.15886003280899089</v>
      </c>
      <c r="AY141" s="13">
        <f>+AY40+AY41+AY42+AY43+AY44+AY45+AY46+AY47+AY48+AY49+AY50+AY51+AY52+AY53+AY54+AY55+AY56+AY57+AY58+AY59+AY60+AY61+AY62+AY63+AY64+AY65+AY66+AY67+AY69+AY70+AY71+AY72+AY73+AY74+AY75+AY76+AY77+AY78+AY79+AY80+AY81+AY82+AY84+AY85+AY86+AY87+AY88+AY89+AY90+AY92+AY94+AY95+AY96+AY97+AY98+AY99+AY100+AY101+AY102+AY103+AY105+AY106+AY107+AY110+AY117+AY118+AY119+AY120+AY121+AY122+AY123</f>
        <v>1</v>
      </c>
      <c r="AZ141" s="90">
        <f>+AA139*2</f>
        <v>0</v>
      </c>
      <c r="BA141" s="13" t="e">
        <f>+BA4-BA22-BA38-BA116+BA125-BA138</f>
        <v>#VALUE!</v>
      </c>
      <c r="BB141" s="13"/>
      <c r="BC141" s="90"/>
      <c r="BD141" s="13" t="e">
        <f>+BD4-BD22-BD38-BD116+BD125-BD138</f>
        <v>#VALUE!</v>
      </c>
      <c r="BE141" s="13" t="e">
        <f>+BE40+BE41+BE42+BE43+BE44+BE45+BE46+BE47+BE48+BE49+BE50+BE51+BE52+BE53+BE54+BE55+BE56+BE57+BE58+BE59+BE60+BE61+BE62+BE63+BE64+BE65+BE66+BE67+BE69+BE70+BE71+BE72+BE73+BE74+BE75+BE76+BE77+BE78+BE79+BE80+BE81+BE82+BE84+BE85+BE86+BE87+BE88+BE89+BE90+BE92+BE94+BE95+BE96+BE97+BE98+BE99+BE100+BE101+BE102+BE103+BE105+BE106+BE107+BE110+BE117+BE118+BE119+BE120+BE121+BE122+BE123</f>
        <v>#VALUE!</v>
      </c>
      <c r="BF141" s="13"/>
      <c r="BG141" s="90"/>
      <c r="BH141" s="13">
        <f>+BH4-BH22-BH38-BH116+BH125-BH138</f>
        <v>0.15886003280899091</v>
      </c>
      <c r="BI141" s="13">
        <f>+BI40+BI41+BI42+BI43+BI44+BI45+BI46+BI47+BI48+BI49+BI50+BI51+BI52+BI53+BI54+BI55+BI56+BI57+BI58+BI59+BI60+BI61+BI62+BI63+BI64+BI65+BI66+BI67+BI69+BI70+BI71+BI72+BI73+BI74+BI75+BI76+BI77+BI78+BI79+BI80+BI81+BI82+BI84+BI85+BI86+BI87+BI88+BI89+BI90+BI92+BI94+BI95+BI96+BI97+BI98+BI99+BI100+BI101+BI102+BI103+BI105+BI106+BI107+BI110+BI117+BI118+BI119+BI120+BI121+BI122+BI123</f>
        <v>1.0000000000000002</v>
      </c>
      <c r="BJ141" s="90"/>
      <c r="BK141" s="13" t="e">
        <f>+BK4-BK22-BK38-BK116+BK125-BK138</f>
        <v>#VALUE!</v>
      </c>
      <c r="BL141" s="13" t="e">
        <f>+BL40+BL41+BL42+BL43+BL44+BL45+BL46+BL47+BL48+BL49+BL50+BL51+BL52+BL53+BL54+BL55+BL56+BL57+BL58+BL59+BL60+BL61+BL62+BL63+BL64+BL65+BL66+BL67+BL69+BL70+BL71+BL72+BL73+BL74+BL75+BL76+BL77+BL78+BL79+BL80+BL81+BL82+BL84+BL85+BL86+BL87+BL88+BL89+BL90+BL92+BL94+BL95+BL96+BL97+BL98+BL99+BL100+BL101+BL102+BL103+BL105+BL106+BL107+BL110+BL117+BL118+BL119+BL120+BL121+BL122+BL123</f>
        <v>#VALUE!</v>
      </c>
      <c r="BM141" s="13"/>
      <c r="BN141" s="90"/>
      <c r="BO141" s="13">
        <f>+BO4-BO22-BO38-BO116+BO125-BO138</f>
        <v>0.15886003280899091</v>
      </c>
      <c r="BP141" s="13">
        <f>+BP40+BP41+BP42+BP43+BP44+BP45+BP46+BP47+BP48+BP49+BP50+BP51+BP52+BP53+BP54+BP55+BP56+BP57+BP58+BP59+BP60+BP61+BP62+BP63+BP64+BP65+BP66+BP67+BP69+BP70+BP71+BP72+BP73+BP74+BP75+BP76+BP77+BP78+BP79+BP80+BP81+BP82+BP84+BP85+BP86+BP87+BP88+BP89+BP90+BP92+BP94+BP95+BP96+BP97+BP98+BP99+BP100+BP101+BP102+BP103+BP105+BP106+BP107+BP110+BP117+BP118+BP119+BP120+BP121+BP122+BP123</f>
        <v>1.0000000000000002</v>
      </c>
      <c r="BQ141" s="90"/>
      <c r="BR141" s="13" t="e">
        <f>+BR4-BR22-BR38-BR116+BR125-BR138</f>
        <v>#VALUE!</v>
      </c>
      <c r="BS141" s="13" t="e">
        <f>+BS40+BS41+BS42+BS43+BS44+BS45+BS46+BS47+BS48+BS49+BS50+BS51+BS52+BS53+BS54+BS55+BS56+BS57+BS58+BS59+BS60+BS61+BS62+BS63+BS64+BS65+BS66+BS67+BS69+BS70+BS71+BS72+BS73+BS74+BS75+BS76+BS77+BS78+BS79+BS80+BS81+BS82+BS84+BS85+BS86+BS87+BS88+BS89+BS90+BS92+BS94+BS95+BS96+BS97+BS98+BS99+BS100+BS101+BS102+BS103+BS105+BS106+BS107+BS110+BS117+BS118+BS119+BS120+BS121+BS122+BS123</f>
        <v>#VALUE!</v>
      </c>
      <c r="BT141" s="13"/>
      <c r="BU141" s="90"/>
      <c r="BV141" s="13">
        <f>+BV4-BV22-BV38-BV116+BV125-BV138</f>
        <v>0.15886003280899091</v>
      </c>
      <c r="BW141" s="13">
        <f>+BW40+BW41+BW42+BW43+BW44+BW45+BW46+BW47+BW48+BW49+BW50+BW51+BW52+BW53+BW54+BW55+BW56+BW57+BW58+BW59+BW60+BW61+BW62+BW63+BW64+BW65+BW66+BW67+BW69+BW70+BW71+BW72+BW73+BW74+BW75+BW76+BW77+BW78+BW79+BW80+BW81+BW82+BW84+BW85+BW86+BW87+BW88+BW89+BW90+BW92+BW94+BW95+BW96+BW97+BW98+BW99+BW100+BW101+BW102+BW103+BW105+BW106+BW107+BW110+BW117+BW118+BW119+BW120+BW121+BW122+BW123</f>
        <v>1.0000000000000002</v>
      </c>
      <c r="BX141" s="90">
        <f>+AZ139*2</f>
        <v>0</v>
      </c>
      <c r="BY141" s="13" t="e">
        <f>+BY4-BY22-BY38-BY116+BY125-BY138</f>
        <v>#VALUE!</v>
      </c>
      <c r="BZ141" s="13"/>
      <c r="CA141" s="90"/>
      <c r="CB141" s="13" t="e">
        <f>+CB4-CB22-CB38-CB116+CB125-CB138</f>
        <v>#VALUE!</v>
      </c>
      <c r="CC141" s="13" t="e">
        <f>+CC40+CC41+CC42+CC43+CC44+CC45+CC46+CC47+CC48+CC49+CC50+CC51+CC52+CC53+CC54+CC55+CC56+CC57+CC58+CC59+CC60+CC61+CC62+CC63+CC64+CC65+CC66+CC67+CC69+CC70+CC71+CC72+CC73+CC74+CC75+CC76+CC77+CC78+CC79+CC80+CC81+CC82+CC84+CC85+CC86+CC87+CC88+CC89+CC90+CC92+CC94+CC95+CC96+CC97+CC98+CC99+CC100+CC101+CC102+CC103+CC105+CC106+CC107+CC110+CC117+CC118+CC119+CC120+CC121+CC122+CC123</f>
        <v>#VALUE!</v>
      </c>
      <c r="CD141" s="13"/>
      <c r="CE141" s="90"/>
      <c r="CF141" s="13">
        <f>+CF4-CF22-CF38-CF116+CF125-CF138</f>
        <v>0.15886003280899091</v>
      </c>
      <c r="CG141" s="13">
        <f>+CG40+CG41+CG42+CG43+CG44+CG45+CG46+CG47+CG48+CG49+CG50+CG51+CG52+CG53+CG54+CG55+CG56+CG57+CG58+CG59+CG60+CG61+CG62+CG63+CG64+CG65+CG66+CG67+CG69+CG70+CG71+CG72+CG73+CG74+CG75+CG76+CG77+CG78+CG79+CG80+CG81+CG82+CG84+CG85+CG86+CG87+CG88+CG89+CG90+CG92+CG94+CG95+CG96+CG97+CG98+CG99+CG100+CG101+CG102+CG103+CG105+CG106+CG107+CG110+CG117+CG118+CG119+CG120+CG121+CG122+CG123</f>
        <v>1.0000000000000002</v>
      </c>
      <c r="CH141" s="90"/>
      <c r="CI141" s="13" t="e">
        <f>+CI4-CI22-CI38-CI116+CI125-CI138</f>
        <v>#VALUE!</v>
      </c>
      <c r="CJ141" s="13" t="e">
        <f>+CJ40+CJ41+CJ42+CJ43+CJ44+CJ45+CJ46+CJ47+CJ48+CJ49+CJ50+CJ51+CJ52+CJ53+CJ54+CJ55+CJ56+CJ57+CJ58+CJ59+CJ60+CJ61+CJ62+CJ63+CJ64+CJ65+CJ66+CJ67+CJ69+CJ70+CJ71+CJ72+CJ73+CJ74+CJ75+CJ76+CJ77+CJ78+CJ79+CJ80+CJ81+CJ82+CJ84+CJ85+CJ86+CJ87+CJ88+CJ89+CJ90+CJ92+CJ94+CJ95+CJ96+CJ97+CJ98+CJ99+CJ100+CJ101+CJ102+CJ103+CJ105+CJ106+CJ107+CJ110+CJ117+CJ118+CJ119+CJ120+CJ121+CJ122+CJ123</f>
        <v>#VALUE!</v>
      </c>
      <c r="CK141" s="13"/>
      <c r="CL141" s="90"/>
      <c r="CM141" s="13">
        <f>+CM4-CM22-CM38-CM116+CM125-CM138</f>
        <v>0.15886003280899091</v>
      </c>
      <c r="CN141" s="13">
        <f>+CN40+CN41+CN42+CN43+CN44+CN45+CN46+CN47+CN48+CN49+CN50+CN51+CN52+CN53+CN54+CN55+CN56+CN57+CN58+CN59+CN60+CN61+CN62+CN63+CN64+CN65+CN66+CN67+CN69+CN70+CN71+CN72+CN73+CN74+CN75+CN76+CN77+CN78+CN79+CN80+CN81+CN82+CN84+CN85+CN86+CN87+CN88+CN89+CN90+CN92+CN94+CN95+CN96+CN97+CN98+CN99+CN100+CN101+CN102+CN103+CN105+CN106+CN107+CN110+CN117+CN118+CN119+CN120+CN121+CN122+CN123</f>
        <v>1.0000000000000002</v>
      </c>
      <c r="CO141" s="90"/>
      <c r="CP141" s="13" t="e">
        <f>+CP4-CP22-CP38-CP116+CP125-CP138</f>
        <v>#VALUE!</v>
      </c>
      <c r="CQ141" s="13" t="e">
        <f>+CQ40+CQ41+CQ42+CQ43+CQ44+CQ45+CQ46+CQ47+CQ48+CQ49+CQ50+CQ51+CQ52+CQ53+CQ54+CQ55+CQ56+CQ57+CQ58+CQ59+CQ60+CQ61+CQ62+CQ63+CQ64+CQ65+CQ66+CQ67+CQ69+CQ70+CQ71+CQ72+CQ73+CQ74+CQ75+CQ76+CQ77+CQ78+CQ79+CQ80+CQ81+CQ82+CQ84+CQ85+CQ86+CQ87+CQ88+CQ89+CQ90+CQ92+CQ94+CQ95+CQ96+CQ97+CQ98+CQ99+CQ100+CQ101+CQ102+CQ103+CQ105+CQ106+CQ107+CQ110+CQ117+CQ118+CQ119+CQ120+CQ121+CQ122+CQ123</f>
        <v>#VALUE!</v>
      </c>
      <c r="CR141" s="13"/>
      <c r="CS141" s="90"/>
      <c r="CT141" s="13">
        <f>+CT4-CT22-CT38-CT116+CT125-CT138</f>
        <v>0.15886003280899091</v>
      </c>
      <c r="CU141" s="13">
        <f>+CU40+CU41+CU42+CU43+CU44+CU45+CU46+CU47+CU48+CU49+CU50+CU51+CU52+CU53+CU54+CU55+CU56+CU57+CU58+CU59+CU60+CU61+CU62+CU63+CU64+CU65+CU66+CU67+CU69+CU70+CU71+CU72+CU73+CU74+CU75+CU76+CU77+CU78+CU79+CU80+CU81+CU82+CU84+CU85+CU86+CU87+CU88+CU89+CU90+CU92+CU94+CU95+CU96+CU97+CU98+CU99+CU100+CU101+CU102+CU103+CU105+CU106+CU107+CU110+CU117+CU118+CU119+CU120+CU121+CU122+CU123</f>
        <v>1.0000000000000002</v>
      </c>
      <c r="CV141" s="90">
        <f>+AZ139*12</f>
        <v>0</v>
      </c>
      <c r="CW141" s="13" t="e">
        <f>+CW4-CW22-CW38-CW116+CW125-CW138</f>
        <v>#VALUE!</v>
      </c>
      <c r="CX141" s="13"/>
    </row>
    <row r="142" spans="1:219" s="2" customFormat="1" x14ac:dyDescent="0.25">
      <c r="B142" s="11"/>
      <c r="C142" s="13" t="e">
        <f>+C4-C22-C124+C125-C138</f>
        <v>#VALUE!</v>
      </c>
      <c r="D142" s="13"/>
      <c r="E142" s="11"/>
      <c r="F142" s="13">
        <f>+F4-F22-F124+F125-F138</f>
        <v>-7.3303315062703087E-2</v>
      </c>
      <c r="G142" s="13"/>
      <c r="H142" s="90"/>
      <c r="I142" s="13">
        <f>+I4-I22-I124+I125-I138</f>
        <v>0.15712941582315268</v>
      </c>
      <c r="J142" s="13"/>
      <c r="K142" s="13"/>
      <c r="L142" s="90"/>
      <c r="M142" s="13">
        <f>+M4-M22-M124+M125-M138</f>
        <v>4.6027267020311825E-2</v>
      </c>
      <c r="N142" s="13"/>
      <c r="O142" s="90"/>
      <c r="P142" s="13">
        <f>+P4-P22-P124+P125-P138</f>
        <v>0.33384144867156335</v>
      </c>
      <c r="Q142" s="13"/>
      <c r="R142" s="13"/>
      <c r="S142" s="90"/>
      <c r="T142" s="13">
        <f>+T4-T22-T124+T125-T138</f>
        <v>0.15886003280899094</v>
      </c>
      <c r="U142" s="13"/>
      <c r="V142" s="90"/>
      <c r="W142" s="13" t="e">
        <f>+W4-W22-W124+W125-W138</f>
        <v>#VALUE!</v>
      </c>
      <c r="X142" s="13"/>
      <c r="Y142" s="90"/>
      <c r="Z142" s="13" t="e">
        <f>+Z4-Z22-Z124+Z125-Z138</f>
        <v>#VALUE!</v>
      </c>
      <c r="AA142" s="13"/>
      <c r="AB142" s="13"/>
      <c r="AC142" s="90"/>
      <c r="AD142" s="13">
        <f>+AD4-AD22-AD124+AD125-AD138</f>
        <v>0.15886003280899094</v>
      </c>
      <c r="AE142" s="13"/>
      <c r="AF142" s="90"/>
      <c r="AG142" s="13" t="e">
        <f>+AG4-AG22-AG124+AG125-AG138</f>
        <v>#VALUE!</v>
      </c>
      <c r="AH142" s="13"/>
      <c r="AI142" s="13"/>
      <c r="AJ142" s="90"/>
      <c r="AK142" s="13">
        <f>+AK4-AK22-AK124+AK125-AK138</f>
        <v>0.15886003280899094</v>
      </c>
      <c r="AL142" s="13"/>
      <c r="AM142" s="90"/>
      <c r="AN142" s="13" t="e">
        <f>+AN4-AN22-AN124+AN125-AN138</f>
        <v>#VALUE!</v>
      </c>
      <c r="AO142" s="13"/>
      <c r="AP142" s="13"/>
      <c r="AQ142" s="90"/>
      <c r="AR142" s="13">
        <f>+AR4-AR22-AR124+AR125-AR138</f>
        <v>0.15886003280899094</v>
      </c>
      <c r="AS142" s="13"/>
      <c r="AT142" s="90"/>
      <c r="AU142" s="13" t="e">
        <f>+AU4-AU22-AU124+AU125-AU138</f>
        <v>#VALUE!</v>
      </c>
      <c r="AV142" s="13"/>
      <c r="AW142" s="90"/>
      <c r="AX142" s="13">
        <f>+AX4-AX22-AX124+AX125-AX138</f>
        <v>0.15886003280899089</v>
      </c>
      <c r="AY142" s="13"/>
      <c r="AZ142" s="90"/>
      <c r="BA142" s="13" t="e">
        <f>+BA4-BA22-BA124+BA125-BA138</f>
        <v>#VALUE!</v>
      </c>
      <c r="BB142" s="13"/>
      <c r="BC142" s="90"/>
      <c r="BD142" s="13" t="e">
        <f>+BD4-BD22-BD124+BD125-BD138</f>
        <v>#VALUE!</v>
      </c>
      <c r="BE142" s="13"/>
      <c r="BF142" s="13"/>
      <c r="BG142" s="90"/>
      <c r="BH142" s="13">
        <f>+BH4-BH22-BH124+BH125-BH138</f>
        <v>0.15886003280899094</v>
      </c>
      <c r="BI142" s="13"/>
      <c r="BJ142" s="90"/>
      <c r="BK142" s="13" t="e">
        <f>+BK4-BK22-BK124+BK125-BK138</f>
        <v>#VALUE!</v>
      </c>
      <c r="BL142" s="13"/>
      <c r="BM142" s="13"/>
      <c r="BN142" s="90"/>
      <c r="BO142" s="13">
        <f>+BO4-BO22-BO124+BO125-BO138</f>
        <v>0.15886003280899094</v>
      </c>
      <c r="BP142" s="13"/>
      <c r="BQ142" s="90"/>
      <c r="BR142" s="13" t="e">
        <f>+BR4-BR22-BR124+BR125-BR138</f>
        <v>#VALUE!</v>
      </c>
      <c r="BS142" s="13"/>
      <c r="BT142" s="13"/>
      <c r="BU142" s="90"/>
      <c r="BV142" s="13">
        <f>+BV4-BV22-BV124+BV125-BV138</f>
        <v>0.15886003280899094</v>
      </c>
      <c r="BW142" s="13"/>
      <c r="BX142" s="90"/>
      <c r="BY142" s="13" t="e">
        <f>+BY4-BY22-BY124+BY125-BY138</f>
        <v>#VALUE!</v>
      </c>
      <c r="BZ142" s="13"/>
      <c r="CA142" s="90"/>
      <c r="CB142" s="13" t="e">
        <f>+CB4-CB22-CB124+CB125-CB138</f>
        <v>#VALUE!</v>
      </c>
      <c r="CC142" s="13"/>
      <c r="CD142" s="13"/>
      <c r="CE142" s="90"/>
      <c r="CF142" s="13">
        <f>+CF4-CF22-CF124+CF125-CF138</f>
        <v>0.15886003280899094</v>
      </c>
      <c r="CG142" s="13"/>
      <c r="CH142" s="90"/>
      <c r="CI142" s="13" t="e">
        <f>+CI4-CI22-CI124+CI125-CI138</f>
        <v>#VALUE!</v>
      </c>
      <c r="CJ142" s="13"/>
      <c r="CK142" s="13"/>
      <c r="CL142" s="90"/>
      <c r="CM142" s="13">
        <f>+CM4-CM22-CM124+CM125-CM138</f>
        <v>0.15886003280899094</v>
      </c>
      <c r="CN142" s="13"/>
      <c r="CO142" s="90"/>
      <c r="CP142" s="13" t="e">
        <f>+CP4-CP22-CP124+CP125-CP138</f>
        <v>#VALUE!</v>
      </c>
      <c r="CQ142" s="13"/>
      <c r="CR142" s="13"/>
      <c r="CS142" s="90"/>
      <c r="CT142" s="13">
        <f>+CT4-CT22-CT124+CT125-CT138</f>
        <v>0.15886003280899094</v>
      </c>
      <c r="CU142" s="13"/>
      <c r="CV142" s="90"/>
      <c r="CW142" s="13" t="e">
        <f>+CW4-CW22-CW124+CW125-CW138</f>
        <v>#VALUE!</v>
      </c>
      <c r="CX142" s="13"/>
    </row>
    <row r="143" spans="1:219" s="2" customFormat="1" x14ac:dyDescent="0.25">
      <c r="B143" s="11"/>
      <c r="C143" s="13"/>
      <c r="D143" s="13"/>
      <c r="E143" s="11"/>
      <c r="F143" s="13"/>
      <c r="G143" s="13"/>
      <c r="H143" s="90"/>
      <c r="I143" s="13"/>
      <c r="J143" s="13"/>
      <c r="K143" s="13"/>
      <c r="L143" s="90"/>
      <c r="M143" s="13"/>
      <c r="N143" s="13"/>
      <c r="O143" s="90"/>
      <c r="P143" s="13"/>
      <c r="Q143" s="13"/>
      <c r="R143" s="13"/>
      <c r="S143" s="90"/>
      <c r="T143" s="13"/>
      <c r="U143" s="13"/>
      <c r="V143" s="90"/>
      <c r="W143" s="13"/>
      <c r="X143" s="13"/>
      <c r="Y143" s="90"/>
      <c r="Z143" s="13"/>
      <c r="AA143" s="13"/>
      <c r="AB143" s="13"/>
      <c r="AC143" s="90"/>
      <c r="AD143" s="13"/>
      <c r="AE143" s="13"/>
      <c r="AF143" s="90"/>
      <c r="AG143" s="13"/>
      <c r="AH143" s="13"/>
      <c r="AI143" s="13"/>
      <c r="AJ143" s="90"/>
      <c r="AK143" s="13"/>
      <c r="AL143" s="13"/>
      <c r="AM143" s="90"/>
      <c r="AN143" s="13"/>
      <c r="AO143" s="13"/>
      <c r="AP143" s="13"/>
      <c r="AQ143" s="90"/>
      <c r="AR143" s="13"/>
      <c r="AS143" s="13"/>
      <c r="AT143" s="90"/>
      <c r="AU143" s="13"/>
      <c r="AV143" s="13"/>
      <c r="AW143" s="90"/>
      <c r="AX143" s="13"/>
      <c r="AY143" s="13"/>
      <c r="AZ143" s="90"/>
      <c r="BA143" s="13"/>
      <c r="BB143" s="13"/>
      <c r="BC143" s="90"/>
      <c r="BD143" s="13"/>
      <c r="BE143" s="13"/>
      <c r="BF143" s="13"/>
      <c r="BG143" s="90"/>
      <c r="BH143" s="13"/>
      <c r="BI143" s="13"/>
      <c r="BJ143" s="90"/>
      <c r="BK143" s="13"/>
      <c r="BL143" s="13"/>
      <c r="BM143" s="13"/>
      <c r="BN143" s="90"/>
      <c r="BO143" s="13"/>
      <c r="BP143" s="13"/>
      <c r="BQ143" s="90"/>
      <c r="BR143" s="13"/>
      <c r="BS143" s="13"/>
      <c r="BT143" s="13"/>
      <c r="BU143" s="90"/>
      <c r="BV143" s="13"/>
      <c r="BW143" s="13"/>
      <c r="BX143" s="90"/>
      <c r="BY143" s="13"/>
      <c r="BZ143" s="13"/>
      <c r="CA143" s="90"/>
      <c r="CB143" s="13"/>
      <c r="CC143" s="13"/>
      <c r="CD143" s="13"/>
      <c r="CE143" s="90"/>
      <c r="CF143" s="13"/>
      <c r="CG143" s="13"/>
      <c r="CH143" s="90"/>
      <c r="CI143" s="13"/>
      <c r="CJ143" s="13"/>
      <c r="CK143" s="13"/>
      <c r="CL143" s="90"/>
      <c r="CM143" s="13"/>
      <c r="CN143" s="13"/>
      <c r="CO143" s="90"/>
      <c r="CP143" s="13"/>
      <c r="CQ143" s="13"/>
      <c r="CR143" s="13"/>
      <c r="CS143" s="90"/>
      <c r="CT143" s="13"/>
      <c r="CU143" s="13"/>
      <c r="CV143" s="90"/>
      <c r="CW143" s="13"/>
      <c r="CX143" s="13"/>
    </row>
    <row r="144" spans="1:219" s="2" customFormat="1" x14ac:dyDescent="0.25">
      <c r="B144" s="11"/>
      <c r="C144" s="13"/>
      <c r="D144" s="13"/>
      <c r="E144" s="11"/>
      <c r="F144" s="13"/>
      <c r="G144" s="13"/>
      <c r="H144" s="90"/>
      <c r="I144" s="13"/>
      <c r="J144" s="13"/>
      <c r="K144" s="13"/>
      <c r="L144" s="90"/>
      <c r="M144" s="13"/>
      <c r="N144" s="13"/>
      <c r="O144" s="90"/>
      <c r="P144" s="13"/>
      <c r="Q144" s="13"/>
      <c r="R144" s="13"/>
      <c r="S144" s="90"/>
      <c r="T144" s="13"/>
      <c r="U144" s="13"/>
      <c r="V144" s="90"/>
      <c r="W144" s="13"/>
      <c r="X144" s="13"/>
      <c r="Y144" s="90"/>
      <c r="Z144" s="13"/>
      <c r="AA144" s="13"/>
      <c r="AB144" s="13"/>
      <c r="AC144" s="90"/>
      <c r="AD144" s="13"/>
      <c r="AE144" s="13"/>
      <c r="AF144" s="90"/>
      <c r="AG144" s="13"/>
      <c r="AH144" s="13"/>
      <c r="AI144" s="13"/>
      <c r="AJ144" s="90"/>
      <c r="AK144" s="13"/>
      <c r="AL144" s="13"/>
      <c r="AM144" s="90"/>
      <c r="AN144" s="13"/>
      <c r="AO144" s="13"/>
      <c r="AP144" s="13"/>
      <c r="AQ144" s="90"/>
      <c r="AR144" s="13"/>
      <c r="AS144" s="13"/>
      <c r="AT144" s="90"/>
      <c r="AU144" s="13"/>
      <c r="AV144" s="13"/>
      <c r="AW144" s="90"/>
      <c r="AX144" s="13"/>
      <c r="AY144" s="13"/>
      <c r="AZ144" s="90"/>
      <c r="BA144" s="13"/>
      <c r="BB144" s="13"/>
      <c r="BC144" s="90"/>
      <c r="BD144" s="13"/>
      <c r="BE144" s="13"/>
      <c r="BF144" s="13"/>
      <c r="BG144" s="90"/>
      <c r="BH144" s="13"/>
      <c r="BI144" s="13"/>
      <c r="BJ144" s="90"/>
      <c r="BK144" s="13"/>
      <c r="BL144" s="13"/>
      <c r="BM144" s="13"/>
      <c r="BN144" s="90"/>
      <c r="BO144" s="13"/>
      <c r="BP144" s="13"/>
      <c r="BQ144" s="90"/>
      <c r="BR144" s="13"/>
      <c r="BS144" s="13"/>
      <c r="BT144" s="13"/>
      <c r="BU144" s="90"/>
      <c r="BV144" s="13"/>
      <c r="BW144" s="13"/>
      <c r="BX144" s="90"/>
      <c r="BY144" s="13"/>
      <c r="BZ144" s="13"/>
      <c r="CA144" s="90"/>
      <c r="CB144" s="13"/>
      <c r="CC144" s="13"/>
      <c r="CD144" s="13"/>
      <c r="CE144" s="90"/>
      <c r="CF144" s="13"/>
      <c r="CG144" s="13"/>
      <c r="CH144" s="90"/>
      <c r="CI144" s="13"/>
      <c r="CJ144" s="13"/>
      <c r="CK144" s="13"/>
      <c r="CL144" s="90"/>
      <c r="CM144" s="13"/>
      <c r="CN144" s="13"/>
      <c r="CO144" s="90"/>
      <c r="CP144" s="13"/>
      <c r="CQ144" s="13"/>
      <c r="CR144" s="13"/>
      <c r="CS144" s="90"/>
      <c r="CT144" s="13"/>
      <c r="CU144" s="13"/>
      <c r="CV144" s="90"/>
      <c r="CW144" s="13"/>
      <c r="CX144" s="13"/>
    </row>
    <row r="145" spans="2:102" s="2" customFormat="1" x14ac:dyDescent="0.25">
      <c r="B145" s="11"/>
      <c r="C145" s="13"/>
      <c r="D145" s="13"/>
      <c r="E145" s="11"/>
      <c r="F145" s="77"/>
      <c r="G145" s="77"/>
      <c r="H145" s="90"/>
      <c r="I145" s="13"/>
      <c r="J145" s="13"/>
      <c r="K145" s="13"/>
      <c r="L145" s="90"/>
      <c r="M145" s="13"/>
      <c r="N145" s="13"/>
      <c r="O145" s="90"/>
      <c r="P145" s="13"/>
      <c r="Q145" s="13"/>
      <c r="R145" s="13"/>
      <c r="S145" s="90"/>
      <c r="T145" s="13"/>
      <c r="U145" s="13"/>
      <c r="V145" s="90"/>
      <c r="W145" s="13"/>
      <c r="X145" s="13"/>
      <c r="Y145" s="90"/>
      <c r="Z145" s="13"/>
      <c r="AA145" s="13"/>
      <c r="AB145" s="13"/>
      <c r="AC145" s="90"/>
      <c r="AD145" s="13"/>
      <c r="AE145" s="13"/>
      <c r="AF145" s="90"/>
      <c r="AG145" s="13"/>
      <c r="AH145" s="13"/>
      <c r="AI145" s="13"/>
      <c r="AJ145" s="90"/>
      <c r="AK145" s="13"/>
      <c r="AL145" s="13"/>
      <c r="AM145" s="90"/>
      <c r="AN145" s="13"/>
      <c r="AO145" s="13"/>
      <c r="AP145" s="13"/>
      <c r="AQ145" s="90"/>
      <c r="AR145" s="13"/>
      <c r="AS145" s="13"/>
      <c r="AT145" s="90"/>
      <c r="AU145" s="13"/>
      <c r="AV145" s="13"/>
      <c r="AW145" s="90"/>
      <c r="AX145" s="13"/>
      <c r="AY145" s="13"/>
      <c r="AZ145" s="90"/>
      <c r="BA145" s="13"/>
      <c r="BB145" s="13"/>
      <c r="BC145" s="90"/>
      <c r="BD145" s="13"/>
      <c r="BE145" s="13"/>
      <c r="BF145" s="13"/>
      <c r="BG145" s="90"/>
      <c r="BH145" s="13"/>
      <c r="BI145" s="13"/>
      <c r="BJ145" s="90"/>
      <c r="BK145" s="13"/>
      <c r="BL145" s="13"/>
      <c r="BM145" s="13"/>
      <c r="BN145" s="90"/>
      <c r="BO145" s="13"/>
      <c r="BP145" s="13"/>
      <c r="BQ145" s="90"/>
      <c r="BR145" s="13"/>
      <c r="BS145" s="13"/>
      <c r="BT145" s="13"/>
      <c r="BU145" s="90"/>
      <c r="BV145" s="13"/>
      <c r="BW145" s="13"/>
      <c r="BX145" s="90"/>
      <c r="BY145" s="13"/>
      <c r="BZ145" s="13"/>
      <c r="CA145" s="90"/>
      <c r="CB145" s="13"/>
      <c r="CC145" s="13"/>
      <c r="CD145" s="13"/>
      <c r="CE145" s="90"/>
      <c r="CF145" s="13"/>
      <c r="CG145" s="13"/>
      <c r="CH145" s="90"/>
      <c r="CI145" s="13"/>
      <c r="CJ145" s="13"/>
      <c r="CK145" s="13"/>
      <c r="CL145" s="90"/>
      <c r="CM145" s="13"/>
      <c r="CN145" s="13"/>
      <c r="CO145" s="90"/>
      <c r="CP145" s="13"/>
      <c r="CQ145" s="13"/>
      <c r="CR145" s="13"/>
      <c r="CS145" s="90"/>
      <c r="CT145" s="13"/>
      <c r="CU145" s="13"/>
      <c r="CV145" s="90"/>
      <c r="CW145" s="13"/>
      <c r="CX145" s="13"/>
    </row>
    <row r="146" spans="2:102" s="2" customFormat="1" x14ac:dyDescent="0.25">
      <c r="B146" s="11"/>
      <c r="C146" s="13"/>
      <c r="D146" s="13"/>
      <c r="E146" s="11"/>
      <c r="F146" s="13"/>
      <c r="G146" s="13"/>
      <c r="H146" s="90"/>
      <c r="I146" s="13"/>
      <c r="J146" s="13"/>
      <c r="K146" s="82"/>
      <c r="L146" s="90"/>
      <c r="M146" s="13"/>
      <c r="N146" s="13"/>
      <c r="O146" s="90"/>
      <c r="P146" s="13"/>
      <c r="Q146" s="13"/>
      <c r="R146" s="13"/>
      <c r="S146" s="90"/>
      <c r="T146" s="13"/>
      <c r="U146" s="13"/>
      <c r="V146" s="90"/>
      <c r="W146" s="13"/>
      <c r="X146" s="13"/>
      <c r="Y146" s="90"/>
      <c r="Z146" s="13"/>
      <c r="AA146" s="13"/>
      <c r="AB146" s="13"/>
      <c r="AC146" s="90"/>
      <c r="AD146" s="13"/>
      <c r="AE146" s="13"/>
      <c r="AF146" s="90"/>
      <c r="AG146" s="13"/>
      <c r="AH146" s="13"/>
      <c r="AI146" s="13"/>
      <c r="AJ146" s="90"/>
      <c r="AK146" s="13"/>
      <c r="AL146" s="13"/>
      <c r="AM146" s="90"/>
      <c r="AN146" s="13"/>
      <c r="AO146" s="13"/>
      <c r="AP146" s="13"/>
      <c r="AQ146" s="90"/>
      <c r="AR146" s="13"/>
      <c r="AS146" s="13"/>
      <c r="AT146" s="90"/>
      <c r="AU146" s="13"/>
      <c r="AV146" s="13"/>
      <c r="AW146" s="90"/>
      <c r="AX146" s="13"/>
      <c r="AY146" s="13"/>
      <c r="AZ146" s="90"/>
      <c r="BA146" s="13"/>
      <c r="BB146" s="13"/>
      <c r="BC146" s="90"/>
      <c r="BD146" s="13"/>
      <c r="BE146" s="13"/>
      <c r="BF146" s="13"/>
      <c r="BG146" s="90"/>
      <c r="BH146" s="13"/>
      <c r="BI146" s="13"/>
      <c r="BJ146" s="90"/>
      <c r="BK146" s="13"/>
      <c r="BL146" s="13"/>
      <c r="BM146" s="13"/>
      <c r="BN146" s="90"/>
      <c r="BO146" s="13"/>
      <c r="BP146" s="13"/>
      <c r="BQ146" s="90"/>
      <c r="BR146" s="13"/>
      <c r="BS146" s="13"/>
      <c r="BT146" s="13"/>
      <c r="BU146" s="90"/>
      <c r="BV146" s="13"/>
      <c r="BW146" s="13"/>
      <c r="BX146" s="90"/>
      <c r="BY146" s="13"/>
      <c r="BZ146" s="13"/>
      <c r="CA146" s="90"/>
      <c r="CB146" s="13"/>
      <c r="CC146" s="13"/>
      <c r="CD146" s="13"/>
      <c r="CE146" s="90"/>
      <c r="CF146" s="13"/>
      <c r="CG146" s="13"/>
      <c r="CH146" s="90"/>
      <c r="CI146" s="13"/>
      <c r="CJ146" s="13"/>
      <c r="CK146" s="13"/>
      <c r="CL146" s="90"/>
      <c r="CM146" s="13"/>
      <c r="CN146" s="13"/>
      <c r="CO146" s="90"/>
      <c r="CP146" s="13"/>
      <c r="CQ146" s="13"/>
      <c r="CR146" s="13"/>
      <c r="CS146" s="90"/>
      <c r="CT146" s="13"/>
      <c r="CU146" s="13"/>
      <c r="CV146" s="90"/>
      <c r="CW146" s="13"/>
      <c r="CX146" s="13"/>
    </row>
    <row r="147" spans="2:102" s="2" customFormat="1" x14ac:dyDescent="0.25">
      <c r="B147" s="11"/>
      <c r="C147" s="13"/>
      <c r="D147" s="13"/>
      <c r="E147" s="11"/>
      <c r="F147" s="13"/>
      <c r="G147" s="13"/>
      <c r="H147" s="90"/>
      <c r="I147" s="13"/>
      <c r="J147" s="13"/>
      <c r="K147" s="13"/>
      <c r="L147" s="90"/>
      <c r="M147" s="13"/>
      <c r="N147" s="13"/>
      <c r="O147" s="90"/>
      <c r="P147" s="13"/>
      <c r="Q147" s="13"/>
      <c r="R147" s="13"/>
      <c r="S147" s="90"/>
      <c r="T147" s="13"/>
      <c r="U147" s="13"/>
      <c r="V147" s="90"/>
      <c r="W147" s="13"/>
      <c r="X147" s="13"/>
      <c r="Y147" s="90"/>
      <c r="Z147" s="13"/>
      <c r="AA147" s="13"/>
      <c r="AB147" s="13"/>
      <c r="AC147" s="90"/>
      <c r="AD147" s="13"/>
      <c r="AE147" s="13"/>
      <c r="AF147" s="90"/>
      <c r="AG147" s="13"/>
      <c r="AH147" s="13"/>
      <c r="AI147" s="13"/>
      <c r="AJ147" s="90"/>
      <c r="AK147" s="13"/>
      <c r="AL147" s="13"/>
      <c r="AM147" s="90"/>
      <c r="AN147" s="13"/>
      <c r="AO147" s="13"/>
      <c r="AP147" s="13"/>
      <c r="AQ147" s="90"/>
      <c r="AR147" s="13"/>
      <c r="AS147" s="13"/>
      <c r="AT147" s="90"/>
      <c r="AU147" s="13"/>
      <c r="AV147" s="13"/>
      <c r="AW147" s="90"/>
      <c r="AX147" s="13"/>
      <c r="AY147" s="13"/>
      <c r="AZ147" s="90"/>
      <c r="BA147" s="13"/>
      <c r="BB147" s="13"/>
      <c r="BC147" s="90"/>
      <c r="BD147" s="13"/>
      <c r="BE147" s="13"/>
      <c r="BF147" s="13"/>
      <c r="BG147" s="90"/>
      <c r="BH147" s="13"/>
      <c r="BI147" s="13"/>
      <c r="BJ147" s="90"/>
      <c r="BK147" s="13"/>
      <c r="BL147" s="13"/>
      <c r="BM147" s="13"/>
      <c r="BN147" s="90"/>
      <c r="BO147" s="13"/>
      <c r="BP147" s="13"/>
      <c r="BQ147" s="90"/>
      <c r="BR147" s="13"/>
      <c r="BS147" s="13"/>
      <c r="BT147" s="13"/>
      <c r="BU147" s="90"/>
      <c r="BV147" s="13"/>
      <c r="BW147" s="13"/>
      <c r="BX147" s="90"/>
      <c r="BY147" s="13"/>
      <c r="BZ147" s="13"/>
      <c r="CA147" s="90"/>
      <c r="CB147" s="13"/>
      <c r="CC147" s="13"/>
      <c r="CD147" s="13"/>
      <c r="CE147" s="90"/>
      <c r="CF147" s="13"/>
      <c r="CG147" s="13"/>
      <c r="CH147" s="90"/>
      <c r="CI147" s="13"/>
      <c r="CJ147" s="13"/>
      <c r="CK147" s="13"/>
      <c r="CL147" s="90"/>
      <c r="CM147" s="13"/>
      <c r="CN147" s="13"/>
      <c r="CO147" s="90"/>
      <c r="CP147" s="13"/>
      <c r="CQ147" s="13"/>
      <c r="CR147" s="13"/>
      <c r="CS147" s="90"/>
      <c r="CT147" s="13"/>
      <c r="CU147" s="13"/>
      <c r="CV147" s="90"/>
      <c r="CW147" s="13"/>
      <c r="CX147" s="13"/>
    </row>
    <row r="148" spans="2:102" s="2" customFormat="1" x14ac:dyDescent="0.25">
      <c r="B148" s="11"/>
      <c r="C148" s="13"/>
      <c r="D148" s="13"/>
      <c r="E148" s="11"/>
      <c r="F148" s="13"/>
      <c r="G148" s="13"/>
      <c r="H148" s="90"/>
      <c r="I148" s="13"/>
      <c r="J148" s="13"/>
      <c r="K148" s="13"/>
      <c r="L148" s="90"/>
      <c r="M148" s="13"/>
      <c r="N148" s="13"/>
      <c r="O148" s="90"/>
      <c r="P148" s="13"/>
      <c r="Q148" s="13"/>
      <c r="R148" s="13"/>
      <c r="S148" s="90"/>
      <c r="T148" s="13"/>
      <c r="U148" s="13"/>
      <c r="V148" s="90"/>
      <c r="W148" s="13"/>
      <c r="X148" s="13"/>
      <c r="Y148" s="90"/>
      <c r="Z148" s="13"/>
      <c r="AA148" s="13"/>
      <c r="AB148" s="13"/>
      <c r="AC148" s="90"/>
      <c r="AD148" s="13"/>
      <c r="AE148" s="13"/>
      <c r="AF148" s="90"/>
      <c r="AG148" s="13"/>
      <c r="AH148" s="13"/>
      <c r="AI148" s="13"/>
      <c r="AJ148" s="90"/>
      <c r="AK148" s="13"/>
      <c r="AL148" s="13"/>
      <c r="AM148" s="90"/>
      <c r="AN148" s="13"/>
      <c r="AO148" s="13"/>
      <c r="AP148" s="13"/>
      <c r="AQ148" s="90"/>
      <c r="AR148" s="13"/>
      <c r="AS148" s="13"/>
      <c r="AT148" s="90"/>
      <c r="AU148" s="13"/>
      <c r="AV148" s="13"/>
      <c r="AW148" s="90"/>
      <c r="AX148" s="13"/>
      <c r="AY148" s="13"/>
      <c r="AZ148" s="90"/>
      <c r="BA148" s="13"/>
      <c r="BB148" s="13"/>
      <c r="BC148" s="90"/>
      <c r="BD148" s="13"/>
      <c r="BE148" s="13"/>
      <c r="BF148" s="13"/>
      <c r="BG148" s="90"/>
      <c r="BH148" s="13"/>
      <c r="BI148" s="13"/>
      <c r="BJ148" s="90"/>
      <c r="BK148" s="13"/>
      <c r="BL148" s="13"/>
      <c r="BM148" s="13"/>
      <c r="BN148" s="90"/>
      <c r="BO148" s="13"/>
      <c r="BP148" s="13"/>
      <c r="BQ148" s="90"/>
      <c r="BR148" s="13"/>
      <c r="BS148" s="13"/>
      <c r="BT148" s="13"/>
      <c r="BU148" s="90"/>
      <c r="BV148" s="13"/>
      <c r="BW148" s="13"/>
      <c r="BX148" s="90"/>
      <c r="BY148" s="13"/>
      <c r="BZ148" s="13"/>
      <c r="CA148" s="90"/>
      <c r="CB148" s="13"/>
      <c r="CC148" s="13"/>
      <c r="CD148" s="13"/>
      <c r="CE148" s="90"/>
      <c r="CF148" s="13"/>
      <c r="CG148" s="13"/>
      <c r="CH148" s="90"/>
      <c r="CI148" s="13"/>
      <c r="CJ148" s="13"/>
      <c r="CK148" s="13"/>
      <c r="CL148" s="90"/>
      <c r="CM148" s="13"/>
      <c r="CN148" s="13"/>
      <c r="CO148" s="90"/>
      <c r="CP148" s="13"/>
      <c r="CQ148" s="13"/>
      <c r="CR148" s="13"/>
      <c r="CS148" s="90"/>
      <c r="CT148" s="13"/>
      <c r="CU148" s="13"/>
      <c r="CV148" s="90"/>
      <c r="CW148" s="13"/>
      <c r="CX148" s="13"/>
    </row>
    <row r="149" spans="2:102" s="2" customFormat="1" x14ac:dyDescent="0.25">
      <c r="B149" s="11"/>
      <c r="C149" s="13"/>
      <c r="D149" s="13"/>
      <c r="E149" s="11"/>
      <c r="F149" s="13"/>
      <c r="G149" s="13"/>
      <c r="H149" s="90"/>
      <c r="I149" s="13"/>
      <c r="J149" s="13"/>
      <c r="K149" s="13"/>
      <c r="L149" s="90"/>
      <c r="M149" s="13"/>
      <c r="N149" s="13"/>
      <c r="O149" s="90"/>
      <c r="P149" s="13"/>
      <c r="Q149" s="13"/>
      <c r="R149" s="13"/>
      <c r="S149" s="90"/>
      <c r="T149" s="13"/>
      <c r="U149" s="13"/>
      <c r="V149" s="90"/>
      <c r="W149" s="13"/>
      <c r="X149" s="13"/>
      <c r="Y149" s="90"/>
      <c r="Z149" s="13"/>
      <c r="AA149" s="13"/>
      <c r="AB149" s="13"/>
      <c r="AC149" s="90"/>
      <c r="AD149" s="13"/>
      <c r="AE149" s="13"/>
      <c r="AF149" s="90"/>
      <c r="AG149" s="13"/>
      <c r="AH149" s="13"/>
      <c r="AI149" s="13"/>
      <c r="AJ149" s="90"/>
      <c r="AK149" s="13"/>
      <c r="AL149" s="13"/>
      <c r="AM149" s="90"/>
      <c r="AN149" s="13"/>
      <c r="AO149" s="13"/>
      <c r="AP149" s="13"/>
      <c r="AQ149" s="90"/>
      <c r="AR149" s="13"/>
      <c r="AS149" s="13"/>
      <c r="AT149" s="90"/>
      <c r="AU149" s="13"/>
      <c r="AV149" s="13"/>
      <c r="AW149" s="90"/>
      <c r="AX149" s="13"/>
      <c r="AY149" s="13"/>
      <c r="AZ149" s="90"/>
      <c r="BA149" s="13"/>
      <c r="BB149" s="13"/>
      <c r="BC149" s="90"/>
      <c r="BD149" s="13"/>
      <c r="BE149" s="13"/>
      <c r="BF149" s="13"/>
      <c r="BG149" s="90"/>
      <c r="BH149" s="13"/>
      <c r="BI149" s="13"/>
      <c r="BJ149" s="90"/>
      <c r="BK149" s="13"/>
      <c r="BL149" s="13"/>
      <c r="BM149" s="13"/>
      <c r="BN149" s="90"/>
      <c r="BO149" s="13"/>
      <c r="BP149" s="13"/>
      <c r="BQ149" s="90"/>
      <c r="BR149" s="13"/>
      <c r="BS149" s="13"/>
      <c r="BT149" s="13"/>
      <c r="BU149" s="90"/>
      <c r="BV149" s="13"/>
      <c r="BW149" s="13"/>
      <c r="BX149" s="90"/>
      <c r="BY149" s="13"/>
      <c r="BZ149" s="13"/>
      <c r="CA149" s="90"/>
      <c r="CB149" s="13"/>
      <c r="CC149" s="13"/>
      <c r="CD149" s="13"/>
      <c r="CE149" s="90"/>
      <c r="CF149" s="13"/>
      <c r="CG149" s="13"/>
      <c r="CH149" s="90"/>
      <c r="CI149" s="13"/>
      <c r="CJ149" s="13"/>
      <c r="CK149" s="13"/>
      <c r="CL149" s="90"/>
      <c r="CM149" s="13"/>
      <c r="CN149" s="13"/>
      <c r="CO149" s="90"/>
      <c r="CP149" s="13"/>
      <c r="CQ149" s="13"/>
      <c r="CR149" s="13"/>
      <c r="CS149" s="90"/>
      <c r="CT149" s="13"/>
      <c r="CU149" s="13"/>
      <c r="CV149" s="90"/>
      <c r="CW149" s="13"/>
      <c r="CX149" s="13"/>
    </row>
    <row r="150" spans="2:102" s="2" customFormat="1" x14ac:dyDescent="0.25">
      <c r="B150" s="11"/>
      <c r="C150" s="13"/>
      <c r="D150" s="13"/>
      <c r="E150" s="11"/>
      <c r="F150" s="13"/>
      <c r="G150" s="13"/>
      <c r="H150" s="90"/>
      <c r="I150" s="13"/>
      <c r="J150" s="13"/>
      <c r="K150" s="13"/>
      <c r="L150" s="90"/>
      <c r="M150" s="13"/>
      <c r="N150" s="13"/>
      <c r="O150" s="90"/>
      <c r="P150" s="13"/>
      <c r="Q150" s="13"/>
      <c r="R150" s="13"/>
      <c r="S150" s="90"/>
      <c r="T150" s="13"/>
      <c r="U150" s="13"/>
      <c r="V150" s="90"/>
      <c r="W150" s="13"/>
      <c r="X150" s="13"/>
      <c r="Y150" s="90"/>
      <c r="Z150" s="13"/>
      <c r="AA150" s="13"/>
      <c r="AB150" s="13"/>
      <c r="AC150" s="90"/>
      <c r="AD150" s="13"/>
      <c r="AE150" s="13"/>
      <c r="AF150" s="90"/>
      <c r="AG150" s="13"/>
      <c r="AH150" s="13"/>
      <c r="AI150" s="13"/>
      <c r="AJ150" s="90"/>
      <c r="AK150" s="13"/>
      <c r="AL150" s="13"/>
      <c r="AM150" s="90"/>
      <c r="AN150" s="13"/>
      <c r="AO150" s="13"/>
      <c r="AP150" s="13"/>
      <c r="AQ150" s="90"/>
      <c r="AR150" s="13"/>
      <c r="AS150" s="13"/>
      <c r="AT150" s="90"/>
      <c r="AU150" s="13"/>
      <c r="AV150" s="13"/>
      <c r="AW150" s="90"/>
      <c r="AX150" s="13"/>
      <c r="AY150" s="13"/>
      <c r="AZ150" s="90"/>
      <c r="BA150" s="13"/>
      <c r="BB150" s="13"/>
      <c r="BC150" s="90"/>
      <c r="BD150" s="13"/>
      <c r="BE150" s="13"/>
      <c r="BF150" s="13"/>
      <c r="BG150" s="90"/>
      <c r="BH150" s="13"/>
      <c r="BI150" s="13"/>
      <c r="BJ150" s="90"/>
      <c r="BK150" s="13"/>
      <c r="BL150" s="13"/>
      <c r="BM150" s="13"/>
      <c r="BN150" s="90"/>
      <c r="BO150" s="13"/>
      <c r="BP150" s="13"/>
      <c r="BQ150" s="90"/>
      <c r="BR150" s="13"/>
      <c r="BS150" s="13"/>
      <c r="BT150" s="13"/>
      <c r="BU150" s="90"/>
      <c r="BV150" s="13"/>
      <c r="BW150" s="13"/>
      <c r="BX150" s="90"/>
      <c r="BY150" s="13"/>
      <c r="BZ150" s="13"/>
      <c r="CA150" s="90"/>
      <c r="CB150" s="13"/>
      <c r="CC150" s="13"/>
      <c r="CD150" s="13"/>
      <c r="CE150" s="90"/>
      <c r="CF150" s="13"/>
      <c r="CG150" s="13"/>
      <c r="CH150" s="90"/>
      <c r="CI150" s="13"/>
      <c r="CJ150" s="13"/>
      <c r="CK150" s="13"/>
      <c r="CL150" s="90"/>
      <c r="CM150" s="13"/>
      <c r="CN150" s="13"/>
      <c r="CO150" s="90"/>
      <c r="CP150" s="13"/>
      <c r="CQ150" s="13"/>
      <c r="CR150" s="13"/>
      <c r="CS150" s="90"/>
      <c r="CT150" s="13"/>
      <c r="CU150" s="13"/>
      <c r="CV150" s="90"/>
      <c r="CW150" s="13"/>
      <c r="CX150" s="13"/>
    </row>
    <row r="151" spans="2:102" s="2" customFormat="1" x14ac:dyDescent="0.25">
      <c r="B151" s="11"/>
      <c r="C151" s="13"/>
      <c r="D151" s="13"/>
      <c r="E151" s="11"/>
      <c r="F151" s="13"/>
      <c r="G151" s="13"/>
      <c r="H151" s="90"/>
      <c r="I151" s="13"/>
      <c r="J151" s="13"/>
      <c r="K151" s="13"/>
      <c r="L151" s="90"/>
      <c r="M151" s="13"/>
      <c r="N151" s="13"/>
      <c r="O151" s="90"/>
      <c r="P151" s="13"/>
      <c r="Q151" s="13"/>
      <c r="R151" s="13"/>
      <c r="S151" s="90"/>
      <c r="T151" s="13"/>
      <c r="U151" s="13"/>
      <c r="V151" s="90"/>
      <c r="W151" s="13"/>
      <c r="X151" s="13"/>
      <c r="Y151" s="90"/>
      <c r="Z151" s="13"/>
      <c r="AA151" s="13"/>
      <c r="AB151" s="13"/>
      <c r="AC151" s="90"/>
      <c r="AD151" s="13"/>
      <c r="AE151" s="13"/>
      <c r="AF151" s="90"/>
      <c r="AG151" s="13"/>
      <c r="AH151" s="13"/>
      <c r="AI151" s="13"/>
      <c r="AJ151" s="90"/>
      <c r="AK151" s="13"/>
      <c r="AL151" s="13"/>
      <c r="AM151" s="90"/>
      <c r="AN151" s="13"/>
      <c r="AO151" s="13"/>
      <c r="AP151" s="13"/>
      <c r="AQ151" s="90"/>
      <c r="AR151" s="13"/>
      <c r="AS151" s="13"/>
      <c r="AT151" s="90"/>
      <c r="AU151" s="13"/>
      <c r="AV151" s="13"/>
      <c r="AW151" s="90"/>
      <c r="AX151" s="13"/>
      <c r="AY151" s="13"/>
      <c r="AZ151" s="90"/>
      <c r="BA151" s="13"/>
      <c r="BB151" s="13"/>
      <c r="BC151" s="90"/>
      <c r="BD151" s="13"/>
      <c r="BE151" s="13"/>
      <c r="BF151" s="13"/>
      <c r="BG151" s="90"/>
      <c r="BH151" s="13"/>
      <c r="BI151" s="13"/>
      <c r="BJ151" s="90"/>
      <c r="BK151" s="13"/>
      <c r="BL151" s="13"/>
      <c r="BM151" s="13"/>
      <c r="BN151" s="90"/>
      <c r="BO151" s="13"/>
      <c r="BP151" s="13"/>
      <c r="BQ151" s="90"/>
      <c r="BR151" s="13"/>
      <c r="BS151" s="13"/>
      <c r="BT151" s="13"/>
      <c r="BU151" s="90"/>
      <c r="BV151" s="13"/>
      <c r="BW151" s="13"/>
      <c r="BX151" s="90"/>
      <c r="BY151" s="13"/>
      <c r="BZ151" s="13"/>
      <c r="CA151" s="90"/>
      <c r="CB151" s="13"/>
      <c r="CC151" s="13"/>
      <c r="CD151" s="13"/>
      <c r="CE151" s="90"/>
      <c r="CF151" s="13"/>
      <c r="CG151" s="13"/>
      <c r="CH151" s="90"/>
      <c r="CI151" s="13"/>
      <c r="CJ151" s="13"/>
      <c r="CK151" s="13"/>
      <c r="CL151" s="90"/>
      <c r="CM151" s="13"/>
      <c r="CN151" s="13"/>
      <c r="CO151" s="90"/>
      <c r="CP151" s="13"/>
      <c r="CQ151" s="13"/>
      <c r="CR151" s="13"/>
      <c r="CS151" s="90"/>
      <c r="CT151" s="13"/>
      <c r="CU151" s="13"/>
      <c r="CV151" s="90"/>
      <c r="CW151" s="13"/>
      <c r="CX151" s="13"/>
    </row>
    <row r="152" spans="2:102" s="2" customFormat="1" x14ac:dyDescent="0.25">
      <c r="B152" s="11"/>
      <c r="C152" s="13"/>
      <c r="D152" s="13"/>
      <c r="E152" s="11"/>
      <c r="F152" s="13"/>
      <c r="G152" s="13"/>
      <c r="H152" s="90"/>
      <c r="I152" s="13"/>
      <c r="J152" s="13"/>
      <c r="K152" s="13"/>
      <c r="L152" s="90"/>
      <c r="M152" s="13"/>
      <c r="N152" s="13"/>
      <c r="O152" s="90"/>
      <c r="P152" s="13"/>
      <c r="Q152" s="13"/>
      <c r="R152" s="13"/>
      <c r="S152" s="90"/>
      <c r="T152" s="13"/>
      <c r="U152" s="13"/>
      <c r="V152" s="90"/>
      <c r="W152" s="13"/>
      <c r="X152" s="13"/>
      <c r="Y152" s="90"/>
      <c r="Z152" s="13"/>
      <c r="AA152" s="13"/>
      <c r="AB152" s="13"/>
      <c r="AC152" s="90"/>
      <c r="AD152" s="13"/>
      <c r="AE152" s="13"/>
      <c r="AF152" s="90"/>
      <c r="AG152" s="13"/>
      <c r="AH152" s="13"/>
      <c r="AI152" s="13"/>
      <c r="AJ152" s="90"/>
      <c r="AK152" s="13"/>
      <c r="AL152" s="13"/>
      <c r="AM152" s="90"/>
      <c r="AN152" s="13"/>
      <c r="AO152" s="13"/>
      <c r="AP152" s="13"/>
      <c r="AQ152" s="90"/>
      <c r="AR152" s="13"/>
      <c r="AS152" s="13"/>
      <c r="AT152" s="90"/>
      <c r="AU152" s="13"/>
      <c r="AV152" s="13"/>
      <c r="AW152" s="90"/>
      <c r="AX152" s="13"/>
      <c r="AY152" s="13"/>
      <c r="AZ152" s="90"/>
      <c r="BA152" s="13"/>
      <c r="BB152" s="13"/>
      <c r="BC152" s="90"/>
      <c r="BD152" s="13"/>
      <c r="BE152" s="13"/>
      <c r="BF152" s="13"/>
      <c r="BG152" s="90"/>
      <c r="BH152" s="13"/>
      <c r="BI152" s="13"/>
      <c r="BJ152" s="90"/>
      <c r="BK152" s="13"/>
      <c r="BL152" s="13"/>
      <c r="BM152" s="13"/>
      <c r="BN152" s="90"/>
      <c r="BO152" s="13"/>
      <c r="BP152" s="13"/>
      <c r="BQ152" s="90"/>
      <c r="BR152" s="13"/>
      <c r="BS152" s="13"/>
      <c r="BT152" s="13"/>
      <c r="BU152" s="90"/>
      <c r="BV152" s="13"/>
      <c r="BW152" s="13"/>
      <c r="BX152" s="90"/>
      <c r="BY152" s="13"/>
      <c r="BZ152" s="13"/>
      <c r="CA152" s="90"/>
      <c r="CB152" s="13"/>
      <c r="CC152" s="13"/>
      <c r="CD152" s="13"/>
      <c r="CE152" s="90"/>
      <c r="CF152" s="13"/>
      <c r="CG152" s="13"/>
      <c r="CH152" s="90"/>
      <c r="CI152" s="13"/>
      <c r="CJ152" s="13"/>
      <c r="CK152" s="13"/>
      <c r="CL152" s="90"/>
      <c r="CM152" s="13"/>
      <c r="CN152" s="13"/>
      <c r="CO152" s="90"/>
      <c r="CP152" s="13"/>
      <c r="CQ152" s="13"/>
      <c r="CR152" s="13"/>
      <c r="CS152" s="90"/>
      <c r="CT152" s="13"/>
      <c r="CU152" s="13"/>
      <c r="CV152" s="90"/>
      <c r="CW152" s="13"/>
      <c r="CX152" s="13"/>
    </row>
    <row r="153" spans="2:102" s="2" customFormat="1" x14ac:dyDescent="0.25">
      <c r="B153" s="11"/>
      <c r="C153" s="13"/>
      <c r="D153" s="13"/>
      <c r="E153" s="11"/>
      <c r="F153" s="13"/>
      <c r="G153" s="13"/>
      <c r="H153" s="90"/>
      <c r="I153" s="13"/>
      <c r="J153" s="13"/>
      <c r="K153" s="13"/>
      <c r="L153" s="90"/>
      <c r="M153" s="13"/>
      <c r="N153" s="13"/>
      <c r="O153" s="90"/>
      <c r="P153" s="13"/>
      <c r="Q153" s="13"/>
      <c r="R153" s="13"/>
      <c r="S153" s="90"/>
      <c r="T153" s="13"/>
      <c r="U153" s="13"/>
      <c r="V153" s="90"/>
      <c r="W153" s="13"/>
      <c r="X153" s="13"/>
      <c r="Y153" s="90"/>
      <c r="Z153" s="13"/>
      <c r="AA153" s="13"/>
      <c r="AB153" s="13"/>
      <c r="AC153" s="90"/>
      <c r="AD153" s="13"/>
      <c r="AE153" s="13"/>
      <c r="AF153" s="90"/>
      <c r="AG153" s="13"/>
      <c r="AH153" s="13"/>
      <c r="AI153" s="13"/>
      <c r="AJ153" s="90"/>
      <c r="AK153" s="13"/>
      <c r="AL153" s="13"/>
      <c r="AM153" s="90"/>
      <c r="AN153" s="13"/>
      <c r="AO153" s="13"/>
      <c r="AP153" s="13"/>
      <c r="AQ153" s="90"/>
      <c r="AR153" s="13"/>
      <c r="AS153" s="13"/>
      <c r="AT153" s="90"/>
      <c r="AU153" s="13"/>
      <c r="AV153" s="13"/>
      <c r="AW153" s="90"/>
      <c r="AX153" s="13"/>
      <c r="AY153" s="13"/>
      <c r="AZ153" s="90"/>
      <c r="BA153" s="13"/>
      <c r="BB153" s="13"/>
      <c r="BC153" s="90"/>
      <c r="BD153" s="13"/>
      <c r="BE153" s="13"/>
      <c r="BF153" s="13"/>
      <c r="BG153" s="90"/>
      <c r="BH153" s="13"/>
      <c r="BI153" s="13"/>
      <c r="BJ153" s="90"/>
      <c r="BK153" s="13"/>
      <c r="BL153" s="13"/>
      <c r="BM153" s="13"/>
      <c r="BN153" s="90"/>
      <c r="BO153" s="13"/>
      <c r="BP153" s="13"/>
      <c r="BQ153" s="90"/>
      <c r="BR153" s="13"/>
      <c r="BS153" s="13"/>
      <c r="BT153" s="13"/>
      <c r="BU153" s="90"/>
      <c r="BV153" s="13"/>
      <c r="BW153" s="13"/>
      <c r="BX153" s="90"/>
      <c r="BY153" s="13"/>
      <c r="BZ153" s="13"/>
      <c r="CA153" s="90"/>
      <c r="CB153" s="13"/>
      <c r="CC153" s="13"/>
      <c r="CD153" s="13"/>
      <c r="CE153" s="90"/>
      <c r="CF153" s="13"/>
      <c r="CG153" s="13"/>
      <c r="CH153" s="90"/>
      <c r="CI153" s="13"/>
      <c r="CJ153" s="13"/>
      <c r="CK153" s="13"/>
      <c r="CL153" s="90"/>
      <c r="CM153" s="13"/>
      <c r="CN153" s="13"/>
      <c r="CO153" s="90"/>
      <c r="CP153" s="13"/>
      <c r="CQ153" s="13"/>
      <c r="CR153" s="13"/>
      <c r="CS153" s="90"/>
      <c r="CT153" s="13"/>
      <c r="CU153" s="13"/>
      <c r="CV153" s="90"/>
      <c r="CW153" s="13"/>
      <c r="CX153" s="13"/>
    </row>
    <row r="154" spans="2:102" s="2" customFormat="1" x14ac:dyDescent="0.25">
      <c r="B154" s="11"/>
      <c r="C154" s="13"/>
      <c r="D154" s="13"/>
      <c r="E154" s="11"/>
      <c r="F154" s="13"/>
      <c r="G154" s="13"/>
      <c r="H154" s="90"/>
      <c r="I154" s="13"/>
      <c r="J154" s="13"/>
      <c r="K154" s="13"/>
      <c r="L154" s="90"/>
      <c r="M154" s="13"/>
      <c r="N154" s="13"/>
      <c r="O154" s="90"/>
      <c r="P154" s="13"/>
      <c r="Q154" s="13"/>
      <c r="R154" s="13"/>
      <c r="S154" s="90"/>
      <c r="T154" s="13"/>
      <c r="U154" s="13"/>
      <c r="V154" s="90"/>
      <c r="W154" s="13"/>
      <c r="X154" s="13"/>
      <c r="Y154" s="90"/>
      <c r="Z154" s="13"/>
      <c r="AA154" s="13"/>
      <c r="AB154" s="13"/>
      <c r="AC154" s="90"/>
      <c r="AD154" s="13"/>
      <c r="AE154" s="13"/>
      <c r="AF154" s="90"/>
      <c r="AG154" s="13"/>
      <c r="AH154" s="13"/>
      <c r="AI154" s="13"/>
      <c r="AJ154" s="90"/>
      <c r="AK154" s="13"/>
      <c r="AL154" s="13"/>
      <c r="AM154" s="90"/>
      <c r="AN154" s="13"/>
      <c r="AO154" s="13"/>
      <c r="AP154" s="13"/>
      <c r="AQ154" s="90"/>
      <c r="AR154" s="13"/>
      <c r="AS154" s="13"/>
      <c r="AT154" s="90"/>
      <c r="AU154" s="13"/>
      <c r="AV154" s="13"/>
      <c r="AW154" s="90"/>
      <c r="AX154" s="13"/>
      <c r="AY154" s="13"/>
      <c r="AZ154" s="90"/>
      <c r="BA154" s="13"/>
      <c r="BB154" s="13"/>
      <c r="BC154" s="90"/>
      <c r="BD154" s="13"/>
      <c r="BE154" s="13"/>
      <c r="BF154" s="13"/>
      <c r="BG154" s="90"/>
      <c r="BH154" s="13"/>
      <c r="BI154" s="13"/>
      <c r="BJ154" s="90"/>
      <c r="BK154" s="13"/>
      <c r="BL154" s="13"/>
      <c r="BM154" s="13"/>
      <c r="BN154" s="90"/>
      <c r="BO154" s="13"/>
      <c r="BP154" s="13"/>
      <c r="BQ154" s="90"/>
      <c r="BR154" s="13"/>
      <c r="BS154" s="13"/>
      <c r="BT154" s="13"/>
      <c r="BU154" s="90"/>
      <c r="BV154" s="13"/>
      <c r="BW154" s="13"/>
      <c r="BX154" s="90"/>
      <c r="BY154" s="13"/>
      <c r="BZ154" s="13"/>
      <c r="CA154" s="90"/>
      <c r="CB154" s="13"/>
      <c r="CC154" s="13"/>
      <c r="CD154" s="13"/>
      <c r="CE154" s="90"/>
      <c r="CF154" s="13"/>
      <c r="CG154" s="13"/>
      <c r="CH154" s="90"/>
      <c r="CI154" s="13"/>
      <c r="CJ154" s="13"/>
      <c r="CK154" s="13"/>
      <c r="CL154" s="90"/>
      <c r="CM154" s="13"/>
      <c r="CN154" s="13"/>
      <c r="CO154" s="90"/>
      <c r="CP154" s="13"/>
      <c r="CQ154" s="13"/>
      <c r="CR154" s="13"/>
      <c r="CS154" s="90"/>
      <c r="CT154" s="13"/>
      <c r="CU154" s="13"/>
      <c r="CV154" s="90"/>
      <c r="CW154" s="13"/>
      <c r="CX154" s="13"/>
    </row>
    <row r="155" spans="2:102" s="2" customFormat="1" x14ac:dyDescent="0.25">
      <c r="B155" s="11"/>
      <c r="C155" s="13"/>
      <c r="D155" s="13"/>
      <c r="E155" s="11"/>
      <c r="F155" s="13"/>
      <c r="G155" s="13"/>
      <c r="H155" s="90"/>
      <c r="I155" s="13"/>
      <c r="J155" s="13"/>
      <c r="K155" s="13"/>
      <c r="L155" s="90"/>
      <c r="M155" s="13"/>
      <c r="N155" s="13"/>
      <c r="O155" s="90"/>
      <c r="P155" s="13"/>
      <c r="Q155" s="13"/>
      <c r="R155" s="13"/>
      <c r="S155" s="90"/>
      <c r="T155" s="13"/>
      <c r="U155" s="13"/>
      <c r="V155" s="90"/>
      <c r="W155" s="13"/>
      <c r="X155" s="13"/>
      <c r="Y155" s="90"/>
      <c r="Z155" s="13"/>
      <c r="AA155" s="13"/>
      <c r="AB155" s="13"/>
      <c r="AC155" s="90"/>
      <c r="AD155" s="13"/>
      <c r="AE155" s="13"/>
      <c r="AF155" s="90"/>
      <c r="AG155" s="13"/>
      <c r="AH155" s="13"/>
      <c r="AI155" s="13"/>
      <c r="AJ155" s="90"/>
      <c r="AK155" s="13"/>
      <c r="AL155" s="13"/>
      <c r="AM155" s="90"/>
      <c r="AN155" s="13"/>
      <c r="AO155" s="13"/>
      <c r="AP155" s="13"/>
      <c r="AQ155" s="90"/>
      <c r="AR155" s="13"/>
      <c r="AS155" s="13"/>
      <c r="AT155" s="90"/>
      <c r="AU155" s="13"/>
      <c r="AV155" s="13"/>
      <c r="AW155" s="90"/>
      <c r="AX155" s="13"/>
      <c r="AY155" s="13"/>
      <c r="AZ155" s="90"/>
      <c r="BA155" s="13"/>
      <c r="BB155" s="13"/>
      <c r="BC155" s="90"/>
      <c r="BD155" s="13"/>
      <c r="BE155" s="13"/>
      <c r="BF155" s="13"/>
      <c r="BG155" s="90"/>
      <c r="BH155" s="13"/>
      <c r="BI155" s="13"/>
      <c r="BJ155" s="90"/>
      <c r="BK155" s="13"/>
      <c r="BL155" s="13"/>
      <c r="BM155" s="13"/>
      <c r="BN155" s="90"/>
      <c r="BO155" s="13"/>
      <c r="BP155" s="13"/>
      <c r="BQ155" s="90"/>
      <c r="BR155" s="13"/>
      <c r="BS155" s="13"/>
      <c r="BT155" s="13"/>
      <c r="BU155" s="90"/>
      <c r="BV155" s="13"/>
      <c r="BW155" s="13"/>
      <c r="BX155" s="90"/>
      <c r="BY155" s="13"/>
      <c r="BZ155" s="13"/>
      <c r="CA155" s="90"/>
      <c r="CB155" s="13"/>
      <c r="CC155" s="13"/>
      <c r="CD155" s="13"/>
      <c r="CE155" s="90"/>
      <c r="CF155" s="13"/>
      <c r="CG155" s="13"/>
      <c r="CH155" s="90"/>
      <c r="CI155" s="13"/>
      <c r="CJ155" s="13"/>
      <c r="CK155" s="13"/>
      <c r="CL155" s="90"/>
      <c r="CM155" s="13"/>
      <c r="CN155" s="13"/>
      <c r="CO155" s="90"/>
      <c r="CP155" s="13"/>
      <c r="CQ155" s="13"/>
      <c r="CR155" s="13"/>
      <c r="CS155" s="90"/>
      <c r="CT155" s="13"/>
      <c r="CU155" s="13"/>
      <c r="CV155" s="90"/>
      <c r="CW155" s="13"/>
      <c r="CX155" s="13"/>
    </row>
    <row r="156" spans="2:102" s="2" customFormat="1" x14ac:dyDescent="0.25">
      <c r="B156" s="11"/>
      <c r="C156" s="13"/>
      <c r="D156" s="13"/>
      <c r="E156" s="11"/>
      <c r="F156" s="13"/>
      <c r="G156" s="13"/>
      <c r="H156" s="90"/>
      <c r="I156" s="13"/>
      <c r="J156" s="13"/>
      <c r="K156" s="13"/>
      <c r="L156" s="90"/>
      <c r="M156" s="13"/>
      <c r="N156" s="13"/>
      <c r="O156" s="90"/>
      <c r="P156" s="13"/>
      <c r="Q156" s="13"/>
      <c r="R156" s="13"/>
      <c r="S156" s="90"/>
      <c r="T156" s="13"/>
      <c r="U156" s="13"/>
      <c r="V156" s="90"/>
      <c r="W156" s="13"/>
      <c r="X156" s="13"/>
      <c r="Y156" s="90"/>
      <c r="Z156" s="13"/>
      <c r="AA156" s="13"/>
      <c r="AB156" s="13"/>
      <c r="AC156" s="90"/>
      <c r="AD156" s="13"/>
      <c r="AE156" s="13"/>
      <c r="AF156" s="90"/>
      <c r="AG156" s="13"/>
      <c r="AH156" s="13"/>
      <c r="AI156" s="13"/>
      <c r="AJ156" s="90"/>
      <c r="AK156" s="13"/>
      <c r="AL156" s="13"/>
      <c r="AM156" s="90"/>
      <c r="AN156" s="13"/>
      <c r="AO156" s="13"/>
      <c r="AP156" s="13"/>
      <c r="AQ156" s="90"/>
      <c r="AR156" s="13"/>
      <c r="AS156" s="13"/>
      <c r="AT156" s="90"/>
      <c r="AU156" s="13"/>
      <c r="AV156" s="13"/>
      <c r="AW156" s="90"/>
      <c r="AX156" s="13"/>
      <c r="AY156" s="13"/>
      <c r="AZ156" s="90"/>
      <c r="BA156" s="13"/>
      <c r="BB156" s="13"/>
      <c r="BC156" s="90"/>
      <c r="BD156" s="13"/>
      <c r="BE156" s="13"/>
      <c r="BF156" s="13"/>
      <c r="BG156" s="90"/>
      <c r="BH156" s="13"/>
      <c r="BI156" s="13"/>
      <c r="BJ156" s="90"/>
      <c r="BK156" s="13"/>
      <c r="BL156" s="13"/>
      <c r="BM156" s="13"/>
      <c r="BN156" s="90"/>
      <c r="BO156" s="13"/>
      <c r="BP156" s="13"/>
      <c r="BQ156" s="90"/>
      <c r="BR156" s="13"/>
      <c r="BS156" s="13"/>
      <c r="BT156" s="13"/>
      <c r="BU156" s="90"/>
      <c r="BV156" s="13"/>
      <c r="BW156" s="13"/>
      <c r="BX156" s="90"/>
      <c r="BY156" s="13"/>
      <c r="BZ156" s="13"/>
      <c r="CA156" s="90"/>
      <c r="CB156" s="13"/>
      <c r="CC156" s="13"/>
      <c r="CD156" s="13"/>
      <c r="CE156" s="90"/>
      <c r="CF156" s="13"/>
      <c r="CG156" s="13"/>
      <c r="CH156" s="90"/>
      <c r="CI156" s="13"/>
      <c r="CJ156" s="13"/>
      <c r="CK156" s="13"/>
      <c r="CL156" s="90"/>
      <c r="CM156" s="13"/>
      <c r="CN156" s="13"/>
      <c r="CO156" s="90"/>
      <c r="CP156" s="13"/>
      <c r="CQ156" s="13"/>
      <c r="CR156" s="13"/>
      <c r="CS156" s="90"/>
      <c r="CT156" s="13"/>
      <c r="CU156" s="13"/>
      <c r="CV156" s="90"/>
      <c r="CW156" s="13"/>
      <c r="CX156" s="13"/>
    </row>
    <row r="157" spans="2:102" s="2" customFormat="1" x14ac:dyDescent="0.25">
      <c r="B157" s="11"/>
      <c r="C157" s="13"/>
      <c r="D157" s="13"/>
      <c r="E157" s="11"/>
      <c r="F157" s="13"/>
      <c r="G157" s="13"/>
      <c r="H157" s="90"/>
      <c r="I157" s="13"/>
      <c r="J157" s="13"/>
      <c r="K157" s="13"/>
      <c r="L157" s="90"/>
      <c r="M157" s="13"/>
      <c r="N157" s="13"/>
      <c r="O157" s="90"/>
      <c r="P157" s="13"/>
      <c r="Q157" s="13"/>
      <c r="R157" s="13"/>
      <c r="S157" s="90"/>
      <c r="T157" s="13"/>
      <c r="U157" s="13"/>
      <c r="V157" s="90"/>
      <c r="W157" s="13"/>
      <c r="X157" s="13"/>
      <c r="Y157" s="90"/>
      <c r="Z157" s="13"/>
      <c r="AA157" s="13"/>
      <c r="AB157" s="13"/>
      <c r="AC157" s="90"/>
      <c r="AD157" s="13"/>
      <c r="AE157" s="13"/>
      <c r="AF157" s="90"/>
      <c r="AG157" s="13"/>
      <c r="AH157" s="13"/>
      <c r="AI157" s="13"/>
      <c r="AJ157" s="90"/>
      <c r="AK157" s="13"/>
      <c r="AL157" s="13"/>
      <c r="AM157" s="90"/>
      <c r="AN157" s="13"/>
      <c r="AO157" s="13"/>
      <c r="AP157" s="13"/>
      <c r="AQ157" s="90"/>
      <c r="AR157" s="13"/>
      <c r="AS157" s="13"/>
      <c r="AT157" s="90"/>
      <c r="AU157" s="13"/>
      <c r="AV157" s="13"/>
      <c r="AW157" s="90"/>
      <c r="AX157" s="13"/>
      <c r="AY157" s="13"/>
      <c r="AZ157" s="90"/>
      <c r="BA157" s="13"/>
      <c r="BB157" s="13"/>
      <c r="BC157" s="90"/>
      <c r="BD157" s="13"/>
      <c r="BE157" s="13"/>
      <c r="BF157" s="13"/>
      <c r="BG157" s="90"/>
      <c r="BH157" s="13"/>
      <c r="BI157" s="13"/>
      <c r="BJ157" s="90"/>
      <c r="BK157" s="13"/>
      <c r="BL157" s="13"/>
      <c r="BM157" s="13"/>
      <c r="BN157" s="90"/>
      <c r="BO157" s="13"/>
      <c r="BP157" s="13"/>
      <c r="BQ157" s="90"/>
      <c r="BR157" s="13"/>
      <c r="BS157" s="13"/>
      <c r="BT157" s="13"/>
      <c r="BU157" s="90"/>
      <c r="BV157" s="13"/>
      <c r="BW157" s="13"/>
      <c r="BX157" s="90"/>
      <c r="BY157" s="13"/>
      <c r="BZ157" s="13"/>
      <c r="CA157" s="90"/>
      <c r="CB157" s="13"/>
      <c r="CC157" s="13"/>
      <c r="CD157" s="13"/>
      <c r="CE157" s="90"/>
      <c r="CF157" s="13"/>
      <c r="CG157" s="13"/>
      <c r="CH157" s="90"/>
      <c r="CI157" s="13"/>
      <c r="CJ157" s="13"/>
      <c r="CK157" s="13"/>
      <c r="CL157" s="90"/>
      <c r="CM157" s="13"/>
      <c r="CN157" s="13"/>
      <c r="CO157" s="90"/>
      <c r="CP157" s="13"/>
      <c r="CQ157" s="13"/>
      <c r="CR157" s="13"/>
      <c r="CS157" s="90"/>
      <c r="CT157" s="13"/>
      <c r="CU157" s="13"/>
      <c r="CV157" s="90"/>
      <c r="CW157" s="13"/>
      <c r="CX157" s="13"/>
    </row>
    <row r="158" spans="2:102" s="2" customFormat="1" x14ac:dyDescent="0.25">
      <c r="B158" s="11"/>
      <c r="C158" s="13"/>
      <c r="D158" s="13"/>
      <c r="E158" s="11"/>
      <c r="F158" s="13"/>
      <c r="G158" s="13"/>
      <c r="H158" s="90"/>
      <c r="I158" s="13"/>
      <c r="J158" s="13"/>
      <c r="K158" s="13"/>
      <c r="L158" s="90"/>
      <c r="M158" s="13"/>
      <c r="N158" s="13"/>
      <c r="O158" s="90"/>
      <c r="P158" s="13"/>
      <c r="Q158" s="13"/>
      <c r="R158" s="13"/>
      <c r="S158" s="90"/>
      <c r="T158" s="13"/>
      <c r="U158" s="13"/>
      <c r="V158" s="90"/>
      <c r="W158" s="13"/>
      <c r="X158" s="13"/>
      <c r="Y158" s="90"/>
      <c r="Z158" s="13"/>
      <c r="AA158" s="13"/>
      <c r="AB158" s="13"/>
      <c r="AC158" s="90"/>
      <c r="AD158" s="13"/>
      <c r="AE158" s="13"/>
      <c r="AF158" s="90"/>
      <c r="AG158" s="13"/>
      <c r="AH158" s="13"/>
      <c r="AI158" s="13"/>
      <c r="AJ158" s="90"/>
      <c r="AK158" s="13"/>
      <c r="AL158" s="13"/>
      <c r="AM158" s="90"/>
      <c r="AN158" s="13"/>
      <c r="AO158" s="13"/>
      <c r="AP158" s="13"/>
      <c r="AQ158" s="90"/>
      <c r="AR158" s="13"/>
      <c r="AS158" s="13"/>
      <c r="AT158" s="90"/>
      <c r="AU158" s="13"/>
      <c r="AV158" s="13"/>
      <c r="AW158" s="90"/>
      <c r="AX158" s="13"/>
      <c r="AY158" s="13"/>
      <c r="AZ158" s="90"/>
      <c r="BA158" s="13"/>
      <c r="BB158" s="13"/>
      <c r="BC158" s="90"/>
      <c r="BD158" s="13"/>
      <c r="BE158" s="13"/>
      <c r="BF158" s="13"/>
      <c r="BG158" s="90"/>
      <c r="BH158" s="13"/>
      <c r="BI158" s="13"/>
      <c r="BJ158" s="90"/>
      <c r="BK158" s="13"/>
      <c r="BL158" s="13"/>
      <c r="BM158" s="13"/>
      <c r="BN158" s="90"/>
      <c r="BO158" s="13"/>
      <c r="BP158" s="13"/>
      <c r="BQ158" s="90"/>
      <c r="BR158" s="13"/>
      <c r="BS158" s="13"/>
      <c r="BT158" s="13"/>
      <c r="BU158" s="90"/>
      <c r="BV158" s="13"/>
      <c r="BW158" s="13"/>
      <c r="BX158" s="90"/>
      <c r="BY158" s="13"/>
      <c r="BZ158" s="13"/>
      <c r="CA158" s="90"/>
      <c r="CB158" s="13"/>
      <c r="CC158" s="13"/>
      <c r="CD158" s="13"/>
      <c r="CE158" s="90"/>
      <c r="CF158" s="13"/>
      <c r="CG158" s="13"/>
      <c r="CH158" s="90"/>
      <c r="CI158" s="13"/>
      <c r="CJ158" s="13"/>
      <c r="CK158" s="13"/>
      <c r="CL158" s="90"/>
      <c r="CM158" s="13"/>
      <c r="CN158" s="13"/>
      <c r="CO158" s="90"/>
      <c r="CP158" s="13"/>
      <c r="CQ158" s="13"/>
      <c r="CR158" s="13"/>
      <c r="CS158" s="90"/>
      <c r="CT158" s="13"/>
      <c r="CU158" s="13"/>
      <c r="CV158" s="90"/>
      <c r="CW158" s="13"/>
      <c r="CX158" s="13"/>
    </row>
    <row r="159" spans="2:102" s="2" customFormat="1" x14ac:dyDescent="0.25">
      <c r="B159" s="11"/>
      <c r="C159" s="13"/>
      <c r="D159" s="13"/>
      <c r="E159" s="11"/>
      <c r="F159" s="13"/>
      <c r="G159" s="13"/>
      <c r="H159" s="90"/>
      <c r="I159" s="13"/>
      <c r="J159" s="13"/>
      <c r="K159" s="13"/>
      <c r="L159" s="90"/>
      <c r="M159" s="13"/>
      <c r="N159" s="13"/>
      <c r="O159" s="90"/>
      <c r="P159" s="13"/>
      <c r="Q159" s="13"/>
      <c r="R159" s="13"/>
      <c r="S159" s="90"/>
      <c r="T159" s="13"/>
      <c r="U159" s="13"/>
      <c r="V159" s="90"/>
      <c r="W159" s="13"/>
      <c r="X159" s="13"/>
      <c r="Y159" s="90"/>
      <c r="Z159" s="13"/>
      <c r="AA159" s="13"/>
      <c r="AB159" s="13"/>
      <c r="AC159" s="90"/>
      <c r="AD159" s="13"/>
      <c r="AE159" s="13"/>
      <c r="AF159" s="90"/>
      <c r="AG159" s="13"/>
      <c r="AH159" s="13"/>
      <c r="AI159" s="13"/>
      <c r="AJ159" s="90"/>
      <c r="AK159" s="13"/>
      <c r="AL159" s="13"/>
      <c r="AM159" s="90"/>
      <c r="AN159" s="13"/>
      <c r="AO159" s="13"/>
      <c r="AP159" s="13"/>
      <c r="AQ159" s="90"/>
      <c r="AR159" s="13"/>
      <c r="AS159" s="13"/>
      <c r="AT159" s="90"/>
      <c r="AU159" s="13"/>
      <c r="AV159" s="13"/>
      <c r="AW159" s="90"/>
      <c r="AX159" s="13"/>
      <c r="AY159" s="13"/>
      <c r="AZ159" s="90"/>
      <c r="BA159" s="13"/>
      <c r="BB159" s="13"/>
      <c r="BC159" s="90"/>
      <c r="BD159" s="13"/>
      <c r="BE159" s="13"/>
      <c r="BF159" s="13"/>
      <c r="BG159" s="90"/>
      <c r="BH159" s="13"/>
      <c r="BI159" s="13"/>
      <c r="BJ159" s="90"/>
      <c r="BK159" s="13"/>
      <c r="BL159" s="13"/>
      <c r="BM159" s="13"/>
      <c r="BN159" s="90"/>
      <c r="BO159" s="13"/>
      <c r="BP159" s="13"/>
      <c r="BQ159" s="90"/>
      <c r="BR159" s="13"/>
      <c r="BS159" s="13"/>
      <c r="BT159" s="13"/>
      <c r="BU159" s="90"/>
      <c r="BV159" s="13"/>
      <c r="BW159" s="13"/>
      <c r="BX159" s="90"/>
      <c r="BY159" s="13"/>
      <c r="BZ159" s="13"/>
      <c r="CA159" s="90"/>
      <c r="CB159" s="13"/>
      <c r="CC159" s="13"/>
      <c r="CD159" s="13"/>
      <c r="CE159" s="90"/>
      <c r="CF159" s="13"/>
      <c r="CG159" s="13"/>
      <c r="CH159" s="90"/>
      <c r="CI159" s="13"/>
      <c r="CJ159" s="13"/>
      <c r="CK159" s="13"/>
      <c r="CL159" s="90"/>
      <c r="CM159" s="13"/>
      <c r="CN159" s="13"/>
      <c r="CO159" s="90"/>
      <c r="CP159" s="13"/>
      <c r="CQ159" s="13"/>
      <c r="CR159" s="13"/>
      <c r="CS159" s="90"/>
      <c r="CT159" s="13"/>
      <c r="CU159" s="13"/>
      <c r="CV159" s="90"/>
      <c r="CW159" s="13"/>
      <c r="CX159" s="13"/>
    </row>
    <row r="160" spans="2:102" s="2" customFormat="1" x14ac:dyDescent="0.25">
      <c r="B160" s="11"/>
      <c r="C160" s="13"/>
      <c r="D160" s="13"/>
      <c r="E160" s="11"/>
      <c r="F160" s="13"/>
      <c r="G160" s="13"/>
      <c r="H160" s="90"/>
      <c r="I160" s="13"/>
      <c r="J160" s="13"/>
      <c r="K160" s="13"/>
      <c r="L160" s="90"/>
      <c r="M160" s="13"/>
      <c r="N160" s="13"/>
      <c r="O160" s="90"/>
      <c r="P160" s="13"/>
      <c r="Q160" s="13"/>
      <c r="R160" s="13"/>
      <c r="S160" s="90"/>
      <c r="T160" s="13"/>
      <c r="U160" s="13"/>
      <c r="V160" s="90"/>
      <c r="W160" s="13"/>
      <c r="X160" s="13"/>
      <c r="Y160" s="90"/>
      <c r="Z160" s="13"/>
      <c r="AA160" s="13"/>
      <c r="AB160" s="13"/>
      <c r="AC160" s="90"/>
      <c r="AD160" s="13"/>
      <c r="AE160" s="13"/>
      <c r="AF160" s="90"/>
      <c r="AG160" s="13"/>
      <c r="AH160" s="13"/>
      <c r="AI160" s="13"/>
      <c r="AJ160" s="90"/>
      <c r="AK160" s="13"/>
      <c r="AL160" s="13"/>
      <c r="AM160" s="90"/>
      <c r="AN160" s="13"/>
      <c r="AO160" s="13"/>
      <c r="AP160" s="13"/>
      <c r="AQ160" s="90"/>
      <c r="AR160" s="13"/>
      <c r="AS160" s="13"/>
      <c r="AT160" s="90"/>
      <c r="AU160" s="13"/>
      <c r="AV160" s="13"/>
      <c r="AW160" s="90"/>
      <c r="AX160" s="13"/>
      <c r="AY160" s="13"/>
      <c r="AZ160" s="90"/>
      <c r="BA160" s="13"/>
      <c r="BB160" s="13"/>
      <c r="BC160" s="90"/>
      <c r="BD160" s="13"/>
      <c r="BE160" s="13"/>
      <c r="BF160" s="13"/>
      <c r="BG160" s="90"/>
      <c r="BH160" s="13"/>
      <c r="BI160" s="13"/>
      <c r="BJ160" s="90"/>
      <c r="BK160" s="13"/>
      <c r="BL160" s="13"/>
      <c r="BM160" s="13"/>
      <c r="BN160" s="90"/>
      <c r="BO160" s="13"/>
      <c r="BP160" s="13"/>
      <c r="BQ160" s="90"/>
      <c r="BR160" s="13"/>
      <c r="BS160" s="13"/>
      <c r="BT160" s="13"/>
      <c r="BU160" s="90"/>
      <c r="BV160" s="13"/>
      <c r="BW160" s="13"/>
      <c r="BX160" s="90"/>
      <c r="BY160" s="13"/>
      <c r="BZ160" s="13"/>
      <c r="CA160" s="90"/>
      <c r="CB160" s="13"/>
      <c r="CC160" s="13"/>
      <c r="CD160" s="13"/>
      <c r="CE160" s="90"/>
      <c r="CF160" s="13"/>
      <c r="CG160" s="13"/>
      <c r="CH160" s="90"/>
      <c r="CI160" s="13"/>
      <c r="CJ160" s="13"/>
      <c r="CK160" s="13"/>
      <c r="CL160" s="90"/>
      <c r="CM160" s="13"/>
      <c r="CN160" s="13"/>
      <c r="CO160" s="90"/>
      <c r="CP160" s="13"/>
      <c r="CQ160" s="13"/>
      <c r="CR160" s="13"/>
      <c r="CS160" s="90"/>
      <c r="CT160" s="13"/>
      <c r="CU160" s="13"/>
      <c r="CV160" s="90"/>
      <c r="CW160" s="13"/>
      <c r="CX160" s="13"/>
    </row>
    <row r="161" spans="2:102" s="2" customFormat="1" x14ac:dyDescent="0.25">
      <c r="B161" s="11"/>
      <c r="C161" s="13"/>
      <c r="D161" s="13"/>
      <c r="E161" s="11"/>
      <c r="F161" s="13"/>
      <c r="G161" s="13"/>
      <c r="H161" s="90"/>
      <c r="I161" s="13"/>
      <c r="J161" s="13"/>
      <c r="K161" s="13"/>
      <c r="L161" s="90"/>
      <c r="M161" s="13"/>
      <c r="N161" s="13"/>
      <c r="O161" s="90"/>
      <c r="P161" s="13"/>
      <c r="Q161" s="13"/>
      <c r="R161" s="13"/>
      <c r="S161" s="90"/>
      <c r="T161" s="13"/>
      <c r="U161" s="13"/>
      <c r="V161" s="90"/>
      <c r="W161" s="13"/>
      <c r="X161" s="13"/>
      <c r="Y161" s="90"/>
      <c r="Z161" s="13"/>
      <c r="AA161" s="13"/>
      <c r="AB161" s="13"/>
      <c r="AC161" s="90"/>
      <c r="AD161" s="13"/>
      <c r="AE161" s="13"/>
      <c r="AF161" s="90"/>
      <c r="AG161" s="13"/>
      <c r="AH161" s="13"/>
      <c r="AI161" s="13"/>
      <c r="AJ161" s="90"/>
      <c r="AK161" s="13"/>
      <c r="AL161" s="13"/>
      <c r="AM161" s="90"/>
      <c r="AN161" s="13"/>
      <c r="AO161" s="13"/>
      <c r="AP161" s="13"/>
      <c r="AQ161" s="90"/>
      <c r="AR161" s="13"/>
      <c r="AS161" s="13"/>
      <c r="AT161" s="90"/>
      <c r="AU161" s="13"/>
      <c r="AV161" s="13"/>
      <c r="AW161" s="90"/>
      <c r="AX161" s="13"/>
      <c r="AY161" s="13"/>
      <c r="AZ161" s="90"/>
      <c r="BA161" s="13"/>
      <c r="BB161" s="13"/>
      <c r="BC161" s="90"/>
      <c r="BD161" s="13"/>
      <c r="BE161" s="13"/>
      <c r="BF161" s="13"/>
      <c r="BG161" s="90"/>
      <c r="BH161" s="13"/>
      <c r="BI161" s="13"/>
      <c r="BJ161" s="90"/>
      <c r="BK161" s="13"/>
      <c r="BL161" s="13"/>
      <c r="BM161" s="13"/>
      <c r="BN161" s="90"/>
      <c r="BO161" s="13"/>
      <c r="BP161" s="13"/>
      <c r="BQ161" s="90"/>
      <c r="BR161" s="13"/>
      <c r="BS161" s="13"/>
      <c r="BT161" s="13"/>
      <c r="BU161" s="90"/>
      <c r="BV161" s="13"/>
      <c r="BW161" s="13"/>
      <c r="BX161" s="90"/>
      <c r="BY161" s="13"/>
      <c r="BZ161" s="13"/>
      <c r="CA161" s="90"/>
      <c r="CB161" s="13"/>
      <c r="CC161" s="13"/>
      <c r="CD161" s="13"/>
      <c r="CE161" s="90"/>
      <c r="CF161" s="13"/>
      <c r="CG161" s="13"/>
      <c r="CH161" s="90"/>
      <c r="CI161" s="13"/>
      <c r="CJ161" s="13"/>
      <c r="CK161" s="13"/>
      <c r="CL161" s="90"/>
      <c r="CM161" s="13"/>
      <c r="CN161" s="13"/>
      <c r="CO161" s="90"/>
      <c r="CP161" s="13"/>
      <c r="CQ161" s="13"/>
      <c r="CR161" s="13"/>
      <c r="CS161" s="90"/>
      <c r="CT161" s="13"/>
      <c r="CU161" s="13"/>
      <c r="CV161" s="90"/>
      <c r="CW161" s="13"/>
      <c r="CX161" s="13"/>
    </row>
    <row r="162" spans="2:102" s="2" customFormat="1" x14ac:dyDescent="0.25">
      <c r="B162" s="11"/>
      <c r="C162" s="13"/>
      <c r="D162" s="13"/>
      <c r="E162" s="11"/>
      <c r="F162" s="13"/>
      <c r="G162" s="13"/>
      <c r="H162" s="90"/>
      <c r="I162" s="13"/>
      <c r="J162" s="13"/>
      <c r="K162" s="13"/>
      <c r="L162" s="90"/>
      <c r="M162" s="13"/>
      <c r="N162" s="13"/>
      <c r="O162" s="90"/>
      <c r="P162" s="13"/>
      <c r="Q162" s="13"/>
      <c r="R162" s="13"/>
      <c r="S162" s="90"/>
      <c r="T162" s="13"/>
      <c r="U162" s="13"/>
      <c r="V162" s="90"/>
      <c r="W162" s="13"/>
      <c r="X162" s="13"/>
      <c r="Y162" s="90"/>
      <c r="Z162" s="13"/>
      <c r="AA162" s="13"/>
      <c r="AB162" s="13"/>
      <c r="AC162" s="90"/>
      <c r="AD162" s="13"/>
      <c r="AE162" s="13"/>
      <c r="AF162" s="90"/>
      <c r="AG162" s="13"/>
      <c r="AH162" s="13"/>
      <c r="AI162" s="13"/>
      <c r="AJ162" s="90"/>
      <c r="AK162" s="13"/>
      <c r="AL162" s="13"/>
      <c r="AM162" s="90"/>
      <c r="AN162" s="13"/>
      <c r="AO162" s="13"/>
      <c r="AP162" s="13"/>
      <c r="AQ162" s="90"/>
      <c r="AR162" s="13"/>
      <c r="AS162" s="13"/>
      <c r="AT162" s="90"/>
      <c r="AU162" s="13"/>
      <c r="AV162" s="13"/>
      <c r="AW162" s="90"/>
      <c r="AX162" s="13"/>
      <c r="AY162" s="13"/>
      <c r="AZ162" s="90"/>
      <c r="BA162" s="13"/>
      <c r="BB162" s="13"/>
      <c r="BC162" s="90"/>
      <c r="BD162" s="13"/>
      <c r="BE162" s="13"/>
      <c r="BF162" s="13"/>
      <c r="BG162" s="90"/>
      <c r="BH162" s="13"/>
      <c r="BI162" s="13"/>
      <c r="BJ162" s="90"/>
      <c r="BK162" s="13"/>
      <c r="BL162" s="13"/>
      <c r="BM162" s="13"/>
      <c r="BN162" s="90"/>
      <c r="BO162" s="13"/>
      <c r="BP162" s="13"/>
      <c r="BQ162" s="90"/>
      <c r="BR162" s="13"/>
      <c r="BS162" s="13"/>
      <c r="BT162" s="13"/>
      <c r="BU162" s="90"/>
      <c r="BV162" s="13"/>
      <c r="BW162" s="13"/>
      <c r="BX162" s="90"/>
      <c r="BY162" s="13"/>
      <c r="BZ162" s="13"/>
      <c r="CA162" s="90"/>
      <c r="CB162" s="13"/>
      <c r="CC162" s="13"/>
      <c r="CD162" s="13"/>
      <c r="CE162" s="90"/>
      <c r="CF162" s="13"/>
      <c r="CG162" s="13"/>
      <c r="CH162" s="90"/>
      <c r="CI162" s="13"/>
      <c r="CJ162" s="13"/>
      <c r="CK162" s="13"/>
      <c r="CL162" s="90"/>
      <c r="CM162" s="13"/>
      <c r="CN162" s="13"/>
      <c r="CO162" s="90"/>
      <c r="CP162" s="13"/>
      <c r="CQ162" s="13"/>
      <c r="CR162" s="13"/>
      <c r="CS162" s="90"/>
      <c r="CT162" s="13"/>
      <c r="CU162" s="13"/>
      <c r="CV162" s="90"/>
      <c r="CW162" s="13"/>
      <c r="CX162" s="13"/>
    </row>
    <row r="163" spans="2:102" s="2" customFormat="1" x14ac:dyDescent="0.25">
      <c r="B163" s="11"/>
      <c r="C163" s="13"/>
      <c r="D163" s="13"/>
      <c r="E163" s="11"/>
      <c r="F163" s="13"/>
      <c r="G163" s="13"/>
      <c r="H163" s="90"/>
      <c r="I163" s="13"/>
      <c r="J163" s="13"/>
      <c r="K163" s="13"/>
      <c r="L163" s="90"/>
      <c r="M163" s="13"/>
      <c r="N163" s="13"/>
      <c r="O163" s="90"/>
      <c r="P163" s="13"/>
      <c r="Q163" s="13"/>
      <c r="R163" s="13"/>
      <c r="S163" s="90"/>
      <c r="T163" s="13"/>
      <c r="U163" s="13"/>
      <c r="V163" s="90"/>
      <c r="W163" s="13"/>
      <c r="X163" s="13"/>
      <c r="Y163" s="90"/>
      <c r="Z163" s="13"/>
      <c r="AA163" s="13"/>
      <c r="AB163" s="13"/>
      <c r="AC163" s="90"/>
      <c r="AD163" s="13"/>
      <c r="AE163" s="13"/>
      <c r="AF163" s="90"/>
      <c r="AG163" s="13"/>
      <c r="AH163" s="13"/>
      <c r="AI163" s="13"/>
      <c r="AJ163" s="90"/>
      <c r="AK163" s="13"/>
      <c r="AL163" s="13"/>
      <c r="AM163" s="90"/>
      <c r="AN163" s="13"/>
      <c r="AO163" s="13"/>
      <c r="AP163" s="13"/>
      <c r="AQ163" s="90"/>
      <c r="AR163" s="13"/>
      <c r="AS163" s="13"/>
      <c r="AT163" s="90"/>
      <c r="AU163" s="13"/>
      <c r="AV163" s="13"/>
      <c r="AW163" s="90"/>
      <c r="AX163" s="13"/>
      <c r="AY163" s="13"/>
      <c r="AZ163" s="90"/>
      <c r="BA163" s="13"/>
      <c r="BB163" s="13"/>
      <c r="BC163" s="90"/>
      <c r="BD163" s="13"/>
      <c r="BE163" s="13"/>
      <c r="BF163" s="13"/>
      <c r="BG163" s="90"/>
      <c r="BH163" s="13"/>
      <c r="BI163" s="13"/>
      <c r="BJ163" s="90"/>
      <c r="BK163" s="13"/>
      <c r="BL163" s="13"/>
      <c r="BM163" s="13"/>
      <c r="BN163" s="90"/>
      <c r="BO163" s="13"/>
      <c r="BP163" s="13"/>
      <c r="BQ163" s="90"/>
      <c r="BR163" s="13"/>
      <c r="BS163" s="13"/>
      <c r="BT163" s="13"/>
      <c r="BU163" s="90"/>
      <c r="BV163" s="13"/>
      <c r="BW163" s="13"/>
      <c r="BX163" s="90"/>
      <c r="BY163" s="13"/>
      <c r="BZ163" s="13"/>
      <c r="CA163" s="90"/>
      <c r="CB163" s="13"/>
      <c r="CC163" s="13"/>
      <c r="CD163" s="13"/>
      <c r="CE163" s="90"/>
      <c r="CF163" s="13"/>
      <c r="CG163" s="13"/>
      <c r="CH163" s="90"/>
      <c r="CI163" s="13"/>
      <c r="CJ163" s="13"/>
      <c r="CK163" s="13"/>
      <c r="CL163" s="90"/>
      <c r="CM163" s="13"/>
      <c r="CN163" s="13"/>
      <c r="CO163" s="90"/>
      <c r="CP163" s="13"/>
      <c r="CQ163" s="13"/>
      <c r="CR163" s="13"/>
      <c r="CS163" s="90"/>
      <c r="CT163" s="13"/>
      <c r="CU163" s="13"/>
      <c r="CV163" s="90"/>
      <c r="CW163" s="13"/>
      <c r="CX163" s="13"/>
    </row>
    <row r="164" spans="2:102" s="2" customFormat="1" x14ac:dyDescent="0.25">
      <c r="B164" s="11"/>
      <c r="C164" s="13"/>
      <c r="D164" s="13"/>
      <c r="E164" s="11"/>
      <c r="F164" s="13"/>
      <c r="G164" s="13"/>
      <c r="H164" s="90"/>
      <c r="I164" s="13"/>
      <c r="J164" s="13"/>
      <c r="K164" s="13"/>
      <c r="L164" s="90"/>
      <c r="M164" s="13"/>
      <c r="N164" s="13"/>
      <c r="O164" s="90"/>
      <c r="P164" s="13"/>
      <c r="Q164" s="13"/>
      <c r="R164" s="13"/>
      <c r="S164" s="90"/>
      <c r="T164" s="13"/>
      <c r="U164" s="13"/>
      <c r="V164" s="90"/>
      <c r="W164" s="13"/>
      <c r="X164" s="13"/>
      <c r="Y164" s="90"/>
      <c r="Z164" s="13"/>
      <c r="AA164" s="13"/>
      <c r="AB164" s="13"/>
      <c r="AC164" s="90"/>
      <c r="AD164" s="13"/>
      <c r="AE164" s="13"/>
      <c r="AF164" s="90"/>
      <c r="AG164" s="13"/>
      <c r="AH164" s="13"/>
      <c r="AI164" s="13"/>
      <c r="AJ164" s="90"/>
      <c r="AK164" s="13"/>
      <c r="AL164" s="13"/>
      <c r="AM164" s="90"/>
      <c r="AN164" s="13"/>
      <c r="AO164" s="13"/>
      <c r="AP164" s="13"/>
      <c r="AQ164" s="90"/>
      <c r="AR164" s="13"/>
      <c r="AS164" s="13"/>
      <c r="AT164" s="90"/>
      <c r="AU164" s="13"/>
      <c r="AV164" s="13"/>
      <c r="AW164" s="90"/>
      <c r="AX164" s="13"/>
      <c r="AY164" s="13"/>
      <c r="AZ164" s="90"/>
      <c r="BA164" s="13"/>
      <c r="BB164" s="13"/>
      <c r="BC164" s="90"/>
      <c r="BD164" s="13"/>
      <c r="BE164" s="13"/>
      <c r="BF164" s="13"/>
      <c r="BG164" s="90"/>
      <c r="BH164" s="13"/>
      <c r="BI164" s="13"/>
      <c r="BJ164" s="90"/>
      <c r="BK164" s="13"/>
      <c r="BL164" s="13"/>
      <c r="BM164" s="13"/>
      <c r="BN164" s="90"/>
      <c r="BO164" s="13"/>
      <c r="BP164" s="13"/>
      <c r="BQ164" s="90"/>
      <c r="BR164" s="13"/>
      <c r="BS164" s="13"/>
      <c r="BT164" s="13"/>
      <c r="BU164" s="90"/>
      <c r="BV164" s="13"/>
      <c r="BW164" s="13"/>
      <c r="BX164" s="90"/>
      <c r="BY164" s="13"/>
      <c r="BZ164" s="13"/>
      <c r="CA164" s="90"/>
      <c r="CB164" s="13"/>
      <c r="CC164" s="13"/>
      <c r="CD164" s="13"/>
      <c r="CE164" s="90"/>
      <c r="CF164" s="13"/>
      <c r="CG164" s="13"/>
      <c r="CH164" s="90"/>
      <c r="CI164" s="13"/>
      <c r="CJ164" s="13"/>
      <c r="CK164" s="13"/>
      <c r="CL164" s="90"/>
      <c r="CM164" s="13"/>
      <c r="CN164" s="13"/>
      <c r="CO164" s="90"/>
      <c r="CP164" s="13"/>
      <c r="CQ164" s="13"/>
      <c r="CR164" s="13"/>
      <c r="CS164" s="90"/>
      <c r="CT164" s="13"/>
      <c r="CU164" s="13"/>
      <c r="CV164" s="90"/>
      <c r="CW164" s="13"/>
      <c r="CX164" s="13"/>
    </row>
    <row r="165" spans="2:102" s="2" customFormat="1" x14ac:dyDescent="0.25">
      <c r="B165" s="11"/>
      <c r="C165" s="13"/>
      <c r="D165" s="13"/>
      <c r="E165" s="11"/>
      <c r="F165" s="13"/>
      <c r="G165" s="13"/>
      <c r="H165" s="90"/>
      <c r="I165" s="13"/>
      <c r="J165" s="13"/>
      <c r="K165" s="13"/>
      <c r="L165" s="90"/>
      <c r="M165" s="13"/>
      <c r="N165" s="13"/>
      <c r="O165" s="90"/>
      <c r="P165" s="13"/>
      <c r="Q165" s="13"/>
      <c r="R165" s="13"/>
      <c r="S165" s="90"/>
      <c r="T165" s="13"/>
      <c r="U165" s="13"/>
      <c r="V165" s="90"/>
      <c r="W165" s="13"/>
      <c r="X165" s="13"/>
      <c r="Y165" s="90"/>
      <c r="Z165" s="13"/>
      <c r="AA165" s="13"/>
      <c r="AB165" s="13"/>
      <c r="AC165" s="90"/>
      <c r="AD165" s="13"/>
      <c r="AE165" s="13"/>
      <c r="AF165" s="90"/>
      <c r="AG165" s="13"/>
      <c r="AH165" s="13"/>
      <c r="AI165" s="13"/>
      <c r="AJ165" s="90"/>
      <c r="AK165" s="13"/>
      <c r="AL165" s="13"/>
      <c r="AM165" s="90"/>
      <c r="AN165" s="13"/>
      <c r="AO165" s="13"/>
      <c r="AP165" s="13"/>
      <c r="AQ165" s="90"/>
      <c r="AR165" s="13"/>
      <c r="AS165" s="13"/>
      <c r="AT165" s="90"/>
      <c r="AU165" s="13"/>
      <c r="AV165" s="13"/>
      <c r="AW165" s="90"/>
      <c r="AX165" s="13"/>
      <c r="AY165" s="13"/>
      <c r="AZ165" s="90"/>
      <c r="BA165" s="13"/>
      <c r="BB165" s="13"/>
      <c r="BC165" s="90"/>
      <c r="BD165" s="13"/>
      <c r="BE165" s="13"/>
      <c r="BF165" s="13"/>
      <c r="BG165" s="90"/>
      <c r="BH165" s="13"/>
      <c r="BI165" s="13"/>
      <c r="BJ165" s="90"/>
      <c r="BK165" s="13"/>
      <c r="BL165" s="13"/>
      <c r="BM165" s="13"/>
      <c r="BN165" s="90"/>
      <c r="BO165" s="13"/>
      <c r="BP165" s="13"/>
      <c r="BQ165" s="90"/>
      <c r="BR165" s="13"/>
      <c r="BS165" s="13"/>
      <c r="BT165" s="13"/>
      <c r="BU165" s="90"/>
      <c r="BV165" s="13"/>
      <c r="BW165" s="13"/>
      <c r="BX165" s="90"/>
      <c r="BY165" s="13"/>
      <c r="BZ165" s="13"/>
      <c r="CA165" s="90"/>
      <c r="CB165" s="13"/>
      <c r="CC165" s="13"/>
      <c r="CD165" s="13"/>
      <c r="CE165" s="90"/>
      <c r="CF165" s="13"/>
      <c r="CG165" s="13"/>
      <c r="CH165" s="90"/>
      <c r="CI165" s="13"/>
      <c r="CJ165" s="13"/>
      <c r="CK165" s="13"/>
      <c r="CL165" s="90"/>
      <c r="CM165" s="13"/>
      <c r="CN165" s="13"/>
      <c r="CO165" s="90"/>
      <c r="CP165" s="13"/>
      <c r="CQ165" s="13"/>
      <c r="CR165" s="13"/>
      <c r="CS165" s="90"/>
      <c r="CT165" s="13"/>
      <c r="CU165" s="13"/>
      <c r="CV165" s="90"/>
      <c r="CW165" s="13"/>
      <c r="CX165" s="13"/>
    </row>
    <row r="166" spans="2:102" s="2" customFormat="1" x14ac:dyDescent="0.25">
      <c r="B166" s="11"/>
      <c r="C166" s="13"/>
      <c r="D166" s="13"/>
      <c r="E166" s="11"/>
      <c r="F166" s="13"/>
      <c r="G166" s="13"/>
      <c r="H166" s="90"/>
      <c r="I166" s="13"/>
      <c r="J166" s="13"/>
      <c r="K166" s="13"/>
      <c r="L166" s="90"/>
      <c r="M166" s="13"/>
      <c r="N166" s="13"/>
      <c r="O166" s="90"/>
      <c r="P166" s="13"/>
      <c r="Q166" s="13"/>
      <c r="R166" s="13"/>
      <c r="S166" s="90"/>
      <c r="T166" s="13"/>
      <c r="U166" s="13"/>
      <c r="V166" s="90"/>
      <c r="W166" s="13"/>
      <c r="X166" s="13"/>
      <c r="Y166" s="90"/>
      <c r="Z166" s="13"/>
      <c r="AA166" s="13"/>
      <c r="AB166" s="13"/>
      <c r="AC166" s="90"/>
      <c r="AD166" s="13"/>
      <c r="AE166" s="13"/>
      <c r="AF166" s="90"/>
      <c r="AG166" s="13"/>
      <c r="AH166" s="13"/>
      <c r="AI166" s="13"/>
      <c r="AJ166" s="90"/>
      <c r="AK166" s="13"/>
      <c r="AL166" s="13"/>
      <c r="AM166" s="90"/>
      <c r="AN166" s="13"/>
      <c r="AO166" s="13"/>
      <c r="AP166" s="13"/>
      <c r="AQ166" s="90"/>
      <c r="AR166" s="13"/>
      <c r="AS166" s="13"/>
      <c r="AT166" s="90"/>
      <c r="AU166" s="13"/>
      <c r="AV166" s="13"/>
      <c r="AW166" s="90"/>
      <c r="AX166" s="13"/>
      <c r="AY166" s="13"/>
      <c r="AZ166" s="90"/>
      <c r="BA166" s="13"/>
      <c r="BB166" s="13"/>
      <c r="BC166" s="90"/>
      <c r="BD166" s="13"/>
      <c r="BE166" s="13"/>
      <c r="BF166" s="13"/>
      <c r="BG166" s="90"/>
      <c r="BH166" s="13"/>
      <c r="BI166" s="13"/>
      <c r="BJ166" s="90"/>
      <c r="BK166" s="13"/>
      <c r="BL166" s="13"/>
      <c r="BM166" s="13"/>
      <c r="BN166" s="90"/>
      <c r="BO166" s="13"/>
      <c r="BP166" s="13"/>
      <c r="BQ166" s="90"/>
      <c r="BR166" s="13"/>
      <c r="BS166" s="13"/>
      <c r="BT166" s="13"/>
      <c r="BU166" s="90"/>
      <c r="BV166" s="13"/>
      <c r="BW166" s="13"/>
      <c r="BX166" s="90"/>
      <c r="BY166" s="13"/>
      <c r="BZ166" s="13"/>
      <c r="CA166" s="90"/>
      <c r="CB166" s="13"/>
      <c r="CC166" s="13"/>
      <c r="CD166" s="13"/>
      <c r="CE166" s="90"/>
      <c r="CF166" s="13"/>
      <c r="CG166" s="13"/>
      <c r="CH166" s="90"/>
      <c r="CI166" s="13"/>
      <c r="CJ166" s="13"/>
      <c r="CK166" s="13"/>
      <c r="CL166" s="90"/>
      <c r="CM166" s="13"/>
      <c r="CN166" s="13"/>
      <c r="CO166" s="90"/>
      <c r="CP166" s="13"/>
      <c r="CQ166" s="13"/>
      <c r="CR166" s="13"/>
      <c r="CS166" s="90"/>
      <c r="CT166" s="13"/>
      <c r="CU166" s="13"/>
      <c r="CV166" s="90"/>
      <c r="CW166" s="13"/>
      <c r="CX166" s="13"/>
    </row>
    <row r="167" spans="2:102" s="2" customFormat="1" x14ac:dyDescent="0.25">
      <c r="B167" s="11"/>
      <c r="C167" s="13"/>
      <c r="D167" s="13"/>
      <c r="E167" s="11"/>
      <c r="F167" s="13"/>
      <c r="G167" s="13"/>
      <c r="H167" s="90"/>
      <c r="I167" s="13"/>
      <c r="J167" s="13"/>
      <c r="K167" s="13"/>
      <c r="L167" s="90"/>
      <c r="M167" s="13"/>
      <c r="N167" s="13"/>
      <c r="O167" s="90"/>
      <c r="P167" s="13"/>
      <c r="Q167" s="13"/>
      <c r="R167" s="13"/>
      <c r="S167" s="90"/>
      <c r="T167" s="13"/>
      <c r="U167" s="13"/>
      <c r="V167" s="90"/>
      <c r="W167" s="13"/>
      <c r="X167" s="13"/>
      <c r="Y167" s="90"/>
      <c r="Z167" s="13"/>
      <c r="AA167" s="13"/>
      <c r="AB167" s="13"/>
      <c r="AC167" s="90"/>
      <c r="AD167" s="13"/>
      <c r="AE167" s="13"/>
      <c r="AF167" s="90"/>
      <c r="AG167" s="13"/>
      <c r="AH167" s="13"/>
      <c r="AI167" s="13"/>
      <c r="AJ167" s="90"/>
      <c r="AK167" s="13"/>
      <c r="AL167" s="13"/>
      <c r="AM167" s="90"/>
      <c r="AN167" s="13"/>
      <c r="AO167" s="13"/>
      <c r="AP167" s="13"/>
      <c r="AQ167" s="90"/>
      <c r="AR167" s="13"/>
      <c r="AS167" s="13"/>
      <c r="AT167" s="90"/>
      <c r="AU167" s="13"/>
      <c r="AV167" s="13"/>
      <c r="AW167" s="90"/>
      <c r="AX167" s="13"/>
      <c r="AY167" s="13"/>
      <c r="AZ167" s="90"/>
      <c r="BA167" s="13"/>
      <c r="BB167" s="13"/>
      <c r="BC167" s="90"/>
      <c r="BD167" s="13"/>
      <c r="BE167" s="13"/>
      <c r="BF167" s="13"/>
      <c r="BG167" s="90"/>
      <c r="BH167" s="13"/>
      <c r="BI167" s="13"/>
      <c r="BJ167" s="90"/>
      <c r="BK167" s="13"/>
      <c r="BL167" s="13"/>
      <c r="BM167" s="13"/>
      <c r="BN167" s="90"/>
      <c r="BO167" s="13"/>
      <c r="BP167" s="13"/>
      <c r="BQ167" s="90"/>
      <c r="BR167" s="13"/>
      <c r="BS167" s="13"/>
      <c r="BT167" s="13"/>
      <c r="BU167" s="90"/>
      <c r="BV167" s="13"/>
      <c r="BW167" s="13"/>
      <c r="BX167" s="90"/>
      <c r="BY167" s="13"/>
      <c r="BZ167" s="13"/>
      <c r="CA167" s="90"/>
      <c r="CB167" s="13"/>
      <c r="CC167" s="13"/>
      <c r="CD167" s="13"/>
      <c r="CE167" s="90"/>
      <c r="CF167" s="13"/>
      <c r="CG167" s="13"/>
      <c r="CH167" s="90"/>
      <c r="CI167" s="13"/>
      <c r="CJ167" s="13"/>
      <c r="CK167" s="13"/>
      <c r="CL167" s="90"/>
      <c r="CM167" s="13"/>
      <c r="CN167" s="13"/>
      <c r="CO167" s="90"/>
      <c r="CP167" s="13"/>
      <c r="CQ167" s="13"/>
      <c r="CR167" s="13"/>
      <c r="CS167" s="90"/>
      <c r="CT167" s="13"/>
      <c r="CU167" s="13"/>
      <c r="CV167" s="90"/>
      <c r="CW167" s="13"/>
      <c r="CX167" s="13"/>
    </row>
    <row r="168" spans="2:102" s="2" customFormat="1" x14ac:dyDescent="0.25">
      <c r="B168" s="11"/>
      <c r="C168" s="13"/>
      <c r="D168" s="13"/>
      <c r="E168" s="11"/>
      <c r="F168" s="13"/>
      <c r="G168" s="13"/>
      <c r="H168" s="90"/>
      <c r="I168" s="13"/>
      <c r="J168" s="13"/>
      <c r="K168" s="13"/>
      <c r="L168" s="90"/>
      <c r="M168" s="13"/>
      <c r="N168" s="13"/>
      <c r="O168" s="90"/>
      <c r="P168" s="13"/>
      <c r="Q168" s="13"/>
      <c r="R168" s="13"/>
      <c r="S168" s="90"/>
      <c r="T168" s="13"/>
      <c r="U168" s="13"/>
      <c r="V168" s="90"/>
      <c r="W168" s="13"/>
      <c r="X168" s="13"/>
      <c r="Y168" s="90"/>
      <c r="Z168" s="13"/>
      <c r="AA168" s="13"/>
      <c r="AB168" s="13"/>
      <c r="AC168" s="90"/>
      <c r="AD168" s="13"/>
      <c r="AE168" s="13"/>
      <c r="AF168" s="90"/>
      <c r="AG168" s="13"/>
      <c r="AH168" s="13"/>
      <c r="AI168" s="13"/>
      <c r="AJ168" s="90"/>
      <c r="AK168" s="13"/>
      <c r="AL168" s="13"/>
      <c r="AM168" s="90"/>
      <c r="AN168" s="13"/>
      <c r="AO168" s="13"/>
      <c r="AP168" s="13"/>
      <c r="AQ168" s="90"/>
      <c r="AR168" s="13"/>
      <c r="AS168" s="13"/>
      <c r="AT168" s="90"/>
      <c r="AU168" s="13"/>
      <c r="AV168" s="13"/>
      <c r="AW168" s="90"/>
      <c r="AX168" s="13"/>
      <c r="AY168" s="13"/>
      <c r="AZ168" s="90"/>
      <c r="BA168" s="13"/>
      <c r="BB168" s="13"/>
      <c r="BC168" s="90"/>
      <c r="BD168" s="13"/>
      <c r="BE168" s="13"/>
      <c r="BF168" s="13"/>
      <c r="BG168" s="90"/>
      <c r="BH168" s="13"/>
      <c r="BI168" s="13"/>
      <c r="BJ168" s="90"/>
      <c r="BK168" s="13"/>
      <c r="BL168" s="13"/>
      <c r="BM168" s="13"/>
      <c r="BN168" s="90"/>
      <c r="BO168" s="13"/>
      <c r="BP168" s="13"/>
      <c r="BQ168" s="90"/>
      <c r="BR168" s="13"/>
      <c r="BS168" s="13"/>
      <c r="BT168" s="13"/>
      <c r="BU168" s="90"/>
      <c r="BV168" s="13"/>
      <c r="BW168" s="13"/>
      <c r="BX168" s="90"/>
      <c r="BY168" s="13"/>
      <c r="BZ168" s="13"/>
      <c r="CA168" s="90"/>
      <c r="CB168" s="13"/>
      <c r="CC168" s="13"/>
      <c r="CD168" s="13"/>
      <c r="CE168" s="90"/>
      <c r="CF168" s="13"/>
      <c r="CG168" s="13"/>
      <c r="CH168" s="90"/>
      <c r="CI168" s="13"/>
      <c r="CJ168" s="13"/>
      <c r="CK168" s="13"/>
      <c r="CL168" s="90"/>
      <c r="CM168" s="13"/>
      <c r="CN168" s="13"/>
      <c r="CO168" s="90"/>
      <c r="CP168" s="13"/>
      <c r="CQ168" s="13"/>
      <c r="CR168" s="13"/>
      <c r="CS168" s="90"/>
      <c r="CT168" s="13"/>
      <c r="CU168" s="13"/>
      <c r="CV168" s="90"/>
      <c r="CW168" s="13"/>
      <c r="CX168" s="13"/>
    </row>
    <row r="169" spans="2:102" s="2" customFormat="1" x14ac:dyDescent="0.25">
      <c r="B169" s="11"/>
      <c r="C169" s="13"/>
      <c r="D169" s="13"/>
      <c r="E169" s="11"/>
      <c r="F169" s="13"/>
      <c r="G169" s="13"/>
      <c r="H169" s="90"/>
      <c r="I169" s="13"/>
      <c r="J169" s="13"/>
      <c r="K169" s="13"/>
      <c r="L169" s="90"/>
      <c r="M169" s="13"/>
      <c r="N169" s="13"/>
      <c r="O169" s="90"/>
      <c r="P169" s="13"/>
      <c r="Q169" s="13"/>
      <c r="R169" s="13"/>
      <c r="S169" s="90"/>
      <c r="T169" s="13"/>
      <c r="U169" s="13"/>
      <c r="V169" s="90"/>
      <c r="W169" s="13"/>
      <c r="X169" s="13"/>
      <c r="Y169" s="90"/>
      <c r="Z169" s="13"/>
      <c r="AA169" s="13"/>
      <c r="AB169" s="13"/>
      <c r="AC169" s="90"/>
      <c r="AD169" s="13"/>
      <c r="AE169" s="13"/>
      <c r="AF169" s="90"/>
      <c r="AG169" s="13"/>
      <c r="AH169" s="13"/>
      <c r="AI169" s="13"/>
      <c r="AJ169" s="90"/>
      <c r="AK169" s="13"/>
      <c r="AL169" s="13"/>
      <c r="AM169" s="90"/>
      <c r="AN169" s="13"/>
      <c r="AO169" s="13"/>
      <c r="AP169" s="13"/>
      <c r="AQ169" s="90"/>
      <c r="AR169" s="13"/>
      <c r="AS169" s="13"/>
      <c r="AT169" s="90"/>
      <c r="AU169" s="13"/>
      <c r="AV169" s="13"/>
      <c r="AW169" s="90"/>
      <c r="AX169" s="13"/>
      <c r="AY169" s="13"/>
      <c r="AZ169" s="90"/>
      <c r="BA169" s="13"/>
      <c r="BB169" s="13"/>
      <c r="BC169" s="90"/>
      <c r="BD169" s="13"/>
      <c r="BE169" s="13"/>
      <c r="BF169" s="13"/>
      <c r="BG169" s="90"/>
      <c r="BH169" s="13"/>
      <c r="BI169" s="13"/>
      <c r="BJ169" s="90"/>
      <c r="BK169" s="13"/>
      <c r="BL169" s="13"/>
      <c r="BM169" s="13"/>
      <c r="BN169" s="90"/>
      <c r="BO169" s="13"/>
      <c r="BP169" s="13"/>
      <c r="BQ169" s="90"/>
      <c r="BR169" s="13"/>
      <c r="BS169" s="13"/>
      <c r="BT169" s="13"/>
      <c r="BU169" s="90"/>
      <c r="BV169" s="13"/>
      <c r="BW169" s="13"/>
      <c r="BX169" s="90"/>
      <c r="BY169" s="13"/>
      <c r="BZ169" s="13"/>
      <c r="CA169" s="90"/>
      <c r="CB169" s="13"/>
      <c r="CC169" s="13"/>
      <c r="CD169" s="13"/>
      <c r="CE169" s="90"/>
      <c r="CF169" s="13"/>
      <c r="CG169" s="13"/>
      <c r="CH169" s="90"/>
      <c r="CI169" s="13"/>
      <c r="CJ169" s="13"/>
      <c r="CK169" s="13"/>
      <c r="CL169" s="90"/>
      <c r="CM169" s="13"/>
      <c r="CN169" s="13"/>
      <c r="CO169" s="90"/>
      <c r="CP169" s="13"/>
      <c r="CQ169" s="13"/>
      <c r="CR169" s="13"/>
      <c r="CS169" s="90"/>
      <c r="CT169" s="13"/>
      <c r="CU169" s="13"/>
      <c r="CV169" s="90"/>
      <c r="CW169" s="13"/>
      <c r="CX169" s="13"/>
    </row>
    <row r="170" spans="2:102" s="2" customFormat="1" x14ac:dyDescent="0.25">
      <c r="B170" s="11"/>
      <c r="C170" s="13"/>
      <c r="D170" s="13"/>
      <c r="E170" s="11"/>
      <c r="F170" s="13"/>
      <c r="G170" s="13"/>
      <c r="H170" s="90"/>
      <c r="I170" s="13"/>
      <c r="J170" s="13"/>
      <c r="K170" s="13"/>
      <c r="L170" s="90"/>
      <c r="M170" s="13"/>
      <c r="N170" s="13"/>
      <c r="O170" s="90"/>
      <c r="P170" s="13"/>
      <c r="Q170" s="13"/>
      <c r="R170" s="13"/>
      <c r="S170" s="90"/>
      <c r="T170" s="13"/>
      <c r="U170" s="13"/>
      <c r="V170" s="90"/>
      <c r="W170" s="13"/>
      <c r="X170" s="13"/>
      <c r="Y170" s="90"/>
      <c r="Z170" s="13"/>
      <c r="AA170" s="13"/>
      <c r="AB170" s="13"/>
      <c r="AC170" s="90"/>
      <c r="AD170" s="13"/>
      <c r="AE170" s="13"/>
      <c r="AF170" s="90"/>
      <c r="AG170" s="13"/>
      <c r="AH170" s="13"/>
      <c r="AI170" s="13"/>
      <c r="AJ170" s="90"/>
      <c r="AK170" s="13"/>
      <c r="AL170" s="13"/>
      <c r="AM170" s="90"/>
      <c r="AN170" s="13"/>
      <c r="AO170" s="13"/>
      <c r="AP170" s="13"/>
      <c r="AQ170" s="90"/>
      <c r="AR170" s="13"/>
      <c r="AS170" s="13"/>
      <c r="AT170" s="90"/>
      <c r="AU170" s="13"/>
      <c r="AV170" s="13"/>
      <c r="AW170" s="90"/>
      <c r="AX170" s="13"/>
      <c r="AY170" s="13"/>
      <c r="AZ170" s="90"/>
      <c r="BA170" s="13"/>
      <c r="BB170" s="13"/>
      <c r="BC170" s="90"/>
      <c r="BD170" s="13"/>
      <c r="BE170" s="13"/>
      <c r="BF170" s="13"/>
      <c r="BG170" s="90"/>
      <c r="BH170" s="13"/>
      <c r="BI170" s="13"/>
      <c r="BJ170" s="90"/>
      <c r="BK170" s="13"/>
      <c r="BL170" s="13"/>
      <c r="BM170" s="13"/>
      <c r="BN170" s="90"/>
      <c r="BO170" s="13"/>
      <c r="BP170" s="13"/>
      <c r="BQ170" s="90"/>
      <c r="BR170" s="13"/>
      <c r="BS170" s="13"/>
      <c r="BT170" s="13"/>
      <c r="BU170" s="90"/>
      <c r="BV170" s="13"/>
      <c r="BW170" s="13"/>
      <c r="BX170" s="90"/>
      <c r="BY170" s="13"/>
      <c r="BZ170" s="13"/>
      <c r="CA170" s="90"/>
      <c r="CB170" s="13"/>
      <c r="CC170" s="13"/>
      <c r="CD170" s="13"/>
      <c r="CE170" s="90"/>
      <c r="CF170" s="13"/>
      <c r="CG170" s="13"/>
      <c r="CH170" s="90"/>
      <c r="CI170" s="13"/>
      <c r="CJ170" s="13"/>
      <c r="CK170" s="13"/>
      <c r="CL170" s="90"/>
      <c r="CM170" s="13"/>
      <c r="CN170" s="13"/>
      <c r="CO170" s="90"/>
      <c r="CP170" s="13"/>
      <c r="CQ170" s="13"/>
      <c r="CR170" s="13"/>
      <c r="CS170" s="90"/>
      <c r="CT170" s="13"/>
      <c r="CU170" s="13"/>
      <c r="CV170" s="90"/>
      <c r="CW170" s="13"/>
      <c r="CX170" s="13"/>
    </row>
    <row r="171" spans="2:102" s="2" customFormat="1" x14ac:dyDescent="0.25">
      <c r="B171" s="11"/>
      <c r="C171" s="13"/>
      <c r="D171" s="13"/>
      <c r="E171" s="11"/>
      <c r="F171" s="13"/>
      <c r="G171" s="13"/>
      <c r="H171" s="90"/>
      <c r="I171" s="13"/>
      <c r="J171" s="13"/>
      <c r="K171" s="13"/>
      <c r="L171" s="90"/>
      <c r="M171" s="13"/>
      <c r="N171" s="13"/>
      <c r="O171" s="90"/>
      <c r="P171" s="13"/>
      <c r="Q171" s="13"/>
      <c r="R171" s="13"/>
      <c r="S171" s="90"/>
      <c r="T171" s="13"/>
      <c r="U171" s="13"/>
      <c r="V171" s="90"/>
      <c r="W171" s="13"/>
      <c r="X171" s="13"/>
      <c r="Y171" s="90"/>
      <c r="Z171" s="13"/>
      <c r="AA171" s="13"/>
      <c r="AB171" s="13"/>
      <c r="AC171" s="90"/>
      <c r="AD171" s="13"/>
      <c r="AE171" s="13"/>
      <c r="AF171" s="90"/>
      <c r="AG171" s="13"/>
      <c r="AH171" s="13"/>
      <c r="AI171" s="13"/>
      <c r="AJ171" s="90"/>
      <c r="AK171" s="13"/>
      <c r="AL171" s="13"/>
      <c r="AM171" s="90"/>
      <c r="AN171" s="13"/>
      <c r="AO171" s="13"/>
      <c r="AP171" s="13"/>
      <c r="AQ171" s="90"/>
      <c r="AR171" s="13"/>
      <c r="AS171" s="13"/>
      <c r="AT171" s="90"/>
      <c r="AU171" s="13"/>
      <c r="AV171" s="13"/>
      <c r="AW171" s="90"/>
      <c r="AX171" s="13"/>
      <c r="AY171" s="13"/>
      <c r="AZ171" s="90"/>
      <c r="BA171" s="13"/>
      <c r="BB171" s="13"/>
      <c r="BC171" s="90"/>
      <c r="BD171" s="13"/>
      <c r="BE171" s="13"/>
      <c r="BF171" s="13"/>
      <c r="BG171" s="90"/>
      <c r="BH171" s="13"/>
      <c r="BI171" s="13"/>
      <c r="BJ171" s="90"/>
      <c r="BK171" s="13"/>
      <c r="BL171" s="13"/>
      <c r="BM171" s="13"/>
      <c r="BN171" s="90"/>
      <c r="BO171" s="13"/>
      <c r="BP171" s="13"/>
      <c r="BQ171" s="90"/>
      <c r="BR171" s="13"/>
      <c r="BS171" s="13"/>
      <c r="BT171" s="13"/>
      <c r="BU171" s="90"/>
      <c r="BV171" s="13"/>
      <c r="BW171" s="13"/>
      <c r="BX171" s="90"/>
      <c r="BY171" s="13"/>
      <c r="BZ171" s="13"/>
      <c r="CA171" s="90"/>
      <c r="CB171" s="13"/>
      <c r="CC171" s="13"/>
      <c r="CD171" s="13"/>
      <c r="CE171" s="90"/>
      <c r="CF171" s="13"/>
      <c r="CG171" s="13"/>
      <c r="CH171" s="90"/>
      <c r="CI171" s="13"/>
      <c r="CJ171" s="13"/>
      <c r="CK171" s="13"/>
      <c r="CL171" s="90"/>
      <c r="CM171" s="13"/>
      <c r="CN171" s="13"/>
      <c r="CO171" s="90"/>
      <c r="CP171" s="13"/>
      <c r="CQ171" s="13"/>
      <c r="CR171" s="13"/>
      <c r="CS171" s="90"/>
      <c r="CT171" s="13"/>
      <c r="CU171" s="13"/>
      <c r="CV171" s="90"/>
      <c r="CW171" s="13"/>
      <c r="CX171" s="13"/>
    </row>
    <row r="172" spans="2:102" s="2" customFormat="1" x14ac:dyDescent="0.25">
      <c r="B172" s="11"/>
      <c r="C172" s="13"/>
      <c r="D172" s="13"/>
      <c r="E172" s="11"/>
      <c r="F172" s="13"/>
      <c r="G172" s="13"/>
      <c r="H172" s="90"/>
      <c r="I172" s="13"/>
      <c r="J172" s="13"/>
      <c r="K172" s="13"/>
      <c r="L172" s="90"/>
      <c r="M172" s="13"/>
      <c r="N172" s="13"/>
      <c r="O172" s="90"/>
      <c r="P172" s="13"/>
      <c r="Q172" s="13"/>
      <c r="R172" s="13"/>
      <c r="S172" s="90"/>
      <c r="T172" s="13"/>
      <c r="U172" s="13"/>
      <c r="V172" s="90"/>
      <c r="W172" s="13"/>
      <c r="X172" s="13"/>
      <c r="Y172" s="90"/>
      <c r="Z172" s="13"/>
      <c r="AA172" s="13"/>
      <c r="AB172" s="13"/>
      <c r="AC172" s="90"/>
      <c r="AD172" s="13"/>
      <c r="AE172" s="13"/>
      <c r="AF172" s="90"/>
      <c r="AG172" s="13"/>
      <c r="AH172" s="13"/>
      <c r="AI172" s="13"/>
      <c r="AJ172" s="90"/>
      <c r="AK172" s="13"/>
      <c r="AL172" s="13"/>
      <c r="AM172" s="90"/>
      <c r="AN172" s="13"/>
      <c r="AO172" s="13"/>
      <c r="AP172" s="13"/>
      <c r="AQ172" s="90"/>
      <c r="AR172" s="13"/>
      <c r="AS172" s="13"/>
      <c r="AT172" s="90"/>
      <c r="AU172" s="13"/>
      <c r="AV172" s="13"/>
      <c r="AW172" s="90"/>
      <c r="AX172" s="13"/>
      <c r="AY172" s="13"/>
      <c r="AZ172" s="90"/>
      <c r="BA172" s="13"/>
      <c r="BB172" s="13"/>
      <c r="BC172" s="90"/>
      <c r="BD172" s="13"/>
      <c r="BE172" s="13"/>
      <c r="BF172" s="13"/>
      <c r="BG172" s="90"/>
      <c r="BH172" s="13"/>
      <c r="BI172" s="13"/>
      <c r="BJ172" s="90"/>
      <c r="BK172" s="13"/>
      <c r="BL172" s="13"/>
      <c r="BM172" s="13"/>
      <c r="BN172" s="90"/>
      <c r="BO172" s="13"/>
      <c r="BP172" s="13"/>
      <c r="BQ172" s="90"/>
      <c r="BR172" s="13"/>
      <c r="BS172" s="13"/>
      <c r="BT172" s="13"/>
      <c r="BU172" s="90"/>
      <c r="BV172" s="13"/>
      <c r="BW172" s="13"/>
      <c r="BX172" s="90"/>
      <c r="BY172" s="13"/>
      <c r="BZ172" s="13"/>
      <c r="CA172" s="90"/>
      <c r="CB172" s="13"/>
      <c r="CC172" s="13"/>
      <c r="CD172" s="13"/>
      <c r="CE172" s="90"/>
      <c r="CF172" s="13"/>
      <c r="CG172" s="13"/>
      <c r="CH172" s="90"/>
      <c r="CI172" s="13"/>
      <c r="CJ172" s="13"/>
      <c r="CK172" s="13"/>
      <c r="CL172" s="90"/>
      <c r="CM172" s="13"/>
      <c r="CN172" s="13"/>
      <c r="CO172" s="90"/>
      <c r="CP172" s="13"/>
      <c r="CQ172" s="13"/>
      <c r="CR172" s="13"/>
      <c r="CS172" s="90"/>
      <c r="CT172" s="13"/>
      <c r="CU172" s="13"/>
      <c r="CV172" s="90"/>
      <c r="CW172" s="13"/>
      <c r="CX172" s="13"/>
    </row>
    <row r="173" spans="2:102" s="2" customFormat="1" x14ac:dyDescent="0.25">
      <c r="B173" s="11"/>
      <c r="C173" s="13"/>
      <c r="D173" s="13"/>
      <c r="E173" s="11"/>
      <c r="F173" s="13"/>
      <c r="G173" s="13"/>
      <c r="H173" s="90"/>
      <c r="I173" s="13"/>
      <c r="J173" s="13"/>
      <c r="K173" s="13"/>
      <c r="L173" s="90"/>
      <c r="M173" s="13"/>
      <c r="N173" s="13"/>
      <c r="O173" s="90"/>
      <c r="P173" s="13"/>
      <c r="Q173" s="13"/>
      <c r="R173" s="13"/>
      <c r="S173" s="90"/>
      <c r="T173" s="13"/>
      <c r="U173" s="13"/>
      <c r="V173" s="90"/>
      <c r="W173" s="13"/>
      <c r="X173" s="13"/>
      <c r="Y173" s="90"/>
      <c r="Z173" s="13"/>
      <c r="AA173" s="13"/>
      <c r="AB173" s="13"/>
      <c r="AC173" s="90"/>
      <c r="AD173" s="13"/>
      <c r="AE173" s="13"/>
      <c r="AF173" s="90"/>
      <c r="AG173" s="13"/>
      <c r="AH173" s="13"/>
      <c r="AI173" s="13"/>
      <c r="AJ173" s="90"/>
      <c r="AK173" s="13"/>
      <c r="AL173" s="13"/>
      <c r="AM173" s="90"/>
      <c r="AN173" s="13"/>
      <c r="AO173" s="13"/>
      <c r="AP173" s="13"/>
      <c r="AQ173" s="90"/>
      <c r="AR173" s="13"/>
      <c r="AS173" s="13"/>
      <c r="AT173" s="90"/>
      <c r="AU173" s="13"/>
      <c r="AV173" s="13"/>
      <c r="AW173" s="90"/>
      <c r="AX173" s="13"/>
      <c r="AY173" s="13"/>
      <c r="AZ173" s="90"/>
      <c r="BA173" s="13"/>
      <c r="BB173" s="13"/>
      <c r="BC173" s="90"/>
      <c r="BD173" s="13"/>
      <c r="BE173" s="13"/>
      <c r="BF173" s="13"/>
      <c r="BG173" s="90"/>
      <c r="BH173" s="13"/>
      <c r="BI173" s="13"/>
      <c r="BJ173" s="90"/>
      <c r="BK173" s="13"/>
      <c r="BL173" s="13"/>
      <c r="BM173" s="13"/>
      <c r="BN173" s="90"/>
      <c r="BO173" s="13"/>
      <c r="BP173" s="13"/>
      <c r="BQ173" s="90"/>
      <c r="BR173" s="13"/>
      <c r="BS173" s="13"/>
      <c r="BT173" s="13"/>
      <c r="BU173" s="90"/>
      <c r="BV173" s="13"/>
      <c r="BW173" s="13"/>
      <c r="BX173" s="90"/>
      <c r="BY173" s="13"/>
      <c r="BZ173" s="13"/>
      <c r="CA173" s="90"/>
      <c r="CB173" s="13"/>
      <c r="CC173" s="13"/>
      <c r="CD173" s="13"/>
      <c r="CE173" s="90"/>
      <c r="CF173" s="13"/>
      <c r="CG173" s="13"/>
      <c r="CH173" s="90"/>
      <c r="CI173" s="13"/>
      <c r="CJ173" s="13"/>
      <c r="CK173" s="13"/>
      <c r="CL173" s="90"/>
      <c r="CM173" s="13"/>
      <c r="CN173" s="13"/>
      <c r="CO173" s="90"/>
      <c r="CP173" s="13"/>
      <c r="CQ173" s="13"/>
      <c r="CR173" s="13"/>
      <c r="CS173" s="90"/>
      <c r="CT173" s="13"/>
      <c r="CU173" s="13"/>
      <c r="CV173" s="90"/>
      <c r="CW173" s="13"/>
      <c r="CX173" s="13"/>
    </row>
    <row r="174" spans="2:102" s="2" customFormat="1" x14ac:dyDescent="0.25">
      <c r="B174" s="11"/>
      <c r="C174" s="13"/>
      <c r="D174" s="13"/>
      <c r="E174" s="11"/>
      <c r="F174" s="13"/>
      <c r="G174" s="13"/>
      <c r="H174" s="90"/>
      <c r="I174" s="13"/>
      <c r="J174" s="13"/>
      <c r="K174" s="13"/>
      <c r="L174" s="90"/>
      <c r="M174" s="13"/>
      <c r="N174" s="13"/>
      <c r="O174" s="90"/>
      <c r="P174" s="13"/>
      <c r="Q174" s="13"/>
      <c r="R174" s="13"/>
      <c r="S174" s="90"/>
      <c r="T174" s="13"/>
      <c r="U174" s="13"/>
      <c r="V174" s="90"/>
      <c r="W174" s="13"/>
      <c r="X174" s="13"/>
      <c r="Y174" s="90"/>
      <c r="Z174" s="13"/>
      <c r="AA174" s="13"/>
      <c r="AB174" s="13"/>
      <c r="AC174" s="90"/>
      <c r="AD174" s="13"/>
      <c r="AE174" s="13"/>
      <c r="AF174" s="90"/>
      <c r="AG174" s="13"/>
      <c r="AH174" s="13"/>
      <c r="AI174" s="13"/>
      <c r="AJ174" s="90"/>
      <c r="AK174" s="13"/>
      <c r="AL174" s="13"/>
      <c r="AM174" s="90"/>
      <c r="AN174" s="13"/>
      <c r="AO174" s="13"/>
      <c r="AP174" s="13"/>
      <c r="AQ174" s="90"/>
      <c r="AR174" s="13"/>
      <c r="AS174" s="13"/>
      <c r="AT174" s="90"/>
      <c r="AU174" s="13"/>
      <c r="AV174" s="13"/>
      <c r="AW174" s="90"/>
      <c r="AX174" s="13"/>
      <c r="AY174" s="13"/>
      <c r="AZ174" s="90"/>
      <c r="BA174" s="13"/>
      <c r="BB174" s="13"/>
      <c r="BC174" s="90"/>
      <c r="BD174" s="13"/>
      <c r="BE174" s="13"/>
      <c r="BF174" s="13"/>
      <c r="BG174" s="90"/>
      <c r="BH174" s="13"/>
      <c r="BI174" s="13"/>
      <c r="BJ174" s="90"/>
      <c r="BK174" s="13"/>
      <c r="BL174" s="13"/>
      <c r="BM174" s="13"/>
      <c r="BN174" s="90"/>
      <c r="BO174" s="13"/>
      <c r="BP174" s="13"/>
      <c r="BQ174" s="90"/>
      <c r="BR174" s="13"/>
      <c r="BS174" s="13"/>
      <c r="BT174" s="13"/>
      <c r="BU174" s="90"/>
      <c r="BV174" s="13"/>
      <c r="BW174" s="13"/>
      <c r="BX174" s="90"/>
      <c r="BY174" s="13"/>
      <c r="BZ174" s="13"/>
      <c r="CA174" s="90"/>
      <c r="CB174" s="13"/>
      <c r="CC174" s="13"/>
      <c r="CD174" s="13"/>
      <c r="CE174" s="90"/>
      <c r="CF174" s="13"/>
      <c r="CG174" s="13"/>
      <c r="CH174" s="90"/>
      <c r="CI174" s="13"/>
      <c r="CJ174" s="13"/>
      <c r="CK174" s="13"/>
      <c r="CL174" s="90"/>
      <c r="CM174" s="13"/>
      <c r="CN174" s="13"/>
      <c r="CO174" s="90"/>
      <c r="CP174" s="13"/>
      <c r="CQ174" s="13"/>
      <c r="CR174" s="13"/>
      <c r="CS174" s="90"/>
      <c r="CT174" s="13"/>
      <c r="CU174" s="13"/>
      <c r="CV174" s="90"/>
      <c r="CW174" s="13"/>
      <c r="CX174" s="13"/>
    </row>
    <row r="175" spans="2:102" s="2" customFormat="1" x14ac:dyDescent="0.25">
      <c r="B175" s="11"/>
      <c r="C175" s="13"/>
      <c r="D175" s="13"/>
      <c r="E175" s="11"/>
      <c r="F175" s="13"/>
      <c r="G175" s="13"/>
      <c r="H175" s="90"/>
      <c r="I175" s="13"/>
      <c r="J175" s="13"/>
      <c r="K175" s="13"/>
      <c r="L175" s="90"/>
      <c r="M175" s="13"/>
      <c r="N175" s="13"/>
      <c r="O175" s="90"/>
      <c r="P175" s="13"/>
      <c r="Q175" s="13"/>
      <c r="R175" s="13"/>
      <c r="S175" s="90"/>
      <c r="T175" s="13"/>
      <c r="U175" s="13"/>
      <c r="V175" s="90"/>
      <c r="W175" s="13"/>
      <c r="X175" s="13"/>
      <c r="Y175" s="90"/>
      <c r="Z175" s="13"/>
      <c r="AA175" s="13"/>
      <c r="AB175" s="13"/>
      <c r="AC175" s="90"/>
      <c r="AD175" s="13"/>
      <c r="AE175" s="13"/>
      <c r="AF175" s="90"/>
      <c r="AG175" s="13"/>
      <c r="AH175" s="13"/>
      <c r="AI175" s="13"/>
      <c r="AJ175" s="90"/>
      <c r="AK175" s="13"/>
      <c r="AL175" s="13"/>
      <c r="AM175" s="90"/>
      <c r="AN175" s="13"/>
      <c r="AO175" s="13"/>
      <c r="AP175" s="13"/>
      <c r="AQ175" s="90"/>
      <c r="AR175" s="13"/>
      <c r="AS175" s="13"/>
      <c r="AT175" s="90"/>
      <c r="AU175" s="13"/>
      <c r="AV175" s="13"/>
      <c r="AW175" s="90"/>
      <c r="AX175" s="13"/>
      <c r="AY175" s="13"/>
      <c r="AZ175" s="90"/>
      <c r="BA175" s="13"/>
      <c r="BB175" s="13"/>
      <c r="BC175" s="90"/>
      <c r="BD175" s="13"/>
      <c r="BE175" s="13"/>
      <c r="BF175" s="13"/>
      <c r="BG175" s="90"/>
      <c r="BH175" s="13"/>
      <c r="BI175" s="13"/>
      <c r="BJ175" s="90"/>
      <c r="BK175" s="13"/>
      <c r="BL175" s="13"/>
      <c r="BM175" s="13"/>
      <c r="BN175" s="90"/>
      <c r="BO175" s="13"/>
      <c r="BP175" s="13"/>
      <c r="BQ175" s="90"/>
      <c r="BR175" s="13"/>
      <c r="BS175" s="13"/>
      <c r="BT175" s="13"/>
      <c r="BU175" s="90"/>
      <c r="BV175" s="13"/>
      <c r="BW175" s="13"/>
      <c r="BX175" s="90"/>
      <c r="BY175" s="13"/>
      <c r="BZ175" s="13"/>
      <c r="CA175" s="90"/>
      <c r="CB175" s="13"/>
      <c r="CC175" s="13"/>
      <c r="CD175" s="13"/>
      <c r="CE175" s="90"/>
      <c r="CF175" s="13"/>
      <c r="CG175" s="13"/>
      <c r="CH175" s="90"/>
      <c r="CI175" s="13"/>
      <c r="CJ175" s="13"/>
      <c r="CK175" s="13"/>
      <c r="CL175" s="90"/>
      <c r="CM175" s="13"/>
      <c r="CN175" s="13"/>
      <c r="CO175" s="90"/>
      <c r="CP175" s="13"/>
      <c r="CQ175" s="13"/>
      <c r="CR175" s="13"/>
      <c r="CS175" s="90"/>
      <c r="CT175" s="13"/>
      <c r="CU175" s="13"/>
      <c r="CV175" s="90"/>
      <c r="CW175" s="13"/>
      <c r="CX175" s="13"/>
    </row>
    <row r="176" spans="2:102" s="2" customFormat="1" x14ac:dyDescent="0.25">
      <c r="B176" s="11"/>
      <c r="C176" s="13"/>
      <c r="D176" s="13"/>
      <c r="E176" s="11"/>
      <c r="F176" s="13"/>
      <c r="G176" s="13"/>
      <c r="H176" s="90"/>
      <c r="I176" s="13"/>
      <c r="J176" s="13"/>
      <c r="K176" s="13"/>
      <c r="L176" s="90"/>
      <c r="M176" s="13"/>
      <c r="N176" s="13"/>
      <c r="O176" s="90"/>
      <c r="P176" s="13"/>
      <c r="Q176" s="13"/>
      <c r="R176" s="13"/>
      <c r="S176" s="90"/>
      <c r="T176" s="13"/>
      <c r="U176" s="13"/>
      <c r="V176" s="90"/>
      <c r="W176" s="13"/>
      <c r="X176" s="13"/>
      <c r="Y176" s="90"/>
      <c r="Z176" s="13"/>
      <c r="AA176" s="13"/>
      <c r="AB176" s="13"/>
      <c r="AC176" s="90"/>
      <c r="AD176" s="13"/>
      <c r="AE176" s="13"/>
      <c r="AF176" s="90"/>
      <c r="AG176" s="13"/>
      <c r="AH176" s="13"/>
      <c r="AI176" s="13"/>
      <c r="AJ176" s="90"/>
      <c r="AK176" s="13"/>
      <c r="AL176" s="13"/>
      <c r="AM176" s="90"/>
      <c r="AN176" s="13"/>
      <c r="AO176" s="13"/>
      <c r="AP176" s="13"/>
      <c r="AQ176" s="90"/>
      <c r="AR176" s="13"/>
      <c r="AS176" s="13"/>
      <c r="AT176" s="90"/>
      <c r="AU176" s="13"/>
      <c r="AV176" s="13"/>
      <c r="AW176" s="90"/>
      <c r="AX176" s="13"/>
      <c r="AY176" s="13"/>
      <c r="AZ176" s="90"/>
      <c r="BA176" s="13"/>
      <c r="BB176" s="13"/>
      <c r="BC176" s="90"/>
      <c r="BD176" s="13"/>
      <c r="BE176" s="13"/>
      <c r="BF176" s="13"/>
      <c r="BG176" s="90"/>
      <c r="BH176" s="13"/>
      <c r="BI176" s="13"/>
      <c r="BJ176" s="90"/>
      <c r="BK176" s="13"/>
      <c r="BL176" s="13"/>
      <c r="BM176" s="13"/>
      <c r="BN176" s="90"/>
      <c r="BO176" s="13"/>
      <c r="BP176" s="13"/>
      <c r="BQ176" s="90"/>
      <c r="BR176" s="13"/>
      <c r="BS176" s="13"/>
      <c r="BT176" s="13"/>
      <c r="BU176" s="90"/>
      <c r="BV176" s="13"/>
      <c r="BW176" s="13"/>
      <c r="BX176" s="90"/>
      <c r="BY176" s="13"/>
      <c r="BZ176" s="13"/>
      <c r="CA176" s="90"/>
      <c r="CB176" s="13"/>
      <c r="CC176" s="13"/>
      <c r="CD176" s="13"/>
      <c r="CE176" s="90"/>
      <c r="CF176" s="13"/>
      <c r="CG176" s="13"/>
      <c r="CH176" s="90"/>
      <c r="CI176" s="13"/>
      <c r="CJ176" s="13"/>
      <c r="CK176" s="13"/>
      <c r="CL176" s="90"/>
      <c r="CM176" s="13"/>
      <c r="CN176" s="13"/>
      <c r="CO176" s="90"/>
      <c r="CP176" s="13"/>
      <c r="CQ176" s="13"/>
      <c r="CR176" s="13"/>
      <c r="CS176" s="90"/>
      <c r="CT176" s="13"/>
      <c r="CU176" s="13"/>
      <c r="CV176" s="90"/>
      <c r="CW176" s="13"/>
      <c r="CX176" s="13"/>
    </row>
    <row r="177" spans="2:102" s="2" customFormat="1" x14ac:dyDescent="0.25">
      <c r="B177" s="11"/>
      <c r="C177" s="13"/>
      <c r="D177" s="13"/>
      <c r="E177" s="11"/>
      <c r="F177" s="13"/>
      <c r="G177" s="13"/>
      <c r="H177" s="90"/>
      <c r="I177" s="13"/>
      <c r="J177" s="13"/>
      <c r="K177" s="13"/>
      <c r="L177" s="90"/>
      <c r="M177" s="13"/>
      <c r="N177" s="13"/>
      <c r="O177" s="90"/>
      <c r="P177" s="13"/>
      <c r="Q177" s="13"/>
      <c r="R177" s="13"/>
      <c r="S177" s="90"/>
      <c r="T177" s="13"/>
      <c r="U177" s="13"/>
      <c r="V177" s="90"/>
      <c r="W177" s="13"/>
      <c r="X177" s="13"/>
      <c r="Y177" s="90"/>
      <c r="Z177" s="13"/>
      <c r="AA177" s="13"/>
      <c r="AB177" s="13"/>
      <c r="AC177" s="90"/>
      <c r="AD177" s="13"/>
      <c r="AE177" s="13"/>
      <c r="AF177" s="90"/>
      <c r="AG177" s="13"/>
      <c r="AH177" s="13"/>
      <c r="AI177" s="13"/>
      <c r="AJ177" s="90"/>
      <c r="AK177" s="13"/>
      <c r="AL177" s="13"/>
      <c r="AM177" s="90"/>
      <c r="AN177" s="13"/>
      <c r="AO177" s="13"/>
      <c r="AP177" s="13"/>
      <c r="AQ177" s="90"/>
      <c r="AR177" s="13"/>
      <c r="AS177" s="13"/>
      <c r="AT177" s="90"/>
      <c r="AU177" s="13"/>
      <c r="AV177" s="13"/>
      <c r="AW177" s="90"/>
      <c r="AX177" s="13"/>
      <c r="AY177" s="13"/>
      <c r="AZ177" s="90"/>
      <c r="BA177" s="13"/>
      <c r="BB177" s="13"/>
      <c r="BC177" s="90"/>
      <c r="BD177" s="13"/>
      <c r="BE177" s="13"/>
      <c r="BF177" s="13"/>
      <c r="BG177" s="90"/>
      <c r="BH177" s="13"/>
      <c r="BI177" s="13"/>
      <c r="BJ177" s="90"/>
      <c r="BK177" s="13"/>
      <c r="BL177" s="13"/>
      <c r="BM177" s="13"/>
      <c r="BN177" s="90"/>
      <c r="BO177" s="13"/>
      <c r="BP177" s="13"/>
      <c r="BQ177" s="90"/>
      <c r="BR177" s="13"/>
      <c r="BS177" s="13"/>
      <c r="BT177" s="13"/>
      <c r="BU177" s="90"/>
      <c r="BV177" s="13"/>
      <c r="BW177" s="13"/>
      <c r="BX177" s="90"/>
      <c r="BY177" s="13"/>
      <c r="BZ177" s="13"/>
      <c r="CA177" s="90"/>
      <c r="CB177" s="13"/>
      <c r="CC177" s="13"/>
      <c r="CD177" s="13"/>
      <c r="CE177" s="90"/>
      <c r="CF177" s="13"/>
      <c r="CG177" s="13"/>
      <c r="CH177" s="90"/>
      <c r="CI177" s="13"/>
      <c r="CJ177" s="13"/>
      <c r="CK177" s="13"/>
      <c r="CL177" s="90"/>
      <c r="CM177" s="13"/>
      <c r="CN177" s="13"/>
      <c r="CO177" s="90"/>
      <c r="CP177" s="13"/>
      <c r="CQ177" s="13"/>
      <c r="CR177" s="13"/>
      <c r="CS177" s="90"/>
      <c r="CT177" s="13"/>
      <c r="CU177" s="13"/>
      <c r="CV177" s="90"/>
      <c r="CW177" s="13"/>
      <c r="CX177" s="13"/>
    </row>
    <row r="178" spans="2:102" s="2" customFormat="1" x14ac:dyDescent="0.25">
      <c r="B178" s="11"/>
      <c r="C178" s="13"/>
      <c r="D178" s="13"/>
      <c r="E178" s="11"/>
      <c r="F178" s="13"/>
      <c r="G178" s="13"/>
      <c r="H178" s="90"/>
      <c r="I178" s="13"/>
      <c r="J178" s="13"/>
      <c r="K178" s="13"/>
      <c r="L178" s="90"/>
      <c r="M178" s="13"/>
      <c r="N178" s="13"/>
      <c r="O178" s="90"/>
      <c r="P178" s="13"/>
      <c r="Q178" s="13"/>
      <c r="R178" s="13"/>
      <c r="S178" s="90"/>
      <c r="T178" s="13"/>
      <c r="U178" s="13"/>
      <c r="V178" s="90"/>
      <c r="W178" s="13"/>
      <c r="X178" s="13"/>
      <c r="Y178" s="90"/>
      <c r="Z178" s="13"/>
      <c r="AA178" s="13"/>
      <c r="AB178" s="13"/>
      <c r="AC178" s="90"/>
      <c r="AD178" s="13"/>
      <c r="AE178" s="13"/>
      <c r="AF178" s="90"/>
      <c r="AG178" s="13"/>
      <c r="AH178" s="13"/>
      <c r="AI178" s="13"/>
      <c r="AJ178" s="90"/>
      <c r="AK178" s="13"/>
      <c r="AL178" s="13"/>
      <c r="AM178" s="90"/>
      <c r="AN178" s="13"/>
      <c r="AO178" s="13"/>
      <c r="AP178" s="13"/>
      <c r="AQ178" s="90"/>
      <c r="AR178" s="13"/>
      <c r="AS178" s="13"/>
      <c r="AT178" s="90"/>
      <c r="AU178" s="13"/>
      <c r="AV178" s="13"/>
      <c r="AW178" s="90"/>
      <c r="AX178" s="13"/>
      <c r="AY178" s="13"/>
      <c r="AZ178" s="90"/>
      <c r="BA178" s="13"/>
      <c r="BB178" s="13"/>
      <c r="BC178" s="90"/>
      <c r="BD178" s="13"/>
      <c r="BE178" s="13"/>
      <c r="BF178" s="13"/>
      <c r="BG178" s="90"/>
      <c r="BH178" s="13"/>
      <c r="BI178" s="13"/>
      <c r="BJ178" s="90"/>
      <c r="BK178" s="13"/>
      <c r="BL178" s="13"/>
      <c r="BM178" s="13"/>
      <c r="BN178" s="90"/>
      <c r="BO178" s="13"/>
      <c r="BP178" s="13"/>
      <c r="BQ178" s="90"/>
      <c r="BR178" s="13"/>
      <c r="BS178" s="13"/>
      <c r="BT178" s="13"/>
      <c r="BU178" s="90"/>
      <c r="BV178" s="13"/>
      <c r="BW178" s="13"/>
      <c r="BX178" s="90"/>
      <c r="BY178" s="13"/>
      <c r="BZ178" s="13"/>
      <c r="CA178" s="90"/>
      <c r="CB178" s="13"/>
      <c r="CC178" s="13"/>
      <c r="CD178" s="13"/>
      <c r="CE178" s="90"/>
      <c r="CF178" s="13"/>
      <c r="CG178" s="13"/>
      <c r="CH178" s="90"/>
      <c r="CI178" s="13"/>
      <c r="CJ178" s="13"/>
      <c r="CK178" s="13"/>
      <c r="CL178" s="90"/>
      <c r="CM178" s="13"/>
      <c r="CN178" s="13"/>
      <c r="CO178" s="90"/>
      <c r="CP178" s="13"/>
      <c r="CQ178" s="13"/>
      <c r="CR178" s="13"/>
      <c r="CS178" s="90"/>
      <c r="CT178" s="13"/>
      <c r="CU178" s="13"/>
      <c r="CV178" s="90"/>
      <c r="CW178" s="13"/>
      <c r="CX178" s="13"/>
    </row>
    <row r="179" spans="2:102" s="2" customFormat="1" x14ac:dyDescent="0.25">
      <c r="B179" s="11"/>
      <c r="C179" s="13"/>
      <c r="D179" s="13"/>
      <c r="E179" s="11"/>
      <c r="F179" s="13"/>
      <c r="G179" s="13"/>
      <c r="H179" s="90"/>
      <c r="I179" s="13"/>
      <c r="J179" s="13"/>
      <c r="K179" s="13"/>
      <c r="L179" s="90"/>
      <c r="M179" s="13"/>
      <c r="N179" s="13"/>
      <c r="O179" s="90"/>
      <c r="P179" s="13"/>
      <c r="Q179" s="13"/>
      <c r="R179" s="13"/>
      <c r="S179" s="90"/>
      <c r="T179" s="13"/>
      <c r="U179" s="13"/>
      <c r="V179" s="90"/>
      <c r="W179" s="13"/>
      <c r="X179" s="13"/>
      <c r="Y179" s="90"/>
      <c r="Z179" s="13"/>
      <c r="AA179" s="13"/>
      <c r="AB179" s="13"/>
      <c r="AC179" s="90"/>
      <c r="AD179" s="13"/>
      <c r="AE179" s="13"/>
      <c r="AF179" s="90"/>
      <c r="AG179" s="13"/>
      <c r="AH179" s="13"/>
      <c r="AI179" s="13"/>
      <c r="AJ179" s="90"/>
      <c r="AK179" s="13"/>
      <c r="AL179" s="13"/>
      <c r="AM179" s="90"/>
      <c r="AN179" s="13"/>
      <c r="AO179" s="13"/>
      <c r="AP179" s="13"/>
      <c r="AQ179" s="90"/>
      <c r="AR179" s="13"/>
      <c r="AS179" s="13"/>
      <c r="AT179" s="90"/>
      <c r="AU179" s="13"/>
      <c r="AV179" s="13"/>
      <c r="AW179" s="90"/>
      <c r="AX179" s="13"/>
      <c r="AY179" s="13"/>
      <c r="AZ179" s="90"/>
      <c r="BA179" s="13"/>
      <c r="BB179" s="13"/>
      <c r="BC179" s="90"/>
      <c r="BD179" s="13"/>
      <c r="BE179" s="13"/>
      <c r="BF179" s="13"/>
      <c r="BG179" s="90"/>
      <c r="BH179" s="13"/>
      <c r="BI179" s="13"/>
      <c r="BJ179" s="90"/>
      <c r="BK179" s="13"/>
      <c r="BL179" s="13"/>
      <c r="BM179" s="13"/>
      <c r="BN179" s="90"/>
      <c r="BO179" s="13"/>
      <c r="BP179" s="13"/>
      <c r="BQ179" s="90"/>
      <c r="BR179" s="13"/>
      <c r="BS179" s="13"/>
      <c r="BT179" s="13"/>
      <c r="BU179" s="90"/>
      <c r="BV179" s="13"/>
      <c r="BW179" s="13"/>
      <c r="BX179" s="90"/>
      <c r="BY179" s="13"/>
      <c r="BZ179" s="13"/>
      <c r="CA179" s="90"/>
      <c r="CB179" s="13"/>
      <c r="CC179" s="13"/>
      <c r="CD179" s="13"/>
      <c r="CE179" s="90"/>
      <c r="CF179" s="13"/>
      <c r="CG179" s="13"/>
      <c r="CH179" s="90"/>
      <c r="CI179" s="13"/>
      <c r="CJ179" s="13"/>
      <c r="CK179" s="13"/>
      <c r="CL179" s="90"/>
      <c r="CM179" s="13"/>
      <c r="CN179" s="13"/>
      <c r="CO179" s="90"/>
      <c r="CP179" s="13"/>
      <c r="CQ179" s="13"/>
      <c r="CR179" s="13"/>
      <c r="CS179" s="90"/>
      <c r="CT179" s="13"/>
      <c r="CU179" s="13"/>
      <c r="CV179" s="90"/>
      <c r="CW179" s="13"/>
      <c r="CX179" s="13"/>
    </row>
    <row r="180" spans="2:102" s="2" customFormat="1" x14ac:dyDescent="0.25">
      <c r="B180" s="11"/>
      <c r="C180" s="13"/>
      <c r="D180" s="13"/>
      <c r="E180" s="11"/>
      <c r="F180" s="13"/>
      <c r="G180" s="13"/>
      <c r="H180" s="90"/>
      <c r="I180" s="13"/>
      <c r="J180" s="13"/>
      <c r="K180" s="13"/>
      <c r="L180" s="90"/>
      <c r="M180" s="13"/>
      <c r="N180" s="13"/>
      <c r="O180" s="90"/>
      <c r="P180" s="13"/>
      <c r="Q180" s="13"/>
      <c r="R180" s="13"/>
      <c r="S180" s="90"/>
      <c r="T180" s="13"/>
      <c r="U180" s="13"/>
      <c r="V180" s="90"/>
      <c r="W180" s="13"/>
      <c r="X180" s="13"/>
      <c r="Y180" s="90"/>
      <c r="Z180" s="13"/>
      <c r="AA180" s="13"/>
      <c r="AB180" s="13"/>
      <c r="AC180" s="90"/>
      <c r="AD180" s="13"/>
      <c r="AE180" s="13"/>
      <c r="AF180" s="90"/>
      <c r="AG180" s="13"/>
      <c r="AH180" s="13"/>
      <c r="AI180" s="13"/>
      <c r="AJ180" s="90"/>
      <c r="AK180" s="13"/>
      <c r="AL180" s="13"/>
      <c r="AM180" s="90"/>
      <c r="AN180" s="13"/>
      <c r="AO180" s="13"/>
      <c r="AP180" s="13"/>
      <c r="AQ180" s="90"/>
      <c r="AR180" s="13"/>
      <c r="AS180" s="13"/>
      <c r="AT180" s="90"/>
      <c r="AU180" s="13"/>
      <c r="AV180" s="13"/>
      <c r="AW180" s="90"/>
      <c r="AX180" s="13"/>
      <c r="AY180" s="13"/>
      <c r="AZ180" s="90"/>
      <c r="BA180" s="13"/>
      <c r="BB180" s="13"/>
      <c r="BC180" s="90"/>
      <c r="BD180" s="13"/>
      <c r="BE180" s="13"/>
      <c r="BF180" s="13"/>
      <c r="BG180" s="90"/>
      <c r="BH180" s="13"/>
      <c r="BI180" s="13"/>
      <c r="BJ180" s="90"/>
      <c r="BK180" s="13"/>
      <c r="BL180" s="13"/>
      <c r="BM180" s="13"/>
      <c r="BN180" s="90"/>
      <c r="BO180" s="13"/>
      <c r="BP180" s="13"/>
      <c r="BQ180" s="90"/>
      <c r="BR180" s="13"/>
      <c r="BS180" s="13"/>
      <c r="BT180" s="13"/>
      <c r="BU180" s="90"/>
      <c r="BV180" s="13"/>
      <c r="BW180" s="13"/>
      <c r="BX180" s="90"/>
      <c r="BY180" s="13"/>
      <c r="BZ180" s="13"/>
      <c r="CA180" s="90"/>
      <c r="CB180" s="13"/>
      <c r="CC180" s="13"/>
      <c r="CD180" s="13"/>
      <c r="CE180" s="90"/>
      <c r="CF180" s="13"/>
      <c r="CG180" s="13"/>
      <c r="CH180" s="90"/>
      <c r="CI180" s="13"/>
      <c r="CJ180" s="13"/>
      <c r="CK180" s="13"/>
      <c r="CL180" s="90"/>
      <c r="CM180" s="13"/>
      <c r="CN180" s="13"/>
      <c r="CO180" s="90"/>
      <c r="CP180" s="13"/>
      <c r="CQ180" s="13"/>
      <c r="CR180" s="13"/>
      <c r="CS180" s="90"/>
      <c r="CT180" s="13"/>
      <c r="CU180" s="13"/>
      <c r="CV180" s="90"/>
      <c r="CW180" s="13"/>
      <c r="CX180" s="13"/>
    </row>
    <row r="181" spans="2:102" s="2" customFormat="1" x14ac:dyDescent="0.25">
      <c r="B181" s="11"/>
      <c r="C181" s="13"/>
      <c r="D181" s="13"/>
      <c r="E181" s="11"/>
      <c r="F181" s="13"/>
      <c r="G181" s="13"/>
      <c r="H181" s="90"/>
      <c r="I181" s="13"/>
      <c r="J181" s="13"/>
      <c r="K181" s="13"/>
      <c r="L181" s="90"/>
      <c r="M181" s="13"/>
      <c r="N181" s="13"/>
      <c r="O181" s="90"/>
      <c r="P181" s="13"/>
      <c r="Q181" s="13"/>
      <c r="R181" s="13"/>
      <c r="S181" s="90"/>
      <c r="T181" s="13"/>
      <c r="U181" s="13"/>
      <c r="V181" s="90"/>
      <c r="W181" s="13"/>
      <c r="X181" s="13"/>
      <c r="Y181" s="90"/>
      <c r="Z181" s="13"/>
      <c r="AA181" s="13"/>
      <c r="AB181" s="13"/>
      <c r="AC181" s="90"/>
      <c r="AD181" s="13"/>
      <c r="AE181" s="13"/>
      <c r="AF181" s="90"/>
      <c r="AG181" s="13"/>
      <c r="AH181" s="13"/>
      <c r="AI181" s="13"/>
      <c r="AJ181" s="90"/>
      <c r="AK181" s="13"/>
      <c r="AL181" s="13"/>
      <c r="AM181" s="90"/>
      <c r="AN181" s="13"/>
      <c r="AO181" s="13"/>
      <c r="AP181" s="13"/>
      <c r="AQ181" s="90"/>
      <c r="AR181" s="13"/>
      <c r="AS181" s="13"/>
      <c r="AT181" s="90"/>
      <c r="AU181" s="13"/>
      <c r="AV181" s="13"/>
      <c r="AW181" s="90"/>
      <c r="AX181" s="13"/>
      <c r="AY181" s="13"/>
      <c r="AZ181" s="90"/>
      <c r="BA181" s="13"/>
      <c r="BB181" s="13"/>
      <c r="BC181" s="90"/>
      <c r="BD181" s="13"/>
      <c r="BE181" s="13"/>
      <c r="BF181" s="13"/>
      <c r="BG181" s="90"/>
      <c r="BH181" s="13"/>
      <c r="BI181" s="13"/>
      <c r="BJ181" s="90"/>
      <c r="BK181" s="13"/>
      <c r="BL181" s="13"/>
      <c r="BM181" s="13"/>
      <c r="BN181" s="90"/>
      <c r="BO181" s="13"/>
      <c r="BP181" s="13"/>
      <c r="BQ181" s="90"/>
      <c r="BR181" s="13"/>
      <c r="BS181" s="13"/>
      <c r="BT181" s="13"/>
      <c r="BU181" s="90"/>
      <c r="BV181" s="13"/>
      <c r="BW181" s="13"/>
      <c r="BX181" s="90"/>
      <c r="BY181" s="13"/>
      <c r="BZ181" s="13"/>
      <c r="CA181" s="90"/>
      <c r="CB181" s="13"/>
      <c r="CC181" s="13"/>
      <c r="CD181" s="13"/>
      <c r="CE181" s="90"/>
      <c r="CF181" s="13"/>
      <c r="CG181" s="13"/>
      <c r="CH181" s="90"/>
      <c r="CI181" s="13"/>
      <c r="CJ181" s="13"/>
      <c r="CK181" s="13"/>
      <c r="CL181" s="90"/>
      <c r="CM181" s="13"/>
      <c r="CN181" s="13"/>
      <c r="CO181" s="90"/>
      <c r="CP181" s="13"/>
      <c r="CQ181" s="13"/>
      <c r="CR181" s="13"/>
      <c r="CS181" s="90"/>
      <c r="CT181" s="13"/>
      <c r="CU181" s="13"/>
      <c r="CV181" s="90"/>
      <c r="CW181" s="13"/>
      <c r="CX181" s="13"/>
    </row>
    <row r="182" spans="2:102" s="2" customFormat="1" x14ac:dyDescent="0.25">
      <c r="B182" s="11"/>
      <c r="C182" s="13"/>
      <c r="D182" s="13"/>
      <c r="E182" s="11"/>
      <c r="F182" s="13"/>
      <c r="G182" s="13"/>
      <c r="H182" s="90"/>
      <c r="I182" s="13"/>
      <c r="J182" s="13"/>
      <c r="K182" s="13"/>
      <c r="L182" s="90"/>
      <c r="M182" s="13"/>
      <c r="N182" s="13"/>
      <c r="O182" s="90"/>
      <c r="P182" s="13"/>
      <c r="Q182" s="13"/>
      <c r="R182" s="13"/>
      <c r="S182" s="90"/>
      <c r="T182" s="13"/>
      <c r="U182" s="13"/>
      <c r="V182" s="90"/>
      <c r="W182" s="13"/>
      <c r="X182" s="13"/>
      <c r="Y182" s="90"/>
      <c r="Z182" s="13"/>
      <c r="AA182" s="13"/>
      <c r="AB182" s="13"/>
      <c r="AC182" s="90"/>
      <c r="AD182" s="13"/>
      <c r="AE182" s="13"/>
      <c r="AF182" s="90"/>
      <c r="AG182" s="13"/>
      <c r="AH182" s="13"/>
      <c r="AI182" s="13"/>
      <c r="AJ182" s="90"/>
      <c r="AK182" s="13"/>
      <c r="AL182" s="13"/>
      <c r="AM182" s="90"/>
      <c r="AN182" s="13"/>
      <c r="AO182" s="13"/>
      <c r="AP182" s="13"/>
      <c r="AQ182" s="90"/>
      <c r="AR182" s="13"/>
      <c r="AS182" s="13"/>
      <c r="AT182" s="90"/>
      <c r="AU182" s="13"/>
      <c r="AV182" s="13"/>
      <c r="AW182" s="90"/>
      <c r="AX182" s="13"/>
      <c r="AY182" s="13"/>
      <c r="AZ182" s="90"/>
      <c r="BA182" s="13"/>
      <c r="BB182" s="13"/>
      <c r="BC182" s="90"/>
      <c r="BD182" s="13"/>
      <c r="BE182" s="13"/>
      <c r="BF182" s="13"/>
      <c r="BG182" s="90"/>
      <c r="BH182" s="13"/>
      <c r="BI182" s="13"/>
      <c r="BJ182" s="90"/>
      <c r="BK182" s="13"/>
      <c r="BL182" s="13"/>
      <c r="BM182" s="13"/>
      <c r="BN182" s="90"/>
      <c r="BO182" s="13"/>
      <c r="BP182" s="13"/>
      <c r="BQ182" s="90"/>
      <c r="BR182" s="13"/>
      <c r="BS182" s="13"/>
      <c r="BT182" s="13"/>
      <c r="BU182" s="90"/>
      <c r="BV182" s="13"/>
      <c r="BW182" s="13"/>
      <c r="BX182" s="90"/>
      <c r="BY182" s="13"/>
      <c r="BZ182" s="13"/>
      <c r="CA182" s="90"/>
      <c r="CB182" s="13"/>
      <c r="CC182" s="13"/>
      <c r="CD182" s="13"/>
      <c r="CE182" s="90"/>
      <c r="CF182" s="13"/>
      <c r="CG182" s="13"/>
      <c r="CH182" s="90"/>
      <c r="CI182" s="13"/>
      <c r="CJ182" s="13"/>
      <c r="CK182" s="13"/>
      <c r="CL182" s="90"/>
      <c r="CM182" s="13"/>
      <c r="CN182" s="13"/>
      <c r="CO182" s="90"/>
      <c r="CP182" s="13"/>
      <c r="CQ182" s="13"/>
      <c r="CR182" s="13"/>
      <c r="CS182" s="90"/>
      <c r="CT182" s="13"/>
      <c r="CU182" s="13"/>
      <c r="CV182" s="90"/>
      <c r="CW182" s="13"/>
      <c r="CX182" s="13"/>
    </row>
    <row r="183" spans="2:102" s="2" customFormat="1" x14ac:dyDescent="0.25">
      <c r="B183" s="11"/>
      <c r="C183" s="13"/>
      <c r="D183" s="13"/>
      <c r="E183" s="11"/>
      <c r="F183" s="13"/>
      <c r="G183" s="13"/>
      <c r="H183" s="90"/>
      <c r="I183" s="13"/>
      <c r="J183" s="13"/>
      <c r="K183" s="13"/>
      <c r="L183" s="90"/>
      <c r="M183" s="13"/>
      <c r="N183" s="13"/>
      <c r="O183" s="90"/>
      <c r="P183" s="13"/>
      <c r="Q183" s="13"/>
      <c r="R183" s="13"/>
      <c r="S183" s="90"/>
      <c r="T183" s="13"/>
      <c r="U183" s="13"/>
      <c r="V183" s="90"/>
      <c r="W183" s="13"/>
      <c r="X183" s="13"/>
      <c r="Y183" s="90"/>
      <c r="Z183" s="13"/>
      <c r="AA183" s="13"/>
      <c r="AB183" s="13"/>
      <c r="AC183" s="90"/>
      <c r="AD183" s="13"/>
      <c r="AE183" s="13"/>
      <c r="AF183" s="90"/>
      <c r="AG183" s="13"/>
      <c r="AH183" s="13"/>
      <c r="AI183" s="13"/>
      <c r="AJ183" s="90"/>
      <c r="AK183" s="13"/>
      <c r="AL183" s="13"/>
      <c r="AM183" s="90"/>
      <c r="AN183" s="13"/>
      <c r="AO183" s="13"/>
      <c r="AP183" s="13"/>
      <c r="AQ183" s="90"/>
      <c r="AR183" s="13"/>
      <c r="AS183" s="13"/>
      <c r="AT183" s="90"/>
      <c r="AU183" s="13"/>
      <c r="AV183" s="13"/>
      <c r="AW183" s="90"/>
      <c r="AX183" s="13"/>
      <c r="AY183" s="13"/>
      <c r="AZ183" s="90"/>
      <c r="BA183" s="13"/>
      <c r="BB183" s="13"/>
      <c r="BC183" s="90"/>
      <c r="BD183" s="13"/>
      <c r="BE183" s="13"/>
      <c r="BF183" s="13"/>
      <c r="BG183" s="90"/>
      <c r="BH183" s="13"/>
      <c r="BI183" s="13"/>
      <c r="BJ183" s="90"/>
      <c r="BK183" s="13"/>
      <c r="BL183" s="13"/>
      <c r="BM183" s="13"/>
      <c r="BN183" s="90"/>
      <c r="BO183" s="13"/>
      <c r="BP183" s="13"/>
      <c r="BQ183" s="90"/>
      <c r="BR183" s="13"/>
      <c r="BS183" s="13"/>
      <c r="BT183" s="13"/>
      <c r="BU183" s="90"/>
      <c r="BV183" s="13"/>
      <c r="BW183" s="13"/>
      <c r="BX183" s="90"/>
      <c r="BY183" s="13"/>
      <c r="BZ183" s="13"/>
      <c r="CA183" s="90"/>
      <c r="CB183" s="13"/>
      <c r="CC183" s="13"/>
      <c r="CD183" s="13"/>
      <c r="CE183" s="90"/>
      <c r="CF183" s="13"/>
      <c r="CG183" s="13"/>
      <c r="CH183" s="90"/>
      <c r="CI183" s="13"/>
      <c r="CJ183" s="13"/>
      <c r="CK183" s="13"/>
      <c r="CL183" s="90"/>
      <c r="CM183" s="13"/>
      <c r="CN183" s="13"/>
      <c r="CO183" s="90"/>
      <c r="CP183" s="13"/>
      <c r="CQ183" s="13"/>
      <c r="CR183" s="13"/>
      <c r="CS183" s="90"/>
      <c r="CT183" s="13"/>
      <c r="CU183" s="13"/>
      <c r="CV183" s="90"/>
      <c r="CW183" s="13"/>
      <c r="CX183" s="13"/>
    </row>
    <row r="184" spans="2:102" s="2" customFormat="1" x14ac:dyDescent="0.25">
      <c r="B184" s="11"/>
      <c r="C184" s="13"/>
      <c r="D184" s="13"/>
      <c r="E184" s="11"/>
      <c r="F184" s="13"/>
      <c r="G184" s="13"/>
      <c r="H184" s="90"/>
      <c r="I184" s="13"/>
      <c r="J184" s="13"/>
      <c r="K184" s="13"/>
      <c r="L184" s="90"/>
      <c r="M184" s="13"/>
      <c r="N184" s="13"/>
      <c r="O184" s="90"/>
      <c r="P184" s="13"/>
      <c r="Q184" s="13"/>
      <c r="R184" s="13"/>
      <c r="S184" s="90"/>
      <c r="T184" s="13"/>
      <c r="U184" s="13"/>
      <c r="V184" s="90"/>
      <c r="W184" s="13"/>
      <c r="X184" s="13"/>
      <c r="Y184" s="90"/>
      <c r="Z184" s="13"/>
      <c r="AA184" s="13"/>
      <c r="AB184" s="13"/>
      <c r="AC184" s="90"/>
      <c r="AD184" s="13"/>
      <c r="AE184" s="13"/>
      <c r="AF184" s="90"/>
      <c r="AG184" s="13"/>
      <c r="AH184" s="13"/>
      <c r="AI184" s="13"/>
      <c r="AJ184" s="90"/>
      <c r="AK184" s="13"/>
      <c r="AL184" s="13"/>
      <c r="AM184" s="90"/>
      <c r="AN184" s="13"/>
      <c r="AO184" s="13"/>
      <c r="AP184" s="13"/>
      <c r="AQ184" s="90"/>
      <c r="AR184" s="13"/>
      <c r="AS184" s="13"/>
      <c r="AT184" s="90"/>
      <c r="AU184" s="13"/>
      <c r="AV184" s="13"/>
      <c r="AW184" s="90"/>
      <c r="AX184" s="13"/>
      <c r="AY184" s="13"/>
      <c r="AZ184" s="90"/>
      <c r="BA184" s="13"/>
      <c r="BB184" s="13"/>
      <c r="BC184" s="90"/>
      <c r="BD184" s="13"/>
      <c r="BE184" s="13"/>
      <c r="BF184" s="13"/>
      <c r="BG184" s="90"/>
      <c r="BH184" s="13"/>
      <c r="BI184" s="13"/>
      <c r="BJ184" s="90"/>
      <c r="BK184" s="13"/>
      <c r="BL184" s="13"/>
      <c r="BM184" s="13"/>
      <c r="BN184" s="90"/>
      <c r="BO184" s="13"/>
      <c r="BP184" s="13"/>
      <c r="BQ184" s="90"/>
      <c r="BR184" s="13"/>
      <c r="BS184" s="13"/>
      <c r="BT184" s="13"/>
      <c r="BU184" s="90"/>
      <c r="BV184" s="13"/>
      <c r="BW184" s="13"/>
      <c r="BX184" s="90"/>
      <c r="BY184" s="13"/>
      <c r="BZ184" s="13"/>
      <c r="CA184" s="90"/>
      <c r="CB184" s="13"/>
      <c r="CC184" s="13"/>
      <c r="CD184" s="13"/>
      <c r="CE184" s="90"/>
      <c r="CF184" s="13"/>
      <c r="CG184" s="13"/>
      <c r="CH184" s="90"/>
      <c r="CI184" s="13"/>
      <c r="CJ184" s="13"/>
      <c r="CK184" s="13"/>
      <c r="CL184" s="90"/>
      <c r="CM184" s="13"/>
      <c r="CN184" s="13"/>
      <c r="CO184" s="90"/>
      <c r="CP184" s="13"/>
      <c r="CQ184" s="13"/>
      <c r="CR184" s="13"/>
      <c r="CS184" s="90"/>
      <c r="CT184" s="13"/>
      <c r="CU184" s="13"/>
      <c r="CV184" s="90"/>
      <c r="CW184" s="13"/>
      <c r="CX184" s="13"/>
    </row>
    <row r="185" spans="2:102" s="2" customFormat="1" x14ac:dyDescent="0.25">
      <c r="B185" s="11"/>
      <c r="C185" s="13"/>
      <c r="D185" s="13"/>
      <c r="E185" s="11"/>
      <c r="F185" s="13"/>
      <c r="G185" s="13"/>
      <c r="H185" s="90"/>
      <c r="I185" s="13"/>
      <c r="J185" s="13"/>
      <c r="K185" s="13"/>
      <c r="L185" s="90"/>
      <c r="M185" s="13"/>
      <c r="N185" s="13"/>
      <c r="O185" s="90"/>
      <c r="P185" s="13"/>
      <c r="Q185" s="13"/>
      <c r="R185" s="13"/>
      <c r="S185" s="90"/>
      <c r="T185" s="13"/>
      <c r="U185" s="13"/>
      <c r="V185" s="90"/>
      <c r="W185" s="13"/>
      <c r="X185" s="13"/>
      <c r="Y185" s="90"/>
      <c r="Z185" s="13"/>
      <c r="AA185" s="13"/>
      <c r="AB185" s="13"/>
      <c r="AC185" s="90"/>
      <c r="AD185" s="13"/>
      <c r="AE185" s="13"/>
      <c r="AF185" s="90"/>
      <c r="AG185" s="13"/>
      <c r="AH185" s="13"/>
      <c r="AI185" s="13"/>
      <c r="AJ185" s="90"/>
      <c r="AK185" s="13"/>
      <c r="AL185" s="13"/>
      <c r="AM185" s="90"/>
      <c r="AN185" s="13"/>
      <c r="AO185" s="13"/>
      <c r="AP185" s="13"/>
      <c r="AQ185" s="90"/>
      <c r="AR185" s="13"/>
      <c r="AS185" s="13"/>
      <c r="AT185" s="90"/>
      <c r="AU185" s="13"/>
      <c r="AV185" s="13"/>
      <c r="AW185" s="90"/>
      <c r="AX185" s="13"/>
      <c r="AY185" s="13"/>
      <c r="AZ185" s="90"/>
      <c r="BA185" s="13"/>
      <c r="BB185" s="13"/>
      <c r="BC185" s="90"/>
      <c r="BD185" s="13"/>
      <c r="BE185" s="13"/>
      <c r="BF185" s="13"/>
      <c r="BG185" s="90"/>
      <c r="BH185" s="13"/>
      <c r="BI185" s="13"/>
      <c r="BJ185" s="90"/>
      <c r="BK185" s="13"/>
      <c r="BL185" s="13"/>
      <c r="BM185" s="13"/>
      <c r="BN185" s="90"/>
      <c r="BO185" s="13"/>
      <c r="BP185" s="13"/>
      <c r="BQ185" s="90"/>
      <c r="BR185" s="13"/>
      <c r="BS185" s="13"/>
      <c r="BT185" s="13"/>
      <c r="BU185" s="90"/>
      <c r="BV185" s="13"/>
      <c r="BW185" s="13"/>
      <c r="BX185" s="90"/>
      <c r="BY185" s="13"/>
      <c r="BZ185" s="13"/>
      <c r="CA185" s="90"/>
      <c r="CB185" s="13"/>
      <c r="CC185" s="13"/>
      <c r="CD185" s="13"/>
      <c r="CE185" s="90"/>
      <c r="CF185" s="13"/>
      <c r="CG185" s="13"/>
      <c r="CH185" s="90"/>
      <c r="CI185" s="13"/>
      <c r="CJ185" s="13"/>
      <c r="CK185" s="13"/>
      <c r="CL185" s="90"/>
      <c r="CM185" s="13"/>
      <c r="CN185" s="13"/>
      <c r="CO185" s="90"/>
      <c r="CP185" s="13"/>
      <c r="CQ185" s="13"/>
      <c r="CR185" s="13"/>
      <c r="CS185" s="90"/>
      <c r="CT185" s="13"/>
      <c r="CU185" s="13"/>
      <c r="CV185" s="90"/>
      <c r="CW185" s="13"/>
      <c r="CX185" s="13"/>
    </row>
    <row r="186" spans="2:102" s="2" customFormat="1" x14ac:dyDescent="0.25">
      <c r="B186" s="11"/>
      <c r="C186" s="13"/>
      <c r="D186" s="13"/>
      <c r="E186" s="11"/>
      <c r="F186" s="13"/>
      <c r="G186" s="13"/>
      <c r="H186" s="90"/>
      <c r="I186" s="13"/>
      <c r="J186" s="13"/>
      <c r="K186" s="13"/>
      <c r="L186" s="90"/>
      <c r="M186" s="13"/>
      <c r="N186" s="13"/>
      <c r="O186" s="90"/>
      <c r="P186" s="13"/>
      <c r="Q186" s="13"/>
      <c r="R186" s="13"/>
      <c r="S186" s="90"/>
      <c r="T186" s="13"/>
      <c r="U186" s="13"/>
      <c r="V186" s="90"/>
      <c r="W186" s="13"/>
      <c r="X186" s="13"/>
      <c r="Y186" s="90"/>
      <c r="Z186" s="13"/>
      <c r="AA186" s="13"/>
      <c r="AB186" s="13"/>
      <c r="AC186" s="90"/>
      <c r="AD186" s="13"/>
      <c r="AE186" s="13"/>
      <c r="AF186" s="90"/>
      <c r="AG186" s="13"/>
      <c r="AH186" s="13"/>
      <c r="AI186" s="13"/>
      <c r="AJ186" s="90"/>
      <c r="AK186" s="13"/>
      <c r="AL186" s="13"/>
      <c r="AM186" s="90"/>
      <c r="AN186" s="13"/>
      <c r="AO186" s="13"/>
      <c r="AP186" s="13"/>
      <c r="AQ186" s="90"/>
      <c r="AR186" s="13"/>
      <c r="AS186" s="13"/>
      <c r="AT186" s="90"/>
      <c r="AU186" s="13"/>
      <c r="AV186" s="13"/>
      <c r="AW186" s="90"/>
      <c r="AX186" s="13"/>
      <c r="AY186" s="13"/>
      <c r="AZ186" s="90"/>
      <c r="BA186" s="13"/>
      <c r="BB186" s="13"/>
      <c r="BC186" s="90"/>
      <c r="BD186" s="13"/>
      <c r="BE186" s="13"/>
      <c r="BF186" s="13"/>
      <c r="BG186" s="90"/>
      <c r="BH186" s="13"/>
      <c r="BI186" s="13"/>
      <c r="BJ186" s="90"/>
      <c r="BK186" s="13"/>
      <c r="BL186" s="13"/>
      <c r="BM186" s="13"/>
      <c r="BN186" s="90"/>
      <c r="BO186" s="13"/>
      <c r="BP186" s="13"/>
      <c r="BQ186" s="90"/>
      <c r="BR186" s="13"/>
      <c r="BS186" s="13"/>
      <c r="BT186" s="13"/>
      <c r="BU186" s="90"/>
      <c r="BV186" s="13"/>
      <c r="BW186" s="13"/>
      <c r="BX186" s="90"/>
      <c r="BY186" s="13"/>
      <c r="BZ186" s="13"/>
      <c r="CA186" s="90"/>
      <c r="CB186" s="13"/>
      <c r="CC186" s="13"/>
      <c r="CD186" s="13"/>
      <c r="CE186" s="90"/>
      <c r="CF186" s="13"/>
      <c r="CG186" s="13"/>
      <c r="CH186" s="90"/>
      <c r="CI186" s="13"/>
      <c r="CJ186" s="13"/>
      <c r="CK186" s="13"/>
      <c r="CL186" s="90"/>
      <c r="CM186" s="13"/>
      <c r="CN186" s="13"/>
      <c r="CO186" s="90"/>
      <c r="CP186" s="13"/>
      <c r="CQ186" s="13"/>
      <c r="CR186" s="13"/>
      <c r="CS186" s="90"/>
      <c r="CT186" s="13"/>
      <c r="CU186" s="13"/>
      <c r="CV186" s="90"/>
      <c r="CW186" s="13"/>
      <c r="CX186" s="13"/>
    </row>
    <row r="187" spans="2:102" s="2" customFormat="1" x14ac:dyDescent="0.25">
      <c r="B187" s="11"/>
      <c r="C187" s="13"/>
      <c r="D187" s="13"/>
      <c r="E187" s="11"/>
      <c r="F187" s="13"/>
      <c r="G187" s="13"/>
      <c r="H187" s="90"/>
      <c r="I187" s="13"/>
      <c r="J187" s="13"/>
      <c r="K187" s="13"/>
      <c r="L187" s="90"/>
      <c r="M187" s="13"/>
      <c r="N187" s="13"/>
      <c r="O187" s="90"/>
      <c r="P187" s="13"/>
      <c r="Q187" s="13"/>
      <c r="R187" s="13"/>
      <c r="S187" s="90"/>
      <c r="T187" s="13"/>
      <c r="U187" s="13"/>
      <c r="V187" s="90"/>
      <c r="W187" s="13"/>
      <c r="X187" s="13"/>
      <c r="Y187" s="90"/>
      <c r="Z187" s="13"/>
      <c r="AA187" s="13"/>
      <c r="AB187" s="13"/>
      <c r="AC187" s="90"/>
      <c r="AD187" s="13"/>
      <c r="AE187" s="13"/>
      <c r="AF187" s="90"/>
      <c r="AG187" s="13"/>
      <c r="AH187" s="13"/>
      <c r="AI187" s="13"/>
      <c r="AJ187" s="90"/>
      <c r="AK187" s="13"/>
      <c r="AL187" s="13"/>
      <c r="AM187" s="90"/>
      <c r="AN187" s="13"/>
      <c r="AO187" s="13"/>
      <c r="AP187" s="13"/>
      <c r="AQ187" s="90"/>
      <c r="AR187" s="13"/>
      <c r="AS187" s="13"/>
      <c r="AT187" s="90"/>
      <c r="AU187" s="13"/>
      <c r="AV187" s="13"/>
      <c r="AW187" s="90"/>
      <c r="AX187" s="13"/>
      <c r="AY187" s="13"/>
      <c r="AZ187" s="90"/>
      <c r="BA187" s="13"/>
      <c r="BB187" s="13"/>
      <c r="BC187" s="90"/>
      <c r="BD187" s="13"/>
      <c r="BE187" s="13"/>
      <c r="BF187" s="13"/>
      <c r="BG187" s="90"/>
      <c r="BH187" s="13"/>
      <c r="BI187" s="13"/>
      <c r="BJ187" s="90"/>
      <c r="BK187" s="13"/>
      <c r="BL187" s="13"/>
      <c r="BM187" s="13"/>
      <c r="BN187" s="90"/>
      <c r="BO187" s="13"/>
      <c r="BP187" s="13"/>
      <c r="BQ187" s="90"/>
      <c r="BR187" s="13"/>
      <c r="BS187" s="13"/>
      <c r="BT187" s="13"/>
      <c r="BU187" s="90"/>
      <c r="BV187" s="13"/>
      <c r="BW187" s="13"/>
      <c r="BX187" s="90"/>
      <c r="BY187" s="13"/>
      <c r="BZ187" s="13"/>
      <c r="CA187" s="90"/>
      <c r="CB187" s="13"/>
      <c r="CC187" s="13"/>
      <c r="CD187" s="13"/>
      <c r="CE187" s="90"/>
      <c r="CF187" s="13"/>
      <c r="CG187" s="13"/>
      <c r="CH187" s="90"/>
      <c r="CI187" s="13"/>
      <c r="CJ187" s="13"/>
      <c r="CK187" s="13"/>
      <c r="CL187" s="90"/>
      <c r="CM187" s="13"/>
      <c r="CN187" s="13"/>
      <c r="CO187" s="90"/>
      <c r="CP187" s="13"/>
      <c r="CQ187" s="13"/>
      <c r="CR187" s="13"/>
      <c r="CS187" s="90"/>
      <c r="CT187" s="13"/>
      <c r="CU187" s="13"/>
      <c r="CV187" s="90"/>
      <c r="CW187" s="13"/>
      <c r="CX187" s="13"/>
    </row>
    <row r="188" spans="2:102" s="2" customFormat="1" x14ac:dyDescent="0.25">
      <c r="B188" s="11"/>
      <c r="C188" s="13"/>
      <c r="D188" s="13"/>
      <c r="E188" s="11"/>
      <c r="F188" s="13"/>
      <c r="G188" s="13"/>
      <c r="H188" s="90"/>
      <c r="I188" s="13"/>
      <c r="J188" s="13"/>
      <c r="K188" s="13"/>
      <c r="L188" s="90"/>
      <c r="M188" s="13"/>
      <c r="N188" s="13"/>
      <c r="O188" s="90"/>
      <c r="P188" s="13"/>
      <c r="Q188" s="13"/>
      <c r="R188" s="13"/>
      <c r="S188" s="90"/>
      <c r="T188" s="13"/>
      <c r="U188" s="13"/>
      <c r="V188" s="90"/>
      <c r="W188" s="13"/>
      <c r="X188" s="13"/>
      <c r="Y188" s="90"/>
      <c r="Z188" s="13"/>
      <c r="AA188" s="13"/>
      <c r="AB188" s="13"/>
      <c r="AC188" s="90"/>
      <c r="AD188" s="13"/>
      <c r="AE188" s="13"/>
      <c r="AF188" s="90"/>
      <c r="AG188" s="13"/>
      <c r="AH188" s="13"/>
      <c r="AI188" s="13"/>
      <c r="AJ188" s="90"/>
      <c r="AK188" s="13"/>
      <c r="AL188" s="13"/>
      <c r="AM188" s="90"/>
      <c r="AN188" s="13"/>
      <c r="AO188" s="13"/>
      <c r="AP188" s="13"/>
      <c r="AQ188" s="90"/>
      <c r="AR188" s="13"/>
      <c r="AS188" s="13"/>
      <c r="AT188" s="90"/>
      <c r="AU188" s="13"/>
      <c r="AV188" s="13"/>
      <c r="AW188" s="90"/>
      <c r="AX188" s="13"/>
      <c r="AY188" s="13"/>
      <c r="AZ188" s="90"/>
      <c r="BA188" s="13"/>
      <c r="BB188" s="13"/>
      <c r="BC188" s="90"/>
      <c r="BD188" s="13"/>
      <c r="BE188" s="13"/>
      <c r="BF188" s="13"/>
      <c r="BG188" s="90"/>
      <c r="BH188" s="13"/>
      <c r="BI188" s="13"/>
      <c r="BJ188" s="90"/>
      <c r="BK188" s="13"/>
      <c r="BL188" s="13"/>
      <c r="BM188" s="13"/>
      <c r="BN188" s="90"/>
      <c r="BO188" s="13"/>
      <c r="BP188" s="13"/>
      <c r="BQ188" s="90"/>
      <c r="BR188" s="13"/>
      <c r="BS188" s="13"/>
      <c r="BT188" s="13"/>
      <c r="BU188" s="90"/>
      <c r="BV188" s="13"/>
      <c r="BW188" s="13"/>
      <c r="BX188" s="90"/>
      <c r="BY188" s="13"/>
      <c r="BZ188" s="13"/>
      <c r="CA188" s="90"/>
      <c r="CB188" s="13"/>
      <c r="CC188" s="13"/>
      <c r="CD188" s="13"/>
      <c r="CE188" s="90"/>
      <c r="CF188" s="13"/>
      <c r="CG188" s="13"/>
      <c r="CH188" s="90"/>
      <c r="CI188" s="13"/>
      <c r="CJ188" s="13"/>
      <c r="CK188" s="13"/>
      <c r="CL188" s="90"/>
      <c r="CM188" s="13"/>
      <c r="CN188" s="13"/>
      <c r="CO188" s="90"/>
      <c r="CP188" s="13"/>
      <c r="CQ188" s="13"/>
      <c r="CR188" s="13"/>
      <c r="CS188" s="90"/>
      <c r="CT188" s="13"/>
      <c r="CU188" s="13"/>
      <c r="CV188" s="90"/>
      <c r="CW188" s="13"/>
      <c r="CX188" s="13"/>
    </row>
    <row r="189" spans="2:102" s="2" customFormat="1" x14ac:dyDescent="0.25">
      <c r="B189" s="11"/>
      <c r="C189" s="13"/>
      <c r="D189" s="13"/>
      <c r="E189" s="11"/>
      <c r="F189" s="13"/>
      <c r="G189" s="13"/>
      <c r="H189" s="90"/>
      <c r="I189" s="13"/>
      <c r="J189" s="13"/>
      <c r="K189" s="13"/>
      <c r="L189" s="90"/>
      <c r="M189" s="13"/>
      <c r="N189" s="13"/>
      <c r="O189" s="90"/>
      <c r="P189" s="13"/>
      <c r="Q189" s="13"/>
      <c r="R189" s="13"/>
      <c r="S189" s="90"/>
      <c r="T189" s="13"/>
      <c r="U189" s="13"/>
      <c r="V189" s="90"/>
      <c r="W189" s="13"/>
      <c r="X189" s="13"/>
      <c r="Y189" s="90"/>
      <c r="Z189" s="13"/>
      <c r="AA189" s="13"/>
      <c r="AB189" s="13"/>
      <c r="AC189" s="90"/>
      <c r="AD189" s="13"/>
      <c r="AE189" s="13"/>
      <c r="AF189" s="90"/>
      <c r="AG189" s="13"/>
      <c r="AH189" s="13"/>
      <c r="AI189" s="13"/>
      <c r="AJ189" s="90"/>
      <c r="AK189" s="13"/>
      <c r="AL189" s="13"/>
      <c r="AM189" s="90"/>
      <c r="AN189" s="13"/>
      <c r="AO189" s="13"/>
      <c r="AP189" s="13"/>
      <c r="AQ189" s="90"/>
      <c r="AR189" s="13"/>
      <c r="AS189" s="13"/>
      <c r="AT189" s="90"/>
      <c r="AU189" s="13"/>
      <c r="AV189" s="13"/>
      <c r="AW189" s="90"/>
      <c r="AX189" s="13"/>
      <c r="AY189" s="13"/>
      <c r="AZ189" s="90"/>
      <c r="BA189" s="13"/>
      <c r="BB189" s="13"/>
      <c r="BC189" s="90"/>
      <c r="BD189" s="13"/>
      <c r="BE189" s="13"/>
      <c r="BF189" s="13"/>
      <c r="BG189" s="90"/>
      <c r="BH189" s="13"/>
      <c r="BI189" s="13"/>
      <c r="BJ189" s="90"/>
      <c r="BK189" s="13"/>
      <c r="BL189" s="13"/>
      <c r="BM189" s="13"/>
      <c r="BN189" s="90"/>
      <c r="BO189" s="13"/>
      <c r="BP189" s="13"/>
      <c r="BQ189" s="90"/>
      <c r="BR189" s="13"/>
      <c r="BS189" s="13"/>
      <c r="BT189" s="13"/>
      <c r="BU189" s="90"/>
      <c r="BV189" s="13"/>
      <c r="BW189" s="13"/>
      <c r="BX189" s="90"/>
      <c r="BY189" s="13"/>
      <c r="BZ189" s="13"/>
      <c r="CA189" s="90"/>
      <c r="CB189" s="13"/>
      <c r="CC189" s="13"/>
      <c r="CD189" s="13"/>
      <c r="CE189" s="90"/>
      <c r="CF189" s="13"/>
      <c r="CG189" s="13"/>
      <c r="CH189" s="90"/>
      <c r="CI189" s="13"/>
      <c r="CJ189" s="13"/>
      <c r="CK189" s="13"/>
      <c r="CL189" s="90"/>
      <c r="CM189" s="13"/>
      <c r="CN189" s="13"/>
      <c r="CO189" s="90"/>
      <c r="CP189" s="13"/>
      <c r="CQ189" s="13"/>
      <c r="CR189" s="13"/>
      <c r="CS189" s="90"/>
      <c r="CT189" s="13"/>
      <c r="CU189" s="13"/>
      <c r="CV189" s="90"/>
      <c r="CW189" s="13"/>
      <c r="CX189" s="13"/>
    </row>
    <row r="190" spans="2:102" s="2" customFormat="1" x14ac:dyDescent="0.25">
      <c r="B190" s="11"/>
      <c r="C190" s="13"/>
      <c r="D190" s="13"/>
      <c r="E190" s="11"/>
      <c r="F190" s="13"/>
      <c r="G190" s="13"/>
      <c r="H190" s="90"/>
      <c r="I190" s="13"/>
      <c r="J190" s="13"/>
      <c r="K190" s="13"/>
      <c r="L190" s="90"/>
      <c r="M190" s="13"/>
      <c r="N190" s="13"/>
      <c r="O190" s="90"/>
      <c r="P190" s="13"/>
      <c r="Q190" s="13"/>
      <c r="R190" s="13"/>
      <c r="S190" s="90"/>
      <c r="T190" s="13"/>
      <c r="U190" s="13"/>
      <c r="V190" s="90"/>
      <c r="W190" s="13"/>
      <c r="X190" s="13"/>
      <c r="Y190" s="90"/>
      <c r="Z190" s="13"/>
      <c r="AA190" s="13"/>
      <c r="AB190" s="13"/>
      <c r="AC190" s="90"/>
      <c r="AD190" s="13"/>
      <c r="AE190" s="13"/>
      <c r="AF190" s="90"/>
      <c r="AG190" s="13"/>
      <c r="AH190" s="13"/>
      <c r="AI190" s="13"/>
      <c r="AJ190" s="90"/>
      <c r="AK190" s="13"/>
      <c r="AL190" s="13"/>
      <c r="AM190" s="90"/>
      <c r="AN190" s="13"/>
      <c r="AO190" s="13"/>
      <c r="AP190" s="13"/>
      <c r="AQ190" s="90"/>
      <c r="AR190" s="13"/>
      <c r="AS190" s="13"/>
      <c r="AT190" s="90"/>
      <c r="AU190" s="13"/>
      <c r="AV190" s="13"/>
      <c r="AW190" s="90"/>
      <c r="AX190" s="13"/>
      <c r="AY190" s="13"/>
      <c r="AZ190" s="90"/>
      <c r="BA190" s="13"/>
      <c r="BB190" s="13"/>
      <c r="BC190" s="90"/>
      <c r="BD190" s="13"/>
      <c r="BE190" s="13"/>
      <c r="BF190" s="13"/>
      <c r="BG190" s="90"/>
      <c r="BH190" s="13"/>
      <c r="BI190" s="13"/>
      <c r="BJ190" s="90"/>
      <c r="BK190" s="13"/>
      <c r="BL190" s="13"/>
      <c r="BM190" s="13"/>
      <c r="BN190" s="90"/>
      <c r="BO190" s="13"/>
      <c r="BP190" s="13"/>
      <c r="BQ190" s="90"/>
      <c r="BR190" s="13"/>
      <c r="BS190" s="13"/>
      <c r="BT190" s="13"/>
      <c r="BU190" s="90"/>
      <c r="BV190" s="13"/>
      <c r="BW190" s="13"/>
      <c r="BX190" s="90"/>
      <c r="BY190" s="13"/>
      <c r="BZ190" s="13"/>
      <c r="CA190" s="90"/>
      <c r="CB190" s="13"/>
      <c r="CC190" s="13"/>
      <c r="CD190" s="13"/>
      <c r="CE190" s="90"/>
      <c r="CF190" s="13"/>
      <c r="CG190" s="13"/>
      <c r="CH190" s="90"/>
      <c r="CI190" s="13"/>
      <c r="CJ190" s="13"/>
      <c r="CK190" s="13"/>
      <c r="CL190" s="90"/>
      <c r="CM190" s="13"/>
      <c r="CN190" s="13"/>
      <c r="CO190" s="90"/>
      <c r="CP190" s="13"/>
      <c r="CQ190" s="13"/>
      <c r="CR190" s="13"/>
      <c r="CS190" s="90"/>
      <c r="CT190" s="13"/>
      <c r="CU190" s="13"/>
      <c r="CV190" s="90"/>
      <c r="CW190" s="13"/>
      <c r="CX190" s="13"/>
    </row>
    <row r="191" spans="2:102" s="2" customFormat="1" x14ac:dyDescent="0.25">
      <c r="B191" s="11"/>
      <c r="C191" s="13"/>
      <c r="D191" s="13"/>
      <c r="E191" s="11"/>
      <c r="F191" s="13"/>
      <c r="G191" s="13"/>
      <c r="H191" s="90"/>
      <c r="I191" s="13"/>
      <c r="J191" s="13"/>
      <c r="K191" s="13"/>
      <c r="L191" s="90"/>
      <c r="M191" s="13"/>
      <c r="N191" s="13"/>
      <c r="O191" s="90"/>
      <c r="P191" s="13"/>
      <c r="Q191" s="13"/>
      <c r="R191" s="13"/>
      <c r="S191" s="90"/>
      <c r="T191" s="13"/>
      <c r="U191" s="13"/>
      <c r="V191" s="90"/>
      <c r="W191" s="13"/>
      <c r="X191" s="13"/>
      <c r="Y191" s="90"/>
      <c r="Z191" s="13"/>
      <c r="AA191" s="13"/>
      <c r="AB191" s="13"/>
      <c r="AC191" s="90"/>
      <c r="AD191" s="13"/>
      <c r="AE191" s="13"/>
      <c r="AF191" s="90"/>
      <c r="AG191" s="13"/>
      <c r="AH191" s="13"/>
      <c r="AI191" s="13"/>
      <c r="AJ191" s="90"/>
      <c r="AK191" s="13"/>
      <c r="AL191" s="13"/>
      <c r="AM191" s="90"/>
      <c r="AN191" s="13"/>
      <c r="AO191" s="13"/>
      <c r="AP191" s="13"/>
      <c r="AQ191" s="90"/>
      <c r="AR191" s="13"/>
      <c r="AS191" s="13"/>
      <c r="AT191" s="90"/>
      <c r="AU191" s="13"/>
      <c r="AV191" s="13"/>
      <c r="AW191" s="90"/>
      <c r="AX191" s="13"/>
      <c r="AY191" s="13"/>
      <c r="AZ191" s="90"/>
      <c r="BA191" s="13"/>
      <c r="BB191" s="13"/>
      <c r="BC191" s="90"/>
      <c r="BD191" s="13"/>
      <c r="BE191" s="13"/>
      <c r="BF191" s="13"/>
      <c r="BG191" s="90"/>
      <c r="BH191" s="13"/>
      <c r="BI191" s="13"/>
      <c r="BJ191" s="90"/>
      <c r="BK191" s="13"/>
      <c r="BL191" s="13"/>
      <c r="BM191" s="13"/>
      <c r="BN191" s="90"/>
      <c r="BO191" s="13"/>
      <c r="BP191" s="13"/>
      <c r="BQ191" s="90"/>
      <c r="BR191" s="13"/>
      <c r="BS191" s="13"/>
      <c r="BT191" s="13"/>
      <c r="BU191" s="90"/>
      <c r="BV191" s="13"/>
      <c r="BW191" s="13"/>
      <c r="BX191" s="90"/>
      <c r="BY191" s="13"/>
      <c r="BZ191" s="13"/>
      <c r="CA191" s="90"/>
      <c r="CB191" s="13"/>
      <c r="CC191" s="13"/>
      <c r="CD191" s="13"/>
      <c r="CE191" s="90"/>
      <c r="CF191" s="13"/>
      <c r="CG191" s="13"/>
      <c r="CH191" s="90"/>
      <c r="CI191" s="13"/>
      <c r="CJ191" s="13"/>
      <c r="CK191" s="13"/>
      <c r="CL191" s="90"/>
      <c r="CM191" s="13"/>
      <c r="CN191" s="13"/>
      <c r="CO191" s="90"/>
      <c r="CP191" s="13"/>
      <c r="CQ191" s="13"/>
      <c r="CR191" s="13"/>
      <c r="CS191" s="90"/>
      <c r="CT191" s="13"/>
      <c r="CU191" s="13"/>
      <c r="CV191" s="90"/>
      <c r="CW191" s="13"/>
      <c r="CX191" s="13"/>
    </row>
    <row r="192" spans="2:102" s="2" customFormat="1" x14ac:dyDescent="0.25">
      <c r="B192" s="11"/>
      <c r="C192" s="13"/>
      <c r="D192" s="13"/>
      <c r="E192" s="11"/>
      <c r="F192" s="13"/>
      <c r="G192" s="13"/>
      <c r="H192" s="90"/>
      <c r="I192" s="13"/>
      <c r="J192" s="13"/>
      <c r="K192" s="13"/>
      <c r="L192" s="90"/>
      <c r="M192" s="13"/>
      <c r="N192" s="13"/>
      <c r="O192" s="90"/>
      <c r="P192" s="13"/>
      <c r="Q192" s="13"/>
      <c r="R192" s="13"/>
      <c r="S192" s="90"/>
      <c r="T192" s="13"/>
      <c r="U192" s="13"/>
      <c r="V192" s="90"/>
      <c r="W192" s="13"/>
      <c r="X192" s="13"/>
      <c r="Y192" s="90"/>
      <c r="Z192" s="13"/>
      <c r="AA192" s="13"/>
      <c r="AB192" s="13"/>
      <c r="AC192" s="90"/>
      <c r="AD192" s="13"/>
      <c r="AE192" s="13"/>
      <c r="AF192" s="90"/>
      <c r="AG192" s="13"/>
      <c r="AH192" s="13"/>
      <c r="AI192" s="13"/>
      <c r="AJ192" s="90"/>
      <c r="AK192" s="13"/>
      <c r="AL192" s="13"/>
      <c r="AM192" s="90"/>
      <c r="AN192" s="13"/>
      <c r="AO192" s="13"/>
      <c r="AP192" s="13"/>
      <c r="AQ192" s="90"/>
      <c r="AR192" s="13"/>
      <c r="AS192" s="13"/>
      <c r="AT192" s="90"/>
      <c r="AU192" s="13"/>
      <c r="AV192" s="13"/>
      <c r="AW192" s="90"/>
      <c r="AX192" s="13"/>
      <c r="AY192" s="13"/>
      <c r="AZ192" s="90"/>
      <c r="BA192" s="13"/>
      <c r="BB192" s="13"/>
      <c r="BC192" s="90"/>
      <c r="BD192" s="13"/>
      <c r="BE192" s="13"/>
      <c r="BF192" s="13"/>
      <c r="BG192" s="90"/>
      <c r="BH192" s="13"/>
      <c r="BI192" s="13"/>
      <c r="BJ192" s="90"/>
      <c r="BK192" s="13"/>
      <c r="BL192" s="13"/>
      <c r="BM192" s="13"/>
      <c r="BN192" s="90"/>
      <c r="BO192" s="13"/>
      <c r="BP192" s="13"/>
      <c r="BQ192" s="90"/>
      <c r="BR192" s="13"/>
      <c r="BS192" s="13"/>
      <c r="BT192" s="13"/>
      <c r="BU192" s="90"/>
      <c r="BV192" s="13"/>
      <c r="BW192" s="13"/>
      <c r="BX192" s="90"/>
      <c r="BY192" s="13"/>
      <c r="BZ192" s="13"/>
      <c r="CA192" s="90"/>
      <c r="CB192" s="13"/>
      <c r="CC192" s="13"/>
      <c r="CD192" s="13"/>
      <c r="CE192" s="90"/>
      <c r="CF192" s="13"/>
      <c r="CG192" s="13"/>
      <c r="CH192" s="90"/>
      <c r="CI192" s="13"/>
      <c r="CJ192" s="13"/>
      <c r="CK192" s="13"/>
      <c r="CL192" s="90"/>
      <c r="CM192" s="13"/>
      <c r="CN192" s="13"/>
      <c r="CO192" s="90"/>
      <c r="CP192" s="13"/>
      <c r="CQ192" s="13"/>
      <c r="CR192" s="13"/>
      <c r="CS192" s="90"/>
      <c r="CT192" s="13"/>
      <c r="CU192" s="13"/>
      <c r="CV192" s="90"/>
      <c r="CW192" s="13"/>
      <c r="CX192" s="13"/>
    </row>
    <row r="193" spans="2:102" s="2" customFormat="1" x14ac:dyDescent="0.25">
      <c r="B193" s="11"/>
      <c r="C193" s="13"/>
      <c r="D193" s="13"/>
      <c r="E193" s="11"/>
      <c r="F193" s="13"/>
      <c r="G193" s="13"/>
      <c r="H193" s="90"/>
      <c r="I193" s="13"/>
      <c r="J193" s="13"/>
      <c r="K193" s="13"/>
      <c r="L193" s="90"/>
      <c r="M193" s="13"/>
      <c r="N193" s="13"/>
      <c r="O193" s="90"/>
      <c r="P193" s="13"/>
      <c r="Q193" s="13"/>
      <c r="R193" s="13"/>
      <c r="S193" s="90"/>
      <c r="T193" s="13"/>
      <c r="U193" s="13"/>
      <c r="V193" s="90"/>
      <c r="W193" s="13"/>
      <c r="X193" s="13"/>
      <c r="Y193" s="90"/>
      <c r="Z193" s="13"/>
      <c r="AA193" s="13"/>
      <c r="AB193" s="13"/>
      <c r="AC193" s="90"/>
      <c r="AD193" s="13"/>
      <c r="AE193" s="13"/>
      <c r="AF193" s="90"/>
      <c r="AG193" s="13"/>
      <c r="AH193" s="13"/>
      <c r="AI193" s="13"/>
      <c r="AJ193" s="90"/>
      <c r="AK193" s="13"/>
      <c r="AL193" s="13"/>
      <c r="AM193" s="90"/>
      <c r="AN193" s="13"/>
      <c r="AO193" s="13"/>
      <c r="AP193" s="13"/>
      <c r="AQ193" s="90"/>
      <c r="AR193" s="13"/>
      <c r="AS193" s="13"/>
      <c r="AT193" s="90"/>
      <c r="AU193" s="13"/>
      <c r="AV193" s="13"/>
      <c r="AW193" s="90"/>
      <c r="AX193" s="13"/>
      <c r="AY193" s="13"/>
      <c r="AZ193" s="90"/>
      <c r="BA193" s="13"/>
      <c r="BB193" s="13"/>
      <c r="BC193" s="90"/>
      <c r="BD193" s="13"/>
      <c r="BE193" s="13"/>
      <c r="BF193" s="13"/>
      <c r="BG193" s="90"/>
      <c r="BH193" s="13"/>
      <c r="BI193" s="13"/>
      <c r="BJ193" s="90"/>
      <c r="BK193" s="13"/>
      <c r="BL193" s="13"/>
      <c r="BM193" s="13"/>
      <c r="BN193" s="90"/>
      <c r="BO193" s="13"/>
      <c r="BP193" s="13"/>
      <c r="BQ193" s="90"/>
      <c r="BR193" s="13"/>
      <c r="BS193" s="13"/>
      <c r="BT193" s="13"/>
      <c r="BU193" s="90"/>
      <c r="BV193" s="13"/>
      <c r="BW193" s="13"/>
      <c r="BX193" s="90"/>
      <c r="BY193" s="13"/>
      <c r="BZ193" s="13"/>
      <c r="CA193" s="90"/>
      <c r="CB193" s="13"/>
      <c r="CC193" s="13"/>
      <c r="CD193" s="13"/>
      <c r="CE193" s="90"/>
      <c r="CF193" s="13"/>
      <c r="CG193" s="13"/>
      <c r="CH193" s="90"/>
      <c r="CI193" s="13"/>
      <c r="CJ193" s="13"/>
      <c r="CK193" s="13"/>
      <c r="CL193" s="90"/>
      <c r="CM193" s="13"/>
      <c r="CN193" s="13"/>
      <c r="CO193" s="90"/>
      <c r="CP193" s="13"/>
      <c r="CQ193" s="13"/>
      <c r="CR193" s="13"/>
      <c r="CS193" s="90"/>
      <c r="CT193" s="13"/>
      <c r="CU193" s="13"/>
      <c r="CV193" s="90"/>
      <c r="CW193" s="13"/>
      <c r="CX193" s="13"/>
    </row>
    <row r="194" spans="2:102" s="2" customFormat="1" x14ac:dyDescent="0.25">
      <c r="B194" s="11"/>
      <c r="C194" s="13"/>
      <c r="D194" s="13"/>
      <c r="E194" s="11"/>
      <c r="F194" s="13"/>
      <c r="G194" s="13"/>
      <c r="H194" s="90"/>
      <c r="I194" s="13"/>
      <c r="J194" s="13"/>
      <c r="K194" s="13"/>
      <c r="L194" s="90"/>
      <c r="M194" s="13"/>
      <c r="N194" s="13"/>
      <c r="O194" s="90"/>
      <c r="P194" s="13"/>
      <c r="Q194" s="13"/>
      <c r="R194" s="13"/>
      <c r="S194" s="90"/>
      <c r="T194" s="13"/>
      <c r="U194" s="13"/>
      <c r="V194" s="90"/>
      <c r="W194" s="13"/>
      <c r="X194" s="13"/>
      <c r="Y194" s="90"/>
      <c r="Z194" s="13"/>
      <c r="AA194" s="13"/>
      <c r="AB194" s="13"/>
      <c r="AC194" s="90"/>
      <c r="AD194" s="13"/>
      <c r="AE194" s="13"/>
      <c r="AF194" s="90"/>
      <c r="AG194" s="13"/>
      <c r="AH194" s="13"/>
      <c r="AI194" s="13"/>
      <c r="AJ194" s="90"/>
      <c r="AK194" s="13"/>
      <c r="AL194" s="13"/>
      <c r="AM194" s="90"/>
      <c r="AN194" s="13"/>
      <c r="AO194" s="13"/>
      <c r="AP194" s="13"/>
      <c r="AQ194" s="90"/>
      <c r="AR194" s="13"/>
      <c r="AS194" s="13"/>
      <c r="AT194" s="90"/>
      <c r="AU194" s="13"/>
      <c r="AV194" s="13"/>
      <c r="AW194" s="90"/>
      <c r="AX194" s="13"/>
      <c r="AY194" s="13"/>
      <c r="AZ194" s="90"/>
      <c r="BA194" s="13"/>
      <c r="BB194" s="13"/>
      <c r="BC194" s="90"/>
      <c r="BD194" s="13"/>
      <c r="BE194" s="13"/>
      <c r="BF194" s="13"/>
      <c r="BG194" s="90"/>
      <c r="BH194" s="13"/>
      <c r="BI194" s="13"/>
      <c r="BJ194" s="90"/>
      <c r="BK194" s="13"/>
      <c r="BL194" s="13"/>
      <c r="BM194" s="13"/>
      <c r="BN194" s="90"/>
      <c r="BO194" s="13"/>
      <c r="BP194" s="13"/>
      <c r="BQ194" s="90"/>
      <c r="BR194" s="13"/>
      <c r="BS194" s="13"/>
      <c r="BT194" s="13"/>
      <c r="BU194" s="90"/>
      <c r="BV194" s="13"/>
      <c r="BW194" s="13"/>
      <c r="BX194" s="90"/>
      <c r="BY194" s="13"/>
      <c r="BZ194" s="13"/>
      <c r="CA194" s="90"/>
      <c r="CB194" s="13"/>
      <c r="CC194" s="13"/>
      <c r="CD194" s="13"/>
      <c r="CE194" s="90"/>
      <c r="CF194" s="13"/>
      <c r="CG194" s="13"/>
      <c r="CH194" s="90"/>
      <c r="CI194" s="13"/>
      <c r="CJ194" s="13"/>
      <c r="CK194" s="13"/>
      <c r="CL194" s="90"/>
      <c r="CM194" s="13"/>
      <c r="CN194" s="13"/>
      <c r="CO194" s="90"/>
      <c r="CP194" s="13"/>
      <c r="CQ194" s="13"/>
      <c r="CR194" s="13"/>
      <c r="CS194" s="90"/>
      <c r="CT194" s="13"/>
      <c r="CU194" s="13"/>
      <c r="CV194" s="90"/>
      <c r="CW194" s="13"/>
      <c r="CX194" s="13"/>
    </row>
    <row r="195" spans="2:102" s="2" customFormat="1" x14ac:dyDescent="0.25">
      <c r="B195" s="11"/>
      <c r="C195" s="13"/>
      <c r="D195" s="13"/>
      <c r="E195" s="11"/>
      <c r="F195" s="13"/>
      <c r="G195" s="13"/>
      <c r="H195" s="90"/>
      <c r="I195" s="13"/>
      <c r="J195" s="13"/>
      <c r="K195" s="13"/>
      <c r="L195" s="90"/>
      <c r="M195" s="13"/>
      <c r="N195" s="13"/>
      <c r="O195" s="90"/>
      <c r="P195" s="13"/>
      <c r="Q195" s="13"/>
      <c r="R195" s="13"/>
      <c r="S195" s="90"/>
      <c r="T195" s="13"/>
      <c r="U195" s="13"/>
      <c r="V195" s="90"/>
      <c r="W195" s="13"/>
      <c r="X195" s="13"/>
      <c r="Y195" s="90"/>
      <c r="Z195" s="13"/>
      <c r="AA195" s="13"/>
      <c r="AB195" s="13"/>
      <c r="AC195" s="90"/>
      <c r="AD195" s="13"/>
      <c r="AE195" s="13"/>
      <c r="AF195" s="90"/>
      <c r="AG195" s="13"/>
      <c r="AH195" s="13"/>
      <c r="AI195" s="13"/>
      <c r="AJ195" s="90"/>
      <c r="AK195" s="13"/>
      <c r="AL195" s="13"/>
      <c r="AM195" s="90"/>
      <c r="AN195" s="13"/>
      <c r="AO195" s="13"/>
      <c r="AP195" s="13"/>
      <c r="AQ195" s="90"/>
      <c r="AR195" s="13"/>
      <c r="AS195" s="13"/>
      <c r="AT195" s="90"/>
      <c r="AU195" s="13"/>
      <c r="AV195" s="13"/>
      <c r="AW195" s="90"/>
      <c r="AX195" s="13"/>
      <c r="AY195" s="13"/>
      <c r="AZ195" s="90"/>
      <c r="BA195" s="13"/>
      <c r="BB195" s="13"/>
      <c r="BC195" s="90"/>
      <c r="BD195" s="13"/>
      <c r="BE195" s="13"/>
      <c r="BF195" s="13"/>
      <c r="BG195" s="90"/>
      <c r="BH195" s="13"/>
      <c r="BI195" s="13"/>
      <c r="BJ195" s="90"/>
      <c r="BK195" s="13"/>
      <c r="BL195" s="13"/>
      <c r="BM195" s="13"/>
      <c r="BN195" s="90"/>
      <c r="BO195" s="13"/>
      <c r="BP195" s="13"/>
      <c r="BQ195" s="90"/>
      <c r="BR195" s="13"/>
      <c r="BS195" s="13"/>
      <c r="BT195" s="13"/>
      <c r="BU195" s="90"/>
      <c r="BV195" s="13"/>
      <c r="BW195" s="13"/>
      <c r="BX195" s="90"/>
      <c r="BY195" s="13"/>
      <c r="BZ195" s="13"/>
      <c r="CA195" s="90"/>
      <c r="CB195" s="13"/>
      <c r="CC195" s="13"/>
      <c r="CD195" s="13"/>
      <c r="CE195" s="90"/>
      <c r="CF195" s="13"/>
      <c r="CG195" s="13"/>
      <c r="CH195" s="90"/>
      <c r="CI195" s="13"/>
      <c r="CJ195" s="13"/>
      <c r="CK195" s="13"/>
      <c r="CL195" s="90"/>
      <c r="CM195" s="13"/>
      <c r="CN195" s="13"/>
      <c r="CO195" s="90"/>
      <c r="CP195" s="13"/>
      <c r="CQ195" s="13"/>
      <c r="CR195" s="13"/>
      <c r="CS195" s="90"/>
      <c r="CT195" s="13"/>
      <c r="CU195" s="13"/>
      <c r="CV195" s="90"/>
      <c r="CW195" s="13"/>
      <c r="CX195" s="13"/>
    </row>
    <row r="196" spans="2:102" s="2" customFormat="1" x14ac:dyDescent="0.25">
      <c r="B196" s="11"/>
      <c r="C196" s="13"/>
      <c r="D196" s="13"/>
      <c r="E196" s="11"/>
      <c r="F196" s="13"/>
      <c r="G196" s="13"/>
      <c r="H196" s="90"/>
      <c r="I196" s="13"/>
      <c r="J196" s="13"/>
      <c r="K196" s="13"/>
      <c r="L196" s="90"/>
      <c r="M196" s="13"/>
      <c r="N196" s="13"/>
      <c r="O196" s="90"/>
      <c r="P196" s="13"/>
      <c r="Q196" s="13"/>
      <c r="R196" s="13"/>
      <c r="S196" s="90"/>
      <c r="T196" s="13"/>
      <c r="U196" s="13"/>
      <c r="V196" s="90"/>
      <c r="W196" s="13"/>
      <c r="X196" s="13"/>
      <c r="Y196" s="90"/>
      <c r="Z196" s="13"/>
      <c r="AA196" s="13"/>
      <c r="AB196" s="13"/>
      <c r="AC196" s="90"/>
      <c r="AD196" s="13"/>
      <c r="AE196" s="13"/>
      <c r="AF196" s="90"/>
      <c r="AG196" s="13"/>
      <c r="AH196" s="13"/>
      <c r="AI196" s="13"/>
      <c r="AJ196" s="90"/>
      <c r="AK196" s="13"/>
      <c r="AL196" s="13"/>
      <c r="AM196" s="90"/>
      <c r="AN196" s="13"/>
      <c r="AO196" s="13"/>
      <c r="AP196" s="13"/>
      <c r="AQ196" s="90"/>
      <c r="AR196" s="13"/>
      <c r="AS196" s="13"/>
      <c r="AT196" s="90"/>
      <c r="AU196" s="13"/>
      <c r="AV196" s="13"/>
      <c r="AW196" s="90"/>
      <c r="AX196" s="13"/>
      <c r="AY196" s="13"/>
      <c r="AZ196" s="90"/>
      <c r="BA196" s="13"/>
      <c r="BB196" s="13"/>
      <c r="BC196" s="90"/>
      <c r="BD196" s="13"/>
      <c r="BE196" s="13"/>
      <c r="BF196" s="13"/>
      <c r="BG196" s="90"/>
      <c r="BH196" s="13"/>
      <c r="BI196" s="13"/>
      <c r="BJ196" s="90"/>
      <c r="BK196" s="13"/>
      <c r="BL196" s="13"/>
      <c r="BM196" s="13"/>
      <c r="BN196" s="90"/>
      <c r="BO196" s="13"/>
      <c r="BP196" s="13"/>
      <c r="BQ196" s="90"/>
      <c r="BR196" s="13"/>
      <c r="BS196" s="13"/>
      <c r="BT196" s="13"/>
      <c r="BU196" s="90"/>
      <c r="BV196" s="13"/>
      <c r="BW196" s="13"/>
      <c r="BX196" s="90"/>
      <c r="BY196" s="13"/>
      <c r="BZ196" s="13"/>
      <c r="CA196" s="90"/>
      <c r="CB196" s="13"/>
      <c r="CC196" s="13"/>
      <c r="CD196" s="13"/>
      <c r="CE196" s="90"/>
      <c r="CF196" s="13"/>
      <c r="CG196" s="13"/>
      <c r="CH196" s="90"/>
      <c r="CI196" s="13"/>
      <c r="CJ196" s="13"/>
      <c r="CK196" s="13"/>
      <c r="CL196" s="90"/>
      <c r="CM196" s="13"/>
      <c r="CN196" s="13"/>
      <c r="CO196" s="90"/>
      <c r="CP196" s="13"/>
      <c r="CQ196" s="13"/>
      <c r="CR196" s="13"/>
      <c r="CS196" s="90"/>
      <c r="CT196" s="13"/>
      <c r="CU196" s="13"/>
      <c r="CV196" s="90"/>
      <c r="CW196" s="13"/>
      <c r="CX196" s="13"/>
    </row>
    <row r="197" spans="2:102" s="2" customFormat="1" x14ac:dyDescent="0.25">
      <c r="B197" s="11"/>
      <c r="C197" s="13"/>
      <c r="D197" s="13"/>
      <c r="E197" s="11"/>
      <c r="F197" s="13"/>
      <c r="G197" s="13"/>
      <c r="H197" s="90"/>
      <c r="I197" s="13"/>
      <c r="J197" s="13"/>
      <c r="K197" s="13"/>
      <c r="L197" s="90"/>
      <c r="M197" s="13"/>
      <c r="N197" s="13"/>
      <c r="O197" s="90"/>
      <c r="P197" s="13"/>
      <c r="Q197" s="13"/>
      <c r="R197" s="13"/>
      <c r="S197" s="90"/>
      <c r="T197" s="13"/>
      <c r="U197" s="13"/>
      <c r="V197" s="90"/>
      <c r="W197" s="13"/>
      <c r="X197" s="13"/>
      <c r="Y197" s="90"/>
      <c r="Z197" s="13"/>
      <c r="AA197" s="13"/>
      <c r="AB197" s="13"/>
      <c r="AC197" s="90"/>
      <c r="AD197" s="13"/>
      <c r="AE197" s="13"/>
      <c r="AF197" s="90"/>
      <c r="AG197" s="13"/>
      <c r="AH197" s="13"/>
      <c r="AI197" s="13"/>
      <c r="AJ197" s="90"/>
      <c r="AK197" s="13"/>
      <c r="AL197" s="13"/>
      <c r="AM197" s="90"/>
      <c r="AN197" s="13"/>
      <c r="AO197" s="13"/>
      <c r="AP197" s="13"/>
      <c r="AQ197" s="90"/>
      <c r="AR197" s="13"/>
      <c r="AS197" s="13"/>
      <c r="AT197" s="90"/>
      <c r="AU197" s="13"/>
      <c r="AV197" s="13"/>
      <c r="AW197" s="90"/>
      <c r="AX197" s="13"/>
      <c r="AY197" s="13"/>
      <c r="AZ197" s="90"/>
      <c r="BA197" s="13"/>
      <c r="BB197" s="13"/>
      <c r="BC197" s="90"/>
      <c r="BD197" s="13"/>
      <c r="BE197" s="13"/>
      <c r="BF197" s="13"/>
      <c r="BG197" s="90"/>
      <c r="BH197" s="13"/>
      <c r="BI197" s="13"/>
      <c r="BJ197" s="90"/>
      <c r="BK197" s="13"/>
      <c r="BL197" s="13"/>
      <c r="BM197" s="13"/>
      <c r="BN197" s="90"/>
      <c r="BO197" s="13"/>
      <c r="BP197" s="13"/>
      <c r="BQ197" s="90"/>
      <c r="BR197" s="13"/>
      <c r="BS197" s="13"/>
      <c r="BT197" s="13"/>
      <c r="BU197" s="90"/>
      <c r="BV197" s="13"/>
      <c r="BW197" s="13"/>
      <c r="BX197" s="90"/>
      <c r="BY197" s="13"/>
      <c r="BZ197" s="13"/>
      <c r="CA197" s="90"/>
      <c r="CB197" s="13"/>
      <c r="CC197" s="13"/>
      <c r="CD197" s="13"/>
      <c r="CE197" s="90"/>
      <c r="CF197" s="13"/>
      <c r="CG197" s="13"/>
      <c r="CH197" s="90"/>
      <c r="CI197" s="13"/>
      <c r="CJ197" s="13"/>
      <c r="CK197" s="13"/>
      <c r="CL197" s="90"/>
      <c r="CM197" s="13"/>
      <c r="CN197" s="13"/>
      <c r="CO197" s="90"/>
      <c r="CP197" s="13"/>
      <c r="CQ197" s="13"/>
      <c r="CR197" s="13"/>
      <c r="CS197" s="90"/>
      <c r="CT197" s="13"/>
      <c r="CU197" s="13"/>
      <c r="CV197" s="90"/>
      <c r="CW197" s="13"/>
      <c r="CX197" s="13"/>
    </row>
    <row r="198" spans="2:102" s="2" customFormat="1" x14ac:dyDescent="0.25">
      <c r="B198" s="11"/>
      <c r="C198" s="13"/>
      <c r="D198" s="13"/>
      <c r="E198" s="11"/>
      <c r="F198" s="13"/>
      <c r="G198" s="13"/>
      <c r="H198" s="90"/>
      <c r="I198" s="13"/>
      <c r="J198" s="13"/>
      <c r="K198" s="13"/>
      <c r="L198" s="90"/>
      <c r="M198" s="13"/>
      <c r="N198" s="13"/>
      <c r="O198" s="90"/>
      <c r="P198" s="13"/>
      <c r="Q198" s="13"/>
      <c r="R198" s="13"/>
      <c r="S198" s="90"/>
      <c r="T198" s="13"/>
      <c r="U198" s="13"/>
      <c r="V198" s="90"/>
      <c r="W198" s="13"/>
      <c r="X198" s="13"/>
      <c r="Y198" s="90"/>
      <c r="Z198" s="13"/>
      <c r="AA198" s="13"/>
      <c r="AB198" s="13"/>
      <c r="AC198" s="90"/>
      <c r="AD198" s="13"/>
      <c r="AE198" s="13"/>
      <c r="AF198" s="90"/>
      <c r="AG198" s="13"/>
      <c r="AH198" s="13"/>
      <c r="AI198" s="13"/>
      <c r="AJ198" s="90"/>
      <c r="AK198" s="13"/>
      <c r="AL198" s="13"/>
      <c r="AM198" s="90"/>
      <c r="AN198" s="13"/>
      <c r="AO198" s="13"/>
      <c r="AP198" s="13"/>
      <c r="AQ198" s="90"/>
      <c r="AR198" s="13"/>
      <c r="AS198" s="13"/>
      <c r="AT198" s="90"/>
      <c r="AU198" s="13"/>
      <c r="AV198" s="13"/>
      <c r="AW198" s="90"/>
      <c r="AX198" s="13"/>
      <c r="AY198" s="13"/>
      <c r="AZ198" s="90"/>
      <c r="BA198" s="13"/>
      <c r="BB198" s="13"/>
      <c r="BC198" s="90"/>
      <c r="BD198" s="13"/>
      <c r="BE198" s="13"/>
      <c r="BF198" s="13"/>
      <c r="BG198" s="90"/>
      <c r="BH198" s="13"/>
      <c r="BI198" s="13"/>
      <c r="BJ198" s="90"/>
      <c r="BK198" s="13"/>
      <c r="BL198" s="13"/>
      <c r="BM198" s="13"/>
      <c r="BN198" s="90"/>
      <c r="BO198" s="13"/>
      <c r="BP198" s="13"/>
      <c r="BQ198" s="90"/>
      <c r="BR198" s="13"/>
      <c r="BS198" s="13"/>
      <c r="BT198" s="13"/>
      <c r="BU198" s="90"/>
      <c r="BV198" s="13"/>
      <c r="BW198" s="13"/>
      <c r="BX198" s="90"/>
      <c r="BY198" s="13"/>
      <c r="BZ198" s="13"/>
      <c r="CA198" s="90"/>
      <c r="CB198" s="13"/>
      <c r="CC198" s="13"/>
      <c r="CD198" s="13"/>
      <c r="CE198" s="90"/>
      <c r="CF198" s="13"/>
      <c r="CG198" s="13"/>
      <c r="CH198" s="90"/>
      <c r="CI198" s="13"/>
      <c r="CJ198" s="13"/>
      <c r="CK198" s="13"/>
      <c r="CL198" s="90"/>
      <c r="CM198" s="13"/>
      <c r="CN198" s="13"/>
      <c r="CO198" s="90"/>
      <c r="CP198" s="13"/>
      <c r="CQ198" s="13"/>
      <c r="CR198" s="13"/>
      <c r="CS198" s="90"/>
      <c r="CT198" s="13"/>
      <c r="CU198" s="13"/>
      <c r="CV198" s="90"/>
      <c r="CW198" s="13"/>
      <c r="CX198" s="13"/>
    </row>
    <row r="199" spans="2:102" s="2" customFormat="1" x14ac:dyDescent="0.25">
      <c r="B199" s="11"/>
      <c r="C199" s="13"/>
      <c r="D199" s="13"/>
      <c r="E199" s="11"/>
      <c r="F199" s="13"/>
      <c r="G199" s="13"/>
      <c r="H199" s="90"/>
      <c r="I199" s="13"/>
      <c r="J199" s="13"/>
      <c r="K199" s="13"/>
      <c r="L199" s="90"/>
      <c r="M199" s="13"/>
      <c r="N199" s="13"/>
      <c r="O199" s="90"/>
      <c r="P199" s="13"/>
      <c r="Q199" s="13"/>
      <c r="R199" s="13"/>
      <c r="S199" s="90"/>
      <c r="T199" s="13"/>
      <c r="U199" s="13"/>
      <c r="V199" s="90"/>
      <c r="W199" s="13"/>
      <c r="X199" s="13"/>
      <c r="Y199" s="90"/>
      <c r="Z199" s="13"/>
      <c r="AA199" s="13"/>
      <c r="AB199" s="13"/>
      <c r="AC199" s="90"/>
      <c r="AD199" s="13"/>
      <c r="AE199" s="13"/>
      <c r="AF199" s="90"/>
      <c r="AG199" s="13"/>
      <c r="AH199" s="13"/>
      <c r="AI199" s="13"/>
      <c r="AJ199" s="90"/>
      <c r="AK199" s="13"/>
      <c r="AL199" s="13"/>
      <c r="AM199" s="90"/>
      <c r="AN199" s="13"/>
      <c r="AO199" s="13"/>
      <c r="AP199" s="13"/>
      <c r="AQ199" s="90"/>
      <c r="AR199" s="13"/>
      <c r="AS199" s="13"/>
      <c r="AT199" s="90"/>
      <c r="AU199" s="13"/>
      <c r="AV199" s="13"/>
      <c r="AW199" s="90"/>
      <c r="AX199" s="13"/>
      <c r="AY199" s="13"/>
      <c r="AZ199" s="90"/>
      <c r="BA199" s="13"/>
      <c r="BB199" s="13"/>
      <c r="BC199" s="90"/>
      <c r="BD199" s="13"/>
      <c r="BE199" s="13"/>
      <c r="BF199" s="13"/>
      <c r="BG199" s="90"/>
      <c r="BH199" s="13"/>
      <c r="BI199" s="13"/>
      <c r="BJ199" s="90"/>
      <c r="BK199" s="13"/>
      <c r="BL199" s="13"/>
      <c r="BM199" s="13"/>
      <c r="BN199" s="90"/>
      <c r="BO199" s="13"/>
      <c r="BP199" s="13"/>
      <c r="BQ199" s="90"/>
      <c r="BR199" s="13"/>
      <c r="BS199" s="13"/>
      <c r="BT199" s="13"/>
      <c r="BU199" s="90"/>
      <c r="BV199" s="13"/>
      <c r="BW199" s="13"/>
      <c r="BX199" s="90"/>
      <c r="BY199" s="13"/>
      <c r="BZ199" s="13"/>
      <c r="CA199" s="90"/>
      <c r="CB199" s="13"/>
      <c r="CC199" s="13"/>
      <c r="CD199" s="13"/>
      <c r="CE199" s="90"/>
      <c r="CF199" s="13"/>
      <c r="CG199" s="13"/>
      <c r="CH199" s="90"/>
      <c r="CI199" s="13"/>
      <c r="CJ199" s="13"/>
      <c r="CK199" s="13"/>
      <c r="CL199" s="90"/>
      <c r="CM199" s="13"/>
      <c r="CN199" s="13"/>
      <c r="CO199" s="90"/>
      <c r="CP199" s="13"/>
      <c r="CQ199" s="13"/>
      <c r="CR199" s="13"/>
      <c r="CS199" s="90"/>
      <c r="CT199" s="13"/>
      <c r="CU199" s="13"/>
      <c r="CV199" s="90"/>
      <c r="CW199" s="13"/>
      <c r="CX199" s="13"/>
    </row>
    <row r="200" spans="2:102" s="2" customFormat="1" x14ac:dyDescent="0.25">
      <c r="B200" s="11"/>
      <c r="C200" s="13"/>
      <c r="D200" s="13"/>
      <c r="E200" s="11"/>
      <c r="F200" s="13"/>
      <c r="G200" s="13"/>
      <c r="H200" s="90"/>
      <c r="I200" s="13"/>
      <c r="J200" s="13"/>
      <c r="K200" s="13"/>
      <c r="L200" s="90"/>
      <c r="M200" s="13"/>
      <c r="N200" s="13"/>
      <c r="O200" s="90"/>
      <c r="P200" s="13"/>
      <c r="Q200" s="13"/>
      <c r="R200" s="13"/>
      <c r="S200" s="90"/>
      <c r="T200" s="13"/>
      <c r="U200" s="13"/>
      <c r="V200" s="90"/>
      <c r="W200" s="13"/>
      <c r="X200" s="13"/>
      <c r="Y200" s="90"/>
      <c r="Z200" s="13"/>
      <c r="AA200" s="13"/>
      <c r="AB200" s="13"/>
      <c r="AC200" s="90"/>
      <c r="AD200" s="13"/>
      <c r="AE200" s="13"/>
      <c r="AF200" s="90"/>
      <c r="AG200" s="13"/>
      <c r="AH200" s="13"/>
      <c r="AI200" s="13"/>
      <c r="AJ200" s="90"/>
      <c r="AK200" s="13"/>
      <c r="AL200" s="13"/>
      <c r="AM200" s="90"/>
      <c r="AN200" s="13"/>
      <c r="AO200" s="13"/>
      <c r="AP200" s="13"/>
      <c r="AQ200" s="90"/>
      <c r="AR200" s="13"/>
      <c r="AS200" s="13"/>
      <c r="AT200" s="90"/>
      <c r="AU200" s="13"/>
      <c r="AV200" s="13"/>
      <c r="AW200" s="90"/>
      <c r="AX200" s="13"/>
      <c r="AY200" s="13"/>
      <c r="AZ200" s="90"/>
      <c r="BA200" s="13"/>
      <c r="BB200" s="13"/>
      <c r="BC200" s="90"/>
      <c r="BD200" s="13"/>
      <c r="BE200" s="13"/>
      <c r="BF200" s="13"/>
      <c r="BG200" s="90"/>
      <c r="BH200" s="13"/>
      <c r="BI200" s="13"/>
      <c r="BJ200" s="90"/>
      <c r="BK200" s="13"/>
      <c r="BL200" s="13"/>
      <c r="BM200" s="13"/>
      <c r="BN200" s="90"/>
      <c r="BO200" s="13"/>
      <c r="BP200" s="13"/>
      <c r="BQ200" s="90"/>
      <c r="BR200" s="13"/>
      <c r="BS200" s="13"/>
      <c r="BT200" s="13"/>
      <c r="BU200" s="90"/>
      <c r="BV200" s="13"/>
      <c r="BW200" s="13"/>
      <c r="BX200" s="90"/>
      <c r="BY200" s="13"/>
      <c r="BZ200" s="13"/>
      <c r="CA200" s="90"/>
      <c r="CB200" s="13"/>
      <c r="CC200" s="13"/>
      <c r="CD200" s="13"/>
      <c r="CE200" s="90"/>
      <c r="CF200" s="13"/>
      <c r="CG200" s="13"/>
      <c r="CH200" s="90"/>
      <c r="CI200" s="13"/>
      <c r="CJ200" s="13"/>
      <c r="CK200" s="13"/>
      <c r="CL200" s="90"/>
      <c r="CM200" s="13"/>
      <c r="CN200" s="13"/>
      <c r="CO200" s="90"/>
      <c r="CP200" s="13"/>
      <c r="CQ200" s="13"/>
      <c r="CR200" s="13"/>
      <c r="CS200" s="90"/>
      <c r="CT200" s="13"/>
      <c r="CU200" s="13"/>
      <c r="CV200" s="90"/>
      <c r="CW200" s="13"/>
      <c r="CX200" s="13"/>
    </row>
    <row r="201" spans="2:102" s="2" customFormat="1" x14ac:dyDescent="0.25">
      <c r="B201" s="11"/>
      <c r="C201" s="13"/>
      <c r="D201" s="13"/>
      <c r="E201" s="11"/>
      <c r="F201" s="13"/>
      <c r="G201" s="13"/>
      <c r="H201" s="90"/>
      <c r="I201" s="13"/>
      <c r="J201" s="13"/>
      <c r="K201" s="13"/>
      <c r="L201" s="90"/>
      <c r="M201" s="13"/>
      <c r="N201" s="13"/>
      <c r="O201" s="90"/>
      <c r="P201" s="13"/>
      <c r="Q201" s="13"/>
      <c r="R201" s="13"/>
      <c r="S201" s="90"/>
      <c r="T201" s="13"/>
      <c r="U201" s="13"/>
      <c r="V201" s="90"/>
      <c r="W201" s="13"/>
      <c r="X201" s="13"/>
      <c r="Y201" s="90"/>
      <c r="Z201" s="13"/>
      <c r="AA201" s="13"/>
      <c r="AB201" s="13"/>
      <c r="AC201" s="90"/>
      <c r="AD201" s="13"/>
      <c r="AE201" s="13"/>
      <c r="AF201" s="90"/>
      <c r="AG201" s="13"/>
      <c r="AH201" s="13"/>
      <c r="AI201" s="13"/>
      <c r="AJ201" s="90"/>
      <c r="AK201" s="13"/>
      <c r="AL201" s="13"/>
      <c r="AM201" s="90"/>
      <c r="AN201" s="13"/>
      <c r="AO201" s="13"/>
      <c r="AP201" s="13"/>
      <c r="AQ201" s="90"/>
      <c r="AR201" s="13"/>
      <c r="AS201" s="13"/>
      <c r="AT201" s="90"/>
      <c r="AU201" s="13"/>
      <c r="AV201" s="13"/>
      <c r="AW201" s="90"/>
      <c r="AX201" s="13"/>
      <c r="AY201" s="13"/>
      <c r="AZ201" s="90"/>
      <c r="BA201" s="13"/>
      <c r="BB201" s="13"/>
      <c r="BC201" s="90"/>
      <c r="BD201" s="13"/>
      <c r="BE201" s="13"/>
      <c r="BF201" s="13"/>
      <c r="BG201" s="90"/>
      <c r="BH201" s="13"/>
      <c r="BI201" s="13"/>
      <c r="BJ201" s="90"/>
      <c r="BK201" s="13"/>
      <c r="BL201" s="13"/>
      <c r="BM201" s="13"/>
      <c r="BN201" s="90"/>
      <c r="BO201" s="13"/>
      <c r="BP201" s="13"/>
      <c r="BQ201" s="90"/>
      <c r="BR201" s="13"/>
      <c r="BS201" s="13"/>
      <c r="BT201" s="13"/>
      <c r="BU201" s="90"/>
      <c r="BV201" s="13"/>
      <c r="BW201" s="13"/>
      <c r="BX201" s="90"/>
      <c r="BY201" s="13"/>
      <c r="BZ201" s="13"/>
      <c r="CA201" s="90"/>
      <c r="CB201" s="13"/>
      <c r="CC201" s="13"/>
      <c r="CD201" s="13"/>
      <c r="CE201" s="90"/>
      <c r="CF201" s="13"/>
      <c r="CG201" s="13"/>
      <c r="CH201" s="90"/>
      <c r="CI201" s="13"/>
      <c r="CJ201" s="13"/>
      <c r="CK201" s="13"/>
      <c r="CL201" s="90"/>
      <c r="CM201" s="13"/>
      <c r="CN201" s="13"/>
      <c r="CO201" s="90"/>
      <c r="CP201" s="13"/>
      <c r="CQ201" s="13"/>
      <c r="CR201" s="13"/>
      <c r="CS201" s="90"/>
      <c r="CT201" s="13"/>
      <c r="CU201" s="13"/>
      <c r="CV201" s="90"/>
      <c r="CW201" s="13"/>
      <c r="CX201" s="13"/>
    </row>
    <row r="202" spans="2:102" s="2" customFormat="1" x14ac:dyDescent="0.25">
      <c r="B202" s="11"/>
      <c r="C202" s="13"/>
      <c r="D202" s="13"/>
      <c r="E202" s="11"/>
      <c r="F202" s="13"/>
      <c r="G202" s="13"/>
      <c r="H202" s="90"/>
      <c r="I202" s="13"/>
      <c r="J202" s="13"/>
      <c r="K202" s="13"/>
      <c r="L202" s="90"/>
      <c r="M202" s="13"/>
      <c r="N202" s="13"/>
      <c r="O202" s="90"/>
      <c r="P202" s="13"/>
      <c r="Q202" s="13"/>
      <c r="R202" s="13"/>
      <c r="S202" s="90"/>
      <c r="T202" s="13"/>
      <c r="U202" s="13"/>
      <c r="V202" s="90"/>
      <c r="W202" s="13"/>
      <c r="X202" s="13"/>
      <c r="Y202" s="90"/>
      <c r="Z202" s="13"/>
      <c r="AA202" s="13"/>
      <c r="AB202" s="13"/>
      <c r="AC202" s="90"/>
      <c r="AD202" s="13"/>
      <c r="AE202" s="13"/>
      <c r="AF202" s="90"/>
      <c r="AG202" s="13"/>
      <c r="AH202" s="13"/>
      <c r="AI202" s="13"/>
      <c r="AJ202" s="90"/>
      <c r="AK202" s="13"/>
      <c r="AL202" s="13"/>
      <c r="AM202" s="90"/>
      <c r="AN202" s="13"/>
      <c r="AO202" s="13"/>
      <c r="AP202" s="13"/>
      <c r="AQ202" s="90"/>
      <c r="AR202" s="13"/>
      <c r="AS202" s="13"/>
      <c r="AT202" s="90"/>
      <c r="AU202" s="13"/>
      <c r="AV202" s="13"/>
      <c r="AW202" s="90"/>
      <c r="AX202" s="13"/>
      <c r="AY202" s="13"/>
      <c r="AZ202" s="90"/>
      <c r="BA202" s="13"/>
      <c r="BB202" s="13"/>
      <c r="BC202" s="90"/>
      <c r="BD202" s="13"/>
      <c r="BE202" s="13"/>
      <c r="BF202" s="13"/>
      <c r="BG202" s="90"/>
      <c r="BH202" s="13"/>
      <c r="BI202" s="13"/>
      <c r="BJ202" s="90"/>
      <c r="BK202" s="13"/>
      <c r="BL202" s="13"/>
      <c r="BM202" s="13"/>
      <c r="BN202" s="90"/>
      <c r="BO202" s="13"/>
      <c r="BP202" s="13"/>
      <c r="BQ202" s="90"/>
      <c r="BR202" s="13"/>
      <c r="BS202" s="13"/>
      <c r="BT202" s="13"/>
      <c r="BU202" s="90"/>
      <c r="BV202" s="13"/>
      <c r="BW202" s="13"/>
      <c r="BX202" s="90"/>
      <c r="BY202" s="13"/>
      <c r="BZ202" s="13"/>
      <c r="CA202" s="90"/>
      <c r="CB202" s="13"/>
      <c r="CC202" s="13"/>
      <c r="CD202" s="13"/>
      <c r="CE202" s="90"/>
      <c r="CF202" s="13"/>
      <c r="CG202" s="13"/>
      <c r="CH202" s="90"/>
      <c r="CI202" s="13"/>
      <c r="CJ202" s="13"/>
      <c r="CK202" s="13"/>
      <c r="CL202" s="90"/>
      <c r="CM202" s="13"/>
      <c r="CN202" s="13"/>
      <c r="CO202" s="90"/>
      <c r="CP202" s="13"/>
      <c r="CQ202" s="13"/>
      <c r="CR202" s="13"/>
      <c r="CS202" s="90"/>
      <c r="CT202" s="13"/>
      <c r="CU202" s="13"/>
      <c r="CV202" s="90"/>
      <c r="CW202" s="13"/>
      <c r="CX202" s="13"/>
    </row>
    <row r="203" spans="2:102" s="2" customFormat="1" x14ac:dyDescent="0.25">
      <c r="B203" s="11"/>
      <c r="C203" s="13"/>
      <c r="D203" s="13"/>
      <c r="E203" s="11"/>
      <c r="F203" s="13"/>
      <c r="G203" s="13"/>
      <c r="H203" s="90"/>
      <c r="I203" s="13"/>
      <c r="J203" s="13"/>
      <c r="K203" s="13"/>
      <c r="L203" s="90"/>
      <c r="M203" s="13"/>
      <c r="N203" s="13"/>
      <c r="O203" s="90"/>
      <c r="P203" s="13"/>
      <c r="Q203" s="13"/>
      <c r="R203" s="13"/>
      <c r="S203" s="90"/>
      <c r="T203" s="13"/>
      <c r="U203" s="13"/>
      <c r="V203" s="90"/>
      <c r="W203" s="13"/>
      <c r="X203" s="13"/>
      <c r="Y203" s="90"/>
      <c r="Z203" s="13"/>
      <c r="AA203" s="13"/>
      <c r="AB203" s="13"/>
      <c r="AC203" s="90"/>
      <c r="AD203" s="13"/>
      <c r="AE203" s="13"/>
      <c r="AF203" s="90"/>
      <c r="AG203" s="13"/>
      <c r="AH203" s="13"/>
      <c r="AI203" s="13"/>
      <c r="AJ203" s="90"/>
      <c r="AK203" s="13"/>
      <c r="AL203" s="13"/>
      <c r="AM203" s="90"/>
      <c r="AN203" s="13"/>
      <c r="AO203" s="13"/>
      <c r="AP203" s="13"/>
      <c r="AQ203" s="90"/>
      <c r="AR203" s="13"/>
      <c r="AS203" s="13"/>
      <c r="AT203" s="90"/>
      <c r="AU203" s="13"/>
      <c r="AV203" s="13"/>
      <c r="AW203" s="90"/>
      <c r="AX203" s="13"/>
      <c r="AY203" s="13"/>
      <c r="AZ203" s="90"/>
      <c r="BA203" s="13"/>
      <c r="BB203" s="13"/>
      <c r="BC203" s="90"/>
      <c r="BD203" s="13"/>
      <c r="BE203" s="13"/>
      <c r="BF203" s="13"/>
      <c r="BG203" s="90"/>
      <c r="BH203" s="13"/>
      <c r="BI203" s="13"/>
      <c r="BJ203" s="90"/>
      <c r="BK203" s="13"/>
      <c r="BL203" s="13"/>
      <c r="BM203" s="13"/>
      <c r="BN203" s="90"/>
      <c r="BO203" s="13"/>
      <c r="BP203" s="13"/>
      <c r="BQ203" s="90"/>
      <c r="BR203" s="13"/>
      <c r="BS203" s="13"/>
      <c r="BT203" s="13"/>
      <c r="BU203" s="90"/>
      <c r="BV203" s="13"/>
      <c r="BW203" s="13"/>
      <c r="BX203" s="90"/>
      <c r="BY203" s="13"/>
      <c r="BZ203" s="13"/>
      <c r="CA203" s="90"/>
      <c r="CB203" s="13"/>
      <c r="CC203" s="13"/>
      <c r="CD203" s="13"/>
      <c r="CE203" s="90"/>
      <c r="CF203" s="13"/>
      <c r="CG203" s="13"/>
      <c r="CH203" s="90"/>
      <c r="CI203" s="13"/>
      <c r="CJ203" s="13"/>
      <c r="CK203" s="13"/>
      <c r="CL203" s="90"/>
      <c r="CM203" s="13"/>
      <c r="CN203" s="13"/>
      <c r="CO203" s="90"/>
      <c r="CP203" s="13"/>
      <c r="CQ203" s="13"/>
      <c r="CR203" s="13"/>
      <c r="CS203" s="90"/>
      <c r="CT203" s="13"/>
      <c r="CU203" s="13"/>
      <c r="CV203" s="90"/>
      <c r="CW203" s="13"/>
      <c r="CX203" s="13"/>
    </row>
    <row r="204" spans="2:102" s="2" customFormat="1" x14ac:dyDescent="0.25">
      <c r="B204" s="11"/>
      <c r="C204" s="13"/>
      <c r="D204" s="13"/>
      <c r="E204" s="11"/>
      <c r="F204" s="13"/>
      <c r="G204" s="13"/>
      <c r="H204" s="90"/>
      <c r="I204" s="13"/>
      <c r="J204" s="13"/>
      <c r="K204" s="13"/>
      <c r="L204" s="90"/>
      <c r="M204" s="13"/>
      <c r="N204" s="13"/>
      <c r="O204" s="90"/>
      <c r="P204" s="13"/>
      <c r="Q204" s="13"/>
      <c r="R204" s="13"/>
      <c r="S204" s="90"/>
      <c r="T204" s="13"/>
      <c r="U204" s="13"/>
      <c r="V204" s="90"/>
      <c r="W204" s="13"/>
      <c r="X204" s="13"/>
      <c r="Y204" s="90"/>
      <c r="Z204" s="13"/>
      <c r="AA204" s="13"/>
      <c r="AB204" s="13"/>
      <c r="AC204" s="90"/>
      <c r="AD204" s="13"/>
      <c r="AE204" s="13"/>
      <c r="AF204" s="90"/>
      <c r="AG204" s="13"/>
      <c r="AH204" s="13"/>
      <c r="AI204" s="13"/>
      <c r="AJ204" s="90"/>
      <c r="AK204" s="13"/>
      <c r="AL204" s="13"/>
      <c r="AM204" s="90"/>
      <c r="AN204" s="13"/>
      <c r="AO204" s="13"/>
      <c r="AP204" s="13"/>
      <c r="AQ204" s="90"/>
      <c r="AR204" s="13"/>
      <c r="AS204" s="13"/>
      <c r="AT204" s="90"/>
      <c r="AU204" s="13"/>
      <c r="AV204" s="13"/>
      <c r="AW204" s="90"/>
      <c r="AX204" s="13"/>
      <c r="AY204" s="13"/>
      <c r="AZ204" s="90"/>
      <c r="BA204" s="13"/>
      <c r="BB204" s="13"/>
      <c r="BC204" s="90"/>
      <c r="BD204" s="13"/>
      <c r="BE204" s="13"/>
      <c r="BF204" s="13"/>
      <c r="BG204" s="90"/>
      <c r="BH204" s="13"/>
      <c r="BI204" s="13"/>
      <c r="BJ204" s="90"/>
      <c r="BK204" s="13"/>
      <c r="BL204" s="13"/>
      <c r="BM204" s="13"/>
      <c r="BN204" s="90"/>
      <c r="BO204" s="13"/>
      <c r="BP204" s="13"/>
      <c r="BQ204" s="90"/>
      <c r="BR204" s="13"/>
      <c r="BS204" s="13"/>
      <c r="BT204" s="13"/>
      <c r="BU204" s="90"/>
      <c r="BV204" s="13"/>
      <c r="BW204" s="13"/>
      <c r="BX204" s="90"/>
      <c r="BY204" s="13"/>
      <c r="BZ204" s="13"/>
      <c r="CA204" s="90"/>
      <c r="CB204" s="13"/>
      <c r="CC204" s="13"/>
      <c r="CD204" s="13"/>
      <c r="CE204" s="90"/>
      <c r="CF204" s="13"/>
      <c r="CG204" s="13"/>
      <c r="CH204" s="90"/>
      <c r="CI204" s="13"/>
      <c r="CJ204" s="13"/>
      <c r="CK204" s="13"/>
      <c r="CL204" s="90"/>
      <c r="CM204" s="13"/>
      <c r="CN204" s="13"/>
      <c r="CO204" s="90"/>
      <c r="CP204" s="13"/>
      <c r="CQ204" s="13"/>
      <c r="CR204" s="13"/>
      <c r="CS204" s="90"/>
      <c r="CT204" s="13"/>
      <c r="CU204" s="13"/>
      <c r="CV204" s="90"/>
      <c r="CW204" s="13"/>
      <c r="CX204" s="13"/>
    </row>
    <row r="205" spans="2:102" s="2" customFormat="1" x14ac:dyDescent="0.25">
      <c r="B205" s="11"/>
      <c r="C205" s="13"/>
      <c r="D205" s="13"/>
      <c r="E205" s="11"/>
      <c r="F205" s="13"/>
      <c r="G205" s="13"/>
      <c r="H205" s="90"/>
      <c r="I205" s="13"/>
      <c r="J205" s="13"/>
      <c r="K205" s="13"/>
      <c r="L205" s="90"/>
      <c r="M205" s="13"/>
      <c r="N205" s="13"/>
      <c r="O205" s="90"/>
      <c r="P205" s="13"/>
      <c r="Q205" s="13"/>
      <c r="R205" s="13"/>
      <c r="S205" s="90"/>
      <c r="T205" s="13"/>
      <c r="U205" s="13"/>
      <c r="V205" s="90"/>
      <c r="W205" s="13"/>
      <c r="X205" s="13"/>
      <c r="Y205" s="90"/>
      <c r="Z205" s="13"/>
      <c r="AA205" s="13"/>
      <c r="AB205" s="13"/>
      <c r="AC205" s="90"/>
      <c r="AD205" s="13"/>
      <c r="AE205" s="13"/>
      <c r="AF205" s="90"/>
      <c r="AG205" s="13"/>
      <c r="AH205" s="13"/>
      <c r="AI205" s="13"/>
      <c r="AJ205" s="90"/>
      <c r="AK205" s="13"/>
      <c r="AL205" s="13"/>
      <c r="AM205" s="90"/>
      <c r="AN205" s="13"/>
      <c r="AO205" s="13"/>
      <c r="AP205" s="13"/>
      <c r="AQ205" s="90"/>
      <c r="AR205" s="13"/>
      <c r="AS205" s="13"/>
      <c r="AT205" s="90"/>
      <c r="AU205" s="13"/>
      <c r="AV205" s="13"/>
      <c r="AW205" s="90"/>
      <c r="AX205" s="13"/>
      <c r="AY205" s="13"/>
      <c r="AZ205" s="90"/>
      <c r="BA205" s="13"/>
      <c r="BB205" s="13"/>
      <c r="BC205" s="90"/>
      <c r="BD205" s="13"/>
      <c r="BE205" s="13"/>
      <c r="BF205" s="13"/>
      <c r="BG205" s="90"/>
      <c r="BH205" s="13"/>
      <c r="BI205" s="13"/>
      <c r="BJ205" s="90"/>
      <c r="BK205" s="13"/>
      <c r="BL205" s="13"/>
      <c r="BM205" s="13"/>
      <c r="BN205" s="90"/>
      <c r="BO205" s="13"/>
      <c r="BP205" s="13"/>
      <c r="BQ205" s="90"/>
      <c r="BR205" s="13"/>
      <c r="BS205" s="13"/>
      <c r="BT205" s="13"/>
      <c r="BU205" s="90"/>
      <c r="BV205" s="13"/>
      <c r="BW205" s="13"/>
      <c r="BX205" s="90"/>
      <c r="BY205" s="13"/>
      <c r="BZ205" s="13"/>
      <c r="CA205" s="90"/>
      <c r="CB205" s="13"/>
      <c r="CC205" s="13"/>
      <c r="CD205" s="13"/>
      <c r="CE205" s="90"/>
      <c r="CF205" s="13"/>
      <c r="CG205" s="13"/>
      <c r="CH205" s="90"/>
      <c r="CI205" s="13"/>
      <c r="CJ205" s="13"/>
      <c r="CK205" s="13"/>
      <c r="CL205" s="90"/>
      <c r="CM205" s="13"/>
      <c r="CN205" s="13"/>
      <c r="CO205" s="90"/>
      <c r="CP205" s="13"/>
      <c r="CQ205" s="13"/>
      <c r="CR205" s="13"/>
      <c r="CS205" s="90"/>
      <c r="CT205" s="13"/>
      <c r="CU205" s="13"/>
      <c r="CV205" s="90"/>
      <c r="CW205" s="13"/>
      <c r="CX205" s="13"/>
    </row>
    <row r="206" spans="2:102" s="2" customFormat="1" x14ac:dyDescent="0.25">
      <c r="B206" s="11"/>
      <c r="C206" s="13"/>
      <c r="D206" s="13"/>
      <c r="E206" s="11"/>
      <c r="F206" s="13"/>
      <c r="G206" s="13"/>
      <c r="H206" s="90"/>
      <c r="I206" s="13"/>
      <c r="J206" s="13"/>
      <c r="K206" s="13"/>
      <c r="L206" s="90"/>
      <c r="M206" s="13"/>
      <c r="N206" s="13"/>
      <c r="O206" s="90"/>
      <c r="P206" s="13"/>
      <c r="Q206" s="13"/>
      <c r="R206" s="13"/>
      <c r="S206" s="90"/>
      <c r="T206" s="13"/>
      <c r="U206" s="13"/>
      <c r="V206" s="90"/>
      <c r="W206" s="13"/>
      <c r="X206" s="13"/>
      <c r="Y206" s="90"/>
      <c r="Z206" s="13"/>
      <c r="AA206" s="13"/>
      <c r="AB206" s="13"/>
      <c r="AC206" s="90"/>
      <c r="AD206" s="13"/>
      <c r="AE206" s="13"/>
      <c r="AF206" s="90"/>
      <c r="AG206" s="13"/>
      <c r="AH206" s="13"/>
      <c r="AI206" s="13"/>
      <c r="AJ206" s="90"/>
      <c r="AK206" s="13"/>
      <c r="AL206" s="13"/>
      <c r="AM206" s="90"/>
      <c r="AN206" s="13"/>
      <c r="AO206" s="13"/>
      <c r="AP206" s="13"/>
      <c r="AQ206" s="90"/>
      <c r="AR206" s="13"/>
      <c r="AS206" s="13"/>
      <c r="AT206" s="90"/>
      <c r="AU206" s="13"/>
      <c r="AV206" s="13"/>
      <c r="AW206" s="90"/>
      <c r="AX206" s="13"/>
      <c r="AY206" s="13"/>
      <c r="AZ206" s="90"/>
      <c r="BA206" s="13"/>
      <c r="BB206" s="13"/>
      <c r="BC206" s="90"/>
      <c r="BD206" s="13"/>
      <c r="BE206" s="13"/>
      <c r="BF206" s="13"/>
      <c r="BG206" s="90"/>
      <c r="BH206" s="13"/>
      <c r="BI206" s="13"/>
      <c r="BJ206" s="90"/>
      <c r="BK206" s="13"/>
      <c r="BL206" s="13"/>
      <c r="BM206" s="13"/>
      <c r="BN206" s="90"/>
      <c r="BO206" s="13"/>
      <c r="BP206" s="13"/>
      <c r="BQ206" s="90"/>
      <c r="BR206" s="13"/>
      <c r="BS206" s="13"/>
      <c r="BT206" s="13"/>
      <c r="BU206" s="90"/>
      <c r="BV206" s="13"/>
      <c r="BW206" s="13"/>
      <c r="BX206" s="90"/>
      <c r="BY206" s="13"/>
      <c r="BZ206" s="13"/>
      <c r="CA206" s="90"/>
      <c r="CB206" s="13"/>
      <c r="CC206" s="13"/>
      <c r="CD206" s="13"/>
      <c r="CE206" s="90"/>
      <c r="CF206" s="13"/>
      <c r="CG206" s="13"/>
      <c r="CH206" s="90"/>
      <c r="CI206" s="13"/>
      <c r="CJ206" s="13"/>
      <c r="CK206" s="13"/>
      <c r="CL206" s="90"/>
      <c r="CM206" s="13"/>
      <c r="CN206" s="13"/>
      <c r="CO206" s="90"/>
      <c r="CP206" s="13"/>
      <c r="CQ206" s="13"/>
      <c r="CR206" s="13"/>
      <c r="CS206" s="90"/>
      <c r="CT206" s="13"/>
      <c r="CU206" s="13"/>
      <c r="CV206" s="90"/>
      <c r="CW206" s="13"/>
      <c r="CX206" s="13"/>
    </row>
    <row r="207" spans="2:102" s="2" customFormat="1" x14ac:dyDescent="0.25">
      <c r="B207" s="11"/>
      <c r="C207" s="13"/>
      <c r="D207" s="13"/>
      <c r="E207" s="11"/>
      <c r="F207" s="13"/>
      <c r="G207" s="13"/>
      <c r="H207" s="90"/>
      <c r="I207" s="13"/>
      <c r="J207" s="13"/>
      <c r="K207" s="13"/>
      <c r="L207" s="90"/>
      <c r="M207" s="13"/>
      <c r="N207" s="13"/>
      <c r="O207" s="90"/>
      <c r="P207" s="13"/>
      <c r="Q207" s="13"/>
      <c r="R207" s="13"/>
      <c r="S207" s="90"/>
      <c r="T207" s="13"/>
      <c r="U207" s="13"/>
      <c r="V207" s="90"/>
      <c r="W207" s="13"/>
      <c r="X207" s="13"/>
      <c r="Y207" s="90"/>
      <c r="Z207" s="13"/>
      <c r="AA207" s="13"/>
      <c r="AB207" s="13"/>
      <c r="AC207" s="90"/>
      <c r="AD207" s="13"/>
      <c r="AE207" s="13"/>
      <c r="AF207" s="90"/>
      <c r="AG207" s="13"/>
      <c r="AH207" s="13"/>
      <c r="AI207" s="13"/>
      <c r="AJ207" s="90"/>
      <c r="AK207" s="13"/>
      <c r="AL207" s="13"/>
      <c r="AM207" s="90"/>
      <c r="AN207" s="13"/>
      <c r="AO207" s="13"/>
      <c r="AP207" s="13"/>
      <c r="AQ207" s="90"/>
      <c r="AR207" s="13"/>
      <c r="AS207" s="13"/>
      <c r="AT207" s="90"/>
      <c r="AU207" s="13"/>
      <c r="AV207" s="13"/>
      <c r="AW207" s="90"/>
      <c r="AX207" s="13"/>
      <c r="AY207" s="13"/>
      <c r="AZ207" s="90"/>
      <c r="BA207" s="13"/>
      <c r="BB207" s="13"/>
      <c r="BC207" s="90"/>
      <c r="BD207" s="13"/>
      <c r="BE207" s="13"/>
      <c r="BF207" s="13"/>
      <c r="BG207" s="90"/>
      <c r="BH207" s="13"/>
      <c r="BI207" s="13"/>
      <c r="BJ207" s="90"/>
      <c r="BK207" s="13"/>
      <c r="BL207" s="13"/>
      <c r="BM207" s="13"/>
      <c r="BN207" s="90"/>
      <c r="BO207" s="13"/>
      <c r="BP207" s="13"/>
      <c r="BQ207" s="90"/>
      <c r="BR207" s="13"/>
      <c r="BS207" s="13"/>
      <c r="BT207" s="13"/>
      <c r="BU207" s="90"/>
      <c r="BV207" s="13"/>
      <c r="BW207" s="13"/>
      <c r="BX207" s="90"/>
      <c r="BY207" s="13"/>
      <c r="BZ207" s="13"/>
      <c r="CA207" s="90"/>
      <c r="CB207" s="13"/>
      <c r="CC207" s="13"/>
      <c r="CD207" s="13"/>
      <c r="CE207" s="90"/>
      <c r="CF207" s="13"/>
      <c r="CG207" s="13"/>
      <c r="CH207" s="90"/>
      <c r="CI207" s="13"/>
      <c r="CJ207" s="13"/>
      <c r="CK207" s="13"/>
      <c r="CL207" s="90"/>
      <c r="CM207" s="13"/>
      <c r="CN207" s="13"/>
      <c r="CO207" s="90"/>
      <c r="CP207" s="13"/>
      <c r="CQ207" s="13"/>
      <c r="CR207" s="13"/>
      <c r="CS207" s="90"/>
      <c r="CT207" s="13"/>
      <c r="CU207" s="13"/>
      <c r="CV207" s="90"/>
      <c r="CW207" s="13"/>
      <c r="CX207" s="13"/>
    </row>
    <row r="208" spans="2:102" s="2" customFormat="1" x14ac:dyDescent="0.25">
      <c r="B208" s="11"/>
      <c r="C208" s="13"/>
      <c r="D208" s="13"/>
      <c r="E208" s="11"/>
      <c r="F208" s="13"/>
      <c r="G208" s="13"/>
      <c r="H208" s="90"/>
      <c r="I208" s="13"/>
      <c r="J208" s="13"/>
      <c r="K208" s="13"/>
      <c r="L208" s="90"/>
      <c r="M208" s="13"/>
      <c r="N208" s="13"/>
      <c r="O208" s="90"/>
      <c r="P208" s="13"/>
      <c r="Q208" s="13"/>
      <c r="R208" s="13"/>
      <c r="S208" s="90"/>
      <c r="T208" s="13"/>
      <c r="U208" s="13"/>
      <c r="V208" s="90"/>
      <c r="W208" s="13"/>
      <c r="X208" s="13"/>
      <c r="Y208" s="90"/>
      <c r="Z208" s="13"/>
      <c r="AA208" s="13"/>
      <c r="AB208" s="13"/>
      <c r="AC208" s="90"/>
      <c r="AD208" s="13"/>
      <c r="AE208" s="13"/>
      <c r="AF208" s="90"/>
      <c r="AG208" s="13"/>
      <c r="AH208" s="13"/>
      <c r="AI208" s="13"/>
      <c r="AJ208" s="90"/>
      <c r="AK208" s="13"/>
      <c r="AL208" s="13"/>
      <c r="AM208" s="90"/>
      <c r="AN208" s="13"/>
      <c r="AO208" s="13"/>
      <c r="AP208" s="13"/>
      <c r="AQ208" s="90"/>
      <c r="AR208" s="13"/>
      <c r="AS208" s="13"/>
      <c r="AT208" s="90"/>
      <c r="AU208" s="13"/>
      <c r="AV208" s="13"/>
      <c r="AW208" s="90"/>
      <c r="AX208" s="13"/>
      <c r="AY208" s="13"/>
      <c r="AZ208" s="90"/>
      <c r="BA208" s="13"/>
      <c r="BB208" s="13"/>
      <c r="BC208" s="90"/>
      <c r="BD208" s="13"/>
      <c r="BE208" s="13"/>
      <c r="BF208" s="13"/>
      <c r="BG208" s="90"/>
      <c r="BH208" s="13"/>
      <c r="BI208" s="13"/>
      <c r="BJ208" s="90"/>
      <c r="BK208" s="13"/>
      <c r="BL208" s="13"/>
      <c r="BM208" s="13"/>
      <c r="BN208" s="90"/>
      <c r="BO208" s="13"/>
      <c r="BP208" s="13"/>
      <c r="BQ208" s="90"/>
      <c r="BR208" s="13"/>
      <c r="BS208" s="13"/>
      <c r="BT208" s="13"/>
      <c r="BU208" s="90"/>
      <c r="BV208" s="13"/>
      <c r="BW208" s="13"/>
      <c r="BX208" s="90"/>
      <c r="BY208" s="13"/>
      <c r="BZ208" s="13"/>
      <c r="CA208" s="90"/>
      <c r="CB208" s="13"/>
      <c r="CC208" s="13"/>
      <c r="CD208" s="13"/>
      <c r="CE208" s="90"/>
      <c r="CF208" s="13"/>
      <c r="CG208" s="13"/>
      <c r="CH208" s="90"/>
      <c r="CI208" s="13"/>
      <c r="CJ208" s="13"/>
      <c r="CK208" s="13"/>
      <c r="CL208" s="90"/>
      <c r="CM208" s="13"/>
      <c r="CN208" s="13"/>
      <c r="CO208" s="90"/>
      <c r="CP208" s="13"/>
      <c r="CQ208" s="13"/>
      <c r="CR208" s="13"/>
      <c r="CS208" s="90"/>
      <c r="CT208" s="13"/>
      <c r="CU208" s="13"/>
      <c r="CV208" s="90"/>
      <c r="CW208" s="13"/>
      <c r="CX208" s="13"/>
    </row>
    <row r="209" spans="2:102" s="2" customFormat="1" x14ac:dyDescent="0.25">
      <c r="B209" s="11"/>
      <c r="C209" s="13"/>
      <c r="D209" s="13"/>
      <c r="E209" s="11"/>
      <c r="F209" s="13"/>
      <c r="G209" s="13"/>
      <c r="H209" s="90"/>
      <c r="I209" s="13"/>
      <c r="J209" s="13"/>
      <c r="K209" s="13"/>
      <c r="L209" s="90"/>
      <c r="M209" s="13"/>
      <c r="N209" s="13"/>
      <c r="O209" s="90"/>
      <c r="P209" s="13"/>
      <c r="Q209" s="13"/>
      <c r="R209" s="13"/>
      <c r="S209" s="90"/>
      <c r="T209" s="13"/>
      <c r="U209" s="13"/>
      <c r="V209" s="90"/>
      <c r="W209" s="13"/>
      <c r="X209" s="13"/>
      <c r="Y209" s="90"/>
      <c r="Z209" s="13"/>
      <c r="AA209" s="13"/>
      <c r="AB209" s="13"/>
      <c r="AC209" s="90"/>
      <c r="AD209" s="13"/>
      <c r="AE209" s="13"/>
      <c r="AF209" s="90"/>
      <c r="AG209" s="13"/>
      <c r="AH209" s="13"/>
      <c r="AI209" s="13"/>
      <c r="AJ209" s="90"/>
      <c r="AK209" s="13"/>
      <c r="AL209" s="13"/>
      <c r="AM209" s="90"/>
      <c r="AN209" s="13"/>
      <c r="AO209" s="13"/>
      <c r="AP209" s="13"/>
      <c r="AQ209" s="90"/>
      <c r="AR209" s="13"/>
      <c r="AS209" s="13"/>
      <c r="AT209" s="90"/>
      <c r="AU209" s="13"/>
      <c r="AV209" s="13"/>
      <c r="AW209" s="90"/>
      <c r="AX209" s="13"/>
      <c r="AY209" s="13"/>
      <c r="AZ209" s="90"/>
      <c r="BA209" s="13"/>
      <c r="BB209" s="13"/>
      <c r="BC209" s="90"/>
      <c r="BD209" s="13"/>
      <c r="BE209" s="13"/>
      <c r="BF209" s="13"/>
      <c r="BG209" s="90"/>
      <c r="BH209" s="13"/>
      <c r="BI209" s="13"/>
      <c r="BJ209" s="90"/>
      <c r="BK209" s="13"/>
      <c r="BL209" s="13"/>
      <c r="BM209" s="13"/>
      <c r="BN209" s="90"/>
      <c r="BO209" s="13"/>
      <c r="BP209" s="13"/>
      <c r="BQ209" s="90"/>
      <c r="BR209" s="13"/>
      <c r="BS209" s="13"/>
      <c r="BT209" s="13"/>
      <c r="BU209" s="90"/>
      <c r="BV209" s="13"/>
      <c r="BW209" s="13"/>
      <c r="BX209" s="90"/>
      <c r="BY209" s="13"/>
      <c r="BZ209" s="13"/>
      <c r="CA209" s="90"/>
      <c r="CB209" s="13"/>
      <c r="CC209" s="13"/>
      <c r="CD209" s="13"/>
      <c r="CE209" s="90"/>
      <c r="CF209" s="13"/>
      <c r="CG209" s="13"/>
      <c r="CH209" s="90"/>
      <c r="CI209" s="13"/>
      <c r="CJ209" s="13"/>
      <c r="CK209" s="13"/>
      <c r="CL209" s="90"/>
      <c r="CM209" s="13"/>
      <c r="CN209" s="13"/>
      <c r="CO209" s="90"/>
      <c r="CP209" s="13"/>
      <c r="CQ209" s="13"/>
      <c r="CR209" s="13"/>
      <c r="CS209" s="90"/>
      <c r="CT209" s="13"/>
      <c r="CU209" s="13"/>
      <c r="CV209" s="90"/>
      <c r="CW209" s="13"/>
      <c r="CX209" s="13"/>
    </row>
    <row r="210" spans="2:102" s="2" customFormat="1" x14ac:dyDescent="0.25">
      <c r="B210" s="11"/>
      <c r="C210" s="13"/>
      <c r="D210" s="13"/>
      <c r="E210" s="11"/>
      <c r="F210" s="13"/>
      <c r="G210" s="13"/>
      <c r="H210" s="90"/>
      <c r="I210" s="13"/>
      <c r="J210" s="13"/>
      <c r="K210" s="13"/>
      <c r="L210" s="90"/>
      <c r="M210" s="13"/>
      <c r="N210" s="13"/>
      <c r="O210" s="90"/>
      <c r="P210" s="13"/>
      <c r="Q210" s="13"/>
      <c r="R210" s="13"/>
      <c r="S210" s="90"/>
      <c r="T210" s="13"/>
      <c r="U210" s="13"/>
      <c r="V210" s="90"/>
      <c r="W210" s="13"/>
      <c r="X210" s="13"/>
      <c r="Y210" s="90"/>
      <c r="Z210" s="13"/>
      <c r="AA210" s="13"/>
      <c r="AB210" s="13"/>
      <c r="AC210" s="90"/>
      <c r="AD210" s="13"/>
      <c r="AE210" s="13"/>
      <c r="AF210" s="90"/>
      <c r="AG210" s="13"/>
      <c r="AH210" s="13"/>
      <c r="AI210" s="13"/>
      <c r="AJ210" s="90"/>
      <c r="AK210" s="13"/>
      <c r="AL210" s="13"/>
      <c r="AM210" s="90"/>
      <c r="AN210" s="13"/>
      <c r="AO210" s="13"/>
      <c r="AP210" s="13"/>
      <c r="AQ210" s="90"/>
      <c r="AR210" s="13"/>
      <c r="AS210" s="13"/>
      <c r="AT210" s="90"/>
      <c r="AU210" s="13"/>
      <c r="AV210" s="13"/>
      <c r="AW210" s="90"/>
      <c r="AX210" s="13"/>
      <c r="AY210" s="13"/>
      <c r="AZ210" s="90"/>
      <c r="BA210" s="13"/>
      <c r="BB210" s="13"/>
      <c r="BC210" s="90"/>
      <c r="BD210" s="13"/>
      <c r="BE210" s="13"/>
      <c r="BF210" s="13"/>
      <c r="BG210" s="90"/>
      <c r="BH210" s="13"/>
      <c r="BI210" s="13"/>
      <c r="BJ210" s="90"/>
      <c r="BK210" s="13"/>
      <c r="BL210" s="13"/>
      <c r="BM210" s="13"/>
      <c r="BN210" s="90"/>
      <c r="BO210" s="13"/>
      <c r="BP210" s="13"/>
      <c r="BQ210" s="90"/>
      <c r="BR210" s="13"/>
      <c r="BS210" s="13"/>
      <c r="BT210" s="13"/>
      <c r="BU210" s="90"/>
      <c r="BV210" s="13"/>
      <c r="BW210" s="13"/>
      <c r="BX210" s="90"/>
      <c r="BY210" s="13"/>
      <c r="BZ210" s="13"/>
      <c r="CA210" s="90"/>
      <c r="CB210" s="13"/>
      <c r="CC210" s="13"/>
      <c r="CD210" s="13"/>
      <c r="CE210" s="90"/>
      <c r="CF210" s="13"/>
      <c r="CG210" s="13"/>
      <c r="CH210" s="90"/>
      <c r="CI210" s="13"/>
      <c r="CJ210" s="13"/>
      <c r="CK210" s="13"/>
      <c r="CL210" s="90"/>
      <c r="CM210" s="13"/>
      <c r="CN210" s="13"/>
      <c r="CO210" s="90"/>
      <c r="CP210" s="13"/>
      <c r="CQ210" s="13"/>
      <c r="CR210" s="13"/>
      <c r="CS210" s="90"/>
      <c r="CT210" s="13"/>
      <c r="CU210" s="13"/>
      <c r="CV210" s="90"/>
      <c r="CW210" s="13"/>
      <c r="CX210" s="13"/>
    </row>
    <row r="211" spans="2:102" s="2" customFormat="1" x14ac:dyDescent="0.25">
      <c r="B211" s="11"/>
      <c r="C211" s="13"/>
      <c r="D211" s="13"/>
      <c r="E211" s="11"/>
      <c r="F211" s="13"/>
      <c r="G211" s="13"/>
      <c r="H211" s="90"/>
      <c r="I211" s="13"/>
      <c r="J211" s="13"/>
      <c r="K211" s="13"/>
      <c r="L211" s="90"/>
      <c r="M211" s="13"/>
      <c r="N211" s="13"/>
      <c r="O211" s="90"/>
      <c r="P211" s="13"/>
      <c r="Q211" s="13"/>
      <c r="R211" s="13"/>
      <c r="S211" s="90"/>
      <c r="T211" s="13"/>
      <c r="U211" s="13"/>
      <c r="V211" s="90"/>
      <c r="W211" s="13"/>
      <c r="X211" s="13"/>
      <c r="Y211" s="90"/>
      <c r="Z211" s="13"/>
      <c r="AA211" s="13"/>
      <c r="AB211" s="13"/>
      <c r="AC211" s="90"/>
      <c r="AD211" s="13"/>
      <c r="AE211" s="13"/>
      <c r="AF211" s="90"/>
      <c r="AG211" s="13"/>
      <c r="AH211" s="13"/>
      <c r="AI211" s="13"/>
      <c r="AJ211" s="90"/>
      <c r="AK211" s="13"/>
      <c r="AL211" s="13"/>
      <c r="AM211" s="90"/>
      <c r="AN211" s="13"/>
      <c r="AO211" s="13"/>
      <c r="AP211" s="13"/>
      <c r="AQ211" s="90"/>
      <c r="AR211" s="13"/>
      <c r="AS211" s="13"/>
      <c r="AT211" s="90"/>
      <c r="AU211" s="13"/>
      <c r="AV211" s="13"/>
      <c r="AW211" s="90"/>
      <c r="AX211" s="13"/>
      <c r="AY211" s="13"/>
      <c r="AZ211" s="90"/>
      <c r="BA211" s="13"/>
      <c r="BB211" s="13"/>
      <c r="BC211" s="90"/>
      <c r="BD211" s="13"/>
      <c r="BE211" s="13"/>
      <c r="BF211" s="13"/>
      <c r="BG211" s="90"/>
      <c r="BH211" s="13"/>
      <c r="BI211" s="13"/>
      <c r="BJ211" s="90"/>
      <c r="BK211" s="13"/>
      <c r="BL211" s="13"/>
      <c r="BM211" s="13"/>
      <c r="BN211" s="90"/>
      <c r="BO211" s="13"/>
      <c r="BP211" s="13"/>
      <c r="BQ211" s="90"/>
      <c r="BR211" s="13"/>
      <c r="BS211" s="13"/>
      <c r="BT211" s="13"/>
      <c r="BU211" s="90"/>
      <c r="BV211" s="13"/>
      <c r="BW211" s="13"/>
      <c r="BX211" s="90"/>
      <c r="BY211" s="13"/>
      <c r="BZ211" s="13"/>
      <c r="CA211" s="90"/>
      <c r="CB211" s="13"/>
      <c r="CC211" s="13"/>
      <c r="CD211" s="13"/>
      <c r="CE211" s="90"/>
      <c r="CF211" s="13"/>
      <c r="CG211" s="13"/>
      <c r="CH211" s="90"/>
      <c r="CI211" s="13"/>
      <c r="CJ211" s="13"/>
      <c r="CK211" s="13"/>
      <c r="CL211" s="90"/>
      <c r="CM211" s="13"/>
      <c r="CN211" s="13"/>
      <c r="CO211" s="90"/>
      <c r="CP211" s="13"/>
      <c r="CQ211" s="13"/>
      <c r="CR211" s="13"/>
      <c r="CS211" s="90"/>
      <c r="CT211" s="13"/>
      <c r="CU211" s="13"/>
      <c r="CV211" s="90"/>
      <c r="CW211" s="13"/>
      <c r="CX211" s="13"/>
    </row>
    <row r="212" spans="2:102" s="2" customFormat="1" x14ac:dyDescent="0.25">
      <c r="B212" s="11"/>
      <c r="C212" s="13"/>
      <c r="D212" s="13"/>
      <c r="E212" s="11"/>
      <c r="F212" s="13"/>
      <c r="G212" s="13"/>
      <c r="H212" s="90"/>
      <c r="I212" s="13"/>
      <c r="J212" s="13"/>
      <c r="K212" s="13"/>
      <c r="L212" s="90"/>
      <c r="M212" s="13"/>
      <c r="N212" s="13"/>
      <c r="O212" s="90"/>
      <c r="P212" s="13"/>
      <c r="Q212" s="13"/>
      <c r="R212" s="13"/>
      <c r="S212" s="90"/>
      <c r="T212" s="13"/>
      <c r="U212" s="13"/>
      <c r="V212" s="90"/>
      <c r="W212" s="13"/>
      <c r="X212" s="13"/>
      <c r="Y212" s="90"/>
      <c r="Z212" s="13"/>
      <c r="AA212" s="13"/>
      <c r="AB212" s="13"/>
      <c r="AC212" s="90"/>
      <c r="AD212" s="13"/>
      <c r="AE212" s="13"/>
      <c r="AF212" s="90"/>
      <c r="AG212" s="13"/>
      <c r="AH212" s="13"/>
      <c r="AI212" s="13"/>
      <c r="AJ212" s="90"/>
      <c r="AK212" s="13"/>
      <c r="AL212" s="13"/>
      <c r="AM212" s="90"/>
      <c r="AN212" s="13"/>
      <c r="AO212" s="13"/>
      <c r="AP212" s="13"/>
      <c r="AQ212" s="90"/>
      <c r="AR212" s="13"/>
      <c r="AS212" s="13"/>
      <c r="AT212" s="90"/>
      <c r="AU212" s="13"/>
      <c r="AV212" s="13"/>
      <c r="AW212" s="90"/>
      <c r="AX212" s="13"/>
      <c r="AY212" s="13"/>
      <c r="AZ212" s="90"/>
      <c r="BA212" s="13"/>
      <c r="BB212" s="13"/>
      <c r="BC212" s="90"/>
      <c r="BD212" s="13"/>
      <c r="BE212" s="13"/>
      <c r="BF212" s="13"/>
      <c r="BG212" s="90"/>
      <c r="BH212" s="13"/>
      <c r="BI212" s="13"/>
      <c r="BJ212" s="90"/>
      <c r="BK212" s="13"/>
      <c r="BL212" s="13"/>
      <c r="BM212" s="13"/>
      <c r="BN212" s="90"/>
      <c r="BO212" s="13"/>
      <c r="BP212" s="13"/>
      <c r="BQ212" s="90"/>
      <c r="BR212" s="13"/>
      <c r="BS212" s="13"/>
      <c r="BT212" s="13"/>
      <c r="BU212" s="90"/>
      <c r="BV212" s="13"/>
      <c r="BW212" s="13"/>
      <c r="BX212" s="90"/>
      <c r="BY212" s="13"/>
      <c r="BZ212" s="13"/>
      <c r="CA212" s="90"/>
      <c r="CB212" s="13"/>
      <c r="CC212" s="13"/>
      <c r="CD212" s="13"/>
      <c r="CE212" s="90"/>
      <c r="CF212" s="13"/>
      <c r="CG212" s="13"/>
      <c r="CH212" s="90"/>
      <c r="CI212" s="13"/>
      <c r="CJ212" s="13"/>
      <c r="CK212" s="13"/>
      <c r="CL212" s="90"/>
      <c r="CM212" s="13"/>
      <c r="CN212" s="13"/>
      <c r="CO212" s="90"/>
      <c r="CP212" s="13"/>
      <c r="CQ212" s="13"/>
      <c r="CR212" s="13"/>
      <c r="CS212" s="90"/>
      <c r="CT212" s="13"/>
      <c r="CU212" s="13"/>
      <c r="CV212" s="90"/>
      <c r="CW212" s="13"/>
      <c r="CX212" s="13"/>
    </row>
    <row r="213" spans="2:102" s="2" customFormat="1" x14ac:dyDescent="0.25">
      <c r="B213" s="11"/>
      <c r="C213" s="13"/>
      <c r="D213" s="13"/>
      <c r="E213" s="11"/>
      <c r="F213" s="13"/>
      <c r="G213" s="13"/>
      <c r="H213" s="90"/>
      <c r="I213" s="13"/>
      <c r="J213" s="13"/>
      <c r="K213" s="13"/>
      <c r="L213" s="90"/>
      <c r="M213" s="13"/>
      <c r="N213" s="13"/>
      <c r="O213" s="90"/>
      <c r="P213" s="13"/>
      <c r="Q213" s="13"/>
      <c r="R213" s="13"/>
      <c r="S213" s="90"/>
      <c r="T213" s="13"/>
      <c r="U213" s="13"/>
      <c r="V213" s="90"/>
      <c r="W213" s="13"/>
      <c r="X213" s="13"/>
      <c r="Y213" s="90"/>
      <c r="Z213" s="13"/>
      <c r="AA213" s="13"/>
      <c r="AB213" s="13"/>
      <c r="AC213" s="90"/>
      <c r="AD213" s="13"/>
      <c r="AE213" s="13"/>
      <c r="AF213" s="90"/>
      <c r="AG213" s="13"/>
      <c r="AH213" s="13"/>
      <c r="AI213" s="13"/>
      <c r="AJ213" s="90"/>
      <c r="AK213" s="13"/>
      <c r="AL213" s="13"/>
      <c r="AM213" s="90"/>
      <c r="AN213" s="13"/>
      <c r="AO213" s="13"/>
      <c r="AP213" s="13"/>
      <c r="AQ213" s="90"/>
      <c r="AR213" s="13"/>
      <c r="AS213" s="13"/>
      <c r="AT213" s="90"/>
      <c r="AU213" s="13"/>
      <c r="AV213" s="13"/>
      <c r="AW213" s="90"/>
      <c r="AX213" s="13"/>
      <c r="AY213" s="13"/>
      <c r="AZ213" s="90"/>
      <c r="BA213" s="13"/>
      <c r="BB213" s="13"/>
      <c r="BC213" s="90"/>
      <c r="BD213" s="13"/>
      <c r="BE213" s="13"/>
      <c r="BF213" s="13"/>
      <c r="BG213" s="90"/>
      <c r="BH213" s="13"/>
      <c r="BI213" s="13"/>
      <c r="BJ213" s="90"/>
      <c r="BK213" s="13"/>
      <c r="BL213" s="13"/>
      <c r="BM213" s="13"/>
      <c r="BN213" s="90"/>
      <c r="BO213" s="13"/>
      <c r="BP213" s="13"/>
      <c r="BQ213" s="90"/>
      <c r="BR213" s="13"/>
      <c r="BS213" s="13"/>
      <c r="BT213" s="13"/>
      <c r="BU213" s="90"/>
      <c r="BV213" s="13"/>
      <c r="BW213" s="13"/>
      <c r="BX213" s="90"/>
      <c r="BY213" s="13"/>
      <c r="BZ213" s="13"/>
      <c r="CA213" s="90"/>
      <c r="CB213" s="13"/>
      <c r="CC213" s="13"/>
      <c r="CD213" s="13"/>
      <c r="CE213" s="90"/>
      <c r="CF213" s="13"/>
      <c r="CG213" s="13"/>
      <c r="CH213" s="90"/>
      <c r="CI213" s="13"/>
      <c r="CJ213" s="13"/>
      <c r="CK213" s="13"/>
      <c r="CL213" s="90"/>
      <c r="CM213" s="13"/>
      <c r="CN213" s="13"/>
      <c r="CO213" s="90"/>
      <c r="CP213" s="13"/>
      <c r="CQ213" s="13"/>
      <c r="CR213" s="13"/>
      <c r="CS213" s="90"/>
      <c r="CT213" s="13"/>
      <c r="CU213" s="13"/>
      <c r="CV213" s="90"/>
      <c r="CW213" s="13"/>
      <c r="CX213" s="13"/>
    </row>
    <row r="214" spans="2:102" s="2" customFormat="1" x14ac:dyDescent="0.25">
      <c r="B214" s="11"/>
      <c r="C214" s="13"/>
      <c r="D214" s="13"/>
      <c r="E214" s="11"/>
      <c r="F214" s="13"/>
      <c r="G214" s="13"/>
      <c r="H214" s="90"/>
      <c r="I214" s="13"/>
      <c r="J214" s="13"/>
      <c r="K214" s="13"/>
      <c r="L214" s="90"/>
      <c r="M214" s="13"/>
      <c r="N214" s="13"/>
      <c r="O214" s="90"/>
      <c r="P214" s="13"/>
      <c r="Q214" s="13"/>
      <c r="R214" s="13"/>
      <c r="S214" s="90"/>
      <c r="T214" s="13"/>
      <c r="U214" s="13"/>
      <c r="V214" s="90"/>
      <c r="W214" s="13"/>
      <c r="X214" s="13"/>
      <c r="Y214" s="90"/>
      <c r="Z214" s="13"/>
      <c r="AA214" s="13"/>
      <c r="AB214" s="13"/>
      <c r="AC214" s="90"/>
      <c r="AD214" s="13"/>
      <c r="AE214" s="13"/>
      <c r="AF214" s="90"/>
      <c r="AG214" s="13"/>
      <c r="AH214" s="13"/>
      <c r="AI214" s="13"/>
      <c r="AJ214" s="90"/>
      <c r="AK214" s="13"/>
      <c r="AL214" s="13"/>
      <c r="AM214" s="90"/>
      <c r="AN214" s="13"/>
      <c r="AO214" s="13"/>
      <c r="AP214" s="13"/>
      <c r="AQ214" s="90"/>
      <c r="AR214" s="13"/>
      <c r="AS214" s="13"/>
      <c r="AT214" s="90"/>
      <c r="AU214" s="13"/>
      <c r="AV214" s="13"/>
      <c r="AW214" s="90"/>
      <c r="AX214" s="13"/>
      <c r="AY214" s="13"/>
      <c r="AZ214" s="90"/>
      <c r="BA214" s="13"/>
      <c r="BB214" s="13"/>
      <c r="BC214" s="90"/>
      <c r="BD214" s="13"/>
      <c r="BE214" s="13"/>
      <c r="BF214" s="13"/>
      <c r="BG214" s="90"/>
      <c r="BH214" s="13"/>
      <c r="BI214" s="13"/>
      <c r="BJ214" s="90"/>
      <c r="BK214" s="13"/>
      <c r="BL214" s="13"/>
      <c r="BM214" s="13"/>
      <c r="BN214" s="90"/>
      <c r="BO214" s="13"/>
      <c r="BP214" s="13"/>
      <c r="BQ214" s="90"/>
      <c r="BR214" s="13"/>
      <c r="BS214" s="13"/>
      <c r="BT214" s="13"/>
      <c r="BU214" s="90"/>
      <c r="BV214" s="13"/>
      <c r="BW214" s="13"/>
      <c r="BX214" s="90"/>
      <c r="BY214" s="13"/>
      <c r="BZ214" s="13"/>
      <c r="CA214" s="90"/>
      <c r="CB214" s="13"/>
      <c r="CC214" s="13"/>
      <c r="CD214" s="13"/>
      <c r="CE214" s="90"/>
      <c r="CF214" s="13"/>
      <c r="CG214" s="13"/>
      <c r="CH214" s="90"/>
      <c r="CI214" s="13"/>
      <c r="CJ214" s="13"/>
      <c r="CK214" s="13"/>
      <c r="CL214" s="90"/>
      <c r="CM214" s="13"/>
      <c r="CN214" s="13"/>
      <c r="CO214" s="90"/>
      <c r="CP214" s="13"/>
      <c r="CQ214" s="13"/>
      <c r="CR214" s="13"/>
      <c r="CS214" s="90"/>
      <c r="CT214" s="13"/>
      <c r="CU214" s="13"/>
      <c r="CV214" s="90"/>
      <c r="CW214" s="13"/>
      <c r="CX214" s="13"/>
    </row>
    <row r="215" spans="2:102" s="2" customFormat="1" x14ac:dyDescent="0.25">
      <c r="B215" s="11"/>
      <c r="C215" s="13"/>
      <c r="D215" s="13"/>
      <c r="E215" s="11"/>
      <c r="F215" s="13"/>
      <c r="G215" s="13"/>
      <c r="H215" s="90"/>
      <c r="I215" s="13"/>
      <c r="J215" s="13"/>
      <c r="K215" s="13"/>
      <c r="L215" s="90"/>
      <c r="M215" s="13"/>
      <c r="N215" s="13"/>
      <c r="O215" s="90"/>
      <c r="P215" s="13"/>
      <c r="Q215" s="13"/>
      <c r="R215" s="13"/>
      <c r="S215" s="90"/>
      <c r="T215" s="13"/>
      <c r="U215" s="13"/>
      <c r="V215" s="90"/>
      <c r="W215" s="13"/>
      <c r="X215" s="13"/>
      <c r="Y215" s="90"/>
      <c r="Z215" s="13"/>
      <c r="AA215" s="13"/>
      <c r="AB215" s="13"/>
      <c r="AC215" s="90"/>
      <c r="AD215" s="13"/>
      <c r="AE215" s="13"/>
      <c r="AF215" s="90"/>
      <c r="AG215" s="13"/>
      <c r="AH215" s="13"/>
      <c r="AI215" s="13"/>
      <c r="AJ215" s="90"/>
      <c r="AK215" s="13"/>
      <c r="AL215" s="13"/>
      <c r="AM215" s="90"/>
      <c r="AN215" s="13"/>
      <c r="AO215" s="13"/>
      <c r="AP215" s="13"/>
      <c r="AQ215" s="90"/>
      <c r="AR215" s="13"/>
      <c r="AS215" s="13"/>
      <c r="AT215" s="90"/>
      <c r="AU215" s="13"/>
      <c r="AV215" s="13"/>
      <c r="AW215" s="90"/>
      <c r="AX215" s="13"/>
      <c r="AY215" s="13"/>
      <c r="AZ215" s="90"/>
      <c r="BA215" s="13"/>
      <c r="BB215" s="13"/>
      <c r="BC215" s="90"/>
      <c r="BD215" s="13"/>
      <c r="BE215" s="13"/>
      <c r="BF215" s="13"/>
      <c r="BG215" s="90"/>
      <c r="BH215" s="13"/>
      <c r="BI215" s="13"/>
      <c r="BJ215" s="90"/>
      <c r="BK215" s="13"/>
      <c r="BL215" s="13"/>
      <c r="BM215" s="13"/>
      <c r="BN215" s="90"/>
      <c r="BO215" s="13"/>
      <c r="BP215" s="13"/>
      <c r="BQ215" s="90"/>
      <c r="BR215" s="13"/>
      <c r="BS215" s="13"/>
      <c r="BT215" s="13"/>
      <c r="BU215" s="90"/>
      <c r="BV215" s="13"/>
      <c r="BW215" s="13"/>
      <c r="BX215" s="90"/>
      <c r="BY215" s="13"/>
      <c r="BZ215" s="13"/>
      <c r="CA215" s="90"/>
      <c r="CB215" s="13"/>
      <c r="CC215" s="13"/>
      <c r="CD215" s="13"/>
      <c r="CE215" s="90"/>
      <c r="CF215" s="13"/>
      <c r="CG215" s="13"/>
      <c r="CH215" s="90"/>
      <c r="CI215" s="13"/>
      <c r="CJ215" s="13"/>
      <c r="CK215" s="13"/>
      <c r="CL215" s="90"/>
      <c r="CM215" s="13"/>
      <c r="CN215" s="13"/>
      <c r="CO215" s="90"/>
      <c r="CP215" s="13"/>
      <c r="CQ215" s="13"/>
      <c r="CR215" s="13"/>
      <c r="CS215" s="90"/>
      <c r="CT215" s="13"/>
      <c r="CU215" s="13"/>
      <c r="CV215" s="90"/>
      <c r="CW215" s="13"/>
      <c r="CX215" s="13"/>
    </row>
    <row r="216" spans="2:102" s="2" customFormat="1" x14ac:dyDescent="0.25">
      <c r="B216" s="11"/>
      <c r="C216" s="13"/>
      <c r="D216" s="13"/>
      <c r="E216" s="11"/>
      <c r="F216" s="13"/>
      <c r="G216" s="13"/>
      <c r="H216" s="90"/>
      <c r="I216" s="13"/>
      <c r="J216" s="13"/>
      <c r="K216" s="13"/>
      <c r="L216" s="90"/>
      <c r="M216" s="13"/>
      <c r="N216" s="13"/>
      <c r="O216" s="90"/>
      <c r="P216" s="13"/>
      <c r="Q216" s="13"/>
      <c r="R216" s="13"/>
      <c r="S216" s="90"/>
      <c r="T216" s="13"/>
      <c r="U216" s="13"/>
      <c r="V216" s="90"/>
      <c r="W216" s="13"/>
      <c r="X216" s="13"/>
      <c r="Y216" s="90"/>
      <c r="Z216" s="13"/>
      <c r="AA216" s="13"/>
      <c r="AB216" s="13"/>
      <c r="AC216" s="90"/>
      <c r="AD216" s="13"/>
      <c r="AE216" s="13"/>
      <c r="AF216" s="90"/>
      <c r="AG216" s="13"/>
      <c r="AH216" s="13"/>
      <c r="AI216" s="13"/>
      <c r="AJ216" s="90"/>
      <c r="AK216" s="13"/>
      <c r="AL216" s="13"/>
      <c r="AM216" s="90"/>
      <c r="AN216" s="13"/>
      <c r="AO216" s="13"/>
      <c r="AP216" s="13"/>
      <c r="AQ216" s="90"/>
      <c r="AR216" s="13"/>
      <c r="AS216" s="13"/>
      <c r="AT216" s="90"/>
      <c r="AU216" s="13"/>
      <c r="AV216" s="13"/>
      <c r="AW216" s="90"/>
      <c r="AX216" s="13"/>
      <c r="AY216" s="13"/>
      <c r="AZ216" s="90"/>
      <c r="BA216" s="13"/>
      <c r="BB216" s="13"/>
      <c r="BC216" s="90"/>
      <c r="BD216" s="13"/>
      <c r="BE216" s="13"/>
      <c r="BF216" s="13"/>
      <c r="BG216" s="90"/>
      <c r="BH216" s="13"/>
      <c r="BI216" s="13"/>
      <c r="BJ216" s="90"/>
      <c r="BK216" s="13"/>
      <c r="BL216" s="13"/>
      <c r="BM216" s="13"/>
      <c r="BN216" s="90"/>
      <c r="BO216" s="13"/>
      <c r="BP216" s="13"/>
      <c r="BQ216" s="90"/>
      <c r="BR216" s="13"/>
      <c r="BS216" s="13"/>
      <c r="BT216" s="13"/>
      <c r="BU216" s="90"/>
      <c r="BV216" s="13"/>
      <c r="BW216" s="13"/>
      <c r="BX216" s="90"/>
      <c r="BY216" s="13"/>
      <c r="BZ216" s="13"/>
      <c r="CA216" s="90"/>
      <c r="CB216" s="13"/>
      <c r="CC216" s="13"/>
      <c r="CD216" s="13"/>
      <c r="CE216" s="90"/>
      <c r="CF216" s="13"/>
      <c r="CG216" s="13"/>
      <c r="CH216" s="90"/>
      <c r="CI216" s="13"/>
      <c r="CJ216" s="13"/>
      <c r="CK216" s="13"/>
      <c r="CL216" s="90"/>
      <c r="CM216" s="13"/>
      <c r="CN216" s="13"/>
      <c r="CO216" s="90"/>
      <c r="CP216" s="13"/>
      <c r="CQ216" s="13"/>
      <c r="CR216" s="13"/>
      <c r="CS216" s="90"/>
      <c r="CT216" s="13"/>
      <c r="CU216" s="13"/>
      <c r="CV216" s="90"/>
      <c r="CW216" s="13"/>
      <c r="CX216" s="13"/>
    </row>
    <row r="217" spans="2:102" s="2" customFormat="1" x14ac:dyDescent="0.25">
      <c r="B217" s="11"/>
      <c r="C217" s="13"/>
      <c r="D217" s="13"/>
      <c r="E217" s="11"/>
      <c r="F217" s="13"/>
      <c r="G217" s="13"/>
      <c r="H217" s="90"/>
      <c r="I217" s="13"/>
      <c r="J217" s="13"/>
      <c r="K217" s="13"/>
      <c r="L217" s="90"/>
      <c r="M217" s="13"/>
      <c r="N217" s="13"/>
      <c r="O217" s="90"/>
      <c r="P217" s="13"/>
      <c r="Q217" s="13"/>
      <c r="R217" s="13"/>
      <c r="S217" s="90"/>
      <c r="T217" s="13"/>
      <c r="U217" s="13"/>
      <c r="V217" s="90"/>
      <c r="W217" s="13"/>
      <c r="X217" s="13"/>
      <c r="Y217" s="90"/>
      <c r="Z217" s="13"/>
      <c r="AA217" s="13"/>
      <c r="AB217" s="13"/>
      <c r="AC217" s="90"/>
      <c r="AD217" s="13"/>
      <c r="AE217" s="13"/>
      <c r="AF217" s="90"/>
      <c r="AG217" s="13"/>
      <c r="AH217" s="13"/>
      <c r="AI217" s="13"/>
      <c r="AJ217" s="90"/>
      <c r="AK217" s="13"/>
      <c r="AL217" s="13"/>
      <c r="AM217" s="90"/>
      <c r="AN217" s="13"/>
      <c r="AO217" s="13"/>
      <c r="AP217" s="13"/>
      <c r="AQ217" s="90"/>
      <c r="AR217" s="13"/>
      <c r="AS217" s="13"/>
      <c r="AT217" s="90"/>
      <c r="AU217" s="13"/>
      <c r="AV217" s="13"/>
      <c r="AW217" s="90"/>
      <c r="AX217" s="13"/>
      <c r="AY217" s="13"/>
      <c r="AZ217" s="90"/>
      <c r="BA217" s="13"/>
      <c r="BB217" s="13"/>
      <c r="BC217" s="90"/>
      <c r="BD217" s="13"/>
      <c r="BE217" s="13"/>
      <c r="BF217" s="13"/>
      <c r="BG217" s="90"/>
      <c r="BH217" s="13"/>
      <c r="BI217" s="13"/>
      <c r="BJ217" s="90"/>
      <c r="BK217" s="13"/>
      <c r="BL217" s="13"/>
      <c r="BM217" s="13"/>
      <c r="BN217" s="90"/>
      <c r="BO217" s="13"/>
      <c r="BP217" s="13"/>
      <c r="BQ217" s="90"/>
      <c r="BR217" s="13"/>
      <c r="BS217" s="13"/>
      <c r="BT217" s="13"/>
      <c r="BU217" s="90"/>
      <c r="BV217" s="13"/>
      <c r="BW217" s="13"/>
      <c r="BX217" s="90"/>
      <c r="BY217" s="13"/>
      <c r="BZ217" s="13"/>
      <c r="CA217" s="90"/>
      <c r="CB217" s="13"/>
      <c r="CC217" s="13"/>
      <c r="CD217" s="13"/>
      <c r="CE217" s="90"/>
      <c r="CF217" s="13"/>
      <c r="CG217" s="13"/>
      <c r="CH217" s="90"/>
      <c r="CI217" s="13"/>
      <c r="CJ217" s="13"/>
      <c r="CK217" s="13"/>
      <c r="CL217" s="90"/>
      <c r="CM217" s="13"/>
      <c r="CN217" s="13"/>
      <c r="CO217" s="90"/>
      <c r="CP217" s="13"/>
      <c r="CQ217" s="13"/>
      <c r="CR217" s="13"/>
      <c r="CS217" s="90"/>
      <c r="CT217" s="13"/>
      <c r="CU217" s="13"/>
      <c r="CV217" s="90"/>
      <c r="CW217" s="13"/>
      <c r="CX217" s="13"/>
    </row>
    <row r="218" spans="2:102" s="2" customFormat="1" x14ac:dyDescent="0.25">
      <c r="B218" s="11"/>
      <c r="C218" s="13"/>
      <c r="D218" s="13"/>
      <c r="E218" s="11"/>
      <c r="F218" s="13"/>
      <c r="G218" s="13"/>
      <c r="H218" s="90"/>
      <c r="I218" s="13"/>
      <c r="J218" s="13"/>
      <c r="K218" s="13"/>
      <c r="L218" s="90"/>
      <c r="M218" s="13"/>
      <c r="N218" s="13"/>
      <c r="O218" s="90"/>
      <c r="P218" s="13"/>
      <c r="Q218" s="13"/>
      <c r="R218" s="13"/>
      <c r="S218" s="90"/>
      <c r="T218" s="13"/>
      <c r="U218" s="13"/>
      <c r="V218" s="90"/>
      <c r="W218" s="13"/>
      <c r="X218" s="13"/>
      <c r="Y218" s="90"/>
      <c r="Z218" s="13"/>
      <c r="AA218" s="13"/>
      <c r="AB218" s="13"/>
      <c r="AC218" s="90"/>
      <c r="AD218" s="13"/>
      <c r="AE218" s="13"/>
      <c r="AF218" s="90"/>
      <c r="AG218" s="13"/>
      <c r="AH218" s="13"/>
      <c r="AI218" s="13"/>
      <c r="AJ218" s="90"/>
      <c r="AK218" s="13"/>
      <c r="AL218" s="13"/>
      <c r="AM218" s="90"/>
      <c r="AN218" s="13"/>
      <c r="AO218" s="13"/>
      <c r="AP218" s="13"/>
      <c r="AQ218" s="90"/>
      <c r="AR218" s="13"/>
      <c r="AS218" s="13"/>
      <c r="AT218" s="90"/>
      <c r="AU218" s="13"/>
      <c r="AV218" s="13"/>
      <c r="AW218" s="90"/>
      <c r="AX218" s="13"/>
      <c r="AY218" s="13"/>
      <c r="AZ218" s="90"/>
      <c r="BA218" s="13"/>
      <c r="BB218" s="13"/>
      <c r="BC218" s="90"/>
      <c r="BD218" s="13"/>
      <c r="BE218" s="13"/>
      <c r="BF218" s="13"/>
      <c r="BG218" s="90"/>
      <c r="BH218" s="13"/>
      <c r="BI218" s="13"/>
      <c r="BJ218" s="90"/>
      <c r="BK218" s="13"/>
      <c r="BL218" s="13"/>
      <c r="BM218" s="13"/>
      <c r="BN218" s="90"/>
      <c r="BO218" s="13"/>
      <c r="BP218" s="13"/>
      <c r="BQ218" s="90"/>
      <c r="BR218" s="13"/>
      <c r="BS218" s="13"/>
      <c r="BT218" s="13"/>
      <c r="BU218" s="90"/>
      <c r="BV218" s="13"/>
      <c r="BW218" s="13"/>
      <c r="BX218" s="90"/>
      <c r="BY218" s="13"/>
      <c r="BZ218" s="13"/>
      <c r="CA218" s="90"/>
      <c r="CB218" s="13"/>
      <c r="CC218" s="13"/>
      <c r="CD218" s="13"/>
      <c r="CE218" s="90"/>
      <c r="CF218" s="13"/>
      <c r="CG218" s="13"/>
      <c r="CH218" s="90"/>
      <c r="CI218" s="13"/>
      <c r="CJ218" s="13"/>
      <c r="CK218" s="13"/>
      <c r="CL218" s="90"/>
      <c r="CM218" s="13"/>
      <c r="CN218" s="13"/>
      <c r="CO218" s="90"/>
      <c r="CP218" s="13"/>
      <c r="CQ218" s="13"/>
      <c r="CR218" s="13"/>
      <c r="CS218" s="90"/>
      <c r="CT218" s="13"/>
      <c r="CU218" s="13"/>
      <c r="CV218" s="90"/>
      <c r="CW218" s="13"/>
      <c r="CX218" s="13"/>
    </row>
    <row r="219" spans="2:102" s="2" customFormat="1" x14ac:dyDescent="0.25">
      <c r="B219" s="11"/>
      <c r="C219" s="13"/>
      <c r="D219" s="13"/>
      <c r="E219" s="11"/>
      <c r="F219" s="13"/>
      <c r="G219" s="13"/>
      <c r="H219" s="90"/>
      <c r="I219" s="13"/>
      <c r="J219" s="13"/>
      <c r="K219" s="13"/>
      <c r="L219" s="90"/>
      <c r="M219" s="13"/>
      <c r="N219" s="13"/>
      <c r="O219" s="90"/>
      <c r="P219" s="13"/>
      <c r="Q219" s="13"/>
      <c r="R219" s="13"/>
      <c r="S219" s="90"/>
      <c r="T219" s="13"/>
      <c r="U219" s="13"/>
      <c r="V219" s="90"/>
      <c r="W219" s="13"/>
      <c r="X219" s="13"/>
      <c r="Y219" s="90"/>
      <c r="Z219" s="13"/>
      <c r="AA219" s="13"/>
      <c r="AB219" s="13"/>
      <c r="AC219" s="90"/>
      <c r="AD219" s="13"/>
      <c r="AE219" s="13"/>
      <c r="AF219" s="90"/>
      <c r="AG219" s="13"/>
      <c r="AH219" s="13"/>
      <c r="AI219" s="13"/>
      <c r="AJ219" s="90"/>
      <c r="AK219" s="13"/>
      <c r="AL219" s="13"/>
      <c r="AM219" s="90"/>
      <c r="AN219" s="13"/>
      <c r="AO219" s="13"/>
      <c r="AP219" s="13"/>
      <c r="AQ219" s="90"/>
      <c r="AR219" s="13"/>
      <c r="AS219" s="13"/>
      <c r="AT219" s="90"/>
      <c r="AU219" s="13"/>
      <c r="AV219" s="13"/>
      <c r="AW219" s="90"/>
      <c r="AX219" s="13"/>
      <c r="AY219" s="13"/>
      <c r="AZ219" s="90"/>
      <c r="BA219" s="13"/>
      <c r="BB219" s="13"/>
      <c r="BC219" s="90"/>
      <c r="BD219" s="13"/>
      <c r="BE219" s="13"/>
      <c r="BF219" s="13"/>
      <c r="BG219" s="90"/>
      <c r="BH219" s="13"/>
      <c r="BI219" s="13"/>
      <c r="BJ219" s="90"/>
      <c r="BK219" s="13"/>
      <c r="BL219" s="13"/>
      <c r="BM219" s="13"/>
      <c r="BN219" s="90"/>
      <c r="BO219" s="13"/>
      <c r="BP219" s="13"/>
      <c r="BQ219" s="90"/>
      <c r="BR219" s="13"/>
      <c r="BS219" s="13"/>
      <c r="BT219" s="13"/>
      <c r="BU219" s="90"/>
      <c r="BV219" s="13"/>
      <c r="BW219" s="13"/>
      <c r="BX219" s="90"/>
      <c r="BY219" s="13"/>
      <c r="BZ219" s="13"/>
      <c r="CA219" s="90"/>
      <c r="CB219" s="13"/>
      <c r="CC219" s="13"/>
      <c r="CD219" s="13"/>
      <c r="CE219" s="90"/>
      <c r="CF219" s="13"/>
      <c r="CG219" s="13"/>
      <c r="CH219" s="90"/>
      <c r="CI219" s="13"/>
      <c r="CJ219" s="13"/>
      <c r="CK219" s="13"/>
      <c r="CL219" s="90"/>
      <c r="CM219" s="13"/>
      <c r="CN219" s="13"/>
      <c r="CO219" s="90"/>
      <c r="CP219" s="13"/>
      <c r="CQ219" s="13"/>
      <c r="CR219" s="13"/>
      <c r="CS219" s="90"/>
      <c r="CT219" s="13"/>
      <c r="CU219" s="13"/>
      <c r="CV219" s="90"/>
      <c r="CW219" s="13"/>
      <c r="CX219" s="13"/>
    </row>
    <row r="220" spans="2:102" s="2" customFormat="1" x14ac:dyDescent="0.25">
      <c r="B220" s="11"/>
      <c r="C220" s="13"/>
      <c r="D220" s="13"/>
      <c r="E220" s="11"/>
      <c r="F220" s="13"/>
      <c r="G220" s="13"/>
      <c r="H220" s="90"/>
      <c r="I220" s="13"/>
      <c r="J220" s="13"/>
      <c r="K220" s="13"/>
      <c r="L220" s="90"/>
      <c r="M220" s="13"/>
      <c r="N220" s="13"/>
      <c r="O220" s="90"/>
      <c r="P220" s="13"/>
      <c r="Q220" s="13"/>
      <c r="R220" s="13"/>
      <c r="S220" s="90"/>
      <c r="T220" s="13"/>
      <c r="U220" s="13"/>
      <c r="V220" s="90"/>
      <c r="W220" s="13"/>
      <c r="X220" s="13"/>
      <c r="Y220" s="90"/>
      <c r="Z220" s="13"/>
      <c r="AA220" s="13"/>
      <c r="AB220" s="13"/>
      <c r="AC220" s="90"/>
      <c r="AD220" s="13"/>
      <c r="AE220" s="13"/>
      <c r="AF220" s="90"/>
      <c r="AG220" s="13"/>
      <c r="AH220" s="13"/>
      <c r="AI220" s="13"/>
      <c r="AJ220" s="90"/>
      <c r="AK220" s="13"/>
      <c r="AL220" s="13"/>
      <c r="AM220" s="90"/>
      <c r="AN220" s="13"/>
      <c r="AO220" s="13"/>
      <c r="AP220" s="13"/>
      <c r="AQ220" s="90"/>
      <c r="AR220" s="13"/>
      <c r="AS220" s="13"/>
      <c r="AT220" s="90"/>
      <c r="AU220" s="13"/>
      <c r="AV220" s="13"/>
      <c r="AW220" s="90"/>
      <c r="AX220" s="13"/>
      <c r="AY220" s="13"/>
      <c r="AZ220" s="90"/>
      <c r="BA220" s="13"/>
      <c r="BB220" s="13"/>
      <c r="BC220" s="90"/>
      <c r="BD220" s="13"/>
      <c r="BE220" s="13"/>
      <c r="BF220" s="13"/>
      <c r="BG220" s="90"/>
      <c r="BH220" s="13"/>
      <c r="BI220" s="13"/>
      <c r="BJ220" s="90"/>
      <c r="BK220" s="13"/>
      <c r="BL220" s="13"/>
      <c r="BM220" s="13"/>
      <c r="BN220" s="90"/>
      <c r="BO220" s="13"/>
      <c r="BP220" s="13"/>
      <c r="BQ220" s="90"/>
      <c r="BR220" s="13"/>
      <c r="BS220" s="13"/>
      <c r="BT220" s="13"/>
      <c r="BU220" s="90"/>
      <c r="BV220" s="13"/>
      <c r="BW220" s="13"/>
      <c r="BX220" s="90"/>
      <c r="BY220" s="13"/>
      <c r="BZ220" s="13"/>
      <c r="CA220" s="90"/>
      <c r="CB220" s="13"/>
      <c r="CC220" s="13"/>
      <c r="CD220" s="13"/>
      <c r="CE220" s="90"/>
      <c r="CF220" s="13"/>
      <c r="CG220" s="13"/>
      <c r="CH220" s="90"/>
      <c r="CI220" s="13"/>
      <c r="CJ220" s="13"/>
      <c r="CK220" s="13"/>
      <c r="CL220" s="90"/>
      <c r="CM220" s="13"/>
      <c r="CN220" s="13"/>
      <c r="CO220" s="90"/>
      <c r="CP220" s="13"/>
      <c r="CQ220" s="13"/>
      <c r="CR220" s="13"/>
      <c r="CS220" s="90"/>
      <c r="CT220" s="13"/>
      <c r="CU220" s="13"/>
      <c r="CV220" s="90"/>
      <c r="CW220" s="13"/>
      <c r="CX220" s="13"/>
    </row>
    <row r="223" spans="2:102" x14ac:dyDescent="0.25">
      <c r="I223" s="191"/>
    </row>
  </sheetData>
  <mergeCells count="1">
    <mergeCell ref="B2:CX2"/>
  </mergeCells>
  <conditionalFormatting sqref="C5 C9">
    <cfRule type="expression" dxfId="2466" priority="5577">
      <formula>B5&lt;0</formula>
    </cfRule>
  </conditionalFormatting>
  <conditionalFormatting sqref="C5:C20">
    <cfRule type="expression" dxfId="2465" priority="4101">
      <formula>IF(C5="Validar","Rojo","Verde")</formula>
    </cfRule>
    <cfRule type="expression" priority="4102">
      <formula>#REF!</formula>
    </cfRule>
  </conditionalFormatting>
  <conditionalFormatting sqref="C6">
    <cfRule type="expression" dxfId="2464" priority="4108">
      <formula>B6&lt;0</formula>
    </cfRule>
    <cfRule type="colorScale" priority="4107">
      <colorScale>
        <cfvo type="min"/>
        <cfvo type="max"/>
        <color theme="0"/>
        <color theme="0"/>
      </colorScale>
    </cfRule>
  </conditionalFormatting>
  <conditionalFormatting sqref="C7:C8">
    <cfRule type="expression" dxfId="2463" priority="4104">
      <formula>B7&lt;0</formula>
    </cfRule>
    <cfRule type="colorScale" priority="4103">
      <colorScale>
        <cfvo type="min"/>
        <cfvo type="max"/>
        <color theme="0"/>
        <color theme="0"/>
      </colorScale>
    </cfRule>
  </conditionalFormatting>
  <conditionalFormatting sqref="C9 C5">
    <cfRule type="colorScale" priority="5576">
      <colorScale>
        <cfvo type="min"/>
        <cfvo type="max"/>
        <color theme="0"/>
        <color theme="0"/>
      </colorScale>
    </cfRule>
  </conditionalFormatting>
  <conditionalFormatting sqref="C10">
    <cfRule type="colorScale" priority="5553">
      <colorScale>
        <cfvo type="min"/>
        <cfvo type="max"/>
        <color theme="0"/>
        <color theme="0"/>
      </colorScale>
    </cfRule>
    <cfRule type="expression" dxfId="2462" priority="5554">
      <formula>B10&lt;0</formula>
    </cfRule>
  </conditionalFormatting>
  <conditionalFormatting sqref="C11:C14">
    <cfRule type="colorScale" priority="5574">
      <colorScale>
        <cfvo type="min"/>
        <cfvo type="max"/>
        <color theme="0"/>
        <color theme="0"/>
      </colorScale>
    </cfRule>
    <cfRule type="expression" dxfId="2461" priority="5575">
      <formula>B11&lt;0</formula>
    </cfRule>
  </conditionalFormatting>
  <conditionalFormatting sqref="C15">
    <cfRule type="colorScale" priority="5551">
      <colorScale>
        <cfvo type="min"/>
        <cfvo type="max"/>
        <color theme="0"/>
        <color theme="0"/>
      </colorScale>
    </cfRule>
    <cfRule type="expression" dxfId="2460" priority="5552">
      <formula>B15&lt;0</formula>
    </cfRule>
  </conditionalFormatting>
  <conditionalFormatting sqref="C16:C17">
    <cfRule type="colorScale" priority="5572">
      <colorScale>
        <cfvo type="min"/>
        <cfvo type="max"/>
        <color theme="0"/>
        <color theme="0"/>
      </colorScale>
    </cfRule>
    <cfRule type="expression" dxfId="2459" priority="5573">
      <formula>B16&lt;0</formula>
    </cfRule>
  </conditionalFormatting>
  <conditionalFormatting sqref="C18">
    <cfRule type="colorScale" priority="5548">
      <colorScale>
        <cfvo type="min"/>
        <cfvo type="max"/>
        <color theme="0"/>
        <color theme="0"/>
      </colorScale>
    </cfRule>
    <cfRule type="expression" dxfId="2458" priority="5550">
      <formula>B18&lt;0</formula>
    </cfRule>
  </conditionalFormatting>
  <conditionalFormatting sqref="C19:C20">
    <cfRule type="colorScale" priority="5570">
      <colorScale>
        <cfvo type="min"/>
        <cfvo type="max"/>
        <color theme="0"/>
        <color theme="0"/>
      </colorScale>
    </cfRule>
    <cfRule type="expression" dxfId="2457" priority="5571">
      <formula>B19&lt;0</formula>
    </cfRule>
  </conditionalFormatting>
  <conditionalFormatting sqref="C23">
    <cfRule type="colorScale" priority="5545">
      <colorScale>
        <cfvo type="min"/>
        <cfvo type="max"/>
        <color theme="0"/>
        <color theme="0"/>
      </colorScale>
    </cfRule>
    <cfRule type="expression" dxfId="2456" priority="5546">
      <formula>B23&lt;0</formula>
    </cfRule>
  </conditionalFormatting>
  <conditionalFormatting sqref="C23:C31">
    <cfRule type="expression" priority="5541">
      <formula>#REF!</formula>
    </cfRule>
    <cfRule type="expression" dxfId="2455" priority="5539">
      <formula>IF(C23="Validar","Rojo","Verde")</formula>
    </cfRule>
  </conditionalFormatting>
  <conditionalFormatting sqref="C24">
    <cfRule type="colorScale" priority="5568">
      <colorScale>
        <cfvo type="min"/>
        <cfvo type="max"/>
        <color theme="0"/>
        <color theme="0"/>
      </colorScale>
    </cfRule>
    <cfRule type="expression" dxfId="2454" priority="5569">
      <formula>B24&lt;0</formula>
    </cfRule>
  </conditionalFormatting>
  <conditionalFormatting sqref="C25">
    <cfRule type="colorScale" priority="5566">
      <colorScale>
        <cfvo type="min"/>
        <cfvo type="max"/>
        <color theme="0"/>
        <color theme="0"/>
      </colorScale>
    </cfRule>
    <cfRule type="expression" dxfId="2453" priority="5567">
      <formula>B25&lt;0</formula>
    </cfRule>
  </conditionalFormatting>
  <conditionalFormatting sqref="C26">
    <cfRule type="expression" dxfId="2452" priority="5544">
      <formula>B26&lt;0</formula>
    </cfRule>
    <cfRule type="colorScale" priority="5543">
      <colorScale>
        <cfvo type="min"/>
        <cfvo type="max"/>
        <color theme="0"/>
        <color theme="0"/>
      </colorScale>
    </cfRule>
  </conditionalFormatting>
  <conditionalFormatting sqref="C27">
    <cfRule type="colorScale" priority="5564">
      <colorScale>
        <cfvo type="min"/>
        <cfvo type="max"/>
        <color theme="0"/>
        <color theme="0"/>
      </colorScale>
    </cfRule>
    <cfRule type="expression" dxfId="2451" priority="5565">
      <formula>B27&lt;0</formula>
    </cfRule>
  </conditionalFormatting>
  <conditionalFormatting sqref="C28">
    <cfRule type="expression" dxfId="2450" priority="5563">
      <formula>B28&lt;0</formula>
    </cfRule>
    <cfRule type="colorScale" priority="5562">
      <colorScale>
        <cfvo type="min"/>
        <cfvo type="max"/>
        <color theme="0"/>
        <color theme="0"/>
      </colorScale>
    </cfRule>
  </conditionalFormatting>
  <conditionalFormatting sqref="C29">
    <cfRule type="expression" dxfId="2449" priority="5542">
      <formula>B29&lt;0</formula>
    </cfRule>
    <cfRule type="colorScale" priority="5540">
      <colorScale>
        <cfvo type="min"/>
        <cfvo type="max"/>
        <color theme="0"/>
        <color theme="0"/>
      </colorScale>
    </cfRule>
  </conditionalFormatting>
  <conditionalFormatting sqref="C30">
    <cfRule type="expression" dxfId="2448" priority="5561">
      <formula>B30&lt;0</formula>
    </cfRule>
    <cfRule type="colorScale" priority="5560">
      <colorScale>
        <cfvo type="min"/>
        <cfvo type="max"/>
        <color theme="0"/>
        <color theme="0"/>
      </colorScale>
    </cfRule>
  </conditionalFormatting>
  <conditionalFormatting sqref="C31">
    <cfRule type="expression" dxfId="2447" priority="5559">
      <formula>B31&lt;0</formula>
    </cfRule>
    <cfRule type="colorScale" priority="5558">
      <colorScale>
        <cfvo type="min"/>
        <cfvo type="max"/>
        <color theme="0"/>
        <color theme="0"/>
      </colorScale>
    </cfRule>
  </conditionalFormatting>
  <conditionalFormatting sqref="C39">
    <cfRule type="colorScale" priority="5536">
      <colorScale>
        <cfvo type="min"/>
        <cfvo type="max"/>
        <color theme="0"/>
        <color theme="0"/>
      </colorScale>
    </cfRule>
    <cfRule type="expression" dxfId="2446" priority="5538">
      <formula>B39&lt;0</formula>
    </cfRule>
    <cfRule type="expression" priority="5537">
      <formula>#REF!</formula>
    </cfRule>
  </conditionalFormatting>
  <conditionalFormatting sqref="C39:C107">
    <cfRule type="expression" dxfId="2445" priority="5391">
      <formula>IF(C39="Validar","Rojo","Verde")</formula>
    </cfRule>
  </conditionalFormatting>
  <conditionalFormatting sqref="C40:C67">
    <cfRule type="expression" dxfId="2444" priority="5557">
      <formula>B40&lt;0</formula>
    </cfRule>
    <cfRule type="expression" priority="5556">
      <formula>$F$19</formula>
    </cfRule>
    <cfRule type="colorScale" priority="5555">
      <colorScale>
        <cfvo type="min"/>
        <cfvo type="max"/>
        <color theme="0"/>
        <color theme="0"/>
      </colorScale>
    </cfRule>
  </conditionalFormatting>
  <conditionalFormatting sqref="C68">
    <cfRule type="expression" dxfId="2443" priority="5535">
      <formula>B68&lt;0</formula>
    </cfRule>
    <cfRule type="expression" priority="5534">
      <formula>#REF!</formula>
    </cfRule>
    <cfRule type="colorScale" priority="5533">
      <colorScale>
        <cfvo type="min"/>
        <cfvo type="max"/>
        <color theme="0"/>
        <color theme="0"/>
      </colorScale>
    </cfRule>
  </conditionalFormatting>
  <conditionalFormatting sqref="C69:C81">
    <cfRule type="expression" priority="5581">
      <formula>$F$19</formula>
    </cfRule>
    <cfRule type="expression" dxfId="2442" priority="5582">
      <formula>B69&lt;0</formula>
    </cfRule>
    <cfRule type="colorScale" priority="5580">
      <colorScale>
        <cfvo type="min"/>
        <cfvo type="max"/>
        <color theme="0"/>
        <color theme="0"/>
      </colorScale>
    </cfRule>
  </conditionalFormatting>
  <conditionalFormatting sqref="C82 C92 C103 C107">
    <cfRule type="expression" dxfId="2441" priority="5579">
      <formula>B82&lt;0</formula>
    </cfRule>
  </conditionalFormatting>
  <conditionalFormatting sqref="C83">
    <cfRule type="expression" dxfId="2440" priority="5394">
      <formula>B83&lt;0</formula>
    </cfRule>
    <cfRule type="expression" priority="5393">
      <formula>#REF!</formula>
    </cfRule>
    <cfRule type="colorScale" priority="5392">
      <colorScale>
        <cfvo type="min"/>
        <cfvo type="max"/>
        <color theme="0"/>
        <color theme="0"/>
      </colorScale>
    </cfRule>
  </conditionalFormatting>
  <conditionalFormatting sqref="C84:C91">
    <cfRule type="colorScale" priority="5583">
      <colorScale>
        <cfvo type="min"/>
        <cfvo type="max"/>
        <color theme="0"/>
        <color theme="0"/>
      </colorScale>
    </cfRule>
    <cfRule type="expression" priority="5584">
      <formula>$F$19</formula>
    </cfRule>
    <cfRule type="expression" dxfId="2439" priority="5585">
      <formula>B84&lt;0</formula>
    </cfRule>
  </conditionalFormatting>
  <conditionalFormatting sqref="C92 C82 C103 C107">
    <cfRule type="colorScale" priority="5578">
      <colorScale>
        <cfvo type="min"/>
        <cfvo type="max"/>
        <color theme="0"/>
        <color theme="0"/>
      </colorScale>
    </cfRule>
  </conditionalFormatting>
  <conditionalFormatting sqref="C93">
    <cfRule type="expression" dxfId="2438" priority="5532">
      <formula>B93&lt;0</formula>
    </cfRule>
    <cfRule type="expression" priority="5531">
      <formula>#REF!</formula>
    </cfRule>
    <cfRule type="colorScale" priority="5530">
      <colorScale>
        <cfvo type="min"/>
        <cfvo type="max"/>
        <color theme="0"/>
        <color theme="0"/>
      </colorScale>
    </cfRule>
  </conditionalFormatting>
  <conditionalFormatting sqref="C94:C102">
    <cfRule type="colorScale" priority="5586">
      <colorScale>
        <cfvo type="min"/>
        <cfvo type="max"/>
        <color theme="0"/>
        <color theme="0"/>
      </colorScale>
    </cfRule>
    <cfRule type="expression" priority="5587">
      <formula>$F$19</formula>
    </cfRule>
    <cfRule type="expression" dxfId="2437" priority="5588">
      <formula>B94&lt;0</formula>
    </cfRule>
  </conditionalFormatting>
  <conditionalFormatting sqref="C104">
    <cfRule type="expression" dxfId="2436" priority="5529">
      <formula>B104&lt;0</formula>
    </cfRule>
    <cfRule type="expression" priority="5528">
      <formula>#REF!</formula>
    </cfRule>
    <cfRule type="colorScale" priority="5527">
      <colorScale>
        <cfvo type="min"/>
        <cfvo type="max"/>
        <color theme="0"/>
        <color theme="0"/>
      </colorScale>
    </cfRule>
  </conditionalFormatting>
  <conditionalFormatting sqref="C105:C106">
    <cfRule type="expression" priority="5590">
      <formula>$F$19</formula>
    </cfRule>
    <cfRule type="colorScale" priority="5589">
      <colorScale>
        <cfvo type="min"/>
        <cfvo type="max"/>
        <color theme="0"/>
        <color theme="0"/>
      </colorScale>
    </cfRule>
    <cfRule type="expression" dxfId="2435" priority="5591">
      <formula>B105&lt;0</formula>
    </cfRule>
  </conditionalFormatting>
  <conditionalFormatting sqref="C110">
    <cfRule type="colorScale" priority="5592">
      <colorScale>
        <cfvo type="min"/>
        <cfvo type="max"/>
        <color theme="0"/>
        <color theme="0"/>
      </colorScale>
    </cfRule>
    <cfRule type="expression" dxfId="2434" priority="5593">
      <formula>B110&lt;0</formula>
    </cfRule>
  </conditionalFormatting>
  <conditionalFormatting sqref="C110:C111">
    <cfRule type="expression" priority="5375">
      <formula>$F$19</formula>
    </cfRule>
  </conditionalFormatting>
  <conditionalFormatting sqref="C111">
    <cfRule type="expression" dxfId="2433" priority="5376">
      <formula>B111&lt;0</formula>
    </cfRule>
    <cfRule type="colorScale" priority="5374">
      <colorScale>
        <cfvo type="min"/>
        <cfvo type="max"/>
        <color theme="0"/>
        <color theme="0"/>
      </colorScale>
    </cfRule>
  </conditionalFormatting>
  <conditionalFormatting sqref="C117:C123">
    <cfRule type="expression" priority="5598">
      <formula>$F$19</formula>
    </cfRule>
    <cfRule type="expression" dxfId="2432" priority="5599">
      <formula>B117&lt;0</formula>
    </cfRule>
    <cfRule type="colorScale" priority="5597">
      <colorScale>
        <cfvo type="min"/>
        <cfvo type="max"/>
        <color theme="0"/>
        <color theme="0"/>
      </colorScale>
    </cfRule>
  </conditionalFormatting>
  <conditionalFormatting sqref="C125">
    <cfRule type="colorScale" priority="5524">
      <colorScale>
        <cfvo type="min"/>
        <cfvo type="max"/>
        <color theme="0"/>
        <color theme="0"/>
      </colorScale>
    </cfRule>
    <cfRule type="expression" dxfId="2431" priority="5526">
      <formula>B125&lt;0</formula>
    </cfRule>
    <cfRule type="expression" priority="5525">
      <formula>#REF!</formula>
    </cfRule>
  </conditionalFormatting>
  <conditionalFormatting sqref="C125:C135">
    <cfRule type="expression" dxfId="2430" priority="5523">
      <formula>IF(C125="Validar","Rojo","Verde")</formula>
    </cfRule>
  </conditionalFormatting>
  <conditionalFormatting sqref="C126:C132">
    <cfRule type="colorScale" priority="5600">
      <colorScale>
        <cfvo type="min"/>
        <cfvo type="max"/>
        <color theme="0"/>
        <color theme="0"/>
      </colorScale>
    </cfRule>
    <cfRule type="expression" dxfId="2429" priority="5602">
      <formula>B126&lt;0</formula>
    </cfRule>
  </conditionalFormatting>
  <conditionalFormatting sqref="C126:C134">
    <cfRule type="expression" priority="5601">
      <formula>$F$19</formula>
    </cfRule>
  </conditionalFormatting>
  <conditionalFormatting sqref="C133:C134">
    <cfRule type="colorScale" priority="5603">
      <colorScale>
        <cfvo type="min"/>
        <cfvo type="max"/>
        <color theme="0"/>
        <color theme="0"/>
      </colorScale>
    </cfRule>
    <cfRule type="expression" dxfId="2428" priority="5604">
      <formula>B133&lt;0</formula>
    </cfRule>
  </conditionalFormatting>
  <conditionalFormatting sqref="C135">
    <cfRule type="expression" priority="5595">
      <formula>$F$23</formula>
    </cfRule>
    <cfRule type="colorScale" priority="5594">
      <colorScale>
        <cfvo type="min"/>
        <cfvo type="max"/>
        <color theme="0"/>
        <color theme="0"/>
      </colorScale>
    </cfRule>
    <cfRule type="expression" dxfId="2427" priority="5596">
      <formula>B135&lt;0</formula>
    </cfRule>
  </conditionalFormatting>
  <conditionalFormatting sqref="C110:D111">
    <cfRule type="expression" dxfId="2426" priority="5370">
      <formula>IF(C110="Validar","Rojo","Verde")</formula>
    </cfRule>
  </conditionalFormatting>
  <conditionalFormatting sqref="C117:D123">
    <cfRule type="expression" dxfId="2425" priority="5480">
      <formula>IF(C117="Validar","Rojo","Verde")</formula>
    </cfRule>
  </conditionalFormatting>
  <conditionalFormatting sqref="D40:D66">
    <cfRule type="expression" priority="5516">
      <formula>#REF!</formula>
    </cfRule>
    <cfRule type="expression" dxfId="2424" priority="5517">
      <formula>C40&lt;0</formula>
    </cfRule>
    <cfRule type="colorScale" priority="5515">
      <colorScale>
        <cfvo type="min"/>
        <cfvo type="max"/>
        <color theme="0"/>
        <color theme="0"/>
      </colorScale>
    </cfRule>
  </conditionalFormatting>
  <conditionalFormatting sqref="D40:D67">
    <cfRule type="expression" dxfId="2423" priority="5514">
      <formula>IF(D40="Validar","Rojo","Verde")</formula>
    </cfRule>
  </conditionalFormatting>
  <conditionalFormatting sqref="D67 C82:D82 C92:D92 C103:D103 C107:D107">
    <cfRule type="expression" priority="5519">
      <formula>$F$23</formula>
    </cfRule>
  </conditionalFormatting>
  <conditionalFormatting sqref="D67 D82 D92 D103 D107">
    <cfRule type="expression" dxfId="2422" priority="5520">
      <formula>C67&lt;0</formula>
    </cfRule>
  </conditionalFormatting>
  <conditionalFormatting sqref="D69">
    <cfRule type="expression" dxfId="2421" priority="5513">
      <formula>C69&lt;0</formula>
    </cfRule>
    <cfRule type="colorScale" priority="5512">
      <colorScale>
        <cfvo type="min"/>
        <cfvo type="max"/>
        <color theme="0"/>
        <color theme="0"/>
      </colorScale>
    </cfRule>
  </conditionalFormatting>
  <conditionalFormatting sqref="D69:D81">
    <cfRule type="expression" priority="5510">
      <formula>#REF!</formula>
    </cfRule>
  </conditionalFormatting>
  <conditionalFormatting sqref="D69:D82">
    <cfRule type="expression" dxfId="2420" priority="5508">
      <formula>IF(D69="Validar","Rojo","Verde")</formula>
    </cfRule>
  </conditionalFormatting>
  <conditionalFormatting sqref="D70:D78">
    <cfRule type="colorScale" priority="5509">
      <colorScale>
        <cfvo type="min"/>
        <cfvo type="max"/>
        <color theme="0"/>
        <color theme="0"/>
      </colorScale>
    </cfRule>
    <cfRule type="expression" dxfId="2419" priority="5511">
      <formula>C70&lt;0</formula>
    </cfRule>
  </conditionalFormatting>
  <conditionalFormatting sqref="D79:D81">
    <cfRule type="expression" dxfId="2418" priority="5522">
      <formula>C79&lt;0</formula>
    </cfRule>
    <cfRule type="colorScale" priority="5521">
      <colorScale>
        <cfvo type="min"/>
        <cfvo type="max"/>
        <color theme="0"/>
        <color theme="0"/>
      </colorScale>
    </cfRule>
  </conditionalFormatting>
  <conditionalFormatting sqref="D82 D67 D92 D103 D107">
    <cfRule type="colorScale" priority="5518">
      <colorScale>
        <cfvo type="min"/>
        <cfvo type="max"/>
        <color theme="0"/>
        <color theme="0"/>
      </colorScale>
    </cfRule>
  </conditionalFormatting>
  <conditionalFormatting sqref="D84">
    <cfRule type="colorScale" priority="5506">
      <colorScale>
        <cfvo type="min"/>
        <cfvo type="max"/>
        <color theme="0"/>
        <color theme="0"/>
      </colorScale>
    </cfRule>
    <cfRule type="expression" dxfId="2417" priority="5507">
      <formula>C84&lt;0</formula>
    </cfRule>
  </conditionalFormatting>
  <conditionalFormatting sqref="D84:D91">
    <cfRule type="expression" priority="5504">
      <formula>#REF!</formula>
    </cfRule>
  </conditionalFormatting>
  <conditionalFormatting sqref="D84:D92">
    <cfRule type="expression" dxfId="2416" priority="5502">
      <formula>IF(D84="Validar","Rojo","Verde")</formula>
    </cfRule>
  </conditionalFormatting>
  <conditionalFormatting sqref="D85:D91">
    <cfRule type="expression" dxfId="2415" priority="5505">
      <formula>C85&lt;0</formula>
    </cfRule>
    <cfRule type="colorScale" priority="5503">
      <colorScale>
        <cfvo type="min"/>
        <cfvo type="max"/>
        <color theme="0"/>
        <color theme="0"/>
      </colorScale>
    </cfRule>
  </conditionalFormatting>
  <conditionalFormatting sqref="D94">
    <cfRule type="colorScale" priority="5500">
      <colorScale>
        <cfvo type="min"/>
        <cfvo type="max"/>
        <color theme="0"/>
        <color theme="0"/>
      </colorScale>
    </cfRule>
    <cfRule type="expression" dxfId="2414" priority="5501">
      <formula>C94&lt;0</formula>
    </cfRule>
  </conditionalFormatting>
  <conditionalFormatting sqref="D94:D102">
    <cfRule type="expression" priority="5494">
      <formula>#REF!</formula>
    </cfRule>
  </conditionalFormatting>
  <conditionalFormatting sqref="D94:D103">
    <cfRule type="expression" dxfId="2413" priority="5492">
      <formula>IF(D94="Validar","Rojo","Verde")</formula>
    </cfRule>
  </conditionalFormatting>
  <conditionalFormatting sqref="D95:D100">
    <cfRule type="expression" dxfId="2412" priority="5499">
      <formula>C95&lt;0</formula>
    </cfRule>
    <cfRule type="colorScale" priority="5498">
      <colorScale>
        <cfvo type="min"/>
        <cfvo type="max"/>
        <color theme="0"/>
        <color theme="0"/>
      </colorScale>
    </cfRule>
  </conditionalFormatting>
  <conditionalFormatting sqref="D101">
    <cfRule type="expression" dxfId="2411" priority="5497">
      <formula>C101&lt;0</formula>
    </cfRule>
    <cfRule type="colorScale" priority="5496">
      <colorScale>
        <cfvo type="min"/>
        <cfvo type="max"/>
        <color theme="0"/>
        <color theme="0"/>
      </colorScale>
    </cfRule>
  </conditionalFormatting>
  <conditionalFormatting sqref="D102">
    <cfRule type="expression" dxfId="2410" priority="5495">
      <formula>C102&lt;0</formula>
    </cfRule>
    <cfRule type="colorScale" priority="5493">
      <colorScale>
        <cfvo type="min"/>
        <cfvo type="max"/>
        <color theme="0"/>
        <color theme="0"/>
      </colorScale>
    </cfRule>
  </conditionalFormatting>
  <conditionalFormatting sqref="D105">
    <cfRule type="colorScale" priority="5490">
      <colorScale>
        <cfvo type="min"/>
        <cfvo type="max"/>
        <color theme="0"/>
        <color theme="0"/>
      </colorScale>
    </cfRule>
    <cfRule type="expression" dxfId="2409" priority="5491">
      <formula>C105&lt;0</formula>
    </cfRule>
  </conditionalFormatting>
  <conditionalFormatting sqref="D105:D106">
    <cfRule type="expression" priority="5488">
      <formula>#REF!</formula>
    </cfRule>
  </conditionalFormatting>
  <conditionalFormatting sqref="D105:D107">
    <cfRule type="expression" dxfId="2408" priority="5486">
      <formula>IF(D105="Validar","Rojo","Verde")</formula>
    </cfRule>
  </conditionalFormatting>
  <conditionalFormatting sqref="D106">
    <cfRule type="colorScale" priority="5487">
      <colorScale>
        <cfvo type="min"/>
        <cfvo type="max"/>
        <color theme="0"/>
        <color theme="0"/>
      </colorScale>
    </cfRule>
    <cfRule type="expression" dxfId="2407" priority="5489">
      <formula>C106&lt;0</formula>
    </cfRule>
  </conditionalFormatting>
  <conditionalFormatting sqref="D110">
    <cfRule type="colorScale" priority="5478">
      <colorScale>
        <cfvo type="min"/>
        <cfvo type="max"/>
        <color theme="0"/>
        <color theme="0"/>
      </colorScale>
    </cfRule>
    <cfRule type="expression" dxfId="2406" priority="5479">
      <formula>C110&lt;0</formula>
    </cfRule>
  </conditionalFormatting>
  <conditionalFormatting sqref="D110:D111">
    <cfRule type="expression" priority="5372">
      <formula>#REF!</formula>
    </cfRule>
  </conditionalFormatting>
  <conditionalFormatting sqref="D111">
    <cfRule type="colorScale" priority="5371">
      <colorScale>
        <cfvo type="min"/>
        <cfvo type="max"/>
        <color theme="0"/>
        <color theme="0"/>
      </colorScale>
    </cfRule>
    <cfRule type="expression" dxfId="2405" priority="5373">
      <formula>C111&lt;0</formula>
    </cfRule>
  </conditionalFormatting>
  <conditionalFormatting sqref="D117">
    <cfRule type="expression" dxfId="2404" priority="5485">
      <formula>C117&lt;0</formula>
    </cfRule>
    <cfRule type="colorScale" priority="5484">
      <colorScale>
        <cfvo type="min"/>
        <cfvo type="max"/>
        <color theme="0"/>
        <color theme="0"/>
      </colorScale>
    </cfRule>
  </conditionalFormatting>
  <conditionalFormatting sqref="D117:D123">
    <cfRule type="expression" priority="5482">
      <formula>#REF!</formula>
    </cfRule>
  </conditionalFormatting>
  <conditionalFormatting sqref="D118:D123">
    <cfRule type="expression" dxfId="2403" priority="5483">
      <formula>C118&lt;0</formula>
    </cfRule>
    <cfRule type="colorScale" priority="5481">
      <colorScale>
        <cfvo type="min"/>
        <cfvo type="max"/>
        <color theme="0"/>
        <color theme="0"/>
      </colorScale>
    </cfRule>
  </conditionalFormatting>
  <conditionalFormatting sqref="D126:D135">
    <cfRule type="expression" dxfId="2402" priority="5608">
      <formula>C126&lt;0</formula>
    </cfRule>
    <cfRule type="expression" priority="5607">
      <formula>$F$23</formula>
    </cfRule>
    <cfRule type="expression" dxfId="2401" priority="5605">
      <formula>IF(D126="Validar","Rojo","Verde")</formula>
    </cfRule>
    <cfRule type="colorScale" priority="5606">
      <colorScale>
        <cfvo type="min"/>
        <cfvo type="max"/>
        <color theme="0"/>
        <color theme="0"/>
      </colorScale>
    </cfRule>
  </conditionalFormatting>
  <conditionalFormatting sqref="F5 F9">
    <cfRule type="expression" dxfId="2400" priority="4069">
      <formula>E5&lt;0</formula>
    </cfRule>
  </conditionalFormatting>
  <conditionalFormatting sqref="F5:F20">
    <cfRule type="expression" priority="3952">
      <formula>#REF!</formula>
    </cfRule>
    <cfRule type="expression" dxfId="2399" priority="3951">
      <formula>IF(F5="Validar","Rojo","Verde")</formula>
    </cfRule>
  </conditionalFormatting>
  <conditionalFormatting sqref="F6">
    <cfRule type="expression" dxfId="2398" priority="3958">
      <formula>E6&lt;0</formula>
    </cfRule>
    <cfRule type="colorScale" priority="3957">
      <colorScale>
        <cfvo type="min"/>
        <cfvo type="max"/>
        <color theme="0"/>
        <color theme="0"/>
      </colorScale>
    </cfRule>
  </conditionalFormatting>
  <conditionalFormatting sqref="F7:F8">
    <cfRule type="colorScale" priority="3953">
      <colorScale>
        <cfvo type="min"/>
        <cfvo type="max"/>
        <color theme="0"/>
        <color theme="0"/>
      </colorScale>
    </cfRule>
    <cfRule type="expression" dxfId="2397" priority="3954">
      <formula>E7&lt;0</formula>
    </cfRule>
  </conditionalFormatting>
  <conditionalFormatting sqref="F9 F5">
    <cfRule type="colorScale" priority="4068">
      <colorScale>
        <cfvo type="min"/>
        <cfvo type="max"/>
        <color theme="0"/>
        <color theme="0"/>
      </colorScale>
    </cfRule>
  </conditionalFormatting>
  <conditionalFormatting sqref="F10">
    <cfRule type="expression" dxfId="2396" priority="4046">
      <formula>E10&lt;0</formula>
    </cfRule>
    <cfRule type="colorScale" priority="4045">
      <colorScale>
        <cfvo type="min"/>
        <cfvo type="max"/>
        <color theme="0"/>
        <color theme="0"/>
      </colorScale>
    </cfRule>
  </conditionalFormatting>
  <conditionalFormatting sqref="F11:F14">
    <cfRule type="expression" dxfId="2395" priority="4067">
      <formula>E11&lt;0</formula>
    </cfRule>
    <cfRule type="colorScale" priority="4066">
      <colorScale>
        <cfvo type="min"/>
        <cfvo type="max"/>
        <color theme="0"/>
        <color theme="0"/>
      </colorScale>
    </cfRule>
  </conditionalFormatting>
  <conditionalFormatting sqref="F15">
    <cfRule type="expression" dxfId="2394" priority="4044">
      <formula>E15&lt;0</formula>
    </cfRule>
    <cfRule type="colorScale" priority="4043">
      <colorScale>
        <cfvo type="min"/>
        <cfvo type="max"/>
        <color theme="0"/>
        <color theme="0"/>
      </colorScale>
    </cfRule>
  </conditionalFormatting>
  <conditionalFormatting sqref="F16:F17">
    <cfRule type="colorScale" priority="4064">
      <colorScale>
        <cfvo type="min"/>
        <cfvo type="max"/>
        <color theme="0"/>
        <color theme="0"/>
      </colorScale>
    </cfRule>
    <cfRule type="expression" dxfId="2393" priority="4065">
      <formula>E16&lt;0</formula>
    </cfRule>
  </conditionalFormatting>
  <conditionalFormatting sqref="F18">
    <cfRule type="expression" dxfId="2392" priority="4042">
      <formula>E18&lt;0</formula>
    </cfRule>
    <cfRule type="colorScale" priority="4040">
      <colorScale>
        <cfvo type="min"/>
        <cfvo type="max"/>
        <color theme="0"/>
        <color theme="0"/>
      </colorScale>
    </cfRule>
  </conditionalFormatting>
  <conditionalFormatting sqref="F19:F20">
    <cfRule type="expression" dxfId="2391" priority="4063">
      <formula>E19&lt;0</formula>
    </cfRule>
    <cfRule type="colorScale" priority="4062">
      <colorScale>
        <cfvo type="min"/>
        <cfvo type="max"/>
        <color theme="0"/>
        <color theme="0"/>
      </colorScale>
    </cfRule>
  </conditionalFormatting>
  <conditionalFormatting sqref="F23">
    <cfRule type="expression" dxfId="2390" priority="4038">
      <formula>E23&lt;0</formula>
    </cfRule>
    <cfRule type="colorScale" priority="4037">
      <colorScale>
        <cfvo type="min"/>
        <cfvo type="max"/>
        <color theme="0"/>
        <color theme="0"/>
      </colorScale>
    </cfRule>
  </conditionalFormatting>
  <conditionalFormatting sqref="F23:F31">
    <cfRule type="expression" priority="4033">
      <formula>#REF!</formula>
    </cfRule>
    <cfRule type="expression" dxfId="2389" priority="4031">
      <formula>IF(F23="Validar","Rojo","Verde")</formula>
    </cfRule>
  </conditionalFormatting>
  <conditionalFormatting sqref="F24">
    <cfRule type="expression" dxfId="2388" priority="4061">
      <formula>E24&lt;0</formula>
    </cfRule>
    <cfRule type="colorScale" priority="4060">
      <colorScale>
        <cfvo type="min"/>
        <cfvo type="max"/>
        <color theme="0"/>
        <color theme="0"/>
      </colorScale>
    </cfRule>
  </conditionalFormatting>
  <conditionalFormatting sqref="F25">
    <cfRule type="colorScale" priority="4058">
      <colorScale>
        <cfvo type="min"/>
        <cfvo type="max"/>
        <color theme="0"/>
        <color theme="0"/>
      </colorScale>
    </cfRule>
    <cfRule type="expression" dxfId="2387" priority="4059">
      <formula>E25&lt;0</formula>
    </cfRule>
  </conditionalFormatting>
  <conditionalFormatting sqref="F26">
    <cfRule type="expression" dxfId="2386" priority="4036">
      <formula>E26&lt;0</formula>
    </cfRule>
    <cfRule type="colorScale" priority="4035">
      <colorScale>
        <cfvo type="min"/>
        <cfvo type="max"/>
        <color theme="0"/>
        <color theme="0"/>
      </colorScale>
    </cfRule>
  </conditionalFormatting>
  <conditionalFormatting sqref="F27">
    <cfRule type="expression" dxfId="2385" priority="4057">
      <formula>E27&lt;0</formula>
    </cfRule>
    <cfRule type="colorScale" priority="4056">
      <colorScale>
        <cfvo type="min"/>
        <cfvo type="max"/>
        <color theme="0"/>
        <color theme="0"/>
      </colorScale>
    </cfRule>
  </conditionalFormatting>
  <conditionalFormatting sqref="F28">
    <cfRule type="expression" dxfId="2384" priority="4055">
      <formula>E28&lt;0</formula>
    </cfRule>
    <cfRule type="colorScale" priority="4054">
      <colorScale>
        <cfvo type="min"/>
        <cfvo type="max"/>
        <color theme="0"/>
        <color theme="0"/>
      </colorScale>
    </cfRule>
  </conditionalFormatting>
  <conditionalFormatting sqref="F29">
    <cfRule type="colorScale" priority="4032">
      <colorScale>
        <cfvo type="min"/>
        <cfvo type="max"/>
        <color theme="0"/>
        <color theme="0"/>
      </colorScale>
    </cfRule>
    <cfRule type="expression" dxfId="2383" priority="4034">
      <formula>E29&lt;0</formula>
    </cfRule>
  </conditionalFormatting>
  <conditionalFormatting sqref="F30">
    <cfRule type="expression" dxfId="2382" priority="4053">
      <formula>E30&lt;0</formula>
    </cfRule>
    <cfRule type="colorScale" priority="4052">
      <colorScale>
        <cfvo type="min"/>
        <cfvo type="max"/>
        <color theme="0"/>
        <color theme="0"/>
      </colorScale>
    </cfRule>
  </conditionalFormatting>
  <conditionalFormatting sqref="F31">
    <cfRule type="expression" dxfId="2381" priority="4051">
      <formula>E31&lt;0</formula>
    </cfRule>
    <cfRule type="colorScale" priority="4050">
      <colorScale>
        <cfvo type="min"/>
        <cfvo type="max"/>
        <color theme="0"/>
        <color theme="0"/>
      </colorScale>
    </cfRule>
  </conditionalFormatting>
  <conditionalFormatting sqref="F39">
    <cfRule type="expression" dxfId="2380" priority="4030">
      <formula>E39&lt;0</formula>
    </cfRule>
    <cfRule type="expression" priority="4029">
      <formula>#REF!</formula>
    </cfRule>
    <cfRule type="colorScale" priority="4028">
      <colorScale>
        <cfvo type="min"/>
        <cfvo type="max"/>
        <color theme="0"/>
        <color theme="0"/>
      </colorScale>
    </cfRule>
  </conditionalFormatting>
  <conditionalFormatting sqref="F39:F107">
    <cfRule type="expression" dxfId="2379" priority="3966">
      <formula>IF(F39="Validar","Rojo","Verde")</formula>
    </cfRule>
  </conditionalFormatting>
  <conditionalFormatting sqref="F40:F67">
    <cfRule type="expression" dxfId="2378" priority="4049">
      <formula>E40&lt;0</formula>
    </cfRule>
    <cfRule type="expression" priority="4048">
      <formula>$F$19</formula>
    </cfRule>
    <cfRule type="colorScale" priority="4047">
      <colorScale>
        <cfvo type="min"/>
        <cfvo type="max"/>
        <color theme="0"/>
        <color theme="0"/>
      </colorScale>
    </cfRule>
  </conditionalFormatting>
  <conditionalFormatting sqref="F68">
    <cfRule type="expression" dxfId="2377" priority="4027">
      <formula>E68&lt;0</formula>
    </cfRule>
    <cfRule type="expression" priority="4026">
      <formula>#REF!</formula>
    </cfRule>
    <cfRule type="colorScale" priority="4025">
      <colorScale>
        <cfvo type="min"/>
        <cfvo type="max"/>
        <color theme="0"/>
        <color theme="0"/>
      </colorScale>
    </cfRule>
  </conditionalFormatting>
  <conditionalFormatting sqref="F69:F81">
    <cfRule type="expression" dxfId="2376" priority="4074">
      <formula>E69&lt;0</formula>
    </cfRule>
    <cfRule type="expression" priority="4073">
      <formula>$F$19</formula>
    </cfRule>
    <cfRule type="colorScale" priority="4072">
      <colorScale>
        <cfvo type="min"/>
        <cfvo type="max"/>
        <color theme="0"/>
        <color theme="0"/>
      </colorScale>
    </cfRule>
  </conditionalFormatting>
  <conditionalFormatting sqref="F82 F92 F103 F107">
    <cfRule type="expression" dxfId="2375" priority="4071">
      <formula>E82&lt;0</formula>
    </cfRule>
    <cfRule type="colorScale" priority="4070">
      <colorScale>
        <cfvo type="min"/>
        <cfvo type="max"/>
        <color theme="0"/>
        <color theme="0"/>
      </colorScale>
    </cfRule>
  </conditionalFormatting>
  <conditionalFormatting sqref="F83">
    <cfRule type="expression" dxfId="2374" priority="3969">
      <formula>E83&lt;0</formula>
    </cfRule>
    <cfRule type="expression" priority="3968">
      <formula>#REF!</formula>
    </cfRule>
    <cfRule type="colorScale" priority="3967">
      <colorScale>
        <cfvo type="min"/>
        <cfvo type="max"/>
        <color theme="0"/>
        <color theme="0"/>
      </colorScale>
    </cfRule>
  </conditionalFormatting>
  <conditionalFormatting sqref="F84:F91">
    <cfRule type="expression" dxfId="2373" priority="4077">
      <formula>E84&lt;0</formula>
    </cfRule>
    <cfRule type="expression" priority="4076">
      <formula>$F$19</formula>
    </cfRule>
    <cfRule type="colorScale" priority="4075">
      <colorScale>
        <cfvo type="min"/>
        <cfvo type="max"/>
        <color theme="0"/>
        <color theme="0"/>
      </colorScale>
    </cfRule>
  </conditionalFormatting>
  <conditionalFormatting sqref="F93">
    <cfRule type="colorScale" priority="4022">
      <colorScale>
        <cfvo type="min"/>
        <cfvo type="max"/>
        <color theme="0"/>
        <color theme="0"/>
      </colorScale>
    </cfRule>
    <cfRule type="expression" priority="4023">
      <formula>#REF!</formula>
    </cfRule>
    <cfRule type="expression" dxfId="2372" priority="4024">
      <formula>E93&lt;0</formula>
    </cfRule>
  </conditionalFormatting>
  <conditionalFormatting sqref="F94:F102">
    <cfRule type="expression" dxfId="2371" priority="4080">
      <formula>E94&lt;0</formula>
    </cfRule>
    <cfRule type="expression" priority="4079">
      <formula>$F$19</formula>
    </cfRule>
    <cfRule type="colorScale" priority="4078">
      <colorScale>
        <cfvo type="min"/>
        <cfvo type="max"/>
        <color theme="0"/>
        <color theme="0"/>
      </colorScale>
    </cfRule>
  </conditionalFormatting>
  <conditionalFormatting sqref="F104">
    <cfRule type="expression" dxfId="2370" priority="4021">
      <formula>E104&lt;0</formula>
    </cfRule>
    <cfRule type="expression" priority="4020">
      <formula>#REF!</formula>
    </cfRule>
    <cfRule type="colorScale" priority="4019">
      <colorScale>
        <cfvo type="min"/>
        <cfvo type="max"/>
        <color theme="0"/>
        <color theme="0"/>
      </colorScale>
    </cfRule>
  </conditionalFormatting>
  <conditionalFormatting sqref="F105:F106">
    <cfRule type="colorScale" priority="4081">
      <colorScale>
        <cfvo type="min"/>
        <cfvo type="max"/>
        <color theme="0"/>
        <color theme="0"/>
      </colorScale>
    </cfRule>
    <cfRule type="expression" dxfId="2369" priority="4083">
      <formula>E105&lt;0</formula>
    </cfRule>
    <cfRule type="expression" priority="4082">
      <formula>$F$19</formula>
    </cfRule>
  </conditionalFormatting>
  <conditionalFormatting sqref="F110">
    <cfRule type="expression" dxfId="2368" priority="4085">
      <formula>E110&lt;0</formula>
    </cfRule>
    <cfRule type="colorScale" priority="4084">
      <colorScale>
        <cfvo type="min"/>
        <cfvo type="max"/>
        <color theme="0"/>
        <color theme="0"/>
      </colorScale>
    </cfRule>
  </conditionalFormatting>
  <conditionalFormatting sqref="F110:F111">
    <cfRule type="expression" priority="3964">
      <formula>$F$19</formula>
    </cfRule>
  </conditionalFormatting>
  <conditionalFormatting sqref="F111">
    <cfRule type="expression" dxfId="2367" priority="3965">
      <formula>E111&lt;0</formula>
    </cfRule>
    <cfRule type="colorScale" priority="3963">
      <colorScale>
        <cfvo type="min"/>
        <cfvo type="max"/>
        <color theme="0"/>
        <color theme="0"/>
      </colorScale>
    </cfRule>
  </conditionalFormatting>
  <conditionalFormatting sqref="F117:F123">
    <cfRule type="expression" dxfId="2366" priority="4091">
      <formula>E117&lt;0</formula>
    </cfRule>
    <cfRule type="expression" priority="4090">
      <formula>$F$19</formula>
    </cfRule>
    <cfRule type="colorScale" priority="4089">
      <colorScale>
        <cfvo type="min"/>
        <cfvo type="max"/>
        <color theme="0"/>
        <color theme="0"/>
      </colorScale>
    </cfRule>
  </conditionalFormatting>
  <conditionalFormatting sqref="F125">
    <cfRule type="expression" dxfId="2365" priority="4018">
      <formula>E125&lt;0</formula>
    </cfRule>
    <cfRule type="expression" priority="4017">
      <formula>#REF!</formula>
    </cfRule>
    <cfRule type="colorScale" priority="4016">
      <colorScale>
        <cfvo type="min"/>
        <cfvo type="max"/>
        <color theme="0"/>
        <color theme="0"/>
      </colorScale>
    </cfRule>
  </conditionalFormatting>
  <conditionalFormatting sqref="F125:F135">
    <cfRule type="expression" dxfId="2364" priority="4015">
      <formula>IF(F125="Validar","Rojo","Verde")</formula>
    </cfRule>
  </conditionalFormatting>
  <conditionalFormatting sqref="F126:F132">
    <cfRule type="expression" dxfId="2363" priority="4094">
      <formula>E126&lt;0</formula>
    </cfRule>
    <cfRule type="colorScale" priority="4092">
      <colorScale>
        <cfvo type="min"/>
        <cfvo type="max"/>
        <color theme="0"/>
        <color theme="0"/>
      </colorScale>
    </cfRule>
  </conditionalFormatting>
  <conditionalFormatting sqref="F126:F134">
    <cfRule type="expression" priority="4093">
      <formula>$F$19</formula>
    </cfRule>
  </conditionalFormatting>
  <conditionalFormatting sqref="F133:F134">
    <cfRule type="expression" dxfId="2362" priority="4096">
      <formula>E133&lt;0</formula>
    </cfRule>
    <cfRule type="colorScale" priority="4095">
      <colorScale>
        <cfvo type="min"/>
        <cfvo type="max"/>
        <color theme="0"/>
        <color theme="0"/>
      </colorScale>
    </cfRule>
  </conditionalFormatting>
  <conditionalFormatting sqref="F135">
    <cfRule type="expression" priority="4087">
      <formula>$F$23</formula>
    </cfRule>
    <cfRule type="expression" dxfId="2361" priority="4088">
      <formula>E135&lt;0</formula>
    </cfRule>
    <cfRule type="colorScale" priority="4086">
      <colorScale>
        <cfvo type="min"/>
        <cfvo type="max"/>
        <color theme="0"/>
        <color theme="0"/>
      </colorScale>
    </cfRule>
  </conditionalFormatting>
  <conditionalFormatting sqref="F110:G111">
    <cfRule type="expression" dxfId="2360" priority="3959">
      <formula>IF(F110="Validar","Rojo","Verde")</formula>
    </cfRule>
  </conditionalFormatting>
  <conditionalFormatting sqref="F117:G123">
    <cfRule type="expression" dxfId="2359" priority="3972">
      <formula>IF(F117="Validar","Rojo","Verde")</formula>
    </cfRule>
  </conditionalFormatting>
  <conditionalFormatting sqref="G40:G66">
    <cfRule type="expression" dxfId="2358" priority="4009">
      <formula>F40&lt;0</formula>
    </cfRule>
    <cfRule type="expression" priority="4008">
      <formula>#REF!</formula>
    </cfRule>
    <cfRule type="colorScale" priority="4007">
      <colorScale>
        <cfvo type="min"/>
        <cfvo type="max"/>
        <color theme="0"/>
        <color theme="0"/>
      </colorScale>
    </cfRule>
  </conditionalFormatting>
  <conditionalFormatting sqref="G40:G67">
    <cfRule type="expression" dxfId="2357" priority="4006">
      <formula>IF(G40="Validar","Rojo","Verde")</formula>
    </cfRule>
  </conditionalFormatting>
  <conditionalFormatting sqref="G67 F82:G82 F92:G92 F103:G103 F107:G107">
    <cfRule type="expression" priority="4011">
      <formula>$F$23</formula>
    </cfRule>
  </conditionalFormatting>
  <conditionalFormatting sqref="G67 G82 G92 G103 G107">
    <cfRule type="expression" dxfId="2356" priority="4012">
      <formula>F67&lt;0</formula>
    </cfRule>
  </conditionalFormatting>
  <conditionalFormatting sqref="G69">
    <cfRule type="expression" dxfId="2355" priority="4005">
      <formula>F69&lt;0</formula>
    </cfRule>
    <cfRule type="colorScale" priority="4004">
      <colorScale>
        <cfvo type="min"/>
        <cfvo type="max"/>
        <color theme="0"/>
        <color theme="0"/>
      </colorScale>
    </cfRule>
  </conditionalFormatting>
  <conditionalFormatting sqref="G69:G81">
    <cfRule type="expression" priority="4002">
      <formula>#REF!</formula>
    </cfRule>
  </conditionalFormatting>
  <conditionalFormatting sqref="G69:G82">
    <cfRule type="expression" dxfId="2354" priority="4000">
      <formula>IF(G69="Validar","Rojo","Verde")</formula>
    </cfRule>
  </conditionalFormatting>
  <conditionalFormatting sqref="G70:G78">
    <cfRule type="colorScale" priority="4001">
      <colorScale>
        <cfvo type="min"/>
        <cfvo type="max"/>
        <color theme="0"/>
        <color theme="0"/>
      </colorScale>
    </cfRule>
    <cfRule type="expression" dxfId="2353" priority="4003">
      <formula>F70&lt;0</formula>
    </cfRule>
  </conditionalFormatting>
  <conditionalFormatting sqref="G79:G81">
    <cfRule type="expression" dxfId="2352" priority="4014">
      <formula>F79&lt;0</formula>
    </cfRule>
    <cfRule type="colorScale" priority="4013">
      <colorScale>
        <cfvo type="min"/>
        <cfvo type="max"/>
        <color theme="0"/>
        <color theme="0"/>
      </colorScale>
    </cfRule>
  </conditionalFormatting>
  <conditionalFormatting sqref="G82 G67 G92 G103 G107">
    <cfRule type="colorScale" priority="4010">
      <colorScale>
        <cfvo type="min"/>
        <cfvo type="max"/>
        <color theme="0"/>
        <color theme="0"/>
      </colorScale>
    </cfRule>
  </conditionalFormatting>
  <conditionalFormatting sqref="G84">
    <cfRule type="expression" dxfId="2351" priority="3999">
      <formula>F84&lt;0</formula>
    </cfRule>
    <cfRule type="colorScale" priority="3998">
      <colorScale>
        <cfvo type="min"/>
        <cfvo type="max"/>
        <color theme="0"/>
        <color theme="0"/>
      </colorScale>
    </cfRule>
  </conditionalFormatting>
  <conditionalFormatting sqref="G84:G91">
    <cfRule type="expression" priority="3996">
      <formula>#REF!</formula>
    </cfRule>
  </conditionalFormatting>
  <conditionalFormatting sqref="G84:G92">
    <cfRule type="expression" dxfId="2350" priority="3994">
      <formula>IF(G84="Validar","Rojo","Verde")</formula>
    </cfRule>
  </conditionalFormatting>
  <conditionalFormatting sqref="G85:G91">
    <cfRule type="colorScale" priority="3995">
      <colorScale>
        <cfvo type="min"/>
        <cfvo type="max"/>
        <color theme="0"/>
        <color theme="0"/>
      </colorScale>
    </cfRule>
    <cfRule type="expression" dxfId="2349" priority="3997">
      <formula>F85&lt;0</formula>
    </cfRule>
  </conditionalFormatting>
  <conditionalFormatting sqref="G94">
    <cfRule type="colorScale" priority="3992">
      <colorScale>
        <cfvo type="min"/>
        <cfvo type="max"/>
        <color theme="0"/>
        <color theme="0"/>
      </colorScale>
    </cfRule>
    <cfRule type="expression" dxfId="2348" priority="3993">
      <formula>F94&lt;0</formula>
    </cfRule>
  </conditionalFormatting>
  <conditionalFormatting sqref="G94:G102">
    <cfRule type="expression" priority="3986">
      <formula>#REF!</formula>
    </cfRule>
  </conditionalFormatting>
  <conditionalFormatting sqref="G94:G103">
    <cfRule type="expression" dxfId="2347" priority="3984">
      <formula>IF(G94="Validar","Rojo","Verde")</formula>
    </cfRule>
  </conditionalFormatting>
  <conditionalFormatting sqref="G95:G100">
    <cfRule type="expression" dxfId="2346" priority="3991">
      <formula>F95&lt;0</formula>
    </cfRule>
    <cfRule type="colorScale" priority="3990">
      <colorScale>
        <cfvo type="min"/>
        <cfvo type="max"/>
        <color theme="0"/>
        <color theme="0"/>
      </colorScale>
    </cfRule>
  </conditionalFormatting>
  <conditionalFormatting sqref="G101">
    <cfRule type="expression" dxfId="2345" priority="3989">
      <formula>F101&lt;0</formula>
    </cfRule>
    <cfRule type="colorScale" priority="3988">
      <colorScale>
        <cfvo type="min"/>
        <cfvo type="max"/>
        <color theme="0"/>
        <color theme="0"/>
      </colorScale>
    </cfRule>
  </conditionalFormatting>
  <conditionalFormatting sqref="G102">
    <cfRule type="expression" dxfId="2344" priority="3987">
      <formula>F102&lt;0</formula>
    </cfRule>
    <cfRule type="colorScale" priority="3985">
      <colorScale>
        <cfvo type="min"/>
        <cfvo type="max"/>
        <color theme="0"/>
        <color theme="0"/>
      </colorScale>
    </cfRule>
  </conditionalFormatting>
  <conditionalFormatting sqref="G105">
    <cfRule type="colorScale" priority="3982">
      <colorScale>
        <cfvo type="min"/>
        <cfvo type="max"/>
        <color theme="0"/>
        <color theme="0"/>
      </colorScale>
    </cfRule>
    <cfRule type="expression" dxfId="2343" priority="3983">
      <formula>F105&lt;0</formula>
    </cfRule>
  </conditionalFormatting>
  <conditionalFormatting sqref="G105:G106">
    <cfRule type="expression" priority="3980">
      <formula>#REF!</formula>
    </cfRule>
  </conditionalFormatting>
  <conditionalFormatting sqref="G105:G107">
    <cfRule type="expression" dxfId="2342" priority="3978">
      <formula>IF(G105="Validar","Rojo","Verde")</formula>
    </cfRule>
  </conditionalFormatting>
  <conditionalFormatting sqref="G106">
    <cfRule type="colorScale" priority="3979">
      <colorScale>
        <cfvo type="min"/>
        <cfvo type="max"/>
        <color theme="0"/>
        <color theme="0"/>
      </colorScale>
    </cfRule>
    <cfRule type="expression" dxfId="2341" priority="3981">
      <formula>F106&lt;0</formula>
    </cfRule>
  </conditionalFormatting>
  <conditionalFormatting sqref="G110">
    <cfRule type="colorScale" priority="3970">
      <colorScale>
        <cfvo type="min"/>
        <cfvo type="max"/>
        <color theme="0"/>
        <color theme="0"/>
      </colorScale>
    </cfRule>
    <cfRule type="expression" dxfId="2340" priority="3971">
      <formula>F110&lt;0</formula>
    </cfRule>
  </conditionalFormatting>
  <conditionalFormatting sqref="G110:G111">
    <cfRule type="expression" priority="3961">
      <formula>#REF!</formula>
    </cfRule>
  </conditionalFormatting>
  <conditionalFormatting sqref="G111">
    <cfRule type="expression" dxfId="2339" priority="3962">
      <formula>F111&lt;0</formula>
    </cfRule>
    <cfRule type="colorScale" priority="3960">
      <colorScale>
        <cfvo type="min"/>
        <cfvo type="max"/>
        <color theme="0"/>
        <color theme="0"/>
      </colorScale>
    </cfRule>
  </conditionalFormatting>
  <conditionalFormatting sqref="G117">
    <cfRule type="expression" dxfId="2338" priority="3977">
      <formula>F117&lt;0</formula>
    </cfRule>
    <cfRule type="colorScale" priority="3976">
      <colorScale>
        <cfvo type="min"/>
        <cfvo type="max"/>
        <color theme="0"/>
        <color theme="0"/>
      </colorScale>
    </cfRule>
  </conditionalFormatting>
  <conditionalFormatting sqref="G117:G123">
    <cfRule type="expression" priority="3974">
      <formula>#REF!</formula>
    </cfRule>
  </conditionalFormatting>
  <conditionalFormatting sqref="G118:G123">
    <cfRule type="colorScale" priority="3973">
      <colorScale>
        <cfvo type="min"/>
        <cfvo type="max"/>
        <color theme="0"/>
        <color theme="0"/>
      </colorScale>
    </cfRule>
    <cfRule type="expression" dxfId="2337" priority="3975">
      <formula>F118&lt;0</formula>
    </cfRule>
  </conditionalFormatting>
  <conditionalFormatting sqref="G126:G135">
    <cfRule type="colorScale" priority="4098">
      <colorScale>
        <cfvo type="min"/>
        <cfvo type="max"/>
        <color theme="0"/>
        <color theme="0"/>
      </colorScale>
    </cfRule>
    <cfRule type="expression" dxfId="2336" priority="4100">
      <formula>F126&lt;0</formula>
    </cfRule>
    <cfRule type="expression" priority="4099">
      <formula>$F$23</formula>
    </cfRule>
    <cfRule type="expression" dxfId="2335" priority="4097">
      <formula>IF(G126="Validar","Rojo","Verde")</formula>
    </cfRule>
  </conditionalFormatting>
  <conditionalFormatting sqref="I5 I9">
    <cfRule type="expression" dxfId="2334" priority="3919">
      <formula>H5&lt;0</formula>
    </cfRule>
  </conditionalFormatting>
  <conditionalFormatting sqref="I5:I20">
    <cfRule type="expression" priority="3802">
      <formula>#REF!</formula>
    </cfRule>
    <cfRule type="expression" dxfId="2333" priority="3801">
      <formula>IF(I5="Validar","Rojo","Verde")</formula>
    </cfRule>
  </conditionalFormatting>
  <conditionalFormatting sqref="I6">
    <cfRule type="colorScale" priority="3807">
      <colorScale>
        <cfvo type="min"/>
        <cfvo type="max"/>
        <color theme="0"/>
        <color theme="0"/>
      </colorScale>
    </cfRule>
    <cfRule type="expression" dxfId="2332" priority="3808">
      <formula>H6&lt;0</formula>
    </cfRule>
  </conditionalFormatting>
  <conditionalFormatting sqref="I7:I8">
    <cfRule type="expression" dxfId="2331" priority="3804">
      <formula>H7&lt;0</formula>
    </cfRule>
    <cfRule type="colorScale" priority="3803">
      <colorScale>
        <cfvo type="min"/>
        <cfvo type="max"/>
        <color theme="0"/>
        <color theme="0"/>
      </colorScale>
    </cfRule>
  </conditionalFormatting>
  <conditionalFormatting sqref="I9 I5">
    <cfRule type="colorScale" priority="3918">
      <colorScale>
        <cfvo type="min"/>
        <cfvo type="max"/>
        <color theme="0"/>
        <color theme="0"/>
      </colorScale>
    </cfRule>
  </conditionalFormatting>
  <conditionalFormatting sqref="I10">
    <cfRule type="expression" dxfId="2330" priority="3896">
      <formula>H10&lt;0</formula>
    </cfRule>
    <cfRule type="colorScale" priority="3895">
      <colorScale>
        <cfvo type="min"/>
        <cfvo type="max"/>
        <color theme="0"/>
        <color theme="0"/>
      </colorScale>
    </cfRule>
  </conditionalFormatting>
  <conditionalFormatting sqref="I11:I14">
    <cfRule type="colorScale" priority="3916">
      <colorScale>
        <cfvo type="min"/>
        <cfvo type="max"/>
        <color theme="0"/>
        <color theme="0"/>
      </colorScale>
    </cfRule>
    <cfRule type="expression" dxfId="2329" priority="3917">
      <formula>H11&lt;0</formula>
    </cfRule>
  </conditionalFormatting>
  <conditionalFormatting sqref="I15">
    <cfRule type="expression" dxfId="2328" priority="3894">
      <formula>H15&lt;0</formula>
    </cfRule>
    <cfRule type="colorScale" priority="3893">
      <colorScale>
        <cfvo type="min"/>
        <cfvo type="max"/>
        <color theme="0"/>
        <color theme="0"/>
      </colorScale>
    </cfRule>
  </conditionalFormatting>
  <conditionalFormatting sqref="I16:I17">
    <cfRule type="colorScale" priority="3914">
      <colorScale>
        <cfvo type="min"/>
        <cfvo type="max"/>
        <color theme="0"/>
        <color theme="0"/>
      </colorScale>
    </cfRule>
    <cfRule type="expression" dxfId="2327" priority="3915">
      <formula>H16&lt;0</formula>
    </cfRule>
  </conditionalFormatting>
  <conditionalFormatting sqref="I18">
    <cfRule type="expression" dxfId="2326" priority="3892">
      <formula>H18&lt;0</formula>
    </cfRule>
    <cfRule type="colorScale" priority="3890">
      <colorScale>
        <cfvo type="min"/>
        <cfvo type="max"/>
        <color theme="0"/>
        <color theme="0"/>
      </colorScale>
    </cfRule>
  </conditionalFormatting>
  <conditionalFormatting sqref="I19:I20">
    <cfRule type="colorScale" priority="3912">
      <colorScale>
        <cfvo type="min"/>
        <cfvo type="max"/>
        <color theme="0"/>
        <color theme="0"/>
      </colorScale>
    </cfRule>
    <cfRule type="expression" dxfId="2325" priority="3913">
      <formula>H19&lt;0</formula>
    </cfRule>
  </conditionalFormatting>
  <conditionalFormatting sqref="I23">
    <cfRule type="expression" dxfId="2324" priority="3888">
      <formula>H23&lt;0</formula>
    </cfRule>
    <cfRule type="colorScale" priority="3887">
      <colorScale>
        <cfvo type="min"/>
        <cfvo type="max"/>
        <color theme="0"/>
        <color theme="0"/>
      </colorScale>
    </cfRule>
  </conditionalFormatting>
  <conditionalFormatting sqref="I23:I31">
    <cfRule type="expression" priority="3883">
      <formula>#REF!</formula>
    </cfRule>
    <cfRule type="expression" dxfId="2323" priority="3881">
      <formula>IF(I23="Validar","Rojo","Verde")</formula>
    </cfRule>
  </conditionalFormatting>
  <conditionalFormatting sqref="I24">
    <cfRule type="colorScale" priority="3910">
      <colorScale>
        <cfvo type="min"/>
        <cfvo type="max"/>
        <color theme="0"/>
        <color theme="0"/>
      </colorScale>
    </cfRule>
    <cfRule type="expression" dxfId="2322" priority="3911">
      <formula>H24&lt;0</formula>
    </cfRule>
  </conditionalFormatting>
  <conditionalFormatting sqref="I25">
    <cfRule type="colorScale" priority="3908">
      <colorScale>
        <cfvo type="min"/>
        <cfvo type="max"/>
        <color theme="0"/>
        <color theme="0"/>
      </colorScale>
    </cfRule>
    <cfRule type="expression" dxfId="2321" priority="3909">
      <formula>H25&lt;0</formula>
    </cfRule>
  </conditionalFormatting>
  <conditionalFormatting sqref="I26">
    <cfRule type="colorScale" priority="3885">
      <colorScale>
        <cfvo type="min"/>
        <cfvo type="max"/>
        <color theme="0"/>
        <color theme="0"/>
      </colorScale>
    </cfRule>
    <cfRule type="expression" dxfId="2320" priority="3886">
      <formula>H26&lt;0</formula>
    </cfRule>
  </conditionalFormatting>
  <conditionalFormatting sqref="I27">
    <cfRule type="colorScale" priority="3906">
      <colorScale>
        <cfvo type="min"/>
        <cfvo type="max"/>
        <color theme="0"/>
        <color theme="0"/>
      </colorScale>
    </cfRule>
    <cfRule type="expression" dxfId="2319" priority="3907">
      <formula>H27&lt;0</formula>
    </cfRule>
  </conditionalFormatting>
  <conditionalFormatting sqref="I28">
    <cfRule type="expression" dxfId="2318" priority="3905">
      <formula>H28&lt;0</formula>
    </cfRule>
    <cfRule type="colorScale" priority="3904">
      <colorScale>
        <cfvo type="min"/>
        <cfvo type="max"/>
        <color theme="0"/>
        <color theme="0"/>
      </colorScale>
    </cfRule>
  </conditionalFormatting>
  <conditionalFormatting sqref="I29">
    <cfRule type="expression" dxfId="2317" priority="3884">
      <formula>H29&lt;0</formula>
    </cfRule>
    <cfRule type="colorScale" priority="3882">
      <colorScale>
        <cfvo type="min"/>
        <cfvo type="max"/>
        <color theme="0"/>
        <color theme="0"/>
      </colorScale>
    </cfRule>
  </conditionalFormatting>
  <conditionalFormatting sqref="I30">
    <cfRule type="expression" dxfId="2316" priority="3903">
      <formula>H30&lt;0</formula>
    </cfRule>
    <cfRule type="colorScale" priority="3902">
      <colorScale>
        <cfvo type="min"/>
        <cfvo type="max"/>
        <color theme="0"/>
        <color theme="0"/>
      </colorScale>
    </cfRule>
  </conditionalFormatting>
  <conditionalFormatting sqref="I31">
    <cfRule type="expression" dxfId="2315" priority="3901">
      <formula>H31&lt;0</formula>
    </cfRule>
    <cfRule type="colorScale" priority="3900">
      <colorScale>
        <cfvo type="min"/>
        <cfvo type="max"/>
        <color theme="0"/>
        <color theme="0"/>
      </colorScale>
    </cfRule>
  </conditionalFormatting>
  <conditionalFormatting sqref="I39">
    <cfRule type="colorScale" priority="3878">
      <colorScale>
        <cfvo type="min"/>
        <cfvo type="max"/>
        <color theme="0"/>
        <color theme="0"/>
      </colorScale>
    </cfRule>
    <cfRule type="expression" dxfId="2314" priority="3880">
      <formula>H39&lt;0</formula>
    </cfRule>
    <cfRule type="expression" priority="3879">
      <formula>#REF!</formula>
    </cfRule>
  </conditionalFormatting>
  <conditionalFormatting sqref="I39:I107">
    <cfRule type="expression" dxfId="2313" priority="3816">
      <formula>IF(I39="Validar","Rojo","Verde")</formula>
    </cfRule>
  </conditionalFormatting>
  <conditionalFormatting sqref="I40:I67">
    <cfRule type="expression" dxfId="2312" priority="3899">
      <formula>H40&lt;0</formula>
    </cfRule>
    <cfRule type="expression" priority="3898">
      <formula>$F$19</formula>
    </cfRule>
    <cfRule type="colorScale" priority="3897">
      <colorScale>
        <cfvo type="min"/>
        <cfvo type="max"/>
        <color theme="0"/>
        <color theme="0"/>
      </colorScale>
    </cfRule>
  </conditionalFormatting>
  <conditionalFormatting sqref="I68">
    <cfRule type="expression" dxfId="2311" priority="3877">
      <formula>H68&lt;0</formula>
    </cfRule>
    <cfRule type="expression" priority="3876">
      <formula>#REF!</formula>
    </cfRule>
    <cfRule type="colorScale" priority="3875">
      <colorScale>
        <cfvo type="min"/>
        <cfvo type="max"/>
        <color theme="0"/>
        <color theme="0"/>
      </colorScale>
    </cfRule>
  </conditionalFormatting>
  <conditionalFormatting sqref="I69:I81">
    <cfRule type="expression" priority="3923">
      <formula>$F$19</formula>
    </cfRule>
    <cfRule type="colorScale" priority="3922">
      <colorScale>
        <cfvo type="min"/>
        <cfvo type="max"/>
        <color theme="0"/>
        <color theme="0"/>
      </colorScale>
    </cfRule>
    <cfRule type="expression" dxfId="2310" priority="3924">
      <formula>H69&lt;0</formula>
    </cfRule>
  </conditionalFormatting>
  <conditionalFormatting sqref="I82 I92 I103 I107">
    <cfRule type="colorScale" priority="3920">
      <colorScale>
        <cfvo type="min"/>
        <cfvo type="max"/>
        <color theme="0"/>
        <color theme="0"/>
      </colorScale>
    </cfRule>
    <cfRule type="expression" dxfId="2309" priority="3921">
      <formula>H82&lt;0</formula>
    </cfRule>
  </conditionalFormatting>
  <conditionalFormatting sqref="I83">
    <cfRule type="expression" priority="3818">
      <formula>#REF!</formula>
    </cfRule>
    <cfRule type="expression" dxfId="2308" priority="3819">
      <formula>H83&lt;0</formula>
    </cfRule>
    <cfRule type="colorScale" priority="3817">
      <colorScale>
        <cfvo type="min"/>
        <cfvo type="max"/>
        <color theme="0"/>
        <color theme="0"/>
      </colorScale>
    </cfRule>
  </conditionalFormatting>
  <conditionalFormatting sqref="I84:I91">
    <cfRule type="expression" dxfId="2307" priority="3927">
      <formula>H84&lt;0</formula>
    </cfRule>
    <cfRule type="expression" priority="3926">
      <formula>$F$19</formula>
    </cfRule>
    <cfRule type="colorScale" priority="3925">
      <colorScale>
        <cfvo type="min"/>
        <cfvo type="max"/>
        <color theme="0"/>
        <color theme="0"/>
      </colorScale>
    </cfRule>
  </conditionalFormatting>
  <conditionalFormatting sqref="I93">
    <cfRule type="colorScale" priority="3872">
      <colorScale>
        <cfvo type="min"/>
        <cfvo type="max"/>
        <color theme="0"/>
        <color theme="0"/>
      </colorScale>
    </cfRule>
    <cfRule type="expression" priority="3873">
      <formula>#REF!</formula>
    </cfRule>
    <cfRule type="expression" dxfId="2306" priority="3874">
      <formula>H93&lt;0</formula>
    </cfRule>
  </conditionalFormatting>
  <conditionalFormatting sqref="I94:I102">
    <cfRule type="colorScale" priority="3928">
      <colorScale>
        <cfvo type="min"/>
        <cfvo type="max"/>
        <color theme="0"/>
        <color theme="0"/>
      </colorScale>
    </cfRule>
    <cfRule type="expression" priority="3929">
      <formula>$F$19</formula>
    </cfRule>
    <cfRule type="expression" dxfId="2305" priority="3930">
      <formula>H94&lt;0</formula>
    </cfRule>
  </conditionalFormatting>
  <conditionalFormatting sqref="I104">
    <cfRule type="colorScale" priority="3869">
      <colorScale>
        <cfvo type="min"/>
        <cfvo type="max"/>
        <color theme="0"/>
        <color theme="0"/>
      </colorScale>
    </cfRule>
    <cfRule type="expression" priority="3870">
      <formula>#REF!</formula>
    </cfRule>
    <cfRule type="expression" dxfId="2304" priority="3871">
      <formula>H104&lt;0</formula>
    </cfRule>
  </conditionalFormatting>
  <conditionalFormatting sqref="I105:I106">
    <cfRule type="colorScale" priority="3931">
      <colorScale>
        <cfvo type="min"/>
        <cfvo type="max"/>
        <color theme="0"/>
        <color theme="0"/>
      </colorScale>
    </cfRule>
    <cfRule type="expression" priority="3932">
      <formula>$F$19</formula>
    </cfRule>
    <cfRule type="expression" dxfId="2303" priority="3933">
      <formula>H105&lt;0</formula>
    </cfRule>
  </conditionalFormatting>
  <conditionalFormatting sqref="I110">
    <cfRule type="colorScale" priority="3934">
      <colorScale>
        <cfvo type="min"/>
        <cfvo type="max"/>
        <color theme="0"/>
        <color theme="0"/>
      </colorScale>
    </cfRule>
    <cfRule type="expression" dxfId="2302" priority="3935">
      <formula>H110&lt;0</formula>
    </cfRule>
  </conditionalFormatting>
  <conditionalFormatting sqref="I110:I111">
    <cfRule type="expression" priority="3814">
      <formula>$F$19</formula>
    </cfRule>
  </conditionalFormatting>
  <conditionalFormatting sqref="I111">
    <cfRule type="expression" dxfId="2301" priority="3815">
      <formula>H111&lt;0</formula>
    </cfRule>
    <cfRule type="colorScale" priority="3813">
      <colorScale>
        <cfvo type="min"/>
        <cfvo type="max"/>
        <color theme="0"/>
        <color theme="0"/>
      </colorScale>
    </cfRule>
  </conditionalFormatting>
  <conditionalFormatting sqref="I117:I123">
    <cfRule type="colorScale" priority="3939">
      <colorScale>
        <cfvo type="min"/>
        <cfvo type="max"/>
        <color theme="0"/>
        <color theme="0"/>
      </colorScale>
    </cfRule>
    <cfRule type="expression" priority="3940">
      <formula>$F$19</formula>
    </cfRule>
    <cfRule type="expression" dxfId="2300" priority="3941">
      <formula>H117&lt;0</formula>
    </cfRule>
  </conditionalFormatting>
  <conditionalFormatting sqref="I125">
    <cfRule type="expression" priority="3867">
      <formula>#REF!</formula>
    </cfRule>
    <cfRule type="colorScale" priority="3866">
      <colorScale>
        <cfvo type="min"/>
        <cfvo type="max"/>
        <color theme="0"/>
        <color theme="0"/>
      </colorScale>
    </cfRule>
    <cfRule type="expression" dxfId="2299" priority="3868">
      <formula>H125&lt;0</formula>
    </cfRule>
  </conditionalFormatting>
  <conditionalFormatting sqref="I125:I135">
    <cfRule type="expression" dxfId="2298" priority="3865">
      <formula>IF(I125="Validar","Rojo","Verde")</formula>
    </cfRule>
  </conditionalFormatting>
  <conditionalFormatting sqref="I126:I132">
    <cfRule type="colorScale" priority="3942">
      <colorScale>
        <cfvo type="min"/>
        <cfvo type="max"/>
        <color theme="0"/>
        <color theme="0"/>
      </colorScale>
    </cfRule>
    <cfRule type="expression" dxfId="2297" priority="3944">
      <formula>H126&lt;0</formula>
    </cfRule>
  </conditionalFormatting>
  <conditionalFormatting sqref="I126:I134">
    <cfRule type="expression" priority="3943">
      <formula>$F$19</formula>
    </cfRule>
  </conditionalFormatting>
  <conditionalFormatting sqref="I133:I134">
    <cfRule type="colorScale" priority="3945">
      <colorScale>
        <cfvo type="min"/>
        <cfvo type="max"/>
        <color theme="0"/>
        <color theme="0"/>
      </colorScale>
    </cfRule>
    <cfRule type="expression" dxfId="2296" priority="3946">
      <formula>H133&lt;0</formula>
    </cfRule>
  </conditionalFormatting>
  <conditionalFormatting sqref="I135">
    <cfRule type="colorScale" priority="3936">
      <colorScale>
        <cfvo type="min"/>
        <cfvo type="max"/>
        <color theme="0"/>
        <color theme="0"/>
      </colorScale>
    </cfRule>
    <cfRule type="expression" priority="3937">
      <formula>$F$23</formula>
    </cfRule>
    <cfRule type="expression" dxfId="2295" priority="3938">
      <formula>H135&lt;0</formula>
    </cfRule>
  </conditionalFormatting>
  <conditionalFormatting sqref="I110:J111">
    <cfRule type="expression" dxfId="2294" priority="3809">
      <formula>IF(I110="Validar","Rojo","Verde")</formula>
    </cfRule>
  </conditionalFormatting>
  <conditionalFormatting sqref="I117:J123">
    <cfRule type="expression" dxfId="2293" priority="3822">
      <formula>IF(I117="Validar","Rojo","Verde")</formula>
    </cfRule>
  </conditionalFormatting>
  <conditionalFormatting sqref="J40:J66">
    <cfRule type="colorScale" priority="3857">
      <colorScale>
        <cfvo type="min"/>
        <cfvo type="max"/>
        <color theme="0"/>
        <color theme="0"/>
      </colorScale>
    </cfRule>
    <cfRule type="expression" priority="3858">
      <formula>#REF!</formula>
    </cfRule>
    <cfRule type="expression" dxfId="2292" priority="3859">
      <formula>I40&lt;0</formula>
    </cfRule>
  </conditionalFormatting>
  <conditionalFormatting sqref="J40:J67">
    <cfRule type="expression" dxfId="2291" priority="3856">
      <formula>IF(J40="Validar","Rojo","Verde")</formula>
    </cfRule>
  </conditionalFormatting>
  <conditionalFormatting sqref="J67 I82:J82 I92:J92 I103:J103 I107:J107">
    <cfRule type="expression" priority="3861">
      <formula>$F$23</formula>
    </cfRule>
  </conditionalFormatting>
  <conditionalFormatting sqref="J67 J82 J92 J103 J107">
    <cfRule type="colorScale" priority="3860">
      <colorScale>
        <cfvo type="min"/>
        <cfvo type="max"/>
        <color theme="0"/>
        <color theme="0"/>
      </colorScale>
    </cfRule>
    <cfRule type="expression" dxfId="2290" priority="3862">
      <formula>I67&lt;0</formula>
    </cfRule>
  </conditionalFormatting>
  <conditionalFormatting sqref="J69">
    <cfRule type="colorScale" priority="3854">
      <colorScale>
        <cfvo type="min"/>
        <cfvo type="max"/>
        <color theme="0"/>
        <color theme="0"/>
      </colorScale>
    </cfRule>
    <cfRule type="expression" dxfId="2289" priority="3855">
      <formula>I69&lt;0</formula>
    </cfRule>
  </conditionalFormatting>
  <conditionalFormatting sqref="J69:J81">
    <cfRule type="expression" priority="3852">
      <formula>#REF!</formula>
    </cfRule>
  </conditionalFormatting>
  <conditionalFormatting sqref="J69:J82">
    <cfRule type="expression" dxfId="2288" priority="3850">
      <formula>IF(J69="Validar","Rojo","Verde")</formula>
    </cfRule>
  </conditionalFormatting>
  <conditionalFormatting sqref="J70:J78">
    <cfRule type="colorScale" priority="3851">
      <colorScale>
        <cfvo type="min"/>
        <cfvo type="max"/>
        <color theme="0"/>
        <color theme="0"/>
      </colorScale>
    </cfRule>
    <cfRule type="expression" dxfId="2287" priority="3853">
      <formula>I70&lt;0</formula>
    </cfRule>
  </conditionalFormatting>
  <conditionalFormatting sqref="J79:J81">
    <cfRule type="expression" dxfId="2286" priority="3864">
      <formula>I79&lt;0</formula>
    </cfRule>
    <cfRule type="colorScale" priority="3863">
      <colorScale>
        <cfvo type="min"/>
        <cfvo type="max"/>
        <color theme="0"/>
        <color theme="0"/>
      </colorScale>
    </cfRule>
  </conditionalFormatting>
  <conditionalFormatting sqref="J84">
    <cfRule type="colorScale" priority="3848">
      <colorScale>
        <cfvo type="min"/>
        <cfvo type="max"/>
        <color theme="0"/>
        <color theme="0"/>
      </colorScale>
    </cfRule>
    <cfRule type="expression" dxfId="2285" priority="3849">
      <formula>I84&lt;0</formula>
    </cfRule>
  </conditionalFormatting>
  <conditionalFormatting sqref="J84:J91">
    <cfRule type="expression" priority="3846">
      <formula>#REF!</formula>
    </cfRule>
  </conditionalFormatting>
  <conditionalFormatting sqref="J84:J92">
    <cfRule type="expression" dxfId="2284" priority="3844">
      <formula>IF(J84="Validar","Rojo","Verde")</formula>
    </cfRule>
  </conditionalFormatting>
  <conditionalFormatting sqref="J85:J91">
    <cfRule type="colorScale" priority="3845">
      <colorScale>
        <cfvo type="min"/>
        <cfvo type="max"/>
        <color theme="0"/>
        <color theme="0"/>
      </colorScale>
    </cfRule>
    <cfRule type="expression" dxfId="2283" priority="3847">
      <formula>I85&lt;0</formula>
    </cfRule>
  </conditionalFormatting>
  <conditionalFormatting sqref="J94">
    <cfRule type="expression" dxfId="2282" priority="3843">
      <formula>I94&lt;0</formula>
    </cfRule>
    <cfRule type="colorScale" priority="3842">
      <colorScale>
        <cfvo type="min"/>
        <cfvo type="max"/>
        <color theme="0"/>
        <color theme="0"/>
      </colorScale>
    </cfRule>
  </conditionalFormatting>
  <conditionalFormatting sqref="J94:J102">
    <cfRule type="expression" priority="3836">
      <formula>#REF!</formula>
    </cfRule>
  </conditionalFormatting>
  <conditionalFormatting sqref="J94:J103">
    <cfRule type="expression" dxfId="2281" priority="3834">
      <formula>IF(J94="Validar","Rojo","Verde")</formula>
    </cfRule>
  </conditionalFormatting>
  <conditionalFormatting sqref="J95:J100">
    <cfRule type="expression" dxfId="2280" priority="3841">
      <formula>I95&lt;0</formula>
    </cfRule>
    <cfRule type="colorScale" priority="3840">
      <colorScale>
        <cfvo type="min"/>
        <cfvo type="max"/>
        <color theme="0"/>
        <color theme="0"/>
      </colorScale>
    </cfRule>
  </conditionalFormatting>
  <conditionalFormatting sqref="J101">
    <cfRule type="expression" dxfId="2279" priority="3839">
      <formula>I101&lt;0</formula>
    </cfRule>
    <cfRule type="colorScale" priority="3838">
      <colorScale>
        <cfvo type="min"/>
        <cfvo type="max"/>
        <color theme="0"/>
        <color theme="0"/>
      </colorScale>
    </cfRule>
  </conditionalFormatting>
  <conditionalFormatting sqref="J102">
    <cfRule type="expression" dxfId="2278" priority="3837">
      <formula>I102&lt;0</formula>
    </cfRule>
    <cfRule type="colorScale" priority="3835">
      <colorScale>
        <cfvo type="min"/>
        <cfvo type="max"/>
        <color theme="0"/>
        <color theme="0"/>
      </colorScale>
    </cfRule>
  </conditionalFormatting>
  <conditionalFormatting sqref="J105">
    <cfRule type="expression" dxfId="2277" priority="3833">
      <formula>I105&lt;0</formula>
    </cfRule>
    <cfRule type="colorScale" priority="3832">
      <colorScale>
        <cfvo type="min"/>
        <cfvo type="max"/>
        <color theme="0"/>
        <color theme="0"/>
      </colorScale>
    </cfRule>
  </conditionalFormatting>
  <conditionalFormatting sqref="J105:J106">
    <cfRule type="expression" priority="3830">
      <formula>#REF!</formula>
    </cfRule>
  </conditionalFormatting>
  <conditionalFormatting sqref="J105:J107">
    <cfRule type="expression" dxfId="2276" priority="3828">
      <formula>IF(J105="Validar","Rojo","Verde")</formula>
    </cfRule>
  </conditionalFormatting>
  <conditionalFormatting sqref="J106">
    <cfRule type="expression" dxfId="2275" priority="3831">
      <formula>I106&lt;0</formula>
    </cfRule>
    <cfRule type="colorScale" priority="3829">
      <colorScale>
        <cfvo type="min"/>
        <cfvo type="max"/>
        <color theme="0"/>
        <color theme="0"/>
      </colorScale>
    </cfRule>
  </conditionalFormatting>
  <conditionalFormatting sqref="J110">
    <cfRule type="colorScale" priority="3820">
      <colorScale>
        <cfvo type="min"/>
        <cfvo type="max"/>
        <color theme="0"/>
        <color theme="0"/>
      </colorScale>
    </cfRule>
    <cfRule type="expression" dxfId="2274" priority="3821">
      <formula>I110&lt;0</formula>
    </cfRule>
  </conditionalFormatting>
  <conditionalFormatting sqref="J110:J111">
    <cfRule type="expression" priority="3811">
      <formula>#REF!</formula>
    </cfRule>
  </conditionalFormatting>
  <conditionalFormatting sqref="J111">
    <cfRule type="colorScale" priority="3810">
      <colorScale>
        <cfvo type="min"/>
        <cfvo type="max"/>
        <color theme="0"/>
        <color theme="0"/>
      </colorScale>
    </cfRule>
    <cfRule type="expression" dxfId="2273" priority="3812">
      <formula>I111&lt;0</formula>
    </cfRule>
  </conditionalFormatting>
  <conditionalFormatting sqref="J117">
    <cfRule type="expression" dxfId="2272" priority="3827">
      <formula>I117&lt;0</formula>
    </cfRule>
    <cfRule type="colorScale" priority="3826">
      <colorScale>
        <cfvo type="min"/>
        <cfvo type="max"/>
        <color theme="0"/>
        <color theme="0"/>
      </colorScale>
    </cfRule>
  </conditionalFormatting>
  <conditionalFormatting sqref="J117:J123">
    <cfRule type="expression" priority="3824">
      <formula>#REF!</formula>
    </cfRule>
  </conditionalFormatting>
  <conditionalFormatting sqref="J118:J123">
    <cfRule type="expression" dxfId="2271" priority="3825">
      <formula>I118&lt;0</formula>
    </cfRule>
    <cfRule type="colorScale" priority="3823">
      <colorScale>
        <cfvo type="min"/>
        <cfvo type="max"/>
        <color theme="0"/>
        <color theme="0"/>
      </colorScale>
    </cfRule>
  </conditionalFormatting>
  <conditionalFormatting sqref="J126:J135">
    <cfRule type="expression" dxfId="2270" priority="3950">
      <formula>I126&lt;0</formula>
    </cfRule>
    <cfRule type="expression" priority="3949">
      <formula>$F$23</formula>
    </cfRule>
    <cfRule type="colorScale" priority="3948">
      <colorScale>
        <cfvo type="min"/>
        <cfvo type="max"/>
        <color theme="0"/>
        <color theme="0"/>
      </colorScale>
    </cfRule>
    <cfRule type="expression" dxfId="2269" priority="3947">
      <formula>IF(J126="Validar","Rojo","Verde")</formula>
    </cfRule>
  </conditionalFormatting>
  <conditionalFormatting sqref="K83">
    <cfRule type="expression" dxfId="2268" priority="5390">
      <formula>J83&lt;0</formula>
    </cfRule>
    <cfRule type="expression" priority="5389">
      <formula>#REF!</formula>
    </cfRule>
    <cfRule type="colorScale" priority="5388">
      <colorScale>
        <cfvo type="min"/>
        <cfvo type="max"/>
        <color theme="0"/>
        <color theme="0"/>
      </colorScale>
    </cfRule>
    <cfRule type="expression" dxfId="2267" priority="5387">
      <formula>IF(K83="Validar","Rojo","Verde")</formula>
    </cfRule>
  </conditionalFormatting>
  <conditionalFormatting sqref="K111">
    <cfRule type="expression" dxfId="2266" priority="5366">
      <formula>IF(K111="Validar","Rojo","Verde")</formula>
    </cfRule>
    <cfRule type="colorScale" priority="5367">
      <colorScale>
        <cfvo type="min"/>
        <cfvo type="max"/>
        <color theme="0"/>
        <color theme="0"/>
      </colorScale>
    </cfRule>
    <cfRule type="expression" dxfId="2265" priority="5369">
      <formula>J111&lt;0</formula>
    </cfRule>
    <cfRule type="expression" priority="5368">
      <formula>#REF!</formula>
    </cfRule>
  </conditionalFormatting>
  <conditionalFormatting sqref="K146">
    <cfRule type="expression" dxfId="2264" priority="5477">
      <formula>J146&lt;0</formula>
    </cfRule>
    <cfRule type="expression" priority="5476">
      <formula>#REF!</formula>
    </cfRule>
    <cfRule type="colorScale" priority="5475">
      <colorScale>
        <cfvo type="min"/>
        <cfvo type="max"/>
        <color theme="0"/>
        <color theme="0"/>
      </colorScale>
    </cfRule>
    <cfRule type="expression" dxfId="2263" priority="5474">
      <formula>IF(K146="Validar","Rojo","Verde")</formula>
    </cfRule>
  </conditionalFormatting>
  <conditionalFormatting sqref="M5 M9">
    <cfRule type="expression" dxfId="2262" priority="3619">
      <formula>L5&lt;0</formula>
    </cfRule>
  </conditionalFormatting>
  <conditionalFormatting sqref="M5:M20">
    <cfRule type="expression" priority="3502">
      <formula>#REF!</formula>
    </cfRule>
    <cfRule type="expression" dxfId="2261" priority="3501">
      <formula>IF(M5="Validar","Rojo","Verde")</formula>
    </cfRule>
  </conditionalFormatting>
  <conditionalFormatting sqref="M6">
    <cfRule type="colorScale" priority="3507">
      <colorScale>
        <cfvo type="min"/>
        <cfvo type="max"/>
        <color theme="0"/>
        <color theme="0"/>
      </colorScale>
    </cfRule>
    <cfRule type="expression" dxfId="2260" priority="3508">
      <formula>L6&lt;0</formula>
    </cfRule>
  </conditionalFormatting>
  <conditionalFormatting sqref="M7:M8">
    <cfRule type="colorScale" priority="3503">
      <colorScale>
        <cfvo type="min"/>
        <cfvo type="max"/>
        <color theme="0"/>
        <color theme="0"/>
      </colorScale>
    </cfRule>
    <cfRule type="expression" dxfId="2259" priority="3504">
      <formula>L7&lt;0</formula>
    </cfRule>
  </conditionalFormatting>
  <conditionalFormatting sqref="M9 M5">
    <cfRule type="colorScale" priority="3618">
      <colorScale>
        <cfvo type="min"/>
        <cfvo type="max"/>
        <color theme="0"/>
        <color theme="0"/>
      </colorScale>
    </cfRule>
  </conditionalFormatting>
  <conditionalFormatting sqref="M10">
    <cfRule type="expression" dxfId="2258" priority="3596">
      <formula>L10&lt;0</formula>
    </cfRule>
    <cfRule type="colorScale" priority="3595">
      <colorScale>
        <cfvo type="min"/>
        <cfvo type="max"/>
        <color theme="0"/>
        <color theme="0"/>
      </colorScale>
    </cfRule>
  </conditionalFormatting>
  <conditionalFormatting sqref="M11:M14">
    <cfRule type="expression" dxfId="2257" priority="3617">
      <formula>L11&lt;0</formula>
    </cfRule>
    <cfRule type="colorScale" priority="3616">
      <colorScale>
        <cfvo type="min"/>
        <cfvo type="max"/>
        <color theme="0"/>
        <color theme="0"/>
      </colorScale>
    </cfRule>
  </conditionalFormatting>
  <conditionalFormatting sqref="M15">
    <cfRule type="colorScale" priority="3593">
      <colorScale>
        <cfvo type="min"/>
        <cfvo type="max"/>
        <color theme="0"/>
        <color theme="0"/>
      </colorScale>
    </cfRule>
    <cfRule type="expression" dxfId="2256" priority="3594">
      <formula>L15&lt;0</formula>
    </cfRule>
  </conditionalFormatting>
  <conditionalFormatting sqref="M16:M17">
    <cfRule type="colorScale" priority="3614">
      <colorScale>
        <cfvo type="min"/>
        <cfvo type="max"/>
        <color theme="0"/>
        <color theme="0"/>
      </colorScale>
    </cfRule>
    <cfRule type="expression" dxfId="2255" priority="3615">
      <formula>L16&lt;0</formula>
    </cfRule>
  </conditionalFormatting>
  <conditionalFormatting sqref="M18">
    <cfRule type="colorScale" priority="3590">
      <colorScale>
        <cfvo type="min"/>
        <cfvo type="max"/>
        <color theme="0"/>
        <color theme="0"/>
      </colorScale>
    </cfRule>
    <cfRule type="expression" dxfId="2254" priority="3592">
      <formula>L18&lt;0</formula>
    </cfRule>
  </conditionalFormatting>
  <conditionalFormatting sqref="M19:M20">
    <cfRule type="expression" dxfId="2253" priority="3613">
      <formula>L19&lt;0</formula>
    </cfRule>
    <cfRule type="colorScale" priority="3612">
      <colorScale>
        <cfvo type="min"/>
        <cfvo type="max"/>
        <color theme="0"/>
        <color theme="0"/>
      </colorScale>
    </cfRule>
  </conditionalFormatting>
  <conditionalFormatting sqref="M23">
    <cfRule type="expression" dxfId="2252" priority="3588">
      <formula>L23&lt;0</formula>
    </cfRule>
    <cfRule type="colorScale" priority="3587">
      <colorScale>
        <cfvo type="min"/>
        <cfvo type="max"/>
        <color theme="0"/>
        <color theme="0"/>
      </colorScale>
    </cfRule>
  </conditionalFormatting>
  <conditionalFormatting sqref="M23:M31">
    <cfRule type="expression" dxfId="2251" priority="3581">
      <formula>IF(M23="Validar","Rojo","Verde")</formula>
    </cfRule>
    <cfRule type="expression" priority="3583">
      <formula>#REF!</formula>
    </cfRule>
  </conditionalFormatting>
  <conditionalFormatting sqref="M24">
    <cfRule type="colorScale" priority="3610">
      <colorScale>
        <cfvo type="min"/>
        <cfvo type="max"/>
        <color theme="0"/>
        <color theme="0"/>
      </colorScale>
    </cfRule>
    <cfRule type="expression" dxfId="2250" priority="3611">
      <formula>L24&lt;0</formula>
    </cfRule>
  </conditionalFormatting>
  <conditionalFormatting sqref="M25">
    <cfRule type="expression" dxfId="2249" priority="3609">
      <formula>L25&lt;0</formula>
    </cfRule>
    <cfRule type="colorScale" priority="3608">
      <colorScale>
        <cfvo type="min"/>
        <cfvo type="max"/>
        <color theme="0"/>
        <color theme="0"/>
      </colorScale>
    </cfRule>
  </conditionalFormatting>
  <conditionalFormatting sqref="M26">
    <cfRule type="expression" dxfId="2248" priority="3586">
      <formula>L26&lt;0</formula>
    </cfRule>
    <cfRule type="colorScale" priority="3585">
      <colorScale>
        <cfvo type="min"/>
        <cfvo type="max"/>
        <color theme="0"/>
        <color theme="0"/>
      </colorScale>
    </cfRule>
  </conditionalFormatting>
  <conditionalFormatting sqref="M27">
    <cfRule type="colorScale" priority="3606">
      <colorScale>
        <cfvo type="min"/>
        <cfvo type="max"/>
        <color theme="0"/>
        <color theme="0"/>
      </colorScale>
    </cfRule>
    <cfRule type="expression" dxfId="2247" priority="3607">
      <formula>L27&lt;0</formula>
    </cfRule>
  </conditionalFormatting>
  <conditionalFormatting sqref="M28">
    <cfRule type="colorScale" priority="3604">
      <colorScale>
        <cfvo type="min"/>
        <cfvo type="max"/>
        <color theme="0"/>
        <color theme="0"/>
      </colorScale>
    </cfRule>
    <cfRule type="expression" dxfId="2246" priority="3605">
      <formula>L28&lt;0</formula>
    </cfRule>
  </conditionalFormatting>
  <conditionalFormatting sqref="M29">
    <cfRule type="expression" dxfId="2245" priority="3584">
      <formula>L29&lt;0</formula>
    </cfRule>
    <cfRule type="colorScale" priority="3582">
      <colorScale>
        <cfvo type="min"/>
        <cfvo type="max"/>
        <color theme="0"/>
        <color theme="0"/>
      </colorScale>
    </cfRule>
  </conditionalFormatting>
  <conditionalFormatting sqref="M30">
    <cfRule type="expression" dxfId="2244" priority="3603">
      <formula>L30&lt;0</formula>
    </cfRule>
    <cfRule type="colorScale" priority="3602">
      <colorScale>
        <cfvo type="min"/>
        <cfvo type="max"/>
        <color theme="0"/>
        <color theme="0"/>
      </colorScale>
    </cfRule>
  </conditionalFormatting>
  <conditionalFormatting sqref="M31">
    <cfRule type="expression" dxfId="2243" priority="3601">
      <formula>L31&lt;0</formula>
    </cfRule>
    <cfRule type="colorScale" priority="3600">
      <colorScale>
        <cfvo type="min"/>
        <cfvo type="max"/>
        <color theme="0"/>
        <color theme="0"/>
      </colorScale>
    </cfRule>
  </conditionalFormatting>
  <conditionalFormatting sqref="M39">
    <cfRule type="colorScale" priority="3578">
      <colorScale>
        <cfvo type="min"/>
        <cfvo type="max"/>
        <color theme="0"/>
        <color theme="0"/>
      </colorScale>
    </cfRule>
    <cfRule type="expression" dxfId="2242" priority="3580">
      <formula>L39&lt;0</formula>
    </cfRule>
    <cfRule type="expression" priority="3579">
      <formula>#REF!</formula>
    </cfRule>
  </conditionalFormatting>
  <conditionalFormatting sqref="M39:M107">
    <cfRule type="expression" dxfId="2241" priority="3516">
      <formula>IF(M39="Validar","Rojo","Verde")</formula>
    </cfRule>
  </conditionalFormatting>
  <conditionalFormatting sqref="M40:M67">
    <cfRule type="colorScale" priority="3597">
      <colorScale>
        <cfvo type="min"/>
        <cfvo type="max"/>
        <color theme="0"/>
        <color theme="0"/>
      </colorScale>
    </cfRule>
    <cfRule type="expression" priority="3598">
      <formula>$F$19</formula>
    </cfRule>
    <cfRule type="expression" dxfId="2240" priority="3599">
      <formula>L40&lt;0</formula>
    </cfRule>
  </conditionalFormatting>
  <conditionalFormatting sqref="M68">
    <cfRule type="colorScale" priority="3575">
      <colorScale>
        <cfvo type="min"/>
        <cfvo type="max"/>
        <color theme="0"/>
        <color theme="0"/>
      </colorScale>
    </cfRule>
    <cfRule type="expression" dxfId="2239" priority="3577">
      <formula>L68&lt;0</formula>
    </cfRule>
    <cfRule type="expression" priority="3576">
      <formula>#REF!</formula>
    </cfRule>
  </conditionalFormatting>
  <conditionalFormatting sqref="M69:M81">
    <cfRule type="expression" priority="3623">
      <formula>$F$19</formula>
    </cfRule>
    <cfRule type="colorScale" priority="3622">
      <colorScale>
        <cfvo type="min"/>
        <cfvo type="max"/>
        <color theme="0"/>
        <color theme="0"/>
      </colorScale>
    </cfRule>
    <cfRule type="expression" dxfId="2238" priority="3624">
      <formula>L69&lt;0</formula>
    </cfRule>
  </conditionalFormatting>
  <conditionalFormatting sqref="M82 M92 M103 M107">
    <cfRule type="expression" dxfId="2237" priority="3621">
      <formula>L82&lt;0</formula>
    </cfRule>
  </conditionalFormatting>
  <conditionalFormatting sqref="M83">
    <cfRule type="colorScale" priority="3517">
      <colorScale>
        <cfvo type="min"/>
        <cfvo type="max"/>
        <color theme="0"/>
        <color theme="0"/>
      </colorScale>
    </cfRule>
    <cfRule type="expression" priority="3518">
      <formula>#REF!</formula>
    </cfRule>
    <cfRule type="expression" dxfId="2236" priority="3519">
      <formula>L83&lt;0</formula>
    </cfRule>
  </conditionalFormatting>
  <conditionalFormatting sqref="M84:M91">
    <cfRule type="expression" priority="3626">
      <formula>$F$19</formula>
    </cfRule>
    <cfRule type="colorScale" priority="3625">
      <colorScale>
        <cfvo type="min"/>
        <cfvo type="max"/>
        <color theme="0"/>
        <color theme="0"/>
      </colorScale>
    </cfRule>
    <cfRule type="expression" dxfId="2235" priority="3627">
      <formula>L84&lt;0</formula>
    </cfRule>
  </conditionalFormatting>
  <conditionalFormatting sqref="M92 M82 M103 M107">
    <cfRule type="colorScale" priority="3620">
      <colorScale>
        <cfvo type="min"/>
        <cfvo type="max"/>
        <color theme="0"/>
        <color theme="0"/>
      </colorScale>
    </cfRule>
  </conditionalFormatting>
  <conditionalFormatting sqref="M93">
    <cfRule type="expression" dxfId="2234" priority="3574">
      <formula>L93&lt;0</formula>
    </cfRule>
    <cfRule type="colorScale" priority="3572">
      <colorScale>
        <cfvo type="min"/>
        <cfvo type="max"/>
        <color theme="0"/>
        <color theme="0"/>
      </colorScale>
    </cfRule>
    <cfRule type="expression" priority="3573">
      <formula>#REF!</formula>
    </cfRule>
  </conditionalFormatting>
  <conditionalFormatting sqref="M94:M102">
    <cfRule type="colorScale" priority="3628">
      <colorScale>
        <cfvo type="min"/>
        <cfvo type="max"/>
        <color theme="0"/>
        <color theme="0"/>
      </colorScale>
    </cfRule>
    <cfRule type="expression" priority="3629">
      <formula>$F$19</formula>
    </cfRule>
    <cfRule type="expression" dxfId="2233" priority="3630">
      <formula>L94&lt;0</formula>
    </cfRule>
  </conditionalFormatting>
  <conditionalFormatting sqref="M104">
    <cfRule type="expression" dxfId="2232" priority="3571">
      <formula>L104&lt;0</formula>
    </cfRule>
    <cfRule type="expression" priority="3570">
      <formula>#REF!</formula>
    </cfRule>
    <cfRule type="colorScale" priority="3569">
      <colorScale>
        <cfvo type="min"/>
        <cfvo type="max"/>
        <color theme="0"/>
        <color theme="0"/>
      </colorScale>
    </cfRule>
  </conditionalFormatting>
  <conditionalFormatting sqref="M105:M106">
    <cfRule type="expression" dxfId="2231" priority="3633">
      <formula>L105&lt;0</formula>
    </cfRule>
    <cfRule type="expression" priority="3632">
      <formula>$F$19</formula>
    </cfRule>
    <cfRule type="colorScale" priority="3631">
      <colorScale>
        <cfvo type="min"/>
        <cfvo type="max"/>
        <color theme="0"/>
        <color theme="0"/>
      </colorScale>
    </cfRule>
  </conditionalFormatting>
  <conditionalFormatting sqref="M110">
    <cfRule type="colorScale" priority="3634">
      <colorScale>
        <cfvo type="min"/>
        <cfvo type="max"/>
        <color theme="0"/>
        <color theme="0"/>
      </colorScale>
    </cfRule>
    <cfRule type="expression" dxfId="2230" priority="3635">
      <formula>L110&lt;0</formula>
    </cfRule>
  </conditionalFormatting>
  <conditionalFormatting sqref="M110:M111">
    <cfRule type="expression" priority="3514">
      <formula>$F$19</formula>
    </cfRule>
  </conditionalFormatting>
  <conditionalFormatting sqref="M111">
    <cfRule type="expression" dxfId="2229" priority="3515">
      <formula>L111&lt;0</formula>
    </cfRule>
    <cfRule type="colorScale" priority="3513">
      <colorScale>
        <cfvo type="min"/>
        <cfvo type="max"/>
        <color theme="0"/>
        <color theme="0"/>
      </colorScale>
    </cfRule>
  </conditionalFormatting>
  <conditionalFormatting sqref="M117:M123">
    <cfRule type="expression" dxfId="2228" priority="3641">
      <formula>L117&lt;0</formula>
    </cfRule>
    <cfRule type="expression" priority="3640">
      <formula>$F$19</formula>
    </cfRule>
    <cfRule type="colorScale" priority="3639">
      <colorScale>
        <cfvo type="min"/>
        <cfvo type="max"/>
        <color theme="0"/>
        <color theme="0"/>
      </colorScale>
    </cfRule>
  </conditionalFormatting>
  <conditionalFormatting sqref="M125">
    <cfRule type="expression" dxfId="2227" priority="3568">
      <formula>L125&lt;0</formula>
    </cfRule>
    <cfRule type="expression" priority="3567">
      <formula>#REF!</formula>
    </cfRule>
    <cfRule type="colorScale" priority="3566">
      <colorScale>
        <cfvo type="min"/>
        <cfvo type="max"/>
        <color theme="0"/>
        <color theme="0"/>
      </colorScale>
    </cfRule>
  </conditionalFormatting>
  <conditionalFormatting sqref="M125:M135">
    <cfRule type="expression" dxfId="2226" priority="3565">
      <formula>IF(M125="Validar","Rojo","Verde")</formula>
    </cfRule>
  </conditionalFormatting>
  <conditionalFormatting sqref="M126:M132">
    <cfRule type="expression" dxfId="2225" priority="3644">
      <formula>L126&lt;0</formula>
    </cfRule>
    <cfRule type="colorScale" priority="3642">
      <colorScale>
        <cfvo type="min"/>
        <cfvo type="max"/>
        <color theme="0"/>
        <color theme="0"/>
      </colorScale>
    </cfRule>
  </conditionalFormatting>
  <conditionalFormatting sqref="M126:M134">
    <cfRule type="expression" priority="3643">
      <formula>$F$19</formula>
    </cfRule>
  </conditionalFormatting>
  <conditionalFormatting sqref="M133:M134">
    <cfRule type="expression" dxfId="2224" priority="3646">
      <formula>L133&lt;0</formula>
    </cfRule>
    <cfRule type="colorScale" priority="3645">
      <colorScale>
        <cfvo type="min"/>
        <cfvo type="max"/>
        <color theme="0"/>
        <color theme="0"/>
      </colorScale>
    </cfRule>
  </conditionalFormatting>
  <conditionalFormatting sqref="M135">
    <cfRule type="expression" priority="3637">
      <formula>$F$23</formula>
    </cfRule>
    <cfRule type="expression" dxfId="2223" priority="3638">
      <formula>L135&lt;0</formula>
    </cfRule>
    <cfRule type="colorScale" priority="3636">
      <colorScale>
        <cfvo type="min"/>
        <cfvo type="max"/>
        <color theme="0"/>
        <color theme="0"/>
      </colorScale>
    </cfRule>
  </conditionalFormatting>
  <conditionalFormatting sqref="M110:N111">
    <cfRule type="expression" dxfId="2222" priority="3509">
      <formula>IF(M110="Validar","Rojo","Verde")</formula>
    </cfRule>
  </conditionalFormatting>
  <conditionalFormatting sqref="M117:N123">
    <cfRule type="expression" dxfId="2221" priority="3522">
      <formula>IF(M117="Validar","Rojo","Verde")</formula>
    </cfRule>
  </conditionalFormatting>
  <conditionalFormatting sqref="N40:N66">
    <cfRule type="expression" dxfId="2220" priority="3559">
      <formula>M40&lt;0</formula>
    </cfRule>
    <cfRule type="expression" priority="3558">
      <formula>#REF!</formula>
    </cfRule>
    <cfRule type="colorScale" priority="3557">
      <colorScale>
        <cfvo type="min"/>
        <cfvo type="max"/>
        <color theme="0"/>
        <color theme="0"/>
      </colorScale>
    </cfRule>
  </conditionalFormatting>
  <conditionalFormatting sqref="N40:N67">
    <cfRule type="expression" dxfId="2219" priority="3556">
      <formula>IF(N40="Validar","Rojo","Verde")</formula>
    </cfRule>
  </conditionalFormatting>
  <conditionalFormatting sqref="N67 M82:N82 M92:N92 M103:N103 M107:N107">
    <cfRule type="expression" priority="3561">
      <formula>$F$23</formula>
    </cfRule>
  </conditionalFormatting>
  <conditionalFormatting sqref="N67 N82 N92 N103 N107">
    <cfRule type="colorScale" priority="3560">
      <colorScale>
        <cfvo type="min"/>
        <cfvo type="max"/>
        <color theme="0"/>
        <color theme="0"/>
      </colorScale>
    </cfRule>
    <cfRule type="expression" dxfId="2218" priority="3562">
      <formula>M67&lt;0</formula>
    </cfRule>
  </conditionalFormatting>
  <conditionalFormatting sqref="N69">
    <cfRule type="expression" dxfId="2217" priority="3555">
      <formula>M69&lt;0</formula>
    </cfRule>
    <cfRule type="colorScale" priority="3554">
      <colorScale>
        <cfvo type="min"/>
        <cfvo type="max"/>
        <color theme="0"/>
        <color theme="0"/>
      </colorScale>
    </cfRule>
  </conditionalFormatting>
  <conditionalFormatting sqref="N69:N81">
    <cfRule type="expression" priority="3552">
      <formula>#REF!</formula>
    </cfRule>
  </conditionalFormatting>
  <conditionalFormatting sqref="N69:N82">
    <cfRule type="expression" dxfId="2216" priority="3550">
      <formula>IF(N69="Validar","Rojo","Verde")</formula>
    </cfRule>
  </conditionalFormatting>
  <conditionalFormatting sqref="N70:N78">
    <cfRule type="expression" dxfId="2215" priority="3553">
      <formula>M70&lt;0</formula>
    </cfRule>
    <cfRule type="colorScale" priority="3551">
      <colorScale>
        <cfvo type="min"/>
        <cfvo type="max"/>
        <color theme="0"/>
        <color theme="0"/>
      </colorScale>
    </cfRule>
  </conditionalFormatting>
  <conditionalFormatting sqref="N79:N81">
    <cfRule type="colorScale" priority="3563">
      <colorScale>
        <cfvo type="min"/>
        <cfvo type="max"/>
        <color theme="0"/>
        <color theme="0"/>
      </colorScale>
    </cfRule>
    <cfRule type="expression" dxfId="2214" priority="3564">
      <formula>M79&lt;0</formula>
    </cfRule>
  </conditionalFormatting>
  <conditionalFormatting sqref="N84">
    <cfRule type="expression" dxfId="2213" priority="3549">
      <formula>M84&lt;0</formula>
    </cfRule>
    <cfRule type="colorScale" priority="3548">
      <colorScale>
        <cfvo type="min"/>
        <cfvo type="max"/>
        <color theme="0"/>
        <color theme="0"/>
      </colorScale>
    </cfRule>
  </conditionalFormatting>
  <conditionalFormatting sqref="N84:N91">
    <cfRule type="expression" priority="3546">
      <formula>#REF!</formula>
    </cfRule>
  </conditionalFormatting>
  <conditionalFormatting sqref="N84:N92">
    <cfRule type="expression" dxfId="2212" priority="3544">
      <formula>IF(N84="Validar","Rojo","Verde")</formula>
    </cfRule>
  </conditionalFormatting>
  <conditionalFormatting sqref="N85:N91">
    <cfRule type="colorScale" priority="3545">
      <colorScale>
        <cfvo type="min"/>
        <cfvo type="max"/>
        <color theme="0"/>
        <color theme="0"/>
      </colorScale>
    </cfRule>
    <cfRule type="expression" dxfId="2211" priority="3547">
      <formula>M85&lt;0</formula>
    </cfRule>
  </conditionalFormatting>
  <conditionalFormatting sqref="N94">
    <cfRule type="colorScale" priority="3542">
      <colorScale>
        <cfvo type="min"/>
        <cfvo type="max"/>
        <color theme="0"/>
        <color theme="0"/>
      </colorScale>
    </cfRule>
    <cfRule type="expression" dxfId="2210" priority="3543">
      <formula>M94&lt;0</formula>
    </cfRule>
  </conditionalFormatting>
  <conditionalFormatting sqref="N94:N102">
    <cfRule type="expression" priority="3536">
      <formula>#REF!</formula>
    </cfRule>
  </conditionalFormatting>
  <conditionalFormatting sqref="N94:N103">
    <cfRule type="expression" dxfId="2209" priority="3534">
      <formula>IF(N94="Validar","Rojo","Verde")</formula>
    </cfRule>
  </conditionalFormatting>
  <conditionalFormatting sqref="N95:N100">
    <cfRule type="colorScale" priority="3540">
      <colorScale>
        <cfvo type="min"/>
        <cfvo type="max"/>
        <color theme="0"/>
        <color theme="0"/>
      </colorScale>
    </cfRule>
    <cfRule type="expression" dxfId="2208" priority="3541">
      <formula>M95&lt;0</formula>
    </cfRule>
  </conditionalFormatting>
  <conditionalFormatting sqref="N101">
    <cfRule type="colorScale" priority="3538">
      <colorScale>
        <cfvo type="min"/>
        <cfvo type="max"/>
        <color theme="0"/>
        <color theme="0"/>
      </colorScale>
    </cfRule>
    <cfRule type="expression" dxfId="2207" priority="3539">
      <formula>M101&lt;0</formula>
    </cfRule>
  </conditionalFormatting>
  <conditionalFormatting sqref="N102">
    <cfRule type="expression" dxfId="2206" priority="3537">
      <formula>M102&lt;0</formula>
    </cfRule>
    <cfRule type="colorScale" priority="3535">
      <colorScale>
        <cfvo type="min"/>
        <cfvo type="max"/>
        <color theme="0"/>
        <color theme="0"/>
      </colorScale>
    </cfRule>
  </conditionalFormatting>
  <conditionalFormatting sqref="N105">
    <cfRule type="colorScale" priority="3532">
      <colorScale>
        <cfvo type="min"/>
        <cfvo type="max"/>
        <color theme="0"/>
        <color theme="0"/>
      </colorScale>
    </cfRule>
    <cfRule type="expression" dxfId="2205" priority="3533">
      <formula>M105&lt;0</formula>
    </cfRule>
  </conditionalFormatting>
  <conditionalFormatting sqref="N105:N106">
    <cfRule type="expression" priority="3530">
      <formula>#REF!</formula>
    </cfRule>
  </conditionalFormatting>
  <conditionalFormatting sqref="N105:N107">
    <cfRule type="expression" dxfId="2204" priority="3528">
      <formula>IF(N105="Validar","Rojo","Verde")</formula>
    </cfRule>
  </conditionalFormatting>
  <conditionalFormatting sqref="N106">
    <cfRule type="expression" dxfId="2203" priority="3531">
      <formula>M106&lt;0</formula>
    </cfRule>
    <cfRule type="colorScale" priority="3529">
      <colorScale>
        <cfvo type="min"/>
        <cfvo type="max"/>
        <color theme="0"/>
        <color theme="0"/>
      </colorScale>
    </cfRule>
  </conditionalFormatting>
  <conditionalFormatting sqref="N110">
    <cfRule type="colorScale" priority="3520">
      <colorScale>
        <cfvo type="min"/>
        <cfvo type="max"/>
        <color theme="0"/>
        <color theme="0"/>
      </colorScale>
    </cfRule>
    <cfRule type="expression" dxfId="2202" priority="3521">
      <formula>M110&lt;0</formula>
    </cfRule>
  </conditionalFormatting>
  <conditionalFormatting sqref="N110:N111">
    <cfRule type="expression" priority="3511">
      <formula>#REF!</formula>
    </cfRule>
  </conditionalFormatting>
  <conditionalFormatting sqref="N111">
    <cfRule type="colorScale" priority="3510">
      <colorScale>
        <cfvo type="min"/>
        <cfvo type="max"/>
        <color theme="0"/>
        <color theme="0"/>
      </colorScale>
    </cfRule>
    <cfRule type="expression" dxfId="2201" priority="3512">
      <formula>M111&lt;0</formula>
    </cfRule>
  </conditionalFormatting>
  <conditionalFormatting sqref="N117">
    <cfRule type="colorScale" priority="3526">
      <colorScale>
        <cfvo type="min"/>
        <cfvo type="max"/>
        <color theme="0"/>
        <color theme="0"/>
      </colorScale>
    </cfRule>
    <cfRule type="expression" dxfId="2200" priority="3527">
      <formula>M117&lt;0</formula>
    </cfRule>
  </conditionalFormatting>
  <conditionalFormatting sqref="N117:N123">
    <cfRule type="expression" priority="3524">
      <formula>#REF!</formula>
    </cfRule>
  </conditionalFormatting>
  <conditionalFormatting sqref="N118:N123">
    <cfRule type="colorScale" priority="3523">
      <colorScale>
        <cfvo type="min"/>
        <cfvo type="max"/>
        <color theme="0"/>
        <color theme="0"/>
      </colorScale>
    </cfRule>
    <cfRule type="expression" dxfId="2199" priority="3525">
      <formula>M118&lt;0</formula>
    </cfRule>
  </conditionalFormatting>
  <conditionalFormatting sqref="N126:N135">
    <cfRule type="expression" dxfId="2198" priority="3647">
      <formula>IF(N126="Validar","Rojo","Verde")</formula>
    </cfRule>
    <cfRule type="expression" dxfId="2197" priority="3650">
      <formula>M126&lt;0</formula>
    </cfRule>
    <cfRule type="colorScale" priority="3648">
      <colorScale>
        <cfvo type="min"/>
        <cfvo type="max"/>
        <color theme="0"/>
        <color theme="0"/>
      </colorScale>
    </cfRule>
    <cfRule type="expression" priority="3649">
      <formula>$F$23</formula>
    </cfRule>
  </conditionalFormatting>
  <conditionalFormatting sqref="P5 P9">
    <cfRule type="expression" dxfId="2196" priority="3769">
      <formula>O5&lt;0</formula>
    </cfRule>
  </conditionalFormatting>
  <conditionalFormatting sqref="P5:P20">
    <cfRule type="expression" priority="3652">
      <formula>#REF!</formula>
    </cfRule>
    <cfRule type="expression" dxfId="2195" priority="3651">
      <formula>IF(P5="Validar","Rojo","Verde")</formula>
    </cfRule>
  </conditionalFormatting>
  <conditionalFormatting sqref="P6">
    <cfRule type="colorScale" priority="3657">
      <colorScale>
        <cfvo type="min"/>
        <cfvo type="max"/>
        <color theme="0"/>
        <color theme="0"/>
      </colorScale>
    </cfRule>
    <cfRule type="expression" dxfId="2194" priority="3658">
      <formula>O6&lt;0</formula>
    </cfRule>
  </conditionalFormatting>
  <conditionalFormatting sqref="P7:P8">
    <cfRule type="expression" dxfId="2193" priority="3654">
      <formula>O7&lt;0</formula>
    </cfRule>
    <cfRule type="colorScale" priority="3653">
      <colorScale>
        <cfvo type="min"/>
        <cfvo type="max"/>
        <color theme="0"/>
        <color theme="0"/>
      </colorScale>
    </cfRule>
  </conditionalFormatting>
  <conditionalFormatting sqref="P9 P5">
    <cfRule type="colorScale" priority="3768">
      <colorScale>
        <cfvo type="min"/>
        <cfvo type="max"/>
        <color theme="0"/>
        <color theme="0"/>
      </colorScale>
    </cfRule>
  </conditionalFormatting>
  <conditionalFormatting sqref="P10">
    <cfRule type="expression" dxfId="2192" priority="3746">
      <formula>O10&lt;0</formula>
    </cfRule>
    <cfRule type="colorScale" priority="3745">
      <colorScale>
        <cfvo type="min"/>
        <cfvo type="max"/>
        <color theme="0"/>
        <color theme="0"/>
      </colorScale>
    </cfRule>
  </conditionalFormatting>
  <conditionalFormatting sqref="P11:P14">
    <cfRule type="colorScale" priority="3766">
      <colorScale>
        <cfvo type="min"/>
        <cfvo type="max"/>
        <color theme="0"/>
        <color theme="0"/>
      </colorScale>
    </cfRule>
    <cfRule type="expression" dxfId="2191" priority="3767">
      <formula>O11&lt;0</formula>
    </cfRule>
  </conditionalFormatting>
  <conditionalFormatting sqref="P15">
    <cfRule type="expression" dxfId="2190" priority="3744">
      <formula>O15&lt;0</formula>
    </cfRule>
    <cfRule type="colorScale" priority="3743">
      <colorScale>
        <cfvo type="min"/>
        <cfvo type="max"/>
        <color theme="0"/>
        <color theme="0"/>
      </colorScale>
    </cfRule>
  </conditionalFormatting>
  <conditionalFormatting sqref="P16:P17">
    <cfRule type="expression" dxfId="2189" priority="3765">
      <formula>O16&lt;0</formula>
    </cfRule>
    <cfRule type="colorScale" priority="3764">
      <colorScale>
        <cfvo type="min"/>
        <cfvo type="max"/>
        <color theme="0"/>
        <color theme="0"/>
      </colorScale>
    </cfRule>
  </conditionalFormatting>
  <conditionalFormatting sqref="P18">
    <cfRule type="expression" dxfId="2188" priority="3742">
      <formula>O18&lt;0</formula>
    </cfRule>
    <cfRule type="colorScale" priority="3740">
      <colorScale>
        <cfvo type="min"/>
        <cfvo type="max"/>
        <color theme="0"/>
        <color theme="0"/>
      </colorScale>
    </cfRule>
  </conditionalFormatting>
  <conditionalFormatting sqref="P19:P20">
    <cfRule type="expression" dxfId="2187" priority="3763">
      <formula>O19&lt;0</formula>
    </cfRule>
    <cfRule type="colorScale" priority="3762">
      <colorScale>
        <cfvo type="min"/>
        <cfvo type="max"/>
        <color theme="0"/>
        <color theme="0"/>
      </colorScale>
    </cfRule>
  </conditionalFormatting>
  <conditionalFormatting sqref="P23">
    <cfRule type="expression" dxfId="2186" priority="3738">
      <formula>O23&lt;0</formula>
    </cfRule>
    <cfRule type="colorScale" priority="3737">
      <colorScale>
        <cfvo type="min"/>
        <cfvo type="max"/>
        <color theme="0"/>
        <color theme="0"/>
      </colorScale>
    </cfRule>
  </conditionalFormatting>
  <conditionalFormatting sqref="P23:P31">
    <cfRule type="expression" priority="3733">
      <formula>#REF!</formula>
    </cfRule>
    <cfRule type="expression" dxfId="2185" priority="3731">
      <formula>IF(P23="Validar","Rojo","Verde")</formula>
    </cfRule>
  </conditionalFormatting>
  <conditionalFormatting sqref="P24">
    <cfRule type="expression" dxfId="2184" priority="3761">
      <formula>O24&lt;0</formula>
    </cfRule>
    <cfRule type="colorScale" priority="3760">
      <colorScale>
        <cfvo type="min"/>
        <cfvo type="max"/>
        <color theme="0"/>
        <color theme="0"/>
      </colorScale>
    </cfRule>
  </conditionalFormatting>
  <conditionalFormatting sqref="P25">
    <cfRule type="colorScale" priority="3758">
      <colorScale>
        <cfvo type="min"/>
        <cfvo type="max"/>
        <color theme="0"/>
        <color theme="0"/>
      </colorScale>
    </cfRule>
    <cfRule type="expression" dxfId="2183" priority="3759">
      <formula>O25&lt;0</formula>
    </cfRule>
  </conditionalFormatting>
  <conditionalFormatting sqref="P26">
    <cfRule type="expression" dxfId="2182" priority="3736">
      <formula>O26&lt;0</formula>
    </cfRule>
    <cfRule type="colorScale" priority="3735">
      <colorScale>
        <cfvo type="min"/>
        <cfvo type="max"/>
        <color theme="0"/>
        <color theme="0"/>
      </colorScale>
    </cfRule>
  </conditionalFormatting>
  <conditionalFormatting sqref="P27">
    <cfRule type="colorScale" priority="3756">
      <colorScale>
        <cfvo type="min"/>
        <cfvo type="max"/>
        <color theme="0"/>
        <color theme="0"/>
      </colorScale>
    </cfRule>
    <cfRule type="expression" dxfId="2181" priority="3757">
      <formula>O27&lt;0</formula>
    </cfRule>
  </conditionalFormatting>
  <conditionalFormatting sqref="P28">
    <cfRule type="expression" dxfId="2180" priority="3755">
      <formula>O28&lt;0</formula>
    </cfRule>
    <cfRule type="colorScale" priority="3754">
      <colorScale>
        <cfvo type="min"/>
        <cfvo type="max"/>
        <color theme="0"/>
        <color theme="0"/>
      </colorScale>
    </cfRule>
  </conditionalFormatting>
  <conditionalFormatting sqref="P29">
    <cfRule type="expression" dxfId="2179" priority="3734">
      <formula>O29&lt;0</formula>
    </cfRule>
    <cfRule type="colorScale" priority="3732">
      <colorScale>
        <cfvo type="min"/>
        <cfvo type="max"/>
        <color theme="0"/>
        <color theme="0"/>
      </colorScale>
    </cfRule>
  </conditionalFormatting>
  <conditionalFormatting sqref="P30">
    <cfRule type="expression" dxfId="2178" priority="3753">
      <formula>O30&lt;0</formula>
    </cfRule>
    <cfRule type="colorScale" priority="3752">
      <colorScale>
        <cfvo type="min"/>
        <cfvo type="max"/>
        <color theme="0"/>
        <color theme="0"/>
      </colorScale>
    </cfRule>
  </conditionalFormatting>
  <conditionalFormatting sqref="P31">
    <cfRule type="colorScale" priority="3750">
      <colorScale>
        <cfvo type="min"/>
        <cfvo type="max"/>
        <color theme="0"/>
        <color theme="0"/>
      </colorScale>
    </cfRule>
    <cfRule type="expression" dxfId="2177" priority="3751">
      <formula>O31&lt;0</formula>
    </cfRule>
  </conditionalFormatting>
  <conditionalFormatting sqref="P39">
    <cfRule type="expression" dxfId="2176" priority="3730">
      <formula>O39&lt;0</formula>
    </cfRule>
    <cfRule type="expression" priority="3729">
      <formula>#REF!</formula>
    </cfRule>
    <cfRule type="colorScale" priority="3728">
      <colorScale>
        <cfvo type="min"/>
        <cfvo type="max"/>
        <color theme="0"/>
        <color theme="0"/>
      </colorScale>
    </cfRule>
  </conditionalFormatting>
  <conditionalFormatting sqref="P39:P107">
    <cfRule type="expression" dxfId="2175" priority="3666">
      <formula>IF(P39="Validar","Rojo","Verde")</formula>
    </cfRule>
  </conditionalFormatting>
  <conditionalFormatting sqref="P40:P67">
    <cfRule type="expression" dxfId="2174" priority="3749">
      <formula>O40&lt;0</formula>
    </cfRule>
    <cfRule type="colorScale" priority="3747">
      <colorScale>
        <cfvo type="min"/>
        <cfvo type="max"/>
        <color theme="0"/>
        <color theme="0"/>
      </colorScale>
    </cfRule>
    <cfRule type="expression" priority="3748">
      <formula>$F$19</formula>
    </cfRule>
  </conditionalFormatting>
  <conditionalFormatting sqref="P68">
    <cfRule type="colorScale" priority="3725">
      <colorScale>
        <cfvo type="min"/>
        <cfvo type="max"/>
        <color theme="0"/>
        <color theme="0"/>
      </colorScale>
    </cfRule>
    <cfRule type="expression" priority="3726">
      <formula>#REF!</formula>
    </cfRule>
    <cfRule type="expression" dxfId="2173" priority="3727">
      <formula>O68&lt;0</formula>
    </cfRule>
  </conditionalFormatting>
  <conditionalFormatting sqref="P69:P81">
    <cfRule type="expression" dxfId="2172" priority="3774">
      <formula>O69&lt;0</formula>
    </cfRule>
    <cfRule type="expression" priority="3773">
      <formula>$F$19</formula>
    </cfRule>
    <cfRule type="colorScale" priority="3772">
      <colorScale>
        <cfvo type="min"/>
        <cfvo type="max"/>
        <color theme="0"/>
        <color theme="0"/>
      </colorScale>
    </cfRule>
  </conditionalFormatting>
  <conditionalFormatting sqref="P82 P92 P103 P107">
    <cfRule type="expression" dxfId="2171" priority="3771">
      <formula>O82&lt;0</formula>
    </cfRule>
  </conditionalFormatting>
  <conditionalFormatting sqref="P83">
    <cfRule type="colorScale" priority="3667">
      <colorScale>
        <cfvo type="min"/>
        <cfvo type="max"/>
        <color theme="0"/>
        <color theme="0"/>
      </colorScale>
    </cfRule>
    <cfRule type="expression" priority="3668">
      <formula>#REF!</formula>
    </cfRule>
    <cfRule type="expression" dxfId="2170" priority="3669">
      <formula>O83&lt;0</formula>
    </cfRule>
  </conditionalFormatting>
  <conditionalFormatting sqref="P84:P91">
    <cfRule type="expression" dxfId="2169" priority="3777">
      <formula>O84&lt;0</formula>
    </cfRule>
    <cfRule type="colorScale" priority="3775">
      <colorScale>
        <cfvo type="min"/>
        <cfvo type="max"/>
        <color theme="0"/>
        <color theme="0"/>
      </colorScale>
    </cfRule>
    <cfRule type="expression" priority="3776">
      <formula>$F$19</formula>
    </cfRule>
  </conditionalFormatting>
  <conditionalFormatting sqref="P92 P82 P103 P107">
    <cfRule type="colorScale" priority="3770">
      <colorScale>
        <cfvo type="min"/>
        <cfvo type="max"/>
        <color theme="0"/>
        <color theme="0"/>
      </colorScale>
    </cfRule>
  </conditionalFormatting>
  <conditionalFormatting sqref="P93">
    <cfRule type="expression" priority="3723">
      <formula>#REF!</formula>
    </cfRule>
    <cfRule type="colorScale" priority="3722">
      <colorScale>
        <cfvo type="min"/>
        <cfvo type="max"/>
        <color theme="0"/>
        <color theme="0"/>
      </colorScale>
    </cfRule>
    <cfRule type="expression" dxfId="2168" priority="3724">
      <formula>O93&lt;0</formula>
    </cfRule>
  </conditionalFormatting>
  <conditionalFormatting sqref="P94:P102">
    <cfRule type="expression" dxfId="2167" priority="3780">
      <formula>O94&lt;0</formula>
    </cfRule>
    <cfRule type="colorScale" priority="3778">
      <colorScale>
        <cfvo type="min"/>
        <cfvo type="max"/>
        <color theme="0"/>
        <color theme="0"/>
      </colorScale>
    </cfRule>
    <cfRule type="expression" priority="3779">
      <formula>$F$19</formula>
    </cfRule>
  </conditionalFormatting>
  <conditionalFormatting sqref="P104">
    <cfRule type="expression" priority="3720">
      <formula>#REF!</formula>
    </cfRule>
    <cfRule type="colorScale" priority="3719">
      <colorScale>
        <cfvo type="min"/>
        <cfvo type="max"/>
        <color theme="0"/>
        <color theme="0"/>
      </colorScale>
    </cfRule>
    <cfRule type="expression" dxfId="2166" priority="3721">
      <formula>O104&lt;0</formula>
    </cfRule>
  </conditionalFormatting>
  <conditionalFormatting sqref="P105:P106">
    <cfRule type="expression" priority="3782">
      <formula>$F$19</formula>
    </cfRule>
    <cfRule type="expression" dxfId="2165" priority="3783">
      <formula>O105&lt;0</formula>
    </cfRule>
    <cfRule type="colorScale" priority="3781">
      <colorScale>
        <cfvo type="min"/>
        <cfvo type="max"/>
        <color theme="0"/>
        <color theme="0"/>
      </colorScale>
    </cfRule>
  </conditionalFormatting>
  <conditionalFormatting sqref="P110">
    <cfRule type="colorScale" priority="3784">
      <colorScale>
        <cfvo type="min"/>
        <cfvo type="max"/>
        <color theme="0"/>
        <color theme="0"/>
      </colorScale>
    </cfRule>
    <cfRule type="expression" dxfId="2164" priority="3785">
      <formula>O110&lt;0</formula>
    </cfRule>
  </conditionalFormatting>
  <conditionalFormatting sqref="P110:P111">
    <cfRule type="expression" priority="3664">
      <formula>$F$19</formula>
    </cfRule>
  </conditionalFormatting>
  <conditionalFormatting sqref="P111">
    <cfRule type="expression" dxfId="2163" priority="3665">
      <formula>O111&lt;0</formula>
    </cfRule>
    <cfRule type="colorScale" priority="3663">
      <colorScale>
        <cfvo type="min"/>
        <cfvo type="max"/>
        <color theme="0"/>
        <color theme="0"/>
      </colorScale>
    </cfRule>
  </conditionalFormatting>
  <conditionalFormatting sqref="P117:P123">
    <cfRule type="colorScale" priority="3789">
      <colorScale>
        <cfvo type="min"/>
        <cfvo type="max"/>
        <color theme="0"/>
        <color theme="0"/>
      </colorScale>
    </cfRule>
    <cfRule type="expression" priority="3790">
      <formula>$F$19</formula>
    </cfRule>
    <cfRule type="expression" dxfId="2162" priority="3791">
      <formula>O117&lt;0</formula>
    </cfRule>
  </conditionalFormatting>
  <conditionalFormatting sqref="P125">
    <cfRule type="expression" dxfId="2161" priority="3718">
      <formula>O125&lt;0</formula>
    </cfRule>
    <cfRule type="expression" priority="3717">
      <formula>#REF!</formula>
    </cfRule>
    <cfRule type="colorScale" priority="3716">
      <colorScale>
        <cfvo type="min"/>
        <cfvo type="max"/>
        <color theme="0"/>
        <color theme="0"/>
      </colorScale>
    </cfRule>
  </conditionalFormatting>
  <conditionalFormatting sqref="P125:P135">
    <cfRule type="expression" dxfId="2160" priority="3715">
      <formula>IF(P125="Validar","Rojo","Verde")</formula>
    </cfRule>
  </conditionalFormatting>
  <conditionalFormatting sqref="P126:P132">
    <cfRule type="expression" dxfId="2159" priority="3794">
      <formula>O126&lt;0</formula>
    </cfRule>
    <cfRule type="colorScale" priority="3792">
      <colorScale>
        <cfvo type="min"/>
        <cfvo type="max"/>
        <color theme="0"/>
        <color theme="0"/>
      </colorScale>
    </cfRule>
  </conditionalFormatting>
  <conditionalFormatting sqref="P126:P134">
    <cfRule type="expression" priority="3793">
      <formula>$F$19</formula>
    </cfRule>
  </conditionalFormatting>
  <conditionalFormatting sqref="P133:P134">
    <cfRule type="colorScale" priority="3795">
      <colorScale>
        <cfvo type="min"/>
        <cfvo type="max"/>
        <color theme="0"/>
        <color theme="0"/>
      </colorScale>
    </cfRule>
    <cfRule type="expression" dxfId="2158" priority="3796">
      <formula>O133&lt;0</formula>
    </cfRule>
  </conditionalFormatting>
  <conditionalFormatting sqref="P135">
    <cfRule type="expression" priority="3787">
      <formula>$F$23</formula>
    </cfRule>
    <cfRule type="colorScale" priority="3786">
      <colorScale>
        <cfvo type="min"/>
        <cfvo type="max"/>
        <color theme="0"/>
        <color theme="0"/>
      </colorScale>
    </cfRule>
    <cfRule type="expression" dxfId="2157" priority="3788">
      <formula>O135&lt;0</formula>
    </cfRule>
  </conditionalFormatting>
  <conditionalFormatting sqref="P110:R111">
    <cfRule type="expression" dxfId="2156" priority="3659">
      <formula>IF(P110="Validar","Rojo","Verde")</formula>
    </cfRule>
  </conditionalFormatting>
  <conditionalFormatting sqref="P117:R123">
    <cfRule type="expression" dxfId="2155" priority="3672">
      <formula>IF(P117="Validar","Rojo","Verde")</formula>
    </cfRule>
  </conditionalFormatting>
  <conditionalFormatting sqref="Q40:Q66">
    <cfRule type="expression" dxfId="2154" priority="3709">
      <formula>P40&lt;0</formula>
    </cfRule>
    <cfRule type="expression" priority="3708">
      <formula>#REF!</formula>
    </cfRule>
    <cfRule type="colorScale" priority="3707">
      <colorScale>
        <cfvo type="min"/>
        <cfvo type="max"/>
        <color theme="0"/>
        <color theme="0"/>
      </colorScale>
    </cfRule>
  </conditionalFormatting>
  <conditionalFormatting sqref="Q40:Q67">
    <cfRule type="expression" dxfId="2153" priority="3706">
      <formula>IF(Q40="Validar","Rojo","Verde")</formula>
    </cfRule>
  </conditionalFormatting>
  <conditionalFormatting sqref="Q67 P82:Q82 P92:Q92 P103:Q103 P107:Q107">
    <cfRule type="expression" priority="3711">
      <formula>$F$23</formula>
    </cfRule>
  </conditionalFormatting>
  <conditionalFormatting sqref="Q67 Q82 Q92 Q103 Q107">
    <cfRule type="expression" dxfId="2152" priority="3712">
      <formula>P67&lt;0</formula>
    </cfRule>
    <cfRule type="colorScale" priority="3710">
      <colorScale>
        <cfvo type="min"/>
        <cfvo type="max"/>
        <color theme="0"/>
        <color theme="0"/>
      </colorScale>
    </cfRule>
  </conditionalFormatting>
  <conditionalFormatting sqref="Q69">
    <cfRule type="expression" dxfId="2151" priority="3705">
      <formula>P69&lt;0</formula>
    </cfRule>
    <cfRule type="colorScale" priority="3704">
      <colorScale>
        <cfvo type="min"/>
        <cfvo type="max"/>
        <color theme="0"/>
        <color theme="0"/>
      </colorScale>
    </cfRule>
  </conditionalFormatting>
  <conditionalFormatting sqref="Q69:Q81">
    <cfRule type="expression" priority="3702">
      <formula>#REF!</formula>
    </cfRule>
  </conditionalFormatting>
  <conditionalFormatting sqref="Q69:Q82">
    <cfRule type="expression" dxfId="2150" priority="3700">
      <formula>IF(Q69="Validar","Rojo","Verde")</formula>
    </cfRule>
  </conditionalFormatting>
  <conditionalFormatting sqref="Q70:Q78">
    <cfRule type="expression" dxfId="2149" priority="3703">
      <formula>P70&lt;0</formula>
    </cfRule>
    <cfRule type="colorScale" priority="3701">
      <colorScale>
        <cfvo type="min"/>
        <cfvo type="max"/>
        <color theme="0"/>
        <color theme="0"/>
      </colorScale>
    </cfRule>
  </conditionalFormatting>
  <conditionalFormatting sqref="Q79:Q81">
    <cfRule type="expression" dxfId="2148" priority="3714">
      <formula>P79&lt;0</formula>
    </cfRule>
    <cfRule type="colorScale" priority="3713">
      <colorScale>
        <cfvo type="min"/>
        <cfvo type="max"/>
        <color theme="0"/>
        <color theme="0"/>
      </colorScale>
    </cfRule>
  </conditionalFormatting>
  <conditionalFormatting sqref="Q84">
    <cfRule type="colorScale" priority="3698">
      <colorScale>
        <cfvo type="min"/>
        <cfvo type="max"/>
        <color theme="0"/>
        <color theme="0"/>
      </colorScale>
    </cfRule>
    <cfRule type="expression" dxfId="2147" priority="3699">
      <formula>P84&lt;0</formula>
    </cfRule>
  </conditionalFormatting>
  <conditionalFormatting sqref="Q84:Q91">
    <cfRule type="expression" priority="3696">
      <formula>#REF!</formula>
    </cfRule>
  </conditionalFormatting>
  <conditionalFormatting sqref="Q84:Q92">
    <cfRule type="expression" dxfId="2146" priority="3694">
      <formula>IF(Q84="Validar","Rojo","Verde")</formula>
    </cfRule>
  </conditionalFormatting>
  <conditionalFormatting sqref="Q85:Q91">
    <cfRule type="expression" dxfId="2145" priority="3697">
      <formula>P85&lt;0</formula>
    </cfRule>
    <cfRule type="colorScale" priority="3695">
      <colorScale>
        <cfvo type="min"/>
        <cfvo type="max"/>
        <color theme="0"/>
        <color theme="0"/>
      </colorScale>
    </cfRule>
  </conditionalFormatting>
  <conditionalFormatting sqref="Q94">
    <cfRule type="expression" dxfId="2144" priority="3693">
      <formula>P94&lt;0</formula>
    </cfRule>
    <cfRule type="colorScale" priority="3692">
      <colorScale>
        <cfvo type="min"/>
        <cfvo type="max"/>
        <color theme="0"/>
        <color theme="0"/>
      </colorScale>
    </cfRule>
  </conditionalFormatting>
  <conditionalFormatting sqref="Q94:Q102">
    <cfRule type="expression" priority="3686">
      <formula>#REF!</formula>
    </cfRule>
  </conditionalFormatting>
  <conditionalFormatting sqref="Q94:Q103">
    <cfRule type="expression" dxfId="2143" priority="3684">
      <formula>IF(Q94="Validar","Rojo","Verde")</formula>
    </cfRule>
  </conditionalFormatting>
  <conditionalFormatting sqref="Q95:Q100">
    <cfRule type="expression" dxfId="2142" priority="3691">
      <formula>P95&lt;0</formula>
    </cfRule>
    <cfRule type="colorScale" priority="3690">
      <colorScale>
        <cfvo type="min"/>
        <cfvo type="max"/>
        <color theme="0"/>
        <color theme="0"/>
      </colorScale>
    </cfRule>
  </conditionalFormatting>
  <conditionalFormatting sqref="Q101">
    <cfRule type="expression" dxfId="2141" priority="3689">
      <formula>P101&lt;0</formula>
    </cfRule>
    <cfRule type="colorScale" priority="3688">
      <colorScale>
        <cfvo type="min"/>
        <cfvo type="max"/>
        <color theme="0"/>
        <color theme="0"/>
      </colorScale>
    </cfRule>
  </conditionalFormatting>
  <conditionalFormatting sqref="Q102">
    <cfRule type="colorScale" priority="3685">
      <colorScale>
        <cfvo type="min"/>
        <cfvo type="max"/>
        <color theme="0"/>
        <color theme="0"/>
      </colorScale>
    </cfRule>
    <cfRule type="expression" dxfId="2140" priority="3687">
      <formula>P102&lt;0</formula>
    </cfRule>
  </conditionalFormatting>
  <conditionalFormatting sqref="Q105">
    <cfRule type="expression" dxfId="2139" priority="3683">
      <formula>P105&lt;0</formula>
    </cfRule>
    <cfRule type="colorScale" priority="3682">
      <colorScale>
        <cfvo type="min"/>
        <cfvo type="max"/>
        <color theme="0"/>
        <color theme="0"/>
      </colorScale>
    </cfRule>
  </conditionalFormatting>
  <conditionalFormatting sqref="Q105:Q106">
    <cfRule type="expression" priority="3680">
      <formula>#REF!</formula>
    </cfRule>
  </conditionalFormatting>
  <conditionalFormatting sqref="Q105:Q107">
    <cfRule type="expression" dxfId="2138" priority="3678">
      <formula>IF(Q105="Validar","Rojo","Verde")</formula>
    </cfRule>
  </conditionalFormatting>
  <conditionalFormatting sqref="Q106">
    <cfRule type="colorScale" priority="3679">
      <colorScale>
        <cfvo type="min"/>
        <cfvo type="max"/>
        <color theme="0"/>
        <color theme="0"/>
      </colorScale>
    </cfRule>
    <cfRule type="expression" dxfId="2137" priority="3681">
      <formula>P106&lt;0</formula>
    </cfRule>
  </conditionalFormatting>
  <conditionalFormatting sqref="Q110">
    <cfRule type="colorScale" priority="3670">
      <colorScale>
        <cfvo type="min"/>
        <cfvo type="max"/>
        <color theme="0"/>
        <color theme="0"/>
      </colorScale>
    </cfRule>
    <cfRule type="expression" dxfId="2136" priority="3671">
      <formula>P110&lt;0</formula>
    </cfRule>
  </conditionalFormatting>
  <conditionalFormatting sqref="Q111">
    <cfRule type="expression" dxfId="2135" priority="3662">
      <formula>P111&lt;0</formula>
    </cfRule>
    <cfRule type="colorScale" priority="3660">
      <colorScale>
        <cfvo type="min"/>
        <cfvo type="max"/>
        <color theme="0"/>
        <color theme="0"/>
      </colorScale>
    </cfRule>
  </conditionalFormatting>
  <conditionalFormatting sqref="Q117">
    <cfRule type="expression" dxfId="2134" priority="3677">
      <formula>P117&lt;0</formula>
    </cfRule>
    <cfRule type="colorScale" priority="3676">
      <colorScale>
        <cfvo type="min"/>
        <cfvo type="max"/>
        <color theme="0"/>
        <color theme="0"/>
      </colorScale>
    </cfRule>
  </conditionalFormatting>
  <conditionalFormatting sqref="Q118:Q123">
    <cfRule type="expression" dxfId="2133" priority="3675">
      <formula>P118&lt;0</formula>
    </cfRule>
    <cfRule type="colorScale" priority="3673">
      <colorScale>
        <cfvo type="min"/>
        <cfvo type="max"/>
        <color theme="0"/>
        <color theme="0"/>
      </colorScale>
    </cfRule>
  </conditionalFormatting>
  <conditionalFormatting sqref="Q126:Q135">
    <cfRule type="expression" priority="3799">
      <formula>$F$23</formula>
    </cfRule>
    <cfRule type="expression" dxfId="2132" priority="3797">
      <formula>IF(Q126="Validar","Rojo","Verde")</formula>
    </cfRule>
    <cfRule type="expression" dxfId="2131" priority="3800">
      <formula>P126&lt;0</formula>
    </cfRule>
    <cfRule type="colorScale" priority="3798">
      <colorScale>
        <cfvo type="min"/>
        <cfvo type="max"/>
        <color theme="0"/>
        <color theme="0"/>
      </colorScale>
    </cfRule>
  </conditionalFormatting>
  <conditionalFormatting sqref="Q110:R111">
    <cfRule type="expression" priority="3661">
      <formula>#REF!</formula>
    </cfRule>
  </conditionalFormatting>
  <conditionalFormatting sqref="Q117:R123">
    <cfRule type="expression" priority="3674">
      <formula>#REF!</formula>
    </cfRule>
  </conditionalFormatting>
  <conditionalFormatting sqref="R5">
    <cfRule type="colorScale" priority="5462">
      <colorScale>
        <cfvo type="min"/>
        <cfvo type="max"/>
        <color theme="0"/>
        <color theme="0"/>
      </colorScale>
    </cfRule>
    <cfRule type="expression" dxfId="2130" priority="5463">
      <formula>Q5&lt;0</formula>
    </cfRule>
  </conditionalFormatting>
  <conditionalFormatting sqref="R5:R16">
    <cfRule type="expression" priority="5436">
      <formula>#REF!</formula>
    </cfRule>
    <cfRule type="expression" dxfId="2129" priority="5434">
      <formula>IF(R5="Validar","Rojo","Verde")</formula>
    </cfRule>
  </conditionalFormatting>
  <conditionalFormatting sqref="R6:R9">
    <cfRule type="expression" dxfId="2128" priority="5471">
      <formula>Q6&lt;0</formula>
    </cfRule>
    <cfRule type="colorScale" priority="5470">
      <colorScale>
        <cfvo type="min"/>
        <cfvo type="max"/>
        <color theme="0"/>
        <color theme="0"/>
      </colorScale>
    </cfRule>
  </conditionalFormatting>
  <conditionalFormatting sqref="R10">
    <cfRule type="expression" dxfId="2127" priority="5439">
      <formula>Q10&lt;0</formula>
    </cfRule>
    <cfRule type="colorScale" priority="5438">
      <colorScale>
        <cfvo type="min"/>
        <cfvo type="max"/>
        <color theme="0"/>
        <color theme="0"/>
      </colorScale>
    </cfRule>
  </conditionalFormatting>
  <conditionalFormatting sqref="R11:R14">
    <cfRule type="colorScale" priority="5468">
      <colorScale>
        <cfvo type="min"/>
        <cfvo type="max"/>
        <color theme="0"/>
        <color theme="0"/>
      </colorScale>
    </cfRule>
    <cfRule type="expression" dxfId="2126" priority="5469">
      <formula>Q11&lt;0</formula>
    </cfRule>
  </conditionalFormatting>
  <conditionalFormatting sqref="R15">
    <cfRule type="expression" dxfId="2125" priority="5437">
      <formula>Q15&lt;0</formula>
    </cfRule>
    <cfRule type="colorScale" priority="5435">
      <colorScale>
        <cfvo type="min"/>
        <cfvo type="max"/>
        <color theme="0"/>
        <color theme="0"/>
      </colorScale>
    </cfRule>
  </conditionalFormatting>
  <conditionalFormatting sqref="R16">
    <cfRule type="colorScale" priority="5466">
      <colorScale>
        <cfvo type="min"/>
        <cfvo type="max"/>
        <color theme="0"/>
        <color theme="0"/>
      </colorScale>
    </cfRule>
    <cfRule type="expression" dxfId="2124" priority="5467">
      <formula>Q16&lt;0</formula>
    </cfRule>
  </conditionalFormatting>
  <conditionalFormatting sqref="R18">
    <cfRule type="expression" dxfId="2123" priority="5433">
      <formula>Q18&lt;0</formula>
    </cfRule>
    <cfRule type="colorScale" priority="5431">
      <colorScale>
        <cfvo type="min"/>
        <cfvo type="max"/>
        <color theme="0"/>
        <color theme="0"/>
      </colorScale>
    </cfRule>
  </conditionalFormatting>
  <conditionalFormatting sqref="R18:R19">
    <cfRule type="expression" dxfId="2122" priority="5430">
      <formula>IF(R18="Validar","Rojo","Verde")</formula>
    </cfRule>
    <cfRule type="expression" priority="5432">
      <formula>#REF!</formula>
    </cfRule>
  </conditionalFormatting>
  <conditionalFormatting sqref="R19">
    <cfRule type="expression" dxfId="2121" priority="5465">
      <formula>Q19&lt;0</formula>
    </cfRule>
    <cfRule type="colorScale" priority="5464">
      <colorScale>
        <cfvo type="min"/>
        <cfvo type="max"/>
        <color theme="0"/>
        <color theme="0"/>
      </colorScale>
    </cfRule>
  </conditionalFormatting>
  <conditionalFormatting sqref="R23">
    <cfRule type="colorScale" priority="5427">
      <colorScale>
        <cfvo type="min"/>
        <cfvo type="max"/>
        <color theme="0"/>
        <color theme="0"/>
      </colorScale>
    </cfRule>
    <cfRule type="expression" dxfId="2120" priority="5429">
      <formula>Q23&lt;0</formula>
    </cfRule>
  </conditionalFormatting>
  <conditionalFormatting sqref="R23:R24">
    <cfRule type="expression" dxfId="2119" priority="5426">
      <formula>IF(R23="Validar","Rojo","Verde")</formula>
    </cfRule>
    <cfRule type="expression" priority="5428">
      <formula>#REF!</formula>
    </cfRule>
  </conditionalFormatting>
  <conditionalFormatting sqref="R24">
    <cfRule type="expression" dxfId="2118" priority="5461">
      <formula>Q24&lt;0</formula>
    </cfRule>
    <cfRule type="colorScale" priority="5460">
      <colorScale>
        <cfvo type="min"/>
        <cfvo type="max"/>
        <color theme="0"/>
        <color theme="0"/>
      </colorScale>
    </cfRule>
  </conditionalFormatting>
  <conditionalFormatting sqref="R26">
    <cfRule type="colorScale" priority="5423">
      <colorScale>
        <cfvo type="min"/>
        <cfvo type="max"/>
        <color theme="0"/>
        <color theme="0"/>
      </colorScale>
    </cfRule>
    <cfRule type="expression" dxfId="2117" priority="5425">
      <formula>Q26&lt;0</formula>
    </cfRule>
  </conditionalFormatting>
  <conditionalFormatting sqref="R26:R27">
    <cfRule type="expression" dxfId="2116" priority="5422">
      <formula>IF(R26="Validar","Rojo","Verde")</formula>
    </cfRule>
    <cfRule type="expression" priority="5424">
      <formula>#REF!</formula>
    </cfRule>
  </conditionalFormatting>
  <conditionalFormatting sqref="R27">
    <cfRule type="colorScale" priority="5458">
      <colorScale>
        <cfvo type="min"/>
        <cfvo type="max"/>
        <color theme="0"/>
        <color theme="0"/>
      </colorScale>
    </cfRule>
    <cfRule type="expression" dxfId="2115" priority="5459">
      <formula>Q27&lt;0</formula>
    </cfRule>
  </conditionalFormatting>
  <conditionalFormatting sqref="R29">
    <cfRule type="colorScale" priority="5419">
      <colorScale>
        <cfvo type="min"/>
        <cfvo type="max"/>
        <color theme="0"/>
        <color theme="0"/>
      </colorScale>
    </cfRule>
    <cfRule type="expression" dxfId="2114" priority="5421">
      <formula>Q29&lt;0</formula>
    </cfRule>
  </conditionalFormatting>
  <conditionalFormatting sqref="R29:R30">
    <cfRule type="expression" dxfId="2113" priority="5418">
      <formula>IF(R29="Validar","Rojo","Verde")</formula>
    </cfRule>
    <cfRule type="expression" priority="5420">
      <formula>#REF!</formula>
    </cfRule>
  </conditionalFormatting>
  <conditionalFormatting sqref="R30">
    <cfRule type="expression" dxfId="2112" priority="5457">
      <formula>Q30&lt;0</formula>
    </cfRule>
    <cfRule type="colorScale" priority="5456">
      <colorScale>
        <cfvo type="min"/>
        <cfvo type="max"/>
        <color theme="0"/>
        <color theme="0"/>
      </colorScale>
    </cfRule>
  </conditionalFormatting>
  <conditionalFormatting sqref="R39">
    <cfRule type="colorScale" priority="5415">
      <colorScale>
        <cfvo type="min"/>
        <cfvo type="max"/>
        <color theme="0"/>
        <color theme="0"/>
      </colorScale>
    </cfRule>
    <cfRule type="expression" dxfId="2111" priority="5417">
      <formula>Q39&lt;0</formula>
    </cfRule>
  </conditionalFormatting>
  <conditionalFormatting sqref="R39:R66">
    <cfRule type="expression" priority="5416">
      <formula>#REF!</formula>
    </cfRule>
    <cfRule type="expression" dxfId="2110" priority="5414">
      <formula>IF(R39="Validar","Rojo","Verde")</formula>
    </cfRule>
  </conditionalFormatting>
  <conditionalFormatting sqref="R40:R66">
    <cfRule type="colorScale" priority="5454">
      <colorScale>
        <cfvo type="min"/>
        <cfvo type="max"/>
        <color theme="0"/>
        <color theme="0"/>
      </colorScale>
    </cfRule>
    <cfRule type="expression" dxfId="2109" priority="5455">
      <formula>Q40&lt;0</formula>
    </cfRule>
  </conditionalFormatting>
  <conditionalFormatting sqref="R68">
    <cfRule type="expression" dxfId="2108" priority="5413">
      <formula>Q68&lt;0</formula>
    </cfRule>
    <cfRule type="colorScale" priority="5411">
      <colorScale>
        <cfvo type="min"/>
        <cfvo type="max"/>
        <color theme="0"/>
        <color theme="0"/>
      </colorScale>
    </cfRule>
  </conditionalFormatting>
  <conditionalFormatting sqref="R68:R81">
    <cfRule type="expression" priority="5412">
      <formula>#REF!</formula>
    </cfRule>
    <cfRule type="expression" dxfId="2107" priority="5410">
      <formula>IF(R68="Validar","Rojo","Verde")</formula>
    </cfRule>
  </conditionalFormatting>
  <conditionalFormatting sqref="R69:R81">
    <cfRule type="expression" dxfId="2106" priority="5473">
      <formula>Q69&lt;0</formula>
    </cfRule>
    <cfRule type="colorScale" priority="5472">
      <colorScale>
        <cfvo type="min"/>
        <cfvo type="max"/>
        <color theme="0"/>
        <color theme="0"/>
      </colorScale>
    </cfRule>
  </conditionalFormatting>
  <conditionalFormatting sqref="R83">
    <cfRule type="expression" dxfId="2105" priority="5385">
      <formula>Q83&lt;0</formula>
    </cfRule>
    <cfRule type="colorScale" priority="5383">
      <colorScale>
        <cfvo type="min"/>
        <cfvo type="max"/>
        <color theme="0"/>
        <color theme="0"/>
      </colorScale>
    </cfRule>
  </conditionalFormatting>
  <conditionalFormatting sqref="R83:R91">
    <cfRule type="expression" dxfId="2104" priority="5382">
      <formula>IF(R83="Validar","Rojo","Verde")</formula>
    </cfRule>
    <cfRule type="expression" priority="5384">
      <formula>#REF!</formula>
    </cfRule>
  </conditionalFormatting>
  <conditionalFormatting sqref="R84:R91">
    <cfRule type="colorScale" priority="5452">
      <colorScale>
        <cfvo type="min"/>
        <cfvo type="max"/>
        <color theme="0"/>
        <color theme="0"/>
      </colorScale>
    </cfRule>
    <cfRule type="expression" dxfId="2103" priority="5453">
      <formula>Q84&lt;0</formula>
    </cfRule>
  </conditionalFormatting>
  <conditionalFormatting sqref="R93">
    <cfRule type="expression" dxfId="2102" priority="5409">
      <formula>Q93&lt;0</formula>
    </cfRule>
    <cfRule type="colorScale" priority="5407">
      <colorScale>
        <cfvo type="min"/>
        <cfvo type="max"/>
        <color theme="0"/>
        <color theme="0"/>
      </colorScale>
    </cfRule>
  </conditionalFormatting>
  <conditionalFormatting sqref="R93:R102">
    <cfRule type="expression" priority="5408">
      <formula>#REF!</formula>
    </cfRule>
    <cfRule type="expression" dxfId="2101" priority="5406">
      <formula>IF(R93="Validar","Rojo","Verde")</formula>
    </cfRule>
  </conditionalFormatting>
  <conditionalFormatting sqref="R94:R102">
    <cfRule type="expression" dxfId="2100" priority="5451">
      <formula>Q94&lt;0</formula>
    </cfRule>
    <cfRule type="colorScale" priority="5450">
      <colorScale>
        <cfvo type="min"/>
        <cfvo type="max"/>
        <color theme="0"/>
        <color theme="0"/>
      </colorScale>
    </cfRule>
  </conditionalFormatting>
  <conditionalFormatting sqref="R104">
    <cfRule type="expression" dxfId="2099" priority="5405">
      <formula>Q104&lt;0</formula>
    </cfRule>
    <cfRule type="colorScale" priority="5403">
      <colorScale>
        <cfvo type="min"/>
        <cfvo type="max"/>
        <color theme="0"/>
        <color theme="0"/>
      </colorScale>
    </cfRule>
  </conditionalFormatting>
  <conditionalFormatting sqref="R104:R106">
    <cfRule type="expression" dxfId="2098" priority="5402">
      <formula>IF(R104="Validar","Rojo","Verde")</formula>
    </cfRule>
    <cfRule type="expression" priority="5404">
      <formula>#REF!</formula>
    </cfRule>
  </conditionalFormatting>
  <conditionalFormatting sqref="R105:R106">
    <cfRule type="expression" dxfId="2097" priority="5449">
      <formula>Q105&lt;0</formula>
    </cfRule>
    <cfRule type="colorScale" priority="5448">
      <colorScale>
        <cfvo type="min"/>
        <cfvo type="max"/>
        <color theme="0"/>
        <color theme="0"/>
      </colorScale>
    </cfRule>
  </conditionalFormatting>
  <conditionalFormatting sqref="R110">
    <cfRule type="expression" dxfId="2096" priority="5447">
      <formula>Q110&lt;0</formula>
    </cfRule>
    <cfRule type="colorScale" priority="5446">
      <colorScale>
        <cfvo type="min"/>
        <cfvo type="max"/>
        <color theme="0"/>
        <color theme="0"/>
      </colorScale>
    </cfRule>
  </conditionalFormatting>
  <conditionalFormatting sqref="R111">
    <cfRule type="expression" dxfId="2095" priority="5364">
      <formula>Q111&lt;0</formula>
    </cfRule>
    <cfRule type="colorScale" priority="5362">
      <colorScale>
        <cfvo type="min"/>
        <cfvo type="max"/>
        <color theme="0"/>
        <color theme="0"/>
      </colorScale>
    </cfRule>
  </conditionalFormatting>
  <conditionalFormatting sqref="R117:R123">
    <cfRule type="expression" dxfId="2094" priority="5445">
      <formula>Q117&lt;0</formula>
    </cfRule>
    <cfRule type="colorScale" priority="5443">
      <colorScale>
        <cfvo type="min"/>
        <cfvo type="max"/>
        <color theme="0"/>
        <color theme="0"/>
      </colorScale>
    </cfRule>
  </conditionalFormatting>
  <conditionalFormatting sqref="R125">
    <cfRule type="colorScale" priority="5399">
      <colorScale>
        <cfvo type="min"/>
        <cfvo type="max"/>
        <color theme="0"/>
        <color theme="0"/>
      </colorScale>
    </cfRule>
    <cfRule type="expression" dxfId="2093" priority="5401">
      <formula>Q125&lt;0</formula>
    </cfRule>
  </conditionalFormatting>
  <conditionalFormatting sqref="R125:R134">
    <cfRule type="expression" priority="5400">
      <formula>#REF!</formula>
    </cfRule>
    <cfRule type="expression" dxfId="2092" priority="5398">
      <formula>IF(R125="Validar","Rojo","Verde")</formula>
    </cfRule>
  </conditionalFormatting>
  <conditionalFormatting sqref="R126:R134">
    <cfRule type="colorScale" priority="5440">
      <colorScale>
        <cfvo type="min"/>
        <cfvo type="max"/>
        <color theme="0"/>
        <color theme="0"/>
      </colorScale>
    </cfRule>
    <cfRule type="expression" dxfId="2091" priority="5441">
      <formula>Q126&lt;0</formula>
    </cfRule>
  </conditionalFormatting>
  <conditionalFormatting sqref="T5 T9">
    <cfRule type="expression" dxfId="2090" priority="3469">
      <formula>S5&lt;0</formula>
    </cfRule>
  </conditionalFormatting>
  <conditionalFormatting sqref="T5:T20">
    <cfRule type="expression" priority="3352">
      <formula>#REF!</formula>
    </cfRule>
    <cfRule type="expression" dxfId="2089" priority="3351">
      <formula>IF(T5="Validar","Rojo","Verde")</formula>
    </cfRule>
  </conditionalFormatting>
  <conditionalFormatting sqref="T6">
    <cfRule type="colorScale" priority="3357">
      <colorScale>
        <cfvo type="min"/>
        <cfvo type="max"/>
        <color theme="0"/>
        <color theme="0"/>
      </colorScale>
    </cfRule>
    <cfRule type="expression" dxfId="2088" priority="3358">
      <formula>S6&lt;0</formula>
    </cfRule>
  </conditionalFormatting>
  <conditionalFormatting sqref="T7:T8">
    <cfRule type="colorScale" priority="3353">
      <colorScale>
        <cfvo type="min"/>
        <cfvo type="max"/>
        <color theme="0"/>
        <color theme="0"/>
      </colorScale>
    </cfRule>
    <cfRule type="expression" dxfId="2087" priority="3354">
      <formula>S7&lt;0</formula>
    </cfRule>
  </conditionalFormatting>
  <conditionalFormatting sqref="T9 T5">
    <cfRule type="colorScale" priority="3468">
      <colorScale>
        <cfvo type="min"/>
        <cfvo type="max"/>
        <color theme="0"/>
        <color theme="0"/>
      </colorScale>
    </cfRule>
  </conditionalFormatting>
  <conditionalFormatting sqref="T10">
    <cfRule type="colorScale" priority="3445">
      <colorScale>
        <cfvo type="min"/>
        <cfvo type="max"/>
        <color theme="0"/>
        <color theme="0"/>
      </colorScale>
    </cfRule>
    <cfRule type="expression" dxfId="2086" priority="3446">
      <formula>S10&lt;0</formula>
    </cfRule>
  </conditionalFormatting>
  <conditionalFormatting sqref="T11:T14">
    <cfRule type="colorScale" priority="3466">
      <colorScale>
        <cfvo type="min"/>
        <cfvo type="max"/>
        <color theme="0"/>
        <color theme="0"/>
      </colorScale>
    </cfRule>
    <cfRule type="expression" dxfId="2085" priority="3467">
      <formula>S11&lt;0</formula>
    </cfRule>
  </conditionalFormatting>
  <conditionalFormatting sqref="T15">
    <cfRule type="colorScale" priority="3443">
      <colorScale>
        <cfvo type="min"/>
        <cfvo type="max"/>
        <color theme="0"/>
        <color theme="0"/>
      </colorScale>
    </cfRule>
    <cfRule type="expression" dxfId="2084" priority="3444">
      <formula>S15&lt;0</formula>
    </cfRule>
  </conditionalFormatting>
  <conditionalFormatting sqref="T16:T17">
    <cfRule type="expression" dxfId="2083" priority="3465">
      <formula>S16&lt;0</formula>
    </cfRule>
    <cfRule type="colorScale" priority="3464">
      <colorScale>
        <cfvo type="min"/>
        <cfvo type="max"/>
        <color theme="0"/>
        <color theme="0"/>
      </colorScale>
    </cfRule>
  </conditionalFormatting>
  <conditionalFormatting sqref="T18">
    <cfRule type="colorScale" priority="3440">
      <colorScale>
        <cfvo type="min"/>
        <cfvo type="max"/>
        <color theme="0"/>
        <color theme="0"/>
      </colorScale>
    </cfRule>
    <cfRule type="expression" dxfId="2082" priority="3442">
      <formula>S18&lt;0</formula>
    </cfRule>
  </conditionalFormatting>
  <conditionalFormatting sqref="T19:T20">
    <cfRule type="expression" dxfId="2081" priority="3463">
      <formula>S19&lt;0</formula>
    </cfRule>
    <cfRule type="colorScale" priority="3462">
      <colorScale>
        <cfvo type="min"/>
        <cfvo type="max"/>
        <color theme="0"/>
        <color theme="0"/>
      </colorScale>
    </cfRule>
  </conditionalFormatting>
  <conditionalFormatting sqref="T23">
    <cfRule type="expression" dxfId="2080" priority="3438">
      <formula>S23&lt;0</formula>
    </cfRule>
    <cfRule type="colorScale" priority="3437">
      <colorScale>
        <cfvo type="min"/>
        <cfvo type="max"/>
        <color theme="0"/>
        <color theme="0"/>
      </colorScale>
    </cfRule>
  </conditionalFormatting>
  <conditionalFormatting sqref="T23:T31">
    <cfRule type="expression" dxfId="2079" priority="3431">
      <formula>IF(T23="Validar","Rojo","Verde")</formula>
    </cfRule>
    <cfRule type="expression" priority="3433">
      <formula>#REF!</formula>
    </cfRule>
  </conditionalFormatting>
  <conditionalFormatting sqref="T24">
    <cfRule type="expression" dxfId="2078" priority="3461">
      <formula>S24&lt;0</formula>
    </cfRule>
    <cfRule type="colorScale" priority="3460">
      <colorScale>
        <cfvo type="min"/>
        <cfvo type="max"/>
        <color theme="0"/>
        <color theme="0"/>
      </colorScale>
    </cfRule>
  </conditionalFormatting>
  <conditionalFormatting sqref="T25">
    <cfRule type="expression" dxfId="2077" priority="3459">
      <formula>S25&lt;0</formula>
    </cfRule>
    <cfRule type="colorScale" priority="3458">
      <colorScale>
        <cfvo type="min"/>
        <cfvo type="max"/>
        <color theme="0"/>
        <color theme="0"/>
      </colorScale>
    </cfRule>
  </conditionalFormatting>
  <conditionalFormatting sqref="T26">
    <cfRule type="expression" dxfId="2076" priority="3436">
      <formula>S26&lt;0</formula>
    </cfRule>
    <cfRule type="colorScale" priority="3435">
      <colorScale>
        <cfvo type="min"/>
        <cfvo type="max"/>
        <color theme="0"/>
        <color theme="0"/>
      </colorScale>
    </cfRule>
  </conditionalFormatting>
  <conditionalFormatting sqref="T27">
    <cfRule type="expression" dxfId="2075" priority="3457">
      <formula>S27&lt;0</formula>
    </cfRule>
    <cfRule type="colorScale" priority="3456">
      <colorScale>
        <cfvo type="min"/>
        <cfvo type="max"/>
        <color theme="0"/>
        <color theme="0"/>
      </colorScale>
    </cfRule>
  </conditionalFormatting>
  <conditionalFormatting sqref="T28">
    <cfRule type="expression" dxfId="2074" priority="3455">
      <formula>S28&lt;0</formula>
    </cfRule>
    <cfRule type="colorScale" priority="3454">
      <colorScale>
        <cfvo type="min"/>
        <cfvo type="max"/>
        <color theme="0"/>
        <color theme="0"/>
      </colorScale>
    </cfRule>
  </conditionalFormatting>
  <conditionalFormatting sqref="T29">
    <cfRule type="expression" dxfId="2073" priority="3434">
      <formula>S29&lt;0</formula>
    </cfRule>
    <cfRule type="colorScale" priority="3432">
      <colorScale>
        <cfvo type="min"/>
        <cfvo type="max"/>
        <color theme="0"/>
        <color theme="0"/>
      </colorScale>
    </cfRule>
  </conditionalFormatting>
  <conditionalFormatting sqref="T30">
    <cfRule type="expression" dxfId="2072" priority="3453">
      <formula>S30&lt;0</formula>
    </cfRule>
    <cfRule type="colorScale" priority="3452">
      <colorScale>
        <cfvo type="min"/>
        <cfvo type="max"/>
        <color theme="0"/>
        <color theme="0"/>
      </colorScale>
    </cfRule>
  </conditionalFormatting>
  <conditionalFormatting sqref="T31">
    <cfRule type="colorScale" priority="3450">
      <colorScale>
        <cfvo type="min"/>
        <cfvo type="max"/>
        <color theme="0"/>
        <color theme="0"/>
      </colorScale>
    </cfRule>
    <cfRule type="expression" dxfId="2071" priority="3451">
      <formula>S31&lt;0</formula>
    </cfRule>
  </conditionalFormatting>
  <conditionalFormatting sqref="T39">
    <cfRule type="colorScale" priority="3428">
      <colorScale>
        <cfvo type="min"/>
        <cfvo type="max"/>
        <color theme="0"/>
        <color theme="0"/>
      </colorScale>
    </cfRule>
    <cfRule type="expression" dxfId="2070" priority="3430">
      <formula>S39&lt;0</formula>
    </cfRule>
    <cfRule type="expression" priority="3429">
      <formula>#REF!</formula>
    </cfRule>
  </conditionalFormatting>
  <conditionalFormatting sqref="T39:T107">
    <cfRule type="expression" dxfId="2069" priority="3366">
      <formula>IF(T39="Validar","Rojo","Verde")</formula>
    </cfRule>
  </conditionalFormatting>
  <conditionalFormatting sqref="T40:T67">
    <cfRule type="expression" priority="3448">
      <formula>$F$19</formula>
    </cfRule>
    <cfRule type="expression" dxfId="2068" priority="3449">
      <formula>S40&lt;0</formula>
    </cfRule>
    <cfRule type="colorScale" priority="3447">
      <colorScale>
        <cfvo type="min"/>
        <cfvo type="max"/>
        <color theme="0"/>
        <color theme="0"/>
      </colorScale>
    </cfRule>
  </conditionalFormatting>
  <conditionalFormatting sqref="T68">
    <cfRule type="expression" priority="3426">
      <formula>#REF!</formula>
    </cfRule>
    <cfRule type="colorScale" priority="3425">
      <colorScale>
        <cfvo type="min"/>
        <cfvo type="max"/>
        <color theme="0"/>
        <color theme="0"/>
      </colorScale>
    </cfRule>
    <cfRule type="expression" dxfId="2067" priority="3427">
      <formula>S68&lt;0</formula>
    </cfRule>
  </conditionalFormatting>
  <conditionalFormatting sqref="T69:T81">
    <cfRule type="colorScale" priority="3472">
      <colorScale>
        <cfvo type="min"/>
        <cfvo type="max"/>
        <color theme="0"/>
        <color theme="0"/>
      </colorScale>
    </cfRule>
    <cfRule type="expression" priority="3473">
      <formula>$F$19</formula>
    </cfRule>
    <cfRule type="expression" dxfId="2066" priority="3474">
      <formula>S69&lt;0</formula>
    </cfRule>
  </conditionalFormatting>
  <conditionalFormatting sqref="T82 T92 T103 T107">
    <cfRule type="expression" dxfId="2065" priority="3471">
      <formula>S82&lt;0</formula>
    </cfRule>
  </conditionalFormatting>
  <conditionalFormatting sqref="T83">
    <cfRule type="expression" dxfId="2064" priority="3369">
      <formula>S83&lt;0</formula>
    </cfRule>
    <cfRule type="expression" priority="3368">
      <formula>#REF!</formula>
    </cfRule>
    <cfRule type="colorScale" priority="3367">
      <colorScale>
        <cfvo type="min"/>
        <cfvo type="max"/>
        <color theme="0"/>
        <color theme="0"/>
      </colorScale>
    </cfRule>
  </conditionalFormatting>
  <conditionalFormatting sqref="T84:T91">
    <cfRule type="expression" priority="3476">
      <formula>$F$19</formula>
    </cfRule>
    <cfRule type="expression" dxfId="2063" priority="3477">
      <formula>S84&lt;0</formula>
    </cfRule>
    <cfRule type="colorScale" priority="3475">
      <colorScale>
        <cfvo type="min"/>
        <cfvo type="max"/>
        <color theme="0"/>
        <color theme="0"/>
      </colorScale>
    </cfRule>
  </conditionalFormatting>
  <conditionalFormatting sqref="T92 T82 T103 T107">
    <cfRule type="colorScale" priority="3470">
      <colorScale>
        <cfvo type="min"/>
        <cfvo type="max"/>
        <color theme="0"/>
        <color theme="0"/>
      </colorScale>
    </cfRule>
  </conditionalFormatting>
  <conditionalFormatting sqref="T93">
    <cfRule type="expression" dxfId="2062" priority="3424">
      <formula>S93&lt;0</formula>
    </cfRule>
    <cfRule type="expression" priority="3423">
      <formula>#REF!</formula>
    </cfRule>
    <cfRule type="colorScale" priority="3422">
      <colorScale>
        <cfvo type="min"/>
        <cfvo type="max"/>
        <color theme="0"/>
        <color theme="0"/>
      </colorScale>
    </cfRule>
  </conditionalFormatting>
  <conditionalFormatting sqref="T94:T102">
    <cfRule type="expression" dxfId="2061" priority="3480">
      <formula>S94&lt;0</formula>
    </cfRule>
    <cfRule type="colorScale" priority="3478">
      <colorScale>
        <cfvo type="min"/>
        <cfvo type="max"/>
        <color theme="0"/>
        <color theme="0"/>
      </colorScale>
    </cfRule>
    <cfRule type="expression" priority="3479">
      <formula>$F$19</formula>
    </cfRule>
  </conditionalFormatting>
  <conditionalFormatting sqref="T104">
    <cfRule type="expression" dxfId="2060" priority="3421">
      <formula>S104&lt;0</formula>
    </cfRule>
    <cfRule type="colorScale" priority="3419">
      <colorScale>
        <cfvo type="min"/>
        <cfvo type="max"/>
        <color theme="0"/>
        <color theme="0"/>
      </colorScale>
    </cfRule>
    <cfRule type="expression" priority="3420">
      <formula>#REF!</formula>
    </cfRule>
  </conditionalFormatting>
  <conditionalFormatting sqref="T105:T106">
    <cfRule type="colorScale" priority="3481">
      <colorScale>
        <cfvo type="min"/>
        <cfvo type="max"/>
        <color theme="0"/>
        <color theme="0"/>
      </colorScale>
    </cfRule>
    <cfRule type="expression" priority="3482">
      <formula>$F$19</formula>
    </cfRule>
    <cfRule type="expression" dxfId="2059" priority="3483">
      <formula>S105&lt;0</formula>
    </cfRule>
  </conditionalFormatting>
  <conditionalFormatting sqref="T110">
    <cfRule type="expression" dxfId="2058" priority="3485">
      <formula>S110&lt;0</formula>
    </cfRule>
    <cfRule type="colorScale" priority="3484">
      <colorScale>
        <cfvo type="min"/>
        <cfvo type="max"/>
        <color theme="0"/>
        <color theme="0"/>
      </colorScale>
    </cfRule>
  </conditionalFormatting>
  <conditionalFormatting sqref="T110:T111">
    <cfRule type="expression" priority="3364">
      <formula>$F$19</formula>
    </cfRule>
  </conditionalFormatting>
  <conditionalFormatting sqref="T111">
    <cfRule type="colorScale" priority="3363">
      <colorScale>
        <cfvo type="min"/>
        <cfvo type="max"/>
        <color theme="0"/>
        <color theme="0"/>
      </colorScale>
    </cfRule>
    <cfRule type="expression" dxfId="2057" priority="3365">
      <formula>S111&lt;0</formula>
    </cfRule>
  </conditionalFormatting>
  <conditionalFormatting sqref="T117:T123">
    <cfRule type="colorScale" priority="3489">
      <colorScale>
        <cfvo type="min"/>
        <cfvo type="max"/>
        <color theme="0"/>
        <color theme="0"/>
      </colorScale>
    </cfRule>
    <cfRule type="expression" dxfId="2056" priority="3491">
      <formula>S117&lt;0</formula>
    </cfRule>
    <cfRule type="expression" priority="3490">
      <formula>$F$19</formula>
    </cfRule>
  </conditionalFormatting>
  <conditionalFormatting sqref="T125">
    <cfRule type="colorScale" priority="3416">
      <colorScale>
        <cfvo type="min"/>
        <cfvo type="max"/>
        <color theme="0"/>
        <color theme="0"/>
      </colorScale>
    </cfRule>
    <cfRule type="expression" priority="3417">
      <formula>#REF!</formula>
    </cfRule>
    <cfRule type="expression" dxfId="2055" priority="3418">
      <formula>S125&lt;0</formula>
    </cfRule>
  </conditionalFormatting>
  <conditionalFormatting sqref="T125:T135">
    <cfRule type="expression" dxfId="2054" priority="3415">
      <formula>IF(T125="Validar","Rojo","Verde")</formula>
    </cfRule>
  </conditionalFormatting>
  <conditionalFormatting sqref="T126:T132">
    <cfRule type="expression" dxfId="2053" priority="3494">
      <formula>S126&lt;0</formula>
    </cfRule>
    <cfRule type="colorScale" priority="3492">
      <colorScale>
        <cfvo type="min"/>
        <cfvo type="max"/>
        <color theme="0"/>
        <color theme="0"/>
      </colorScale>
    </cfRule>
  </conditionalFormatting>
  <conditionalFormatting sqref="T126:T134">
    <cfRule type="expression" priority="3493">
      <formula>$F$19</formula>
    </cfRule>
  </conditionalFormatting>
  <conditionalFormatting sqref="T133:T134">
    <cfRule type="colorScale" priority="3495">
      <colorScale>
        <cfvo type="min"/>
        <cfvo type="max"/>
        <color theme="0"/>
        <color theme="0"/>
      </colorScale>
    </cfRule>
    <cfRule type="expression" dxfId="2052" priority="3496">
      <formula>S133&lt;0</formula>
    </cfRule>
  </conditionalFormatting>
  <conditionalFormatting sqref="T135">
    <cfRule type="expression" dxfId="2051" priority="3488">
      <formula>S135&lt;0</formula>
    </cfRule>
    <cfRule type="colorScale" priority="3486">
      <colorScale>
        <cfvo type="min"/>
        <cfvo type="max"/>
        <color theme="0"/>
        <color theme="0"/>
      </colorScale>
    </cfRule>
    <cfRule type="expression" priority="3487">
      <formula>$F$23</formula>
    </cfRule>
  </conditionalFormatting>
  <conditionalFormatting sqref="T110:U111">
    <cfRule type="expression" dxfId="2050" priority="3359">
      <formula>IF(T110="Validar","Rojo","Verde")</formula>
    </cfRule>
  </conditionalFormatting>
  <conditionalFormatting sqref="T117:U123">
    <cfRule type="expression" dxfId="2049" priority="3372">
      <formula>IF(T117="Validar","Rojo","Verde")</formula>
    </cfRule>
  </conditionalFormatting>
  <conditionalFormatting sqref="U40:U66">
    <cfRule type="expression" dxfId="2048" priority="3409">
      <formula>T40&lt;0</formula>
    </cfRule>
    <cfRule type="expression" priority="3408">
      <formula>#REF!</formula>
    </cfRule>
    <cfRule type="colorScale" priority="3407">
      <colorScale>
        <cfvo type="min"/>
        <cfvo type="max"/>
        <color theme="0"/>
        <color theme="0"/>
      </colorScale>
    </cfRule>
  </conditionalFormatting>
  <conditionalFormatting sqref="U40:U67">
    <cfRule type="expression" dxfId="2047" priority="3406">
      <formula>IF(U40="Validar","Rojo","Verde")</formula>
    </cfRule>
  </conditionalFormatting>
  <conditionalFormatting sqref="U67 T82:U82 T92:U92 T103:U103 T107:U107">
    <cfRule type="expression" priority="3411">
      <formula>$F$23</formula>
    </cfRule>
  </conditionalFormatting>
  <conditionalFormatting sqref="U67 U82 U92 U103 U107">
    <cfRule type="expression" dxfId="2046" priority="3412">
      <formula>T67&lt;0</formula>
    </cfRule>
  </conditionalFormatting>
  <conditionalFormatting sqref="U69">
    <cfRule type="expression" dxfId="2045" priority="3405">
      <formula>T69&lt;0</formula>
    </cfRule>
    <cfRule type="colorScale" priority="3404">
      <colorScale>
        <cfvo type="min"/>
        <cfvo type="max"/>
        <color theme="0"/>
        <color theme="0"/>
      </colorScale>
    </cfRule>
  </conditionalFormatting>
  <conditionalFormatting sqref="U69:U81">
    <cfRule type="expression" priority="3402">
      <formula>#REF!</formula>
    </cfRule>
  </conditionalFormatting>
  <conditionalFormatting sqref="U69:U82">
    <cfRule type="expression" dxfId="2044" priority="3400">
      <formula>IF(U69="Validar","Rojo","Verde")</formula>
    </cfRule>
  </conditionalFormatting>
  <conditionalFormatting sqref="U70:U78">
    <cfRule type="expression" dxfId="2043" priority="3403">
      <formula>T70&lt;0</formula>
    </cfRule>
    <cfRule type="colorScale" priority="3401">
      <colorScale>
        <cfvo type="min"/>
        <cfvo type="max"/>
        <color theme="0"/>
        <color theme="0"/>
      </colorScale>
    </cfRule>
  </conditionalFormatting>
  <conditionalFormatting sqref="U79:U81">
    <cfRule type="expression" dxfId="2042" priority="3414">
      <formula>T79&lt;0</formula>
    </cfRule>
    <cfRule type="colorScale" priority="3413">
      <colorScale>
        <cfvo type="min"/>
        <cfvo type="max"/>
        <color theme="0"/>
        <color theme="0"/>
      </colorScale>
    </cfRule>
  </conditionalFormatting>
  <conditionalFormatting sqref="U82 U67 U92 U103 U107">
    <cfRule type="colorScale" priority="3410">
      <colorScale>
        <cfvo type="min"/>
        <cfvo type="max"/>
        <color theme="0"/>
        <color theme="0"/>
      </colorScale>
    </cfRule>
  </conditionalFormatting>
  <conditionalFormatting sqref="U84">
    <cfRule type="expression" dxfId="2041" priority="3399">
      <formula>T84&lt;0</formula>
    </cfRule>
    <cfRule type="colorScale" priority="3398">
      <colorScale>
        <cfvo type="min"/>
        <cfvo type="max"/>
        <color theme="0"/>
        <color theme="0"/>
      </colorScale>
    </cfRule>
  </conditionalFormatting>
  <conditionalFormatting sqref="U84:U91">
    <cfRule type="expression" priority="3396">
      <formula>#REF!</formula>
    </cfRule>
  </conditionalFormatting>
  <conditionalFormatting sqref="U84:U92">
    <cfRule type="expression" dxfId="2040" priority="3394">
      <formula>IF(U84="Validar","Rojo","Verde")</formula>
    </cfRule>
  </conditionalFormatting>
  <conditionalFormatting sqref="U85:U91">
    <cfRule type="colorScale" priority="3395">
      <colorScale>
        <cfvo type="min"/>
        <cfvo type="max"/>
        <color theme="0"/>
        <color theme="0"/>
      </colorScale>
    </cfRule>
    <cfRule type="expression" dxfId="2039" priority="3397">
      <formula>T85&lt;0</formula>
    </cfRule>
  </conditionalFormatting>
  <conditionalFormatting sqref="U94">
    <cfRule type="expression" dxfId="2038" priority="3393">
      <formula>T94&lt;0</formula>
    </cfRule>
    <cfRule type="colorScale" priority="3392">
      <colorScale>
        <cfvo type="min"/>
        <cfvo type="max"/>
        <color theme="0"/>
        <color theme="0"/>
      </colorScale>
    </cfRule>
  </conditionalFormatting>
  <conditionalFormatting sqref="U94:U102">
    <cfRule type="expression" priority="3386">
      <formula>#REF!</formula>
    </cfRule>
  </conditionalFormatting>
  <conditionalFormatting sqref="U94:U103">
    <cfRule type="expression" dxfId="2037" priority="3384">
      <formula>IF(U94="Validar","Rojo","Verde")</formula>
    </cfRule>
  </conditionalFormatting>
  <conditionalFormatting sqref="U95:U100">
    <cfRule type="colorScale" priority="3390">
      <colorScale>
        <cfvo type="min"/>
        <cfvo type="max"/>
        <color theme="0"/>
        <color theme="0"/>
      </colorScale>
    </cfRule>
    <cfRule type="expression" dxfId="2036" priority="3391">
      <formula>T95&lt;0</formula>
    </cfRule>
  </conditionalFormatting>
  <conditionalFormatting sqref="U101">
    <cfRule type="colorScale" priority="3388">
      <colorScale>
        <cfvo type="min"/>
        <cfvo type="max"/>
        <color theme="0"/>
        <color theme="0"/>
      </colorScale>
    </cfRule>
    <cfRule type="expression" dxfId="2035" priority="3389">
      <formula>T101&lt;0</formula>
    </cfRule>
  </conditionalFormatting>
  <conditionalFormatting sqref="U102">
    <cfRule type="colorScale" priority="3385">
      <colorScale>
        <cfvo type="min"/>
        <cfvo type="max"/>
        <color theme="0"/>
        <color theme="0"/>
      </colorScale>
    </cfRule>
    <cfRule type="expression" dxfId="2034" priority="3387">
      <formula>T102&lt;0</formula>
    </cfRule>
  </conditionalFormatting>
  <conditionalFormatting sqref="U105">
    <cfRule type="expression" dxfId="2033" priority="3383">
      <formula>T105&lt;0</formula>
    </cfRule>
    <cfRule type="colorScale" priority="3382">
      <colorScale>
        <cfvo type="min"/>
        <cfvo type="max"/>
        <color theme="0"/>
        <color theme="0"/>
      </colorScale>
    </cfRule>
  </conditionalFormatting>
  <conditionalFormatting sqref="U105:U106">
    <cfRule type="expression" priority="3380">
      <formula>#REF!</formula>
    </cfRule>
  </conditionalFormatting>
  <conditionalFormatting sqref="U105:U107">
    <cfRule type="expression" dxfId="2032" priority="3378">
      <formula>IF(U105="Validar","Rojo","Verde")</formula>
    </cfRule>
  </conditionalFormatting>
  <conditionalFormatting sqref="U106">
    <cfRule type="colorScale" priority="3379">
      <colorScale>
        <cfvo type="min"/>
        <cfvo type="max"/>
        <color theme="0"/>
        <color theme="0"/>
      </colorScale>
    </cfRule>
    <cfRule type="expression" dxfId="2031" priority="3381">
      <formula>T106&lt;0</formula>
    </cfRule>
  </conditionalFormatting>
  <conditionalFormatting sqref="U110">
    <cfRule type="colorScale" priority="3370">
      <colorScale>
        <cfvo type="min"/>
        <cfvo type="max"/>
        <color theme="0"/>
        <color theme="0"/>
      </colorScale>
    </cfRule>
    <cfRule type="expression" dxfId="2030" priority="3371">
      <formula>T110&lt;0</formula>
    </cfRule>
  </conditionalFormatting>
  <conditionalFormatting sqref="U110:U111">
    <cfRule type="expression" priority="3361">
      <formula>#REF!</formula>
    </cfRule>
  </conditionalFormatting>
  <conditionalFormatting sqref="U111">
    <cfRule type="colorScale" priority="3360">
      <colorScale>
        <cfvo type="min"/>
        <cfvo type="max"/>
        <color theme="0"/>
        <color theme="0"/>
      </colorScale>
    </cfRule>
    <cfRule type="expression" dxfId="2029" priority="3362">
      <formula>T111&lt;0</formula>
    </cfRule>
  </conditionalFormatting>
  <conditionalFormatting sqref="U117">
    <cfRule type="expression" dxfId="2028" priority="3377">
      <formula>T117&lt;0</formula>
    </cfRule>
    <cfRule type="colorScale" priority="3376">
      <colorScale>
        <cfvo type="min"/>
        <cfvo type="max"/>
        <color theme="0"/>
        <color theme="0"/>
      </colorScale>
    </cfRule>
  </conditionalFormatting>
  <conditionalFormatting sqref="U117:U123">
    <cfRule type="expression" priority="3374">
      <formula>#REF!</formula>
    </cfRule>
  </conditionalFormatting>
  <conditionalFormatting sqref="U118:U123">
    <cfRule type="expression" dxfId="2027" priority="3375">
      <formula>T118&lt;0</formula>
    </cfRule>
    <cfRule type="colorScale" priority="3373">
      <colorScale>
        <cfvo type="min"/>
        <cfvo type="max"/>
        <color theme="0"/>
        <color theme="0"/>
      </colorScale>
    </cfRule>
  </conditionalFormatting>
  <conditionalFormatting sqref="U126:U135">
    <cfRule type="colorScale" priority="3498">
      <colorScale>
        <cfvo type="min"/>
        <cfvo type="max"/>
        <color theme="0"/>
        <color theme="0"/>
      </colorScale>
    </cfRule>
    <cfRule type="expression" dxfId="2026" priority="3497">
      <formula>IF(U126="Validar","Rojo","Verde")</formula>
    </cfRule>
    <cfRule type="expression" dxfId="2025" priority="3500">
      <formula>T126&lt;0</formula>
    </cfRule>
    <cfRule type="expression" priority="3499">
      <formula>$F$23</formula>
    </cfRule>
  </conditionalFormatting>
  <conditionalFormatting sqref="W5 W9">
    <cfRule type="expression" dxfId="2024" priority="3323">
      <formula>V5&lt;0</formula>
    </cfRule>
  </conditionalFormatting>
  <conditionalFormatting sqref="W5:W20">
    <cfRule type="expression" priority="3252">
      <formula>#REF!</formula>
    </cfRule>
    <cfRule type="expression" dxfId="2023" priority="3251">
      <formula>IF(W5="Validar","Rojo","Verde")</formula>
    </cfRule>
  </conditionalFormatting>
  <conditionalFormatting sqref="W6">
    <cfRule type="expression" dxfId="2022" priority="3258">
      <formula>V6&lt;0</formula>
    </cfRule>
    <cfRule type="colorScale" priority="3257">
      <colorScale>
        <cfvo type="min"/>
        <cfvo type="max"/>
        <color theme="0"/>
        <color theme="0"/>
      </colorScale>
    </cfRule>
  </conditionalFormatting>
  <conditionalFormatting sqref="W7:W8">
    <cfRule type="expression" dxfId="2021" priority="3254">
      <formula>V7&lt;0</formula>
    </cfRule>
    <cfRule type="colorScale" priority="3253">
      <colorScale>
        <cfvo type="min"/>
        <cfvo type="max"/>
        <color theme="0"/>
        <color theme="0"/>
      </colorScale>
    </cfRule>
  </conditionalFormatting>
  <conditionalFormatting sqref="W9 W5">
    <cfRule type="colorScale" priority="3322">
      <colorScale>
        <cfvo type="min"/>
        <cfvo type="max"/>
        <color theme="0"/>
        <color theme="0"/>
      </colorScale>
    </cfRule>
  </conditionalFormatting>
  <conditionalFormatting sqref="W10">
    <cfRule type="expression" dxfId="2020" priority="3300">
      <formula>V10&lt;0</formula>
    </cfRule>
    <cfRule type="colorScale" priority="3299">
      <colorScale>
        <cfvo type="min"/>
        <cfvo type="max"/>
        <color theme="0"/>
        <color theme="0"/>
      </colorScale>
    </cfRule>
  </conditionalFormatting>
  <conditionalFormatting sqref="W11:W14">
    <cfRule type="expression" dxfId="2019" priority="3321">
      <formula>V11&lt;0</formula>
    </cfRule>
    <cfRule type="colorScale" priority="3320">
      <colorScale>
        <cfvo type="min"/>
        <cfvo type="max"/>
        <color theme="0"/>
        <color theme="0"/>
      </colorScale>
    </cfRule>
  </conditionalFormatting>
  <conditionalFormatting sqref="W15">
    <cfRule type="expression" dxfId="2018" priority="3298">
      <formula>V15&lt;0</formula>
    </cfRule>
    <cfRule type="colorScale" priority="3297">
      <colorScale>
        <cfvo type="min"/>
        <cfvo type="max"/>
        <color theme="0"/>
        <color theme="0"/>
      </colorScale>
    </cfRule>
  </conditionalFormatting>
  <conditionalFormatting sqref="W16:W17">
    <cfRule type="colorScale" priority="3318">
      <colorScale>
        <cfvo type="min"/>
        <cfvo type="max"/>
        <color theme="0"/>
        <color theme="0"/>
      </colorScale>
    </cfRule>
    <cfRule type="expression" dxfId="2017" priority="3319">
      <formula>V16&lt;0</formula>
    </cfRule>
  </conditionalFormatting>
  <conditionalFormatting sqref="W18">
    <cfRule type="colorScale" priority="3294">
      <colorScale>
        <cfvo type="min"/>
        <cfvo type="max"/>
        <color theme="0"/>
        <color theme="0"/>
      </colorScale>
    </cfRule>
    <cfRule type="expression" dxfId="2016" priority="3296">
      <formula>V18&lt;0</formula>
    </cfRule>
  </conditionalFormatting>
  <conditionalFormatting sqref="W19:W20">
    <cfRule type="expression" dxfId="2015" priority="3317">
      <formula>V19&lt;0</formula>
    </cfRule>
    <cfRule type="colorScale" priority="3316">
      <colorScale>
        <cfvo type="min"/>
        <cfvo type="max"/>
        <color theme="0"/>
        <color theme="0"/>
      </colorScale>
    </cfRule>
  </conditionalFormatting>
  <conditionalFormatting sqref="W23">
    <cfRule type="colorScale" priority="3291">
      <colorScale>
        <cfvo type="min"/>
        <cfvo type="max"/>
        <color theme="0"/>
        <color theme="0"/>
      </colorScale>
    </cfRule>
    <cfRule type="expression" dxfId="2014" priority="3292">
      <formula>V23&lt;0</formula>
    </cfRule>
  </conditionalFormatting>
  <conditionalFormatting sqref="W23:W31">
    <cfRule type="expression" dxfId="2013" priority="3285">
      <formula>IF(W23="Validar","Rojo","Verde")</formula>
    </cfRule>
    <cfRule type="expression" priority="3287">
      <formula>#REF!</formula>
    </cfRule>
  </conditionalFormatting>
  <conditionalFormatting sqref="W24">
    <cfRule type="expression" dxfId="2012" priority="3315">
      <formula>V24&lt;0</formula>
    </cfRule>
    <cfRule type="colorScale" priority="3314">
      <colorScale>
        <cfvo type="min"/>
        <cfvo type="max"/>
        <color theme="0"/>
        <color theme="0"/>
      </colorScale>
    </cfRule>
  </conditionalFormatting>
  <conditionalFormatting sqref="W25">
    <cfRule type="expression" dxfId="2011" priority="3313">
      <formula>V25&lt;0</formula>
    </cfRule>
    <cfRule type="colorScale" priority="3312">
      <colorScale>
        <cfvo type="min"/>
        <cfvo type="max"/>
        <color theme="0"/>
        <color theme="0"/>
      </colorScale>
    </cfRule>
  </conditionalFormatting>
  <conditionalFormatting sqref="W26">
    <cfRule type="expression" dxfId="2010" priority="3290">
      <formula>V26&lt;0</formula>
    </cfRule>
    <cfRule type="colorScale" priority="3289">
      <colorScale>
        <cfvo type="min"/>
        <cfvo type="max"/>
        <color theme="0"/>
        <color theme="0"/>
      </colorScale>
    </cfRule>
  </conditionalFormatting>
  <conditionalFormatting sqref="W27">
    <cfRule type="colorScale" priority="3310">
      <colorScale>
        <cfvo type="min"/>
        <cfvo type="max"/>
        <color theme="0"/>
        <color theme="0"/>
      </colorScale>
    </cfRule>
    <cfRule type="expression" dxfId="2009" priority="3311">
      <formula>V27&lt;0</formula>
    </cfRule>
  </conditionalFormatting>
  <conditionalFormatting sqref="W28">
    <cfRule type="colorScale" priority="3308">
      <colorScale>
        <cfvo type="min"/>
        <cfvo type="max"/>
        <color theme="0"/>
        <color theme="0"/>
      </colorScale>
    </cfRule>
    <cfRule type="expression" dxfId="2008" priority="3309">
      <formula>V28&lt;0</formula>
    </cfRule>
  </conditionalFormatting>
  <conditionalFormatting sqref="W29">
    <cfRule type="expression" dxfId="2007" priority="3288">
      <formula>V29&lt;0</formula>
    </cfRule>
    <cfRule type="colorScale" priority="3286">
      <colorScale>
        <cfvo type="min"/>
        <cfvo type="max"/>
        <color theme="0"/>
        <color theme="0"/>
      </colorScale>
    </cfRule>
  </conditionalFormatting>
  <conditionalFormatting sqref="W30">
    <cfRule type="expression" dxfId="2006" priority="3307">
      <formula>V30&lt;0</formula>
    </cfRule>
    <cfRule type="colorScale" priority="3306">
      <colorScale>
        <cfvo type="min"/>
        <cfvo type="max"/>
        <color theme="0"/>
        <color theme="0"/>
      </colorScale>
    </cfRule>
  </conditionalFormatting>
  <conditionalFormatting sqref="W31">
    <cfRule type="expression" dxfId="2005" priority="3305">
      <formula>V31&lt;0</formula>
    </cfRule>
    <cfRule type="colorScale" priority="3304">
      <colorScale>
        <cfvo type="min"/>
        <cfvo type="max"/>
        <color theme="0"/>
        <color theme="0"/>
      </colorScale>
    </cfRule>
  </conditionalFormatting>
  <conditionalFormatting sqref="W39">
    <cfRule type="colorScale" priority="3282">
      <colorScale>
        <cfvo type="min"/>
        <cfvo type="max"/>
        <color theme="0"/>
        <color theme="0"/>
      </colorScale>
    </cfRule>
    <cfRule type="expression" priority="3283">
      <formula>#REF!</formula>
    </cfRule>
    <cfRule type="expression" dxfId="2004" priority="3284">
      <formula>V39&lt;0</formula>
    </cfRule>
  </conditionalFormatting>
  <conditionalFormatting sqref="W39:W107">
    <cfRule type="expression" dxfId="2003" priority="3263">
      <formula>IF(W39="Validar","Rojo","Verde")</formula>
    </cfRule>
  </conditionalFormatting>
  <conditionalFormatting sqref="W40:W67">
    <cfRule type="colorScale" priority="3301">
      <colorScale>
        <cfvo type="min"/>
        <cfvo type="max"/>
        <color theme="0"/>
        <color theme="0"/>
      </colorScale>
    </cfRule>
    <cfRule type="expression" dxfId="2002" priority="3303">
      <formula>V40&lt;0</formula>
    </cfRule>
    <cfRule type="expression" priority="3302">
      <formula>$F$19</formula>
    </cfRule>
  </conditionalFormatting>
  <conditionalFormatting sqref="W68">
    <cfRule type="expression" dxfId="2001" priority="3281">
      <formula>V68&lt;0</formula>
    </cfRule>
    <cfRule type="colorScale" priority="3279">
      <colorScale>
        <cfvo type="min"/>
        <cfvo type="max"/>
        <color theme="0"/>
        <color theme="0"/>
      </colorScale>
    </cfRule>
    <cfRule type="expression" priority="3280">
      <formula>#REF!</formula>
    </cfRule>
  </conditionalFormatting>
  <conditionalFormatting sqref="W69:W81">
    <cfRule type="expression" dxfId="2000" priority="3328">
      <formula>V69&lt;0</formula>
    </cfRule>
    <cfRule type="expression" priority="3327">
      <formula>$F$19</formula>
    </cfRule>
    <cfRule type="colorScale" priority="3326">
      <colorScale>
        <cfvo type="min"/>
        <cfvo type="max"/>
        <color theme="0"/>
        <color theme="0"/>
      </colorScale>
    </cfRule>
  </conditionalFormatting>
  <conditionalFormatting sqref="W82 W92 W103 W107">
    <cfRule type="expression" dxfId="1999" priority="3325">
      <formula>V82&lt;0</formula>
    </cfRule>
    <cfRule type="expression" priority="3268">
      <formula>$F$23</formula>
    </cfRule>
  </conditionalFormatting>
  <conditionalFormatting sqref="W83">
    <cfRule type="colorScale" priority="3264">
      <colorScale>
        <cfvo type="min"/>
        <cfvo type="max"/>
        <color theme="0"/>
        <color theme="0"/>
      </colorScale>
    </cfRule>
    <cfRule type="expression" priority="3265">
      <formula>#REF!</formula>
    </cfRule>
    <cfRule type="expression" dxfId="1998" priority="3266">
      <formula>V83&lt;0</formula>
    </cfRule>
  </conditionalFormatting>
  <conditionalFormatting sqref="W84:W91">
    <cfRule type="colorScale" priority="3329">
      <colorScale>
        <cfvo type="min"/>
        <cfvo type="max"/>
        <color theme="0"/>
        <color theme="0"/>
      </colorScale>
    </cfRule>
    <cfRule type="expression" priority="3330">
      <formula>$F$19</formula>
    </cfRule>
    <cfRule type="expression" dxfId="1997" priority="3331">
      <formula>V84&lt;0</formula>
    </cfRule>
  </conditionalFormatting>
  <conditionalFormatting sqref="W92 W82 W103 W107">
    <cfRule type="colorScale" priority="3324">
      <colorScale>
        <cfvo type="min"/>
        <cfvo type="max"/>
        <color theme="0"/>
        <color theme="0"/>
      </colorScale>
    </cfRule>
  </conditionalFormatting>
  <conditionalFormatting sqref="W93">
    <cfRule type="colorScale" priority="3276">
      <colorScale>
        <cfvo type="min"/>
        <cfvo type="max"/>
        <color theme="0"/>
        <color theme="0"/>
      </colorScale>
    </cfRule>
    <cfRule type="expression" dxfId="1996" priority="3278">
      <formula>V93&lt;0</formula>
    </cfRule>
    <cfRule type="expression" priority="3277">
      <formula>#REF!</formula>
    </cfRule>
  </conditionalFormatting>
  <conditionalFormatting sqref="W94:W102">
    <cfRule type="expression" dxfId="1995" priority="3334">
      <formula>V94&lt;0</formula>
    </cfRule>
    <cfRule type="colorScale" priority="3332">
      <colorScale>
        <cfvo type="min"/>
        <cfvo type="max"/>
        <color theme="0"/>
        <color theme="0"/>
      </colorScale>
    </cfRule>
    <cfRule type="expression" priority="3333">
      <formula>$F$19</formula>
    </cfRule>
  </conditionalFormatting>
  <conditionalFormatting sqref="W104">
    <cfRule type="expression" priority="3274">
      <formula>#REF!</formula>
    </cfRule>
    <cfRule type="expression" dxfId="1994" priority="3275">
      <formula>V104&lt;0</formula>
    </cfRule>
    <cfRule type="colorScale" priority="3273">
      <colorScale>
        <cfvo type="min"/>
        <cfvo type="max"/>
        <color theme="0"/>
        <color theme="0"/>
      </colorScale>
    </cfRule>
  </conditionalFormatting>
  <conditionalFormatting sqref="W105:W106">
    <cfRule type="expression" priority="3336">
      <formula>$F$19</formula>
    </cfRule>
    <cfRule type="colorScale" priority="3335">
      <colorScale>
        <cfvo type="min"/>
        <cfvo type="max"/>
        <color theme="0"/>
        <color theme="0"/>
      </colorScale>
    </cfRule>
    <cfRule type="expression" dxfId="1993" priority="3337">
      <formula>V105&lt;0</formula>
    </cfRule>
  </conditionalFormatting>
  <conditionalFormatting sqref="W110">
    <cfRule type="expression" dxfId="1992" priority="3339">
      <formula>V110&lt;0</formula>
    </cfRule>
    <cfRule type="colorScale" priority="3338">
      <colorScale>
        <cfvo type="min"/>
        <cfvo type="max"/>
        <color theme="0"/>
        <color theme="0"/>
      </colorScale>
    </cfRule>
  </conditionalFormatting>
  <conditionalFormatting sqref="W110:W111">
    <cfRule type="expression" priority="3261">
      <formula>$F$19</formula>
    </cfRule>
  </conditionalFormatting>
  <conditionalFormatting sqref="W111">
    <cfRule type="colorScale" priority="3260">
      <colorScale>
        <cfvo type="min"/>
        <cfvo type="max"/>
        <color theme="0"/>
        <color theme="0"/>
      </colorScale>
    </cfRule>
    <cfRule type="expression" dxfId="1991" priority="3262">
      <formula>V111&lt;0</formula>
    </cfRule>
  </conditionalFormatting>
  <conditionalFormatting sqref="W117:W123">
    <cfRule type="colorScale" priority="3343">
      <colorScale>
        <cfvo type="min"/>
        <cfvo type="max"/>
        <color theme="0"/>
        <color theme="0"/>
      </colorScale>
    </cfRule>
    <cfRule type="expression" priority="3344">
      <formula>$F$19</formula>
    </cfRule>
    <cfRule type="expression" dxfId="1990" priority="3345">
      <formula>V117&lt;0</formula>
    </cfRule>
  </conditionalFormatting>
  <conditionalFormatting sqref="W125">
    <cfRule type="expression" dxfId="1989" priority="3272">
      <formula>V125&lt;0</formula>
    </cfRule>
    <cfRule type="colorScale" priority="3270">
      <colorScale>
        <cfvo type="min"/>
        <cfvo type="max"/>
        <color theme="0"/>
        <color theme="0"/>
      </colorScale>
    </cfRule>
    <cfRule type="expression" priority="3271">
      <formula>#REF!</formula>
    </cfRule>
  </conditionalFormatting>
  <conditionalFormatting sqref="W125:W135">
    <cfRule type="expression" dxfId="1988" priority="3269">
      <formula>IF(W125="Validar","Rojo","Verde")</formula>
    </cfRule>
  </conditionalFormatting>
  <conditionalFormatting sqref="W126:W132">
    <cfRule type="colorScale" priority="3346">
      <colorScale>
        <cfvo type="min"/>
        <cfvo type="max"/>
        <color theme="0"/>
        <color theme="0"/>
      </colorScale>
    </cfRule>
    <cfRule type="expression" dxfId="1987" priority="3348">
      <formula>V126&lt;0</formula>
    </cfRule>
  </conditionalFormatting>
  <conditionalFormatting sqref="W126:W134">
    <cfRule type="expression" priority="3347">
      <formula>$F$19</formula>
    </cfRule>
  </conditionalFormatting>
  <conditionalFormatting sqref="W133:W134">
    <cfRule type="expression" dxfId="1986" priority="3350">
      <formula>V133&lt;0</formula>
    </cfRule>
    <cfRule type="colorScale" priority="3349">
      <colorScale>
        <cfvo type="min"/>
        <cfvo type="max"/>
        <color theme="0"/>
        <color theme="0"/>
      </colorScale>
    </cfRule>
  </conditionalFormatting>
  <conditionalFormatting sqref="W135">
    <cfRule type="colorScale" priority="3340">
      <colorScale>
        <cfvo type="min"/>
        <cfvo type="max"/>
        <color theme="0"/>
        <color theme="0"/>
      </colorScale>
    </cfRule>
    <cfRule type="expression" dxfId="1985" priority="3342">
      <formula>V135&lt;0</formula>
    </cfRule>
    <cfRule type="expression" priority="3341">
      <formula>$F$23</formula>
    </cfRule>
  </conditionalFormatting>
  <conditionalFormatting sqref="W110:X111">
    <cfRule type="expression" dxfId="1984" priority="3259">
      <formula>IF(W110="Validar","Rojo","Verde")</formula>
    </cfRule>
  </conditionalFormatting>
  <conditionalFormatting sqref="W117:X123">
    <cfRule type="expression" dxfId="1983" priority="3267">
      <formula>IF(W117="Validar","Rojo","Verde")</formula>
    </cfRule>
  </conditionalFormatting>
  <conditionalFormatting sqref="X5">
    <cfRule type="colorScale" priority="5259">
      <colorScale>
        <cfvo type="min"/>
        <cfvo type="max"/>
        <color theme="0"/>
        <color theme="0"/>
      </colorScale>
    </cfRule>
    <cfRule type="expression" dxfId="1982" priority="5260">
      <formula>W5&lt;0</formula>
    </cfRule>
  </conditionalFormatting>
  <conditionalFormatting sqref="X5:X16">
    <cfRule type="expression" priority="5233">
      <formula>#REF!</formula>
    </cfRule>
    <cfRule type="expression" dxfId="1981" priority="5231">
      <formula>IF(X5="Validar","Rojo","Verde")</formula>
    </cfRule>
  </conditionalFormatting>
  <conditionalFormatting sqref="X6:X9">
    <cfRule type="expression" dxfId="1980" priority="5268">
      <formula>W6&lt;0</formula>
    </cfRule>
    <cfRule type="colorScale" priority="5267">
      <colorScale>
        <cfvo type="min"/>
        <cfvo type="max"/>
        <color theme="0"/>
        <color theme="0"/>
      </colorScale>
    </cfRule>
  </conditionalFormatting>
  <conditionalFormatting sqref="X10">
    <cfRule type="colorScale" priority="5235">
      <colorScale>
        <cfvo type="min"/>
        <cfvo type="max"/>
        <color theme="0"/>
        <color theme="0"/>
      </colorScale>
    </cfRule>
    <cfRule type="expression" dxfId="1979" priority="5236">
      <formula>W10&lt;0</formula>
    </cfRule>
  </conditionalFormatting>
  <conditionalFormatting sqref="X11:X14">
    <cfRule type="expression" dxfId="1978" priority="5266">
      <formula>W11&lt;0</formula>
    </cfRule>
    <cfRule type="colorScale" priority="5265">
      <colorScale>
        <cfvo type="min"/>
        <cfvo type="max"/>
        <color theme="0"/>
        <color theme="0"/>
      </colorScale>
    </cfRule>
  </conditionalFormatting>
  <conditionalFormatting sqref="X15">
    <cfRule type="expression" dxfId="1977" priority="5234">
      <formula>W15&lt;0</formula>
    </cfRule>
    <cfRule type="colorScale" priority="5232">
      <colorScale>
        <cfvo type="min"/>
        <cfvo type="max"/>
        <color theme="0"/>
        <color theme="0"/>
      </colorScale>
    </cfRule>
  </conditionalFormatting>
  <conditionalFormatting sqref="X16">
    <cfRule type="expression" dxfId="1976" priority="5264">
      <formula>W16&lt;0</formula>
    </cfRule>
    <cfRule type="colorScale" priority="5263">
      <colorScale>
        <cfvo type="min"/>
        <cfvo type="max"/>
        <color theme="0"/>
        <color theme="0"/>
      </colorScale>
    </cfRule>
  </conditionalFormatting>
  <conditionalFormatting sqref="X18">
    <cfRule type="expression" dxfId="1975" priority="5230">
      <formula>W18&lt;0</formula>
    </cfRule>
    <cfRule type="colorScale" priority="5228">
      <colorScale>
        <cfvo type="min"/>
        <cfvo type="max"/>
        <color theme="0"/>
        <color theme="0"/>
      </colorScale>
    </cfRule>
  </conditionalFormatting>
  <conditionalFormatting sqref="X18:X19">
    <cfRule type="expression" dxfId="1974" priority="5227">
      <formula>IF(X18="Validar","Rojo","Verde")</formula>
    </cfRule>
    <cfRule type="expression" priority="5229">
      <formula>#REF!</formula>
    </cfRule>
  </conditionalFormatting>
  <conditionalFormatting sqref="X19">
    <cfRule type="colorScale" priority="5261">
      <colorScale>
        <cfvo type="min"/>
        <cfvo type="max"/>
        <color theme="0"/>
        <color theme="0"/>
      </colorScale>
    </cfRule>
    <cfRule type="expression" dxfId="1973" priority="5262">
      <formula>W19&lt;0</formula>
    </cfRule>
  </conditionalFormatting>
  <conditionalFormatting sqref="X23">
    <cfRule type="expression" dxfId="1972" priority="5226">
      <formula>W23&lt;0</formula>
    </cfRule>
    <cfRule type="colorScale" priority="5224">
      <colorScale>
        <cfvo type="min"/>
        <cfvo type="max"/>
        <color theme="0"/>
        <color theme="0"/>
      </colorScale>
    </cfRule>
  </conditionalFormatting>
  <conditionalFormatting sqref="X23:X24">
    <cfRule type="expression" dxfId="1971" priority="5223">
      <formula>IF(X23="Validar","Rojo","Verde")</formula>
    </cfRule>
    <cfRule type="expression" priority="5225">
      <formula>#REF!</formula>
    </cfRule>
  </conditionalFormatting>
  <conditionalFormatting sqref="X24">
    <cfRule type="expression" dxfId="1970" priority="5258">
      <formula>W24&lt;0</formula>
    </cfRule>
    <cfRule type="colorScale" priority="5257">
      <colorScale>
        <cfvo type="min"/>
        <cfvo type="max"/>
        <color theme="0"/>
        <color theme="0"/>
      </colorScale>
    </cfRule>
  </conditionalFormatting>
  <conditionalFormatting sqref="X26">
    <cfRule type="expression" dxfId="1969" priority="5222">
      <formula>W26&lt;0</formula>
    </cfRule>
    <cfRule type="colorScale" priority="5220">
      <colorScale>
        <cfvo type="min"/>
        <cfvo type="max"/>
        <color theme="0"/>
        <color theme="0"/>
      </colorScale>
    </cfRule>
  </conditionalFormatting>
  <conditionalFormatting sqref="X26:X27">
    <cfRule type="expression" dxfId="1968" priority="5219">
      <formula>IF(X26="Validar","Rojo","Verde")</formula>
    </cfRule>
    <cfRule type="expression" priority="5221">
      <formula>#REF!</formula>
    </cfRule>
  </conditionalFormatting>
  <conditionalFormatting sqref="X27">
    <cfRule type="expression" dxfId="1967" priority="5256">
      <formula>W27&lt;0</formula>
    </cfRule>
    <cfRule type="colorScale" priority="5255">
      <colorScale>
        <cfvo type="min"/>
        <cfvo type="max"/>
        <color theme="0"/>
        <color theme="0"/>
      </colorScale>
    </cfRule>
  </conditionalFormatting>
  <conditionalFormatting sqref="X29">
    <cfRule type="expression" dxfId="1966" priority="5218">
      <formula>W29&lt;0</formula>
    </cfRule>
    <cfRule type="colorScale" priority="5216">
      <colorScale>
        <cfvo type="min"/>
        <cfvo type="max"/>
        <color theme="0"/>
        <color theme="0"/>
      </colorScale>
    </cfRule>
  </conditionalFormatting>
  <conditionalFormatting sqref="X29:X30">
    <cfRule type="expression" priority="5217">
      <formula>#REF!</formula>
    </cfRule>
    <cfRule type="expression" dxfId="1965" priority="5215">
      <formula>IF(X29="Validar","Rojo","Verde")</formula>
    </cfRule>
  </conditionalFormatting>
  <conditionalFormatting sqref="X30">
    <cfRule type="colorScale" priority="5253">
      <colorScale>
        <cfvo type="min"/>
        <cfvo type="max"/>
        <color theme="0"/>
        <color theme="0"/>
      </colorScale>
    </cfRule>
    <cfRule type="expression" dxfId="1964" priority="5254">
      <formula>W30&lt;0</formula>
    </cfRule>
  </conditionalFormatting>
  <conditionalFormatting sqref="X39">
    <cfRule type="expression" dxfId="1963" priority="5214">
      <formula>W39&lt;0</formula>
    </cfRule>
    <cfRule type="colorScale" priority="5212">
      <colorScale>
        <cfvo type="min"/>
        <cfvo type="max"/>
        <color theme="0"/>
        <color theme="0"/>
      </colorScale>
    </cfRule>
  </conditionalFormatting>
  <conditionalFormatting sqref="X39:X66">
    <cfRule type="expression" priority="5213">
      <formula>#REF!</formula>
    </cfRule>
    <cfRule type="expression" dxfId="1962" priority="5211">
      <formula>IF(X39="Validar","Rojo","Verde")</formula>
    </cfRule>
  </conditionalFormatting>
  <conditionalFormatting sqref="X40:X66">
    <cfRule type="colorScale" priority="5251">
      <colorScale>
        <cfvo type="min"/>
        <cfvo type="max"/>
        <color theme="0"/>
        <color theme="0"/>
      </colorScale>
    </cfRule>
    <cfRule type="expression" dxfId="1961" priority="5252">
      <formula>W40&lt;0</formula>
    </cfRule>
  </conditionalFormatting>
  <conditionalFormatting sqref="X68">
    <cfRule type="expression" dxfId="1960" priority="5210">
      <formula>W68&lt;0</formula>
    </cfRule>
    <cfRule type="colorScale" priority="5208">
      <colorScale>
        <cfvo type="min"/>
        <cfvo type="max"/>
        <color theme="0"/>
        <color theme="0"/>
      </colorScale>
    </cfRule>
  </conditionalFormatting>
  <conditionalFormatting sqref="X68:X81">
    <cfRule type="expression" dxfId="1959" priority="5207">
      <formula>IF(X68="Validar","Rojo","Verde")</formula>
    </cfRule>
    <cfRule type="expression" priority="5209">
      <formula>#REF!</formula>
    </cfRule>
  </conditionalFormatting>
  <conditionalFormatting sqref="X69:X81">
    <cfRule type="colorScale" priority="5269">
      <colorScale>
        <cfvo type="min"/>
        <cfvo type="max"/>
        <color theme="0"/>
        <color theme="0"/>
      </colorScale>
    </cfRule>
    <cfRule type="expression" dxfId="1958" priority="5270">
      <formula>W69&lt;0</formula>
    </cfRule>
  </conditionalFormatting>
  <conditionalFormatting sqref="X83">
    <cfRule type="expression" dxfId="1957" priority="5193">
      <formula>W83&lt;0</formula>
    </cfRule>
    <cfRule type="colorScale" priority="5191">
      <colorScale>
        <cfvo type="min"/>
        <cfvo type="max"/>
        <color theme="0"/>
        <color theme="0"/>
      </colorScale>
    </cfRule>
  </conditionalFormatting>
  <conditionalFormatting sqref="X83:X91">
    <cfRule type="expression" dxfId="1956" priority="5190">
      <formula>IF(X83="Validar","Rojo","Verde")</formula>
    </cfRule>
    <cfRule type="expression" priority="5192">
      <formula>#REF!</formula>
    </cfRule>
  </conditionalFormatting>
  <conditionalFormatting sqref="X84:X91">
    <cfRule type="colorScale" priority="5249">
      <colorScale>
        <cfvo type="min"/>
        <cfvo type="max"/>
        <color theme="0"/>
        <color theme="0"/>
      </colorScale>
    </cfRule>
    <cfRule type="expression" dxfId="1955" priority="5250">
      <formula>W84&lt;0</formula>
    </cfRule>
  </conditionalFormatting>
  <conditionalFormatting sqref="X93">
    <cfRule type="colorScale" priority="5204">
      <colorScale>
        <cfvo type="min"/>
        <cfvo type="max"/>
        <color theme="0"/>
        <color theme="0"/>
      </colorScale>
    </cfRule>
    <cfRule type="expression" dxfId="1954" priority="5206">
      <formula>W93&lt;0</formula>
    </cfRule>
  </conditionalFormatting>
  <conditionalFormatting sqref="X93:X102">
    <cfRule type="expression" priority="5205">
      <formula>#REF!</formula>
    </cfRule>
    <cfRule type="expression" dxfId="1953" priority="5203">
      <formula>IF(X93="Validar","Rojo","Verde")</formula>
    </cfRule>
  </conditionalFormatting>
  <conditionalFormatting sqref="X94:X102">
    <cfRule type="colorScale" priority="5247">
      <colorScale>
        <cfvo type="min"/>
        <cfvo type="max"/>
        <color theme="0"/>
        <color theme="0"/>
      </colorScale>
    </cfRule>
    <cfRule type="expression" dxfId="1952" priority="5248">
      <formula>W94&lt;0</formula>
    </cfRule>
  </conditionalFormatting>
  <conditionalFormatting sqref="X104">
    <cfRule type="expression" dxfId="1951" priority="5202">
      <formula>W104&lt;0</formula>
    </cfRule>
    <cfRule type="colorScale" priority="5200">
      <colorScale>
        <cfvo type="min"/>
        <cfvo type="max"/>
        <color theme="0"/>
        <color theme="0"/>
      </colorScale>
    </cfRule>
  </conditionalFormatting>
  <conditionalFormatting sqref="X104:X106">
    <cfRule type="expression" dxfId="1950" priority="5199">
      <formula>IF(X104="Validar","Rojo","Verde")</formula>
    </cfRule>
    <cfRule type="expression" priority="5201">
      <formula>#REF!</formula>
    </cfRule>
  </conditionalFormatting>
  <conditionalFormatting sqref="X105:X106">
    <cfRule type="expression" dxfId="1949" priority="5246">
      <formula>W105&lt;0</formula>
    </cfRule>
    <cfRule type="colorScale" priority="5245">
      <colorScale>
        <cfvo type="min"/>
        <cfvo type="max"/>
        <color theme="0"/>
        <color theme="0"/>
      </colorScale>
    </cfRule>
  </conditionalFormatting>
  <conditionalFormatting sqref="X110">
    <cfRule type="expression" dxfId="1948" priority="5244">
      <formula>W110&lt;0</formula>
    </cfRule>
    <cfRule type="colorScale" priority="5243">
      <colorScale>
        <cfvo type="min"/>
        <cfvo type="max"/>
        <color theme="0"/>
        <color theme="0"/>
      </colorScale>
    </cfRule>
  </conditionalFormatting>
  <conditionalFormatting sqref="X110:X111">
    <cfRule type="expression" priority="5185">
      <formula>#REF!</formula>
    </cfRule>
  </conditionalFormatting>
  <conditionalFormatting sqref="X111">
    <cfRule type="colorScale" priority="5184">
      <colorScale>
        <cfvo type="min"/>
        <cfvo type="max"/>
        <color theme="0"/>
        <color theme="0"/>
      </colorScale>
    </cfRule>
    <cfRule type="expression" dxfId="1947" priority="5186">
      <formula>W111&lt;0</formula>
    </cfRule>
  </conditionalFormatting>
  <conditionalFormatting sqref="X117:X123">
    <cfRule type="expression" dxfId="1946" priority="5242">
      <formula>W117&lt;0</formula>
    </cfRule>
    <cfRule type="colorScale" priority="5240">
      <colorScale>
        <cfvo type="min"/>
        <cfvo type="max"/>
        <color theme="0"/>
        <color theme="0"/>
      </colorScale>
    </cfRule>
    <cfRule type="expression" priority="5241">
      <formula>#REF!</formula>
    </cfRule>
  </conditionalFormatting>
  <conditionalFormatting sqref="X125">
    <cfRule type="colorScale" priority="5196">
      <colorScale>
        <cfvo type="min"/>
        <cfvo type="max"/>
        <color theme="0"/>
        <color theme="0"/>
      </colorScale>
    </cfRule>
    <cfRule type="expression" dxfId="1945" priority="5198">
      <formula>W125&lt;0</formula>
    </cfRule>
  </conditionalFormatting>
  <conditionalFormatting sqref="X125:X134">
    <cfRule type="expression" dxfId="1944" priority="5195">
      <formula>IF(X125="Validar","Rojo","Verde")</formula>
    </cfRule>
    <cfRule type="expression" priority="5197">
      <formula>#REF!</formula>
    </cfRule>
  </conditionalFormatting>
  <conditionalFormatting sqref="X126:X134">
    <cfRule type="colorScale" priority="5237">
      <colorScale>
        <cfvo type="min"/>
        <cfvo type="max"/>
        <color theme="0"/>
        <color theme="0"/>
      </colorScale>
    </cfRule>
    <cfRule type="expression" dxfId="1943" priority="5238">
      <formula>W126&lt;0</formula>
    </cfRule>
  </conditionalFormatting>
  <conditionalFormatting sqref="Z5 Z9">
    <cfRule type="expression" dxfId="1942" priority="3219">
      <formula>Y5&lt;0</formula>
    </cfRule>
    <cfRule type="colorScale" priority="3218">
      <colorScale>
        <cfvo type="min"/>
        <cfvo type="max"/>
        <color theme="0"/>
        <color theme="0"/>
      </colorScale>
    </cfRule>
  </conditionalFormatting>
  <conditionalFormatting sqref="Z5:Z20">
    <cfRule type="expression" priority="3102">
      <formula>#REF!</formula>
    </cfRule>
    <cfRule type="expression" dxfId="1941" priority="3101">
      <formula>IF(Z5="Validar","Rojo","Verde")</formula>
    </cfRule>
  </conditionalFormatting>
  <conditionalFormatting sqref="Z6">
    <cfRule type="expression" dxfId="1940" priority="3108">
      <formula>Y6&lt;0</formula>
    </cfRule>
    <cfRule type="colorScale" priority="3107">
      <colorScale>
        <cfvo type="min"/>
        <cfvo type="max"/>
        <color theme="0"/>
        <color theme="0"/>
      </colorScale>
    </cfRule>
  </conditionalFormatting>
  <conditionalFormatting sqref="Z7:Z8">
    <cfRule type="colorScale" priority="3103">
      <colorScale>
        <cfvo type="min"/>
        <cfvo type="max"/>
        <color theme="0"/>
        <color theme="0"/>
      </colorScale>
    </cfRule>
    <cfRule type="expression" dxfId="1939" priority="3104">
      <formula>Y7&lt;0</formula>
    </cfRule>
  </conditionalFormatting>
  <conditionalFormatting sqref="Z10">
    <cfRule type="colorScale" priority="3195">
      <colorScale>
        <cfvo type="min"/>
        <cfvo type="max"/>
        <color theme="0"/>
        <color theme="0"/>
      </colorScale>
    </cfRule>
    <cfRule type="expression" dxfId="1938" priority="3196">
      <formula>Y10&lt;0</formula>
    </cfRule>
  </conditionalFormatting>
  <conditionalFormatting sqref="Z11:Z14">
    <cfRule type="colorScale" priority="3216">
      <colorScale>
        <cfvo type="min"/>
        <cfvo type="max"/>
        <color theme="0"/>
        <color theme="0"/>
      </colorScale>
    </cfRule>
    <cfRule type="expression" dxfId="1937" priority="3217">
      <formula>Y11&lt;0</formula>
    </cfRule>
  </conditionalFormatting>
  <conditionalFormatting sqref="Z15">
    <cfRule type="expression" dxfId="1936" priority="3194">
      <formula>Y15&lt;0</formula>
    </cfRule>
    <cfRule type="colorScale" priority="3193">
      <colorScale>
        <cfvo type="min"/>
        <cfvo type="max"/>
        <color theme="0"/>
        <color theme="0"/>
      </colorScale>
    </cfRule>
  </conditionalFormatting>
  <conditionalFormatting sqref="Z16:Z17">
    <cfRule type="colorScale" priority="3214">
      <colorScale>
        <cfvo type="min"/>
        <cfvo type="max"/>
        <color theme="0"/>
        <color theme="0"/>
      </colorScale>
    </cfRule>
    <cfRule type="expression" dxfId="1935" priority="3215">
      <formula>Y16&lt;0</formula>
    </cfRule>
  </conditionalFormatting>
  <conditionalFormatting sqref="Z18">
    <cfRule type="expression" dxfId="1934" priority="3192">
      <formula>Y18&lt;0</formula>
    </cfRule>
    <cfRule type="colorScale" priority="3190">
      <colorScale>
        <cfvo type="min"/>
        <cfvo type="max"/>
        <color theme="0"/>
        <color theme="0"/>
      </colorScale>
    </cfRule>
  </conditionalFormatting>
  <conditionalFormatting sqref="Z19:Z20">
    <cfRule type="expression" dxfId="1933" priority="3213">
      <formula>Y19&lt;0</formula>
    </cfRule>
    <cfRule type="colorScale" priority="3212">
      <colorScale>
        <cfvo type="min"/>
        <cfvo type="max"/>
        <color theme="0"/>
        <color theme="0"/>
      </colorScale>
    </cfRule>
  </conditionalFormatting>
  <conditionalFormatting sqref="Z23">
    <cfRule type="expression" dxfId="1932" priority="3188">
      <formula>Y23&lt;0</formula>
    </cfRule>
    <cfRule type="colorScale" priority="3187">
      <colorScale>
        <cfvo type="min"/>
        <cfvo type="max"/>
        <color theme="0"/>
        <color theme="0"/>
      </colorScale>
    </cfRule>
  </conditionalFormatting>
  <conditionalFormatting sqref="Z23:Z31">
    <cfRule type="expression" dxfId="1931" priority="3181">
      <formula>IF(Z23="Validar","Rojo","Verde")</formula>
    </cfRule>
    <cfRule type="expression" priority="3183">
      <formula>#REF!</formula>
    </cfRule>
  </conditionalFormatting>
  <conditionalFormatting sqref="Z24">
    <cfRule type="colorScale" priority="3210">
      <colorScale>
        <cfvo type="min"/>
        <cfvo type="max"/>
        <color theme="0"/>
        <color theme="0"/>
      </colorScale>
    </cfRule>
    <cfRule type="expression" dxfId="1930" priority="3211">
      <formula>Y24&lt;0</formula>
    </cfRule>
  </conditionalFormatting>
  <conditionalFormatting sqref="Z25">
    <cfRule type="expression" dxfId="1929" priority="3209">
      <formula>Y25&lt;0</formula>
    </cfRule>
    <cfRule type="colorScale" priority="3208">
      <colorScale>
        <cfvo type="min"/>
        <cfvo type="max"/>
        <color theme="0"/>
        <color theme="0"/>
      </colorScale>
    </cfRule>
  </conditionalFormatting>
  <conditionalFormatting sqref="Z26">
    <cfRule type="colorScale" priority="3185">
      <colorScale>
        <cfvo type="min"/>
        <cfvo type="max"/>
        <color theme="0"/>
        <color theme="0"/>
      </colorScale>
    </cfRule>
    <cfRule type="expression" dxfId="1928" priority="3186">
      <formula>Y26&lt;0</formula>
    </cfRule>
  </conditionalFormatting>
  <conditionalFormatting sqref="Z27">
    <cfRule type="colorScale" priority="3206">
      <colorScale>
        <cfvo type="min"/>
        <cfvo type="max"/>
        <color theme="0"/>
        <color theme="0"/>
      </colorScale>
    </cfRule>
    <cfRule type="expression" dxfId="1927" priority="3207">
      <formula>Y27&lt;0</formula>
    </cfRule>
  </conditionalFormatting>
  <conditionalFormatting sqref="Z28">
    <cfRule type="expression" dxfId="1926" priority="3205">
      <formula>Y28&lt;0</formula>
    </cfRule>
    <cfRule type="colorScale" priority="3204">
      <colorScale>
        <cfvo type="min"/>
        <cfvo type="max"/>
        <color theme="0"/>
        <color theme="0"/>
      </colorScale>
    </cfRule>
  </conditionalFormatting>
  <conditionalFormatting sqref="Z29">
    <cfRule type="expression" dxfId="1925" priority="3184">
      <formula>Y29&lt;0</formula>
    </cfRule>
    <cfRule type="colorScale" priority="3182">
      <colorScale>
        <cfvo type="min"/>
        <cfvo type="max"/>
        <color theme="0"/>
        <color theme="0"/>
      </colorScale>
    </cfRule>
  </conditionalFormatting>
  <conditionalFormatting sqref="Z30">
    <cfRule type="expression" dxfId="1924" priority="3203">
      <formula>Y30&lt;0</formula>
    </cfRule>
    <cfRule type="colorScale" priority="3202">
      <colorScale>
        <cfvo type="min"/>
        <cfvo type="max"/>
        <color theme="0"/>
        <color theme="0"/>
      </colorScale>
    </cfRule>
  </conditionalFormatting>
  <conditionalFormatting sqref="Z31">
    <cfRule type="expression" dxfId="1923" priority="3201">
      <formula>Y31&lt;0</formula>
    </cfRule>
    <cfRule type="colorScale" priority="3200">
      <colorScale>
        <cfvo type="min"/>
        <cfvo type="max"/>
        <color theme="0"/>
        <color theme="0"/>
      </colorScale>
    </cfRule>
  </conditionalFormatting>
  <conditionalFormatting sqref="Z39">
    <cfRule type="expression" dxfId="1922" priority="3180">
      <formula>Y39&lt;0</formula>
    </cfRule>
    <cfRule type="expression" priority="3179">
      <formula>#REF!</formula>
    </cfRule>
    <cfRule type="colorScale" priority="3178">
      <colorScale>
        <cfvo type="min"/>
        <cfvo type="max"/>
        <color theme="0"/>
        <color theme="0"/>
      </colorScale>
    </cfRule>
  </conditionalFormatting>
  <conditionalFormatting sqref="Z39:Z107">
    <cfRule type="expression" dxfId="1921" priority="3116">
      <formula>IF(Z39="Validar","Rojo","Verde")</formula>
    </cfRule>
  </conditionalFormatting>
  <conditionalFormatting sqref="Z40:Z67">
    <cfRule type="expression" dxfId="1920" priority="3199">
      <formula>Y40&lt;0</formula>
    </cfRule>
    <cfRule type="expression" priority="3198">
      <formula>$F$19</formula>
    </cfRule>
    <cfRule type="colorScale" priority="3197">
      <colorScale>
        <cfvo type="min"/>
        <cfvo type="max"/>
        <color theme="0"/>
        <color theme="0"/>
      </colorScale>
    </cfRule>
  </conditionalFormatting>
  <conditionalFormatting sqref="Z68">
    <cfRule type="expression" dxfId="1919" priority="3177">
      <formula>Y68&lt;0</formula>
    </cfRule>
    <cfRule type="expression" priority="3176">
      <formula>#REF!</formula>
    </cfRule>
    <cfRule type="colorScale" priority="3175">
      <colorScale>
        <cfvo type="min"/>
        <cfvo type="max"/>
        <color theme="0"/>
        <color theme="0"/>
      </colorScale>
    </cfRule>
  </conditionalFormatting>
  <conditionalFormatting sqref="Z69:Z81">
    <cfRule type="colorScale" priority="3222">
      <colorScale>
        <cfvo type="min"/>
        <cfvo type="max"/>
        <color theme="0"/>
        <color theme="0"/>
      </colorScale>
    </cfRule>
    <cfRule type="expression" priority="3223">
      <formula>$F$19</formula>
    </cfRule>
    <cfRule type="expression" dxfId="1918" priority="3224">
      <formula>Y69&lt;0</formula>
    </cfRule>
  </conditionalFormatting>
  <conditionalFormatting sqref="Z82 Z92 Z103 Z107">
    <cfRule type="expression" dxfId="1917" priority="3221">
      <formula>Y82&lt;0</formula>
    </cfRule>
  </conditionalFormatting>
  <conditionalFormatting sqref="Z83">
    <cfRule type="expression" priority="3118">
      <formula>#REF!</formula>
    </cfRule>
    <cfRule type="colorScale" priority="3117">
      <colorScale>
        <cfvo type="min"/>
        <cfvo type="max"/>
        <color theme="0"/>
        <color theme="0"/>
      </colorScale>
    </cfRule>
    <cfRule type="expression" dxfId="1916" priority="3119">
      <formula>Y83&lt;0</formula>
    </cfRule>
  </conditionalFormatting>
  <conditionalFormatting sqref="Z84:Z91">
    <cfRule type="expression" priority="3226">
      <formula>$F$19</formula>
    </cfRule>
    <cfRule type="colorScale" priority="3225">
      <colorScale>
        <cfvo type="min"/>
        <cfvo type="max"/>
        <color theme="0"/>
        <color theme="0"/>
      </colorScale>
    </cfRule>
    <cfRule type="expression" dxfId="1915" priority="3227">
      <formula>Y84&lt;0</formula>
    </cfRule>
  </conditionalFormatting>
  <conditionalFormatting sqref="Z92 Z82 Z103 Z107">
    <cfRule type="colorScale" priority="3220">
      <colorScale>
        <cfvo type="min"/>
        <cfvo type="max"/>
        <color theme="0"/>
        <color theme="0"/>
      </colorScale>
    </cfRule>
  </conditionalFormatting>
  <conditionalFormatting sqref="Z93">
    <cfRule type="expression" priority="3173">
      <formula>#REF!</formula>
    </cfRule>
    <cfRule type="colorScale" priority="3172">
      <colorScale>
        <cfvo type="min"/>
        <cfvo type="max"/>
        <color theme="0"/>
        <color theme="0"/>
      </colorScale>
    </cfRule>
    <cfRule type="expression" dxfId="1914" priority="3174">
      <formula>Y93&lt;0</formula>
    </cfRule>
  </conditionalFormatting>
  <conditionalFormatting sqref="Z94:Z102">
    <cfRule type="colorScale" priority="3228">
      <colorScale>
        <cfvo type="min"/>
        <cfvo type="max"/>
        <color theme="0"/>
        <color theme="0"/>
      </colorScale>
    </cfRule>
    <cfRule type="expression" priority="3229">
      <formula>$F$19</formula>
    </cfRule>
    <cfRule type="expression" dxfId="1913" priority="3230">
      <formula>Y94&lt;0</formula>
    </cfRule>
  </conditionalFormatting>
  <conditionalFormatting sqref="Z104">
    <cfRule type="colorScale" priority="3169">
      <colorScale>
        <cfvo type="min"/>
        <cfvo type="max"/>
        <color theme="0"/>
        <color theme="0"/>
      </colorScale>
    </cfRule>
    <cfRule type="expression" dxfId="1912" priority="3171">
      <formula>Y104&lt;0</formula>
    </cfRule>
    <cfRule type="expression" priority="3170">
      <formula>#REF!</formula>
    </cfRule>
  </conditionalFormatting>
  <conditionalFormatting sqref="Z105:Z106">
    <cfRule type="colorScale" priority="3231">
      <colorScale>
        <cfvo type="min"/>
        <cfvo type="max"/>
        <color theme="0"/>
        <color theme="0"/>
      </colorScale>
    </cfRule>
    <cfRule type="expression" dxfId="1911" priority="3233">
      <formula>Y105&lt;0</formula>
    </cfRule>
    <cfRule type="expression" priority="3232">
      <formula>$F$19</formula>
    </cfRule>
  </conditionalFormatting>
  <conditionalFormatting sqref="Z110">
    <cfRule type="expression" dxfId="1910" priority="3235">
      <formula>Y110&lt;0</formula>
    </cfRule>
    <cfRule type="colorScale" priority="3234">
      <colorScale>
        <cfvo type="min"/>
        <cfvo type="max"/>
        <color theme="0"/>
        <color theme="0"/>
      </colorScale>
    </cfRule>
  </conditionalFormatting>
  <conditionalFormatting sqref="Z110:Z111">
    <cfRule type="expression" priority="3114">
      <formula>$F$19</formula>
    </cfRule>
  </conditionalFormatting>
  <conditionalFormatting sqref="Z111">
    <cfRule type="colorScale" priority="3113">
      <colorScale>
        <cfvo type="min"/>
        <cfvo type="max"/>
        <color theme="0"/>
        <color theme="0"/>
      </colorScale>
    </cfRule>
    <cfRule type="expression" dxfId="1909" priority="3115">
      <formula>Y111&lt;0</formula>
    </cfRule>
  </conditionalFormatting>
  <conditionalFormatting sqref="Z117:Z123">
    <cfRule type="expression" priority="3240">
      <formula>$F$19</formula>
    </cfRule>
    <cfRule type="expression" dxfId="1908" priority="3241">
      <formula>Y117&lt;0</formula>
    </cfRule>
    <cfRule type="colorScale" priority="3239">
      <colorScale>
        <cfvo type="min"/>
        <cfvo type="max"/>
        <color theme="0"/>
        <color theme="0"/>
      </colorScale>
    </cfRule>
  </conditionalFormatting>
  <conditionalFormatting sqref="Z125">
    <cfRule type="colorScale" priority="3166">
      <colorScale>
        <cfvo type="min"/>
        <cfvo type="max"/>
        <color theme="0"/>
        <color theme="0"/>
      </colorScale>
    </cfRule>
    <cfRule type="expression" priority="3167">
      <formula>#REF!</formula>
    </cfRule>
    <cfRule type="expression" dxfId="1907" priority="3168">
      <formula>Y125&lt;0</formula>
    </cfRule>
  </conditionalFormatting>
  <conditionalFormatting sqref="Z125:Z135">
    <cfRule type="expression" dxfId="1906" priority="3165">
      <formula>IF(Z125="Validar","Rojo","Verde")</formula>
    </cfRule>
  </conditionalFormatting>
  <conditionalFormatting sqref="Z126:Z132">
    <cfRule type="colorScale" priority="3242">
      <colorScale>
        <cfvo type="min"/>
        <cfvo type="max"/>
        <color theme="0"/>
        <color theme="0"/>
      </colorScale>
    </cfRule>
    <cfRule type="expression" dxfId="1905" priority="3244">
      <formula>Y126&lt;0</formula>
    </cfRule>
  </conditionalFormatting>
  <conditionalFormatting sqref="Z126:Z134">
    <cfRule type="expression" priority="3243">
      <formula>$F$19</formula>
    </cfRule>
  </conditionalFormatting>
  <conditionalFormatting sqref="Z133:Z134">
    <cfRule type="colorScale" priority="3245">
      <colorScale>
        <cfvo type="min"/>
        <cfvo type="max"/>
        <color theme="0"/>
        <color theme="0"/>
      </colorScale>
    </cfRule>
    <cfRule type="expression" dxfId="1904" priority="3246">
      <formula>Y133&lt;0</formula>
    </cfRule>
  </conditionalFormatting>
  <conditionalFormatting sqref="Z135">
    <cfRule type="colorScale" priority="3236">
      <colorScale>
        <cfvo type="min"/>
        <cfvo type="max"/>
        <color theme="0"/>
        <color theme="0"/>
      </colorScale>
    </cfRule>
    <cfRule type="expression" priority="3237">
      <formula>$F$23</formula>
    </cfRule>
    <cfRule type="expression" dxfId="1903" priority="3238">
      <formula>Y135&lt;0</formula>
    </cfRule>
  </conditionalFormatting>
  <conditionalFormatting sqref="Z110:AB111">
    <cfRule type="expression" dxfId="1902" priority="3109">
      <formula>IF(Z110="Validar","Rojo","Verde")</formula>
    </cfRule>
  </conditionalFormatting>
  <conditionalFormatting sqref="Z117:AB123">
    <cfRule type="expression" dxfId="1901" priority="3122">
      <formula>IF(Z117="Validar","Rojo","Verde")</formula>
    </cfRule>
  </conditionalFormatting>
  <conditionalFormatting sqref="AA40:AA66">
    <cfRule type="expression" dxfId="1900" priority="3159">
      <formula>Z40&lt;0</formula>
    </cfRule>
    <cfRule type="expression" priority="3158">
      <formula>#REF!</formula>
    </cfRule>
    <cfRule type="colorScale" priority="3157">
      <colorScale>
        <cfvo type="min"/>
        <cfvo type="max"/>
        <color theme="0"/>
        <color theme="0"/>
      </colorScale>
    </cfRule>
  </conditionalFormatting>
  <conditionalFormatting sqref="AA40:AA67">
    <cfRule type="expression" dxfId="1899" priority="3156">
      <formula>IF(AA40="Validar","Rojo","Verde")</formula>
    </cfRule>
  </conditionalFormatting>
  <conditionalFormatting sqref="AA67 Z82:AA82 Z92:AA92 Z103:AA103 Z107:AA107">
    <cfRule type="expression" priority="3161">
      <formula>$F$23</formula>
    </cfRule>
  </conditionalFormatting>
  <conditionalFormatting sqref="AA67 AA82 AA92 AA103 AA107">
    <cfRule type="expression" dxfId="1898" priority="3162">
      <formula>Z67&lt;0</formula>
    </cfRule>
  </conditionalFormatting>
  <conditionalFormatting sqref="AA69">
    <cfRule type="expression" dxfId="1897" priority="3155">
      <formula>Z69&lt;0</formula>
    </cfRule>
    <cfRule type="colorScale" priority="3154">
      <colorScale>
        <cfvo type="min"/>
        <cfvo type="max"/>
        <color theme="0"/>
        <color theme="0"/>
      </colorScale>
    </cfRule>
  </conditionalFormatting>
  <conditionalFormatting sqref="AA69:AA81">
    <cfRule type="expression" priority="3152">
      <formula>#REF!</formula>
    </cfRule>
  </conditionalFormatting>
  <conditionalFormatting sqref="AA69:AA82">
    <cfRule type="expression" dxfId="1896" priority="3150">
      <formula>IF(AA69="Validar","Rojo","Verde")</formula>
    </cfRule>
  </conditionalFormatting>
  <conditionalFormatting sqref="AA70:AA78">
    <cfRule type="expression" dxfId="1895" priority="3153">
      <formula>Z70&lt;0</formula>
    </cfRule>
    <cfRule type="colorScale" priority="3151">
      <colorScale>
        <cfvo type="min"/>
        <cfvo type="max"/>
        <color theme="0"/>
        <color theme="0"/>
      </colorScale>
    </cfRule>
  </conditionalFormatting>
  <conditionalFormatting sqref="AA79:AA81">
    <cfRule type="expression" dxfId="1894" priority="3164">
      <formula>Z79&lt;0</formula>
    </cfRule>
    <cfRule type="colorScale" priority="3163">
      <colorScale>
        <cfvo type="min"/>
        <cfvo type="max"/>
        <color theme="0"/>
        <color theme="0"/>
      </colorScale>
    </cfRule>
  </conditionalFormatting>
  <conditionalFormatting sqref="AA82 AA67 AA92 AA103 AA107">
    <cfRule type="colorScale" priority="3160">
      <colorScale>
        <cfvo type="min"/>
        <cfvo type="max"/>
        <color theme="0"/>
        <color theme="0"/>
      </colorScale>
    </cfRule>
  </conditionalFormatting>
  <conditionalFormatting sqref="AA84">
    <cfRule type="expression" dxfId="1893" priority="3149">
      <formula>Z84&lt;0</formula>
    </cfRule>
    <cfRule type="colorScale" priority="3148">
      <colorScale>
        <cfvo type="min"/>
        <cfvo type="max"/>
        <color theme="0"/>
        <color theme="0"/>
      </colorScale>
    </cfRule>
  </conditionalFormatting>
  <conditionalFormatting sqref="AA84:AA91">
    <cfRule type="expression" priority="3146">
      <formula>#REF!</formula>
    </cfRule>
  </conditionalFormatting>
  <conditionalFormatting sqref="AA84:AA92">
    <cfRule type="expression" dxfId="1892" priority="3144">
      <formula>IF(AA84="Validar","Rojo","Verde")</formula>
    </cfRule>
  </conditionalFormatting>
  <conditionalFormatting sqref="AA85:AA91">
    <cfRule type="colorScale" priority="3145">
      <colorScale>
        <cfvo type="min"/>
        <cfvo type="max"/>
        <color theme="0"/>
        <color theme="0"/>
      </colorScale>
    </cfRule>
    <cfRule type="expression" dxfId="1891" priority="3147">
      <formula>Z85&lt;0</formula>
    </cfRule>
  </conditionalFormatting>
  <conditionalFormatting sqref="AA94">
    <cfRule type="expression" dxfId="1890" priority="3143">
      <formula>Z94&lt;0</formula>
    </cfRule>
    <cfRule type="colorScale" priority="3142">
      <colorScale>
        <cfvo type="min"/>
        <cfvo type="max"/>
        <color theme="0"/>
        <color theme="0"/>
      </colorScale>
    </cfRule>
  </conditionalFormatting>
  <conditionalFormatting sqref="AA94:AA102">
    <cfRule type="expression" priority="3136">
      <formula>#REF!</formula>
    </cfRule>
  </conditionalFormatting>
  <conditionalFormatting sqref="AA94:AA103">
    <cfRule type="expression" dxfId="1889" priority="3134">
      <formula>IF(AA94="Validar","Rojo","Verde")</formula>
    </cfRule>
  </conditionalFormatting>
  <conditionalFormatting sqref="AA95:AA100">
    <cfRule type="expression" dxfId="1888" priority="3141">
      <formula>Z95&lt;0</formula>
    </cfRule>
    <cfRule type="colorScale" priority="3140">
      <colorScale>
        <cfvo type="min"/>
        <cfvo type="max"/>
        <color theme="0"/>
        <color theme="0"/>
      </colorScale>
    </cfRule>
  </conditionalFormatting>
  <conditionalFormatting sqref="AA101">
    <cfRule type="colorScale" priority="3138">
      <colorScale>
        <cfvo type="min"/>
        <cfvo type="max"/>
        <color theme="0"/>
        <color theme="0"/>
      </colorScale>
    </cfRule>
    <cfRule type="expression" dxfId="1887" priority="3139">
      <formula>Z101&lt;0</formula>
    </cfRule>
  </conditionalFormatting>
  <conditionalFormatting sqref="AA102">
    <cfRule type="expression" dxfId="1886" priority="3137">
      <formula>Z102&lt;0</formula>
    </cfRule>
    <cfRule type="colorScale" priority="3135">
      <colorScale>
        <cfvo type="min"/>
        <cfvo type="max"/>
        <color theme="0"/>
        <color theme="0"/>
      </colorScale>
    </cfRule>
  </conditionalFormatting>
  <conditionalFormatting sqref="AA105">
    <cfRule type="colorScale" priority="3132">
      <colorScale>
        <cfvo type="min"/>
        <cfvo type="max"/>
        <color theme="0"/>
        <color theme="0"/>
      </colorScale>
    </cfRule>
    <cfRule type="expression" dxfId="1885" priority="3133">
      <formula>Z105&lt;0</formula>
    </cfRule>
  </conditionalFormatting>
  <conditionalFormatting sqref="AA105:AA106">
    <cfRule type="expression" priority="3130">
      <formula>#REF!</formula>
    </cfRule>
  </conditionalFormatting>
  <conditionalFormatting sqref="AA105:AA107">
    <cfRule type="expression" dxfId="1884" priority="3128">
      <formula>IF(AA105="Validar","Rojo","Verde")</formula>
    </cfRule>
  </conditionalFormatting>
  <conditionalFormatting sqref="AA106">
    <cfRule type="expression" dxfId="1883" priority="3131">
      <formula>Z106&lt;0</formula>
    </cfRule>
    <cfRule type="colorScale" priority="3129">
      <colorScale>
        <cfvo type="min"/>
        <cfvo type="max"/>
        <color theme="0"/>
        <color theme="0"/>
      </colorScale>
    </cfRule>
  </conditionalFormatting>
  <conditionalFormatting sqref="AA110">
    <cfRule type="colorScale" priority="3120">
      <colorScale>
        <cfvo type="min"/>
        <cfvo type="max"/>
        <color theme="0"/>
        <color theme="0"/>
      </colorScale>
    </cfRule>
    <cfRule type="expression" dxfId="1882" priority="3121">
      <formula>Z110&lt;0</formula>
    </cfRule>
  </conditionalFormatting>
  <conditionalFormatting sqref="AA111">
    <cfRule type="colorScale" priority="3110">
      <colorScale>
        <cfvo type="min"/>
        <cfvo type="max"/>
        <color theme="0"/>
        <color theme="0"/>
      </colorScale>
    </cfRule>
    <cfRule type="expression" dxfId="1881" priority="3112">
      <formula>Z111&lt;0</formula>
    </cfRule>
  </conditionalFormatting>
  <conditionalFormatting sqref="AA117">
    <cfRule type="expression" dxfId="1880" priority="3127">
      <formula>Z117&lt;0</formula>
    </cfRule>
    <cfRule type="colorScale" priority="3126">
      <colorScale>
        <cfvo type="min"/>
        <cfvo type="max"/>
        <color theme="0"/>
        <color theme="0"/>
      </colorScale>
    </cfRule>
  </conditionalFormatting>
  <conditionalFormatting sqref="AA118:AA123">
    <cfRule type="expression" dxfId="1879" priority="3125">
      <formula>Z118&lt;0</formula>
    </cfRule>
    <cfRule type="colorScale" priority="3123">
      <colorScale>
        <cfvo type="min"/>
        <cfvo type="max"/>
        <color theme="0"/>
        <color theme="0"/>
      </colorScale>
    </cfRule>
  </conditionalFormatting>
  <conditionalFormatting sqref="AA126:AA135">
    <cfRule type="expression" dxfId="1878" priority="3250">
      <formula>Z126&lt;0</formula>
    </cfRule>
    <cfRule type="expression" priority="3249">
      <formula>$F$23</formula>
    </cfRule>
    <cfRule type="colorScale" priority="3248">
      <colorScale>
        <cfvo type="min"/>
        <cfvo type="max"/>
        <color theme="0"/>
        <color theme="0"/>
      </colorScale>
    </cfRule>
    <cfRule type="expression" dxfId="1877" priority="3247">
      <formula>IF(AA126="Validar","Rojo","Verde")</formula>
    </cfRule>
  </conditionalFormatting>
  <conditionalFormatting sqref="AA110:AB111">
    <cfRule type="expression" priority="3111">
      <formula>#REF!</formula>
    </cfRule>
  </conditionalFormatting>
  <conditionalFormatting sqref="AA117:AB123">
    <cfRule type="expression" priority="3124">
      <formula>#REF!</formula>
    </cfRule>
  </conditionalFormatting>
  <conditionalFormatting sqref="AB5">
    <cfRule type="expression" dxfId="1876" priority="5349">
      <formula>AA5&lt;0</formula>
    </cfRule>
    <cfRule type="colorScale" priority="5348">
      <colorScale>
        <cfvo type="min"/>
        <cfvo type="max"/>
        <color theme="0"/>
        <color theme="0"/>
      </colorScale>
    </cfRule>
  </conditionalFormatting>
  <conditionalFormatting sqref="AB5:AB16">
    <cfRule type="expression" priority="5322">
      <formula>#REF!</formula>
    </cfRule>
    <cfRule type="expression" dxfId="1875" priority="5320">
      <formula>IF(AB5="Validar","Rojo","Verde")</formula>
    </cfRule>
  </conditionalFormatting>
  <conditionalFormatting sqref="AB6:AB9">
    <cfRule type="colorScale" priority="5356">
      <colorScale>
        <cfvo type="min"/>
        <cfvo type="max"/>
        <color theme="0"/>
        <color theme="0"/>
      </colorScale>
    </cfRule>
    <cfRule type="expression" dxfId="1874" priority="5357">
      <formula>AA6&lt;0</formula>
    </cfRule>
  </conditionalFormatting>
  <conditionalFormatting sqref="AB10">
    <cfRule type="expression" dxfId="1873" priority="5325">
      <formula>AA10&lt;0</formula>
    </cfRule>
    <cfRule type="colorScale" priority="5324">
      <colorScale>
        <cfvo type="min"/>
        <cfvo type="max"/>
        <color theme="0"/>
        <color theme="0"/>
      </colorScale>
    </cfRule>
  </conditionalFormatting>
  <conditionalFormatting sqref="AB11:AB14">
    <cfRule type="colorScale" priority="5354">
      <colorScale>
        <cfvo type="min"/>
        <cfvo type="max"/>
        <color theme="0"/>
        <color theme="0"/>
      </colorScale>
    </cfRule>
    <cfRule type="expression" dxfId="1872" priority="5355">
      <formula>AA11&lt;0</formula>
    </cfRule>
  </conditionalFormatting>
  <conditionalFormatting sqref="AB15">
    <cfRule type="colorScale" priority="5321">
      <colorScale>
        <cfvo type="min"/>
        <cfvo type="max"/>
        <color theme="0"/>
        <color theme="0"/>
      </colorScale>
    </cfRule>
    <cfRule type="expression" dxfId="1871" priority="5323">
      <formula>AA15&lt;0</formula>
    </cfRule>
  </conditionalFormatting>
  <conditionalFormatting sqref="AB16">
    <cfRule type="expression" dxfId="1870" priority="5353">
      <formula>AA16&lt;0</formula>
    </cfRule>
    <cfRule type="colorScale" priority="5352">
      <colorScale>
        <cfvo type="min"/>
        <cfvo type="max"/>
        <color theme="0"/>
        <color theme="0"/>
      </colorScale>
    </cfRule>
  </conditionalFormatting>
  <conditionalFormatting sqref="AB18">
    <cfRule type="colorScale" priority="5317">
      <colorScale>
        <cfvo type="min"/>
        <cfvo type="max"/>
        <color theme="0"/>
        <color theme="0"/>
      </colorScale>
    </cfRule>
    <cfRule type="expression" dxfId="1869" priority="5319">
      <formula>AA18&lt;0</formula>
    </cfRule>
  </conditionalFormatting>
  <conditionalFormatting sqref="AB18:AB19">
    <cfRule type="expression" priority="5318">
      <formula>#REF!</formula>
    </cfRule>
    <cfRule type="expression" dxfId="1868" priority="5316">
      <formula>IF(AB18="Validar","Rojo","Verde")</formula>
    </cfRule>
  </conditionalFormatting>
  <conditionalFormatting sqref="AB19">
    <cfRule type="expression" dxfId="1867" priority="5351">
      <formula>AA19&lt;0</formula>
    </cfRule>
    <cfRule type="colorScale" priority="5350">
      <colorScale>
        <cfvo type="min"/>
        <cfvo type="max"/>
        <color theme="0"/>
        <color theme="0"/>
      </colorScale>
    </cfRule>
  </conditionalFormatting>
  <conditionalFormatting sqref="AB23">
    <cfRule type="colorScale" priority="5313">
      <colorScale>
        <cfvo type="min"/>
        <cfvo type="max"/>
        <color theme="0"/>
        <color theme="0"/>
      </colorScale>
    </cfRule>
    <cfRule type="expression" dxfId="1866" priority="5315">
      <formula>AA23&lt;0</formula>
    </cfRule>
  </conditionalFormatting>
  <conditionalFormatting sqref="AB23:AB24">
    <cfRule type="expression" dxfId="1865" priority="5312">
      <formula>IF(AB23="Validar","Rojo","Verde")</formula>
    </cfRule>
    <cfRule type="expression" priority="5314">
      <formula>#REF!</formula>
    </cfRule>
  </conditionalFormatting>
  <conditionalFormatting sqref="AB24">
    <cfRule type="colorScale" priority="5346">
      <colorScale>
        <cfvo type="min"/>
        <cfvo type="max"/>
        <color theme="0"/>
        <color theme="0"/>
      </colorScale>
    </cfRule>
    <cfRule type="expression" dxfId="1864" priority="5347">
      <formula>AA24&lt;0</formula>
    </cfRule>
  </conditionalFormatting>
  <conditionalFormatting sqref="AB26">
    <cfRule type="expression" dxfId="1863" priority="5311">
      <formula>AA26&lt;0</formula>
    </cfRule>
    <cfRule type="colorScale" priority="5309">
      <colorScale>
        <cfvo type="min"/>
        <cfvo type="max"/>
        <color theme="0"/>
        <color theme="0"/>
      </colorScale>
    </cfRule>
  </conditionalFormatting>
  <conditionalFormatting sqref="AB26:AB27">
    <cfRule type="expression" dxfId="1862" priority="5308">
      <formula>IF(AB26="Validar","Rojo","Verde")</formula>
    </cfRule>
    <cfRule type="expression" priority="5310">
      <formula>#REF!</formula>
    </cfRule>
  </conditionalFormatting>
  <conditionalFormatting sqref="AB27">
    <cfRule type="expression" dxfId="1861" priority="5345">
      <formula>AA27&lt;0</formula>
    </cfRule>
    <cfRule type="colorScale" priority="5344">
      <colorScale>
        <cfvo type="min"/>
        <cfvo type="max"/>
        <color theme="0"/>
        <color theme="0"/>
      </colorScale>
    </cfRule>
  </conditionalFormatting>
  <conditionalFormatting sqref="AB29">
    <cfRule type="colorScale" priority="5305">
      <colorScale>
        <cfvo type="min"/>
        <cfvo type="max"/>
        <color theme="0"/>
        <color theme="0"/>
      </colorScale>
    </cfRule>
    <cfRule type="expression" dxfId="1860" priority="5307">
      <formula>AA29&lt;0</formula>
    </cfRule>
  </conditionalFormatting>
  <conditionalFormatting sqref="AB29:AB30">
    <cfRule type="expression" dxfId="1859" priority="5304">
      <formula>IF(AB29="Validar","Rojo","Verde")</formula>
    </cfRule>
    <cfRule type="expression" priority="5306">
      <formula>#REF!</formula>
    </cfRule>
  </conditionalFormatting>
  <conditionalFormatting sqref="AB30">
    <cfRule type="colorScale" priority="5342">
      <colorScale>
        <cfvo type="min"/>
        <cfvo type="max"/>
        <color theme="0"/>
        <color theme="0"/>
      </colorScale>
    </cfRule>
    <cfRule type="expression" dxfId="1858" priority="5343">
      <formula>AA30&lt;0</formula>
    </cfRule>
  </conditionalFormatting>
  <conditionalFormatting sqref="AB39">
    <cfRule type="colorScale" priority="5301">
      <colorScale>
        <cfvo type="min"/>
        <cfvo type="max"/>
        <color theme="0"/>
        <color theme="0"/>
      </colorScale>
    </cfRule>
    <cfRule type="expression" dxfId="1857" priority="5303">
      <formula>AA39&lt;0</formula>
    </cfRule>
  </conditionalFormatting>
  <conditionalFormatting sqref="AB39:AB66">
    <cfRule type="expression" dxfId="1856" priority="5300">
      <formula>IF(AB39="Validar","Rojo","Verde")</formula>
    </cfRule>
    <cfRule type="expression" priority="5302">
      <formula>#REF!</formula>
    </cfRule>
  </conditionalFormatting>
  <conditionalFormatting sqref="AB40:AB66">
    <cfRule type="colorScale" priority="5340">
      <colorScale>
        <cfvo type="min"/>
        <cfvo type="max"/>
        <color theme="0"/>
        <color theme="0"/>
      </colorScale>
    </cfRule>
    <cfRule type="expression" dxfId="1855" priority="5341">
      <formula>AA40&lt;0</formula>
    </cfRule>
  </conditionalFormatting>
  <conditionalFormatting sqref="AB68">
    <cfRule type="colorScale" priority="5297">
      <colorScale>
        <cfvo type="min"/>
        <cfvo type="max"/>
        <color theme="0"/>
        <color theme="0"/>
      </colorScale>
    </cfRule>
    <cfRule type="expression" dxfId="1854" priority="5299">
      <formula>AA68&lt;0</formula>
    </cfRule>
  </conditionalFormatting>
  <conditionalFormatting sqref="AB68:AB81">
    <cfRule type="expression" dxfId="1853" priority="5296">
      <formula>IF(AB68="Validar","Rojo","Verde")</formula>
    </cfRule>
    <cfRule type="expression" priority="5298">
      <formula>#REF!</formula>
    </cfRule>
  </conditionalFormatting>
  <conditionalFormatting sqref="AB69:AB81">
    <cfRule type="colorScale" priority="5358">
      <colorScale>
        <cfvo type="min"/>
        <cfvo type="max"/>
        <color theme="0"/>
        <color theme="0"/>
      </colorScale>
    </cfRule>
    <cfRule type="expression" dxfId="1852" priority="5359">
      <formula>AA69&lt;0</formula>
    </cfRule>
  </conditionalFormatting>
  <conditionalFormatting sqref="AB83">
    <cfRule type="expression" dxfId="1851" priority="5282">
      <formula>AA83&lt;0</formula>
    </cfRule>
    <cfRule type="colorScale" priority="5280">
      <colorScale>
        <cfvo type="min"/>
        <cfvo type="max"/>
        <color theme="0"/>
        <color theme="0"/>
      </colorScale>
    </cfRule>
  </conditionalFormatting>
  <conditionalFormatting sqref="AB83:AB91">
    <cfRule type="expression" priority="5281">
      <formula>#REF!</formula>
    </cfRule>
    <cfRule type="expression" dxfId="1850" priority="5279">
      <formula>IF(AB83="Validar","Rojo","Verde")</formula>
    </cfRule>
  </conditionalFormatting>
  <conditionalFormatting sqref="AB84:AB91">
    <cfRule type="expression" dxfId="1849" priority="5339">
      <formula>AA84&lt;0</formula>
    </cfRule>
    <cfRule type="colorScale" priority="5338">
      <colorScale>
        <cfvo type="min"/>
        <cfvo type="max"/>
        <color theme="0"/>
        <color theme="0"/>
      </colorScale>
    </cfRule>
  </conditionalFormatting>
  <conditionalFormatting sqref="AB93">
    <cfRule type="colorScale" priority="5293">
      <colorScale>
        <cfvo type="min"/>
        <cfvo type="max"/>
        <color theme="0"/>
        <color theme="0"/>
      </colorScale>
    </cfRule>
    <cfRule type="expression" dxfId="1848" priority="5295">
      <formula>AA93&lt;0</formula>
    </cfRule>
  </conditionalFormatting>
  <conditionalFormatting sqref="AB93:AB102">
    <cfRule type="expression" dxfId="1847" priority="5292">
      <formula>IF(AB93="Validar","Rojo","Verde")</formula>
    </cfRule>
    <cfRule type="expression" priority="5294">
      <formula>#REF!</formula>
    </cfRule>
  </conditionalFormatting>
  <conditionalFormatting sqref="AB94:AB102">
    <cfRule type="colorScale" priority="5336">
      <colorScale>
        <cfvo type="min"/>
        <cfvo type="max"/>
        <color theme="0"/>
        <color theme="0"/>
      </colorScale>
    </cfRule>
    <cfRule type="expression" dxfId="1846" priority="5337">
      <formula>AA94&lt;0</formula>
    </cfRule>
  </conditionalFormatting>
  <conditionalFormatting sqref="AB104">
    <cfRule type="expression" dxfId="1845" priority="5291">
      <formula>AA104&lt;0</formula>
    </cfRule>
    <cfRule type="colorScale" priority="5289">
      <colorScale>
        <cfvo type="min"/>
        <cfvo type="max"/>
        <color theme="0"/>
        <color theme="0"/>
      </colorScale>
    </cfRule>
  </conditionalFormatting>
  <conditionalFormatting sqref="AB104:AB106">
    <cfRule type="expression" priority="5290">
      <formula>#REF!</formula>
    </cfRule>
    <cfRule type="expression" dxfId="1844" priority="5288">
      <formula>IF(AB104="Validar","Rojo","Verde")</formula>
    </cfRule>
  </conditionalFormatting>
  <conditionalFormatting sqref="AB105:AB106">
    <cfRule type="expression" dxfId="1843" priority="5335">
      <formula>AA105&lt;0</formula>
    </cfRule>
    <cfRule type="colorScale" priority="5334">
      <colorScale>
        <cfvo type="min"/>
        <cfvo type="max"/>
        <color theme="0"/>
        <color theme="0"/>
      </colorScale>
    </cfRule>
  </conditionalFormatting>
  <conditionalFormatting sqref="AB110">
    <cfRule type="colorScale" priority="5332">
      <colorScale>
        <cfvo type="min"/>
        <cfvo type="max"/>
        <color theme="0"/>
        <color theme="0"/>
      </colorScale>
    </cfRule>
    <cfRule type="expression" dxfId="1842" priority="5333">
      <formula>AA110&lt;0</formula>
    </cfRule>
  </conditionalFormatting>
  <conditionalFormatting sqref="AB111">
    <cfRule type="expression" dxfId="1841" priority="5275">
      <formula>AA111&lt;0</formula>
    </cfRule>
    <cfRule type="colorScale" priority="5273">
      <colorScale>
        <cfvo type="min"/>
        <cfvo type="max"/>
        <color theme="0"/>
        <color theme="0"/>
      </colorScale>
    </cfRule>
  </conditionalFormatting>
  <conditionalFormatting sqref="AB117:AB123">
    <cfRule type="colorScale" priority="5329">
      <colorScale>
        <cfvo type="min"/>
        <cfvo type="max"/>
        <color theme="0"/>
        <color theme="0"/>
      </colorScale>
    </cfRule>
    <cfRule type="expression" dxfId="1840" priority="5331">
      <formula>AA117&lt;0</formula>
    </cfRule>
  </conditionalFormatting>
  <conditionalFormatting sqref="AB125">
    <cfRule type="expression" dxfId="1839" priority="5287">
      <formula>AA125&lt;0</formula>
    </cfRule>
    <cfRule type="colorScale" priority="5285">
      <colorScale>
        <cfvo type="min"/>
        <cfvo type="max"/>
        <color theme="0"/>
        <color theme="0"/>
      </colorScale>
    </cfRule>
  </conditionalFormatting>
  <conditionalFormatting sqref="AB125:AB134">
    <cfRule type="expression" priority="5286">
      <formula>#REF!</formula>
    </cfRule>
    <cfRule type="expression" dxfId="1838" priority="5284">
      <formula>IF(AB125="Validar","Rojo","Verde")</formula>
    </cfRule>
  </conditionalFormatting>
  <conditionalFormatting sqref="AB126:AB134">
    <cfRule type="colorScale" priority="5326">
      <colorScale>
        <cfvo type="min"/>
        <cfvo type="max"/>
        <color theme="0"/>
        <color theme="0"/>
      </colorScale>
    </cfRule>
    <cfRule type="expression" dxfId="1837" priority="5327">
      <formula>AA126&lt;0</formula>
    </cfRule>
  </conditionalFormatting>
  <conditionalFormatting sqref="AD5 AD9">
    <cfRule type="colorScale" priority="3068">
      <colorScale>
        <cfvo type="min"/>
        <cfvo type="max"/>
        <color theme="0"/>
        <color theme="0"/>
      </colorScale>
    </cfRule>
    <cfRule type="expression" dxfId="1836" priority="3069">
      <formula>AC5&lt;0</formula>
    </cfRule>
  </conditionalFormatting>
  <conditionalFormatting sqref="AD5:AD20">
    <cfRule type="expression" dxfId="1835" priority="2951">
      <formula>IF(AD5="Validar","Rojo","Verde")</formula>
    </cfRule>
    <cfRule type="expression" priority="2952">
      <formula>#REF!</formula>
    </cfRule>
  </conditionalFormatting>
  <conditionalFormatting sqref="AD6">
    <cfRule type="colorScale" priority="2957">
      <colorScale>
        <cfvo type="min"/>
        <cfvo type="max"/>
        <color theme="0"/>
        <color theme="0"/>
      </colorScale>
    </cfRule>
    <cfRule type="expression" dxfId="1834" priority="2958">
      <formula>AC6&lt;0</formula>
    </cfRule>
  </conditionalFormatting>
  <conditionalFormatting sqref="AD7:AD8">
    <cfRule type="colorScale" priority="2953">
      <colorScale>
        <cfvo type="min"/>
        <cfvo type="max"/>
        <color theme="0"/>
        <color theme="0"/>
      </colorScale>
    </cfRule>
    <cfRule type="expression" dxfId="1833" priority="2954">
      <formula>AC7&lt;0</formula>
    </cfRule>
  </conditionalFormatting>
  <conditionalFormatting sqref="AD10">
    <cfRule type="colorScale" priority="3045">
      <colorScale>
        <cfvo type="min"/>
        <cfvo type="max"/>
        <color theme="0"/>
        <color theme="0"/>
      </colorScale>
    </cfRule>
    <cfRule type="expression" dxfId="1832" priority="3046">
      <formula>AC10&lt;0</formula>
    </cfRule>
  </conditionalFormatting>
  <conditionalFormatting sqref="AD11:AD14">
    <cfRule type="expression" dxfId="1831" priority="3067">
      <formula>AC11&lt;0</formula>
    </cfRule>
    <cfRule type="colorScale" priority="3066">
      <colorScale>
        <cfvo type="min"/>
        <cfvo type="max"/>
        <color theme="0"/>
        <color theme="0"/>
      </colorScale>
    </cfRule>
  </conditionalFormatting>
  <conditionalFormatting sqref="AD15">
    <cfRule type="colorScale" priority="3043">
      <colorScale>
        <cfvo type="min"/>
        <cfvo type="max"/>
        <color theme="0"/>
        <color theme="0"/>
      </colorScale>
    </cfRule>
    <cfRule type="expression" dxfId="1830" priority="3044">
      <formula>AC15&lt;0</formula>
    </cfRule>
  </conditionalFormatting>
  <conditionalFormatting sqref="AD16:AD17">
    <cfRule type="colorScale" priority="3064">
      <colorScale>
        <cfvo type="min"/>
        <cfvo type="max"/>
        <color theme="0"/>
        <color theme="0"/>
      </colorScale>
    </cfRule>
    <cfRule type="expression" dxfId="1829" priority="3065">
      <formula>AC16&lt;0</formula>
    </cfRule>
  </conditionalFormatting>
  <conditionalFormatting sqref="AD18">
    <cfRule type="colorScale" priority="3040">
      <colorScale>
        <cfvo type="min"/>
        <cfvo type="max"/>
        <color theme="0"/>
        <color theme="0"/>
      </colorScale>
    </cfRule>
    <cfRule type="expression" dxfId="1828" priority="3042">
      <formula>AC18&lt;0</formula>
    </cfRule>
  </conditionalFormatting>
  <conditionalFormatting sqref="AD19:AD20">
    <cfRule type="colorScale" priority="3062">
      <colorScale>
        <cfvo type="min"/>
        <cfvo type="max"/>
        <color theme="0"/>
        <color theme="0"/>
      </colorScale>
    </cfRule>
    <cfRule type="expression" dxfId="1827" priority="3063">
      <formula>AC19&lt;0</formula>
    </cfRule>
  </conditionalFormatting>
  <conditionalFormatting sqref="AD23">
    <cfRule type="colorScale" priority="3037">
      <colorScale>
        <cfvo type="min"/>
        <cfvo type="max"/>
        <color theme="0"/>
        <color theme="0"/>
      </colorScale>
    </cfRule>
    <cfRule type="expression" dxfId="1826" priority="3038">
      <formula>AC23&lt;0</formula>
    </cfRule>
  </conditionalFormatting>
  <conditionalFormatting sqref="AD23:AD31">
    <cfRule type="expression" dxfId="1825" priority="3031">
      <formula>IF(AD23="Validar","Rojo","Verde")</formula>
    </cfRule>
    <cfRule type="expression" priority="3033">
      <formula>#REF!</formula>
    </cfRule>
  </conditionalFormatting>
  <conditionalFormatting sqref="AD24">
    <cfRule type="colorScale" priority="3060">
      <colorScale>
        <cfvo type="min"/>
        <cfvo type="max"/>
        <color theme="0"/>
        <color theme="0"/>
      </colorScale>
    </cfRule>
    <cfRule type="expression" dxfId="1824" priority="3061">
      <formula>AC24&lt;0</formula>
    </cfRule>
  </conditionalFormatting>
  <conditionalFormatting sqref="AD25">
    <cfRule type="colorScale" priority="3058">
      <colorScale>
        <cfvo type="min"/>
        <cfvo type="max"/>
        <color theme="0"/>
        <color theme="0"/>
      </colorScale>
    </cfRule>
    <cfRule type="expression" dxfId="1823" priority="3059">
      <formula>AC25&lt;0</formula>
    </cfRule>
  </conditionalFormatting>
  <conditionalFormatting sqref="AD26">
    <cfRule type="colorScale" priority="3035">
      <colorScale>
        <cfvo type="min"/>
        <cfvo type="max"/>
        <color theme="0"/>
        <color theme="0"/>
      </colorScale>
    </cfRule>
    <cfRule type="expression" dxfId="1822" priority="3036">
      <formula>AC26&lt;0</formula>
    </cfRule>
  </conditionalFormatting>
  <conditionalFormatting sqref="AD27">
    <cfRule type="colorScale" priority="3056">
      <colorScale>
        <cfvo type="min"/>
        <cfvo type="max"/>
        <color theme="0"/>
        <color theme="0"/>
      </colorScale>
    </cfRule>
    <cfRule type="expression" dxfId="1821" priority="3057">
      <formula>AC27&lt;0</formula>
    </cfRule>
  </conditionalFormatting>
  <conditionalFormatting sqref="AD28">
    <cfRule type="colorScale" priority="3054">
      <colorScale>
        <cfvo type="min"/>
        <cfvo type="max"/>
        <color theme="0"/>
        <color theme="0"/>
      </colorScale>
    </cfRule>
    <cfRule type="expression" dxfId="1820" priority="3055">
      <formula>AC28&lt;0</formula>
    </cfRule>
  </conditionalFormatting>
  <conditionalFormatting sqref="AD29">
    <cfRule type="colorScale" priority="3032">
      <colorScale>
        <cfvo type="min"/>
        <cfvo type="max"/>
        <color theme="0"/>
        <color theme="0"/>
      </colorScale>
    </cfRule>
    <cfRule type="expression" dxfId="1819" priority="3034">
      <formula>AC29&lt;0</formula>
    </cfRule>
  </conditionalFormatting>
  <conditionalFormatting sqref="AD30">
    <cfRule type="colorScale" priority="3052">
      <colorScale>
        <cfvo type="min"/>
        <cfvo type="max"/>
        <color theme="0"/>
        <color theme="0"/>
      </colorScale>
    </cfRule>
    <cfRule type="expression" dxfId="1818" priority="3053">
      <formula>AC30&lt;0</formula>
    </cfRule>
  </conditionalFormatting>
  <conditionalFormatting sqref="AD31">
    <cfRule type="colorScale" priority="3050">
      <colorScale>
        <cfvo type="min"/>
        <cfvo type="max"/>
        <color theme="0"/>
        <color theme="0"/>
      </colorScale>
    </cfRule>
    <cfRule type="expression" dxfId="1817" priority="3051">
      <formula>AC31&lt;0</formula>
    </cfRule>
  </conditionalFormatting>
  <conditionalFormatting sqref="AD39">
    <cfRule type="expression" dxfId="1816" priority="3030">
      <formula>AC39&lt;0</formula>
    </cfRule>
    <cfRule type="colorScale" priority="3028">
      <colorScale>
        <cfvo type="min"/>
        <cfvo type="max"/>
        <color theme="0"/>
        <color theme="0"/>
      </colorScale>
    </cfRule>
    <cfRule type="expression" priority="3029">
      <formula>#REF!</formula>
    </cfRule>
  </conditionalFormatting>
  <conditionalFormatting sqref="AD39:AD107">
    <cfRule type="expression" dxfId="1815" priority="2966">
      <formula>IF(AD39="Validar","Rojo","Verde")</formula>
    </cfRule>
  </conditionalFormatting>
  <conditionalFormatting sqref="AD40:AD67">
    <cfRule type="expression" dxfId="1814" priority="3049">
      <formula>AC40&lt;0</formula>
    </cfRule>
    <cfRule type="expression" priority="3048">
      <formula>$F$19</formula>
    </cfRule>
    <cfRule type="colorScale" priority="3047">
      <colorScale>
        <cfvo type="min"/>
        <cfvo type="max"/>
        <color theme="0"/>
        <color theme="0"/>
      </colorScale>
    </cfRule>
  </conditionalFormatting>
  <conditionalFormatting sqref="AD68">
    <cfRule type="colorScale" priority="3025">
      <colorScale>
        <cfvo type="min"/>
        <cfvo type="max"/>
        <color theme="0"/>
        <color theme="0"/>
      </colorScale>
    </cfRule>
    <cfRule type="expression" priority="3026">
      <formula>#REF!</formula>
    </cfRule>
    <cfRule type="expression" dxfId="1813" priority="3027">
      <formula>AC68&lt;0</formula>
    </cfRule>
  </conditionalFormatting>
  <conditionalFormatting sqref="AD69:AD81">
    <cfRule type="expression" dxfId="1812" priority="3074">
      <formula>AC69&lt;0</formula>
    </cfRule>
    <cfRule type="expression" priority="3073">
      <formula>$F$19</formula>
    </cfRule>
    <cfRule type="colorScale" priority="3072">
      <colorScale>
        <cfvo type="min"/>
        <cfvo type="max"/>
        <color theme="0"/>
        <color theme="0"/>
      </colorScale>
    </cfRule>
  </conditionalFormatting>
  <conditionalFormatting sqref="AD82 AD92 AD103 AD107">
    <cfRule type="expression" dxfId="1811" priority="3071">
      <formula>AC82&lt;0</formula>
    </cfRule>
  </conditionalFormatting>
  <conditionalFormatting sqref="AD83">
    <cfRule type="expression" dxfId="1810" priority="2969">
      <formula>AC83&lt;0</formula>
    </cfRule>
    <cfRule type="expression" priority="2968">
      <formula>#REF!</formula>
    </cfRule>
    <cfRule type="colorScale" priority="2967">
      <colorScale>
        <cfvo type="min"/>
        <cfvo type="max"/>
        <color theme="0"/>
        <color theme="0"/>
      </colorScale>
    </cfRule>
  </conditionalFormatting>
  <conditionalFormatting sqref="AD84:AD91">
    <cfRule type="expression" dxfId="1809" priority="3077">
      <formula>AC84&lt;0</formula>
    </cfRule>
    <cfRule type="expression" priority="3076">
      <formula>$F$19</formula>
    </cfRule>
    <cfRule type="colorScale" priority="3075">
      <colorScale>
        <cfvo type="min"/>
        <cfvo type="max"/>
        <color theme="0"/>
        <color theme="0"/>
      </colorScale>
    </cfRule>
  </conditionalFormatting>
  <conditionalFormatting sqref="AD92 AD82 AD103 AD107">
    <cfRule type="colorScale" priority="3070">
      <colorScale>
        <cfvo type="min"/>
        <cfvo type="max"/>
        <color theme="0"/>
        <color theme="0"/>
      </colorScale>
    </cfRule>
  </conditionalFormatting>
  <conditionalFormatting sqref="AD93">
    <cfRule type="expression" dxfId="1808" priority="3024">
      <formula>AC93&lt;0</formula>
    </cfRule>
    <cfRule type="colorScale" priority="3022">
      <colorScale>
        <cfvo type="min"/>
        <cfvo type="max"/>
        <color theme="0"/>
        <color theme="0"/>
      </colorScale>
    </cfRule>
    <cfRule type="expression" priority="3023">
      <formula>#REF!</formula>
    </cfRule>
  </conditionalFormatting>
  <conditionalFormatting sqref="AD94:AD102">
    <cfRule type="colorScale" priority="3078">
      <colorScale>
        <cfvo type="min"/>
        <cfvo type="max"/>
        <color theme="0"/>
        <color theme="0"/>
      </colorScale>
    </cfRule>
    <cfRule type="expression" priority="3079">
      <formula>$F$19</formula>
    </cfRule>
    <cfRule type="expression" dxfId="1807" priority="3080">
      <formula>AC94&lt;0</formula>
    </cfRule>
  </conditionalFormatting>
  <conditionalFormatting sqref="AD104">
    <cfRule type="expression" priority="3020">
      <formula>#REF!</formula>
    </cfRule>
    <cfRule type="colorScale" priority="3019">
      <colorScale>
        <cfvo type="min"/>
        <cfvo type="max"/>
        <color theme="0"/>
        <color theme="0"/>
      </colorScale>
    </cfRule>
    <cfRule type="expression" dxfId="1806" priority="3021">
      <formula>AC104&lt;0</formula>
    </cfRule>
  </conditionalFormatting>
  <conditionalFormatting sqref="AD105:AD106">
    <cfRule type="expression" dxfId="1805" priority="3083">
      <formula>AC105&lt;0</formula>
    </cfRule>
    <cfRule type="expression" priority="3082">
      <formula>$F$19</formula>
    </cfRule>
    <cfRule type="colorScale" priority="3081">
      <colorScale>
        <cfvo type="min"/>
        <cfvo type="max"/>
        <color theme="0"/>
        <color theme="0"/>
      </colorScale>
    </cfRule>
  </conditionalFormatting>
  <conditionalFormatting sqref="AD110">
    <cfRule type="expression" dxfId="1804" priority="3085">
      <formula>AC110&lt;0</formula>
    </cfRule>
    <cfRule type="colorScale" priority="3084">
      <colorScale>
        <cfvo type="min"/>
        <cfvo type="max"/>
        <color theme="0"/>
        <color theme="0"/>
      </colorScale>
    </cfRule>
  </conditionalFormatting>
  <conditionalFormatting sqref="AD110:AD111">
    <cfRule type="expression" priority="2964">
      <formula>$F$19</formula>
    </cfRule>
  </conditionalFormatting>
  <conditionalFormatting sqref="AD111">
    <cfRule type="colorScale" priority="2963">
      <colorScale>
        <cfvo type="min"/>
        <cfvo type="max"/>
        <color theme="0"/>
        <color theme="0"/>
      </colorScale>
    </cfRule>
    <cfRule type="expression" dxfId="1803" priority="2965">
      <formula>AC111&lt;0</formula>
    </cfRule>
  </conditionalFormatting>
  <conditionalFormatting sqref="AD117:AD123">
    <cfRule type="expression" priority="3090">
      <formula>$F$19</formula>
    </cfRule>
    <cfRule type="expression" dxfId="1802" priority="3091">
      <formula>AC117&lt;0</formula>
    </cfRule>
    <cfRule type="colorScale" priority="3089">
      <colorScale>
        <cfvo type="min"/>
        <cfvo type="max"/>
        <color theme="0"/>
        <color theme="0"/>
      </colorScale>
    </cfRule>
  </conditionalFormatting>
  <conditionalFormatting sqref="AD125">
    <cfRule type="expression" dxfId="1801" priority="3018">
      <formula>AC125&lt;0</formula>
    </cfRule>
    <cfRule type="expression" priority="3017">
      <formula>#REF!</formula>
    </cfRule>
    <cfRule type="colorScale" priority="3016">
      <colorScale>
        <cfvo type="min"/>
        <cfvo type="max"/>
        <color theme="0"/>
        <color theme="0"/>
      </colorScale>
    </cfRule>
  </conditionalFormatting>
  <conditionalFormatting sqref="AD125:AD135">
    <cfRule type="expression" dxfId="1800" priority="3015">
      <formula>IF(AD125="Validar","Rojo","Verde")</formula>
    </cfRule>
  </conditionalFormatting>
  <conditionalFormatting sqref="AD126:AD132">
    <cfRule type="expression" dxfId="1799" priority="3094">
      <formula>AC126&lt;0</formula>
    </cfRule>
    <cfRule type="colorScale" priority="3092">
      <colorScale>
        <cfvo type="min"/>
        <cfvo type="max"/>
        <color theme="0"/>
        <color theme="0"/>
      </colorScale>
    </cfRule>
  </conditionalFormatting>
  <conditionalFormatting sqref="AD126:AD134">
    <cfRule type="expression" priority="3093">
      <formula>$F$19</formula>
    </cfRule>
  </conditionalFormatting>
  <conditionalFormatting sqref="AD133:AD134">
    <cfRule type="colorScale" priority="3095">
      <colorScale>
        <cfvo type="min"/>
        <cfvo type="max"/>
        <color theme="0"/>
        <color theme="0"/>
      </colorScale>
    </cfRule>
    <cfRule type="expression" dxfId="1798" priority="3096">
      <formula>AC133&lt;0</formula>
    </cfRule>
  </conditionalFormatting>
  <conditionalFormatting sqref="AD135">
    <cfRule type="expression" dxfId="1797" priority="3088">
      <formula>AC135&lt;0</formula>
    </cfRule>
    <cfRule type="expression" priority="3087">
      <formula>$F$23</formula>
    </cfRule>
    <cfRule type="colorScale" priority="3086">
      <colorScale>
        <cfvo type="min"/>
        <cfvo type="max"/>
        <color theme="0"/>
        <color theme="0"/>
      </colorScale>
    </cfRule>
  </conditionalFormatting>
  <conditionalFormatting sqref="AD110:AE111">
    <cfRule type="expression" dxfId="1796" priority="2959">
      <formula>IF(AD110="Validar","Rojo","Verde")</formula>
    </cfRule>
  </conditionalFormatting>
  <conditionalFormatting sqref="AD117:AE123">
    <cfRule type="expression" dxfId="1795" priority="2972">
      <formula>IF(AD117="Validar","Rojo","Verde")</formula>
    </cfRule>
  </conditionalFormatting>
  <conditionalFormatting sqref="AE40:AE66">
    <cfRule type="expression" dxfId="1794" priority="3009">
      <formula>AD40&lt;0</formula>
    </cfRule>
    <cfRule type="expression" priority="3008">
      <formula>#REF!</formula>
    </cfRule>
    <cfRule type="colorScale" priority="3007">
      <colorScale>
        <cfvo type="min"/>
        <cfvo type="max"/>
        <color theme="0"/>
        <color theme="0"/>
      </colorScale>
    </cfRule>
  </conditionalFormatting>
  <conditionalFormatting sqref="AE40:AE67">
    <cfRule type="expression" dxfId="1793" priority="3006">
      <formula>IF(AE40="Validar","Rojo","Verde")</formula>
    </cfRule>
  </conditionalFormatting>
  <conditionalFormatting sqref="AE67 AD82:AE82 AD92:AE92 AD103:AE103 AD107:AE107">
    <cfRule type="expression" priority="3011">
      <formula>$F$23</formula>
    </cfRule>
  </conditionalFormatting>
  <conditionalFormatting sqref="AE67 AE82 AE92 AE103 AE107">
    <cfRule type="expression" dxfId="1792" priority="3012">
      <formula>AD67&lt;0</formula>
    </cfRule>
  </conditionalFormatting>
  <conditionalFormatting sqref="AE69">
    <cfRule type="colorScale" priority="3004">
      <colorScale>
        <cfvo type="min"/>
        <cfvo type="max"/>
        <color theme="0"/>
        <color theme="0"/>
      </colorScale>
    </cfRule>
    <cfRule type="expression" dxfId="1791" priority="3005">
      <formula>AD69&lt;0</formula>
    </cfRule>
  </conditionalFormatting>
  <conditionalFormatting sqref="AE69:AE81">
    <cfRule type="expression" priority="3002">
      <formula>#REF!</formula>
    </cfRule>
  </conditionalFormatting>
  <conditionalFormatting sqref="AE69:AE82">
    <cfRule type="expression" dxfId="1790" priority="3000">
      <formula>IF(AE69="Validar","Rojo","Verde")</formula>
    </cfRule>
  </conditionalFormatting>
  <conditionalFormatting sqref="AE70:AE78">
    <cfRule type="expression" dxfId="1789" priority="3003">
      <formula>AD70&lt;0</formula>
    </cfRule>
    <cfRule type="colorScale" priority="3001">
      <colorScale>
        <cfvo type="min"/>
        <cfvo type="max"/>
        <color theme="0"/>
        <color theme="0"/>
      </colorScale>
    </cfRule>
  </conditionalFormatting>
  <conditionalFormatting sqref="AE79:AE81">
    <cfRule type="colorScale" priority="3013">
      <colorScale>
        <cfvo type="min"/>
        <cfvo type="max"/>
        <color theme="0"/>
        <color theme="0"/>
      </colorScale>
    </cfRule>
    <cfRule type="expression" dxfId="1788" priority="3014">
      <formula>AD79&lt;0</formula>
    </cfRule>
  </conditionalFormatting>
  <conditionalFormatting sqref="AE82 AE67 AE92 AE103 AE107">
    <cfRule type="colorScale" priority="3010">
      <colorScale>
        <cfvo type="min"/>
        <cfvo type="max"/>
        <color theme="0"/>
        <color theme="0"/>
      </colorScale>
    </cfRule>
  </conditionalFormatting>
  <conditionalFormatting sqref="AE84">
    <cfRule type="expression" dxfId="1787" priority="2999">
      <formula>AD84&lt;0</formula>
    </cfRule>
    <cfRule type="colorScale" priority="2998">
      <colorScale>
        <cfvo type="min"/>
        <cfvo type="max"/>
        <color theme="0"/>
        <color theme="0"/>
      </colorScale>
    </cfRule>
  </conditionalFormatting>
  <conditionalFormatting sqref="AE84:AE91">
    <cfRule type="expression" priority="2996">
      <formula>#REF!</formula>
    </cfRule>
  </conditionalFormatting>
  <conditionalFormatting sqref="AE84:AE92">
    <cfRule type="expression" dxfId="1786" priority="2994">
      <formula>IF(AE84="Validar","Rojo","Verde")</formula>
    </cfRule>
  </conditionalFormatting>
  <conditionalFormatting sqref="AE85:AE91">
    <cfRule type="colorScale" priority="2995">
      <colorScale>
        <cfvo type="min"/>
        <cfvo type="max"/>
        <color theme="0"/>
        <color theme="0"/>
      </colorScale>
    </cfRule>
    <cfRule type="expression" dxfId="1785" priority="2997">
      <formula>AD85&lt;0</formula>
    </cfRule>
  </conditionalFormatting>
  <conditionalFormatting sqref="AE94">
    <cfRule type="colorScale" priority="2992">
      <colorScale>
        <cfvo type="min"/>
        <cfvo type="max"/>
        <color theme="0"/>
        <color theme="0"/>
      </colorScale>
    </cfRule>
    <cfRule type="expression" dxfId="1784" priority="2993">
      <formula>AD94&lt;0</formula>
    </cfRule>
  </conditionalFormatting>
  <conditionalFormatting sqref="AE94:AE102">
    <cfRule type="expression" priority="2986">
      <formula>#REF!</formula>
    </cfRule>
  </conditionalFormatting>
  <conditionalFormatting sqref="AE94:AE103">
    <cfRule type="expression" dxfId="1783" priority="2984">
      <formula>IF(AE94="Validar","Rojo","Verde")</formula>
    </cfRule>
  </conditionalFormatting>
  <conditionalFormatting sqref="AE95:AE100">
    <cfRule type="expression" dxfId="1782" priority="2991">
      <formula>AD95&lt;0</formula>
    </cfRule>
    <cfRule type="colorScale" priority="2990">
      <colorScale>
        <cfvo type="min"/>
        <cfvo type="max"/>
        <color theme="0"/>
        <color theme="0"/>
      </colorScale>
    </cfRule>
  </conditionalFormatting>
  <conditionalFormatting sqref="AE101">
    <cfRule type="expression" dxfId="1781" priority="2989">
      <formula>AD101&lt;0</formula>
    </cfRule>
    <cfRule type="colorScale" priority="2988">
      <colorScale>
        <cfvo type="min"/>
        <cfvo type="max"/>
        <color theme="0"/>
        <color theme="0"/>
      </colorScale>
    </cfRule>
  </conditionalFormatting>
  <conditionalFormatting sqref="AE102">
    <cfRule type="colorScale" priority="2985">
      <colorScale>
        <cfvo type="min"/>
        <cfvo type="max"/>
        <color theme="0"/>
        <color theme="0"/>
      </colorScale>
    </cfRule>
    <cfRule type="expression" dxfId="1780" priority="2987">
      <formula>AD102&lt;0</formula>
    </cfRule>
  </conditionalFormatting>
  <conditionalFormatting sqref="AE105">
    <cfRule type="colorScale" priority="2982">
      <colorScale>
        <cfvo type="min"/>
        <cfvo type="max"/>
        <color theme="0"/>
        <color theme="0"/>
      </colorScale>
    </cfRule>
    <cfRule type="expression" dxfId="1779" priority="2983">
      <formula>AD105&lt;0</formula>
    </cfRule>
  </conditionalFormatting>
  <conditionalFormatting sqref="AE105:AE106">
    <cfRule type="expression" priority="2980">
      <formula>#REF!</formula>
    </cfRule>
  </conditionalFormatting>
  <conditionalFormatting sqref="AE105:AE107">
    <cfRule type="expression" dxfId="1778" priority="2978">
      <formula>IF(AE105="Validar","Rojo","Verde")</formula>
    </cfRule>
  </conditionalFormatting>
  <conditionalFormatting sqref="AE106">
    <cfRule type="colorScale" priority="2979">
      <colorScale>
        <cfvo type="min"/>
        <cfvo type="max"/>
        <color theme="0"/>
        <color theme="0"/>
      </colorScale>
    </cfRule>
    <cfRule type="expression" dxfId="1777" priority="2981">
      <formula>AD106&lt;0</formula>
    </cfRule>
  </conditionalFormatting>
  <conditionalFormatting sqref="AE110">
    <cfRule type="expression" dxfId="1776" priority="2971">
      <formula>AD110&lt;0</formula>
    </cfRule>
    <cfRule type="colorScale" priority="2970">
      <colorScale>
        <cfvo type="min"/>
        <cfvo type="max"/>
        <color theme="0"/>
        <color theme="0"/>
      </colorScale>
    </cfRule>
  </conditionalFormatting>
  <conditionalFormatting sqref="AE110:AE111">
    <cfRule type="expression" priority="2961">
      <formula>#REF!</formula>
    </cfRule>
  </conditionalFormatting>
  <conditionalFormatting sqref="AE111">
    <cfRule type="colorScale" priority="2960">
      <colorScale>
        <cfvo type="min"/>
        <cfvo type="max"/>
        <color theme="0"/>
        <color theme="0"/>
      </colorScale>
    </cfRule>
    <cfRule type="expression" dxfId="1775" priority="2962">
      <formula>AD111&lt;0</formula>
    </cfRule>
  </conditionalFormatting>
  <conditionalFormatting sqref="AE117">
    <cfRule type="colorScale" priority="2976">
      <colorScale>
        <cfvo type="min"/>
        <cfvo type="max"/>
        <color theme="0"/>
        <color theme="0"/>
      </colorScale>
    </cfRule>
    <cfRule type="expression" dxfId="1774" priority="2977">
      <formula>AD117&lt;0</formula>
    </cfRule>
  </conditionalFormatting>
  <conditionalFormatting sqref="AE117:AE123">
    <cfRule type="expression" priority="2974">
      <formula>#REF!</formula>
    </cfRule>
  </conditionalFormatting>
  <conditionalFormatting sqref="AE118:AE123">
    <cfRule type="colorScale" priority="2973">
      <colorScale>
        <cfvo type="min"/>
        <cfvo type="max"/>
        <color theme="0"/>
        <color theme="0"/>
      </colorScale>
    </cfRule>
    <cfRule type="expression" dxfId="1773" priority="2975">
      <formula>AD118&lt;0</formula>
    </cfRule>
  </conditionalFormatting>
  <conditionalFormatting sqref="AE126:AE135">
    <cfRule type="expression" dxfId="1772" priority="3100">
      <formula>AD126&lt;0</formula>
    </cfRule>
    <cfRule type="expression" priority="3099">
      <formula>$F$23</formula>
    </cfRule>
    <cfRule type="colorScale" priority="3098">
      <colorScale>
        <cfvo type="min"/>
        <cfvo type="max"/>
        <color theme="0"/>
        <color theme="0"/>
      </colorScale>
    </cfRule>
    <cfRule type="expression" dxfId="1771" priority="3097">
      <formula>IF(AE126="Validar","Rojo","Verde")</formula>
    </cfRule>
  </conditionalFormatting>
  <conditionalFormatting sqref="AG5 AG9">
    <cfRule type="expression" dxfId="1770" priority="2919">
      <formula>AF5&lt;0</formula>
    </cfRule>
  </conditionalFormatting>
  <conditionalFormatting sqref="AG5:AG20">
    <cfRule type="expression" dxfId="1769" priority="2801">
      <formula>IF(AG5="Validar","Rojo","Verde")</formula>
    </cfRule>
    <cfRule type="expression" priority="2802">
      <formula>#REF!</formula>
    </cfRule>
  </conditionalFormatting>
  <conditionalFormatting sqref="AG6">
    <cfRule type="colorScale" priority="2807">
      <colorScale>
        <cfvo type="min"/>
        <cfvo type="max"/>
        <color theme="0"/>
        <color theme="0"/>
      </colorScale>
    </cfRule>
    <cfRule type="expression" dxfId="1768" priority="2808">
      <formula>AF6&lt;0</formula>
    </cfRule>
  </conditionalFormatting>
  <conditionalFormatting sqref="AG7:AG8">
    <cfRule type="expression" dxfId="1767" priority="2804">
      <formula>AF7&lt;0</formula>
    </cfRule>
    <cfRule type="colorScale" priority="2803">
      <colorScale>
        <cfvo type="min"/>
        <cfvo type="max"/>
        <color theme="0"/>
        <color theme="0"/>
      </colorScale>
    </cfRule>
  </conditionalFormatting>
  <conditionalFormatting sqref="AG9 AG5">
    <cfRule type="colorScale" priority="2918">
      <colorScale>
        <cfvo type="min"/>
        <cfvo type="max"/>
        <color theme="0"/>
        <color theme="0"/>
      </colorScale>
    </cfRule>
  </conditionalFormatting>
  <conditionalFormatting sqref="AG10">
    <cfRule type="expression" dxfId="1766" priority="2896">
      <formula>AF10&lt;0</formula>
    </cfRule>
    <cfRule type="colorScale" priority="2895">
      <colorScale>
        <cfvo type="min"/>
        <cfvo type="max"/>
        <color theme="0"/>
        <color theme="0"/>
      </colorScale>
    </cfRule>
  </conditionalFormatting>
  <conditionalFormatting sqref="AG11:AG14">
    <cfRule type="expression" dxfId="1765" priority="2917">
      <formula>AF11&lt;0</formula>
    </cfRule>
    <cfRule type="colorScale" priority="2916">
      <colorScale>
        <cfvo type="min"/>
        <cfvo type="max"/>
        <color theme="0"/>
        <color theme="0"/>
      </colorScale>
    </cfRule>
  </conditionalFormatting>
  <conditionalFormatting sqref="AG15">
    <cfRule type="colorScale" priority="2893">
      <colorScale>
        <cfvo type="min"/>
        <cfvo type="max"/>
        <color theme="0"/>
        <color theme="0"/>
      </colorScale>
    </cfRule>
    <cfRule type="expression" dxfId="1764" priority="2894">
      <formula>AF15&lt;0</formula>
    </cfRule>
  </conditionalFormatting>
  <conditionalFormatting sqref="AG16:AG17">
    <cfRule type="colorScale" priority="2914">
      <colorScale>
        <cfvo type="min"/>
        <cfvo type="max"/>
        <color theme="0"/>
        <color theme="0"/>
      </colorScale>
    </cfRule>
    <cfRule type="expression" dxfId="1763" priority="2915">
      <formula>AF16&lt;0</formula>
    </cfRule>
  </conditionalFormatting>
  <conditionalFormatting sqref="AG18">
    <cfRule type="expression" dxfId="1762" priority="2892">
      <formula>AF18&lt;0</formula>
    </cfRule>
    <cfRule type="colorScale" priority="2890">
      <colorScale>
        <cfvo type="min"/>
        <cfvo type="max"/>
        <color theme="0"/>
        <color theme="0"/>
      </colorScale>
    </cfRule>
  </conditionalFormatting>
  <conditionalFormatting sqref="AG19:AG20">
    <cfRule type="expression" dxfId="1761" priority="2913">
      <formula>AF19&lt;0</formula>
    </cfRule>
    <cfRule type="colorScale" priority="2912">
      <colorScale>
        <cfvo type="min"/>
        <cfvo type="max"/>
        <color theme="0"/>
        <color theme="0"/>
      </colorScale>
    </cfRule>
  </conditionalFormatting>
  <conditionalFormatting sqref="AG23">
    <cfRule type="expression" dxfId="1760" priority="2888">
      <formula>AF23&lt;0</formula>
    </cfRule>
    <cfRule type="colorScale" priority="2887">
      <colorScale>
        <cfvo type="min"/>
        <cfvo type="max"/>
        <color theme="0"/>
        <color theme="0"/>
      </colorScale>
    </cfRule>
  </conditionalFormatting>
  <conditionalFormatting sqref="AG23:AG31">
    <cfRule type="expression" priority="2883">
      <formula>#REF!</formula>
    </cfRule>
    <cfRule type="expression" dxfId="1759" priority="2881">
      <formula>IF(AG23="Validar","Rojo","Verde")</formula>
    </cfRule>
  </conditionalFormatting>
  <conditionalFormatting sqref="AG24">
    <cfRule type="expression" dxfId="1758" priority="2911">
      <formula>AF24&lt;0</formula>
    </cfRule>
    <cfRule type="colorScale" priority="2910">
      <colorScale>
        <cfvo type="min"/>
        <cfvo type="max"/>
        <color theme="0"/>
        <color theme="0"/>
      </colorScale>
    </cfRule>
  </conditionalFormatting>
  <conditionalFormatting sqref="AG25">
    <cfRule type="expression" dxfId="1757" priority="2909">
      <formula>AF25&lt;0</formula>
    </cfRule>
    <cfRule type="colorScale" priority="2908">
      <colorScale>
        <cfvo type="min"/>
        <cfvo type="max"/>
        <color theme="0"/>
        <color theme="0"/>
      </colorScale>
    </cfRule>
  </conditionalFormatting>
  <conditionalFormatting sqref="AG26">
    <cfRule type="colorScale" priority="2885">
      <colorScale>
        <cfvo type="min"/>
        <cfvo type="max"/>
        <color theme="0"/>
        <color theme="0"/>
      </colorScale>
    </cfRule>
    <cfRule type="expression" dxfId="1756" priority="2886">
      <formula>AF26&lt;0</formula>
    </cfRule>
  </conditionalFormatting>
  <conditionalFormatting sqref="AG27">
    <cfRule type="expression" dxfId="1755" priority="2907">
      <formula>AF27&lt;0</formula>
    </cfRule>
    <cfRule type="colorScale" priority="2906">
      <colorScale>
        <cfvo type="min"/>
        <cfvo type="max"/>
        <color theme="0"/>
        <color theme="0"/>
      </colorScale>
    </cfRule>
  </conditionalFormatting>
  <conditionalFormatting sqref="AG28">
    <cfRule type="expression" dxfId="1754" priority="2905">
      <formula>AF28&lt;0</formula>
    </cfRule>
    <cfRule type="colorScale" priority="2904">
      <colorScale>
        <cfvo type="min"/>
        <cfvo type="max"/>
        <color theme="0"/>
        <color theme="0"/>
      </colorScale>
    </cfRule>
  </conditionalFormatting>
  <conditionalFormatting sqref="AG29">
    <cfRule type="expression" dxfId="1753" priority="2884">
      <formula>AF29&lt;0</formula>
    </cfRule>
    <cfRule type="colorScale" priority="2882">
      <colorScale>
        <cfvo type="min"/>
        <cfvo type="max"/>
        <color theme="0"/>
        <color theme="0"/>
      </colorScale>
    </cfRule>
  </conditionalFormatting>
  <conditionalFormatting sqref="AG30">
    <cfRule type="colorScale" priority="2902">
      <colorScale>
        <cfvo type="min"/>
        <cfvo type="max"/>
        <color theme="0"/>
        <color theme="0"/>
      </colorScale>
    </cfRule>
    <cfRule type="expression" dxfId="1752" priority="2903">
      <formula>AF30&lt;0</formula>
    </cfRule>
  </conditionalFormatting>
  <conditionalFormatting sqref="AG31">
    <cfRule type="expression" dxfId="1751" priority="2901">
      <formula>AF31&lt;0</formula>
    </cfRule>
    <cfRule type="colorScale" priority="2900">
      <colorScale>
        <cfvo type="min"/>
        <cfvo type="max"/>
        <color theme="0"/>
        <color theme="0"/>
      </colorScale>
    </cfRule>
  </conditionalFormatting>
  <conditionalFormatting sqref="AG39">
    <cfRule type="colorScale" priority="2878">
      <colorScale>
        <cfvo type="min"/>
        <cfvo type="max"/>
        <color theme="0"/>
        <color theme="0"/>
      </colorScale>
    </cfRule>
    <cfRule type="expression" priority="2879">
      <formula>#REF!</formula>
    </cfRule>
    <cfRule type="expression" dxfId="1750" priority="2880">
      <formula>AF39&lt;0</formula>
    </cfRule>
  </conditionalFormatting>
  <conditionalFormatting sqref="AG39:AG107">
    <cfRule type="expression" dxfId="1749" priority="2816">
      <formula>IF(AG39="Validar","Rojo","Verde")</formula>
    </cfRule>
  </conditionalFormatting>
  <conditionalFormatting sqref="AG40:AG67">
    <cfRule type="expression" dxfId="1748" priority="2899">
      <formula>AF40&lt;0</formula>
    </cfRule>
    <cfRule type="expression" priority="2898">
      <formula>$F$19</formula>
    </cfRule>
    <cfRule type="colorScale" priority="2897">
      <colorScale>
        <cfvo type="min"/>
        <cfvo type="max"/>
        <color theme="0"/>
        <color theme="0"/>
      </colorScale>
    </cfRule>
  </conditionalFormatting>
  <conditionalFormatting sqref="AG68">
    <cfRule type="colorScale" priority="2875">
      <colorScale>
        <cfvo type="min"/>
        <cfvo type="max"/>
        <color theme="0"/>
        <color theme="0"/>
      </colorScale>
    </cfRule>
    <cfRule type="expression" priority="2876">
      <formula>#REF!</formula>
    </cfRule>
    <cfRule type="expression" dxfId="1747" priority="2877">
      <formula>AF68&lt;0</formula>
    </cfRule>
  </conditionalFormatting>
  <conditionalFormatting sqref="AG69:AG81">
    <cfRule type="expression" dxfId="1746" priority="2924">
      <formula>AF69&lt;0</formula>
    </cfRule>
    <cfRule type="colorScale" priority="2922">
      <colorScale>
        <cfvo type="min"/>
        <cfvo type="max"/>
        <color theme="0"/>
        <color theme="0"/>
      </colorScale>
    </cfRule>
    <cfRule type="expression" priority="2923">
      <formula>$F$19</formula>
    </cfRule>
  </conditionalFormatting>
  <conditionalFormatting sqref="AG82 AG92 AG103 AG107">
    <cfRule type="expression" dxfId="1745" priority="2921">
      <formula>AF82&lt;0</formula>
    </cfRule>
  </conditionalFormatting>
  <conditionalFormatting sqref="AG83">
    <cfRule type="expression" dxfId="1744" priority="2819">
      <formula>AF83&lt;0</formula>
    </cfRule>
    <cfRule type="expression" priority="2818">
      <formula>#REF!</formula>
    </cfRule>
    <cfRule type="colorScale" priority="2817">
      <colorScale>
        <cfvo type="min"/>
        <cfvo type="max"/>
        <color theme="0"/>
        <color theme="0"/>
      </colorScale>
    </cfRule>
  </conditionalFormatting>
  <conditionalFormatting sqref="AG84:AG91">
    <cfRule type="colorScale" priority="2925">
      <colorScale>
        <cfvo type="min"/>
        <cfvo type="max"/>
        <color theme="0"/>
        <color theme="0"/>
      </colorScale>
    </cfRule>
    <cfRule type="expression" priority="2926">
      <formula>$F$19</formula>
    </cfRule>
    <cfRule type="expression" dxfId="1743" priority="2927">
      <formula>AF84&lt;0</formula>
    </cfRule>
  </conditionalFormatting>
  <conditionalFormatting sqref="AG92 AG82 AG103 AG107">
    <cfRule type="colorScale" priority="2920">
      <colorScale>
        <cfvo type="min"/>
        <cfvo type="max"/>
        <color theme="0"/>
        <color theme="0"/>
      </colorScale>
    </cfRule>
  </conditionalFormatting>
  <conditionalFormatting sqref="AG93">
    <cfRule type="expression" dxfId="1742" priority="2874">
      <formula>AF93&lt;0</formula>
    </cfRule>
    <cfRule type="expression" priority="2873">
      <formula>#REF!</formula>
    </cfRule>
    <cfRule type="colorScale" priority="2872">
      <colorScale>
        <cfvo type="min"/>
        <cfvo type="max"/>
        <color theme="0"/>
        <color theme="0"/>
      </colorScale>
    </cfRule>
  </conditionalFormatting>
  <conditionalFormatting sqref="AG94:AG102">
    <cfRule type="colorScale" priority="2928">
      <colorScale>
        <cfvo type="min"/>
        <cfvo type="max"/>
        <color theme="0"/>
        <color theme="0"/>
      </colorScale>
    </cfRule>
    <cfRule type="expression" dxfId="1741" priority="2930">
      <formula>AF94&lt;0</formula>
    </cfRule>
    <cfRule type="expression" priority="2929">
      <formula>$F$19</formula>
    </cfRule>
  </conditionalFormatting>
  <conditionalFormatting sqref="AG104">
    <cfRule type="expression" priority="2870">
      <formula>#REF!</formula>
    </cfRule>
    <cfRule type="colorScale" priority="2869">
      <colorScale>
        <cfvo type="min"/>
        <cfvo type="max"/>
        <color theme="0"/>
        <color theme="0"/>
      </colorScale>
    </cfRule>
    <cfRule type="expression" dxfId="1740" priority="2871">
      <formula>AF104&lt;0</formula>
    </cfRule>
  </conditionalFormatting>
  <conditionalFormatting sqref="AG105:AG106">
    <cfRule type="expression" priority="2932">
      <formula>$F$19</formula>
    </cfRule>
    <cfRule type="colorScale" priority="2931">
      <colorScale>
        <cfvo type="min"/>
        <cfvo type="max"/>
        <color theme="0"/>
        <color theme="0"/>
      </colorScale>
    </cfRule>
    <cfRule type="expression" dxfId="1739" priority="2933">
      <formula>AF105&lt;0</formula>
    </cfRule>
  </conditionalFormatting>
  <conditionalFormatting sqref="AG110">
    <cfRule type="colorScale" priority="2934">
      <colorScale>
        <cfvo type="min"/>
        <cfvo type="max"/>
        <color theme="0"/>
        <color theme="0"/>
      </colorScale>
    </cfRule>
    <cfRule type="expression" dxfId="1738" priority="2935">
      <formula>AF110&lt;0</formula>
    </cfRule>
  </conditionalFormatting>
  <conditionalFormatting sqref="AG110:AG111">
    <cfRule type="expression" priority="2814">
      <formula>$F$19</formula>
    </cfRule>
  </conditionalFormatting>
  <conditionalFormatting sqref="AG111">
    <cfRule type="colorScale" priority="2813">
      <colorScale>
        <cfvo type="min"/>
        <cfvo type="max"/>
        <color theme="0"/>
        <color theme="0"/>
      </colorScale>
    </cfRule>
    <cfRule type="expression" dxfId="1737" priority="2815">
      <formula>AF111&lt;0</formula>
    </cfRule>
  </conditionalFormatting>
  <conditionalFormatting sqref="AG117:AG123">
    <cfRule type="colorScale" priority="2939">
      <colorScale>
        <cfvo type="min"/>
        <cfvo type="max"/>
        <color theme="0"/>
        <color theme="0"/>
      </colorScale>
    </cfRule>
    <cfRule type="expression" dxfId="1736" priority="2941">
      <formula>AF117&lt;0</formula>
    </cfRule>
    <cfRule type="expression" priority="2940">
      <formula>$F$19</formula>
    </cfRule>
  </conditionalFormatting>
  <conditionalFormatting sqref="AG125">
    <cfRule type="expression" priority="2867">
      <formula>#REF!</formula>
    </cfRule>
    <cfRule type="expression" dxfId="1735" priority="2868">
      <formula>AF125&lt;0</formula>
    </cfRule>
    <cfRule type="colorScale" priority="2866">
      <colorScale>
        <cfvo type="min"/>
        <cfvo type="max"/>
        <color theme="0"/>
        <color theme="0"/>
      </colorScale>
    </cfRule>
  </conditionalFormatting>
  <conditionalFormatting sqref="AG125:AG135">
    <cfRule type="expression" dxfId="1734" priority="2865">
      <formula>IF(AG125="Validar","Rojo","Verde")</formula>
    </cfRule>
  </conditionalFormatting>
  <conditionalFormatting sqref="AG126:AG132">
    <cfRule type="expression" dxfId="1733" priority="2944">
      <formula>AF126&lt;0</formula>
    </cfRule>
    <cfRule type="colorScale" priority="2942">
      <colorScale>
        <cfvo type="min"/>
        <cfvo type="max"/>
        <color theme="0"/>
        <color theme="0"/>
      </colorScale>
    </cfRule>
  </conditionalFormatting>
  <conditionalFormatting sqref="AG126:AG134">
    <cfRule type="expression" priority="2943">
      <formula>$F$19</formula>
    </cfRule>
  </conditionalFormatting>
  <conditionalFormatting sqref="AG133:AG134">
    <cfRule type="colorScale" priority="2945">
      <colorScale>
        <cfvo type="min"/>
        <cfvo type="max"/>
        <color theme="0"/>
        <color theme="0"/>
      </colorScale>
    </cfRule>
    <cfRule type="expression" dxfId="1732" priority="2946">
      <formula>AF133&lt;0</formula>
    </cfRule>
  </conditionalFormatting>
  <conditionalFormatting sqref="AG135">
    <cfRule type="expression" priority="2937">
      <formula>$F$23</formula>
    </cfRule>
    <cfRule type="expression" dxfId="1731" priority="2938">
      <formula>AF135&lt;0</formula>
    </cfRule>
    <cfRule type="colorScale" priority="2936">
      <colorScale>
        <cfvo type="min"/>
        <cfvo type="max"/>
        <color theme="0"/>
        <color theme="0"/>
      </colorScale>
    </cfRule>
  </conditionalFormatting>
  <conditionalFormatting sqref="AG110:AI111">
    <cfRule type="expression" dxfId="1730" priority="2809">
      <formula>IF(AG110="Validar","Rojo","Verde")</formula>
    </cfRule>
  </conditionalFormatting>
  <conditionalFormatting sqref="AG117:AI123">
    <cfRule type="expression" dxfId="1729" priority="2822">
      <formula>IF(AG117="Validar","Rojo","Verde")</formula>
    </cfRule>
  </conditionalFormatting>
  <conditionalFormatting sqref="AH40:AH66">
    <cfRule type="colorScale" priority="2857">
      <colorScale>
        <cfvo type="min"/>
        <cfvo type="max"/>
        <color theme="0"/>
        <color theme="0"/>
      </colorScale>
    </cfRule>
    <cfRule type="expression" dxfId="1728" priority="2859">
      <formula>AG40&lt;0</formula>
    </cfRule>
    <cfRule type="expression" priority="2858">
      <formula>#REF!</formula>
    </cfRule>
  </conditionalFormatting>
  <conditionalFormatting sqref="AH40:AH67">
    <cfRule type="expression" dxfId="1727" priority="2856">
      <formula>IF(AH40="Validar","Rojo","Verde")</formula>
    </cfRule>
  </conditionalFormatting>
  <conditionalFormatting sqref="AH67 AG82:AH82 AG92:AH92 AG103:AH103 AG107:AH107">
    <cfRule type="expression" priority="2861">
      <formula>$F$23</formula>
    </cfRule>
  </conditionalFormatting>
  <conditionalFormatting sqref="AH67 AH82 AH92 AH103 AH107">
    <cfRule type="expression" dxfId="1726" priority="2862">
      <formula>AG67&lt;0</formula>
    </cfRule>
  </conditionalFormatting>
  <conditionalFormatting sqref="AH69">
    <cfRule type="colorScale" priority="2854">
      <colorScale>
        <cfvo type="min"/>
        <cfvo type="max"/>
        <color theme="0"/>
        <color theme="0"/>
      </colorScale>
    </cfRule>
    <cfRule type="expression" dxfId="1725" priority="2855">
      <formula>AG69&lt;0</formula>
    </cfRule>
  </conditionalFormatting>
  <conditionalFormatting sqref="AH69:AH81">
    <cfRule type="expression" priority="2852">
      <formula>#REF!</formula>
    </cfRule>
  </conditionalFormatting>
  <conditionalFormatting sqref="AH69:AH82">
    <cfRule type="expression" dxfId="1724" priority="2850">
      <formula>IF(AH69="Validar","Rojo","Verde")</formula>
    </cfRule>
  </conditionalFormatting>
  <conditionalFormatting sqref="AH70:AH78">
    <cfRule type="colorScale" priority="2851">
      <colorScale>
        <cfvo type="min"/>
        <cfvo type="max"/>
        <color theme="0"/>
        <color theme="0"/>
      </colorScale>
    </cfRule>
    <cfRule type="expression" dxfId="1723" priority="2853">
      <formula>AG70&lt;0</formula>
    </cfRule>
  </conditionalFormatting>
  <conditionalFormatting sqref="AH79:AH81">
    <cfRule type="colorScale" priority="2863">
      <colorScale>
        <cfvo type="min"/>
        <cfvo type="max"/>
        <color theme="0"/>
        <color theme="0"/>
      </colorScale>
    </cfRule>
    <cfRule type="expression" dxfId="1722" priority="2864">
      <formula>AG79&lt;0</formula>
    </cfRule>
  </conditionalFormatting>
  <conditionalFormatting sqref="AH82 AH67 AH92 AH103 AH107">
    <cfRule type="colorScale" priority="2860">
      <colorScale>
        <cfvo type="min"/>
        <cfvo type="max"/>
        <color theme="0"/>
        <color theme="0"/>
      </colorScale>
    </cfRule>
  </conditionalFormatting>
  <conditionalFormatting sqref="AH84">
    <cfRule type="colorScale" priority="2848">
      <colorScale>
        <cfvo type="min"/>
        <cfvo type="max"/>
        <color theme="0"/>
        <color theme="0"/>
      </colorScale>
    </cfRule>
    <cfRule type="expression" dxfId="1721" priority="2849">
      <formula>AG84&lt;0</formula>
    </cfRule>
  </conditionalFormatting>
  <conditionalFormatting sqref="AH84:AH91">
    <cfRule type="expression" priority="2846">
      <formula>#REF!</formula>
    </cfRule>
  </conditionalFormatting>
  <conditionalFormatting sqref="AH84:AH92">
    <cfRule type="expression" dxfId="1720" priority="2844">
      <formula>IF(AH84="Validar","Rojo","Verde")</formula>
    </cfRule>
  </conditionalFormatting>
  <conditionalFormatting sqref="AH85:AH91">
    <cfRule type="expression" dxfId="1719" priority="2847">
      <formula>AG85&lt;0</formula>
    </cfRule>
    <cfRule type="colorScale" priority="2845">
      <colorScale>
        <cfvo type="min"/>
        <cfvo type="max"/>
        <color theme="0"/>
        <color theme="0"/>
      </colorScale>
    </cfRule>
  </conditionalFormatting>
  <conditionalFormatting sqref="AH94">
    <cfRule type="colorScale" priority="2842">
      <colorScale>
        <cfvo type="min"/>
        <cfvo type="max"/>
        <color theme="0"/>
        <color theme="0"/>
      </colorScale>
    </cfRule>
    <cfRule type="expression" dxfId="1718" priority="2843">
      <formula>AG94&lt;0</formula>
    </cfRule>
  </conditionalFormatting>
  <conditionalFormatting sqref="AH94:AH102">
    <cfRule type="expression" priority="2836">
      <formula>#REF!</formula>
    </cfRule>
  </conditionalFormatting>
  <conditionalFormatting sqref="AH94:AH103">
    <cfRule type="expression" dxfId="1717" priority="2834">
      <formula>IF(AH94="Validar","Rojo","Verde")</formula>
    </cfRule>
  </conditionalFormatting>
  <conditionalFormatting sqref="AH95:AH100">
    <cfRule type="expression" dxfId="1716" priority="2841">
      <formula>AG95&lt;0</formula>
    </cfRule>
    <cfRule type="colorScale" priority="2840">
      <colorScale>
        <cfvo type="min"/>
        <cfvo type="max"/>
        <color theme="0"/>
        <color theme="0"/>
      </colorScale>
    </cfRule>
  </conditionalFormatting>
  <conditionalFormatting sqref="AH101">
    <cfRule type="colorScale" priority="2838">
      <colorScale>
        <cfvo type="min"/>
        <cfvo type="max"/>
        <color theme="0"/>
        <color theme="0"/>
      </colorScale>
    </cfRule>
    <cfRule type="expression" dxfId="1715" priority="2839">
      <formula>AG101&lt;0</formula>
    </cfRule>
  </conditionalFormatting>
  <conditionalFormatting sqref="AH102">
    <cfRule type="colorScale" priority="2835">
      <colorScale>
        <cfvo type="min"/>
        <cfvo type="max"/>
        <color theme="0"/>
        <color theme="0"/>
      </colorScale>
    </cfRule>
    <cfRule type="expression" dxfId="1714" priority="2837">
      <formula>AG102&lt;0</formula>
    </cfRule>
  </conditionalFormatting>
  <conditionalFormatting sqref="AH105">
    <cfRule type="expression" dxfId="1713" priority="2833">
      <formula>AG105&lt;0</formula>
    </cfRule>
    <cfRule type="colorScale" priority="2832">
      <colorScale>
        <cfvo type="min"/>
        <cfvo type="max"/>
        <color theme="0"/>
        <color theme="0"/>
      </colorScale>
    </cfRule>
  </conditionalFormatting>
  <conditionalFormatting sqref="AH105:AH106">
    <cfRule type="expression" priority="2830">
      <formula>#REF!</formula>
    </cfRule>
  </conditionalFormatting>
  <conditionalFormatting sqref="AH105:AH107">
    <cfRule type="expression" dxfId="1712" priority="2828">
      <formula>IF(AH105="Validar","Rojo","Verde")</formula>
    </cfRule>
  </conditionalFormatting>
  <conditionalFormatting sqref="AH106">
    <cfRule type="expression" dxfId="1711" priority="2831">
      <formula>AG106&lt;0</formula>
    </cfRule>
    <cfRule type="colorScale" priority="2829">
      <colorScale>
        <cfvo type="min"/>
        <cfvo type="max"/>
        <color theme="0"/>
        <color theme="0"/>
      </colorScale>
    </cfRule>
  </conditionalFormatting>
  <conditionalFormatting sqref="AH110">
    <cfRule type="colorScale" priority="2820">
      <colorScale>
        <cfvo type="min"/>
        <cfvo type="max"/>
        <color theme="0"/>
        <color theme="0"/>
      </colorScale>
    </cfRule>
    <cfRule type="expression" dxfId="1710" priority="2821">
      <formula>AG110&lt;0</formula>
    </cfRule>
  </conditionalFormatting>
  <conditionalFormatting sqref="AH111">
    <cfRule type="colorScale" priority="2810">
      <colorScale>
        <cfvo type="min"/>
        <cfvo type="max"/>
        <color theme="0"/>
        <color theme="0"/>
      </colorScale>
    </cfRule>
    <cfRule type="expression" dxfId="1709" priority="2812">
      <formula>AG111&lt;0</formula>
    </cfRule>
  </conditionalFormatting>
  <conditionalFormatting sqref="AH117">
    <cfRule type="expression" dxfId="1708" priority="2827">
      <formula>AG117&lt;0</formula>
    </cfRule>
    <cfRule type="colorScale" priority="2826">
      <colorScale>
        <cfvo type="min"/>
        <cfvo type="max"/>
        <color theme="0"/>
        <color theme="0"/>
      </colorScale>
    </cfRule>
  </conditionalFormatting>
  <conditionalFormatting sqref="AH118:AH123">
    <cfRule type="colorScale" priority="2823">
      <colorScale>
        <cfvo type="min"/>
        <cfvo type="max"/>
        <color theme="0"/>
        <color theme="0"/>
      </colorScale>
    </cfRule>
    <cfRule type="expression" dxfId="1707" priority="2825">
      <formula>AG118&lt;0</formula>
    </cfRule>
  </conditionalFormatting>
  <conditionalFormatting sqref="AH126:AH135">
    <cfRule type="expression" dxfId="1706" priority="2950">
      <formula>AG126&lt;0</formula>
    </cfRule>
    <cfRule type="expression" dxfId="1705" priority="2947">
      <formula>IF(AH126="Validar","Rojo","Verde")</formula>
    </cfRule>
    <cfRule type="colorScale" priority="2948">
      <colorScale>
        <cfvo type="min"/>
        <cfvo type="max"/>
        <color theme="0"/>
        <color theme="0"/>
      </colorScale>
    </cfRule>
    <cfRule type="expression" priority="2949">
      <formula>$F$23</formula>
    </cfRule>
  </conditionalFormatting>
  <conditionalFormatting sqref="AH110:AI111">
    <cfRule type="expression" priority="2811">
      <formula>#REF!</formula>
    </cfRule>
  </conditionalFormatting>
  <conditionalFormatting sqref="AH117:AI123">
    <cfRule type="expression" priority="2824">
      <formula>#REF!</formula>
    </cfRule>
  </conditionalFormatting>
  <conditionalFormatting sqref="AI5">
    <cfRule type="colorScale" priority="4636">
      <colorScale>
        <cfvo type="min"/>
        <cfvo type="max"/>
        <color theme="0"/>
        <color theme="0"/>
      </colorScale>
    </cfRule>
    <cfRule type="expression" dxfId="1704" priority="4637">
      <formula>AH5&lt;0</formula>
    </cfRule>
  </conditionalFormatting>
  <conditionalFormatting sqref="AI5:AI16">
    <cfRule type="expression" priority="4610">
      <formula>#REF!</formula>
    </cfRule>
    <cfRule type="expression" dxfId="1703" priority="4608">
      <formula>IF(AI5="Validar","Rojo","Verde")</formula>
    </cfRule>
  </conditionalFormatting>
  <conditionalFormatting sqref="AI6:AI9">
    <cfRule type="colorScale" priority="4644">
      <colorScale>
        <cfvo type="min"/>
        <cfvo type="max"/>
        <color theme="0"/>
        <color theme="0"/>
      </colorScale>
    </cfRule>
    <cfRule type="expression" dxfId="1702" priority="4645">
      <formula>AH6&lt;0</formula>
    </cfRule>
  </conditionalFormatting>
  <conditionalFormatting sqref="AI10">
    <cfRule type="expression" dxfId="1701" priority="4613">
      <formula>AH10&lt;0</formula>
    </cfRule>
    <cfRule type="colorScale" priority="4612">
      <colorScale>
        <cfvo type="min"/>
        <cfvo type="max"/>
        <color theme="0"/>
        <color theme="0"/>
      </colorScale>
    </cfRule>
  </conditionalFormatting>
  <conditionalFormatting sqref="AI11:AI14">
    <cfRule type="colorScale" priority="4642">
      <colorScale>
        <cfvo type="min"/>
        <cfvo type="max"/>
        <color theme="0"/>
        <color theme="0"/>
      </colorScale>
    </cfRule>
    <cfRule type="expression" dxfId="1700" priority="4643">
      <formula>AH11&lt;0</formula>
    </cfRule>
  </conditionalFormatting>
  <conditionalFormatting sqref="AI15">
    <cfRule type="colorScale" priority="4609">
      <colorScale>
        <cfvo type="min"/>
        <cfvo type="max"/>
        <color theme="0"/>
        <color theme="0"/>
      </colorScale>
    </cfRule>
    <cfRule type="expression" dxfId="1699" priority="4611">
      <formula>AH15&lt;0</formula>
    </cfRule>
  </conditionalFormatting>
  <conditionalFormatting sqref="AI16">
    <cfRule type="expression" dxfId="1698" priority="4641">
      <formula>AH16&lt;0</formula>
    </cfRule>
    <cfRule type="colorScale" priority="4640">
      <colorScale>
        <cfvo type="min"/>
        <cfvo type="max"/>
        <color theme="0"/>
        <color theme="0"/>
      </colorScale>
    </cfRule>
  </conditionalFormatting>
  <conditionalFormatting sqref="AI18">
    <cfRule type="colorScale" priority="4605">
      <colorScale>
        <cfvo type="min"/>
        <cfvo type="max"/>
        <color theme="0"/>
        <color theme="0"/>
      </colorScale>
    </cfRule>
    <cfRule type="expression" dxfId="1697" priority="4607">
      <formula>AH18&lt;0</formula>
    </cfRule>
  </conditionalFormatting>
  <conditionalFormatting sqref="AI18:AI19">
    <cfRule type="expression" priority="4606">
      <formula>#REF!</formula>
    </cfRule>
    <cfRule type="expression" dxfId="1696" priority="4604">
      <formula>IF(AI18="Validar","Rojo","Verde")</formula>
    </cfRule>
  </conditionalFormatting>
  <conditionalFormatting sqref="AI19">
    <cfRule type="expression" dxfId="1695" priority="4639">
      <formula>AH19&lt;0</formula>
    </cfRule>
    <cfRule type="colorScale" priority="4638">
      <colorScale>
        <cfvo type="min"/>
        <cfvo type="max"/>
        <color theme="0"/>
        <color theme="0"/>
      </colorScale>
    </cfRule>
  </conditionalFormatting>
  <conditionalFormatting sqref="AI23">
    <cfRule type="expression" dxfId="1694" priority="4603">
      <formula>AH23&lt;0</formula>
    </cfRule>
    <cfRule type="colorScale" priority="4601">
      <colorScale>
        <cfvo type="min"/>
        <cfvo type="max"/>
        <color theme="0"/>
        <color theme="0"/>
      </colorScale>
    </cfRule>
  </conditionalFormatting>
  <conditionalFormatting sqref="AI23:AI24">
    <cfRule type="expression" dxfId="1693" priority="4600">
      <formula>IF(AI23="Validar","Rojo","Verde")</formula>
    </cfRule>
    <cfRule type="expression" priority="4602">
      <formula>#REF!</formula>
    </cfRule>
  </conditionalFormatting>
  <conditionalFormatting sqref="AI24">
    <cfRule type="expression" dxfId="1692" priority="4635">
      <formula>AH24&lt;0</formula>
    </cfRule>
    <cfRule type="colorScale" priority="4634">
      <colorScale>
        <cfvo type="min"/>
        <cfvo type="max"/>
        <color theme="0"/>
        <color theme="0"/>
      </colorScale>
    </cfRule>
  </conditionalFormatting>
  <conditionalFormatting sqref="AI26">
    <cfRule type="expression" dxfId="1691" priority="4599">
      <formula>AH26&lt;0</formula>
    </cfRule>
    <cfRule type="colorScale" priority="4597">
      <colorScale>
        <cfvo type="min"/>
        <cfvo type="max"/>
        <color theme="0"/>
        <color theme="0"/>
      </colorScale>
    </cfRule>
  </conditionalFormatting>
  <conditionalFormatting sqref="AI26:AI27">
    <cfRule type="expression" priority="4598">
      <formula>#REF!</formula>
    </cfRule>
    <cfRule type="expression" dxfId="1690" priority="4596">
      <formula>IF(AI26="Validar","Rojo","Verde")</formula>
    </cfRule>
  </conditionalFormatting>
  <conditionalFormatting sqref="AI27">
    <cfRule type="expression" dxfId="1689" priority="4633">
      <formula>AH27&lt;0</formula>
    </cfRule>
    <cfRule type="colorScale" priority="4632">
      <colorScale>
        <cfvo type="min"/>
        <cfvo type="max"/>
        <color theme="0"/>
        <color theme="0"/>
      </colorScale>
    </cfRule>
  </conditionalFormatting>
  <conditionalFormatting sqref="AI29">
    <cfRule type="expression" dxfId="1688" priority="4595">
      <formula>AH29&lt;0</formula>
    </cfRule>
    <cfRule type="colorScale" priority="4593">
      <colorScale>
        <cfvo type="min"/>
        <cfvo type="max"/>
        <color theme="0"/>
        <color theme="0"/>
      </colorScale>
    </cfRule>
  </conditionalFormatting>
  <conditionalFormatting sqref="AI29:AI30">
    <cfRule type="expression" dxfId="1687" priority="4592">
      <formula>IF(AI29="Validar","Rojo","Verde")</formula>
    </cfRule>
    <cfRule type="expression" priority="4594">
      <formula>#REF!</formula>
    </cfRule>
  </conditionalFormatting>
  <conditionalFormatting sqref="AI30">
    <cfRule type="expression" dxfId="1686" priority="4631">
      <formula>AH30&lt;0</formula>
    </cfRule>
    <cfRule type="colorScale" priority="4630">
      <colorScale>
        <cfvo type="min"/>
        <cfvo type="max"/>
        <color theme="0"/>
        <color theme="0"/>
      </colorScale>
    </cfRule>
  </conditionalFormatting>
  <conditionalFormatting sqref="AI39">
    <cfRule type="colorScale" priority="4589">
      <colorScale>
        <cfvo type="min"/>
        <cfvo type="max"/>
        <color theme="0"/>
        <color theme="0"/>
      </colorScale>
    </cfRule>
    <cfRule type="expression" dxfId="1685" priority="4591">
      <formula>AH39&lt;0</formula>
    </cfRule>
  </conditionalFormatting>
  <conditionalFormatting sqref="AI39:AI66">
    <cfRule type="expression" dxfId="1684" priority="4588">
      <formula>IF(AI39="Validar","Rojo","Verde")</formula>
    </cfRule>
    <cfRule type="expression" priority="4590">
      <formula>#REF!</formula>
    </cfRule>
  </conditionalFormatting>
  <conditionalFormatting sqref="AI40:AI66">
    <cfRule type="expression" dxfId="1683" priority="4629">
      <formula>AH40&lt;0</formula>
    </cfRule>
    <cfRule type="colorScale" priority="4628">
      <colorScale>
        <cfvo type="min"/>
        <cfvo type="max"/>
        <color theme="0"/>
        <color theme="0"/>
      </colorScale>
    </cfRule>
  </conditionalFormatting>
  <conditionalFormatting sqref="AI68">
    <cfRule type="colorScale" priority="4585">
      <colorScale>
        <cfvo type="min"/>
        <cfvo type="max"/>
        <color theme="0"/>
        <color theme="0"/>
      </colorScale>
    </cfRule>
    <cfRule type="expression" dxfId="1682" priority="4587">
      <formula>AH68&lt;0</formula>
    </cfRule>
  </conditionalFormatting>
  <conditionalFormatting sqref="AI68:AI81">
    <cfRule type="expression" priority="4586">
      <formula>#REF!</formula>
    </cfRule>
    <cfRule type="expression" dxfId="1681" priority="4584">
      <formula>IF(AI68="Validar","Rojo","Verde")</formula>
    </cfRule>
  </conditionalFormatting>
  <conditionalFormatting sqref="AI69:AI81">
    <cfRule type="expression" dxfId="1680" priority="4647">
      <formula>AH69&lt;0</formula>
    </cfRule>
    <cfRule type="colorScale" priority="4646">
      <colorScale>
        <cfvo type="min"/>
        <cfvo type="max"/>
        <color theme="0"/>
        <color theme="0"/>
      </colorScale>
    </cfRule>
  </conditionalFormatting>
  <conditionalFormatting sqref="AI83">
    <cfRule type="colorScale" priority="4568">
      <colorScale>
        <cfvo type="min"/>
        <cfvo type="max"/>
        <color theme="0"/>
        <color theme="0"/>
      </colorScale>
    </cfRule>
    <cfRule type="expression" dxfId="1679" priority="4570">
      <formula>AH83&lt;0</formula>
    </cfRule>
  </conditionalFormatting>
  <conditionalFormatting sqref="AI83:AI91">
    <cfRule type="expression" dxfId="1678" priority="4567">
      <formula>IF(AI83="Validar","Rojo","Verde")</formula>
    </cfRule>
    <cfRule type="expression" priority="4569">
      <formula>#REF!</formula>
    </cfRule>
  </conditionalFormatting>
  <conditionalFormatting sqref="AI84:AI91">
    <cfRule type="expression" dxfId="1677" priority="4627">
      <formula>AH84&lt;0</formula>
    </cfRule>
    <cfRule type="colorScale" priority="4626">
      <colorScale>
        <cfvo type="min"/>
        <cfvo type="max"/>
        <color theme="0"/>
        <color theme="0"/>
      </colorScale>
    </cfRule>
  </conditionalFormatting>
  <conditionalFormatting sqref="AI93">
    <cfRule type="expression" dxfId="1676" priority="4583">
      <formula>AH93&lt;0</formula>
    </cfRule>
    <cfRule type="colorScale" priority="4581">
      <colorScale>
        <cfvo type="min"/>
        <cfvo type="max"/>
        <color theme="0"/>
        <color theme="0"/>
      </colorScale>
    </cfRule>
  </conditionalFormatting>
  <conditionalFormatting sqref="AI93:AI102">
    <cfRule type="expression" priority="4582">
      <formula>#REF!</formula>
    </cfRule>
    <cfRule type="expression" dxfId="1675" priority="4580">
      <formula>IF(AI93="Validar","Rojo","Verde")</formula>
    </cfRule>
  </conditionalFormatting>
  <conditionalFormatting sqref="AI94:AI102">
    <cfRule type="colorScale" priority="4624">
      <colorScale>
        <cfvo type="min"/>
        <cfvo type="max"/>
        <color theme="0"/>
        <color theme="0"/>
      </colorScale>
    </cfRule>
    <cfRule type="expression" dxfId="1674" priority="4625">
      <formula>AH94&lt;0</formula>
    </cfRule>
  </conditionalFormatting>
  <conditionalFormatting sqref="AI104">
    <cfRule type="expression" dxfId="1673" priority="4579">
      <formula>AH104&lt;0</formula>
    </cfRule>
    <cfRule type="colorScale" priority="4577">
      <colorScale>
        <cfvo type="min"/>
        <cfvo type="max"/>
        <color theme="0"/>
        <color theme="0"/>
      </colorScale>
    </cfRule>
  </conditionalFormatting>
  <conditionalFormatting sqref="AI104:AI106">
    <cfRule type="expression" priority="4578">
      <formula>#REF!</formula>
    </cfRule>
    <cfRule type="expression" dxfId="1672" priority="4576">
      <formula>IF(AI104="Validar","Rojo","Verde")</formula>
    </cfRule>
  </conditionalFormatting>
  <conditionalFormatting sqref="AI105:AI106">
    <cfRule type="expression" dxfId="1671" priority="4623">
      <formula>AH105&lt;0</formula>
    </cfRule>
    <cfRule type="colorScale" priority="4622">
      <colorScale>
        <cfvo type="min"/>
        <cfvo type="max"/>
        <color theme="0"/>
        <color theme="0"/>
      </colorScale>
    </cfRule>
  </conditionalFormatting>
  <conditionalFormatting sqref="AI110">
    <cfRule type="expression" dxfId="1670" priority="4621">
      <formula>AH110&lt;0</formula>
    </cfRule>
    <cfRule type="colorScale" priority="4620">
      <colorScale>
        <cfvo type="min"/>
        <cfvo type="max"/>
        <color theme="0"/>
        <color theme="0"/>
      </colorScale>
    </cfRule>
  </conditionalFormatting>
  <conditionalFormatting sqref="AI111">
    <cfRule type="colorScale" priority="4561">
      <colorScale>
        <cfvo type="min"/>
        <cfvo type="max"/>
        <color theme="0"/>
        <color theme="0"/>
      </colorScale>
    </cfRule>
    <cfRule type="expression" dxfId="1669" priority="4563">
      <formula>AH111&lt;0</formula>
    </cfRule>
  </conditionalFormatting>
  <conditionalFormatting sqref="AI117:AI123">
    <cfRule type="colorScale" priority="4617">
      <colorScale>
        <cfvo type="min"/>
        <cfvo type="max"/>
        <color theme="0"/>
        <color theme="0"/>
      </colorScale>
    </cfRule>
    <cfRule type="expression" dxfId="1668" priority="4619">
      <formula>AH117&lt;0</formula>
    </cfRule>
  </conditionalFormatting>
  <conditionalFormatting sqref="AI125">
    <cfRule type="colorScale" priority="4573">
      <colorScale>
        <cfvo type="min"/>
        <cfvo type="max"/>
        <color theme="0"/>
        <color theme="0"/>
      </colorScale>
    </cfRule>
    <cfRule type="expression" dxfId="1667" priority="4575">
      <formula>AH125&lt;0</formula>
    </cfRule>
  </conditionalFormatting>
  <conditionalFormatting sqref="AI125:AI134">
    <cfRule type="expression" dxfId="1666" priority="4572">
      <formula>IF(AI125="Validar","Rojo","Verde")</formula>
    </cfRule>
    <cfRule type="expression" priority="4574">
      <formula>#REF!</formula>
    </cfRule>
  </conditionalFormatting>
  <conditionalFormatting sqref="AI126:AI134">
    <cfRule type="expression" dxfId="1665" priority="4615">
      <formula>AH126&lt;0</formula>
    </cfRule>
    <cfRule type="colorScale" priority="4614">
      <colorScale>
        <cfvo type="min"/>
        <cfvo type="max"/>
        <color theme="0"/>
        <color theme="0"/>
      </colorScale>
    </cfRule>
  </conditionalFormatting>
  <conditionalFormatting sqref="AK5 AK9">
    <cfRule type="expression" dxfId="1664" priority="2769">
      <formula>AJ5&lt;0</formula>
    </cfRule>
  </conditionalFormatting>
  <conditionalFormatting sqref="AK5:AK20">
    <cfRule type="expression" dxfId="1663" priority="2651">
      <formula>IF(AK5="Validar","Rojo","Verde")</formula>
    </cfRule>
    <cfRule type="expression" priority="2652">
      <formula>#REF!</formula>
    </cfRule>
  </conditionalFormatting>
  <conditionalFormatting sqref="AK6">
    <cfRule type="expression" dxfId="1662" priority="2658">
      <formula>AJ6&lt;0</formula>
    </cfRule>
    <cfRule type="colorScale" priority="2657">
      <colorScale>
        <cfvo type="min"/>
        <cfvo type="max"/>
        <color theme="0"/>
        <color theme="0"/>
      </colorScale>
    </cfRule>
  </conditionalFormatting>
  <conditionalFormatting sqref="AK7:AK8">
    <cfRule type="expression" dxfId="1661" priority="2654">
      <formula>AJ7&lt;0</formula>
    </cfRule>
    <cfRule type="colorScale" priority="2653">
      <colorScale>
        <cfvo type="min"/>
        <cfvo type="max"/>
        <color theme="0"/>
        <color theme="0"/>
      </colorScale>
    </cfRule>
  </conditionalFormatting>
  <conditionalFormatting sqref="AK9 AK5">
    <cfRule type="colorScale" priority="2768">
      <colorScale>
        <cfvo type="min"/>
        <cfvo type="max"/>
        <color theme="0"/>
        <color theme="0"/>
      </colorScale>
    </cfRule>
  </conditionalFormatting>
  <conditionalFormatting sqref="AK10">
    <cfRule type="colorScale" priority="2745">
      <colorScale>
        <cfvo type="min"/>
        <cfvo type="max"/>
        <color theme="0"/>
        <color theme="0"/>
      </colorScale>
    </cfRule>
    <cfRule type="expression" dxfId="1660" priority="2746">
      <formula>AJ10&lt;0</formula>
    </cfRule>
  </conditionalFormatting>
  <conditionalFormatting sqref="AK11:AK14">
    <cfRule type="colorScale" priority="2766">
      <colorScale>
        <cfvo type="min"/>
        <cfvo type="max"/>
        <color theme="0"/>
        <color theme="0"/>
      </colorScale>
    </cfRule>
    <cfRule type="expression" dxfId="1659" priority="2767">
      <formula>AJ11&lt;0</formula>
    </cfRule>
  </conditionalFormatting>
  <conditionalFormatting sqref="AK15">
    <cfRule type="colorScale" priority="2743">
      <colorScale>
        <cfvo type="min"/>
        <cfvo type="max"/>
        <color theme="0"/>
        <color theme="0"/>
      </colorScale>
    </cfRule>
    <cfRule type="expression" dxfId="1658" priority="2744">
      <formula>AJ15&lt;0</formula>
    </cfRule>
  </conditionalFormatting>
  <conditionalFormatting sqref="AK16:AK17">
    <cfRule type="colorScale" priority="2764">
      <colorScale>
        <cfvo type="min"/>
        <cfvo type="max"/>
        <color theme="0"/>
        <color theme="0"/>
      </colorScale>
    </cfRule>
    <cfRule type="expression" dxfId="1657" priority="2765">
      <formula>AJ16&lt;0</formula>
    </cfRule>
  </conditionalFormatting>
  <conditionalFormatting sqref="AK18">
    <cfRule type="colorScale" priority="2740">
      <colorScale>
        <cfvo type="min"/>
        <cfvo type="max"/>
        <color theme="0"/>
        <color theme="0"/>
      </colorScale>
    </cfRule>
    <cfRule type="expression" dxfId="1656" priority="2742">
      <formula>AJ18&lt;0</formula>
    </cfRule>
  </conditionalFormatting>
  <conditionalFormatting sqref="AK19:AK20">
    <cfRule type="expression" dxfId="1655" priority="2763">
      <formula>AJ19&lt;0</formula>
    </cfRule>
    <cfRule type="colorScale" priority="2762">
      <colorScale>
        <cfvo type="min"/>
        <cfvo type="max"/>
        <color theme="0"/>
        <color theme="0"/>
      </colorScale>
    </cfRule>
  </conditionalFormatting>
  <conditionalFormatting sqref="AK23">
    <cfRule type="expression" dxfId="1654" priority="2738">
      <formula>AJ23&lt;0</formula>
    </cfRule>
    <cfRule type="colorScale" priority="2737">
      <colorScale>
        <cfvo type="min"/>
        <cfvo type="max"/>
        <color theme="0"/>
        <color theme="0"/>
      </colorScale>
    </cfRule>
  </conditionalFormatting>
  <conditionalFormatting sqref="AK23:AK31">
    <cfRule type="expression" priority="2733">
      <formula>#REF!</formula>
    </cfRule>
    <cfRule type="expression" dxfId="1653" priority="2731">
      <formula>IF(AK23="Validar","Rojo","Verde")</formula>
    </cfRule>
  </conditionalFormatting>
  <conditionalFormatting sqref="AK24">
    <cfRule type="expression" dxfId="1652" priority="2761">
      <formula>AJ24&lt;0</formula>
    </cfRule>
    <cfRule type="colorScale" priority="2760">
      <colorScale>
        <cfvo type="min"/>
        <cfvo type="max"/>
        <color theme="0"/>
        <color theme="0"/>
      </colorScale>
    </cfRule>
  </conditionalFormatting>
  <conditionalFormatting sqref="AK25">
    <cfRule type="expression" dxfId="1651" priority="2759">
      <formula>AJ25&lt;0</formula>
    </cfRule>
    <cfRule type="colorScale" priority="2758">
      <colorScale>
        <cfvo type="min"/>
        <cfvo type="max"/>
        <color theme="0"/>
        <color theme="0"/>
      </colorScale>
    </cfRule>
  </conditionalFormatting>
  <conditionalFormatting sqref="AK26">
    <cfRule type="expression" dxfId="1650" priority="2736">
      <formula>AJ26&lt;0</formula>
    </cfRule>
    <cfRule type="colorScale" priority="2735">
      <colorScale>
        <cfvo type="min"/>
        <cfvo type="max"/>
        <color theme="0"/>
        <color theme="0"/>
      </colorScale>
    </cfRule>
  </conditionalFormatting>
  <conditionalFormatting sqref="AK27">
    <cfRule type="colorScale" priority="2756">
      <colorScale>
        <cfvo type="min"/>
        <cfvo type="max"/>
        <color theme="0"/>
        <color theme="0"/>
      </colorScale>
    </cfRule>
    <cfRule type="expression" dxfId="1649" priority="2757">
      <formula>AJ27&lt;0</formula>
    </cfRule>
  </conditionalFormatting>
  <conditionalFormatting sqref="AK28">
    <cfRule type="expression" dxfId="1648" priority="2755">
      <formula>AJ28&lt;0</formula>
    </cfRule>
    <cfRule type="colorScale" priority="2754">
      <colorScale>
        <cfvo type="min"/>
        <cfvo type="max"/>
        <color theme="0"/>
        <color theme="0"/>
      </colorScale>
    </cfRule>
  </conditionalFormatting>
  <conditionalFormatting sqref="AK29">
    <cfRule type="expression" dxfId="1647" priority="2734">
      <formula>AJ29&lt;0</formula>
    </cfRule>
    <cfRule type="colorScale" priority="2732">
      <colorScale>
        <cfvo type="min"/>
        <cfvo type="max"/>
        <color theme="0"/>
        <color theme="0"/>
      </colorScale>
    </cfRule>
  </conditionalFormatting>
  <conditionalFormatting sqref="AK30">
    <cfRule type="expression" dxfId="1646" priority="2753">
      <formula>AJ30&lt;0</formula>
    </cfRule>
    <cfRule type="colorScale" priority="2752">
      <colorScale>
        <cfvo type="min"/>
        <cfvo type="max"/>
        <color theme="0"/>
        <color theme="0"/>
      </colorScale>
    </cfRule>
  </conditionalFormatting>
  <conditionalFormatting sqref="AK31">
    <cfRule type="expression" dxfId="1645" priority="2751">
      <formula>AJ31&lt;0</formula>
    </cfRule>
    <cfRule type="colorScale" priority="2750">
      <colorScale>
        <cfvo type="min"/>
        <cfvo type="max"/>
        <color theme="0"/>
        <color theme="0"/>
      </colorScale>
    </cfRule>
  </conditionalFormatting>
  <conditionalFormatting sqref="AK39">
    <cfRule type="expression" dxfId="1644" priority="2730">
      <formula>AJ39&lt;0</formula>
    </cfRule>
    <cfRule type="colorScale" priority="2728">
      <colorScale>
        <cfvo type="min"/>
        <cfvo type="max"/>
        <color theme="0"/>
        <color theme="0"/>
      </colorScale>
    </cfRule>
    <cfRule type="expression" priority="2729">
      <formula>#REF!</formula>
    </cfRule>
  </conditionalFormatting>
  <conditionalFormatting sqref="AK39:AK107">
    <cfRule type="expression" dxfId="1643" priority="2666">
      <formula>IF(AK39="Validar","Rojo","Verde")</formula>
    </cfRule>
  </conditionalFormatting>
  <conditionalFormatting sqref="AK40:AK67">
    <cfRule type="expression" dxfId="1642" priority="2749">
      <formula>AJ40&lt;0</formula>
    </cfRule>
    <cfRule type="expression" priority="2748">
      <formula>$F$19</formula>
    </cfRule>
    <cfRule type="colorScale" priority="2747">
      <colorScale>
        <cfvo type="min"/>
        <cfvo type="max"/>
        <color theme="0"/>
        <color theme="0"/>
      </colorScale>
    </cfRule>
  </conditionalFormatting>
  <conditionalFormatting sqref="AK68">
    <cfRule type="colorScale" priority="2725">
      <colorScale>
        <cfvo type="min"/>
        <cfvo type="max"/>
        <color theme="0"/>
        <color theme="0"/>
      </colorScale>
    </cfRule>
    <cfRule type="expression" dxfId="1641" priority="2727">
      <formula>AJ68&lt;0</formula>
    </cfRule>
    <cfRule type="expression" priority="2726">
      <formula>#REF!</formula>
    </cfRule>
  </conditionalFormatting>
  <conditionalFormatting sqref="AK69:AK81">
    <cfRule type="colorScale" priority="2772">
      <colorScale>
        <cfvo type="min"/>
        <cfvo type="max"/>
        <color theme="0"/>
        <color theme="0"/>
      </colorScale>
    </cfRule>
    <cfRule type="expression" priority="2773">
      <formula>$F$19</formula>
    </cfRule>
    <cfRule type="expression" dxfId="1640" priority="2774">
      <formula>AJ69&lt;0</formula>
    </cfRule>
  </conditionalFormatting>
  <conditionalFormatting sqref="AK82 AK92 AK103 AK107">
    <cfRule type="expression" dxfId="1639" priority="2771">
      <formula>AJ82&lt;0</formula>
    </cfRule>
  </conditionalFormatting>
  <conditionalFormatting sqref="AK83">
    <cfRule type="colorScale" priority="2667">
      <colorScale>
        <cfvo type="min"/>
        <cfvo type="max"/>
        <color theme="0"/>
        <color theme="0"/>
      </colorScale>
    </cfRule>
    <cfRule type="expression" dxfId="1638" priority="2669">
      <formula>AJ83&lt;0</formula>
    </cfRule>
    <cfRule type="expression" priority="2668">
      <formula>#REF!</formula>
    </cfRule>
  </conditionalFormatting>
  <conditionalFormatting sqref="AK84:AK91">
    <cfRule type="expression" dxfId="1637" priority="2777">
      <formula>AJ84&lt;0</formula>
    </cfRule>
    <cfRule type="colorScale" priority="2775">
      <colorScale>
        <cfvo type="min"/>
        <cfvo type="max"/>
        <color theme="0"/>
        <color theme="0"/>
      </colorScale>
    </cfRule>
    <cfRule type="expression" priority="2776">
      <formula>$F$19</formula>
    </cfRule>
  </conditionalFormatting>
  <conditionalFormatting sqref="AK92 AK82 AK103 AK107">
    <cfRule type="colorScale" priority="2770">
      <colorScale>
        <cfvo type="min"/>
        <cfvo type="max"/>
        <color theme="0"/>
        <color theme="0"/>
      </colorScale>
    </cfRule>
  </conditionalFormatting>
  <conditionalFormatting sqref="AK93">
    <cfRule type="colorScale" priority="2722">
      <colorScale>
        <cfvo type="min"/>
        <cfvo type="max"/>
        <color theme="0"/>
        <color theme="0"/>
      </colorScale>
    </cfRule>
    <cfRule type="expression" dxfId="1636" priority="2724">
      <formula>AJ93&lt;0</formula>
    </cfRule>
    <cfRule type="expression" priority="2723">
      <formula>#REF!</formula>
    </cfRule>
  </conditionalFormatting>
  <conditionalFormatting sqref="AK94:AK102">
    <cfRule type="expression" dxfId="1635" priority="2780">
      <formula>AJ94&lt;0</formula>
    </cfRule>
    <cfRule type="colorScale" priority="2778">
      <colorScale>
        <cfvo type="min"/>
        <cfvo type="max"/>
        <color theme="0"/>
        <color theme="0"/>
      </colorScale>
    </cfRule>
    <cfRule type="expression" priority="2779">
      <formula>$F$19</formula>
    </cfRule>
  </conditionalFormatting>
  <conditionalFormatting sqref="AK104">
    <cfRule type="expression" dxfId="1634" priority="2721">
      <formula>AJ104&lt;0</formula>
    </cfRule>
    <cfRule type="expression" priority="2720">
      <formula>#REF!</formula>
    </cfRule>
    <cfRule type="colorScale" priority="2719">
      <colorScale>
        <cfvo type="min"/>
        <cfvo type="max"/>
        <color theme="0"/>
        <color theme="0"/>
      </colorScale>
    </cfRule>
  </conditionalFormatting>
  <conditionalFormatting sqref="AK105:AK106">
    <cfRule type="expression" priority="2782">
      <formula>$F$19</formula>
    </cfRule>
    <cfRule type="expression" dxfId="1633" priority="2783">
      <formula>AJ105&lt;0</formula>
    </cfRule>
    <cfRule type="colorScale" priority="2781">
      <colorScale>
        <cfvo type="min"/>
        <cfvo type="max"/>
        <color theme="0"/>
        <color theme="0"/>
      </colorScale>
    </cfRule>
  </conditionalFormatting>
  <conditionalFormatting sqref="AK110">
    <cfRule type="colorScale" priority="2784">
      <colorScale>
        <cfvo type="min"/>
        <cfvo type="max"/>
        <color theme="0"/>
        <color theme="0"/>
      </colorScale>
    </cfRule>
    <cfRule type="expression" dxfId="1632" priority="2785">
      <formula>AJ110&lt;0</formula>
    </cfRule>
  </conditionalFormatting>
  <conditionalFormatting sqref="AK110:AK111">
    <cfRule type="expression" priority="2664">
      <formula>$F$19</formula>
    </cfRule>
  </conditionalFormatting>
  <conditionalFormatting sqref="AK111">
    <cfRule type="expression" dxfId="1631" priority="2665">
      <formula>AJ111&lt;0</formula>
    </cfRule>
    <cfRule type="colorScale" priority="2663">
      <colorScale>
        <cfvo type="min"/>
        <cfvo type="max"/>
        <color theme="0"/>
        <color theme="0"/>
      </colorScale>
    </cfRule>
  </conditionalFormatting>
  <conditionalFormatting sqref="AK117:AK123">
    <cfRule type="colorScale" priority="2789">
      <colorScale>
        <cfvo type="min"/>
        <cfvo type="max"/>
        <color theme="0"/>
        <color theme="0"/>
      </colorScale>
    </cfRule>
    <cfRule type="expression" priority="2790">
      <formula>$F$19</formula>
    </cfRule>
    <cfRule type="expression" dxfId="1630" priority="2791">
      <formula>AJ117&lt;0</formula>
    </cfRule>
  </conditionalFormatting>
  <conditionalFormatting sqref="AK125">
    <cfRule type="colorScale" priority="2716">
      <colorScale>
        <cfvo type="min"/>
        <cfvo type="max"/>
        <color theme="0"/>
        <color theme="0"/>
      </colorScale>
    </cfRule>
    <cfRule type="expression" priority="2717">
      <formula>#REF!</formula>
    </cfRule>
    <cfRule type="expression" dxfId="1629" priority="2718">
      <formula>AJ125&lt;0</formula>
    </cfRule>
  </conditionalFormatting>
  <conditionalFormatting sqref="AK125:AK135">
    <cfRule type="expression" dxfId="1628" priority="2715">
      <formula>IF(AK125="Validar","Rojo","Verde")</formula>
    </cfRule>
  </conditionalFormatting>
  <conditionalFormatting sqref="AK126:AK132">
    <cfRule type="colorScale" priority="2792">
      <colorScale>
        <cfvo type="min"/>
        <cfvo type="max"/>
        <color theme="0"/>
        <color theme="0"/>
      </colorScale>
    </cfRule>
    <cfRule type="expression" dxfId="1627" priority="2794">
      <formula>AJ126&lt;0</formula>
    </cfRule>
  </conditionalFormatting>
  <conditionalFormatting sqref="AK126:AK134">
    <cfRule type="expression" priority="2793">
      <formula>$F$19</formula>
    </cfRule>
  </conditionalFormatting>
  <conditionalFormatting sqref="AK133:AK134">
    <cfRule type="expression" dxfId="1626" priority="2796">
      <formula>AJ133&lt;0</formula>
    </cfRule>
    <cfRule type="colorScale" priority="2795">
      <colorScale>
        <cfvo type="min"/>
        <cfvo type="max"/>
        <color theme="0"/>
        <color theme="0"/>
      </colorScale>
    </cfRule>
  </conditionalFormatting>
  <conditionalFormatting sqref="AK135">
    <cfRule type="expression" dxfId="1625" priority="2788">
      <formula>AJ135&lt;0</formula>
    </cfRule>
    <cfRule type="colorScale" priority="2786">
      <colorScale>
        <cfvo type="min"/>
        <cfvo type="max"/>
        <color theme="0"/>
        <color theme="0"/>
      </colorScale>
    </cfRule>
    <cfRule type="expression" priority="2787">
      <formula>$F$23</formula>
    </cfRule>
  </conditionalFormatting>
  <conditionalFormatting sqref="AK110:AL111">
    <cfRule type="expression" dxfId="1624" priority="2659">
      <formula>IF(AK110="Validar","Rojo","Verde")</formula>
    </cfRule>
  </conditionalFormatting>
  <conditionalFormatting sqref="AK117:AL123">
    <cfRule type="expression" dxfId="1623" priority="2672">
      <formula>IF(AK117="Validar","Rojo","Verde")</formula>
    </cfRule>
  </conditionalFormatting>
  <conditionalFormatting sqref="AL40:AL66">
    <cfRule type="expression" dxfId="1622" priority="2709">
      <formula>AK40&lt;0</formula>
    </cfRule>
    <cfRule type="colorScale" priority="2707">
      <colorScale>
        <cfvo type="min"/>
        <cfvo type="max"/>
        <color theme="0"/>
        <color theme="0"/>
      </colorScale>
    </cfRule>
    <cfRule type="expression" priority="2708">
      <formula>#REF!</formula>
    </cfRule>
  </conditionalFormatting>
  <conditionalFormatting sqref="AL40:AL67">
    <cfRule type="expression" dxfId="1621" priority="2706">
      <formula>IF(AL40="Validar","Rojo","Verde")</formula>
    </cfRule>
  </conditionalFormatting>
  <conditionalFormatting sqref="AL67 AK82:AL82 AK92:AL92 AK103:AL103 AK107:AL107">
    <cfRule type="expression" priority="2711">
      <formula>$F$23</formula>
    </cfRule>
  </conditionalFormatting>
  <conditionalFormatting sqref="AL67 AL82 AL92 AL103 AL107">
    <cfRule type="expression" dxfId="1620" priority="2712">
      <formula>AK67&lt;0</formula>
    </cfRule>
  </conditionalFormatting>
  <conditionalFormatting sqref="AL69">
    <cfRule type="expression" dxfId="1619" priority="2705">
      <formula>AK69&lt;0</formula>
    </cfRule>
    <cfRule type="colorScale" priority="2704">
      <colorScale>
        <cfvo type="min"/>
        <cfvo type="max"/>
        <color theme="0"/>
        <color theme="0"/>
      </colorScale>
    </cfRule>
  </conditionalFormatting>
  <conditionalFormatting sqref="AL69:AL81">
    <cfRule type="expression" priority="2702">
      <formula>#REF!</formula>
    </cfRule>
  </conditionalFormatting>
  <conditionalFormatting sqref="AL69:AL82">
    <cfRule type="expression" dxfId="1618" priority="2700">
      <formula>IF(AL69="Validar","Rojo","Verde")</formula>
    </cfRule>
  </conditionalFormatting>
  <conditionalFormatting sqref="AL70:AL78">
    <cfRule type="expression" dxfId="1617" priority="2703">
      <formula>AK70&lt;0</formula>
    </cfRule>
    <cfRule type="colorScale" priority="2701">
      <colorScale>
        <cfvo type="min"/>
        <cfvo type="max"/>
        <color theme="0"/>
        <color theme="0"/>
      </colorScale>
    </cfRule>
  </conditionalFormatting>
  <conditionalFormatting sqref="AL79:AL81">
    <cfRule type="expression" dxfId="1616" priority="2714">
      <formula>AK79&lt;0</formula>
    </cfRule>
    <cfRule type="colorScale" priority="2713">
      <colorScale>
        <cfvo type="min"/>
        <cfvo type="max"/>
        <color theme="0"/>
        <color theme="0"/>
      </colorScale>
    </cfRule>
  </conditionalFormatting>
  <conditionalFormatting sqref="AL82 AL67 AL92 AL103 AL107">
    <cfRule type="colorScale" priority="2710">
      <colorScale>
        <cfvo type="min"/>
        <cfvo type="max"/>
        <color theme="0"/>
        <color theme="0"/>
      </colorScale>
    </cfRule>
  </conditionalFormatting>
  <conditionalFormatting sqref="AL84">
    <cfRule type="expression" dxfId="1615" priority="2699">
      <formula>AK84&lt;0</formula>
    </cfRule>
    <cfRule type="colorScale" priority="2698">
      <colorScale>
        <cfvo type="min"/>
        <cfvo type="max"/>
        <color theme="0"/>
        <color theme="0"/>
      </colorScale>
    </cfRule>
  </conditionalFormatting>
  <conditionalFormatting sqref="AL84:AL91">
    <cfRule type="expression" priority="2696">
      <formula>#REF!</formula>
    </cfRule>
  </conditionalFormatting>
  <conditionalFormatting sqref="AL84:AL92">
    <cfRule type="expression" dxfId="1614" priority="2694">
      <formula>IF(AL84="Validar","Rojo","Verde")</formula>
    </cfRule>
  </conditionalFormatting>
  <conditionalFormatting sqref="AL85:AL91">
    <cfRule type="expression" dxfId="1613" priority="2697">
      <formula>AK85&lt;0</formula>
    </cfRule>
    <cfRule type="colorScale" priority="2695">
      <colorScale>
        <cfvo type="min"/>
        <cfvo type="max"/>
        <color theme="0"/>
        <color theme="0"/>
      </colorScale>
    </cfRule>
  </conditionalFormatting>
  <conditionalFormatting sqref="AL94">
    <cfRule type="expression" dxfId="1612" priority="2693">
      <formula>AK94&lt;0</formula>
    </cfRule>
    <cfRule type="colorScale" priority="2692">
      <colorScale>
        <cfvo type="min"/>
        <cfvo type="max"/>
        <color theme="0"/>
        <color theme="0"/>
      </colorScale>
    </cfRule>
  </conditionalFormatting>
  <conditionalFormatting sqref="AL94:AL102">
    <cfRule type="expression" priority="2686">
      <formula>#REF!</formula>
    </cfRule>
  </conditionalFormatting>
  <conditionalFormatting sqref="AL94:AL103">
    <cfRule type="expression" dxfId="1611" priority="2684">
      <formula>IF(AL94="Validar","Rojo","Verde")</formula>
    </cfRule>
  </conditionalFormatting>
  <conditionalFormatting sqref="AL95:AL100">
    <cfRule type="colorScale" priority="2690">
      <colorScale>
        <cfvo type="min"/>
        <cfvo type="max"/>
        <color theme="0"/>
        <color theme="0"/>
      </colorScale>
    </cfRule>
    <cfRule type="expression" dxfId="1610" priority="2691">
      <formula>AK95&lt;0</formula>
    </cfRule>
  </conditionalFormatting>
  <conditionalFormatting sqref="AL101">
    <cfRule type="expression" dxfId="1609" priority="2689">
      <formula>AK101&lt;0</formula>
    </cfRule>
    <cfRule type="colorScale" priority="2688">
      <colorScale>
        <cfvo type="min"/>
        <cfvo type="max"/>
        <color theme="0"/>
        <color theme="0"/>
      </colorScale>
    </cfRule>
  </conditionalFormatting>
  <conditionalFormatting sqref="AL102">
    <cfRule type="expression" dxfId="1608" priority="2687">
      <formula>AK102&lt;0</formula>
    </cfRule>
    <cfRule type="colorScale" priority="2685">
      <colorScale>
        <cfvo type="min"/>
        <cfvo type="max"/>
        <color theme="0"/>
        <color theme="0"/>
      </colorScale>
    </cfRule>
  </conditionalFormatting>
  <conditionalFormatting sqref="AL105">
    <cfRule type="expression" dxfId="1607" priority="2683">
      <formula>AK105&lt;0</formula>
    </cfRule>
    <cfRule type="colorScale" priority="2682">
      <colorScale>
        <cfvo type="min"/>
        <cfvo type="max"/>
        <color theme="0"/>
        <color theme="0"/>
      </colorScale>
    </cfRule>
  </conditionalFormatting>
  <conditionalFormatting sqref="AL105:AL106">
    <cfRule type="expression" priority="2680">
      <formula>#REF!</formula>
    </cfRule>
  </conditionalFormatting>
  <conditionalFormatting sqref="AL105:AL107">
    <cfRule type="expression" dxfId="1606" priority="2678">
      <formula>IF(AL105="Validar","Rojo","Verde")</formula>
    </cfRule>
  </conditionalFormatting>
  <conditionalFormatting sqref="AL106">
    <cfRule type="expression" dxfId="1605" priority="2681">
      <formula>AK106&lt;0</formula>
    </cfRule>
    <cfRule type="colorScale" priority="2679">
      <colorScale>
        <cfvo type="min"/>
        <cfvo type="max"/>
        <color theme="0"/>
        <color theme="0"/>
      </colorScale>
    </cfRule>
  </conditionalFormatting>
  <conditionalFormatting sqref="AL110">
    <cfRule type="colorScale" priority="2670">
      <colorScale>
        <cfvo type="min"/>
        <cfvo type="max"/>
        <color theme="0"/>
        <color theme="0"/>
      </colorScale>
    </cfRule>
    <cfRule type="expression" dxfId="1604" priority="2671">
      <formula>AK110&lt;0</formula>
    </cfRule>
  </conditionalFormatting>
  <conditionalFormatting sqref="AL110:AL111">
    <cfRule type="expression" priority="2661">
      <formula>#REF!</formula>
    </cfRule>
  </conditionalFormatting>
  <conditionalFormatting sqref="AL111">
    <cfRule type="expression" dxfId="1603" priority="2662">
      <formula>AK111&lt;0</formula>
    </cfRule>
    <cfRule type="colorScale" priority="2660">
      <colorScale>
        <cfvo type="min"/>
        <cfvo type="max"/>
        <color theme="0"/>
        <color theme="0"/>
      </colorScale>
    </cfRule>
  </conditionalFormatting>
  <conditionalFormatting sqref="AL117">
    <cfRule type="expression" dxfId="1602" priority="2677">
      <formula>AK117&lt;0</formula>
    </cfRule>
    <cfRule type="colorScale" priority="2676">
      <colorScale>
        <cfvo type="min"/>
        <cfvo type="max"/>
        <color theme="0"/>
        <color theme="0"/>
      </colorScale>
    </cfRule>
  </conditionalFormatting>
  <conditionalFormatting sqref="AL117:AL123">
    <cfRule type="expression" priority="2674">
      <formula>#REF!</formula>
    </cfRule>
  </conditionalFormatting>
  <conditionalFormatting sqref="AL118:AL123">
    <cfRule type="colorScale" priority="2673">
      <colorScale>
        <cfvo type="min"/>
        <cfvo type="max"/>
        <color theme="0"/>
        <color theme="0"/>
      </colorScale>
    </cfRule>
    <cfRule type="expression" dxfId="1601" priority="2675">
      <formula>AK118&lt;0</formula>
    </cfRule>
  </conditionalFormatting>
  <conditionalFormatting sqref="AL126:AL135">
    <cfRule type="expression" dxfId="1600" priority="2800">
      <formula>AK126&lt;0</formula>
    </cfRule>
    <cfRule type="expression" priority="2799">
      <formula>$F$23</formula>
    </cfRule>
    <cfRule type="expression" dxfId="1599" priority="2797">
      <formula>IF(AL126="Validar","Rojo","Verde")</formula>
    </cfRule>
    <cfRule type="colorScale" priority="2798">
      <colorScale>
        <cfvo type="min"/>
        <cfvo type="max"/>
        <color theme="0"/>
        <color theme="0"/>
      </colorScale>
    </cfRule>
  </conditionalFormatting>
  <conditionalFormatting sqref="AN5 AN9">
    <cfRule type="colorScale" priority="2618">
      <colorScale>
        <cfvo type="min"/>
        <cfvo type="max"/>
        <color theme="0"/>
        <color theme="0"/>
      </colorScale>
    </cfRule>
    <cfRule type="expression" dxfId="1598" priority="2619">
      <formula>AM5&lt;0</formula>
    </cfRule>
  </conditionalFormatting>
  <conditionalFormatting sqref="AN5:AN20">
    <cfRule type="expression" priority="2502">
      <formula>#REF!</formula>
    </cfRule>
    <cfRule type="expression" dxfId="1597" priority="2501">
      <formula>IF(AN5="Validar","Rojo","Verde")</formula>
    </cfRule>
  </conditionalFormatting>
  <conditionalFormatting sqref="AN6">
    <cfRule type="colorScale" priority="2507">
      <colorScale>
        <cfvo type="min"/>
        <cfvo type="max"/>
        <color theme="0"/>
        <color theme="0"/>
      </colorScale>
    </cfRule>
    <cfRule type="expression" dxfId="1596" priority="2508">
      <formula>AM6&lt;0</formula>
    </cfRule>
  </conditionalFormatting>
  <conditionalFormatting sqref="AN7:AN8">
    <cfRule type="expression" dxfId="1595" priority="2504">
      <formula>AM7&lt;0</formula>
    </cfRule>
    <cfRule type="colorScale" priority="2503">
      <colorScale>
        <cfvo type="min"/>
        <cfvo type="max"/>
        <color theme="0"/>
        <color theme="0"/>
      </colorScale>
    </cfRule>
  </conditionalFormatting>
  <conditionalFormatting sqref="AN10">
    <cfRule type="expression" dxfId="1594" priority="2596">
      <formula>AM10&lt;0</formula>
    </cfRule>
    <cfRule type="colorScale" priority="2595">
      <colorScale>
        <cfvo type="min"/>
        <cfvo type="max"/>
        <color theme="0"/>
        <color theme="0"/>
      </colorScale>
    </cfRule>
  </conditionalFormatting>
  <conditionalFormatting sqref="AN11:AN14">
    <cfRule type="expression" dxfId="1593" priority="2617">
      <formula>AM11&lt;0</formula>
    </cfRule>
    <cfRule type="colorScale" priority="2616">
      <colorScale>
        <cfvo type="min"/>
        <cfvo type="max"/>
        <color theme="0"/>
        <color theme="0"/>
      </colorScale>
    </cfRule>
  </conditionalFormatting>
  <conditionalFormatting sqref="AN15">
    <cfRule type="expression" dxfId="1592" priority="2594">
      <formula>AM15&lt;0</formula>
    </cfRule>
    <cfRule type="colorScale" priority="2593">
      <colorScale>
        <cfvo type="min"/>
        <cfvo type="max"/>
        <color theme="0"/>
        <color theme="0"/>
      </colorScale>
    </cfRule>
  </conditionalFormatting>
  <conditionalFormatting sqref="AN16:AN17">
    <cfRule type="colorScale" priority="2614">
      <colorScale>
        <cfvo type="min"/>
        <cfvo type="max"/>
        <color theme="0"/>
        <color theme="0"/>
      </colorScale>
    </cfRule>
    <cfRule type="expression" dxfId="1591" priority="2615">
      <formula>AM16&lt;0</formula>
    </cfRule>
  </conditionalFormatting>
  <conditionalFormatting sqref="AN18">
    <cfRule type="expression" dxfId="1590" priority="2592">
      <formula>AM18&lt;0</formula>
    </cfRule>
    <cfRule type="colorScale" priority="2590">
      <colorScale>
        <cfvo type="min"/>
        <cfvo type="max"/>
        <color theme="0"/>
        <color theme="0"/>
      </colorScale>
    </cfRule>
  </conditionalFormatting>
  <conditionalFormatting sqref="AN19:AN20">
    <cfRule type="colorScale" priority="2612">
      <colorScale>
        <cfvo type="min"/>
        <cfvo type="max"/>
        <color theme="0"/>
        <color theme="0"/>
      </colorScale>
    </cfRule>
    <cfRule type="expression" dxfId="1589" priority="2613">
      <formula>AM19&lt;0</formula>
    </cfRule>
  </conditionalFormatting>
  <conditionalFormatting sqref="AN23">
    <cfRule type="expression" dxfId="1588" priority="2588">
      <formula>AM23&lt;0</formula>
    </cfRule>
    <cfRule type="colorScale" priority="2587">
      <colorScale>
        <cfvo type="min"/>
        <cfvo type="max"/>
        <color theme="0"/>
        <color theme="0"/>
      </colorScale>
    </cfRule>
  </conditionalFormatting>
  <conditionalFormatting sqref="AN23:AN31">
    <cfRule type="expression" priority="2583">
      <formula>#REF!</formula>
    </cfRule>
    <cfRule type="expression" dxfId="1587" priority="2581">
      <formula>IF(AN23="Validar","Rojo","Verde")</formula>
    </cfRule>
  </conditionalFormatting>
  <conditionalFormatting sqref="AN24">
    <cfRule type="colorScale" priority="2610">
      <colorScale>
        <cfvo type="min"/>
        <cfvo type="max"/>
        <color theme="0"/>
        <color theme="0"/>
      </colorScale>
    </cfRule>
    <cfRule type="expression" dxfId="1586" priority="2611">
      <formula>AM24&lt;0</formula>
    </cfRule>
  </conditionalFormatting>
  <conditionalFormatting sqref="AN25">
    <cfRule type="colorScale" priority="2608">
      <colorScale>
        <cfvo type="min"/>
        <cfvo type="max"/>
        <color theme="0"/>
        <color theme="0"/>
      </colorScale>
    </cfRule>
    <cfRule type="expression" dxfId="1585" priority="2609">
      <formula>AM25&lt;0</formula>
    </cfRule>
  </conditionalFormatting>
  <conditionalFormatting sqref="AN26">
    <cfRule type="expression" dxfId="1584" priority="2586">
      <formula>AM26&lt;0</formula>
    </cfRule>
    <cfRule type="colorScale" priority="2585">
      <colorScale>
        <cfvo type="min"/>
        <cfvo type="max"/>
        <color theme="0"/>
        <color theme="0"/>
      </colorScale>
    </cfRule>
  </conditionalFormatting>
  <conditionalFormatting sqref="AN27">
    <cfRule type="colorScale" priority="2606">
      <colorScale>
        <cfvo type="min"/>
        <cfvo type="max"/>
        <color theme="0"/>
        <color theme="0"/>
      </colorScale>
    </cfRule>
    <cfRule type="expression" dxfId="1583" priority="2607">
      <formula>AM27&lt;0</formula>
    </cfRule>
  </conditionalFormatting>
  <conditionalFormatting sqref="AN28">
    <cfRule type="expression" dxfId="1582" priority="2605">
      <formula>AM28&lt;0</formula>
    </cfRule>
    <cfRule type="colorScale" priority="2604">
      <colorScale>
        <cfvo type="min"/>
        <cfvo type="max"/>
        <color theme="0"/>
        <color theme="0"/>
      </colorScale>
    </cfRule>
  </conditionalFormatting>
  <conditionalFormatting sqref="AN29">
    <cfRule type="expression" dxfId="1581" priority="2584">
      <formula>AM29&lt;0</formula>
    </cfRule>
    <cfRule type="colorScale" priority="2582">
      <colorScale>
        <cfvo type="min"/>
        <cfvo type="max"/>
        <color theme="0"/>
        <color theme="0"/>
      </colorScale>
    </cfRule>
  </conditionalFormatting>
  <conditionalFormatting sqref="AN30">
    <cfRule type="colorScale" priority="2602">
      <colorScale>
        <cfvo type="min"/>
        <cfvo type="max"/>
        <color theme="0"/>
        <color theme="0"/>
      </colorScale>
    </cfRule>
    <cfRule type="expression" dxfId="1580" priority="2603">
      <formula>AM30&lt;0</formula>
    </cfRule>
  </conditionalFormatting>
  <conditionalFormatting sqref="AN31">
    <cfRule type="colorScale" priority="2600">
      <colorScale>
        <cfvo type="min"/>
        <cfvo type="max"/>
        <color theme="0"/>
        <color theme="0"/>
      </colorScale>
    </cfRule>
    <cfRule type="expression" dxfId="1579" priority="2601">
      <formula>AM31&lt;0</formula>
    </cfRule>
  </conditionalFormatting>
  <conditionalFormatting sqref="AN39">
    <cfRule type="expression" dxfId="1578" priority="2580">
      <formula>AM39&lt;0</formula>
    </cfRule>
    <cfRule type="colorScale" priority="2578">
      <colorScale>
        <cfvo type="min"/>
        <cfvo type="max"/>
        <color theme="0"/>
        <color theme="0"/>
      </colorScale>
    </cfRule>
    <cfRule type="expression" priority="2579">
      <formula>#REF!</formula>
    </cfRule>
  </conditionalFormatting>
  <conditionalFormatting sqref="AN39:AN107">
    <cfRule type="expression" dxfId="1577" priority="2516">
      <formula>IF(AN39="Validar","Rojo","Verde")</formula>
    </cfRule>
  </conditionalFormatting>
  <conditionalFormatting sqref="AN40:AN67">
    <cfRule type="colorScale" priority="2597">
      <colorScale>
        <cfvo type="min"/>
        <cfvo type="max"/>
        <color theme="0"/>
        <color theme="0"/>
      </colorScale>
    </cfRule>
    <cfRule type="expression" priority="2598">
      <formula>$F$19</formula>
    </cfRule>
    <cfRule type="expression" dxfId="1576" priority="2599">
      <formula>AM40&lt;0</formula>
    </cfRule>
  </conditionalFormatting>
  <conditionalFormatting sqref="AN68">
    <cfRule type="expression" dxfId="1575" priority="2577">
      <formula>AM68&lt;0</formula>
    </cfRule>
    <cfRule type="expression" priority="2576">
      <formula>#REF!</formula>
    </cfRule>
    <cfRule type="colorScale" priority="2575">
      <colorScale>
        <cfvo type="min"/>
        <cfvo type="max"/>
        <color theme="0"/>
        <color theme="0"/>
      </colorScale>
    </cfRule>
  </conditionalFormatting>
  <conditionalFormatting sqref="AN69:AN81">
    <cfRule type="expression" priority="2623">
      <formula>$F$19</formula>
    </cfRule>
    <cfRule type="colorScale" priority="2622">
      <colorScale>
        <cfvo type="min"/>
        <cfvo type="max"/>
        <color theme="0"/>
        <color theme="0"/>
      </colorScale>
    </cfRule>
    <cfRule type="expression" dxfId="1574" priority="2624">
      <formula>AM69&lt;0</formula>
    </cfRule>
  </conditionalFormatting>
  <conditionalFormatting sqref="AN82 AN92 AN103 AN107">
    <cfRule type="expression" dxfId="1573" priority="2621">
      <formula>AM82&lt;0</formula>
    </cfRule>
  </conditionalFormatting>
  <conditionalFormatting sqref="AN83">
    <cfRule type="colorScale" priority="2517">
      <colorScale>
        <cfvo type="min"/>
        <cfvo type="max"/>
        <color theme="0"/>
        <color theme="0"/>
      </colorScale>
    </cfRule>
    <cfRule type="expression" priority="2518">
      <formula>#REF!</formula>
    </cfRule>
    <cfRule type="expression" dxfId="1572" priority="2519">
      <formula>AM83&lt;0</formula>
    </cfRule>
  </conditionalFormatting>
  <conditionalFormatting sqref="AN84:AN91">
    <cfRule type="expression" priority="2626">
      <formula>$F$19</formula>
    </cfRule>
    <cfRule type="expression" dxfId="1571" priority="2627">
      <formula>AM84&lt;0</formula>
    </cfRule>
    <cfRule type="colorScale" priority="2625">
      <colorScale>
        <cfvo type="min"/>
        <cfvo type="max"/>
        <color theme="0"/>
        <color theme="0"/>
      </colorScale>
    </cfRule>
  </conditionalFormatting>
  <conditionalFormatting sqref="AN92 AN82 AN103 AN107">
    <cfRule type="colorScale" priority="2620">
      <colorScale>
        <cfvo type="min"/>
        <cfvo type="max"/>
        <color theme="0"/>
        <color theme="0"/>
      </colorScale>
    </cfRule>
  </conditionalFormatting>
  <conditionalFormatting sqref="AN93">
    <cfRule type="expression" dxfId="1570" priority="2574">
      <formula>AM93&lt;0</formula>
    </cfRule>
    <cfRule type="expression" priority="2573">
      <formula>#REF!</formula>
    </cfRule>
    <cfRule type="colorScale" priority="2572">
      <colorScale>
        <cfvo type="min"/>
        <cfvo type="max"/>
        <color theme="0"/>
        <color theme="0"/>
      </colorScale>
    </cfRule>
  </conditionalFormatting>
  <conditionalFormatting sqref="AN94:AN102">
    <cfRule type="expression" dxfId="1569" priority="2630">
      <formula>AM94&lt;0</formula>
    </cfRule>
    <cfRule type="expression" priority="2629">
      <formula>$F$19</formula>
    </cfRule>
    <cfRule type="colorScale" priority="2628">
      <colorScale>
        <cfvo type="min"/>
        <cfvo type="max"/>
        <color theme="0"/>
        <color theme="0"/>
      </colorScale>
    </cfRule>
  </conditionalFormatting>
  <conditionalFormatting sqref="AN104">
    <cfRule type="colorScale" priority="2569">
      <colorScale>
        <cfvo type="min"/>
        <cfvo type="max"/>
        <color theme="0"/>
        <color theme="0"/>
      </colorScale>
    </cfRule>
    <cfRule type="expression" priority="2570">
      <formula>#REF!</formula>
    </cfRule>
    <cfRule type="expression" dxfId="1568" priority="2571">
      <formula>AM104&lt;0</formula>
    </cfRule>
  </conditionalFormatting>
  <conditionalFormatting sqref="AN105:AN106">
    <cfRule type="expression" dxfId="1567" priority="2633">
      <formula>AM105&lt;0</formula>
    </cfRule>
    <cfRule type="expression" priority="2632">
      <formula>$F$19</formula>
    </cfRule>
    <cfRule type="colorScale" priority="2631">
      <colorScale>
        <cfvo type="min"/>
        <cfvo type="max"/>
        <color theme="0"/>
        <color theme="0"/>
      </colorScale>
    </cfRule>
  </conditionalFormatting>
  <conditionalFormatting sqref="AN110">
    <cfRule type="colorScale" priority="2634">
      <colorScale>
        <cfvo type="min"/>
        <cfvo type="max"/>
        <color theme="0"/>
        <color theme="0"/>
      </colorScale>
    </cfRule>
    <cfRule type="expression" dxfId="1566" priority="2635">
      <formula>AM110&lt;0</formula>
    </cfRule>
  </conditionalFormatting>
  <conditionalFormatting sqref="AN110:AN111">
    <cfRule type="expression" priority="2514">
      <formula>$F$19</formula>
    </cfRule>
  </conditionalFormatting>
  <conditionalFormatting sqref="AN111">
    <cfRule type="expression" dxfId="1565" priority="2515">
      <formula>AM111&lt;0</formula>
    </cfRule>
    <cfRule type="colorScale" priority="2513">
      <colorScale>
        <cfvo type="min"/>
        <cfvo type="max"/>
        <color theme="0"/>
        <color theme="0"/>
      </colorScale>
    </cfRule>
  </conditionalFormatting>
  <conditionalFormatting sqref="AN117:AN123">
    <cfRule type="expression" priority="2640">
      <formula>$F$19</formula>
    </cfRule>
    <cfRule type="colorScale" priority="2639">
      <colorScale>
        <cfvo type="min"/>
        <cfvo type="max"/>
        <color theme="0"/>
        <color theme="0"/>
      </colorScale>
    </cfRule>
    <cfRule type="expression" dxfId="1564" priority="2641">
      <formula>AM117&lt;0</formula>
    </cfRule>
  </conditionalFormatting>
  <conditionalFormatting sqref="AN125">
    <cfRule type="expression" dxfId="1563" priority="2568">
      <formula>AM125&lt;0</formula>
    </cfRule>
    <cfRule type="colorScale" priority="2566">
      <colorScale>
        <cfvo type="min"/>
        <cfvo type="max"/>
        <color theme="0"/>
        <color theme="0"/>
      </colorScale>
    </cfRule>
    <cfRule type="expression" priority="2567">
      <formula>#REF!</formula>
    </cfRule>
  </conditionalFormatting>
  <conditionalFormatting sqref="AN125:AN135">
    <cfRule type="expression" dxfId="1562" priority="2565">
      <formula>IF(AN125="Validar","Rojo","Verde")</formula>
    </cfRule>
  </conditionalFormatting>
  <conditionalFormatting sqref="AN126:AN132">
    <cfRule type="expression" dxfId="1561" priority="2644">
      <formula>AM126&lt;0</formula>
    </cfRule>
    <cfRule type="colorScale" priority="2642">
      <colorScale>
        <cfvo type="min"/>
        <cfvo type="max"/>
        <color theme="0"/>
        <color theme="0"/>
      </colorScale>
    </cfRule>
  </conditionalFormatting>
  <conditionalFormatting sqref="AN126:AN134">
    <cfRule type="expression" priority="2643">
      <formula>$F$19</formula>
    </cfRule>
  </conditionalFormatting>
  <conditionalFormatting sqref="AN133:AN134">
    <cfRule type="colorScale" priority="2645">
      <colorScale>
        <cfvo type="min"/>
        <cfvo type="max"/>
        <color theme="0"/>
        <color theme="0"/>
      </colorScale>
    </cfRule>
    <cfRule type="expression" dxfId="1560" priority="2646">
      <formula>AM133&lt;0</formula>
    </cfRule>
  </conditionalFormatting>
  <conditionalFormatting sqref="AN135">
    <cfRule type="colorScale" priority="2636">
      <colorScale>
        <cfvo type="min"/>
        <cfvo type="max"/>
        <color theme="0"/>
        <color theme="0"/>
      </colorScale>
    </cfRule>
    <cfRule type="expression" priority="2637">
      <formula>$F$23</formula>
    </cfRule>
    <cfRule type="expression" dxfId="1559" priority="2638">
      <formula>AM135&lt;0</formula>
    </cfRule>
  </conditionalFormatting>
  <conditionalFormatting sqref="AN110:AP111">
    <cfRule type="expression" dxfId="1558" priority="2509">
      <formula>IF(AN110="Validar","Rojo","Verde")</formula>
    </cfRule>
  </conditionalFormatting>
  <conditionalFormatting sqref="AN117:AP123">
    <cfRule type="expression" dxfId="1557" priority="2522">
      <formula>IF(AN117="Validar","Rojo","Verde")</formula>
    </cfRule>
  </conditionalFormatting>
  <conditionalFormatting sqref="AO40:AO66">
    <cfRule type="expression" priority="2558">
      <formula>#REF!</formula>
    </cfRule>
    <cfRule type="colorScale" priority="2557">
      <colorScale>
        <cfvo type="min"/>
        <cfvo type="max"/>
        <color theme="0"/>
        <color theme="0"/>
      </colorScale>
    </cfRule>
    <cfRule type="expression" dxfId="1556" priority="2559">
      <formula>AN40&lt;0</formula>
    </cfRule>
  </conditionalFormatting>
  <conditionalFormatting sqref="AO40:AO67">
    <cfRule type="expression" dxfId="1555" priority="2556">
      <formula>IF(AO40="Validar","Rojo","Verde")</formula>
    </cfRule>
  </conditionalFormatting>
  <conditionalFormatting sqref="AO67 AN82:AO82 AN92:AO92 AN103:AO103 AN107:AO107">
    <cfRule type="expression" priority="2561">
      <formula>$F$23</formula>
    </cfRule>
  </conditionalFormatting>
  <conditionalFormatting sqref="AO67 AO82 AO92 AO103 AO107">
    <cfRule type="expression" dxfId="1554" priority="2562">
      <formula>AN67&lt;0</formula>
    </cfRule>
  </conditionalFormatting>
  <conditionalFormatting sqref="AO69">
    <cfRule type="expression" dxfId="1553" priority="2555">
      <formula>AN69&lt;0</formula>
    </cfRule>
    <cfRule type="colorScale" priority="2554">
      <colorScale>
        <cfvo type="min"/>
        <cfvo type="max"/>
        <color theme="0"/>
        <color theme="0"/>
      </colorScale>
    </cfRule>
  </conditionalFormatting>
  <conditionalFormatting sqref="AO69:AO81">
    <cfRule type="expression" priority="2552">
      <formula>#REF!</formula>
    </cfRule>
  </conditionalFormatting>
  <conditionalFormatting sqref="AO69:AO82">
    <cfRule type="expression" dxfId="1552" priority="2550">
      <formula>IF(AO69="Validar","Rojo","Verde")</formula>
    </cfRule>
  </conditionalFormatting>
  <conditionalFormatting sqref="AO70:AO78">
    <cfRule type="expression" dxfId="1551" priority="2553">
      <formula>AN70&lt;0</formula>
    </cfRule>
    <cfRule type="colorScale" priority="2551">
      <colorScale>
        <cfvo type="min"/>
        <cfvo type="max"/>
        <color theme="0"/>
        <color theme="0"/>
      </colorScale>
    </cfRule>
  </conditionalFormatting>
  <conditionalFormatting sqref="AO79:AO81">
    <cfRule type="colorScale" priority="2563">
      <colorScale>
        <cfvo type="min"/>
        <cfvo type="max"/>
        <color theme="0"/>
        <color theme="0"/>
      </colorScale>
    </cfRule>
    <cfRule type="expression" dxfId="1550" priority="2564">
      <formula>AN79&lt;0</formula>
    </cfRule>
  </conditionalFormatting>
  <conditionalFormatting sqref="AO82 AO67 AO92 AO103 AO107">
    <cfRule type="colorScale" priority="2560">
      <colorScale>
        <cfvo type="min"/>
        <cfvo type="max"/>
        <color theme="0"/>
        <color theme="0"/>
      </colorScale>
    </cfRule>
  </conditionalFormatting>
  <conditionalFormatting sqref="AO84">
    <cfRule type="colorScale" priority="2548">
      <colorScale>
        <cfvo type="min"/>
        <cfvo type="max"/>
        <color theme="0"/>
        <color theme="0"/>
      </colorScale>
    </cfRule>
    <cfRule type="expression" dxfId="1549" priority="2549">
      <formula>AN84&lt;0</formula>
    </cfRule>
  </conditionalFormatting>
  <conditionalFormatting sqref="AO84:AO91">
    <cfRule type="expression" priority="2546">
      <formula>#REF!</formula>
    </cfRule>
  </conditionalFormatting>
  <conditionalFormatting sqref="AO84:AO92">
    <cfRule type="expression" dxfId="1548" priority="2544">
      <formula>IF(AO84="Validar","Rojo","Verde")</formula>
    </cfRule>
  </conditionalFormatting>
  <conditionalFormatting sqref="AO85:AO91">
    <cfRule type="expression" dxfId="1547" priority="2547">
      <formula>AN85&lt;0</formula>
    </cfRule>
    <cfRule type="colorScale" priority="2545">
      <colorScale>
        <cfvo type="min"/>
        <cfvo type="max"/>
        <color theme="0"/>
        <color theme="0"/>
      </colorScale>
    </cfRule>
  </conditionalFormatting>
  <conditionalFormatting sqref="AO94">
    <cfRule type="colorScale" priority="2542">
      <colorScale>
        <cfvo type="min"/>
        <cfvo type="max"/>
        <color theme="0"/>
        <color theme="0"/>
      </colorScale>
    </cfRule>
    <cfRule type="expression" dxfId="1546" priority="2543">
      <formula>AN94&lt;0</formula>
    </cfRule>
  </conditionalFormatting>
  <conditionalFormatting sqref="AO94:AO102">
    <cfRule type="expression" priority="2536">
      <formula>#REF!</formula>
    </cfRule>
  </conditionalFormatting>
  <conditionalFormatting sqref="AO94:AO103">
    <cfRule type="expression" dxfId="1545" priority="2534">
      <formula>IF(AO94="Validar","Rojo","Verde")</formula>
    </cfRule>
  </conditionalFormatting>
  <conditionalFormatting sqref="AO95:AO100">
    <cfRule type="colorScale" priority="2540">
      <colorScale>
        <cfvo type="min"/>
        <cfvo type="max"/>
        <color theme="0"/>
        <color theme="0"/>
      </colorScale>
    </cfRule>
    <cfRule type="expression" dxfId="1544" priority="2541">
      <formula>AN95&lt;0</formula>
    </cfRule>
  </conditionalFormatting>
  <conditionalFormatting sqref="AO101">
    <cfRule type="expression" dxfId="1543" priority="2539">
      <formula>AN101&lt;0</formula>
    </cfRule>
    <cfRule type="colorScale" priority="2538">
      <colorScale>
        <cfvo type="min"/>
        <cfvo type="max"/>
        <color theme="0"/>
        <color theme="0"/>
      </colorScale>
    </cfRule>
  </conditionalFormatting>
  <conditionalFormatting sqref="AO102">
    <cfRule type="expression" dxfId="1542" priority="2537">
      <formula>AN102&lt;0</formula>
    </cfRule>
    <cfRule type="colorScale" priority="2535">
      <colorScale>
        <cfvo type="min"/>
        <cfvo type="max"/>
        <color theme="0"/>
        <color theme="0"/>
      </colorScale>
    </cfRule>
  </conditionalFormatting>
  <conditionalFormatting sqref="AO105">
    <cfRule type="colorScale" priority="2532">
      <colorScale>
        <cfvo type="min"/>
        <cfvo type="max"/>
        <color theme="0"/>
        <color theme="0"/>
      </colorScale>
    </cfRule>
    <cfRule type="expression" dxfId="1541" priority="2533">
      <formula>AN105&lt;0</formula>
    </cfRule>
  </conditionalFormatting>
  <conditionalFormatting sqref="AO105:AO106">
    <cfRule type="expression" priority="2530">
      <formula>#REF!</formula>
    </cfRule>
  </conditionalFormatting>
  <conditionalFormatting sqref="AO105:AO107">
    <cfRule type="expression" dxfId="1540" priority="2528">
      <formula>IF(AO105="Validar","Rojo","Verde")</formula>
    </cfRule>
  </conditionalFormatting>
  <conditionalFormatting sqref="AO106">
    <cfRule type="expression" dxfId="1539" priority="2531">
      <formula>AN106&lt;0</formula>
    </cfRule>
    <cfRule type="colorScale" priority="2529">
      <colorScale>
        <cfvo type="min"/>
        <cfvo type="max"/>
        <color theme="0"/>
        <color theme="0"/>
      </colorScale>
    </cfRule>
  </conditionalFormatting>
  <conditionalFormatting sqref="AO110">
    <cfRule type="colorScale" priority="2520">
      <colorScale>
        <cfvo type="min"/>
        <cfvo type="max"/>
        <color theme="0"/>
        <color theme="0"/>
      </colorScale>
    </cfRule>
    <cfRule type="expression" dxfId="1538" priority="2521">
      <formula>AN110&lt;0</formula>
    </cfRule>
  </conditionalFormatting>
  <conditionalFormatting sqref="AO111">
    <cfRule type="colorScale" priority="2510">
      <colorScale>
        <cfvo type="min"/>
        <cfvo type="max"/>
        <color theme="0"/>
        <color theme="0"/>
      </colorScale>
    </cfRule>
    <cfRule type="expression" dxfId="1537" priority="2512">
      <formula>AN111&lt;0</formula>
    </cfRule>
  </conditionalFormatting>
  <conditionalFormatting sqref="AO117">
    <cfRule type="colorScale" priority="2526">
      <colorScale>
        <cfvo type="min"/>
        <cfvo type="max"/>
        <color theme="0"/>
        <color theme="0"/>
      </colorScale>
    </cfRule>
    <cfRule type="expression" dxfId="1536" priority="2527">
      <formula>AN117&lt;0</formula>
    </cfRule>
  </conditionalFormatting>
  <conditionalFormatting sqref="AO118:AO123">
    <cfRule type="colorScale" priority="2523">
      <colorScale>
        <cfvo type="min"/>
        <cfvo type="max"/>
        <color theme="0"/>
        <color theme="0"/>
      </colorScale>
    </cfRule>
    <cfRule type="expression" dxfId="1535" priority="2525">
      <formula>AN118&lt;0</formula>
    </cfRule>
  </conditionalFormatting>
  <conditionalFormatting sqref="AO126:AO135">
    <cfRule type="expression" dxfId="1534" priority="2647">
      <formula>IF(AO126="Validar","Rojo","Verde")</formula>
    </cfRule>
    <cfRule type="colorScale" priority="2648">
      <colorScale>
        <cfvo type="min"/>
        <cfvo type="max"/>
        <color theme="0"/>
        <color theme="0"/>
      </colorScale>
    </cfRule>
    <cfRule type="expression" priority="2649">
      <formula>$F$23</formula>
    </cfRule>
    <cfRule type="expression" dxfId="1533" priority="2650">
      <formula>AN126&lt;0</formula>
    </cfRule>
  </conditionalFormatting>
  <conditionalFormatting sqref="AO110:AP111">
    <cfRule type="expression" priority="2511">
      <formula>#REF!</formula>
    </cfRule>
  </conditionalFormatting>
  <conditionalFormatting sqref="AO117:AP123">
    <cfRule type="expression" priority="2524">
      <formula>#REF!</formula>
    </cfRule>
  </conditionalFormatting>
  <conditionalFormatting sqref="AP5">
    <cfRule type="colorScale" priority="4547">
      <colorScale>
        <cfvo type="min"/>
        <cfvo type="max"/>
        <color theme="0"/>
        <color theme="0"/>
      </colorScale>
    </cfRule>
    <cfRule type="expression" dxfId="1532" priority="4548">
      <formula>AO5&lt;0</formula>
    </cfRule>
  </conditionalFormatting>
  <conditionalFormatting sqref="AP5:AP16">
    <cfRule type="expression" dxfId="1531" priority="4519">
      <formula>IF(AP5="Validar","Rojo","Verde")</formula>
    </cfRule>
    <cfRule type="expression" priority="4521">
      <formula>#REF!</formula>
    </cfRule>
  </conditionalFormatting>
  <conditionalFormatting sqref="AP6:AP9">
    <cfRule type="colorScale" priority="4555">
      <colorScale>
        <cfvo type="min"/>
        <cfvo type="max"/>
        <color theme="0"/>
        <color theme="0"/>
      </colorScale>
    </cfRule>
    <cfRule type="expression" dxfId="1530" priority="4556">
      <formula>AO6&lt;0</formula>
    </cfRule>
  </conditionalFormatting>
  <conditionalFormatting sqref="AP10">
    <cfRule type="colorScale" priority="4523">
      <colorScale>
        <cfvo type="min"/>
        <cfvo type="max"/>
        <color theme="0"/>
        <color theme="0"/>
      </colorScale>
    </cfRule>
    <cfRule type="expression" dxfId="1529" priority="4524">
      <formula>AO10&lt;0</formula>
    </cfRule>
  </conditionalFormatting>
  <conditionalFormatting sqref="AP11:AP14">
    <cfRule type="colorScale" priority="4553">
      <colorScale>
        <cfvo type="min"/>
        <cfvo type="max"/>
        <color theme="0"/>
        <color theme="0"/>
      </colorScale>
    </cfRule>
    <cfRule type="expression" dxfId="1528" priority="4554">
      <formula>AO11&lt;0</formula>
    </cfRule>
  </conditionalFormatting>
  <conditionalFormatting sqref="AP15">
    <cfRule type="colorScale" priority="4520">
      <colorScale>
        <cfvo type="min"/>
        <cfvo type="max"/>
        <color theme="0"/>
        <color theme="0"/>
      </colorScale>
    </cfRule>
    <cfRule type="expression" dxfId="1527" priority="4522">
      <formula>AO15&lt;0</formula>
    </cfRule>
  </conditionalFormatting>
  <conditionalFormatting sqref="AP16">
    <cfRule type="colorScale" priority="4551">
      <colorScale>
        <cfvo type="min"/>
        <cfvo type="max"/>
        <color theme="0"/>
        <color theme="0"/>
      </colorScale>
    </cfRule>
    <cfRule type="expression" dxfId="1526" priority="4552">
      <formula>AO16&lt;0</formula>
    </cfRule>
  </conditionalFormatting>
  <conditionalFormatting sqref="AP18">
    <cfRule type="colorScale" priority="4516">
      <colorScale>
        <cfvo type="min"/>
        <cfvo type="max"/>
        <color theme="0"/>
        <color theme="0"/>
      </colorScale>
    </cfRule>
    <cfRule type="expression" dxfId="1525" priority="4518">
      <formula>AO18&lt;0</formula>
    </cfRule>
  </conditionalFormatting>
  <conditionalFormatting sqref="AP18:AP19">
    <cfRule type="expression" priority="4517">
      <formula>#REF!</formula>
    </cfRule>
    <cfRule type="expression" dxfId="1524" priority="4515">
      <formula>IF(AP18="Validar","Rojo","Verde")</formula>
    </cfRule>
  </conditionalFormatting>
  <conditionalFormatting sqref="AP19">
    <cfRule type="expression" dxfId="1523" priority="4550">
      <formula>AO19&lt;0</formula>
    </cfRule>
    <cfRule type="colorScale" priority="4549">
      <colorScale>
        <cfvo type="min"/>
        <cfvo type="max"/>
        <color theme="0"/>
        <color theme="0"/>
      </colorScale>
    </cfRule>
  </conditionalFormatting>
  <conditionalFormatting sqref="AP23">
    <cfRule type="expression" dxfId="1522" priority="4514">
      <formula>AO23&lt;0</formula>
    </cfRule>
    <cfRule type="colorScale" priority="4512">
      <colorScale>
        <cfvo type="min"/>
        <cfvo type="max"/>
        <color theme="0"/>
        <color theme="0"/>
      </colorScale>
    </cfRule>
  </conditionalFormatting>
  <conditionalFormatting sqref="AP23:AP24">
    <cfRule type="expression" priority="4513">
      <formula>#REF!</formula>
    </cfRule>
    <cfRule type="expression" dxfId="1521" priority="4511">
      <formula>IF(AP23="Validar","Rojo","Verde")</formula>
    </cfRule>
  </conditionalFormatting>
  <conditionalFormatting sqref="AP24">
    <cfRule type="expression" dxfId="1520" priority="4546">
      <formula>AO24&lt;0</formula>
    </cfRule>
    <cfRule type="colorScale" priority="4545">
      <colorScale>
        <cfvo type="min"/>
        <cfvo type="max"/>
        <color theme="0"/>
        <color theme="0"/>
      </colorScale>
    </cfRule>
  </conditionalFormatting>
  <conditionalFormatting sqref="AP26">
    <cfRule type="colorScale" priority="4508">
      <colorScale>
        <cfvo type="min"/>
        <cfvo type="max"/>
        <color theme="0"/>
        <color theme="0"/>
      </colorScale>
    </cfRule>
    <cfRule type="expression" dxfId="1519" priority="4510">
      <formula>AO26&lt;0</formula>
    </cfRule>
  </conditionalFormatting>
  <conditionalFormatting sqref="AP26:AP27">
    <cfRule type="expression" dxfId="1518" priority="4507">
      <formula>IF(AP26="Validar","Rojo","Verde")</formula>
    </cfRule>
    <cfRule type="expression" priority="4509">
      <formula>#REF!</formula>
    </cfRule>
  </conditionalFormatting>
  <conditionalFormatting sqref="AP27">
    <cfRule type="colorScale" priority="4543">
      <colorScale>
        <cfvo type="min"/>
        <cfvo type="max"/>
        <color theme="0"/>
        <color theme="0"/>
      </colorScale>
    </cfRule>
    <cfRule type="expression" dxfId="1517" priority="4544">
      <formula>AO27&lt;0</formula>
    </cfRule>
  </conditionalFormatting>
  <conditionalFormatting sqref="AP29">
    <cfRule type="expression" dxfId="1516" priority="4506">
      <formula>AO29&lt;0</formula>
    </cfRule>
    <cfRule type="colorScale" priority="4504">
      <colorScale>
        <cfvo type="min"/>
        <cfvo type="max"/>
        <color theme="0"/>
        <color theme="0"/>
      </colorScale>
    </cfRule>
  </conditionalFormatting>
  <conditionalFormatting sqref="AP29:AP30">
    <cfRule type="expression" priority="4505">
      <formula>#REF!</formula>
    </cfRule>
    <cfRule type="expression" dxfId="1515" priority="4503">
      <formula>IF(AP29="Validar","Rojo","Verde")</formula>
    </cfRule>
  </conditionalFormatting>
  <conditionalFormatting sqref="AP30">
    <cfRule type="expression" dxfId="1514" priority="4542">
      <formula>AO30&lt;0</formula>
    </cfRule>
    <cfRule type="colorScale" priority="4541">
      <colorScale>
        <cfvo type="min"/>
        <cfvo type="max"/>
        <color theme="0"/>
        <color theme="0"/>
      </colorScale>
    </cfRule>
  </conditionalFormatting>
  <conditionalFormatting sqref="AP39">
    <cfRule type="expression" dxfId="1513" priority="4502">
      <formula>AO39&lt;0</formula>
    </cfRule>
    <cfRule type="colorScale" priority="4500">
      <colorScale>
        <cfvo type="min"/>
        <cfvo type="max"/>
        <color theme="0"/>
        <color theme="0"/>
      </colorScale>
    </cfRule>
  </conditionalFormatting>
  <conditionalFormatting sqref="AP39:AP66">
    <cfRule type="expression" priority="4501">
      <formula>#REF!</formula>
    </cfRule>
    <cfRule type="expression" dxfId="1512" priority="4499">
      <formula>IF(AP39="Validar","Rojo","Verde")</formula>
    </cfRule>
  </conditionalFormatting>
  <conditionalFormatting sqref="AP40:AP66">
    <cfRule type="colorScale" priority="4539">
      <colorScale>
        <cfvo type="min"/>
        <cfvo type="max"/>
        <color theme="0"/>
        <color theme="0"/>
      </colorScale>
    </cfRule>
    <cfRule type="expression" dxfId="1511" priority="4540">
      <formula>AO40&lt;0</formula>
    </cfRule>
  </conditionalFormatting>
  <conditionalFormatting sqref="AP68">
    <cfRule type="expression" dxfId="1510" priority="4498">
      <formula>AO68&lt;0</formula>
    </cfRule>
    <cfRule type="colorScale" priority="4496">
      <colorScale>
        <cfvo type="min"/>
        <cfvo type="max"/>
        <color theme="0"/>
        <color theme="0"/>
      </colorScale>
    </cfRule>
  </conditionalFormatting>
  <conditionalFormatting sqref="AP68:AP81">
    <cfRule type="expression" priority="4497">
      <formula>#REF!</formula>
    </cfRule>
    <cfRule type="expression" dxfId="1509" priority="4495">
      <formula>IF(AP68="Validar","Rojo","Verde")</formula>
    </cfRule>
  </conditionalFormatting>
  <conditionalFormatting sqref="AP69:AP81">
    <cfRule type="colorScale" priority="4557">
      <colorScale>
        <cfvo type="min"/>
        <cfvo type="max"/>
        <color theme="0"/>
        <color theme="0"/>
      </colorScale>
    </cfRule>
    <cfRule type="expression" dxfId="1508" priority="4558">
      <formula>AO69&lt;0</formula>
    </cfRule>
  </conditionalFormatting>
  <conditionalFormatting sqref="AP83">
    <cfRule type="colorScale" priority="4479">
      <colorScale>
        <cfvo type="min"/>
        <cfvo type="max"/>
        <color theme="0"/>
        <color theme="0"/>
      </colorScale>
    </cfRule>
    <cfRule type="expression" dxfId="1507" priority="4481">
      <formula>AO83&lt;0</formula>
    </cfRule>
  </conditionalFormatting>
  <conditionalFormatting sqref="AP83:AP91">
    <cfRule type="expression" priority="4480">
      <formula>#REF!</formula>
    </cfRule>
    <cfRule type="expression" dxfId="1506" priority="4478">
      <formula>IF(AP83="Validar","Rojo","Verde")</formula>
    </cfRule>
  </conditionalFormatting>
  <conditionalFormatting sqref="AP84:AP91">
    <cfRule type="colorScale" priority="4537">
      <colorScale>
        <cfvo type="min"/>
        <cfvo type="max"/>
        <color theme="0"/>
        <color theme="0"/>
      </colorScale>
    </cfRule>
    <cfRule type="expression" dxfId="1505" priority="4538">
      <formula>AO84&lt;0</formula>
    </cfRule>
  </conditionalFormatting>
  <conditionalFormatting sqref="AP93">
    <cfRule type="colorScale" priority="4492">
      <colorScale>
        <cfvo type="min"/>
        <cfvo type="max"/>
        <color theme="0"/>
        <color theme="0"/>
      </colorScale>
    </cfRule>
    <cfRule type="expression" dxfId="1504" priority="4494">
      <formula>AO93&lt;0</formula>
    </cfRule>
  </conditionalFormatting>
  <conditionalFormatting sqref="AP93:AP102">
    <cfRule type="expression" dxfId="1503" priority="4491">
      <formula>IF(AP93="Validar","Rojo","Verde")</formula>
    </cfRule>
    <cfRule type="expression" priority="4493">
      <formula>#REF!</formula>
    </cfRule>
  </conditionalFormatting>
  <conditionalFormatting sqref="AP94:AP102">
    <cfRule type="colorScale" priority="4535">
      <colorScale>
        <cfvo type="min"/>
        <cfvo type="max"/>
        <color theme="0"/>
        <color theme="0"/>
      </colorScale>
    </cfRule>
    <cfRule type="expression" dxfId="1502" priority="4536">
      <formula>AO94&lt;0</formula>
    </cfRule>
  </conditionalFormatting>
  <conditionalFormatting sqref="AP104">
    <cfRule type="expression" dxfId="1501" priority="4490">
      <formula>AO104&lt;0</formula>
    </cfRule>
    <cfRule type="colorScale" priority="4488">
      <colorScale>
        <cfvo type="min"/>
        <cfvo type="max"/>
        <color theme="0"/>
        <color theme="0"/>
      </colorScale>
    </cfRule>
  </conditionalFormatting>
  <conditionalFormatting sqref="AP104:AP106">
    <cfRule type="expression" priority="4489">
      <formula>#REF!</formula>
    </cfRule>
    <cfRule type="expression" dxfId="1500" priority="4487">
      <formula>IF(AP104="Validar","Rojo","Verde")</formula>
    </cfRule>
  </conditionalFormatting>
  <conditionalFormatting sqref="AP105:AP106">
    <cfRule type="expression" dxfId="1499" priority="4534">
      <formula>AO105&lt;0</formula>
    </cfRule>
    <cfRule type="colorScale" priority="4533">
      <colorScale>
        <cfvo type="min"/>
        <cfvo type="max"/>
        <color theme="0"/>
        <color theme="0"/>
      </colorScale>
    </cfRule>
  </conditionalFormatting>
  <conditionalFormatting sqref="AP110">
    <cfRule type="expression" dxfId="1498" priority="4532">
      <formula>AO110&lt;0</formula>
    </cfRule>
    <cfRule type="colorScale" priority="4531">
      <colorScale>
        <cfvo type="min"/>
        <cfvo type="max"/>
        <color theme="0"/>
        <color theme="0"/>
      </colorScale>
    </cfRule>
  </conditionalFormatting>
  <conditionalFormatting sqref="AP111">
    <cfRule type="colorScale" priority="4472">
      <colorScale>
        <cfvo type="min"/>
        <cfvo type="max"/>
        <color theme="0"/>
        <color theme="0"/>
      </colorScale>
    </cfRule>
    <cfRule type="expression" dxfId="1497" priority="4474">
      <formula>AO111&lt;0</formula>
    </cfRule>
  </conditionalFormatting>
  <conditionalFormatting sqref="AP117:AP123">
    <cfRule type="colorScale" priority="4528">
      <colorScale>
        <cfvo type="min"/>
        <cfvo type="max"/>
        <color theme="0"/>
        <color theme="0"/>
      </colorScale>
    </cfRule>
    <cfRule type="expression" dxfId="1496" priority="4530">
      <formula>AO117&lt;0</formula>
    </cfRule>
  </conditionalFormatting>
  <conditionalFormatting sqref="AP125">
    <cfRule type="colorScale" priority="4484">
      <colorScale>
        <cfvo type="min"/>
        <cfvo type="max"/>
        <color theme="0"/>
        <color theme="0"/>
      </colorScale>
    </cfRule>
    <cfRule type="expression" dxfId="1495" priority="4486">
      <formula>AO125&lt;0</formula>
    </cfRule>
  </conditionalFormatting>
  <conditionalFormatting sqref="AP125:AP134">
    <cfRule type="expression" priority="4485">
      <formula>#REF!</formula>
    </cfRule>
    <cfRule type="expression" dxfId="1494" priority="4483">
      <formula>IF(AP125="Validar","Rojo","Verde")</formula>
    </cfRule>
  </conditionalFormatting>
  <conditionalFormatting sqref="AP126:AP134">
    <cfRule type="expression" dxfId="1493" priority="4526">
      <formula>AO126&lt;0</formula>
    </cfRule>
    <cfRule type="colorScale" priority="4525">
      <colorScale>
        <cfvo type="min"/>
        <cfvo type="max"/>
        <color theme="0"/>
        <color theme="0"/>
      </colorScale>
    </cfRule>
  </conditionalFormatting>
  <conditionalFormatting sqref="AR5 AR9">
    <cfRule type="expression" dxfId="1492" priority="2469">
      <formula>AQ5&lt;0</formula>
    </cfRule>
  </conditionalFormatting>
  <conditionalFormatting sqref="AR5:AR20">
    <cfRule type="expression" priority="2352">
      <formula>#REF!</formula>
    </cfRule>
    <cfRule type="expression" dxfId="1491" priority="2351">
      <formula>IF(AR5="Validar","Rojo","Verde")</formula>
    </cfRule>
  </conditionalFormatting>
  <conditionalFormatting sqref="AR6">
    <cfRule type="expression" dxfId="1490" priority="2358">
      <formula>AQ6&lt;0</formula>
    </cfRule>
    <cfRule type="colorScale" priority="2357">
      <colorScale>
        <cfvo type="min"/>
        <cfvo type="max"/>
        <color theme="0"/>
        <color theme="0"/>
      </colorScale>
    </cfRule>
  </conditionalFormatting>
  <conditionalFormatting sqref="AR7:AR8">
    <cfRule type="colorScale" priority="2353">
      <colorScale>
        <cfvo type="min"/>
        <cfvo type="max"/>
        <color theme="0"/>
        <color theme="0"/>
      </colorScale>
    </cfRule>
    <cfRule type="expression" dxfId="1489" priority="2354">
      <formula>AQ7&lt;0</formula>
    </cfRule>
  </conditionalFormatting>
  <conditionalFormatting sqref="AR9 AR5">
    <cfRule type="colorScale" priority="2468">
      <colorScale>
        <cfvo type="min"/>
        <cfvo type="max"/>
        <color theme="0"/>
        <color theme="0"/>
      </colorScale>
    </cfRule>
  </conditionalFormatting>
  <conditionalFormatting sqref="AR10">
    <cfRule type="expression" dxfId="1488" priority="2446">
      <formula>AQ10&lt;0</formula>
    </cfRule>
    <cfRule type="colorScale" priority="2445">
      <colorScale>
        <cfvo type="min"/>
        <cfvo type="max"/>
        <color theme="0"/>
        <color theme="0"/>
      </colorScale>
    </cfRule>
  </conditionalFormatting>
  <conditionalFormatting sqref="AR11:AR14">
    <cfRule type="colorScale" priority="2466">
      <colorScale>
        <cfvo type="min"/>
        <cfvo type="max"/>
        <color theme="0"/>
        <color theme="0"/>
      </colorScale>
    </cfRule>
    <cfRule type="expression" dxfId="1487" priority="2467">
      <formula>AQ11&lt;0</formula>
    </cfRule>
  </conditionalFormatting>
  <conditionalFormatting sqref="AR15">
    <cfRule type="colorScale" priority="2443">
      <colorScale>
        <cfvo type="min"/>
        <cfvo type="max"/>
        <color theme="0"/>
        <color theme="0"/>
      </colorScale>
    </cfRule>
    <cfRule type="expression" dxfId="1486" priority="2444">
      <formula>AQ15&lt;0</formula>
    </cfRule>
  </conditionalFormatting>
  <conditionalFormatting sqref="AR16:AR17">
    <cfRule type="colorScale" priority="2464">
      <colorScale>
        <cfvo type="min"/>
        <cfvo type="max"/>
        <color theme="0"/>
        <color theme="0"/>
      </colorScale>
    </cfRule>
    <cfRule type="expression" dxfId="1485" priority="2465">
      <formula>AQ16&lt;0</formula>
    </cfRule>
  </conditionalFormatting>
  <conditionalFormatting sqref="AR18">
    <cfRule type="colorScale" priority="2440">
      <colorScale>
        <cfvo type="min"/>
        <cfvo type="max"/>
        <color theme="0"/>
        <color theme="0"/>
      </colorScale>
    </cfRule>
    <cfRule type="expression" dxfId="1484" priority="2442">
      <formula>AQ18&lt;0</formula>
    </cfRule>
  </conditionalFormatting>
  <conditionalFormatting sqref="AR19:AR20">
    <cfRule type="colorScale" priority="2462">
      <colorScale>
        <cfvo type="min"/>
        <cfvo type="max"/>
        <color theme="0"/>
        <color theme="0"/>
      </colorScale>
    </cfRule>
    <cfRule type="expression" dxfId="1483" priority="2463">
      <formula>AQ19&lt;0</formula>
    </cfRule>
  </conditionalFormatting>
  <conditionalFormatting sqref="AR23">
    <cfRule type="expression" dxfId="1482" priority="2438">
      <formula>AQ23&lt;0</formula>
    </cfRule>
    <cfRule type="colorScale" priority="2437">
      <colorScale>
        <cfvo type="min"/>
        <cfvo type="max"/>
        <color theme="0"/>
        <color theme="0"/>
      </colorScale>
    </cfRule>
  </conditionalFormatting>
  <conditionalFormatting sqref="AR23:AR31">
    <cfRule type="expression" priority="2433">
      <formula>#REF!</formula>
    </cfRule>
    <cfRule type="expression" dxfId="1481" priority="2431">
      <formula>IF(AR23="Validar","Rojo","Verde")</formula>
    </cfRule>
  </conditionalFormatting>
  <conditionalFormatting sqref="AR24">
    <cfRule type="colorScale" priority="2460">
      <colorScale>
        <cfvo type="min"/>
        <cfvo type="max"/>
        <color theme="0"/>
        <color theme="0"/>
      </colorScale>
    </cfRule>
    <cfRule type="expression" dxfId="1480" priority="2461">
      <formula>AQ24&lt;0</formula>
    </cfRule>
  </conditionalFormatting>
  <conditionalFormatting sqref="AR25">
    <cfRule type="expression" dxfId="1479" priority="2459">
      <formula>AQ25&lt;0</formula>
    </cfRule>
    <cfRule type="colorScale" priority="2458">
      <colorScale>
        <cfvo type="min"/>
        <cfvo type="max"/>
        <color theme="0"/>
        <color theme="0"/>
      </colorScale>
    </cfRule>
  </conditionalFormatting>
  <conditionalFormatting sqref="AR26">
    <cfRule type="expression" dxfId="1478" priority="2436">
      <formula>AQ26&lt;0</formula>
    </cfRule>
    <cfRule type="colorScale" priority="2435">
      <colorScale>
        <cfvo type="min"/>
        <cfvo type="max"/>
        <color theme="0"/>
        <color theme="0"/>
      </colorScale>
    </cfRule>
  </conditionalFormatting>
  <conditionalFormatting sqref="AR27">
    <cfRule type="expression" dxfId="1477" priority="2457">
      <formula>AQ27&lt;0</formula>
    </cfRule>
    <cfRule type="colorScale" priority="2456">
      <colorScale>
        <cfvo type="min"/>
        <cfvo type="max"/>
        <color theme="0"/>
        <color theme="0"/>
      </colorScale>
    </cfRule>
  </conditionalFormatting>
  <conditionalFormatting sqref="AR28">
    <cfRule type="expression" dxfId="1476" priority="2455">
      <formula>AQ28&lt;0</formula>
    </cfRule>
    <cfRule type="colorScale" priority="2454">
      <colorScale>
        <cfvo type="min"/>
        <cfvo type="max"/>
        <color theme="0"/>
        <color theme="0"/>
      </colorScale>
    </cfRule>
  </conditionalFormatting>
  <conditionalFormatting sqref="AR29">
    <cfRule type="expression" dxfId="1475" priority="2434">
      <formula>AQ29&lt;0</formula>
    </cfRule>
    <cfRule type="colorScale" priority="2432">
      <colorScale>
        <cfvo type="min"/>
        <cfvo type="max"/>
        <color theme="0"/>
        <color theme="0"/>
      </colorScale>
    </cfRule>
  </conditionalFormatting>
  <conditionalFormatting sqref="AR30">
    <cfRule type="colorScale" priority="2452">
      <colorScale>
        <cfvo type="min"/>
        <cfvo type="max"/>
        <color theme="0"/>
        <color theme="0"/>
      </colorScale>
    </cfRule>
    <cfRule type="expression" dxfId="1474" priority="2453">
      <formula>AQ30&lt;0</formula>
    </cfRule>
  </conditionalFormatting>
  <conditionalFormatting sqref="AR31">
    <cfRule type="expression" dxfId="1473" priority="2451">
      <formula>AQ31&lt;0</formula>
    </cfRule>
    <cfRule type="colorScale" priority="2450">
      <colorScale>
        <cfvo type="min"/>
        <cfvo type="max"/>
        <color theme="0"/>
        <color theme="0"/>
      </colorScale>
    </cfRule>
  </conditionalFormatting>
  <conditionalFormatting sqref="AR39">
    <cfRule type="colorScale" priority="2428">
      <colorScale>
        <cfvo type="min"/>
        <cfvo type="max"/>
        <color theme="0"/>
        <color theme="0"/>
      </colorScale>
    </cfRule>
    <cfRule type="expression" dxfId="1472" priority="2430">
      <formula>AQ39&lt;0</formula>
    </cfRule>
    <cfRule type="expression" priority="2429">
      <formula>#REF!</formula>
    </cfRule>
  </conditionalFormatting>
  <conditionalFormatting sqref="AR39:AR107">
    <cfRule type="expression" dxfId="1471" priority="2366">
      <formula>IF(AR39="Validar","Rojo","Verde")</formula>
    </cfRule>
  </conditionalFormatting>
  <conditionalFormatting sqref="AR40:AR67">
    <cfRule type="expression" dxfId="1470" priority="2449">
      <formula>AQ40&lt;0</formula>
    </cfRule>
    <cfRule type="expression" priority="2448">
      <formula>$F$19</formula>
    </cfRule>
    <cfRule type="colorScale" priority="2447">
      <colorScale>
        <cfvo type="min"/>
        <cfvo type="max"/>
        <color theme="0"/>
        <color theme="0"/>
      </colorScale>
    </cfRule>
  </conditionalFormatting>
  <conditionalFormatting sqref="AR68">
    <cfRule type="expression" dxfId="1469" priority="2427">
      <formula>AQ68&lt;0</formula>
    </cfRule>
    <cfRule type="expression" priority="2426">
      <formula>#REF!</formula>
    </cfRule>
    <cfRule type="colorScale" priority="2425">
      <colorScale>
        <cfvo type="min"/>
        <cfvo type="max"/>
        <color theme="0"/>
        <color theme="0"/>
      </colorScale>
    </cfRule>
  </conditionalFormatting>
  <conditionalFormatting sqref="AR69:AR81">
    <cfRule type="colorScale" priority="2472">
      <colorScale>
        <cfvo type="min"/>
        <cfvo type="max"/>
        <color theme="0"/>
        <color theme="0"/>
      </colorScale>
    </cfRule>
    <cfRule type="expression" priority="2473">
      <formula>$F$19</formula>
    </cfRule>
    <cfRule type="expression" dxfId="1468" priority="2474">
      <formula>AQ69&lt;0</formula>
    </cfRule>
  </conditionalFormatting>
  <conditionalFormatting sqref="AR82 AR92 AR103 AR107">
    <cfRule type="expression" dxfId="1467" priority="2471">
      <formula>AQ82&lt;0</formula>
    </cfRule>
  </conditionalFormatting>
  <conditionalFormatting sqref="AR83">
    <cfRule type="expression" dxfId="1466" priority="2369">
      <formula>AQ83&lt;0</formula>
    </cfRule>
    <cfRule type="expression" priority="2368">
      <formula>#REF!</formula>
    </cfRule>
    <cfRule type="colorScale" priority="2367">
      <colorScale>
        <cfvo type="min"/>
        <cfvo type="max"/>
        <color theme="0"/>
        <color theme="0"/>
      </colorScale>
    </cfRule>
  </conditionalFormatting>
  <conditionalFormatting sqref="AR84:AR91">
    <cfRule type="expression" priority="2476">
      <formula>$F$19</formula>
    </cfRule>
    <cfRule type="expression" dxfId="1465" priority="2477">
      <formula>AQ84&lt;0</formula>
    </cfRule>
    <cfRule type="colorScale" priority="2475">
      <colorScale>
        <cfvo type="min"/>
        <cfvo type="max"/>
        <color theme="0"/>
        <color theme="0"/>
      </colorScale>
    </cfRule>
  </conditionalFormatting>
  <conditionalFormatting sqref="AR92 AR82 AR103 AR107">
    <cfRule type="colorScale" priority="2470">
      <colorScale>
        <cfvo type="min"/>
        <cfvo type="max"/>
        <color theme="0"/>
        <color theme="0"/>
      </colorScale>
    </cfRule>
  </conditionalFormatting>
  <conditionalFormatting sqref="AR93">
    <cfRule type="expression" dxfId="1464" priority="2424">
      <formula>AQ93&lt;0</formula>
    </cfRule>
    <cfRule type="expression" priority="2423">
      <formula>#REF!</formula>
    </cfRule>
    <cfRule type="colorScale" priority="2422">
      <colorScale>
        <cfvo type="min"/>
        <cfvo type="max"/>
        <color theme="0"/>
        <color theme="0"/>
      </colorScale>
    </cfRule>
  </conditionalFormatting>
  <conditionalFormatting sqref="AR94:AR102">
    <cfRule type="colorScale" priority="2478">
      <colorScale>
        <cfvo type="min"/>
        <cfvo type="max"/>
        <color theme="0"/>
        <color theme="0"/>
      </colorScale>
    </cfRule>
    <cfRule type="expression" priority="2479">
      <formula>$F$19</formula>
    </cfRule>
    <cfRule type="expression" dxfId="1463" priority="2480">
      <formula>AQ94&lt;0</formula>
    </cfRule>
  </conditionalFormatting>
  <conditionalFormatting sqref="AR104">
    <cfRule type="expression" priority="2420">
      <formula>#REF!</formula>
    </cfRule>
    <cfRule type="expression" dxfId="1462" priority="2421">
      <formula>AQ104&lt;0</formula>
    </cfRule>
    <cfRule type="colorScale" priority="2419">
      <colorScale>
        <cfvo type="min"/>
        <cfvo type="max"/>
        <color theme="0"/>
        <color theme="0"/>
      </colorScale>
    </cfRule>
  </conditionalFormatting>
  <conditionalFormatting sqref="AR105:AR106">
    <cfRule type="colorScale" priority="2481">
      <colorScale>
        <cfvo type="min"/>
        <cfvo type="max"/>
        <color theme="0"/>
        <color theme="0"/>
      </colorScale>
    </cfRule>
    <cfRule type="expression" priority="2482">
      <formula>$F$19</formula>
    </cfRule>
    <cfRule type="expression" dxfId="1461" priority="2483">
      <formula>AQ105&lt;0</formula>
    </cfRule>
  </conditionalFormatting>
  <conditionalFormatting sqref="AR110">
    <cfRule type="expression" dxfId="1460" priority="2485">
      <formula>AQ110&lt;0</formula>
    </cfRule>
    <cfRule type="colorScale" priority="2484">
      <colorScale>
        <cfvo type="min"/>
        <cfvo type="max"/>
        <color theme="0"/>
        <color theme="0"/>
      </colorScale>
    </cfRule>
  </conditionalFormatting>
  <conditionalFormatting sqref="AR110:AR111">
    <cfRule type="expression" priority="2364">
      <formula>$F$19</formula>
    </cfRule>
  </conditionalFormatting>
  <conditionalFormatting sqref="AR111">
    <cfRule type="colorScale" priority="2363">
      <colorScale>
        <cfvo type="min"/>
        <cfvo type="max"/>
        <color theme="0"/>
        <color theme="0"/>
      </colorScale>
    </cfRule>
    <cfRule type="expression" dxfId="1459" priority="2365">
      <formula>AQ111&lt;0</formula>
    </cfRule>
  </conditionalFormatting>
  <conditionalFormatting sqref="AR117:AR123">
    <cfRule type="colorScale" priority="2489">
      <colorScale>
        <cfvo type="min"/>
        <cfvo type="max"/>
        <color theme="0"/>
        <color theme="0"/>
      </colorScale>
    </cfRule>
    <cfRule type="expression" priority="2490">
      <formula>$F$19</formula>
    </cfRule>
    <cfRule type="expression" dxfId="1458" priority="2491">
      <formula>AQ117&lt;0</formula>
    </cfRule>
  </conditionalFormatting>
  <conditionalFormatting sqref="AR125">
    <cfRule type="colorScale" priority="2416">
      <colorScale>
        <cfvo type="min"/>
        <cfvo type="max"/>
        <color theme="0"/>
        <color theme="0"/>
      </colorScale>
    </cfRule>
    <cfRule type="expression" dxfId="1457" priority="2418">
      <formula>AQ125&lt;0</formula>
    </cfRule>
    <cfRule type="expression" priority="2417">
      <formula>#REF!</formula>
    </cfRule>
  </conditionalFormatting>
  <conditionalFormatting sqref="AR125:AR135">
    <cfRule type="expression" dxfId="1456" priority="2415">
      <formula>IF(AR125="Validar","Rojo","Verde")</formula>
    </cfRule>
  </conditionalFormatting>
  <conditionalFormatting sqref="AR126:AR132">
    <cfRule type="colorScale" priority="2492">
      <colorScale>
        <cfvo type="min"/>
        <cfvo type="max"/>
        <color theme="0"/>
        <color theme="0"/>
      </colorScale>
    </cfRule>
    <cfRule type="expression" dxfId="1455" priority="2494">
      <formula>AQ126&lt;0</formula>
    </cfRule>
  </conditionalFormatting>
  <conditionalFormatting sqref="AR126:AR134">
    <cfRule type="expression" priority="2493">
      <formula>$F$19</formula>
    </cfRule>
  </conditionalFormatting>
  <conditionalFormatting sqref="AR133:AR134">
    <cfRule type="expression" dxfId="1454" priority="2496">
      <formula>AQ133&lt;0</formula>
    </cfRule>
    <cfRule type="colorScale" priority="2495">
      <colorScale>
        <cfvo type="min"/>
        <cfvo type="max"/>
        <color theme="0"/>
        <color theme="0"/>
      </colorScale>
    </cfRule>
  </conditionalFormatting>
  <conditionalFormatting sqref="AR135">
    <cfRule type="expression" dxfId="1453" priority="2488">
      <formula>AQ135&lt;0</formula>
    </cfRule>
    <cfRule type="expression" priority="2487">
      <formula>$F$23</formula>
    </cfRule>
    <cfRule type="colorScale" priority="2486">
      <colorScale>
        <cfvo type="min"/>
        <cfvo type="max"/>
        <color theme="0"/>
        <color theme="0"/>
      </colorScale>
    </cfRule>
  </conditionalFormatting>
  <conditionalFormatting sqref="AR110:AS111">
    <cfRule type="expression" dxfId="1452" priority="2359">
      <formula>IF(AR110="Validar","Rojo","Verde")</formula>
    </cfRule>
  </conditionalFormatting>
  <conditionalFormatting sqref="AR117:AS123">
    <cfRule type="expression" dxfId="1451" priority="2372">
      <formula>IF(AR117="Validar","Rojo","Verde")</formula>
    </cfRule>
  </conditionalFormatting>
  <conditionalFormatting sqref="AS40:AS66">
    <cfRule type="expression" priority="2408">
      <formula>#REF!</formula>
    </cfRule>
    <cfRule type="colorScale" priority="2407">
      <colorScale>
        <cfvo type="min"/>
        <cfvo type="max"/>
        <color theme="0"/>
        <color theme="0"/>
      </colorScale>
    </cfRule>
    <cfRule type="expression" dxfId="1450" priority="2409">
      <formula>AR40&lt;0</formula>
    </cfRule>
  </conditionalFormatting>
  <conditionalFormatting sqref="AS40:AS67">
    <cfRule type="expression" dxfId="1449" priority="2406">
      <formula>IF(AS40="Validar","Rojo","Verde")</formula>
    </cfRule>
  </conditionalFormatting>
  <conditionalFormatting sqref="AS67 AR82:AS82 AR92:AS92 AR103:AS103 AR107:AS107">
    <cfRule type="expression" priority="2411">
      <formula>$F$23</formula>
    </cfRule>
  </conditionalFormatting>
  <conditionalFormatting sqref="AS67 AS82 AS92 AS103 AS107">
    <cfRule type="expression" dxfId="1448" priority="2412">
      <formula>AR67&lt;0</formula>
    </cfRule>
  </conditionalFormatting>
  <conditionalFormatting sqref="AS69">
    <cfRule type="expression" dxfId="1447" priority="2405">
      <formula>AR69&lt;0</formula>
    </cfRule>
    <cfRule type="colorScale" priority="2404">
      <colorScale>
        <cfvo type="min"/>
        <cfvo type="max"/>
        <color theme="0"/>
        <color theme="0"/>
      </colorScale>
    </cfRule>
  </conditionalFormatting>
  <conditionalFormatting sqref="AS69:AS81">
    <cfRule type="expression" priority="2402">
      <formula>#REF!</formula>
    </cfRule>
  </conditionalFormatting>
  <conditionalFormatting sqref="AS69:AS82">
    <cfRule type="expression" dxfId="1446" priority="2400">
      <formula>IF(AS69="Validar","Rojo","Verde")</formula>
    </cfRule>
  </conditionalFormatting>
  <conditionalFormatting sqref="AS70:AS78">
    <cfRule type="expression" dxfId="1445" priority="2403">
      <formula>AR70&lt;0</formula>
    </cfRule>
    <cfRule type="colorScale" priority="2401">
      <colorScale>
        <cfvo type="min"/>
        <cfvo type="max"/>
        <color theme="0"/>
        <color theme="0"/>
      </colorScale>
    </cfRule>
  </conditionalFormatting>
  <conditionalFormatting sqref="AS79:AS81">
    <cfRule type="expression" dxfId="1444" priority="2414">
      <formula>AR79&lt;0</formula>
    </cfRule>
    <cfRule type="colorScale" priority="2413">
      <colorScale>
        <cfvo type="min"/>
        <cfvo type="max"/>
        <color theme="0"/>
        <color theme="0"/>
      </colorScale>
    </cfRule>
  </conditionalFormatting>
  <conditionalFormatting sqref="AS82 AS67 AS92 AS103 AS107">
    <cfRule type="colorScale" priority="2410">
      <colorScale>
        <cfvo type="min"/>
        <cfvo type="max"/>
        <color theme="0"/>
        <color theme="0"/>
      </colorScale>
    </cfRule>
  </conditionalFormatting>
  <conditionalFormatting sqref="AS84">
    <cfRule type="expression" dxfId="1443" priority="2399">
      <formula>AR84&lt;0</formula>
    </cfRule>
    <cfRule type="colorScale" priority="2398">
      <colorScale>
        <cfvo type="min"/>
        <cfvo type="max"/>
        <color theme="0"/>
        <color theme="0"/>
      </colorScale>
    </cfRule>
  </conditionalFormatting>
  <conditionalFormatting sqref="AS84:AS91">
    <cfRule type="expression" priority="2396">
      <formula>#REF!</formula>
    </cfRule>
  </conditionalFormatting>
  <conditionalFormatting sqref="AS84:AS92">
    <cfRule type="expression" dxfId="1442" priority="2394">
      <formula>IF(AS84="Validar","Rojo","Verde")</formula>
    </cfRule>
  </conditionalFormatting>
  <conditionalFormatting sqref="AS85:AS91">
    <cfRule type="expression" dxfId="1441" priority="2397">
      <formula>AR85&lt;0</formula>
    </cfRule>
    <cfRule type="colorScale" priority="2395">
      <colorScale>
        <cfvo type="min"/>
        <cfvo type="max"/>
        <color theme="0"/>
        <color theme="0"/>
      </colorScale>
    </cfRule>
  </conditionalFormatting>
  <conditionalFormatting sqref="AS94">
    <cfRule type="expression" dxfId="1440" priority="2393">
      <formula>AR94&lt;0</formula>
    </cfRule>
    <cfRule type="colorScale" priority="2392">
      <colorScale>
        <cfvo type="min"/>
        <cfvo type="max"/>
        <color theme="0"/>
        <color theme="0"/>
      </colorScale>
    </cfRule>
  </conditionalFormatting>
  <conditionalFormatting sqref="AS94:AS102">
    <cfRule type="expression" priority="2386">
      <formula>#REF!</formula>
    </cfRule>
  </conditionalFormatting>
  <conditionalFormatting sqref="AS94:AS103">
    <cfRule type="expression" dxfId="1439" priority="2384">
      <formula>IF(AS94="Validar","Rojo","Verde")</formula>
    </cfRule>
  </conditionalFormatting>
  <conditionalFormatting sqref="AS95:AS100">
    <cfRule type="colorScale" priority="2390">
      <colorScale>
        <cfvo type="min"/>
        <cfvo type="max"/>
        <color theme="0"/>
        <color theme="0"/>
      </colorScale>
    </cfRule>
    <cfRule type="expression" dxfId="1438" priority="2391">
      <formula>AR95&lt;0</formula>
    </cfRule>
  </conditionalFormatting>
  <conditionalFormatting sqref="AS101">
    <cfRule type="expression" dxfId="1437" priority="2389">
      <formula>AR101&lt;0</formula>
    </cfRule>
    <cfRule type="colorScale" priority="2388">
      <colorScale>
        <cfvo type="min"/>
        <cfvo type="max"/>
        <color theme="0"/>
        <color theme="0"/>
      </colorScale>
    </cfRule>
  </conditionalFormatting>
  <conditionalFormatting sqref="AS102">
    <cfRule type="expression" dxfId="1436" priority="2387">
      <formula>AR102&lt;0</formula>
    </cfRule>
    <cfRule type="colorScale" priority="2385">
      <colorScale>
        <cfvo type="min"/>
        <cfvo type="max"/>
        <color theme="0"/>
        <color theme="0"/>
      </colorScale>
    </cfRule>
  </conditionalFormatting>
  <conditionalFormatting sqref="AS105">
    <cfRule type="colorScale" priority="2382">
      <colorScale>
        <cfvo type="min"/>
        <cfvo type="max"/>
        <color theme="0"/>
        <color theme="0"/>
      </colorScale>
    </cfRule>
    <cfRule type="expression" dxfId="1435" priority="2383">
      <formula>AR105&lt;0</formula>
    </cfRule>
  </conditionalFormatting>
  <conditionalFormatting sqref="AS105:AS106">
    <cfRule type="expression" priority="2380">
      <formula>#REF!</formula>
    </cfRule>
  </conditionalFormatting>
  <conditionalFormatting sqref="AS105:AS107">
    <cfRule type="expression" dxfId="1434" priority="2378">
      <formula>IF(AS105="Validar","Rojo","Verde")</formula>
    </cfRule>
  </conditionalFormatting>
  <conditionalFormatting sqref="AS106">
    <cfRule type="colorScale" priority="2379">
      <colorScale>
        <cfvo type="min"/>
        <cfvo type="max"/>
        <color theme="0"/>
        <color theme="0"/>
      </colorScale>
    </cfRule>
    <cfRule type="expression" dxfId="1433" priority="2381">
      <formula>AR106&lt;0</formula>
    </cfRule>
  </conditionalFormatting>
  <conditionalFormatting sqref="AS110">
    <cfRule type="colorScale" priority="2370">
      <colorScale>
        <cfvo type="min"/>
        <cfvo type="max"/>
        <color theme="0"/>
        <color theme="0"/>
      </colorScale>
    </cfRule>
    <cfRule type="expression" dxfId="1432" priority="2371">
      <formula>AR110&lt;0</formula>
    </cfRule>
  </conditionalFormatting>
  <conditionalFormatting sqref="AS110:AS111">
    <cfRule type="expression" priority="2361">
      <formula>#REF!</formula>
    </cfRule>
  </conditionalFormatting>
  <conditionalFormatting sqref="AS111">
    <cfRule type="colorScale" priority="2360">
      <colorScale>
        <cfvo type="min"/>
        <cfvo type="max"/>
        <color theme="0"/>
        <color theme="0"/>
      </colorScale>
    </cfRule>
    <cfRule type="expression" dxfId="1431" priority="2362">
      <formula>AR111&lt;0</formula>
    </cfRule>
  </conditionalFormatting>
  <conditionalFormatting sqref="AS117">
    <cfRule type="colorScale" priority="2376">
      <colorScale>
        <cfvo type="min"/>
        <cfvo type="max"/>
        <color theme="0"/>
        <color theme="0"/>
      </colorScale>
    </cfRule>
    <cfRule type="expression" dxfId="1430" priority="2377">
      <formula>AR117&lt;0</formula>
    </cfRule>
  </conditionalFormatting>
  <conditionalFormatting sqref="AS117:AS123">
    <cfRule type="expression" priority="2374">
      <formula>#REF!</formula>
    </cfRule>
  </conditionalFormatting>
  <conditionalFormatting sqref="AS118:AS123">
    <cfRule type="colorScale" priority="2373">
      <colorScale>
        <cfvo type="min"/>
        <cfvo type="max"/>
        <color theme="0"/>
        <color theme="0"/>
      </colorScale>
    </cfRule>
    <cfRule type="expression" dxfId="1429" priority="2375">
      <formula>AR118&lt;0</formula>
    </cfRule>
  </conditionalFormatting>
  <conditionalFormatting sqref="AS126:AS135">
    <cfRule type="expression" dxfId="1428" priority="2500">
      <formula>AR126&lt;0</formula>
    </cfRule>
    <cfRule type="expression" priority="2499">
      <formula>$F$23</formula>
    </cfRule>
    <cfRule type="colorScale" priority="2498">
      <colorScale>
        <cfvo type="min"/>
        <cfvo type="max"/>
        <color theme="0"/>
        <color theme="0"/>
      </colorScale>
    </cfRule>
    <cfRule type="expression" dxfId="1427" priority="2497">
      <formula>IF(AS126="Validar","Rojo","Verde")</formula>
    </cfRule>
  </conditionalFormatting>
  <conditionalFormatting sqref="AU5 AU9">
    <cfRule type="expression" dxfId="1426" priority="273">
      <formula>AT5&lt;0</formula>
    </cfRule>
  </conditionalFormatting>
  <conditionalFormatting sqref="AU5:AU20">
    <cfRule type="expression" dxfId="1425" priority="201">
      <formula>IF(AU5="Validar","Rojo","Verde")</formula>
    </cfRule>
    <cfRule type="expression" priority="202">
      <formula>#REF!</formula>
    </cfRule>
  </conditionalFormatting>
  <conditionalFormatting sqref="AU6">
    <cfRule type="colorScale" priority="207">
      <colorScale>
        <cfvo type="min"/>
        <cfvo type="max"/>
        <color theme="0"/>
        <color theme="0"/>
      </colorScale>
    </cfRule>
    <cfRule type="expression" dxfId="1424" priority="208">
      <formula>AT6&lt;0</formula>
    </cfRule>
  </conditionalFormatting>
  <conditionalFormatting sqref="AU7:AU8">
    <cfRule type="colorScale" priority="203">
      <colorScale>
        <cfvo type="min"/>
        <cfvo type="max"/>
        <color theme="0"/>
        <color theme="0"/>
      </colorScale>
    </cfRule>
    <cfRule type="expression" dxfId="1423" priority="204">
      <formula>AT7&lt;0</formula>
    </cfRule>
  </conditionalFormatting>
  <conditionalFormatting sqref="AU9 AU5">
    <cfRule type="colorScale" priority="272">
      <colorScale>
        <cfvo type="min"/>
        <cfvo type="max"/>
        <color theme="0"/>
        <color theme="0"/>
      </colorScale>
    </cfRule>
  </conditionalFormatting>
  <conditionalFormatting sqref="AU10">
    <cfRule type="expression" dxfId="1422" priority="250">
      <formula>AT10&lt;0</formula>
    </cfRule>
    <cfRule type="colorScale" priority="249">
      <colorScale>
        <cfvo type="min"/>
        <cfvo type="max"/>
        <color theme="0"/>
        <color theme="0"/>
      </colorScale>
    </cfRule>
  </conditionalFormatting>
  <conditionalFormatting sqref="AU11:AU14">
    <cfRule type="expression" dxfId="1421" priority="271">
      <formula>AT11&lt;0</formula>
    </cfRule>
    <cfRule type="colorScale" priority="270">
      <colorScale>
        <cfvo type="min"/>
        <cfvo type="max"/>
        <color theme="0"/>
        <color theme="0"/>
      </colorScale>
    </cfRule>
  </conditionalFormatting>
  <conditionalFormatting sqref="AU15">
    <cfRule type="expression" dxfId="1420" priority="248">
      <formula>AT15&lt;0</formula>
    </cfRule>
    <cfRule type="colorScale" priority="247">
      <colorScale>
        <cfvo type="min"/>
        <cfvo type="max"/>
        <color theme="0"/>
        <color theme="0"/>
      </colorScale>
    </cfRule>
  </conditionalFormatting>
  <conditionalFormatting sqref="AU16:AU17">
    <cfRule type="colorScale" priority="268">
      <colorScale>
        <cfvo type="min"/>
        <cfvo type="max"/>
        <color theme="0"/>
        <color theme="0"/>
      </colorScale>
    </cfRule>
    <cfRule type="expression" dxfId="1419" priority="269">
      <formula>AT16&lt;0</formula>
    </cfRule>
  </conditionalFormatting>
  <conditionalFormatting sqref="AU18">
    <cfRule type="expression" dxfId="1418" priority="246">
      <formula>AT18&lt;0</formula>
    </cfRule>
    <cfRule type="colorScale" priority="244">
      <colorScale>
        <cfvo type="min"/>
        <cfvo type="max"/>
        <color theme="0"/>
        <color theme="0"/>
      </colorScale>
    </cfRule>
  </conditionalFormatting>
  <conditionalFormatting sqref="AU19:AU20">
    <cfRule type="expression" dxfId="1417" priority="267">
      <formula>AT19&lt;0</formula>
    </cfRule>
    <cfRule type="colorScale" priority="266">
      <colorScale>
        <cfvo type="min"/>
        <cfvo type="max"/>
        <color theme="0"/>
        <color theme="0"/>
      </colorScale>
    </cfRule>
  </conditionalFormatting>
  <conditionalFormatting sqref="AU23">
    <cfRule type="colorScale" priority="241">
      <colorScale>
        <cfvo type="min"/>
        <cfvo type="max"/>
        <color theme="0"/>
        <color theme="0"/>
      </colorScale>
    </cfRule>
    <cfRule type="expression" dxfId="1416" priority="242">
      <formula>AT23&lt;0</formula>
    </cfRule>
  </conditionalFormatting>
  <conditionalFormatting sqref="AU23:AU31">
    <cfRule type="expression" priority="237">
      <formula>#REF!</formula>
    </cfRule>
    <cfRule type="expression" dxfId="1415" priority="235">
      <formula>IF(AU23="Validar","Rojo","Verde")</formula>
    </cfRule>
  </conditionalFormatting>
  <conditionalFormatting sqref="AU24">
    <cfRule type="expression" dxfId="1414" priority="265">
      <formula>AT24&lt;0</formula>
    </cfRule>
    <cfRule type="colorScale" priority="264">
      <colorScale>
        <cfvo type="min"/>
        <cfvo type="max"/>
        <color theme="0"/>
        <color theme="0"/>
      </colorScale>
    </cfRule>
  </conditionalFormatting>
  <conditionalFormatting sqref="AU25">
    <cfRule type="expression" dxfId="1413" priority="263">
      <formula>AT25&lt;0</formula>
    </cfRule>
    <cfRule type="colorScale" priority="262">
      <colorScale>
        <cfvo type="min"/>
        <cfvo type="max"/>
        <color theme="0"/>
        <color theme="0"/>
      </colorScale>
    </cfRule>
  </conditionalFormatting>
  <conditionalFormatting sqref="AU26">
    <cfRule type="expression" dxfId="1412" priority="240">
      <formula>AT26&lt;0</formula>
    </cfRule>
    <cfRule type="colorScale" priority="239">
      <colorScale>
        <cfvo type="min"/>
        <cfvo type="max"/>
        <color theme="0"/>
        <color theme="0"/>
      </colorScale>
    </cfRule>
  </conditionalFormatting>
  <conditionalFormatting sqref="AU27">
    <cfRule type="colorScale" priority="260">
      <colorScale>
        <cfvo type="min"/>
        <cfvo type="max"/>
        <color theme="0"/>
        <color theme="0"/>
      </colorScale>
    </cfRule>
    <cfRule type="expression" dxfId="1411" priority="261">
      <formula>AT27&lt;0</formula>
    </cfRule>
  </conditionalFormatting>
  <conditionalFormatting sqref="AU28">
    <cfRule type="expression" dxfId="1410" priority="259">
      <formula>AT28&lt;0</formula>
    </cfRule>
    <cfRule type="colorScale" priority="258">
      <colorScale>
        <cfvo type="min"/>
        <cfvo type="max"/>
        <color theme="0"/>
        <color theme="0"/>
      </colorScale>
    </cfRule>
  </conditionalFormatting>
  <conditionalFormatting sqref="AU29">
    <cfRule type="expression" dxfId="1409" priority="238">
      <formula>AT29&lt;0</formula>
    </cfRule>
    <cfRule type="colorScale" priority="236">
      <colorScale>
        <cfvo type="min"/>
        <cfvo type="max"/>
        <color theme="0"/>
        <color theme="0"/>
      </colorScale>
    </cfRule>
  </conditionalFormatting>
  <conditionalFormatting sqref="AU30">
    <cfRule type="colorScale" priority="256">
      <colorScale>
        <cfvo type="min"/>
        <cfvo type="max"/>
        <color theme="0"/>
        <color theme="0"/>
      </colorScale>
    </cfRule>
    <cfRule type="expression" dxfId="1408" priority="257">
      <formula>AT30&lt;0</formula>
    </cfRule>
  </conditionalFormatting>
  <conditionalFormatting sqref="AU31">
    <cfRule type="expression" dxfId="1407" priority="255">
      <formula>AT31&lt;0</formula>
    </cfRule>
    <cfRule type="colorScale" priority="254">
      <colorScale>
        <cfvo type="min"/>
        <cfvo type="max"/>
        <color theme="0"/>
        <color theme="0"/>
      </colorScale>
    </cfRule>
  </conditionalFormatting>
  <conditionalFormatting sqref="AU39">
    <cfRule type="expression" priority="233">
      <formula>#REF!</formula>
    </cfRule>
    <cfRule type="expression" dxfId="1406" priority="234">
      <formula>AT39&lt;0</formula>
    </cfRule>
    <cfRule type="colorScale" priority="232">
      <colorScale>
        <cfvo type="min"/>
        <cfvo type="max"/>
        <color theme="0"/>
        <color theme="0"/>
      </colorScale>
    </cfRule>
  </conditionalFormatting>
  <conditionalFormatting sqref="AU39:AU107">
    <cfRule type="expression" dxfId="1405" priority="213">
      <formula>IF(AU39="Validar","Rojo","Verde")</formula>
    </cfRule>
  </conditionalFormatting>
  <conditionalFormatting sqref="AU40:AU67">
    <cfRule type="colorScale" priority="251">
      <colorScale>
        <cfvo type="min"/>
        <cfvo type="max"/>
        <color theme="0"/>
        <color theme="0"/>
      </colorScale>
    </cfRule>
    <cfRule type="expression" priority="252">
      <formula>$F$19</formula>
    </cfRule>
    <cfRule type="expression" dxfId="1404" priority="253">
      <formula>AT40&lt;0</formula>
    </cfRule>
  </conditionalFormatting>
  <conditionalFormatting sqref="AU68">
    <cfRule type="expression" dxfId="1403" priority="231">
      <formula>AT68&lt;0</formula>
    </cfRule>
    <cfRule type="expression" priority="230">
      <formula>#REF!</formula>
    </cfRule>
    <cfRule type="colorScale" priority="229">
      <colorScale>
        <cfvo type="min"/>
        <cfvo type="max"/>
        <color theme="0"/>
        <color theme="0"/>
      </colorScale>
    </cfRule>
  </conditionalFormatting>
  <conditionalFormatting sqref="AU69:AU81">
    <cfRule type="expression" dxfId="1402" priority="278">
      <formula>AT69&lt;0</formula>
    </cfRule>
    <cfRule type="expression" priority="277">
      <formula>$F$19</formula>
    </cfRule>
    <cfRule type="colorScale" priority="276">
      <colorScale>
        <cfvo type="min"/>
        <cfvo type="max"/>
        <color theme="0"/>
        <color theme="0"/>
      </colorScale>
    </cfRule>
  </conditionalFormatting>
  <conditionalFormatting sqref="AU82 AU92 AU103 AU107">
    <cfRule type="expression" dxfId="1401" priority="275">
      <formula>AT82&lt;0</formula>
    </cfRule>
    <cfRule type="expression" priority="218">
      <formula>$F$23</formula>
    </cfRule>
  </conditionalFormatting>
  <conditionalFormatting sqref="AU83">
    <cfRule type="expression" priority="215">
      <formula>#REF!</formula>
    </cfRule>
    <cfRule type="colorScale" priority="214">
      <colorScale>
        <cfvo type="min"/>
        <cfvo type="max"/>
        <color theme="0"/>
        <color theme="0"/>
      </colorScale>
    </cfRule>
    <cfRule type="expression" dxfId="1400" priority="216">
      <formula>AT83&lt;0</formula>
    </cfRule>
  </conditionalFormatting>
  <conditionalFormatting sqref="AU84:AU91">
    <cfRule type="expression" dxfId="1399" priority="281">
      <formula>AT84&lt;0</formula>
    </cfRule>
    <cfRule type="colorScale" priority="279">
      <colorScale>
        <cfvo type="min"/>
        <cfvo type="max"/>
        <color theme="0"/>
        <color theme="0"/>
      </colorScale>
    </cfRule>
    <cfRule type="expression" priority="280">
      <formula>$F$19</formula>
    </cfRule>
  </conditionalFormatting>
  <conditionalFormatting sqref="AU92 AU82 AU103 AU107">
    <cfRule type="colorScale" priority="274">
      <colorScale>
        <cfvo type="min"/>
        <cfvo type="max"/>
        <color theme="0"/>
        <color theme="0"/>
      </colorScale>
    </cfRule>
  </conditionalFormatting>
  <conditionalFormatting sqref="AU93">
    <cfRule type="colorScale" priority="226">
      <colorScale>
        <cfvo type="min"/>
        <cfvo type="max"/>
        <color theme="0"/>
        <color theme="0"/>
      </colorScale>
    </cfRule>
    <cfRule type="expression" priority="227">
      <formula>#REF!</formula>
    </cfRule>
    <cfRule type="expression" dxfId="1398" priority="228">
      <formula>AT93&lt;0</formula>
    </cfRule>
  </conditionalFormatting>
  <conditionalFormatting sqref="AU94:AU102">
    <cfRule type="colorScale" priority="282">
      <colorScale>
        <cfvo type="min"/>
        <cfvo type="max"/>
        <color theme="0"/>
        <color theme="0"/>
      </colorScale>
    </cfRule>
    <cfRule type="expression" priority="283">
      <formula>$F$19</formula>
    </cfRule>
    <cfRule type="expression" dxfId="1397" priority="284">
      <formula>AT94&lt;0</formula>
    </cfRule>
  </conditionalFormatting>
  <conditionalFormatting sqref="AU104">
    <cfRule type="expression" priority="224">
      <formula>#REF!</formula>
    </cfRule>
    <cfRule type="expression" dxfId="1396" priority="225">
      <formula>AT104&lt;0</formula>
    </cfRule>
    <cfRule type="colorScale" priority="223">
      <colorScale>
        <cfvo type="min"/>
        <cfvo type="max"/>
        <color theme="0"/>
        <color theme="0"/>
      </colorScale>
    </cfRule>
  </conditionalFormatting>
  <conditionalFormatting sqref="AU105:AU106">
    <cfRule type="colorScale" priority="285">
      <colorScale>
        <cfvo type="min"/>
        <cfvo type="max"/>
        <color theme="0"/>
        <color theme="0"/>
      </colorScale>
    </cfRule>
    <cfRule type="expression" priority="286">
      <formula>$F$19</formula>
    </cfRule>
    <cfRule type="expression" dxfId="1395" priority="287">
      <formula>AT105&lt;0</formula>
    </cfRule>
  </conditionalFormatting>
  <conditionalFormatting sqref="AU110">
    <cfRule type="colorScale" priority="288">
      <colorScale>
        <cfvo type="min"/>
        <cfvo type="max"/>
        <color theme="0"/>
        <color theme="0"/>
      </colorScale>
    </cfRule>
    <cfRule type="expression" dxfId="1394" priority="289">
      <formula>AT110&lt;0</formula>
    </cfRule>
  </conditionalFormatting>
  <conditionalFormatting sqref="AU110:AU111">
    <cfRule type="expression" priority="211">
      <formula>$F$19</formula>
    </cfRule>
  </conditionalFormatting>
  <conditionalFormatting sqref="AU111">
    <cfRule type="expression" dxfId="1393" priority="212">
      <formula>AT111&lt;0</formula>
    </cfRule>
    <cfRule type="colorScale" priority="210">
      <colorScale>
        <cfvo type="min"/>
        <cfvo type="max"/>
        <color theme="0"/>
        <color theme="0"/>
      </colorScale>
    </cfRule>
  </conditionalFormatting>
  <conditionalFormatting sqref="AU117:AU123">
    <cfRule type="colorScale" priority="293">
      <colorScale>
        <cfvo type="min"/>
        <cfvo type="max"/>
        <color theme="0"/>
        <color theme="0"/>
      </colorScale>
    </cfRule>
    <cfRule type="expression" priority="294">
      <formula>$F$19</formula>
    </cfRule>
    <cfRule type="expression" dxfId="1392" priority="295">
      <formula>AT117&lt;0</formula>
    </cfRule>
  </conditionalFormatting>
  <conditionalFormatting sqref="AU125">
    <cfRule type="expression" dxfId="1391" priority="222">
      <formula>AT125&lt;0</formula>
    </cfRule>
    <cfRule type="colorScale" priority="220">
      <colorScale>
        <cfvo type="min"/>
        <cfvo type="max"/>
        <color theme="0"/>
        <color theme="0"/>
      </colorScale>
    </cfRule>
    <cfRule type="expression" priority="221">
      <formula>#REF!</formula>
    </cfRule>
  </conditionalFormatting>
  <conditionalFormatting sqref="AU125:AU135">
    <cfRule type="expression" dxfId="1390" priority="219">
      <formula>IF(AU125="Validar","Rojo","Verde")</formula>
    </cfRule>
  </conditionalFormatting>
  <conditionalFormatting sqref="AU126:AU132">
    <cfRule type="expression" dxfId="1389" priority="298">
      <formula>AT126&lt;0</formula>
    </cfRule>
    <cfRule type="colorScale" priority="296">
      <colorScale>
        <cfvo type="min"/>
        <cfvo type="max"/>
        <color theme="0"/>
        <color theme="0"/>
      </colorScale>
    </cfRule>
  </conditionalFormatting>
  <conditionalFormatting sqref="AU126:AU134">
    <cfRule type="expression" priority="297">
      <formula>$F$19</formula>
    </cfRule>
  </conditionalFormatting>
  <conditionalFormatting sqref="AU133:AU134">
    <cfRule type="colorScale" priority="299">
      <colorScale>
        <cfvo type="min"/>
        <cfvo type="max"/>
        <color theme="0"/>
        <color theme="0"/>
      </colorScale>
    </cfRule>
    <cfRule type="expression" dxfId="1388" priority="300">
      <formula>AT133&lt;0</formula>
    </cfRule>
  </conditionalFormatting>
  <conditionalFormatting sqref="AU135">
    <cfRule type="colorScale" priority="290">
      <colorScale>
        <cfvo type="min"/>
        <cfvo type="max"/>
        <color theme="0"/>
        <color theme="0"/>
      </colorScale>
    </cfRule>
    <cfRule type="expression" priority="291">
      <formula>$F$23</formula>
    </cfRule>
    <cfRule type="expression" dxfId="1387" priority="292">
      <formula>AT135&lt;0</formula>
    </cfRule>
  </conditionalFormatting>
  <conditionalFormatting sqref="AU110:AV111">
    <cfRule type="expression" dxfId="1386" priority="209">
      <formula>IF(AU110="Validar","Rojo","Verde")</formula>
    </cfRule>
  </conditionalFormatting>
  <conditionalFormatting sqref="AU117:AV123">
    <cfRule type="expression" dxfId="1385" priority="217">
      <formula>IF(AU117="Validar","Rojo","Verde")</formula>
    </cfRule>
  </conditionalFormatting>
  <conditionalFormatting sqref="AV5">
    <cfRule type="colorScale" priority="5170">
      <colorScale>
        <cfvo type="min"/>
        <cfvo type="max"/>
        <color theme="0"/>
        <color theme="0"/>
      </colorScale>
    </cfRule>
    <cfRule type="expression" dxfId="1384" priority="5171">
      <formula>AU5&lt;0</formula>
    </cfRule>
  </conditionalFormatting>
  <conditionalFormatting sqref="AV5:AV16">
    <cfRule type="expression" priority="5144">
      <formula>#REF!</formula>
    </cfRule>
    <cfRule type="expression" dxfId="1383" priority="5142">
      <formula>IF(AV5="Validar","Rojo","Verde")</formula>
    </cfRule>
  </conditionalFormatting>
  <conditionalFormatting sqref="AV6:AV9">
    <cfRule type="colorScale" priority="5178">
      <colorScale>
        <cfvo type="min"/>
        <cfvo type="max"/>
        <color theme="0"/>
        <color theme="0"/>
      </colorScale>
    </cfRule>
    <cfRule type="expression" dxfId="1382" priority="5179">
      <formula>AU6&lt;0</formula>
    </cfRule>
  </conditionalFormatting>
  <conditionalFormatting sqref="AV10">
    <cfRule type="colorScale" priority="5146">
      <colorScale>
        <cfvo type="min"/>
        <cfvo type="max"/>
        <color theme="0"/>
        <color theme="0"/>
      </colorScale>
    </cfRule>
    <cfRule type="expression" dxfId="1381" priority="5147">
      <formula>AU10&lt;0</formula>
    </cfRule>
  </conditionalFormatting>
  <conditionalFormatting sqref="AV11:AV14">
    <cfRule type="colorScale" priority="5176">
      <colorScale>
        <cfvo type="min"/>
        <cfvo type="max"/>
        <color theme="0"/>
        <color theme="0"/>
      </colorScale>
    </cfRule>
    <cfRule type="expression" dxfId="1380" priority="5177">
      <formula>AU11&lt;0</formula>
    </cfRule>
  </conditionalFormatting>
  <conditionalFormatting sqref="AV15">
    <cfRule type="expression" dxfId="1379" priority="5145">
      <formula>AU15&lt;0</formula>
    </cfRule>
    <cfRule type="colorScale" priority="5143">
      <colorScale>
        <cfvo type="min"/>
        <cfvo type="max"/>
        <color theme="0"/>
        <color theme="0"/>
      </colorScale>
    </cfRule>
  </conditionalFormatting>
  <conditionalFormatting sqref="AV16">
    <cfRule type="colorScale" priority="5174">
      <colorScale>
        <cfvo type="min"/>
        <cfvo type="max"/>
        <color theme="0"/>
        <color theme="0"/>
      </colorScale>
    </cfRule>
    <cfRule type="expression" dxfId="1378" priority="5175">
      <formula>AU16&lt;0</formula>
    </cfRule>
  </conditionalFormatting>
  <conditionalFormatting sqref="AV18">
    <cfRule type="colorScale" priority="5139">
      <colorScale>
        <cfvo type="min"/>
        <cfvo type="max"/>
        <color theme="0"/>
        <color theme="0"/>
      </colorScale>
    </cfRule>
    <cfRule type="expression" dxfId="1377" priority="5141">
      <formula>AU18&lt;0</formula>
    </cfRule>
  </conditionalFormatting>
  <conditionalFormatting sqref="AV18:AV19">
    <cfRule type="expression" dxfId="1376" priority="5138">
      <formula>IF(AV18="Validar","Rojo","Verde")</formula>
    </cfRule>
    <cfRule type="expression" priority="5140">
      <formula>#REF!</formula>
    </cfRule>
  </conditionalFormatting>
  <conditionalFormatting sqref="AV19">
    <cfRule type="expression" dxfId="1375" priority="5173">
      <formula>AU19&lt;0</formula>
    </cfRule>
    <cfRule type="colorScale" priority="5172">
      <colorScale>
        <cfvo type="min"/>
        <cfvo type="max"/>
        <color theme="0"/>
        <color theme="0"/>
      </colorScale>
    </cfRule>
  </conditionalFormatting>
  <conditionalFormatting sqref="AV23">
    <cfRule type="expression" dxfId="1374" priority="5137">
      <formula>AU23&lt;0</formula>
    </cfRule>
    <cfRule type="colorScale" priority="5135">
      <colorScale>
        <cfvo type="min"/>
        <cfvo type="max"/>
        <color theme="0"/>
        <color theme="0"/>
      </colorScale>
    </cfRule>
  </conditionalFormatting>
  <conditionalFormatting sqref="AV23:AV24">
    <cfRule type="expression" dxfId="1373" priority="5134">
      <formula>IF(AV23="Validar","Rojo","Verde")</formula>
    </cfRule>
    <cfRule type="expression" priority="5136">
      <formula>#REF!</formula>
    </cfRule>
  </conditionalFormatting>
  <conditionalFormatting sqref="AV24">
    <cfRule type="colorScale" priority="5168">
      <colorScale>
        <cfvo type="min"/>
        <cfvo type="max"/>
        <color theme="0"/>
        <color theme="0"/>
      </colorScale>
    </cfRule>
    <cfRule type="expression" dxfId="1372" priority="5169">
      <formula>AU24&lt;0</formula>
    </cfRule>
  </conditionalFormatting>
  <conditionalFormatting sqref="AV26">
    <cfRule type="expression" dxfId="1371" priority="5133">
      <formula>AU26&lt;0</formula>
    </cfRule>
    <cfRule type="colorScale" priority="5131">
      <colorScale>
        <cfvo type="min"/>
        <cfvo type="max"/>
        <color theme="0"/>
        <color theme="0"/>
      </colorScale>
    </cfRule>
  </conditionalFormatting>
  <conditionalFormatting sqref="AV26:AV27">
    <cfRule type="expression" priority="5132">
      <formula>#REF!</formula>
    </cfRule>
    <cfRule type="expression" dxfId="1370" priority="5130">
      <formula>IF(AV26="Validar","Rojo","Verde")</formula>
    </cfRule>
  </conditionalFormatting>
  <conditionalFormatting sqref="AV27">
    <cfRule type="colorScale" priority="5166">
      <colorScale>
        <cfvo type="min"/>
        <cfvo type="max"/>
        <color theme="0"/>
        <color theme="0"/>
      </colorScale>
    </cfRule>
    <cfRule type="expression" dxfId="1369" priority="5167">
      <formula>AU27&lt;0</formula>
    </cfRule>
  </conditionalFormatting>
  <conditionalFormatting sqref="AV29">
    <cfRule type="expression" dxfId="1368" priority="5129">
      <formula>AU29&lt;0</formula>
    </cfRule>
    <cfRule type="colorScale" priority="5127">
      <colorScale>
        <cfvo type="min"/>
        <cfvo type="max"/>
        <color theme="0"/>
        <color theme="0"/>
      </colorScale>
    </cfRule>
  </conditionalFormatting>
  <conditionalFormatting sqref="AV29:AV30">
    <cfRule type="expression" priority="5128">
      <formula>#REF!</formula>
    </cfRule>
    <cfRule type="expression" dxfId="1367" priority="5126">
      <formula>IF(AV29="Validar","Rojo","Verde")</formula>
    </cfRule>
  </conditionalFormatting>
  <conditionalFormatting sqref="AV30">
    <cfRule type="expression" dxfId="1366" priority="5165">
      <formula>AU30&lt;0</formula>
    </cfRule>
    <cfRule type="colorScale" priority="5164">
      <colorScale>
        <cfvo type="min"/>
        <cfvo type="max"/>
        <color theme="0"/>
        <color theme="0"/>
      </colorScale>
    </cfRule>
  </conditionalFormatting>
  <conditionalFormatting sqref="AV39">
    <cfRule type="colorScale" priority="5123">
      <colorScale>
        <cfvo type="min"/>
        <cfvo type="max"/>
        <color theme="0"/>
        <color theme="0"/>
      </colorScale>
    </cfRule>
    <cfRule type="expression" dxfId="1365" priority="5125">
      <formula>AU39&lt;0</formula>
    </cfRule>
  </conditionalFormatting>
  <conditionalFormatting sqref="AV39:AV66">
    <cfRule type="expression" dxfId="1364" priority="5122">
      <formula>IF(AV39="Validar","Rojo","Verde")</formula>
    </cfRule>
    <cfRule type="expression" priority="5124">
      <formula>#REF!</formula>
    </cfRule>
  </conditionalFormatting>
  <conditionalFormatting sqref="AV40:AV66">
    <cfRule type="expression" dxfId="1363" priority="5163">
      <formula>AU40&lt;0</formula>
    </cfRule>
    <cfRule type="colorScale" priority="5162">
      <colorScale>
        <cfvo type="min"/>
        <cfvo type="max"/>
        <color theme="0"/>
        <color theme="0"/>
      </colorScale>
    </cfRule>
  </conditionalFormatting>
  <conditionalFormatting sqref="AV68">
    <cfRule type="expression" dxfId="1362" priority="5121">
      <formula>AU68&lt;0</formula>
    </cfRule>
    <cfRule type="colorScale" priority="5119">
      <colorScale>
        <cfvo type="min"/>
        <cfvo type="max"/>
        <color theme="0"/>
        <color theme="0"/>
      </colorScale>
    </cfRule>
  </conditionalFormatting>
  <conditionalFormatting sqref="AV68:AV81">
    <cfRule type="expression" priority="5120">
      <formula>#REF!</formula>
    </cfRule>
    <cfRule type="expression" dxfId="1361" priority="5118">
      <formula>IF(AV68="Validar","Rojo","Verde")</formula>
    </cfRule>
  </conditionalFormatting>
  <conditionalFormatting sqref="AV69:AV81">
    <cfRule type="expression" dxfId="1360" priority="5181">
      <formula>AU69&lt;0</formula>
    </cfRule>
    <cfRule type="colorScale" priority="5180">
      <colorScale>
        <cfvo type="min"/>
        <cfvo type="max"/>
        <color theme="0"/>
        <color theme="0"/>
      </colorScale>
    </cfRule>
  </conditionalFormatting>
  <conditionalFormatting sqref="AV83">
    <cfRule type="colorScale" priority="5102">
      <colorScale>
        <cfvo type="min"/>
        <cfvo type="max"/>
        <color theme="0"/>
        <color theme="0"/>
      </colorScale>
    </cfRule>
    <cfRule type="expression" dxfId="1359" priority="5104">
      <formula>AU83&lt;0</formula>
    </cfRule>
  </conditionalFormatting>
  <conditionalFormatting sqref="AV83:AV91">
    <cfRule type="expression" dxfId="1358" priority="5101">
      <formula>IF(AV83="Validar","Rojo","Verde")</formula>
    </cfRule>
    <cfRule type="expression" priority="5103">
      <formula>#REF!</formula>
    </cfRule>
  </conditionalFormatting>
  <conditionalFormatting sqref="AV84:AV91">
    <cfRule type="colorScale" priority="5160">
      <colorScale>
        <cfvo type="min"/>
        <cfvo type="max"/>
        <color theme="0"/>
        <color theme="0"/>
      </colorScale>
    </cfRule>
    <cfRule type="expression" dxfId="1357" priority="5161">
      <formula>AU84&lt;0</formula>
    </cfRule>
  </conditionalFormatting>
  <conditionalFormatting sqref="AV93">
    <cfRule type="colorScale" priority="5115">
      <colorScale>
        <cfvo type="min"/>
        <cfvo type="max"/>
        <color theme="0"/>
        <color theme="0"/>
      </colorScale>
    </cfRule>
    <cfRule type="expression" dxfId="1356" priority="5117">
      <formula>AU93&lt;0</formula>
    </cfRule>
  </conditionalFormatting>
  <conditionalFormatting sqref="AV93:AV102">
    <cfRule type="expression" priority="5116">
      <formula>#REF!</formula>
    </cfRule>
    <cfRule type="expression" dxfId="1355" priority="5114">
      <formula>IF(AV93="Validar","Rojo","Verde")</formula>
    </cfRule>
  </conditionalFormatting>
  <conditionalFormatting sqref="AV94:AV102">
    <cfRule type="expression" dxfId="1354" priority="5159">
      <formula>AU94&lt;0</formula>
    </cfRule>
    <cfRule type="colorScale" priority="5158">
      <colorScale>
        <cfvo type="min"/>
        <cfvo type="max"/>
        <color theme="0"/>
        <color theme="0"/>
      </colorScale>
    </cfRule>
  </conditionalFormatting>
  <conditionalFormatting sqref="AV104">
    <cfRule type="expression" dxfId="1353" priority="5113">
      <formula>AU104&lt;0</formula>
    </cfRule>
    <cfRule type="colorScale" priority="5111">
      <colorScale>
        <cfvo type="min"/>
        <cfvo type="max"/>
        <color theme="0"/>
        <color theme="0"/>
      </colorScale>
    </cfRule>
  </conditionalFormatting>
  <conditionalFormatting sqref="AV104:AV106">
    <cfRule type="expression" dxfId="1352" priority="5110">
      <formula>IF(AV104="Validar","Rojo","Verde")</formula>
    </cfRule>
    <cfRule type="expression" priority="5112">
      <formula>#REF!</formula>
    </cfRule>
  </conditionalFormatting>
  <conditionalFormatting sqref="AV105:AV106">
    <cfRule type="colorScale" priority="5156">
      <colorScale>
        <cfvo type="min"/>
        <cfvo type="max"/>
        <color theme="0"/>
        <color theme="0"/>
      </colorScale>
    </cfRule>
    <cfRule type="expression" dxfId="1351" priority="5157">
      <formula>AU105&lt;0</formula>
    </cfRule>
  </conditionalFormatting>
  <conditionalFormatting sqref="AV110">
    <cfRule type="colorScale" priority="5154">
      <colorScale>
        <cfvo type="min"/>
        <cfvo type="max"/>
        <color theme="0"/>
        <color theme="0"/>
      </colorScale>
    </cfRule>
    <cfRule type="expression" dxfId="1350" priority="5155">
      <formula>AU110&lt;0</formula>
    </cfRule>
  </conditionalFormatting>
  <conditionalFormatting sqref="AV110:AV111">
    <cfRule type="expression" priority="5096">
      <formula>#REF!</formula>
    </cfRule>
  </conditionalFormatting>
  <conditionalFormatting sqref="AV111">
    <cfRule type="colorScale" priority="5095">
      <colorScale>
        <cfvo type="min"/>
        <cfvo type="max"/>
        <color theme="0"/>
        <color theme="0"/>
      </colorScale>
    </cfRule>
    <cfRule type="expression" dxfId="1349" priority="5097">
      <formula>AU111&lt;0</formula>
    </cfRule>
  </conditionalFormatting>
  <conditionalFormatting sqref="AV117:AV123">
    <cfRule type="colorScale" priority="5151">
      <colorScale>
        <cfvo type="min"/>
        <cfvo type="max"/>
        <color theme="0"/>
        <color theme="0"/>
      </colorScale>
    </cfRule>
    <cfRule type="expression" priority="5152">
      <formula>#REF!</formula>
    </cfRule>
    <cfRule type="expression" dxfId="1348" priority="5153">
      <formula>AU117&lt;0</formula>
    </cfRule>
  </conditionalFormatting>
  <conditionalFormatting sqref="AV125">
    <cfRule type="colorScale" priority="5107">
      <colorScale>
        <cfvo type="min"/>
        <cfvo type="max"/>
        <color theme="0"/>
        <color theme="0"/>
      </colorScale>
    </cfRule>
    <cfRule type="expression" dxfId="1347" priority="5109">
      <formula>AU125&lt;0</formula>
    </cfRule>
  </conditionalFormatting>
  <conditionalFormatting sqref="AV125:AV134">
    <cfRule type="expression" priority="5108">
      <formula>#REF!</formula>
    </cfRule>
    <cfRule type="expression" dxfId="1346" priority="5106">
      <formula>IF(AV125="Validar","Rojo","Verde")</formula>
    </cfRule>
  </conditionalFormatting>
  <conditionalFormatting sqref="AV126:AV134">
    <cfRule type="colorScale" priority="5148">
      <colorScale>
        <cfvo type="min"/>
        <cfvo type="max"/>
        <color theme="0"/>
        <color theme="0"/>
      </colorScale>
    </cfRule>
    <cfRule type="expression" dxfId="1345" priority="5149">
      <formula>AU126&lt;0</formula>
    </cfRule>
  </conditionalFormatting>
  <conditionalFormatting sqref="AX5 AX9">
    <cfRule type="colorScale" priority="2318">
      <colorScale>
        <cfvo type="min"/>
        <cfvo type="max"/>
        <color theme="0"/>
        <color theme="0"/>
      </colorScale>
    </cfRule>
    <cfRule type="expression" dxfId="1344" priority="2319">
      <formula>AW5&lt;0</formula>
    </cfRule>
  </conditionalFormatting>
  <conditionalFormatting sqref="AX5:AX20">
    <cfRule type="expression" dxfId="1343" priority="2201">
      <formula>IF(AX5="Validar","Rojo","Verde")</formula>
    </cfRule>
    <cfRule type="expression" priority="2202">
      <formula>#REF!</formula>
    </cfRule>
  </conditionalFormatting>
  <conditionalFormatting sqref="AX6">
    <cfRule type="colorScale" priority="2207">
      <colorScale>
        <cfvo type="min"/>
        <cfvo type="max"/>
        <color theme="0"/>
        <color theme="0"/>
      </colorScale>
    </cfRule>
    <cfRule type="expression" dxfId="1342" priority="2208">
      <formula>AW6&lt;0</formula>
    </cfRule>
  </conditionalFormatting>
  <conditionalFormatting sqref="AX7:AX8">
    <cfRule type="expression" dxfId="1341" priority="2204">
      <formula>AW7&lt;0</formula>
    </cfRule>
    <cfRule type="colorScale" priority="2203">
      <colorScale>
        <cfvo type="min"/>
        <cfvo type="max"/>
        <color theme="0"/>
        <color theme="0"/>
      </colorScale>
    </cfRule>
  </conditionalFormatting>
  <conditionalFormatting sqref="AX10">
    <cfRule type="expression" dxfId="1340" priority="2296">
      <formula>AW10&lt;0</formula>
    </cfRule>
    <cfRule type="colorScale" priority="2295">
      <colorScale>
        <cfvo type="min"/>
        <cfvo type="max"/>
        <color theme="0"/>
        <color theme="0"/>
      </colorScale>
    </cfRule>
  </conditionalFormatting>
  <conditionalFormatting sqref="AX11:AX14">
    <cfRule type="expression" dxfId="1339" priority="2317">
      <formula>AW11&lt;0</formula>
    </cfRule>
    <cfRule type="colorScale" priority="2316">
      <colorScale>
        <cfvo type="min"/>
        <cfvo type="max"/>
        <color theme="0"/>
        <color theme="0"/>
      </colorScale>
    </cfRule>
  </conditionalFormatting>
  <conditionalFormatting sqref="AX15">
    <cfRule type="colorScale" priority="2293">
      <colorScale>
        <cfvo type="min"/>
        <cfvo type="max"/>
        <color theme="0"/>
        <color theme="0"/>
      </colorScale>
    </cfRule>
    <cfRule type="expression" dxfId="1338" priority="2294">
      <formula>AW15&lt;0</formula>
    </cfRule>
  </conditionalFormatting>
  <conditionalFormatting sqref="AX16:AX17">
    <cfRule type="expression" dxfId="1337" priority="2315">
      <formula>AW16&lt;0</formula>
    </cfRule>
    <cfRule type="colorScale" priority="2314">
      <colorScale>
        <cfvo type="min"/>
        <cfvo type="max"/>
        <color theme="0"/>
        <color theme="0"/>
      </colorScale>
    </cfRule>
  </conditionalFormatting>
  <conditionalFormatting sqref="AX18">
    <cfRule type="expression" dxfId="1336" priority="2292">
      <formula>AW18&lt;0</formula>
    </cfRule>
    <cfRule type="colorScale" priority="2290">
      <colorScale>
        <cfvo type="min"/>
        <cfvo type="max"/>
        <color theme="0"/>
        <color theme="0"/>
      </colorScale>
    </cfRule>
  </conditionalFormatting>
  <conditionalFormatting sqref="AX19:AX20">
    <cfRule type="expression" dxfId="1335" priority="2313">
      <formula>AW19&lt;0</formula>
    </cfRule>
    <cfRule type="colorScale" priority="2312">
      <colorScale>
        <cfvo type="min"/>
        <cfvo type="max"/>
        <color theme="0"/>
        <color theme="0"/>
      </colorScale>
    </cfRule>
  </conditionalFormatting>
  <conditionalFormatting sqref="AX23">
    <cfRule type="colorScale" priority="2287">
      <colorScale>
        <cfvo type="min"/>
        <cfvo type="max"/>
        <color theme="0"/>
        <color theme="0"/>
      </colorScale>
    </cfRule>
    <cfRule type="expression" dxfId="1334" priority="2288">
      <formula>AW23&lt;0</formula>
    </cfRule>
  </conditionalFormatting>
  <conditionalFormatting sqref="AX23:AX31">
    <cfRule type="expression" dxfId="1333" priority="2281">
      <formula>IF(AX23="Validar","Rojo","Verde")</formula>
    </cfRule>
    <cfRule type="expression" priority="2283">
      <formula>#REF!</formula>
    </cfRule>
  </conditionalFormatting>
  <conditionalFormatting sqref="AX24">
    <cfRule type="expression" dxfId="1332" priority="2311">
      <formula>AW24&lt;0</formula>
    </cfRule>
    <cfRule type="colorScale" priority="2310">
      <colorScale>
        <cfvo type="min"/>
        <cfvo type="max"/>
        <color theme="0"/>
        <color theme="0"/>
      </colorScale>
    </cfRule>
  </conditionalFormatting>
  <conditionalFormatting sqref="AX25">
    <cfRule type="expression" dxfId="1331" priority="2309">
      <formula>AW25&lt;0</formula>
    </cfRule>
    <cfRule type="colorScale" priority="2308">
      <colorScale>
        <cfvo type="min"/>
        <cfvo type="max"/>
        <color theme="0"/>
        <color theme="0"/>
      </colorScale>
    </cfRule>
  </conditionalFormatting>
  <conditionalFormatting sqref="AX26">
    <cfRule type="expression" dxfId="1330" priority="2286">
      <formula>AW26&lt;0</formula>
    </cfRule>
    <cfRule type="colorScale" priority="2285">
      <colorScale>
        <cfvo type="min"/>
        <cfvo type="max"/>
        <color theme="0"/>
        <color theme="0"/>
      </colorScale>
    </cfRule>
  </conditionalFormatting>
  <conditionalFormatting sqref="AX27">
    <cfRule type="expression" dxfId="1329" priority="2307">
      <formula>AW27&lt;0</formula>
    </cfRule>
    <cfRule type="colorScale" priority="2306">
      <colorScale>
        <cfvo type="min"/>
        <cfvo type="max"/>
        <color theme="0"/>
        <color theme="0"/>
      </colorScale>
    </cfRule>
  </conditionalFormatting>
  <conditionalFormatting sqref="AX28">
    <cfRule type="colorScale" priority="2304">
      <colorScale>
        <cfvo type="min"/>
        <cfvo type="max"/>
        <color theme="0"/>
        <color theme="0"/>
      </colorScale>
    </cfRule>
    <cfRule type="expression" dxfId="1328" priority="2305">
      <formula>AW28&lt;0</formula>
    </cfRule>
  </conditionalFormatting>
  <conditionalFormatting sqref="AX29">
    <cfRule type="colorScale" priority="2282">
      <colorScale>
        <cfvo type="min"/>
        <cfvo type="max"/>
        <color theme="0"/>
        <color theme="0"/>
      </colorScale>
    </cfRule>
    <cfRule type="expression" dxfId="1327" priority="2284">
      <formula>AW29&lt;0</formula>
    </cfRule>
  </conditionalFormatting>
  <conditionalFormatting sqref="AX30">
    <cfRule type="expression" dxfId="1326" priority="2303">
      <formula>AW30&lt;0</formula>
    </cfRule>
    <cfRule type="colorScale" priority="2302">
      <colorScale>
        <cfvo type="min"/>
        <cfvo type="max"/>
        <color theme="0"/>
        <color theme="0"/>
      </colorScale>
    </cfRule>
  </conditionalFormatting>
  <conditionalFormatting sqref="AX31">
    <cfRule type="expression" dxfId="1325" priority="2301">
      <formula>AW31&lt;0</formula>
    </cfRule>
    <cfRule type="colorScale" priority="2300">
      <colorScale>
        <cfvo type="min"/>
        <cfvo type="max"/>
        <color theme="0"/>
        <color theme="0"/>
      </colorScale>
    </cfRule>
  </conditionalFormatting>
  <conditionalFormatting sqref="AX39">
    <cfRule type="expression" dxfId="1324" priority="2280">
      <formula>AW39&lt;0</formula>
    </cfRule>
    <cfRule type="expression" priority="2279">
      <formula>#REF!</formula>
    </cfRule>
    <cfRule type="colorScale" priority="2278">
      <colorScale>
        <cfvo type="min"/>
        <cfvo type="max"/>
        <color theme="0"/>
        <color theme="0"/>
      </colorScale>
    </cfRule>
  </conditionalFormatting>
  <conditionalFormatting sqref="AX39:AX107">
    <cfRule type="expression" dxfId="1323" priority="2216">
      <formula>IF(AX39="Validar","Rojo","Verde")</formula>
    </cfRule>
  </conditionalFormatting>
  <conditionalFormatting sqref="AX40:AX67">
    <cfRule type="expression" dxfId="1322" priority="2299">
      <formula>AW40&lt;0</formula>
    </cfRule>
    <cfRule type="colorScale" priority="2297">
      <colorScale>
        <cfvo type="min"/>
        <cfvo type="max"/>
        <color theme="0"/>
        <color theme="0"/>
      </colorScale>
    </cfRule>
    <cfRule type="expression" priority="2298">
      <formula>$F$19</formula>
    </cfRule>
  </conditionalFormatting>
  <conditionalFormatting sqref="AX68">
    <cfRule type="expression" priority="2276">
      <formula>#REF!</formula>
    </cfRule>
    <cfRule type="colorScale" priority="2275">
      <colorScale>
        <cfvo type="min"/>
        <cfvo type="max"/>
        <color theme="0"/>
        <color theme="0"/>
      </colorScale>
    </cfRule>
    <cfRule type="expression" dxfId="1321" priority="2277">
      <formula>AW68&lt;0</formula>
    </cfRule>
  </conditionalFormatting>
  <conditionalFormatting sqref="AX69:AX81">
    <cfRule type="expression" priority="2323">
      <formula>$F$19</formula>
    </cfRule>
    <cfRule type="colorScale" priority="2322">
      <colorScale>
        <cfvo type="min"/>
        <cfvo type="max"/>
        <color theme="0"/>
        <color theme="0"/>
      </colorScale>
    </cfRule>
    <cfRule type="expression" dxfId="1320" priority="2324">
      <formula>AW69&lt;0</formula>
    </cfRule>
  </conditionalFormatting>
  <conditionalFormatting sqref="AX82 AX92 AX103 AX107">
    <cfRule type="expression" dxfId="1319" priority="2321">
      <formula>AW82&lt;0</formula>
    </cfRule>
  </conditionalFormatting>
  <conditionalFormatting sqref="AX83">
    <cfRule type="colorScale" priority="2217">
      <colorScale>
        <cfvo type="min"/>
        <cfvo type="max"/>
        <color theme="0"/>
        <color theme="0"/>
      </colorScale>
    </cfRule>
    <cfRule type="expression" dxfId="1318" priority="2219">
      <formula>AW83&lt;0</formula>
    </cfRule>
    <cfRule type="expression" priority="2218">
      <formula>#REF!</formula>
    </cfRule>
  </conditionalFormatting>
  <conditionalFormatting sqref="AX84:AX91">
    <cfRule type="expression" dxfId="1317" priority="2327">
      <formula>AW84&lt;0</formula>
    </cfRule>
    <cfRule type="colorScale" priority="2325">
      <colorScale>
        <cfvo type="min"/>
        <cfvo type="max"/>
        <color theme="0"/>
        <color theme="0"/>
      </colorScale>
    </cfRule>
    <cfRule type="expression" priority="2326">
      <formula>$F$19</formula>
    </cfRule>
  </conditionalFormatting>
  <conditionalFormatting sqref="AX92 AX82 AX103 AX107">
    <cfRule type="colorScale" priority="2320">
      <colorScale>
        <cfvo type="min"/>
        <cfvo type="max"/>
        <color theme="0"/>
        <color theme="0"/>
      </colorScale>
    </cfRule>
  </conditionalFormatting>
  <conditionalFormatting sqref="AX93">
    <cfRule type="expression" dxfId="1316" priority="2274">
      <formula>AW93&lt;0</formula>
    </cfRule>
    <cfRule type="expression" priority="2273">
      <formula>#REF!</formula>
    </cfRule>
    <cfRule type="colorScale" priority="2272">
      <colorScale>
        <cfvo type="min"/>
        <cfvo type="max"/>
        <color theme="0"/>
        <color theme="0"/>
      </colorScale>
    </cfRule>
  </conditionalFormatting>
  <conditionalFormatting sqref="AX94:AX102">
    <cfRule type="colorScale" priority="2328">
      <colorScale>
        <cfvo type="min"/>
        <cfvo type="max"/>
        <color theme="0"/>
        <color theme="0"/>
      </colorScale>
    </cfRule>
    <cfRule type="expression" priority="2329">
      <formula>$F$19</formula>
    </cfRule>
    <cfRule type="expression" dxfId="1315" priority="2330">
      <formula>AW94&lt;0</formula>
    </cfRule>
  </conditionalFormatting>
  <conditionalFormatting sqref="AX104">
    <cfRule type="colorScale" priority="2269">
      <colorScale>
        <cfvo type="min"/>
        <cfvo type="max"/>
        <color theme="0"/>
        <color theme="0"/>
      </colorScale>
    </cfRule>
    <cfRule type="expression" dxfId="1314" priority="2271">
      <formula>AW104&lt;0</formula>
    </cfRule>
    <cfRule type="expression" priority="2270">
      <formula>#REF!</formula>
    </cfRule>
  </conditionalFormatting>
  <conditionalFormatting sqref="AX105:AX106">
    <cfRule type="expression" dxfId="1313" priority="2333">
      <formula>AW105&lt;0</formula>
    </cfRule>
    <cfRule type="colorScale" priority="2331">
      <colorScale>
        <cfvo type="min"/>
        <cfvo type="max"/>
        <color theme="0"/>
        <color theme="0"/>
      </colorScale>
    </cfRule>
    <cfRule type="expression" priority="2332">
      <formula>$F$19</formula>
    </cfRule>
  </conditionalFormatting>
  <conditionalFormatting sqref="AX110">
    <cfRule type="colorScale" priority="2334">
      <colorScale>
        <cfvo type="min"/>
        <cfvo type="max"/>
        <color theme="0"/>
        <color theme="0"/>
      </colorScale>
    </cfRule>
    <cfRule type="expression" dxfId="1312" priority="2335">
      <formula>AW110&lt;0</formula>
    </cfRule>
  </conditionalFormatting>
  <conditionalFormatting sqref="AX110:AX111">
    <cfRule type="expression" priority="2214">
      <formula>$F$19</formula>
    </cfRule>
  </conditionalFormatting>
  <conditionalFormatting sqref="AX111">
    <cfRule type="expression" dxfId="1311" priority="2215">
      <formula>AW111&lt;0</formula>
    </cfRule>
    <cfRule type="colorScale" priority="2213">
      <colorScale>
        <cfvo type="min"/>
        <cfvo type="max"/>
        <color theme="0"/>
        <color theme="0"/>
      </colorScale>
    </cfRule>
  </conditionalFormatting>
  <conditionalFormatting sqref="AX117:AX123">
    <cfRule type="expression" priority="2340">
      <formula>$F$19</formula>
    </cfRule>
    <cfRule type="colorScale" priority="2339">
      <colorScale>
        <cfvo type="min"/>
        <cfvo type="max"/>
        <color theme="0"/>
        <color theme="0"/>
      </colorScale>
    </cfRule>
    <cfRule type="expression" dxfId="1310" priority="2341">
      <formula>AW117&lt;0</formula>
    </cfRule>
  </conditionalFormatting>
  <conditionalFormatting sqref="AX125">
    <cfRule type="expression" dxfId="1309" priority="2268">
      <formula>AW125&lt;0</formula>
    </cfRule>
    <cfRule type="expression" priority="2267">
      <formula>#REF!</formula>
    </cfRule>
    <cfRule type="colorScale" priority="2266">
      <colorScale>
        <cfvo type="min"/>
        <cfvo type="max"/>
        <color theme="0"/>
        <color theme="0"/>
      </colorScale>
    </cfRule>
  </conditionalFormatting>
  <conditionalFormatting sqref="AX125:AX135">
    <cfRule type="expression" dxfId="1308" priority="2265">
      <formula>IF(AX125="Validar","Rojo","Verde")</formula>
    </cfRule>
  </conditionalFormatting>
  <conditionalFormatting sqref="AX126:AX132">
    <cfRule type="expression" dxfId="1307" priority="2344">
      <formula>AW126&lt;0</formula>
    </cfRule>
    <cfRule type="colorScale" priority="2342">
      <colorScale>
        <cfvo type="min"/>
        <cfvo type="max"/>
        <color theme="0"/>
        <color theme="0"/>
      </colorScale>
    </cfRule>
  </conditionalFormatting>
  <conditionalFormatting sqref="AX126:AX134">
    <cfRule type="expression" priority="2343">
      <formula>$F$19</formula>
    </cfRule>
  </conditionalFormatting>
  <conditionalFormatting sqref="AX133:AX134">
    <cfRule type="expression" dxfId="1306" priority="2346">
      <formula>AW133&lt;0</formula>
    </cfRule>
    <cfRule type="colorScale" priority="2345">
      <colorScale>
        <cfvo type="min"/>
        <cfvo type="max"/>
        <color theme="0"/>
        <color theme="0"/>
      </colorScale>
    </cfRule>
  </conditionalFormatting>
  <conditionalFormatting sqref="AX135">
    <cfRule type="expression" dxfId="1305" priority="2338">
      <formula>AW135&lt;0</formula>
    </cfRule>
    <cfRule type="expression" priority="2337">
      <formula>$F$23</formula>
    </cfRule>
    <cfRule type="colorScale" priority="2336">
      <colorScale>
        <cfvo type="min"/>
        <cfvo type="max"/>
        <color theme="0"/>
        <color theme="0"/>
      </colorScale>
    </cfRule>
  </conditionalFormatting>
  <conditionalFormatting sqref="AX110:AY111">
    <cfRule type="expression" dxfId="1304" priority="2209">
      <formula>IF(AX110="Validar","Rojo","Verde")</formula>
    </cfRule>
  </conditionalFormatting>
  <conditionalFormatting sqref="AX117:AY123">
    <cfRule type="expression" dxfId="1303" priority="2222">
      <formula>IF(AX117="Validar","Rojo","Verde")</formula>
    </cfRule>
  </conditionalFormatting>
  <conditionalFormatting sqref="AY40:AY66">
    <cfRule type="colorScale" priority="2257">
      <colorScale>
        <cfvo type="min"/>
        <cfvo type="max"/>
        <color theme="0"/>
        <color theme="0"/>
      </colorScale>
    </cfRule>
    <cfRule type="expression" dxfId="1302" priority="2259">
      <formula>AX40&lt;0</formula>
    </cfRule>
    <cfRule type="expression" priority="2258">
      <formula>#REF!</formula>
    </cfRule>
  </conditionalFormatting>
  <conditionalFormatting sqref="AY40:AY67">
    <cfRule type="expression" dxfId="1301" priority="2256">
      <formula>IF(AY40="Validar","Rojo","Verde")</formula>
    </cfRule>
  </conditionalFormatting>
  <conditionalFormatting sqref="AY67 AX82:AY82 AX92:AY92 AX103:AY103 AX107:AY107">
    <cfRule type="expression" priority="2261">
      <formula>$F$23</formula>
    </cfRule>
  </conditionalFormatting>
  <conditionalFormatting sqref="AY67 AY82 AY92 AY103 AY107">
    <cfRule type="expression" dxfId="1300" priority="2262">
      <formula>AX67&lt;0</formula>
    </cfRule>
  </conditionalFormatting>
  <conditionalFormatting sqref="AY69">
    <cfRule type="expression" dxfId="1299" priority="2255">
      <formula>AX69&lt;0</formula>
    </cfRule>
    <cfRule type="colorScale" priority="2254">
      <colorScale>
        <cfvo type="min"/>
        <cfvo type="max"/>
        <color theme="0"/>
        <color theme="0"/>
      </colorScale>
    </cfRule>
  </conditionalFormatting>
  <conditionalFormatting sqref="AY69:AY81">
    <cfRule type="expression" priority="2252">
      <formula>#REF!</formula>
    </cfRule>
  </conditionalFormatting>
  <conditionalFormatting sqref="AY69:AY82">
    <cfRule type="expression" dxfId="1298" priority="2250">
      <formula>IF(AY69="Validar","Rojo","Verde")</formula>
    </cfRule>
  </conditionalFormatting>
  <conditionalFormatting sqref="AY70:AY78">
    <cfRule type="colorScale" priority="2251">
      <colorScale>
        <cfvo type="min"/>
        <cfvo type="max"/>
        <color theme="0"/>
        <color theme="0"/>
      </colorScale>
    </cfRule>
    <cfRule type="expression" dxfId="1297" priority="2253">
      <formula>AX70&lt;0</formula>
    </cfRule>
  </conditionalFormatting>
  <conditionalFormatting sqref="AY79:AY81">
    <cfRule type="expression" dxfId="1296" priority="2264">
      <formula>AX79&lt;0</formula>
    </cfRule>
    <cfRule type="colorScale" priority="2263">
      <colorScale>
        <cfvo type="min"/>
        <cfvo type="max"/>
        <color theme="0"/>
        <color theme="0"/>
      </colorScale>
    </cfRule>
  </conditionalFormatting>
  <conditionalFormatting sqref="AY82 AY67 AY92 AY103 AY107">
    <cfRule type="colorScale" priority="2260">
      <colorScale>
        <cfvo type="min"/>
        <cfvo type="max"/>
        <color theme="0"/>
        <color theme="0"/>
      </colorScale>
    </cfRule>
  </conditionalFormatting>
  <conditionalFormatting sqref="AY84">
    <cfRule type="colorScale" priority="2248">
      <colorScale>
        <cfvo type="min"/>
        <cfvo type="max"/>
        <color theme="0"/>
        <color theme="0"/>
      </colorScale>
    </cfRule>
    <cfRule type="expression" dxfId="1295" priority="2249">
      <formula>AX84&lt;0</formula>
    </cfRule>
  </conditionalFormatting>
  <conditionalFormatting sqref="AY84:AY91">
    <cfRule type="expression" priority="2246">
      <formula>#REF!</formula>
    </cfRule>
  </conditionalFormatting>
  <conditionalFormatting sqref="AY84:AY92">
    <cfRule type="expression" dxfId="1294" priority="2244">
      <formula>IF(AY84="Validar","Rojo","Verde")</formula>
    </cfRule>
  </conditionalFormatting>
  <conditionalFormatting sqref="AY85:AY91">
    <cfRule type="colorScale" priority="2245">
      <colorScale>
        <cfvo type="min"/>
        <cfvo type="max"/>
        <color theme="0"/>
        <color theme="0"/>
      </colorScale>
    </cfRule>
    <cfRule type="expression" dxfId="1293" priority="2247">
      <formula>AX85&lt;0</formula>
    </cfRule>
  </conditionalFormatting>
  <conditionalFormatting sqref="AY94">
    <cfRule type="expression" dxfId="1292" priority="2243">
      <formula>AX94&lt;0</formula>
    </cfRule>
    <cfRule type="colorScale" priority="2242">
      <colorScale>
        <cfvo type="min"/>
        <cfvo type="max"/>
        <color theme="0"/>
        <color theme="0"/>
      </colorScale>
    </cfRule>
  </conditionalFormatting>
  <conditionalFormatting sqref="AY94:AY102">
    <cfRule type="expression" priority="2236">
      <formula>#REF!</formula>
    </cfRule>
  </conditionalFormatting>
  <conditionalFormatting sqref="AY94:AY103">
    <cfRule type="expression" dxfId="1291" priority="2234">
      <formula>IF(AY94="Validar","Rojo","Verde")</formula>
    </cfRule>
  </conditionalFormatting>
  <conditionalFormatting sqref="AY95:AY100">
    <cfRule type="colorScale" priority="2240">
      <colorScale>
        <cfvo type="min"/>
        <cfvo type="max"/>
        <color theme="0"/>
        <color theme="0"/>
      </colorScale>
    </cfRule>
    <cfRule type="expression" dxfId="1290" priority="2241">
      <formula>AX95&lt;0</formula>
    </cfRule>
  </conditionalFormatting>
  <conditionalFormatting sqref="AY101">
    <cfRule type="colorScale" priority="2238">
      <colorScale>
        <cfvo type="min"/>
        <cfvo type="max"/>
        <color theme="0"/>
        <color theme="0"/>
      </colorScale>
    </cfRule>
    <cfRule type="expression" dxfId="1289" priority="2239">
      <formula>AX101&lt;0</formula>
    </cfRule>
  </conditionalFormatting>
  <conditionalFormatting sqref="AY102">
    <cfRule type="expression" dxfId="1288" priority="2237">
      <formula>AX102&lt;0</formula>
    </cfRule>
    <cfRule type="colorScale" priority="2235">
      <colorScale>
        <cfvo type="min"/>
        <cfvo type="max"/>
        <color theme="0"/>
        <color theme="0"/>
      </colorScale>
    </cfRule>
  </conditionalFormatting>
  <conditionalFormatting sqref="AY105">
    <cfRule type="colorScale" priority="2232">
      <colorScale>
        <cfvo type="min"/>
        <cfvo type="max"/>
        <color theme="0"/>
        <color theme="0"/>
      </colorScale>
    </cfRule>
    <cfRule type="expression" dxfId="1287" priority="2233">
      <formula>AX105&lt;0</formula>
    </cfRule>
  </conditionalFormatting>
  <conditionalFormatting sqref="AY105:AY106">
    <cfRule type="expression" priority="2230">
      <formula>#REF!</formula>
    </cfRule>
  </conditionalFormatting>
  <conditionalFormatting sqref="AY105:AY107">
    <cfRule type="expression" dxfId="1286" priority="2228">
      <formula>IF(AY105="Validar","Rojo","Verde")</formula>
    </cfRule>
  </conditionalFormatting>
  <conditionalFormatting sqref="AY106">
    <cfRule type="expression" dxfId="1285" priority="2231">
      <formula>AX106&lt;0</formula>
    </cfRule>
    <cfRule type="colorScale" priority="2229">
      <colorScale>
        <cfvo type="min"/>
        <cfvo type="max"/>
        <color theme="0"/>
        <color theme="0"/>
      </colorScale>
    </cfRule>
  </conditionalFormatting>
  <conditionalFormatting sqref="AY110">
    <cfRule type="colorScale" priority="2220">
      <colorScale>
        <cfvo type="min"/>
        <cfvo type="max"/>
        <color theme="0"/>
        <color theme="0"/>
      </colorScale>
    </cfRule>
    <cfRule type="expression" dxfId="1284" priority="2221">
      <formula>AX110&lt;0</formula>
    </cfRule>
  </conditionalFormatting>
  <conditionalFormatting sqref="AY110:AY111">
    <cfRule type="expression" priority="2211">
      <formula>#REF!</formula>
    </cfRule>
  </conditionalFormatting>
  <conditionalFormatting sqref="AY111">
    <cfRule type="expression" dxfId="1283" priority="2212">
      <formula>AX111&lt;0</formula>
    </cfRule>
    <cfRule type="colorScale" priority="2210">
      <colorScale>
        <cfvo type="min"/>
        <cfvo type="max"/>
        <color theme="0"/>
        <color theme="0"/>
      </colorScale>
    </cfRule>
  </conditionalFormatting>
  <conditionalFormatting sqref="AY117">
    <cfRule type="expression" dxfId="1282" priority="2227">
      <formula>AX117&lt;0</formula>
    </cfRule>
    <cfRule type="colorScale" priority="2226">
      <colorScale>
        <cfvo type="min"/>
        <cfvo type="max"/>
        <color theme="0"/>
        <color theme="0"/>
      </colorScale>
    </cfRule>
  </conditionalFormatting>
  <conditionalFormatting sqref="AY117:AY123">
    <cfRule type="expression" priority="2224">
      <formula>#REF!</formula>
    </cfRule>
  </conditionalFormatting>
  <conditionalFormatting sqref="AY118:AY123">
    <cfRule type="colorScale" priority="2223">
      <colorScale>
        <cfvo type="min"/>
        <cfvo type="max"/>
        <color theme="0"/>
        <color theme="0"/>
      </colorScale>
    </cfRule>
    <cfRule type="expression" dxfId="1281" priority="2225">
      <formula>AX118&lt;0</formula>
    </cfRule>
  </conditionalFormatting>
  <conditionalFormatting sqref="AY126:AY135">
    <cfRule type="expression" dxfId="1280" priority="2350">
      <formula>AX126&lt;0</formula>
    </cfRule>
    <cfRule type="expression" priority="2349">
      <formula>$F$23</formula>
    </cfRule>
    <cfRule type="colorScale" priority="2348">
      <colorScale>
        <cfvo type="min"/>
        <cfvo type="max"/>
        <color theme="0"/>
        <color theme="0"/>
      </colorScale>
    </cfRule>
    <cfRule type="expression" dxfId="1279" priority="2347">
      <formula>IF(AY126="Validar","Rojo","Verde")</formula>
    </cfRule>
  </conditionalFormatting>
  <conditionalFormatting sqref="BA5 BA9">
    <cfRule type="expression" dxfId="1278" priority="173">
      <formula>AZ5&lt;0</formula>
    </cfRule>
    <cfRule type="colorScale" priority="172">
      <colorScale>
        <cfvo type="min"/>
        <cfvo type="max"/>
        <color theme="0"/>
        <color theme="0"/>
      </colorScale>
    </cfRule>
  </conditionalFormatting>
  <conditionalFormatting sqref="BA5:BA20">
    <cfRule type="expression" dxfId="1277" priority="101">
      <formula>IF(BA5="Validar","Rojo","Verde")</formula>
    </cfRule>
    <cfRule type="expression" priority="102">
      <formula>#REF!</formula>
    </cfRule>
  </conditionalFormatting>
  <conditionalFormatting sqref="BA6">
    <cfRule type="expression" dxfId="1276" priority="108">
      <formula>AZ6&lt;0</formula>
    </cfRule>
    <cfRule type="colorScale" priority="107">
      <colorScale>
        <cfvo type="min"/>
        <cfvo type="max"/>
        <color theme="0"/>
        <color theme="0"/>
      </colorScale>
    </cfRule>
  </conditionalFormatting>
  <conditionalFormatting sqref="BA7:BA8">
    <cfRule type="colorScale" priority="103">
      <colorScale>
        <cfvo type="min"/>
        <cfvo type="max"/>
        <color theme="0"/>
        <color theme="0"/>
      </colorScale>
    </cfRule>
    <cfRule type="expression" dxfId="1275" priority="104">
      <formula>AZ7&lt;0</formula>
    </cfRule>
  </conditionalFormatting>
  <conditionalFormatting sqref="BA10">
    <cfRule type="colorScale" priority="149">
      <colorScale>
        <cfvo type="min"/>
        <cfvo type="max"/>
        <color theme="0"/>
        <color theme="0"/>
      </colorScale>
    </cfRule>
    <cfRule type="expression" dxfId="1274" priority="150">
      <formula>AZ10&lt;0</formula>
    </cfRule>
  </conditionalFormatting>
  <conditionalFormatting sqref="BA11:BA14">
    <cfRule type="colorScale" priority="170">
      <colorScale>
        <cfvo type="min"/>
        <cfvo type="max"/>
        <color theme="0"/>
        <color theme="0"/>
      </colorScale>
    </cfRule>
    <cfRule type="expression" dxfId="1273" priority="171">
      <formula>AZ11&lt;0</formula>
    </cfRule>
  </conditionalFormatting>
  <conditionalFormatting sqref="BA15">
    <cfRule type="colorScale" priority="147">
      <colorScale>
        <cfvo type="min"/>
        <cfvo type="max"/>
        <color theme="0"/>
        <color theme="0"/>
      </colorScale>
    </cfRule>
    <cfRule type="expression" dxfId="1272" priority="148">
      <formula>AZ15&lt;0</formula>
    </cfRule>
  </conditionalFormatting>
  <conditionalFormatting sqref="BA16:BA17">
    <cfRule type="colorScale" priority="168">
      <colorScale>
        <cfvo type="min"/>
        <cfvo type="max"/>
        <color theme="0"/>
        <color theme="0"/>
      </colorScale>
    </cfRule>
    <cfRule type="expression" dxfId="1271" priority="169">
      <formula>AZ16&lt;0</formula>
    </cfRule>
  </conditionalFormatting>
  <conditionalFormatting sqref="BA18">
    <cfRule type="expression" dxfId="1270" priority="146">
      <formula>AZ18&lt;0</formula>
    </cfRule>
    <cfRule type="colorScale" priority="144">
      <colorScale>
        <cfvo type="min"/>
        <cfvo type="max"/>
        <color theme="0"/>
        <color theme="0"/>
      </colorScale>
    </cfRule>
  </conditionalFormatting>
  <conditionalFormatting sqref="BA19:BA20">
    <cfRule type="colorScale" priority="166">
      <colorScale>
        <cfvo type="min"/>
        <cfvo type="max"/>
        <color theme="0"/>
        <color theme="0"/>
      </colorScale>
    </cfRule>
    <cfRule type="expression" dxfId="1269" priority="167">
      <formula>AZ19&lt;0</formula>
    </cfRule>
  </conditionalFormatting>
  <conditionalFormatting sqref="BA23">
    <cfRule type="colorScale" priority="141">
      <colorScale>
        <cfvo type="min"/>
        <cfvo type="max"/>
        <color theme="0"/>
        <color theme="0"/>
      </colorScale>
    </cfRule>
    <cfRule type="expression" dxfId="1268" priority="142">
      <formula>AZ23&lt;0</formula>
    </cfRule>
  </conditionalFormatting>
  <conditionalFormatting sqref="BA23:BA31">
    <cfRule type="expression" priority="137">
      <formula>#REF!</formula>
    </cfRule>
    <cfRule type="expression" dxfId="1267" priority="135">
      <formula>IF(BA23="Validar","Rojo","Verde")</formula>
    </cfRule>
  </conditionalFormatting>
  <conditionalFormatting sqref="BA24">
    <cfRule type="colorScale" priority="164">
      <colorScale>
        <cfvo type="min"/>
        <cfvo type="max"/>
        <color theme="0"/>
        <color theme="0"/>
      </colorScale>
    </cfRule>
    <cfRule type="expression" dxfId="1266" priority="165">
      <formula>AZ24&lt;0</formula>
    </cfRule>
  </conditionalFormatting>
  <conditionalFormatting sqref="BA25">
    <cfRule type="expression" dxfId="1265" priority="163">
      <formula>AZ25&lt;0</formula>
    </cfRule>
    <cfRule type="colorScale" priority="162">
      <colorScale>
        <cfvo type="min"/>
        <cfvo type="max"/>
        <color theme="0"/>
        <color theme="0"/>
      </colorScale>
    </cfRule>
  </conditionalFormatting>
  <conditionalFormatting sqref="BA26">
    <cfRule type="colorScale" priority="139">
      <colorScale>
        <cfvo type="min"/>
        <cfvo type="max"/>
        <color theme="0"/>
        <color theme="0"/>
      </colorScale>
    </cfRule>
    <cfRule type="expression" dxfId="1264" priority="140">
      <formula>AZ26&lt;0</formula>
    </cfRule>
  </conditionalFormatting>
  <conditionalFormatting sqref="BA27">
    <cfRule type="expression" dxfId="1263" priority="161">
      <formula>AZ27&lt;0</formula>
    </cfRule>
    <cfRule type="colorScale" priority="160">
      <colorScale>
        <cfvo type="min"/>
        <cfvo type="max"/>
        <color theme="0"/>
        <color theme="0"/>
      </colorScale>
    </cfRule>
  </conditionalFormatting>
  <conditionalFormatting sqref="BA28">
    <cfRule type="colorScale" priority="158">
      <colorScale>
        <cfvo type="min"/>
        <cfvo type="max"/>
        <color theme="0"/>
        <color theme="0"/>
      </colorScale>
    </cfRule>
    <cfRule type="expression" dxfId="1262" priority="159">
      <formula>AZ28&lt;0</formula>
    </cfRule>
  </conditionalFormatting>
  <conditionalFormatting sqref="BA29">
    <cfRule type="colorScale" priority="136">
      <colorScale>
        <cfvo type="min"/>
        <cfvo type="max"/>
        <color theme="0"/>
        <color theme="0"/>
      </colorScale>
    </cfRule>
    <cfRule type="expression" dxfId="1261" priority="138">
      <formula>AZ29&lt;0</formula>
    </cfRule>
  </conditionalFormatting>
  <conditionalFormatting sqref="BA30">
    <cfRule type="colorScale" priority="156">
      <colorScale>
        <cfvo type="min"/>
        <cfvo type="max"/>
        <color theme="0"/>
        <color theme="0"/>
      </colorScale>
    </cfRule>
    <cfRule type="expression" dxfId="1260" priority="157">
      <formula>AZ30&lt;0</formula>
    </cfRule>
  </conditionalFormatting>
  <conditionalFormatting sqref="BA31">
    <cfRule type="colorScale" priority="154">
      <colorScale>
        <cfvo type="min"/>
        <cfvo type="max"/>
        <color theme="0"/>
        <color theme="0"/>
      </colorScale>
    </cfRule>
    <cfRule type="expression" dxfId="1259" priority="155">
      <formula>AZ31&lt;0</formula>
    </cfRule>
  </conditionalFormatting>
  <conditionalFormatting sqref="BA39">
    <cfRule type="colorScale" priority="132">
      <colorScale>
        <cfvo type="min"/>
        <cfvo type="max"/>
        <color theme="0"/>
        <color theme="0"/>
      </colorScale>
    </cfRule>
    <cfRule type="expression" priority="133">
      <formula>#REF!</formula>
    </cfRule>
    <cfRule type="expression" dxfId="1258" priority="134">
      <formula>AZ39&lt;0</formula>
    </cfRule>
  </conditionalFormatting>
  <conditionalFormatting sqref="BA39:BA107">
    <cfRule type="expression" dxfId="1257" priority="113">
      <formula>IF(BA39="Validar","Rojo","Verde")</formula>
    </cfRule>
  </conditionalFormatting>
  <conditionalFormatting sqref="BA40:BA67">
    <cfRule type="expression" priority="152">
      <formula>$F$19</formula>
    </cfRule>
    <cfRule type="expression" dxfId="1256" priority="153">
      <formula>AZ40&lt;0</formula>
    </cfRule>
    <cfRule type="colorScale" priority="151">
      <colorScale>
        <cfvo type="min"/>
        <cfvo type="max"/>
        <color theme="0"/>
        <color theme="0"/>
      </colorScale>
    </cfRule>
  </conditionalFormatting>
  <conditionalFormatting sqref="BA68">
    <cfRule type="colorScale" priority="129">
      <colorScale>
        <cfvo type="min"/>
        <cfvo type="max"/>
        <color theme="0"/>
        <color theme="0"/>
      </colorScale>
    </cfRule>
    <cfRule type="expression" priority="130">
      <formula>#REF!</formula>
    </cfRule>
    <cfRule type="expression" dxfId="1255" priority="131">
      <formula>AZ68&lt;0</formula>
    </cfRule>
  </conditionalFormatting>
  <conditionalFormatting sqref="BA69:BA81">
    <cfRule type="expression" dxfId="1254" priority="178">
      <formula>AZ69&lt;0</formula>
    </cfRule>
    <cfRule type="expression" priority="177">
      <formula>$F$19</formula>
    </cfRule>
    <cfRule type="colorScale" priority="176">
      <colorScale>
        <cfvo type="min"/>
        <cfvo type="max"/>
        <color theme="0"/>
        <color theme="0"/>
      </colorScale>
    </cfRule>
  </conditionalFormatting>
  <conditionalFormatting sqref="BA82 BA92 BA103 BA107">
    <cfRule type="expression" priority="118">
      <formula>$F$23</formula>
    </cfRule>
    <cfRule type="expression" dxfId="1253" priority="175">
      <formula>AZ82&lt;0</formula>
    </cfRule>
  </conditionalFormatting>
  <conditionalFormatting sqref="BA83">
    <cfRule type="expression" priority="115">
      <formula>#REF!</formula>
    </cfRule>
    <cfRule type="expression" dxfId="1252" priority="116">
      <formula>AZ83&lt;0</formula>
    </cfRule>
    <cfRule type="colorScale" priority="114">
      <colorScale>
        <cfvo type="min"/>
        <cfvo type="max"/>
        <color theme="0"/>
        <color theme="0"/>
      </colorScale>
    </cfRule>
  </conditionalFormatting>
  <conditionalFormatting sqref="BA84:BA91">
    <cfRule type="colorScale" priority="179">
      <colorScale>
        <cfvo type="min"/>
        <cfvo type="max"/>
        <color theme="0"/>
        <color theme="0"/>
      </colorScale>
    </cfRule>
    <cfRule type="expression" priority="180">
      <formula>$F$19</formula>
    </cfRule>
    <cfRule type="expression" dxfId="1251" priority="181">
      <formula>AZ84&lt;0</formula>
    </cfRule>
  </conditionalFormatting>
  <conditionalFormatting sqref="BA92 BA82 BA103 BA107">
    <cfRule type="colorScale" priority="174">
      <colorScale>
        <cfvo type="min"/>
        <cfvo type="max"/>
        <color theme="0"/>
        <color theme="0"/>
      </colorScale>
    </cfRule>
  </conditionalFormatting>
  <conditionalFormatting sqref="BA93">
    <cfRule type="expression" dxfId="1250" priority="128">
      <formula>AZ93&lt;0</formula>
    </cfRule>
    <cfRule type="colorScale" priority="126">
      <colorScale>
        <cfvo type="min"/>
        <cfvo type="max"/>
        <color theme="0"/>
        <color theme="0"/>
      </colorScale>
    </cfRule>
    <cfRule type="expression" priority="127">
      <formula>#REF!</formula>
    </cfRule>
  </conditionalFormatting>
  <conditionalFormatting sqref="BA94:BA102">
    <cfRule type="expression" priority="183">
      <formula>$F$19</formula>
    </cfRule>
    <cfRule type="colorScale" priority="182">
      <colorScale>
        <cfvo type="min"/>
        <cfvo type="max"/>
        <color theme="0"/>
        <color theme="0"/>
      </colorScale>
    </cfRule>
    <cfRule type="expression" dxfId="1249" priority="184">
      <formula>AZ94&lt;0</formula>
    </cfRule>
  </conditionalFormatting>
  <conditionalFormatting sqref="BA104">
    <cfRule type="colorScale" priority="123">
      <colorScale>
        <cfvo type="min"/>
        <cfvo type="max"/>
        <color theme="0"/>
        <color theme="0"/>
      </colorScale>
    </cfRule>
    <cfRule type="expression" dxfId="1248" priority="125">
      <formula>AZ104&lt;0</formula>
    </cfRule>
    <cfRule type="expression" priority="124">
      <formula>#REF!</formula>
    </cfRule>
  </conditionalFormatting>
  <conditionalFormatting sqref="BA105:BA106">
    <cfRule type="expression" priority="186">
      <formula>$F$19</formula>
    </cfRule>
    <cfRule type="expression" dxfId="1247" priority="187">
      <formula>AZ105&lt;0</formula>
    </cfRule>
    <cfRule type="colorScale" priority="185">
      <colorScale>
        <cfvo type="min"/>
        <cfvo type="max"/>
        <color theme="0"/>
        <color theme="0"/>
      </colorScale>
    </cfRule>
  </conditionalFormatting>
  <conditionalFormatting sqref="BA110">
    <cfRule type="colorScale" priority="188">
      <colorScale>
        <cfvo type="min"/>
        <cfvo type="max"/>
        <color theme="0"/>
        <color theme="0"/>
      </colorScale>
    </cfRule>
    <cfRule type="expression" dxfId="1246" priority="189">
      <formula>AZ110&lt;0</formula>
    </cfRule>
  </conditionalFormatting>
  <conditionalFormatting sqref="BA110:BA111">
    <cfRule type="expression" priority="111">
      <formula>$F$19</formula>
    </cfRule>
  </conditionalFormatting>
  <conditionalFormatting sqref="BA111">
    <cfRule type="expression" dxfId="1245" priority="112">
      <formula>AZ111&lt;0</formula>
    </cfRule>
    <cfRule type="colorScale" priority="110">
      <colorScale>
        <cfvo type="min"/>
        <cfvo type="max"/>
        <color theme="0"/>
        <color theme="0"/>
      </colorScale>
    </cfRule>
  </conditionalFormatting>
  <conditionalFormatting sqref="BA117:BA123">
    <cfRule type="colorScale" priority="193">
      <colorScale>
        <cfvo type="min"/>
        <cfvo type="max"/>
        <color theme="0"/>
        <color theme="0"/>
      </colorScale>
    </cfRule>
    <cfRule type="expression" priority="194">
      <formula>$F$19</formula>
    </cfRule>
    <cfRule type="expression" dxfId="1244" priority="195">
      <formula>AZ117&lt;0</formula>
    </cfRule>
  </conditionalFormatting>
  <conditionalFormatting sqref="BA125">
    <cfRule type="expression" dxfId="1243" priority="122">
      <formula>AZ125&lt;0</formula>
    </cfRule>
    <cfRule type="expression" priority="121">
      <formula>#REF!</formula>
    </cfRule>
    <cfRule type="colorScale" priority="120">
      <colorScale>
        <cfvo type="min"/>
        <cfvo type="max"/>
        <color theme="0"/>
        <color theme="0"/>
      </colorScale>
    </cfRule>
  </conditionalFormatting>
  <conditionalFormatting sqref="BA125:BA135">
    <cfRule type="expression" dxfId="1242" priority="119">
      <formula>IF(BA125="Validar","Rojo","Verde")</formula>
    </cfRule>
  </conditionalFormatting>
  <conditionalFormatting sqref="BA126:BA132">
    <cfRule type="colorScale" priority="196">
      <colorScale>
        <cfvo type="min"/>
        <cfvo type="max"/>
        <color theme="0"/>
        <color theme="0"/>
      </colorScale>
    </cfRule>
    <cfRule type="expression" dxfId="1241" priority="198">
      <formula>AZ126&lt;0</formula>
    </cfRule>
  </conditionalFormatting>
  <conditionalFormatting sqref="BA126:BA134">
    <cfRule type="expression" priority="197">
      <formula>$F$19</formula>
    </cfRule>
  </conditionalFormatting>
  <conditionalFormatting sqref="BA133:BA134">
    <cfRule type="colorScale" priority="199">
      <colorScale>
        <cfvo type="min"/>
        <cfvo type="max"/>
        <color theme="0"/>
        <color theme="0"/>
      </colorScale>
    </cfRule>
    <cfRule type="expression" dxfId="1240" priority="200">
      <formula>AZ133&lt;0</formula>
    </cfRule>
  </conditionalFormatting>
  <conditionalFormatting sqref="BA135">
    <cfRule type="colorScale" priority="190">
      <colorScale>
        <cfvo type="min"/>
        <cfvo type="max"/>
        <color theme="0"/>
        <color theme="0"/>
      </colorScale>
    </cfRule>
    <cfRule type="expression" priority="191">
      <formula>$F$23</formula>
    </cfRule>
    <cfRule type="expression" dxfId="1239" priority="192">
      <formula>AZ135&lt;0</formula>
    </cfRule>
  </conditionalFormatting>
  <conditionalFormatting sqref="BA110:BB111">
    <cfRule type="expression" dxfId="1238" priority="109">
      <formula>IF(BA110="Validar","Rojo","Verde")</formula>
    </cfRule>
  </conditionalFormatting>
  <conditionalFormatting sqref="BA117:BB123">
    <cfRule type="expression" dxfId="1237" priority="117">
      <formula>IF(BA117="Validar","Rojo","Verde")</formula>
    </cfRule>
  </conditionalFormatting>
  <conditionalFormatting sqref="BB5">
    <cfRule type="expression" dxfId="1236" priority="5082">
      <formula>BA5&lt;0</formula>
    </cfRule>
    <cfRule type="colorScale" priority="5081">
      <colorScale>
        <cfvo type="min"/>
        <cfvo type="max"/>
        <color theme="0"/>
        <color theme="0"/>
      </colorScale>
    </cfRule>
  </conditionalFormatting>
  <conditionalFormatting sqref="BB5:BB16">
    <cfRule type="expression" priority="5055">
      <formula>#REF!</formula>
    </cfRule>
    <cfRule type="expression" dxfId="1235" priority="5053">
      <formula>IF(BB5="Validar","Rojo","Verde")</formula>
    </cfRule>
  </conditionalFormatting>
  <conditionalFormatting sqref="BB6:BB9">
    <cfRule type="expression" dxfId="1234" priority="5090">
      <formula>BA6&lt;0</formula>
    </cfRule>
    <cfRule type="colorScale" priority="5089">
      <colorScale>
        <cfvo type="min"/>
        <cfvo type="max"/>
        <color theme="0"/>
        <color theme="0"/>
      </colorScale>
    </cfRule>
  </conditionalFormatting>
  <conditionalFormatting sqref="BB10">
    <cfRule type="expression" dxfId="1233" priority="5058">
      <formula>BA10&lt;0</formula>
    </cfRule>
    <cfRule type="colorScale" priority="5057">
      <colorScale>
        <cfvo type="min"/>
        <cfvo type="max"/>
        <color theme="0"/>
        <color theme="0"/>
      </colorScale>
    </cfRule>
  </conditionalFormatting>
  <conditionalFormatting sqref="BB11:BB14">
    <cfRule type="expression" dxfId="1232" priority="5088">
      <formula>BA11&lt;0</formula>
    </cfRule>
    <cfRule type="colorScale" priority="5087">
      <colorScale>
        <cfvo type="min"/>
        <cfvo type="max"/>
        <color theme="0"/>
        <color theme="0"/>
      </colorScale>
    </cfRule>
  </conditionalFormatting>
  <conditionalFormatting sqref="BB15">
    <cfRule type="expression" dxfId="1231" priority="5056">
      <formula>BA15&lt;0</formula>
    </cfRule>
    <cfRule type="colorScale" priority="5054">
      <colorScale>
        <cfvo type="min"/>
        <cfvo type="max"/>
        <color theme="0"/>
        <color theme="0"/>
      </colorScale>
    </cfRule>
  </conditionalFormatting>
  <conditionalFormatting sqref="BB16">
    <cfRule type="colorScale" priority="5085">
      <colorScale>
        <cfvo type="min"/>
        <cfvo type="max"/>
        <color theme="0"/>
        <color theme="0"/>
      </colorScale>
    </cfRule>
    <cfRule type="expression" dxfId="1230" priority="5086">
      <formula>BA16&lt;0</formula>
    </cfRule>
  </conditionalFormatting>
  <conditionalFormatting sqref="BB18">
    <cfRule type="colorScale" priority="5050">
      <colorScale>
        <cfvo type="min"/>
        <cfvo type="max"/>
        <color theme="0"/>
        <color theme="0"/>
      </colorScale>
    </cfRule>
    <cfRule type="expression" dxfId="1229" priority="5052">
      <formula>BA18&lt;0</formula>
    </cfRule>
  </conditionalFormatting>
  <conditionalFormatting sqref="BB18:BB19">
    <cfRule type="expression" dxfId="1228" priority="5049">
      <formula>IF(BB18="Validar","Rojo","Verde")</formula>
    </cfRule>
    <cfRule type="expression" priority="5051">
      <formula>#REF!</formula>
    </cfRule>
  </conditionalFormatting>
  <conditionalFormatting sqref="BB19">
    <cfRule type="colorScale" priority="5083">
      <colorScale>
        <cfvo type="min"/>
        <cfvo type="max"/>
        <color theme="0"/>
        <color theme="0"/>
      </colorScale>
    </cfRule>
    <cfRule type="expression" dxfId="1227" priority="5084">
      <formula>BA19&lt;0</formula>
    </cfRule>
  </conditionalFormatting>
  <conditionalFormatting sqref="BB23">
    <cfRule type="expression" dxfId="1226" priority="5048">
      <formula>BA23&lt;0</formula>
    </cfRule>
    <cfRule type="colorScale" priority="5046">
      <colorScale>
        <cfvo type="min"/>
        <cfvo type="max"/>
        <color theme="0"/>
        <color theme="0"/>
      </colorScale>
    </cfRule>
  </conditionalFormatting>
  <conditionalFormatting sqref="BB23:BB24">
    <cfRule type="expression" priority="5047">
      <formula>#REF!</formula>
    </cfRule>
    <cfRule type="expression" dxfId="1225" priority="5045">
      <formula>IF(BB23="Validar","Rojo","Verde")</formula>
    </cfRule>
  </conditionalFormatting>
  <conditionalFormatting sqref="BB24">
    <cfRule type="colorScale" priority="5079">
      <colorScale>
        <cfvo type="min"/>
        <cfvo type="max"/>
        <color theme="0"/>
        <color theme="0"/>
      </colorScale>
    </cfRule>
    <cfRule type="expression" dxfId="1224" priority="5080">
      <formula>BA24&lt;0</formula>
    </cfRule>
  </conditionalFormatting>
  <conditionalFormatting sqref="BB26">
    <cfRule type="colorScale" priority="5042">
      <colorScale>
        <cfvo type="min"/>
        <cfvo type="max"/>
        <color theme="0"/>
        <color theme="0"/>
      </colorScale>
    </cfRule>
    <cfRule type="expression" dxfId="1223" priority="5044">
      <formula>BA26&lt;0</formula>
    </cfRule>
  </conditionalFormatting>
  <conditionalFormatting sqref="BB26:BB27">
    <cfRule type="expression" dxfId="1222" priority="5041">
      <formula>IF(BB26="Validar","Rojo","Verde")</formula>
    </cfRule>
    <cfRule type="expression" priority="5043">
      <formula>#REF!</formula>
    </cfRule>
  </conditionalFormatting>
  <conditionalFormatting sqref="BB27">
    <cfRule type="colorScale" priority="5077">
      <colorScale>
        <cfvo type="min"/>
        <cfvo type="max"/>
        <color theme="0"/>
        <color theme="0"/>
      </colorScale>
    </cfRule>
    <cfRule type="expression" dxfId="1221" priority="5078">
      <formula>BA27&lt;0</formula>
    </cfRule>
  </conditionalFormatting>
  <conditionalFormatting sqref="BB29">
    <cfRule type="colorScale" priority="5038">
      <colorScale>
        <cfvo type="min"/>
        <cfvo type="max"/>
        <color theme="0"/>
        <color theme="0"/>
      </colorScale>
    </cfRule>
    <cfRule type="expression" dxfId="1220" priority="5040">
      <formula>BA29&lt;0</formula>
    </cfRule>
  </conditionalFormatting>
  <conditionalFormatting sqref="BB29:BB30">
    <cfRule type="expression" dxfId="1219" priority="5037">
      <formula>IF(BB29="Validar","Rojo","Verde")</formula>
    </cfRule>
    <cfRule type="expression" priority="5039">
      <formula>#REF!</formula>
    </cfRule>
  </conditionalFormatting>
  <conditionalFormatting sqref="BB30">
    <cfRule type="expression" dxfId="1218" priority="5076">
      <formula>BA30&lt;0</formula>
    </cfRule>
    <cfRule type="colorScale" priority="5075">
      <colorScale>
        <cfvo type="min"/>
        <cfvo type="max"/>
        <color theme="0"/>
        <color theme="0"/>
      </colorScale>
    </cfRule>
  </conditionalFormatting>
  <conditionalFormatting sqref="BB39">
    <cfRule type="expression" dxfId="1217" priority="5036">
      <formula>BA39&lt;0</formula>
    </cfRule>
    <cfRule type="colorScale" priority="5034">
      <colorScale>
        <cfvo type="min"/>
        <cfvo type="max"/>
        <color theme="0"/>
        <color theme="0"/>
      </colorScale>
    </cfRule>
  </conditionalFormatting>
  <conditionalFormatting sqref="BB39:BB66">
    <cfRule type="expression" priority="5035">
      <formula>#REF!</formula>
    </cfRule>
    <cfRule type="expression" dxfId="1216" priority="5033">
      <formula>IF(BB39="Validar","Rojo","Verde")</formula>
    </cfRule>
  </conditionalFormatting>
  <conditionalFormatting sqref="BB40:BB66">
    <cfRule type="expression" dxfId="1215" priority="5074">
      <formula>BA40&lt;0</formula>
    </cfRule>
    <cfRule type="colorScale" priority="5073">
      <colorScale>
        <cfvo type="min"/>
        <cfvo type="max"/>
        <color theme="0"/>
        <color theme="0"/>
      </colorScale>
    </cfRule>
  </conditionalFormatting>
  <conditionalFormatting sqref="BB68">
    <cfRule type="expression" dxfId="1214" priority="5032">
      <formula>BA68&lt;0</formula>
    </cfRule>
    <cfRule type="colorScale" priority="5030">
      <colorScale>
        <cfvo type="min"/>
        <cfvo type="max"/>
        <color theme="0"/>
        <color theme="0"/>
      </colorScale>
    </cfRule>
  </conditionalFormatting>
  <conditionalFormatting sqref="BB68:BB81">
    <cfRule type="expression" priority="5031">
      <formula>#REF!</formula>
    </cfRule>
    <cfRule type="expression" dxfId="1213" priority="5029">
      <formula>IF(BB68="Validar","Rojo","Verde")</formula>
    </cfRule>
  </conditionalFormatting>
  <conditionalFormatting sqref="BB69:BB81">
    <cfRule type="expression" dxfId="1212" priority="5092">
      <formula>BA69&lt;0</formula>
    </cfRule>
    <cfRule type="colorScale" priority="5091">
      <colorScale>
        <cfvo type="min"/>
        <cfvo type="max"/>
        <color theme="0"/>
        <color theme="0"/>
      </colorScale>
    </cfRule>
  </conditionalFormatting>
  <conditionalFormatting sqref="BB83">
    <cfRule type="expression" dxfId="1211" priority="5015">
      <formula>BA83&lt;0</formula>
    </cfRule>
    <cfRule type="colorScale" priority="5013">
      <colorScale>
        <cfvo type="min"/>
        <cfvo type="max"/>
        <color theme="0"/>
        <color theme="0"/>
      </colorScale>
    </cfRule>
  </conditionalFormatting>
  <conditionalFormatting sqref="BB83:BB91">
    <cfRule type="expression" priority="5014">
      <formula>#REF!</formula>
    </cfRule>
    <cfRule type="expression" dxfId="1210" priority="5012">
      <formula>IF(BB83="Validar","Rojo","Verde")</formula>
    </cfRule>
  </conditionalFormatting>
  <conditionalFormatting sqref="BB84:BB91">
    <cfRule type="colorScale" priority="5071">
      <colorScale>
        <cfvo type="min"/>
        <cfvo type="max"/>
        <color theme="0"/>
        <color theme="0"/>
      </colorScale>
    </cfRule>
    <cfRule type="expression" dxfId="1209" priority="5072">
      <formula>BA84&lt;0</formula>
    </cfRule>
  </conditionalFormatting>
  <conditionalFormatting sqref="BB93">
    <cfRule type="expression" dxfId="1208" priority="5028">
      <formula>BA93&lt;0</formula>
    </cfRule>
    <cfRule type="colorScale" priority="5026">
      <colorScale>
        <cfvo type="min"/>
        <cfvo type="max"/>
        <color theme="0"/>
        <color theme="0"/>
      </colorScale>
    </cfRule>
  </conditionalFormatting>
  <conditionalFormatting sqref="BB93:BB102">
    <cfRule type="expression" dxfId="1207" priority="5025">
      <formula>IF(BB93="Validar","Rojo","Verde")</formula>
    </cfRule>
    <cfRule type="expression" priority="5027">
      <formula>#REF!</formula>
    </cfRule>
  </conditionalFormatting>
  <conditionalFormatting sqref="BB94:BB102">
    <cfRule type="expression" dxfId="1206" priority="5070">
      <formula>BA94&lt;0</formula>
    </cfRule>
    <cfRule type="colorScale" priority="5069">
      <colorScale>
        <cfvo type="min"/>
        <cfvo type="max"/>
        <color theme="0"/>
        <color theme="0"/>
      </colorScale>
    </cfRule>
  </conditionalFormatting>
  <conditionalFormatting sqref="BB104">
    <cfRule type="colorScale" priority="5022">
      <colorScale>
        <cfvo type="min"/>
        <cfvo type="max"/>
        <color theme="0"/>
        <color theme="0"/>
      </colorScale>
    </cfRule>
    <cfRule type="expression" dxfId="1205" priority="5024">
      <formula>BA104&lt;0</formula>
    </cfRule>
  </conditionalFormatting>
  <conditionalFormatting sqref="BB104:BB106">
    <cfRule type="expression" priority="5023">
      <formula>#REF!</formula>
    </cfRule>
    <cfRule type="expression" dxfId="1204" priority="5021">
      <formula>IF(BB104="Validar","Rojo","Verde")</formula>
    </cfRule>
  </conditionalFormatting>
  <conditionalFormatting sqref="BB105:BB106">
    <cfRule type="expression" dxfId="1203" priority="5068">
      <formula>BA105&lt;0</formula>
    </cfRule>
    <cfRule type="colorScale" priority="5067">
      <colorScale>
        <cfvo type="min"/>
        <cfvo type="max"/>
        <color theme="0"/>
        <color theme="0"/>
      </colorScale>
    </cfRule>
  </conditionalFormatting>
  <conditionalFormatting sqref="BB110">
    <cfRule type="colorScale" priority="5065">
      <colorScale>
        <cfvo type="min"/>
        <cfvo type="max"/>
        <color theme="0"/>
        <color theme="0"/>
      </colorScale>
    </cfRule>
    <cfRule type="expression" dxfId="1202" priority="5066">
      <formula>BA110&lt;0</formula>
    </cfRule>
  </conditionalFormatting>
  <conditionalFormatting sqref="BB110:BB111">
    <cfRule type="expression" priority="5007">
      <formula>#REF!</formula>
    </cfRule>
  </conditionalFormatting>
  <conditionalFormatting sqref="BB111">
    <cfRule type="colorScale" priority="5006">
      <colorScale>
        <cfvo type="min"/>
        <cfvo type="max"/>
        <color theme="0"/>
        <color theme="0"/>
      </colorScale>
    </cfRule>
    <cfRule type="expression" dxfId="1201" priority="5008">
      <formula>BA111&lt;0</formula>
    </cfRule>
  </conditionalFormatting>
  <conditionalFormatting sqref="BB117:BB123">
    <cfRule type="expression" dxfId="1200" priority="5064">
      <formula>BA117&lt;0</formula>
    </cfRule>
    <cfRule type="expression" priority="5063">
      <formula>#REF!</formula>
    </cfRule>
    <cfRule type="colorScale" priority="5062">
      <colorScale>
        <cfvo type="min"/>
        <cfvo type="max"/>
        <color theme="0"/>
        <color theme="0"/>
      </colorScale>
    </cfRule>
  </conditionalFormatting>
  <conditionalFormatting sqref="BB125">
    <cfRule type="colorScale" priority="5018">
      <colorScale>
        <cfvo type="min"/>
        <cfvo type="max"/>
        <color theme="0"/>
        <color theme="0"/>
      </colorScale>
    </cfRule>
    <cfRule type="expression" dxfId="1199" priority="5020">
      <formula>BA125&lt;0</formula>
    </cfRule>
  </conditionalFormatting>
  <conditionalFormatting sqref="BB125:BB134">
    <cfRule type="expression" priority="5019">
      <formula>#REF!</formula>
    </cfRule>
    <cfRule type="expression" dxfId="1198" priority="5017">
      <formula>IF(BB125="Validar","Rojo","Verde")</formula>
    </cfRule>
  </conditionalFormatting>
  <conditionalFormatting sqref="BB126:BB134">
    <cfRule type="colorScale" priority="5059">
      <colorScale>
        <cfvo type="min"/>
        <cfvo type="max"/>
        <color theme="0"/>
        <color theme="0"/>
      </colorScale>
    </cfRule>
    <cfRule type="expression" dxfId="1197" priority="5060">
      <formula>BA126&lt;0</formula>
    </cfRule>
  </conditionalFormatting>
  <conditionalFormatting sqref="BD5 BD9">
    <cfRule type="expression" dxfId="1196" priority="2169">
      <formula>BC5&lt;0</formula>
    </cfRule>
  </conditionalFormatting>
  <conditionalFormatting sqref="BD5:BD20">
    <cfRule type="expression" priority="2052">
      <formula>#REF!</formula>
    </cfRule>
    <cfRule type="expression" dxfId="1195" priority="2051">
      <formula>IF(BD5="Validar","Rojo","Verde")</formula>
    </cfRule>
  </conditionalFormatting>
  <conditionalFormatting sqref="BD6">
    <cfRule type="expression" dxfId="1194" priority="2058">
      <formula>BC6&lt;0</formula>
    </cfRule>
    <cfRule type="colorScale" priority="2057">
      <colorScale>
        <cfvo type="min"/>
        <cfvo type="max"/>
        <color theme="0"/>
        <color theme="0"/>
      </colorScale>
    </cfRule>
  </conditionalFormatting>
  <conditionalFormatting sqref="BD7:BD8">
    <cfRule type="expression" dxfId="1193" priority="2054">
      <formula>BC7&lt;0</formula>
    </cfRule>
    <cfRule type="colorScale" priority="2053">
      <colorScale>
        <cfvo type="min"/>
        <cfvo type="max"/>
        <color theme="0"/>
        <color theme="0"/>
      </colorScale>
    </cfRule>
  </conditionalFormatting>
  <conditionalFormatting sqref="BD9 BD5">
    <cfRule type="colorScale" priority="2168">
      <colorScale>
        <cfvo type="min"/>
        <cfvo type="max"/>
        <color theme="0"/>
        <color theme="0"/>
      </colorScale>
    </cfRule>
  </conditionalFormatting>
  <conditionalFormatting sqref="BD10">
    <cfRule type="colorScale" priority="2145">
      <colorScale>
        <cfvo type="min"/>
        <cfvo type="max"/>
        <color theme="0"/>
        <color theme="0"/>
      </colorScale>
    </cfRule>
    <cfRule type="expression" dxfId="1192" priority="2146">
      <formula>BC10&lt;0</formula>
    </cfRule>
  </conditionalFormatting>
  <conditionalFormatting sqref="BD11:BD14">
    <cfRule type="expression" dxfId="1191" priority="2167">
      <formula>BC11&lt;0</formula>
    </cfRule>
    <cfRule type="colorScale" priority="2166">
      <colorScale>
        <cfvo type="min"/>
        <cfvo type="max"/>
        <color theme="0"/>
        <color theme="0"/>
      </colorScale>
    </cfRule>
  </conditionalFormatting>
  <conditionalFormatting sqref="BD15">
    <cfRule type="expression" dxfId="1190" priority="2144">
      <formula>BC15&lt;0</formula>
    </cfRule>
    <cfRule type="colorScale" priority="2143">
      <colorScale>
        <cfvo type="min"/>
        <cfvo type="max"/>
        <color theme="0"/>
        <color theme="0"/>
      </colorScale>
    </cfRule>
  </conditionalFormatting>
  <conditionalFormatting sqref="BD16:BD17">
    <cfRule type="colorScale" priority="2164">
      <colorScale>
        <cfvo type="min"/>
        <cfvo type="max"/>
        <color theme="0"/>
        <color theme="0"/>
      </colorScale>
    </cfRule>
    <cfRule type="expression" dxfId="1189" priority="2165">
      <formula>BC16&lt;0</formula>
    </cfRule>
  </conditionalFormatting>
  <conditionalFormatting sqref="BD18">
    <cfRule type="expression" dxfId="1188" priority="2142">
      <formula>BC18&lt;0</formula>
    </cfRule>
    <cfRule type="colorScale" priority="2140">
      <colorScale>
        <cfvo type="min"/>
        <cfvo type="max"/>
        <color theme="0"/>
        <color theme="0"/>
      </colorScale>
    </cfRule>
  </conditionalFormatting>
  <conditionalFormatting sqref="BD19:BD20">
    <cfRule type="colorScale" priority="2162">
      <colorScale>
        <cfvo type="min"/>
        <cfvo type="max"/>
        <color theme="0"/>
        <color theme="0"/>
      </colorScale>
    </cfRule>
    <cfRule type="expression" dxfId="1187" priority="2163">
      <formula>BC19&lt;0</formula>
    </cfRule>
  </conditionalFormatting>
  <conditionalFormatting sqref="BD23">
    <cfRule type="expression" dxfId="1186" priority="2138">
      <formula>BC23&lt;0</formula>
    </cfRule>
    <cfRule type="colorScale" priority="2137">
      <colorScale>
        <cfvo type="min"/>
        <cfvo type="max"/>
        <color theme="0"/>
        <color theme="0"/>
      </colorScale>
    </cfRule>
  </conditionalFormatting>
  <conditionalFormatting sqref="BD23:BD31">
    <cfRule type="expression" dxfId="1185" priority="2131">
      <formula>IF(BD23="Validar","Rojo","Verde")</formula>
    </cfRule>
    <cfRule type="expression" priority="2133">
      <formula>#REF!</formula>
    </cfRule>
  </conditionalFormatting>
  <conditionalFormatting sqref="BD24">
    <cfRule type="colorScale" priority="2160">
      <colorScale>
        <cfvo type="min"/>
        <cfvo type="max"/>
        <color theme="0"/>
        <color theme="0"/>
      </colorScale>
    </cfRule>
    <cfRule type="expression" dxfId="1184" priority="2161">
      <formula>BC24&lt;0</formula>
    </cfRule>
  </conditionalFormatting>
  <conditionalFormatting sqref="BD25">
    <cfRule type="colorScale" priority="2158">
      <colorScale>
        <cfvo type="min"/>
        <cfvo type="max"/>
        <color theme="0"/>
        <color theme="0"/>
      </colorScale>
    </cfRule>
    <cfRule type="expression" dxfId="1183" priority="2159">
      <formula>BC25&lt;0</formula>
    </cfRule>
  </conditionalFormatting>
  <conditionalFormatting sqref="BD26">
    <cfRule type="colorScale" priority="2135">
      <colorScale>
        <cfvo type="min"/>
        <cfvo type="max"/>
        <color theme="0"/>
        <color theme="0"/>
      </colorScale>
    </cfRule>
    <cfRule type="expression" dxfId="1182" priority="2136">
      <formula>BC26&lt;0</formula>
    </cfRule>
  </conditionalFormatting>
  <conditionalFormatting sqref="BD27">
    <cfRule type="colorScale" priority="2156">
      <colorScale>
        <cfvo type="min"/>
        <cfvo type="max"/>
        <color theme="0"/>
        <color theme="0"/>
      </colorScale>
    </cfRule>
    <cfRule type="expression" dxfId="1181" priority="2157">
      <formula>BC27&lt;0</formula>
    </cfRule>
  </conditionalFormatting>
  <conditionalFormatting sqref="BD28">
    <cfRule type="colorScale" priority="2154">
      <colorScale>
        <cfvo type="min"/>
        <cfvo type="max"/>
        <color theme="0"/>
        <color theme="0"/>
      </colorScale>
    </cfRule>
    <cfRule type="expression" dxfId="1180" priority="2155">
      <formula>BC28&lt;0</formula>
    </cfRule>
  </conditionalFormatting>
  <conditionalFormatting sqref="BD29">
    <cfRule type="expression" dxfId="1179" priority="2134">
      <formula>BC29&lt;0</formula>
    </cfRule>
    <cfRule type="colorScale" priority="2132">
      <colorScale>
        <cfvo type="min"/>
        <cfvo type="max"/>
        <color theme="0"/>
        <color theme="0"/>
      </colorScale>
    </cfRule>
  </conditionalFormatting>
  <conditionalFormatting sqref="BD30">
    <cfRule type="colorScale" priority="2152">
      <colorScale>
        <cfvo type="min"/>
        <cfvo type="max"/>
        <color theme="0"/>
        <color theme="0"/>
      </colorScale>
    </cfRule>
    <cfRule type="expression" dxfId="1178" priority="2153">
      <formula>BC30&lt;0</formula>
    </cfRule>
  </conditionalFormatting>
  <conditionalFormatting sqref="BD31">
    <cfRule type="colorScale" priority="2150">
      <colorScale>
        <cfvo type="min"/>
        <cfvo type="max"/>
        <color theme="0"/>
        <color theme="0"/>
      </colorScale>
    </cfRule>
    <cfRule type="expression" dxfId="1177" priority="2151">
      <formula>BC31&lt;0</formula>
    </cfRule>
  </conditionalFormatting>
  <conditionalFormatting sqref="BD39">
    <cfRule type="colorScale" priority="2128">
      <colorScale>
        <cfvo type="min"/>
        <cfvo type="max"/>
        <color theme="0"/>
        <color theme="0"/>
      </colorScale>
    </cfRule>
    <cfRule type="expression" priority="2129">
      <formula>#REF!</formula>
    </cfRule>
    <cfRule type="expression" dxfId="1176" priority="2130">
      <formula>BC39&lt;0</formula>
    </cfRule>
  </conditionalFormatting>
  <conditionalFormatting sqref="BD39:BD107">
    <cfRule type="expression" dxfId="1175" priority="2066">
      <formula>IF(BD39="Validar","Rojo","Verde")</formula>
    </cfRule>
  </conditionalFormatting>
  <conditionalFormatting sqref="BD40:BD67">
    <cfRule type="expression" dxfId="1174" priority="2149">
      <formula>BC40&lt;0</formula>
    </cfRule>
    <cfRule type="colorScale" priority="2147">
      <colorScale>
        <cfvo type="min"/>
        <cfvo type="max"/>
        <color theme="0"/>
        <color theme="0"/>
      </colorScale>
    </cfRule>
    <cfRule type="expression" priority="2148">
      <formula>$F$19</formula>
    </cfRule>
  </conditionalFormatting>
  <conditionalFormatting sqref="BD68">
    <cfRule type="expression" priority="2126">
      <formula>#REF!</formula>
    </cfRule>
    <cfRule type="colorScale" priority="2125">
      <colorScale>
        <cfvo type="min"/>
        <cfvo type="max"/>
        <color theme="0"/>
        <color theme="0"/>
      </colorScale>
    </cfRule>
    <cfRule type="expression" dxfId="1173" priority="2127">
      <formula>BC68&lt;0</formula>
    </cfRule>
  </conditionalFormatting>
  <conditionalFormatting sqref="BD69:BD81">
    <cfRule type="expression" dxfId="1172" priority="2174">
      <formula>BC69&lt;0</formula>
    </cfRule>
    <cfRule type="expression" priority="2173">
      <formula>$F$19</formula>
    </cfRule>
    <cfRule type="colorScale" priority="2172">
      <colorScale>
        <cfvo type="min"/>
        <cfvo type="max"/>
        <color theme="0"/>
        <color theme="0"/>
      </colorScale>
    </cfRule>
  </conditionalFormatting>
  <conditionalFormatting sqref="BD82 BD92 BD103 BD107">
    <cfRule type="expression" dxfId="1171" priority="2171">
      <formula>BC82&lt;0</formula>
    </cfRule>
    <cfRule type="colorScale" priority="2170">
      <colorScale>
        <cfvo type="min"/>
        <cfvo type="max"/>
        <color theme="0"/>
        <color theme="0"/>
      </colorScale>
    </cfRule>
  </conditionalFormatting>
  <conditionalFormatting sqref="BD83">
    <cfRule type="expression" dxfId="1170" priority="2069">
      <formula>BC83&lt;0</formula>
    </cfRule>
    <cfRule type="expression" priority="2068">
      <formula>#REF!</formula>
    </cfRule>
    <cfRule type="colorScale" priority="2067">
      <colorScale>
        <cfvo type="min"/>
        <cfvo type="max"/>
        <color theme="0"/>
        <color theme="0"/>
      </colorScale>
    </cfRule>
  </conditionalFormatting>
  <conditionalFormatting sqref="BD84:BD91">
    <cfRule type="colorScale" priority="2175">
      <colorScale>
        <cfvo type="min"/>
        <cfvo type="max"/>
        <color theme="0"/>
        <color theme="0"/>
      </colorScale>
    </cfRule>
    <cfRule type="expression" dxfId="1169" priority="2177">
      <formula>BC84&lt;0</formula>
    </cfRule>
    <cfRule type="expression" priority="2176">
      <formula>$F$19</formula>
    </cfRule>
  </conditionalFormatting>
  <conditionalFormatting sqref="BD93">
    <cfRule type="expression" dxfId="1168" priority="2124">
      <formula>BC93&lt;0</formula>
    </cfRule>
    <cfRule type="expression" priority="2123">
      <formula>#REF!</formula>
    </cfRule>
    <cfRule type="colorScale" priority="2122">
      <colorScale>
        <cfvo type="min"/>
        <cfvo type="max"/>
        <color theme="0"/>
        <color theme="0"/>
      </colorScale>
    </cfRule>
  </conditionalFormatting>
  <conditionalFormatting sqref="BD94:BD102">
    <cfRule type="colorScale" priority="2178">
      <colorScale>
        <cfvo type="min"/>
        <cfvo type="max"/>
        <color theme="0"/>
        <color theme="0"/>
      </colorScale>
    </cfRule>
    <cfRule type="expression" priority="2179">
      <formula>$F$19</formula>
    </cfRule>
    <cfRule type="expression" dxfId="1167" priority="2180">
      <formula>BC94&lt;0</formula>
    </cfRule>
  </conditionalFormatting>
  <conditionalFormatting sqref="BD104">
    <cfRule type="colorScale" priority="2119">
      <colorScale>
        <cfvo type="min"/>
        <cfvo type="max"/>
        <color theme="0"/>
        <color theme="0"/>
      </colorScale>
    </cfRule>
    <cfRule type="expression" dxfId="1166" priority="2121">
      <formula>BC104&lt;0</formula>
    </cfRule>
    <cfRule type="expression" priority="2120">
      <formula>#REF!</formula>
    </cfRule>
  </conditionalFormatting>
  <conditionalFormatting sqref="BD105:BD106">
    <cfRule type="colorScale" priority="2181">
      <colorScale>
        <cfvo type="min"/>
        <cfvo type="max"/>
        <color theme="0"/>
        <color theme="0"/>
      </colorScale>
    </cfRule>
    <cfRule type="expression" priority="2182">
      <formula>$F$19</formula>
    </cfRule>
    <cfRule type="expression" dxfId="1165" priority="2183">
      <formula>BC105&lt;0</formula>
    </cfRule>
  </conditionalFormatting>
  <conditionalFormatting sqref="BD110">
    <cfRule type="colorScale" priority="2184">
      <colorScale>
        <cfvo type="min"/>
        <cfvo type="max"/>
        <color theme="0"/>
        <color theme="0"/>
      </colorScale>
    </cfRule>
    <cfRule type="expression" dxfId="1164" priority="2185">
      <formula>BC110&lt;0</formula>
    </cfRule>
  </conditionalFormatting>
  <conditionalFormatting sqref="BD110:BD111">
    <cfRule type="expression" priority="2064">
      <formula>$F$19</formula>
    </cfRule>
  </conditionalFormatting>
  <conditionalFormatting sqref="BD111">
    <cfRule type="expression" dxfId="1163" priority="2065">
      <formula>BC111&lt;0</formula>
    </cfRule>
    <cfRule type="colorScale" priority="2063">
      <colorScale>
        <cfvo type="min"/>
        <cfvo type="max"/>
        <color theme="0"/>
        <color theme="0"/>
      </colorScale>
    </cfRule>
  </conditionalFormatting>
  <conditionalFormatting sqref="BD117:BD123">
    <cfRule type="expression" priority="2190">
      <formula>$F$19</formula>
    </cfRule>
    <cfRule type="expression" dxfId="1162" priority="2191">
      <formula>BC117&lt;0</formula>
    </cfRule>
    <cfRule type="colorScale" priority="2189">
      <colorScale>
        <cfvo type="min"/>
        <cfvo type="max"/>
        <color theme="0"/>
        <color theme="0"/>
      </colorScale>
    </cfRule>
  </conditionalFormatting>
  <conditionalFormatting sqref="BD125">
    <cfRule type="expression" dxfId="1161" priority="2118">
      <formula>BC125&lt;0</formula>
    </cfRule>
    <cfRule type="expression" priority="2117">
      <formula>#REF!</formula>
    </cfRule>
    <cfRule type="colorScale" priority="2116">
      <colorScale>
        <cfvo type="min"/>
        <cfvo type="max"/>
        <color theme="0"/>
        <color theme="0"/>
      </colorScale>
    </cfRule>
  </conditionalFormatting>
  <conditionalFormatting sqref="BD125:BD135">
    <cfRule type="expression" dxfId="1160" priority="2115">
      <formula>IF(BD125="Validar","Rojo","Verde")</formula>
    </cfRule>
  </conditionalFormatting>
  <conditionalFormatting sqref="BD126:BD132">
    <cfRule type="expression" dxfId="1159" priority="2194">
      <formula>BC126&lt;0</formula>
    </cfRule>
    <cfRule type="colorScale" priority="2192">
      <colorScale>
        <cfvo type="min"/>
        <cfvo type="max"/>
        <color theme="0"/>
        <color theme="0"/>
      </colorScale>
    </cfRule>
  </conditionalFormatting>
  <conditionalFormatting sqref="BD126:BD134">
    <cfRule type="expression" priority="2193">
      <formula>$F$19</formula>
    </cfRule>
  </conditionalFormatting>
  <conditionalFormatting sqref="BD133:BD134">
    <cfRule type="colorScale" priority="2195">
      <colorScale>
        <cfvo type="min"/>
        <cfvo type="max"/>
        <color theme="0"/>
        <color theme="0"/>
      </colorScale>
    </cfRule>
    <cfRule type="expression" dxfId="1158" priority="2196">
      <formula>BC133&lt;0</formula>
    </cfRule>
  </conditionalFormatting>
  <conditionalFormatting sqref="BD135">
    <cfRule type="expression" dxfId="1157" priority="2188">
      <formula>BC135&lt;0</formula>
    </cfRule>
    <cfRule type="expression" priority="2187">
      <formula>$F$23</formula>
    </cfRule>
    <cfRule type="colorScale" priority="2186">
      <colorScale>
        <cfvo type="min"/>
        <cfvo type="max"/>
        <color theme="0"/>
        <color theme="0"/>
      </colorScale>
    </cfRule>
  </conditionalFormatting>
  <conditionalFormatting sqref="BD110:BF111">
    <cfRule type="expression" dxfId="1156" priority="2059">
      <formula>IF(BD110="Validar","Rojo","Verde")</formula>
    </cfRule>
  </conditionalFormatting>
  <conditionalFormatting sqref="BD117:BF123">
    <cfRule type="expression" dxfId="1155" priority="2072">
      <formula>IF(BD117="Validar","Rojo","Verde")</formula>
    </cfRule>
  </conditionalFormatting>
  <conditionalFormatting sqref="BE40:BE66">
    <cfRule type="expression" priority="2108">
      <formula>#REF!</formula>
    </cfRule>
    <cfRule type="expression" dxfId="1154" priority="2109">
      <formula>BD40&lt;0</formula>
    </cfRule>
    <cfRule type="colorScale" priority="2107">
      <colorScale>
        <cfvo type="min"/>
        <cfvo type="max"/>
        <color theme="0"/>
        <color theme="0"/>
      </colorScale>
    </cfRule>
  </conditionalFormatting>
  <conditionalFormatting sqref="BE40:BE67">
    <cfRule type="expression" dxfId="1153" priority="2106">
      <formula>IF(BE40="Validar","Rojo","Verde")</formula>
    </cfRule>
  </conditionalFormatting>
  <conditionalFormatting sqref="BE67 BD82:BE82 BD92:BE92 BD103:BE103 BD107:BE107">
    <cfRule type="expression" priority="2111">
      <formula>$F$23</formula>
    </cfRule>
  </conditionalFormatting>
  <conditionalFormatting sqref="BE67 BE82 BE92 BE103 BE107">
    <cfRule type="expression" dxfId="1152" priority="2112">
      <formula>BD67&lt;0</formula>
    </cfRule>
    <cfRule type="colorScale" priority="2110">
      <colorScale>
        <cfvo type="min"/>
        <cfvo type="max"/>
        <color theme="0"/>
        <color theme="0"/>
      </colorScale>
    </cfRule>
  </conditionalFormatting>
  <conditionalFormatting sqref="BE69">
    <cfRule type="colorScale" priority="2104">
      <colorScale>
        <cfvo type="min"/>
        <cfvo type="max"/>
        <color theme="0"/>
        <color theme="0"/>
      </colorScale>
    </cfRule>
    <cfRule type="expression" dxfId="1151" priority="2105">
      <formula>BD69&lt;0</formula>
    </cfRule>
  </conditionalFormatting>
  <conditionalFormatting sqref="BE69:BE81">
    <cfRule type="expression" priority="2102">
      <formula>#REF!</formula>
    </cfRule>
  </conditionalFormatting>
  <conditionalFormatting sqref="BE69:BE82">
    <cfRule type="expression" dxfId="1150" priority="2100">
      <formula>IF(BE69="Validar","Rojo","Verde")</formula>
    </cfRule>
  </conditionalFormatting>
  <conditionalFormatting sqref="BE70:BE78">
    <cfRule type="expression" dxfId="1149" priority="2103">
      <formula>BD70&lt;0</formula>
    </cfRule>
    <cfRule type="colorScale" priority="2101">
      <colorScale>
        <cfvo type="min"/>
        <cfvo type="max"/>
        <color theme="0"/>
        <color theme="0"/>
      </colorScale>
    </cfRule>
  </conditionalFormatting>
  <conditionalFormatting sqref="BE79:BE81">
    <cfRule type="expression" dxfId="1148" priority="2114">
      <formula>BD79&lt;0</formula>
    </cfRule>
    <cfRule type="colorScale" priority="2113">
      <colorScale>
        <cfvo type="min"/>
        <cfvo type="max"/>
        <color theme="0"/>
        <color theme="0"/>
      </colorScale>
    </cfRule>
  </conditionalFormatting>
  <conditionalFormatting sqref="BE84">
    <cfRule type="colorScale" priority="2098">
      <colorScale>
        <cfvo type="min"/>
        <cfvo type="max"/>
        <color theme="0"/>
        <color theme="0"/>
      </colorScale>
    </cfRule>
    <cfRule type="expression" dxfId="1147" priority="2099">
      <formula>BD84&lt;0</formula>
    </cfRule>
  </conditionalFormatting>
  <conditionalFormatting sqref="BE84:BE91">
    <cfRule type="expression" priority="2096">
      <formula>#REF!</formula>
    </cfRule>
  </conditionalFormatting>
  <conditionalFormatting sqref="BE84:BE92">
    <cfRule type="expression" dxfId="1146" priority="2094">
      <formula>IF(BE84="Validar","Rojo","Verde")</formula>
    </cfRule>
  </conditionalFormatting>
  <conditionalFormatting sqref="BE85:BE91">
    <cfRule type="colorScale" priority="2095">
      <colorScale>
        <cfvo type="min"/>
        <cfvo type="max"/>
        <color theme="0"/>
        <color theme="0"/>
      </colorScale>
    </cfRule>
    <cfRule type="expression" dxfId="1145" priority="2097">
      <formula>BD85&lt;0</formula>
    </cfRule>
  </conditionalFormatting>
  <conditionalFormatting sqref="BE94">
    <cfRule type="expression" dxfId="1144" priority="2093">
      <formula>BD94&lt;0</formula>
    </cfRule>
    <cfRule type="colorScale" priority="2092">
      <colorScale>
        <cfvo type="min"/>
        <cfvo type="max"/>
        <color theme="0"/>
        <color theme="0"/>
      </colorScale>
    </cfRule>
  </conditionalFormatting>
  <conditionalFormatting sqref="BE94:BE102">
    <cfRule type="expression" priority="2086">
      <formula>#REF!</formula>
    </cfRule>
  </conditionalFormatting>
  <conditionalFormatting sqref="BE94:BE103">
    <cfRule type="expression" dxfId="1143" priority="2084">
      <formula>IF(BE94="Validar","Rojo","Verde")</formula>
    </cfRule>
  </conditionalFormatting>
  <conditionalFormatting sqref="BE95:BE100">
    <cfRule type="colorScale" priority="2090">
      <colorScale>
        <cfvo type="min"/>
        <cfvo type="max"/>
        <color theme="0"/>
        <color theme="0"/>
      </colorScale>
    </cfRule>
    <cfRule type="expression" dxfId="1142" priority="2091">
      <formula>BD95&lt;0</formula>
    </cfRule>
  </conditionalFormatting>
  <conditionalFormatting sqref="BE101">
    <cfRule type="expression" dxfId="1141" priority="2089">
      <formula>BD101&lt;0</formula>
    </cfRule>
    <cfRule type="colorScale" priority="2088">
      <colorScale>
        <cfvo type="min"/>
        <cfvo type="max"/>
        <color theme="0"/>
        <color theme="0"/>
      </colorScale>
    </cfRule>
  </conditionalFormatting>
  <conditionalFormatting sqref="BE102">
    <cfRule type="colorScale" priority="2085">
      <colorScale>
        <cfvo type="min"/>
        <cfvo type="max"/>
        <color theme="0"/>
        <color theme="0"/>
      </colorScale>
    </cfRule>
    <cfRule type="expression" dxfId="1140" priority="2087">
      <formula>BD102&lt;0</formula>
    </cfRule>
  </conditionalFormatting>
  <conditionalFormatting sqref="BE105">
    <cfRule type="expression" dxfId="1139" priority="2083">
      <formula>BD105&lt;0</formula>
    </cfRule>
    <cfRule type="colorScale" priority="2082">
      <colorScale>
        <cfvo type="min"/>
        <cfvo type="max"/>
        <color theme="0"/>
        <color theme="0"/>
      </colorScale>
    </cfRule>
  </conditionalFormatting>
  <conditionalFormatting sqref="BE105:BE106">
    <cfRule type="expression" priority="2080">
      <formula>#REF!</formula>
    </cfRule>
  </conditionalFormatting>
  <conditionalFormatting sqref="BE105:BE107">
    <cfRule type="expression" dxfId="1138" priority="2078">
      <formula>IF(BE105="Validar","Rojo","Verde")</formula>
    </cfRule>
  </conditionalFormatting>
  <conditionalFormatting sqref="BE106">
    <cfRule type="expression" dxfId="1137" priority="2081">
      <formula>BD106&lt;0</formula>
    </cfRule>
    <cfRule type="colorScale" priority="2079">
      <colorScale>
        <cfvo type="min"/>
        <cfvo type="max"/>
        <color theme="0"/>
        <color theme="0"/>
      </colorScale>
    </cfRule>
  </conditionalFormatting>
  <conditionalFormatting sqref="BE110">
    <cfRule type="expression" dxfId="1136" priority="2071">
      <formula>BD110&lt;0</formula>
    </cfRule>
    <cfRule type="colorScale" priority="2070">
      <colorScale>
        <cfvo type="min"/>
        <cfvo type="max"/>
        <color theme="0"/>
        <color theme="0"/>
      </colorScale>
    </cfRule>
  </conditionalFormatting>
  <conditionalFormatting sqref="BE111">
    <cfRule type="colorScale" priority="2060">
      <colorScale>
        <cfvo type="min"/>
        <cfvo type="max"/>
        <color theme="0"/>
        <color theme="0"/>
      </colorScale>
    </cfRule>
    <cfRule type="expression" dxfId="1135" priority="2062">
      <formula>BD111&lt;0</formula>
    </cfRule>
  </conditionalFormatting>
  <conditionalFormatting sqref="BE117">
    <cfRule type="expression" dxfId="1134" priority="2077">
      <formula>BD117&lt;0</formula>
    </cfRule>
    <cfRule type="colorScale" priority="2076">
      <colorScale>
        <cfvo type="min"/>
        <cfvo type="max"/>
        <color theme="0"/>
        <color theme="0"/>
      </colorScale>
    </cfRule>
  </conditionalFormatting>
  <conditionalFormatting sqref="BE118:BE123">
    <cfRule type="expression" dxfId="1133" priority="2075">
      <formula>BD118&lt;0</formula>
    </cfRule>
    <cfRule type="colorScale" priority="2073">
      <colorScale>
        <cfvo type="min"/>
        <cfvo type="max"/>
        <color theme="0"/>
        <color theme="0"/>
      </colorScale>
    </cfRule>
  </conditionalFormatting>
  <conditionalFormatting sqref="BE126:BE135">
    <cfRule type="expression" dxfId="1132" priority="2200">
      <formula>BD126&lt;0</formula>
    </cfRule>
    <cfRule type="expression" dxfId="1131" priority="2197">
      <formula>IF(BE126="Validar","Rojo","Verde")</formula>
    </cfRule>
    <cfRule type="expression" priority="2199">
      <formula>$F$23</formula>
    </cfRule>
    <cfRule type="colorScale" priority="2198">
      <colorScale>
        <cfvo type="min"/>
        <cfvo type="max"/>
        <color theme="0"/>
        <color theme="0"/>
      </colorScale>
    </cfRule>
  </conditionalFormatting>
  <conditionalFormatting sqref="BE110:BF111">
    <cfRule type="expression" priority="2061">
      <formula>#REF!</formula>
    </cfRule>
  </conditionalFormatting>
  <conditionalFormatting sqref="BE117:BF123">
    <cfRule type="expression" priority="2074">
      <formula>#REF!</formula>
    </cfRule>
  </conditionalFormatting>
  <conditionalFormatting sqref="BF5">
    <cfRule type="expression" dxfId="1130" priority="4993">
      <formula>BE5&lt;0</formula>
    </cfRule>
    <cfRule type="colorScale" priority="4992">
      <colorScale>
        <cfvo type="min"/>
        <cfvo type="max"/>
        <color theme="0"/>
        <color theme="0"/>
      </colorScale>
    </cfRule>
  </conditionalFormatting>
  <conditionalFormatting sqref="BF5:BF16">
    <cfRule type="expression" priority="4966">
      <formula>#REF!</formula>
    </cfRule>
    <cfRule type="expression" dxfId="1129" priority="4964">
      <formula>IF(BF5="Validar","Rojo","Verde")</formula>
    </cfRule>
  </conditionalFormatting>
  <conditionalFormatting sqref="BF6:BF9">
    <cfRule type="expression" dxfId="1128" priority="5001">
      <formula>BE6&lt;0</formula>
    </cfRule>
    <cfRule type="colorScale" priority="5000">
      <colorScale>
        <cfvo type="min"/>
        <cfvo type="max"/>
        <color theme="0"/>
        <color theme="0"/>
      </colorScale>
    </cfRule>
  </conditionalFormatting>
  <conditionalFormatting sqref="BF10">
    <cfRule type="expression" dxfId="1127" priority="4969">
      <formula>BE10&lt;0</formula>
    </cfRule>
    <cfRule type="colorScale" priority="4968">
      <colorScale>
        <cfvo type="min"/>
        <cfvo type="max"/>
        <color theme="0"/>
        <color theme="0"/>
      </colorScale>
    </cfRule>
  </conditionalFormatting>
  <conditionalFormatting sqref="BF11:BF14">
    <cfRule type="expression" dxfId="1126" priority="4999">
      <formula>BE11&lt;0</formula>
    </cfRule>
    <cfRule type="colorScale" priority="4998">
      <colorScale>
        <cfvo type="min"/>
        <cfvo type="max"/>
        <color theme="0"/>
        <color theme="0"/>
      </colorScale>
    </cfRule>
  </conditionalFormatting>
  <conditionalFormatting sqref="BF15">
    <cfRule type="colorScale" priority="4965">
      <colorScale>
        <cfvo type="min"/>
        <cfvo type="max"/>
        <color theme="0"/>
        <color theme="0"/>
      </colorScale>
    </cfRule>
    <cfRule type="expression" dxfId="1125" priority="4967">
      <formula>BE15&lt;0</formula>
    </cfRule>
  </conditionalFormatting>
  <conditionalFormatting sqref="BF16">
    <cfRule type="expression" dxfId="1124" priority="4997">
      <formula>BE16&lt;0</formula>
    </cfRule>
    <cfRule type="colorScale" priority="4996">
      <colorScale>
        <cfvo type="min"/>
        <cfvo type="max"/>
        <color theme="0"/>
        <color theme="0"/>
      </colorScale>
    </cfRule>
  </conditionalFormatting>
  <conditionalFormatting sqref="BF18">
    <cfRule type="expression" dxfId="1123" priority="4963">
      <formula>BE18&lt;0</formula>
    </cfRule>
    <cfRule type="colorScale" priority="4961">
      <colorScale>
        <cfvo type="min"/>
        <cfvo type="max"/>
        <color theme="0"/>
        <color theme="0"/>
      </colorScale>
    </cfRule>
  </conditionalFormatting>
  <conditionalFormatting sqref="BF18:BF19">
    <cfRule type="expression" priority="4962">
      <formula>#REF!</formula>
    </cfRule>
    <cfRule type="expression" dxfId="1122" priority="4960">
      <formula>IF(BF18="Validar","Rojo","Verde")</formula>
    </cfRule>
  </conditionalFormatting>
  <conditionalFormatting sqref="BF19">
    <cfRule type="expression" dxfId="1121" priority="4995">
      <formula>BE19&lt;0</formula>
    </cfRule>
    <cfRule type="colorScale" priority="4994">
      <colorScale>
        <cfvo type="min"/>
        <cfvo type="max"/>
        <color theme="0"/>
        <color theme="0"/>
      </colorScale>
    </cfRule>
  </conditionalFormatting>
  <conditionalFormatting sqref="BF23">
    <cfRule type="expression" dxfId="1120" priority="4959">
      <formula>BE23&lt;0</formula>
    </cfRule>
    <cfRule type="colorScale" priority="4957">
      <colorScale>
        <cfvo type="min"/>
        <cfvo type="max"/>
        <color theme="0"/>
        <color theme="0"/>
      </colorScale>
    </cfRule>
  </conditionalFormatting>
  <conditionalFormatting sqref="BF23:BF24">
    <cfRule type="expression" priority="4958">
      <formula>#REF!</formula>
    </cfRule>
    <cfRule type="expression" dxfId="1119" priority="4956">
      <formula>IF(BF23="Validar","Rojo","Verde")</formula>
    </cfRule>
  </conditionalFormatting>
  <conditionalFormatting sqref="BF24">
    <cfRule type="expression" dxfId="1118" priority="4991">
      <formula>BE24&lt;0</formula>
    </cfRule>
    <cfRule type="colorScale" priority="4990">
      <colorScale>
        <cfvo type="min"/>
        <cfvo type="max"/>
        <color theme="0"/>
        <color theme="0"/>
      </colorScale>
    </cfRule>
  </conditionalFormatting>
  <conditionalFormatting sqref="BF26">
    <cfRule type="expression" dxfId="1117" priority="4955">
      <formula>BE26&lt;0</formula>
    </cfRule>
    <cfRule type="colorScale" priority="4953">
      <colorScale>
        <cfvo type="min"/>
        <cfvo type="max"/>
        <color theme="0"/>
        <color theme="0"/>
      </colorScale>
    </cfRule>
  </conditionalFormatting>
  <conditionalFormatting sqref="BF26:BF27">
    <cfRule type="expression" priority="4954">
      <formula>#REF!</formula>
    </cfRule>
    <cfRule type="expression" dxfId="1116" priority="4952">
      <formula>IF(BF26="Validar","Rojo","Verde")</formula>
    </cfRule>
  </conditionalFormatting>
  <conditionalFormatting sqref="BF27">
    <cfRule type="expression" dxfId="1115" priority="4989">
      <formula>BE27&lt;0</formula>
    </cfRule>
    <cfRule type="colorScale" priority="4988">
      <colorScale>
        <cfvo type="min"/>
        <cfvo type="max"/>
        <color theme="0"/>
        <color theme="0"/>
      </colorScale>
    </cfRule>
  </conditionalFormatting>
  <conditionalFormatting sqref="BF29">
    <cfRule type="expression" dxfId="1114" priority="4951">
      <formula>BE29&lt;0</formula>
    </cfRule>
    <cfRule type="colorScale" priority="4949">
      <colorScale>
        <cfvo type="min"/>
        <cfvo type="max"/>
        <color theme="0"/>
        <color theme="0"/>
      </colorScale>
    </cfRule>
  </conditionalFormatting>
  <conditionalFormatting sqref="BF29:BF30">
    <cfRule type="expression" priority="4950">
      <formula>#REF!</formula>
    </cfRule>
    <cfRule type="expression" dxfId="1113" priority="4948">
      <formula>IF(BF29="Validar","Rojo","Verde")</formula>
    </cfRule>
  </conditionalFormatting>
  <conditionalFormatting sqref="BF30">
    <cfRule type="colorScale" priority="4986">
      <colorScale>
        <cfvo type="min"/>
        <cfvo type="max"/>
        <color theme="0"/>
        <color theme="0"/>
      </colorScale>
    </cfRule>
    <cfRule type="expression" dxfId="1112" priority="4987">
      <formula>BE30&lt;0</formula>
    </cfRule>
  </conditionalFormatting>
  <conditionalFormatting sqref="BF39">
    <cfRule type="expression" dxfId="1111" priority="4947">
      <formula>BE39&lt;0</formula>
    </cfRule>
    <cfRule type="colorScale" priority="4945">
      <colorScale>
        <cfvo type="min"/>
        <cfvo type="max"/>
        <color theme="0"/>
        <color theme="0"/>
      </colorScale>
    </cfRule>
  </conditionalFormatting>
  <conditionalFormatting sqref="BF39:BF66">
    <cfRule type="expression" priority="4946">
      <formula>#REF!</formula>
    </cfRule>
    <cfRule type="expression" dxfId="1110" priority="4944">
      <formula>IF(BF39="Validar","Rojo","Verde")</formula>
    </cfRule>
  </conditionalFormatting>
  <conditionalFormatting sqref="BF40:BF66">
    <cfRule type="colorScale" priority="4984">
      <colorScale>
        <cfvo type="min"/>
        <cfvo type="max"/>
        <color theme="0"/>
        <color theme="0"/>
      </colorScale>
    </cfRule>
    <cfRule type="expression" dxfId="1109" priority="4985">
      <formula>BE40&lt;0</formula>
    </cfRule>
  </conditionalFormatting>
  <conditionalFormatting sqref="BF68">
    <cfRule type="expression" dxfId="1108" priority="4943">
      <formula>BE68&lt;0</formula>
    </cfRule>
    <cfRule type="colorScale" priority="4941">
      <colorScale>
        <cfvo type="min"/>
        <cfvo type="max"/>
        <color theme="0"/>
        <color theme="0"/>
      </colorScale>
    </cfRule>
  </conditionalFormatting>
  <conditionalFormatting sqref="BF68:BF81">
    <cfRule type="expression" priority="4942">
      <formula>#REF!</formula>
    </cfRule>
    <cfRule type="expression" dxfId="1107" priority="4940">
      <formula>IF(BF68="Validar","Rojo","Verde")</formula>
    </cfRule>
  </conditionalFormatting>
  <conditionalFormatting sqref="BF69:BF81">
    <cfRule type="colorScale" priority="5002">
      <colorScale>
        <cfvo type="min"/>
        <cfvo type="max"/>
        <color theme="0"/>
        <color theme="0"/>
      </colorScale>
    </cfRule>
    <cfRule type="expression" dxfId="1106" priority="5003">
      <formula>BE69&lt;0</formula>
    </cfRule>
  </conditionalFormatting>
  <conditionalFormatting sqref="BF83">
    <cfRule type="expression" dxfId="1105" priority="4926">
      <formula>BE83&lt;0</formula>
    </cfRule>
    <cfRule type="colorScale" priority="4924">
      <colorScale>
        <cfvo type="min"/>
        <cfvo type="max"/>
        <color theme="0"/>
        <color theme="0"/>
      </colorScale>
    </cfRule>
  </conditionalFormatting>
  <conditionalFormatting sqref="BF83:BF91">
    <cfRule type="expression" dxfId="1104" priority="4923">
      <formula>IF(BF83="Validar","Rojo","Verde")</formula>
    </cfRule>
    <cfRule type="expression" priority="4925">
      <formula>#REF!</formula>
    </cfRule>
  </conditionalFormatting>
  <conditionalFormatting sqref="BF84:BF91">
    <cfRule type="expression" dxfId="1103" priority="4983">
      <formula>BE84&lt;0</formula>
    </cfRule>
    <cfRule type="colorScale" priority="4982">
      <colorScale>
        <cfvo type="min"/>
        <cfvo type="max"/>
        <color theme="0"/>
        <color theme="0"/>
      </colorScale>
    </cfRule>
  </conditionalFormatting>
  <conditionalFormatting sqref="BF93">
    <cfRule type="colorScale" priority="4937">
      <colorScale>
        <cfvo type="min"/>
        <cfvo type="max"/>
        <color theme="0"/>
        <color theme="0"/>
      </colorScale>
    </cfRule>
    <cfRule type="expression" dxfId="1102" priority="4939">
      <formula>BE93&lt;0</formula>
    </cfRule>
  </conditionalFormatting>
  <conditionalFormatting sqref="BF93:BF102">
    <cfRule type="expression" priority="4938">
      <formula>#REF!</formula>
    </cfRule>
    <cfRule type="expression" dxfId="1101" priority="4936">
      <formula>IF(BF93="Validar","Rojo","Verde")</formula>
    </cfRule>
  </conditionalFormatting>
  <conditionalFormatting sqref="BF94:BF102">
    <cfRule type="expression" dxfId="1100" priority="4981">
      <formula>BE94&lt;0</formula>
    </cfRule>
    <cfRule type="colorScale" priority="4980">
      <colorScale>
        <cfvo type="min"/>
        <cfvo type="max"/>
        <color theme="0"/>
        <color theme="0"/>
      </colorScale>
    </cfRule>
  </conditionalFormatting>
  <conditionalFormatting sqref="BF104">
    <cfRule type="colorScale" priority="4933">
      <colorScale>
        <cfvo type="min"/>
        <cfvo type="max"/>
        <color theme="0"/>
        <color theme="0"/>
      </colorScale>
    </cfRule>
    <cfRule type="expression" dxfId="1099" priority="4935">
      <formula>BE104&lt;0</formula>
    </cfRule>
  </conditionalFormatting>
  <conditionalFormatting sqref="BF104:BF106">
    <cfRule type="expression" dxfId="1098" priority="4932">
      <formula>IF(BF104="Validar","Rojo","Verde")</formula>
    </cfRule>
    <cfRule type="expression" priority="4934">
      <formula>#REF!</formula>
    </cfRule>
  </conditionalFormatting>
  <conditionalFormatting sqref="BF105:BF106">
    <cfRule type="expression" dxfId="1097" priority="4979">
      <formula>BE105&lt;0</formula>
    </cfRule>
    <cfRule type="colorScale" priority="4978">
      <colorScale>
        <cfvo type="min"/>
        <cfvo type="max"/>
        <color theme="0"/>
        <color theme="0"/>
      </colorScale>
    </cfRule>
  </conditionalFormatting>
  <conditionalFormatting sqref="BF110">
    <cfRule type="colorScale" priority="4976">
      <colorScale>
        <cfvo type="min"/>
        <cfvo type="max"/>
        <color theme="0"/>
        <color theme="0"/>
      </colorScale>
    </cfRule>
    <cfRule type="expression" dxfId="1096" priority="4977">
      <formula>BE110&lt;0</formula>
    </cfRule>
  </conditionalFormatting>
  <conditionalFormatting sqref="BF111">
    <cfRule type="expression" dxfId="1095" priority="4919">
      <formula>BE111&lt;0</formula>
    </cfRule>
    <cfRule type="colorScale" priority="4917">
      <colorScale>
        <cfvo type="min"/>
        <cfvo type="max"/>
        <color theme="0"/>
        <color theme="0"/>
      </colorScale>
    </cfRule>
  </conditionalFormatting>
  <conditionalFormatting sqref="BF117:BF123">
    <cfRule type="colorScale" priority="4973">
      <colorScale>
        <cfvo type="min"/>
        <cfvo type="max"/>
        <color theme="0"/>
        <color theme="0"/>
      </colorScale>
    </cfRule>
    <cfRule type="expression" dxfId="1094" priority="4975">
      <formula>BE117&lt;0</formula>
    </cfRule>
  </conditionalFormatting>
  <conditionalFormatting sqref="BF125">
    <cfRule type="expression" dxfId="1093" priority="4931">
      <formula>BE125&lt;0</formula>
    </cfRule>
    <cfRule type="colorScale" priority="4929">
      <colorScale>
        <cfvo type="min"/>
        <cfvo type="max"/>
        <color theme="0"/>
        <color theme="0"/>
      </colorScale>
    </cfRule>
  </conditionalFormatting>
  <conditionalFormatting sqref="BF125:BF134">
    <cfRule type="expression" priority="4930">
      <formula>#REF!</formula>
    </cfRule>
    <cfRule type="expression" dxfId="1092" priority="4928">
      <formula>IF(BF125="Validar","Rojo","Verde")</formula>
    </cfRule>
  </conditionalFormatting>
  <conditionalFormatting sqref="BF126:BF134">
    <cfRule type="expression" dxfId="1091" priority="4971">
      <formula>BE126&lt;0</formula>
    </cfRule>
    <cfRule type="colorScale" priority="4970">
      <colorScale>
        <cfvo type="min"/>
        <cfvo type="max"/>
        <color theme="0"/>
        <color theme="0"/>
      </colorScale>
    </cfRule>
  </conditionalFormatting>
  <conditionalFormatting sqref="BH5 BH9">
    <cfRule type="expression" dxfId="1090" priority="2019">
      <formula>BG5&lt;0</formula>
    </cfRule>
  </conditionalFormatting>
  <conditionalFormatting sqref="BH5:BH20">
    <cfRule type="expression" dxfId="1089" priority="1901">
      <formula>IF(BH5="Validar","Rojo","Verde")</formula>
    </cfRule>
    <cfRule type="expression" priority="1902">
      <formula>#REF!</formula>
    </cfRule>
  </conditionalFormatting>
  <conditionalFormatting sqref="BH6">
    <cfRule type="colorScale" priority="1907">
      <colorScale>
        <cfvo type="min"/>
        <cfvo type="max"/>
        <color theme="0"/>
        <color theme="0"/>
      </colorScale>
    </cfRule>
    <cfRule type="expression" dxfId="1088" priority="1908">
      <formula>BG6&lt;0</formula>
    </cfRule>
  </conditionalFormatting>
  <conditionalFormatting sqref="BH7:BH8">
    <cfRule type="colorScale" priority="1903">
      <colorScale>
        <cfvo type="min"/>
        <cfvo type="max"/>
        <color theme="0"/>
        <color theme="0"/>
      </colorScale>
    </cfRule>
    <cfRule type="expression" dxfId="1087" priority="1904">
      <formula>BG7&lt;0</formula>
    </cfRule>
  </conditionalFormatting>
  <conditionalFormatting sqref="BH9 BH5">
    <cfRule type="colorScale" priority="2018">
      <colorScale>
        <cfvo type="min"/>
        <cfvo type="max"/>
        <color theme="0"/>
        <color theme="0"/>
      </colorScale>
    </cfRule>
  </conditionalFormatting>
  <conditionalFormatting sqref="BH10">
    <cfRule type="expression" dxfId="1086" priority="1996">
      <formula>BG10&lt;0</formula>
    </cfRule>
    <cfRule type="colorScale" priority="1995">
      <colorScale>
        <cfvo type="min"/>
        <cfvo type="max"/>
        <color theme="0"/>
        <color theme="0"/>
      </colorScale>
    </cfRule>
  </conditionalFormatting>
  <conditionalFormatting sqref="BH11:BH14">
    <cfRule type="colorScale" priority="2016">
      <colorScale>
        <cfvo type="min"/>
        <cfvo type="max"/>
        <color theme="0"/>
        <color theme="0"/>
      </colorScale>
    </cfRule>
    <cfRule type="expression" dxfId="1085" priority="2017">
      <formula>BG11&lt;0</formula>
    </cfRule>
  </conditionalFormatting>
  <conditionalFormatting sqref="BH15">
    <cfRule type="expression" dxfId="1084" priority="1994">
      <formula>BG15&lt;0</formula>
    </cfRule>
    <cfRule type="colorScale" priority="1993">
      <colorScale>
        <cfvo type="min"/>
        <cfvo type="max"/>
        <color theme="0"/>
        <color theme="0"/>
      </colorScale>
    </cfRule>
  </conditionalFormatting>
  <conditionalFormatting sqref="BH16:BH17">
    <cfRule type="expression" dxfId="1083" priority="2015">
      <formula>BG16&lt;0</formula>
    </cfRule>
    <cfRule type="colorScale" priority="2014">
      <colorScale>
        <cfvo type="min"/>
        <cfvo type="max"/>
        <color theme="0"/>
        <color theme="0"/>
      </colorScale>
    </cfRule>
  </conditionalFormatting>
  <conditionalFormatting sqref="BH18">
    <cfRule type="expression" dxfId="1082" priority="1992">
      <formula>BG18&lt;0</formula>
    </cfRule>
    <cfRule type="colorScale" priority="1990">
      <colorScale>
        <cfvo type="min"/>
        <cfvo type="max"/>
        <color theme="0"/>
        <color theme="0"/>
      </colorScale>
    </cfRule>
  </conditionalFormatting>
  <conditionalFormatting sqref="BH19:BH20">
    <cfRule type="expression" dxfId="1081" priority="2013">
      <formula>BG19&lt;0</formula>
    </cfRule>
    <cfRule type="colorScale" priority="2012">
      <colorScale>
        <cfvo type="min"/>
        <cfvo type="max"/>
        <color theme="0"/>
        <color theme="0"/>
      </colorScale>
    </cfRule>
  </conditionalFormatting>
  <conditionalFormatting sqref="BH23">
    <cfRule type="expression" dxfId="1080" priority="1988">
      <formula>BG23&lt;0</formula>
    </cfRule>
    <cfRule type="colorScale" priority="1987">
      <colorScale>
        <cfvo type="min"/>
        <cfvo type="max"/>
        <color theme="0"/>
        <color theme="0"/>
      </colorScale>
    </cfRule>
  </conditionalFormatting>
  <conditionalFormatting sqref="BH23:BH31">
    <cfRule type="expression" dxfId="1079" priority="1981">
      <formula>IF(BH23="Validar","Rojo","Verde")</formula>
    </cfRule>
    <cfRule type="expression" priority="1983">
      <formula>#REF!</formula>
    </cfRule>
  </conditionalFormatting>
  <conditionalFormatting sqref="BH24">
    <cfRule type="expression" dxfId="1078" priority="2011">
      <formula>BG24&lt;0</formula>
    </cfRule>
    <cfRule type="colorScale" priority="2010">
      <colorScale>
        <cfvo type="min"/>
        <cfvo type="max"/>
        <color theme="0"/>
        <color theme="0"/>
      </colorScale>
    </cfRule>
  </conditionalFormatting>
  <conditionalFormatting sqref="BH25">
    <cfRule type="expression" dxfId="1077" priority="2009">
      <formula>BG25&lt;0</formula>
    </cfRule>
    <cfRule type="colorScale" priority="2008">
      <colorScale>
        <cfvo type="min"/>
        <cfvo type="max"/>
        <color theme="0"/>
        <color theme="0"/>
      </colorScale>
    </cfRule>
  </conditionalFormatting>
  <conditionalFormatting sqref="BH26">
    <cfRule type="colorScale" priority="1985">
      <colorScale>
        <cfvo type="min"/>
        <cfvo type="max"/>
        <color theme="0"/>
        <color theme="0"/>
      </colorScale>
    </cfRule>
    <cfRule type="expression" dxfId="1076" priority="1986">
      <formula>BG26&lt;0</formula>
    </cfRule>
  </conditionalFormatting>
  <conditionalFormatting sqref="BH27">
    <cfRule type="colorScale" priority="2006">
      <colorScale>
        <cfvo type="min"/>
        <cfvo type="max"/>
        <color theme="0"/>
        <color theme="0"/>
      </colorScale>
    </cfRule>
    <cfRule type="expression" dxfId="1075" priority="2007">
      <formula>BG27&lt;0</formula>
    </cfRule>
  </conditionalFormatting>
  <conditionalFormatting sqref="BH28">
    <cfRule type="expression" dxfId="1074" priority="2005">
      <formula>BG28&lt;0</formula>
    </cfRule>
    <cfRule type="colorScale" priority="2004">
      <colorScale>
        <cfvo type="min"/>
        <cfvo type="max"/>
        <color theme="0"/>
        <color theme="0"/>
      </colorScale>
    </cfRule>
  </conditionalFormatting>
  <conditionalFormatting sqref="BH29">
    <cfRule type="colorScale" priority="1982">
      <colorScale>
        <cfvo type="min"/>
        <cfvo type="max"/>
        <color theme="0"/>
        <color theme="0"/>
      </colorScale>
    </cfRule>
    <cfRule type="expression" dxfId="1073" priority="1984">
      <formula>BG29&lt;0</formula>
    </cfRule>
  </conditionalFormatting>
  <conditionalFormatting sqref="BH30">
    <cfRule type="colorScale" priority="2002">
      <colorScale>
        <cfvo type="min"/>
        <cfvo type="max"/>
        <color theme="0"/>
        <color theme="0"/>
      </colorScale>
    </cfRule>
    <cfRule type="expression" dxfId="1072" priority="2003">
      <formula>BG30&lt;0</formula>
    </cfRule>
  </conditionalFormatting>
  <conditionalFormatting sqref="BH31">
    <cfRule type="expression" dxfId="1071" priority="2001">
      <formula>BG31&lt;0</formula>
    </cfRule>
    <cfRule type="colorScale" priority="2000">
      <colorScale>
        <cfvo type="min"/>
        <cfvo type="max"/>
        <color theme="0"/>
        <color theme="0"/>
      </colorScale>
    </cfRule>
  </conditionalFormatting>
  <conditionalFormatting sqref="BH39">
    <cfRule type="expression" dxfId="1070" priority="1980">
      <formula>BG39&lt;0</formula>
    </cfRule>
    <cfRule type="colorScale" priority="1978">
      <colorScale>
        <cfvo type="min"/>
        <cfvo type="max"/>
        <color theme="0"/>
        <color theme="0"/>
      </colorScale>
    </cfRule>
    <cfRule type="expression" priority="1979">
      <formula>#REF!</formula>
    </cfRule>
  </conditionalFormatting>
  <conditionalFormatting sqref="BH39:BH107">
    <cfRule type="expression" dxfId="1069" priority="1916">
      <formula>IF(BH39="Validar","Rojo","Verde")</formula>
    </cfRule>
  </conditionalFormatting>
  <conditionalFormatting sqref="BH40:BH67">
    <cfRule type="colorScale" priority="1997">
      <colorScale>
        <cfvo type="min"/>
        <cfvo type="max"/>
        <color theme="0"/>
        <color theme="0"/>
      </colorScale>
    </cfRule>
    <cfRule type="expression" priority="1998">
      <formula>$F$19</formula>
    </cfRule>
    <cfRule type="expression" dxfId="1068" priority="1999">
      <formula>BG40&lt;0</formula>
    </cfRule>
  </conditionalFormatting>
  <conditionalFormatting sqref="BH68">
    <cfRule type="expression" dxfId="1067" priority="1977">
      <formula>BG68&lt;0</formula>
    </cfRule>
    <cfRule type="colorScale" priority="1975">
      <colorScale>
        <cfvo type="min"/>
        <cfvo type="max"/>
        <color theme="0"/>
        <color theme="0"/>
      </colorScale>
    </cfRule>
    <cfRule type="expression" priority="1976">
      <formula>#REF!</formula>
    </cfRule>
  </conditionalFormatting>
  <conditionalFormatting sqref="BH69:BH81">
    <cfRule type="colorScale" priority="2022">
      <colorScale>
        <cfvo type="min"/>
        <cfvo type="max"/>
        <color theme="0"/>
        <color theme="0"/>
      </colorScale>
    </cfRule>
    <cfRule type="expression" priority="2023">
      <formula>$F$19</formula>
    </cfRule>
    <cfRule type="expression" dxfId="1066" priority="2024">
      <formula>BG69&lt;0</formula>
    </cfRule>
  </conditionalFormatting>
  <conditionalFormatting sqref="BH82 BH92 BH103 BH107">
    <cfRule type="expression" dxfId="1065" priority="2021">
      <formula>BG82&lt;0</formula>
    </cfRule>
    <cfRule type="colorScale" priority="2020">
      <colorScale>
        <cfvo type="min"/>
        <cfvo type="max"/>
        <color theme="0"/>
        <color theme="0"/>
      </colorScale>
    </cfRule>
  </conditionalFormatting>
  <conditionalFormatting sqref="BH83">
    <cfRule type="expression" priority="1918">
      <formula>#REF!</formula>
    </cfRule>
    <cfRule type="colorScale" priority="1917">
      <colorScale>
        <cfvo type="min"/>
        <cfvo type="max"/>
        <color theme="0"/>
        <color theme="0"/>
      </colorScale>
    </cfRule>
    <cfRule type="expression" dxfId="1064" priority="1919">
      <formula>BG83&lt;0</formula>
    </cfRule>
  </conditionalFormatting>
  <conditionalFormatting sqref="BH84:BH91">
    <cfRule type="expression" dxfId="1063" priority="2027">
      <formula>BG84&lt;0</formula>
    </cfRule>
    <cfRule type="colorScale" priority="2025">
      <colorScale>
        <cfvo type="min"/>
        <cfvo type="max"/>
        <color theme="0"/>
        <color theme="0"/>
      </colorScale>
    </cfRule>
    <cfRule type="expression" priority="2026">
      <formula>$F$19</formula>
    </cfRule>
  </conditionalFormatting>
  <conditionalFormatting sqref="BH93">
    <cfRule type="expression" priority="1973">
      <formula>#REF!</formula>
    </cfRule>
    <cfRule type="colorScale" priority="1972">
      <colorScale>
        <cfvo type="min"/>
        <cfvo type="max"/>
        <color theme="0"/>
        <color theme="0"/>
      </colorScale>
    </cfRule>
    <cfRule type="expression" dxfId="1062" priority="1974">
      <formula>BG93&lt;0</formula>
    </cfRule>
  </conditionalFormatting>
  <conditionalFormatting sqref="BH94:BH102">
    <cfRule type="expression" dxfId="1061" priority="2030">
      <formula>BG94&lt;0</formula>
    </cfRule>
    <cfRule type="expression" priority="2029">
      <formula>$F$19</formula>
    </cfRule>
    <cfRule type="colorScale" priority="2028">
      <colorScale>
        <cfvo type="min"/>
        <cfvo type="max"/>
        <color theme="0"/>
        <color theme="0"/>
      </colorScale>
    </cfRule>
  </conditionalFormatting>
  <conditionalFormatting sqref="BH104">
    <cfRule type="colorScale" priority="1969">
      <colorScale>
        <cfvo type="min"/>
        <cfvo type="max"/>
        <color theme="0"/>
        <color theme="0"/>
      </colorScale>
    </cfRule>
    <cfRule type="expression" priority="1970">
      <formula>#REF!</formula>
    </cfRule>
    <cfRule type="expression" dxfId="1060" priority="1971">
      <formula>BG104&lt;0</formula>
    </cfRule>
  </conditionalFormatting>
  <conditionalFormatting sqref="BH105:BH106">
    <cfRule type="expression" dxfId="1059" priority="2033">
      <formula>BG105&lt;0</formula>
    </cfRule>
    <cfRule type="expression" priority="2032">
      <formula>$F$19</formula>
    </cfRule>
    <cfRule type="colorScale" priority="2031">
      <colorScale>
        <cfvo type="min"/>
        <cfvo type="max"/>
        <color theme="0"/>
        <color theme="0"/>
      </colorScale>
    </cfRule>
  </conditionalFormatting>
  <conditionalFormatting sqref="BH110">
    <cfRule type="colorScale" priority="2034">
      <colorScale>
        <cfvo type="min"/>
        <cfvo type="max"/>
        <color theme="0"/>
        <color theme="0"/>
      </colorScale>
    </cfRule>
    <cfRule type="expression" dxfId="1058" priority="2035">
      <formula>BG110&lt;0</formula>
    </cfRule>
  </conditionalFormatting>
  <conditionalFormatting sqref="BH110:BH111">
    <cfRule type="expression" priority="1914">
      <formula>$F$19</formula>
    </cfRule>
  </conditionalFormatting>
  <conditionalFormatting sqref="BH111">
    <cfRule type="colorScale" priority="1913">
      <colorScale>
        <cfvo type="min"/>
        <cfvo type="max"/>
        <color theme="0"/>
        <color theme="0"/>
      </colorScale>
    </cfRule>
    <cfRule type="expression" dxfId="1057" priority="1915">
      <formula>BG111&lt;0</formula>
    </cfRule>
  </conditionalFormatting>
  <conditionalFormatting sqref="BH117:BH123">
    <cfRule type="expression" priority="2040">
      <formula>$F$19</formula>
    </cfRule>
    <cfRule type="expression" dxfId="1056" priority="2041">
      <formula>BG117&lt;0</formula>
    </cfRule>
    <cfRule type="colorScale" priority="2039">
      <colorScale>
        <cfvo type="min"/>
        <cfvo type="max"/>
        <color theme="0"/>
        <color theme="0"/>
      </colorScale>
    </cfRule>
  </conditionalFormatting>
  <conditionalFormatting sqref="BH125">
    <cfRule type="colorScale" priority="1966">
      <colorScale>
        <cfvo type="min"/>
        <cfvo type="max"/>
        <color theme="0"/>
        <color theme="0"/>
      </colorScale>
    </cfRule>
    <cfRule type="expression" priority="1967">
      <formula>#REF!</formula>
    </cfRule>
    <cfRule type="expression" dxfId="1055" priority="1968">
      <formula>BG125&lt;0</formula>
    </cfRule>
  </conditionalFormatting>
  <conditionalFormatting sqref="BH125:BH135">
    <cfRule type="expression" dxfId="1054" priority="1965">
      <formula>IF(BH125="Validar","Rojo","Verde")</formula>
    </cfRule>
  </conditionalFormatting>
  <conditionalFormatting sqref="BH126:BH132">
    <cfRule type="colorScale" priority="2042">
      <colorScale>
        <cfvo type="min"/>
        <cfvo type="max"/>
        <color theme="0"/>
        <color theme="0"/>
      </colorScale>
    </cfRule>
    <cfRule type="expression" dxfId="1053" priority="2044">
      <formula>BG126&lt;0</formula>
    </cfRule>
  </conditionalFormatting>
  <conditionalFormatting sqref="BH126:BH134">
    <cfRule type="expression" priority="2043">
      <formula>$F$19</formula>
    </cfRule>
  </conditionalFormatting>
  <conditionalFormatting sqref="BH133:BH134">
    <cfRule type="colorScale" priority="2045">
      <colorScale>
        <cfvo type="min"/>
        <cfvo type="max"/>
        <color theme="0"/>
        <color theme="0"/>
      </colorScale>
    </cfRule>
    <cfRule type="expression" dxfId="1052" priority="2046">
      <formula>BG133&lt;0</formula>
    </cfRule>
  </conditionalFormatting>
  <conditionalFormatting sqref="BH135">
    <cfRule type="colorScale" priority="2036">
      <colorScale>
        <cfvo type="min"/>
        <cfvo type="max"/>
        <color theme="0"/>
        <color theme="0"/>
      </colorScale>
    </cfRule>
    <cfRule type="expression" dxfId="1051" priority="2038">
      <formula>BG135&lt;0</formula>
    </cfRule>
    <cfRule type="expression" priority="2037">
      <formula>$F$23</formula>
    </cfRule>
  </conditionalFormatting>
  <conditionalFormatting sqref="BH110:BI111">
    <cfRule type="expression" dxfId="1050" priority="1909">
      <formula>IF(BH110="Validar","Rojo","Verde")</formula>
    </cfRule>
  </conditionalFormatting>
  <conditionalFormatting sqref="BH117:BI123">
    <cfRule type="expression" dxfId="1049" priority="1922">
      <formula>IF(BH117="Validar","Rojo","Verde")</formula>
    </cfRule>
  </conditionalFormatting>
  <conditionalFormatting sqref="BI40:BI66">
    <cfRule type="expression" priority="1958">
      <formula>#REF!</formula>
    </cfRule>
    <cfRule type="colorScale" priority="1957">
      <colorScale>
        <cfvo type="min"/>
        <cfvo type="max"/>
        <color theme="0"/>
        <color theme="0"/>
      </colorScale>
    </cfRule>
    <cfRule type="expression" dxfId="1048" priority="1959">
      <formula>BH40&lt;0</formula>
    </cfRule>
  </conditionalFormatting>
  <conditionalFormatting sqref="BI40:BI67">
    <cfRule type="expression" dxfId="1047" priority="1956">
      <formula>IF(BI40="Validar","Rojo","Verde")</formula>
    </cfRule>
  </conditionalFormatting>
  <conditionalFormatting sqref="BI67 BH82:BI82 BH92:BI92 BH103:BI103 BH107:BI107">
    <cfRule type="expression" priority="1961">
      <formula>$F$23</formula>
    </cfRule>
  </conditionalFormatting>
  <conditionalFormatting sqref="BI67 BI82 BI92 BI103 BI107">
    <cfRule type="expression" dxfId="1046" priority="1962">
      <formula>BH67&lt;0</formula>
    </cfRule>
  </conditionalFormatting>
  <conditionalFormatting sqref="BI69">
    <cfRule type="expression" dxfId="1045" priority="1955">
      <formula>BH69&lt;0</formula>
    </cfRule>
    <cfRule type="colorScale" priority="1954">
      <colorScale>
        <cfvo type="min"/>
        <cfvo type="max"/>
        <color theme="0"/>
        <color theme="0"/>
      </colorScale>
    </cfRule>
  </conditionalFormatting>
  <conditionalFormatting sqref="BI69:BI81">
    <cfRule type="expression" priority="1952">
      <formula>#REF!</formula>
    </cfRule>
  </conditionalFormatting>
  <conditionalFormatting sqref="BI69:BI82">
    <cfRule type="expression" dxfId="1044" priority="1950">
      <formula>IF(BI69="Validar","Rojo","Verde")</formula>
    </cfRule>
  </conditionalFormatting>
  <conditionalFormatting sqref="BI70:BI78">
    <cfRule type="expression" dxfId="1043" priority="1953">
      <formula>BH70&lt;0</formula>
    </cfRule>
    <cfRule type="colorScale" priority="1951">
      <colorScale>
        <cfvo type="min"/>
        <cfvo type="max"/>
        <color theme="0"/>
        <color theme="0"/>
      </colorScale>
    </cfRule>
  </conditionalFormatting>
  <conditionalFormatting sqref="BI79:BI81">
    <cfRule type="colorScale" priority="1963">
      <colorScale>
        <cfvo type="min"/>
        <cfvo type="max"/>
        <color theme="0"/>
        <color theme="0"/>
      </colorScale>
    </cfRule>
    <cfRule type="expression" dxfId="1042" priority="1964">
      <formula>BH79&lt;0</formula>
    </cfRule>
  </conditionalFormatting>
  <conditionalFormatting sqref="BI82 BI67 BI92 BI103 BI107">
    <cfRule type="colorScale" priority="1960">
      <colorScale>
        <cfvo type="min"/>
        <cfvo type="max"/>
        <color theme="0"/>
        <color theme="0"/>
      </colorScale>
    </cfRule>
  </conditionalFormatting>
  <conditionalFormatting sqref="BI84">
    <cfRule type="expression" dxfId="1041" priority="1949">
      <formula>BH84&lt;0</formula>
    </cfRule>
    <cfRule type="colorScale" priority="1948">
      <colorScale>
        <cfvo type="min"/>
        <cfvo type="max"/>
        <color theme="0"/>
        <color theme="0"/>
      </colorScale>
    </cfRule>
  </conditionalFormatting>
  <conditionalFormatting sqref="BI84:BI91">
    <cfRule type="expression" priority="1946">
      <formula>#REF!</formula>
    </cfRule>
  </conditionalFormatting>
  <conditionalFormatting sqref="BI84:BI92">
    <cfRule type="expression" dxfId="1040" priority="1944">
      <formula>IF(BI84="Validar","Rojo","Verde")</formula>
    </cfRule>
  </conditionalFormatting>
  <conditionalFormatting sqref="BI85:BI91">
    <cfRule type="expression" dxfId="1039" priority="1947">
      <formula>BH85&lt;0</formula>
    </cfRule>
    <cfRule type="colorScale" priority="1945">
      <colorScale>
        <cfvo type="min"/>
        <cfvo type="max"/>
        <color theme="0"/>
        <color theme="0"/>
      </colorScale>
    </cfRule>
  </conditionalFormatting>
  <conditionalFormatting sqref="BI94">
    <cfRule type="expression" dxfId="1038" priority="1943">
      <formula>BH94&lt;0</formula>
    </cfRule>
    <cfRule type="colorScale" priority="1942">
      <colorScale>
        <cfvo type="min"/>
        <cfvo type="max"/>
        <color theme="0"/>
        <color theme="0"/>
      </colorScale>
    </cfRule>
  </conditionalFormatting>
  <conditionalFormatting sqref="BI94:BI102">
    <cfRule type="expression" priority="1936">
      <formula>#REF!</formula>
    </cfRule>
  </conditionalFormatting>
  <conditionalFormatting sqref="BI94:BI103">
    <cfRule type="expression" dxfId="1037" priority="1934">
      <formula>IF(BI94="Validar","Rojo","Verde")</formula>
    </cfRule>
  </conditionalFormatting>
  <conditionalFormatting sqref="BI95:BI100">
    <cfRule type="expression" dxfId="1036" priority="1941">
      <formula>BH95&lt;0</formula>
    </cfRule>
    <cfRule type="colorScale" priority="1940">
      <colorScale>
        <cfvo type="min"/>
        <cfvo type="max"/>
        <color theme="0"/>
        <color theme="0"/>
      </colorScale>
    </cfRule>
  </conditionalFormatting>
  <conditionalFormatting sqref="BI101">
    <cfRule type="expression" dxfId="1035" priority="1939">
      <formula>BH101&lt;0</formula>
    </cfRule>
    <cfRule type="colorScale" priority="1938">
      <colorScale>
        <cfvo type="min"/>
        <cfvo type="max"/>
        <color theme="0"/>
        <color theme="0"/>
      </colorScale>
    </cfRule>
  </conditionalFormatting>
  <conditionalFormatting sqref="BI102">
    <cfRule type="expression" dxfId="1034" priority="1937">
      <formula>BH102&lt;0</formula>
    </cfRule>
    <cfRule type="colorScale" priority="1935">
      <colorScale>
        <cfvo type="min"/>
        <cfvo type="max"/>
        <color theme="0"/>
        <color theme="0"/>
      </colorScale>
    </cfRule>
  </conditionalFormatting>
  <conditionalFormatting sqref="BI105">
    <cfRule type="expression" dxfId="1033" priority="1933">
      <formula>BH105&lt;0</formula>
    </cfRule>
    <cfRule type="colorScale" priority="1932">
      <colorScale>
        <cfvo type="min"/>
        <cfvo type="max"/>
        <color theme="0"/>
        <color theme="0"/>
      </colorScale>
    </cfRule>
  </conditionalFormatting>
  <conditionalFormatting sqref="BI105:BI106">
    <cfRule type="expression" priority="1930">
      <formula>#REF!</formula>
    </cfRule>
  </conditionalFormatting>
  <conditionalFormatting sqref="BI105:BI107">
    <cfRule type="expression" dxfId="1032" priority="1928">
      <formula>IF(BI105="Validar","Rojo","Verde")</formula>
    </cfRule>
  </conditionalFormatting>
  <conditionalFormatting sqref="BI106">
    <cfRule type="colorScale" priority="1929">
      <colorScale>
        <cfvo type="min"/>
        <cfvo type="max"/>
        <color theme="0"/>
        <color theme="0"/>
      </colorScale>
    </cfRule>
    <cfRule type="expression" dxfId="1031" priority="1931">
      <formula>BH106&lt;0</formula>
    </cfRule>
  </conditionalFormatting>
  <conditionalFormatting sqref="BI110">
    <cfRule type="colorScale" priority="1920">
      <colorScale>
        <cfvo type="min"/>
        <cfvo type="max"/>
        <color theme="0"/>
        <color theme="0"/>
      </colorScale>
    </cfRule>
    <cfRule type="expression" dxfId="1030" priority="1921">
      <formula>BH110&lt;0</formula>
    </cfRule>
  </conditionalFormatting>
  <conditionalFormatting sqref="BI110:BI111">
    <cfRule type="expression" priority="1911">
      <formula>#REF!</formula>
    </cfRule>
  </conditionalFormatting>
  <conditionalFormatting sqref="BI111">
    <cfRule type="colorScale" priority="1910">
      <colorScale>
        <cfvo type="min"/>
        <cfvo type="max"/>
        <color theme="0"/>
        <color theme="0"/>
      </colorScale>
    </cfRule>
    <cfRule type="expression" dxfId="1029" priority="1912">
      <formula>BH111&lt;0</formula>
    </cfRule>
  </conditionalFormatting>
  <conditionalFormatting sqref="BI117">
    <cfRule type="colorScale" priority="1926">
      <colorScale>
        <cfvo type="min"/>
        <cfvo type="max"/>
        <color theme="0"/>
        <color theme="0"/>
      </colorScale>
    </cfRule>
    <cfRule type="expression" dxfId="1028" priority="1927">
      <formula>BH117&lt;0</formula>
    </cfRule>
  </conditionalFormatting>
  <conditionalFormatting sqref="BI117:BI123">
    <cfRule type="expression" priority="1924">
      <formula>#REF!</formula>
    </cfRule>
  </conditionalFormatting>
  <conditionalFormatting sqref="BI118:BI123">
    <cfRule type="expression" dxfId="1027" priority="1925">
      <formula>BH118&lt;0</formula>
    </cfRule>
    <cfRule type="colorScale" priority="1923">
      <colorScale>
        <cfvo type="min"/>
        <cfvo type="max"/>
        <color theme="0"/>
        <color theme="0"/>
      </colorScale>
    </cfRule>
  </conditionalFormatting>
  <conditionalFormatting sqref="BI126:BI135">
    <cfRule type="expression" priority="2049">
      <formula>$F$23</formula>
    </cfRule>
    <cfRule type="expression" dxfId="1026" priority="2050">
      <formula>BH126&lt;0</formula>
    </cfRule>
    <cfRule type="expression" dxfId="1025" priority="2047">
      <formula>IF(BI126="Validar","Rojo","Verde")</formula>
    </cfRule>
    <cfRule type="colorScale" priority="2048">
      <colorScale>
        <cfvo type="min"/>
        <cfvo type="max"/>
        <color theme="0"/>
        <color theme="0"/>
      </colorScale>
    </cfRule>
  </conditionalFormatting>
  <conditionalFormatting sqref="BK5 BK9">
    <cfRule type="expression" dxfId="1024" priority="1869">
      <formula>BJ5&lt;0</formula>
    </cfRule>
  </conditionalFormatting>
  <conditionalFormatting sqref="BK5:BK20">
    <cfRule type="expression" priority="1752">
      <formula>#REF!</formula>
    </cfRule>
    <cfRule type="expression" dxfId="1023" priority="1751">
      <formula>IF(BK5="Validar","Rojo","Verde")</formula>
    </cfRule>
  </conditionalFormatting>
  <conditionalFormatting sqref="BK6">
    <cfRule type="colorScale" priority="1757">
      <colorScale>
        <cfvo type="min"/>
        <cfvo type="max"/>
        <color theme="0"/>
        <color theme="0"/>
      </colorScale>
    </cfRule>
    <cfRule type="expression" dxfId="1022" priority="1758">
      <formula>BJ6&lt;0</formula>
    </cfRule>
  </conditionalFormatting>
  <conditionalFormatting sqref="BK7:BK8">
    <cfRule type="colorScale" priority="1753">
      <colorScale>
        <cfvo type="min"/>
        <cfvo type="max"/>
        <color theme="0"/>
        <color theme="0"/>
      </colorScale>
    </cfRule>
    <cfRule type="expression" dxfId="1021" priority="1754">
      <formula>BJ7&lt;0</formula>
    </cfRule>
  </conditionalFormatting>
  <conditionalFormatting sqref="BK9 BK5">
    <cfRule type="colorScale" priority="1868">
      <colorScale>
        <cfvo type="min"/>
        <cfvo type="max"/>
        <color theme="0"/>
        <color theme="0"/>
      </colorScale>
    </cfRule>
  </conditionalFormatting>
  <conditionalFormatting sqref="BK10">
    <cfRule type="expression" dxfId="1020" priority="1846">
      <formula>BJ10&lt;0</formula>
    </cfRule>
    <cfRule type="colorScale" priority="1845">
      <colorScale>
        <cfvo type="min"/>
        <cfvo type="max"/>
        <color theme="0"/>
        <color theme="0"/>
      </colorScale>
    </cfRule>
  </conditionalFormatting>
  <conditionalFormatting sqref="BK11:BK14">
    <cfRule type="colorScale" priority="1866">
      <colorScale>
        <cfvo type="min"/>
        <cfvo type="max"/>
        <color theme="0"/>
        <color theme="0"/>
      </colorScale>
    </cfRule>
    <cfRule type="expression" dxfId="1019" priority="1867">
      <formula>BJ11&lt;0</formula>
    </cfRule>
  </conditionalFormatting>
  <conditionalFormatting sqref="BK15">
    <cfRule type="colorScale" priority="1843">
      <colorScale>
        <cfvo type="min"/>
        <cfvo type="max"/>
        <color theme="0"/>
        <color theme="0"/>
      </colorScale>
    </cfRule>
    <cfRule type="expression" dxfId="1018" priority="1844">
      <formula>BJ15&lt;0</formula>
    </cfRule>
  </conditionalFormatting>
  <conditionalFormatting sqref="BK16:BK17">
    <cfRule type="colorScale" priority="1864">
      <colorScale>
        <cfvo type="min"/>
        <cfvo type="max"/>
        <color theme="0"/>
        <color theme="0"/>
      </colorScale>
    </cfRule>
    <cfRule type="expression" dxfId="1017" priority="1865">
      <formula>BJ16&lt;0</formula>
    </cfRule>
  </conditionalFormatting>
  <conditionalFormatting sqref="BK18">
    <cfRule type="expression" dxfId="1016" priority="1842">
      <formula>BJ18&lt;0</formula>
    </cfRule>
    <cfRule type="colorScale" priority="1840">
      <colorScale>
        <cfvo type="min"/>
        <cfvo type="max"/>
        <color theme="0"/>
        <color theme="0"/>
      </colorScale>
    </cfRule>
  </conditionalFormatting>
  <conditionalFormatting sqref="BK19:BK20">
    <cfRule type="expression" dxfId="1015" priority="1863">
      <formula>BJ19&lt;0</formula>
    </cfRule>
    <cfRule type="colorScale" priority="1862">
      <colorScale>
        <cfvo type="min"/>
        <cfvo type="max"/>
        <color theme="0"/>
        <color theme="0"/>
      </colorScale>
    </cfRule>
  </conditionalFormatting>
  <conditionalFormatting sqref="BK23">
    <cfRule type="colorScale" priority="1837">
      <colorScale>
        <cfvo type="min"/>
        <cfvo type="max"/>
        <color theme="0"/>
        <color theme="0"/>
      </colorScale>
    </cfRule>
    <cfRule type="expression" dxfId="1014" priority="1838">
      <formula>BJ23&lt;0</formula>
    </cfRule>
  </conditionalFormatting>
  <conditionalFormatting sqref="BK23:BK31">
    <cfRule type="expression" dxfId="1013" priority="1831">
      <formula>IF(BK23="Validar","Rojo","Verde")</formula>
    </cfRule>
    <cfRule type="expression" priority="1833">
      <formula>#REF!</formula>
    </cfRule>
  </conditionalFormatting>
  <conditionalFormatting sqref="BK24">
    <cfRule type="colorScale" priority="1860">
      <colorScale>
        <cfvo type="min"/>
        <cfvo type="max"/>
        <color theme="0"/>
        <color theme="0"/>
      </colorScale>
    </cfRule>
    <cfRule type="expression" dxfId="1012" priority="1861">
      <formula>BJ24&lt;0</formula>
    </cfRule>
  </conditionalFormatting>
  <conditionalFormatting sqref="BK25">
    <cfRule type="colorScale" priority="1858">
      <colorScale>
        <cfvo type="min"/>
        <cfvo type="max"/>
        <color theme="0"/>
        <color theme="0"/>
      </colorScale>
    </cfRule>
    <cfRule type="expression" dxfId="1011" priority="1859">
      <formula>BJ25&lt;0</formula>
    </cfRule>
  </conditionalFormatting>
  <conditionalFormatting sqref="BK26">
    <cfRule type="colorScale" priority="1835">
      <colorScale>
        <cfvo type="min"/>
        <cfvo type="max"/>
        <color theme="0"/>
        <color theme="0"/>
      </colorScale>
    </cfRule>
    <cfRule type="expression" dxfId="1010" priority="1836">
      <formula>BJ26&lt;0</formula>
    </cfRule>
  </conditionalFormatting>
  <conditionalFormatting sqref="BK27">
    <cfRule type="colorScale" priority="1856">
      <colorScale>
        <cfvo type="min"/>
        <cfvo type="max"/>
        <color theme="0"/>
        <color theme="0"/>
      </colorScale>
    </cfRule>
    <cfRule type="expression" dxfId="1009" priority="1857">
      <formula>BJ27&lt;0</formula>
    </cfRule>
  </conditionalFormatting>
  <conditionalFormatting sqref="BK28">
    <cfRule type="expression" dxfId="1008" priority="1855">
      <formula>BJ28&lt;0</formula>
    </cfRule>
    <cfRule type="colorScale" priority="1854">
      <colorScale>
        <cfvo type="min"/>
        <cfvo type="max"/>
        <color theme="0"/>
        <color theme="0"/>
      </colorScale>
    </cfRule>
  </conditionalFormatting>
  <conditionalFormatting sqref="BK29">
    <cfRule type="colorScale" priority="1832">
      <colorScale>
        <cfvo type="min"/>
        <cfvo type="max"/>
        <color theme="0"/>
        <color theme="0"/>
      </colorScale>
    </cfRule>
    <cfRule type="expression" dxfId="1007" priority="1834">
      <formula>BJ29&lt;0</formula>
    </cfRule>
  </conditionalFormatting>
  <conditionalFormatting sqref="BK30">
    <cfRule type="expression" dxfId="1006" priority="1853">
      <formula>BJ30&lt;0</formula>
    </cfRule>
    <cfRule type="colorScale" priority="1852">
      <colorScale>
        <cfvo type="min"/>
        <cfvo type="max"/>
        <color theme="0"/>
        <color theme="0"/>
      </colorScale>
    </cfRule>
  </conditionalFormatting>
  <conditionalFormatting sqref="BK31">
    <cfRule type="expression" dxfId="1005" priority="1851">
      <formula>BJ31&lt;0</formula>
    </cfRule>
    <cfRule type="colorScale" priority="1850">
      <colorScale>
        <cfvo type="min"/>
        <cfvo type="max"/>
        <color theme="0"/>
        <color theme="0"/>
      </colorScale>
    </cfRule>
  </conditionalFormatting>
  <conditionalFormatting sqref="BK39">
    <cfRule type="colorScale" priority="1828">
      <colorScale>
        <cfvo type="min"/>
        <cfvo type="max"/>
        <color theme="0"/>
        <color theme="0"/>
      </colorScale>
    </cfRule>
    <cfRule type="expression" dxfId="1004" priority="1830">
      <formula>BJ39&lt;0</formula>
    </cfRule>
    <cfRule type="expression" priority="1829">
      <formula>#REF!</formula>
    </cfRule>
  </conditionalFormatting>
  <conditionalFormatting sqref="BK39:BK107">
    <cfRule type="expression" dxfId="1003" priority="1766">
      <formula>IF(BK39="Validar","Rojo","Verde")</formula>
    </cfRule>
  </conditionalFormatting>
  <conditionalFormatting sqref="BK40:BK67">
    <cfRule type="expression" priority="1848">
      <formula>$F$19</formula>
    </cfRule>
    <cfRule type="colorScale" priority="1847">
      <colorScale>
        <cfvo type="min"/>
        <cfvo type="max"/>
        <color theme="0"/>
        <color theme="0"/>
      </colorScale>
    </cfRule>
    <cfRule type="expression" dxfId="1002" priority="1849">
      <formula>BJ40&lt;0</formula>
    </cfRule>
  </conditionalFormatting>
  <conditionalFormatting sqref="BK68">
    <cfRule type="expression" dxfId="1001" priority="1827">
      <formula>BJ68&lt;0</formula>
    </cfRule>
    <cfRule type="expression" priority="1826">
      <formula>#REF!</formula>
    </cfRule>
    <cfRule type="colorScale" priority="1825">
      <colorScale>
        <cfvo type="min"/>
        <cfvo type="max"/>
        <color theme="0"/>
        <color theme="0"/>
      </colorScale>
    </cfRule>
  </conditionalFormatting>
  <conditionalFormatting sqref="BK69:BK81">
    <cfRule type="expression" dxfId="1000" priority="1874">
      <formula>BJ69&lt;0</formula>
    </cfRule>
    <cfRule type="colorScale" priority="1872">
      <colorScale>
        <cfvo type="min"/>
        <cfvo type="max"/>
        <color theme="0"/>
        <color theme="0"/>
      </colorScale>
    </cfRule>
    <cfRule type="expression" priority="1873">
      <formula>$F$19</formula>
    </cfRule>
  </conditionalFormatting>
  <conditionalFormatting sqref="BK82 BK92 BK103 BK107">
    <cfRule type="colorScale" priority="1870">
      <colorScale>
        <cfvo type="min"/>
        <cfvo type="max"/>
        <color theme="0"/>
        <color theme="0"/>
      </colorScale>
    </cfRule>
    <cfRule type="expression" dxfId="999" priority="1871">
      <formula>BJ82&lt;0</formula>
    </cfRule>
  </conditionalFormatting>
  <conditionalFormatting sqref="BK83">
    <cfRule type="expression" dxfId="998" priority="1769">
      <formula>BJ83&lt;0</formula>
    </cfRule>
    <cfRule type="colorScale" priority="1767">
      <colorScale>
        <cfvo type="min"/>
        <cfvo type="max"/>
        <color theme="0"/>
        <color theme="0"/>
      </colorScale>
    </cfRule>
    <cfRule type="expression" priority="1768">
      <formula>#REF!</formula>
    </cfRule>
  </conditionalFormatting>
  <conditionalFormatting sqref="BK84:BK91">
    <cfRule type="expression" dxfId="997" priority="1877">
      <formula>BJ84&lt;0</formula>
    </cfRule>
    <cfRule type="expression" priority="1876">
      <formula>$F$19</formula>
    </cfRule>
    <cfRule type="colorScale" priority="1875">
      <colorScale>
        <cfvo type="min"/>
        <cfvo type="max"/>
        <color theme="0"/>
        <color theme="0"/>
      </colorScale>
    </cfRule>
  </conditionalFormatting>
  <conditionalFormatting sqref="BK93">
    <cfRule type="expression" dxfId="996" priority="1824">
      <formula>BJ93&lt;0</formula>
    </cfRule>
    <cfRule type="colorScale" priority="1822">
      <colorScale>
        <cfvo type="min"/>
        <cfvo type="max"/>
        <color theme="0"/>
        <color theme="0"/>
      </colorScale>
    </cfRule>
    <cfRule type="expression" priority="1823">
      <formula>#REF!</formula>
    </cfRule>
  </conditionalFormatting>
  <conditionalFormatting sqref="BK94:BK102">
    <cfRule type="expression" priority="1879">
      <formula>$F$19</formula>
    </cfRule>
    <cfRule type="expression" dxfId="995" priority="1880">
      <formula>BJ94&lt;0</formula>
    </cfRule>
    <cfRule type="colorScale" priority="1878">
      <colorScale>
        <cfvo type="min"/>
        <cfvo type="max"/>
        <color theme="0"/>
        <color theme="0"/>
      </colorScale>
    </cfRule>
  </conditionalFormatting>
  <conditionalFormatting sqref="BK104">
    <cfRule type="expression" dxfId="994" priority="1821">
      <formula>BJ104&lt;0</formula>
    </cfRule>
    <cfRule type="expression" priority="1820">
      <formula>#REF!</formula>
    </cfRule>
    <cfRule type="colorScale" priority="1819">
      <colorScale>
        <cfvo type="min"/>
        <cfvo type="max"/>
        <color theme="0"/>
        <color theme="0"/>
      </colorScale>
    </cfRule>
  </conditionalFormatting>
  <conditionalFormatting sqref="BK105:BK106">
    <cfRule type="colorScale" priority="1881">
      <colorScale>
        <cfvo type="min"/>
        <cfvo type="max"/>
        <color theme="0"/>
        <color theme="0"/>
      </colorScale>
    </cfRule>
    <cfRule type="expression" dxfId="993" priority="1883">
      <formula>BJ105&lt;0</formula>
    </cfRule>
    <cfRule type="expression" priority="1882">
      <formula>$F$19</formula>
    </cfRule>
  </conditionalFormatting>
  <conditionalFormatting sqref="BK110">
    <cfRule type="expression" dxfId="992" priority="1885">
      <formula>BJ110&lt;0</formula>
    </cfRule>
    <cfRule type="colorScale" priority="1884">
      <colorScale>
        <cfvo type="min"/>
        <cfvo type="max"/>
        <color theme="0"/>
        <color theme="0"/>
      </colorScale>
    </cfRule>
  </conditionalFormatting>
  <conditionalFormatting sqref="BK110:BK111">
    <cfRule type="expression" priority="1764">
      <formula>$F$19</formula>
    </cfRule>
  </conditionalFormatting>
  <conditionalFormatting sqref="BK111">
    <cfRule type="expression" dxfId="991" priority="1765">
      <formula>BJ111&lt;0</formula>
    </cfRule>
    <cfRule type="colorScale" priority="1763">
      <colorScale>
        <cfvo type="min"/>
        <cfvo type="max"/>
        <color theme="0"/>
        <color theme="0"/>
      </colorScale>
    </cfRule>
  </conditionalFormatting>
  <conditionalFormatting sqref="BK117:BK123">
    <cfRule type="expression" dxfId="990" priority="1891">
      <formula>BJ117&lt;0</formula>
    </cfRule>
    <cfRule type="expression" priority="1890">
      <formula>$F$19</formula>
    </cfRule>
    <cfRule type="colorScale" priority="1889">
      <colorScale>
        <cfvo type="min"/>
        <cfvo type="max"/>
        <color theme="0"/>
        <color theme="0"/>
      </colorScale>
    </cfRule>
  </conditionalFormatting>
  <conditionalFormatting sqref="BK125">
    <cfRule type="expression" priority="1817">
      <formula>#REF!</formula>
    </cfRule>
    <cfRule type="expression" dxfId="989" priority="1818">
      <formula>BJ125&lt;0</formula>
    </cfRule>
    <cfRule type="colorScale" priority="1816">
      <colorScale>
        <cfvo type="min"/>
        <cfvo type="max"/>
        <color theme="0"/>
        <color theme="0"/>
      </colorScale>
    </cfRule>
  </conditionalFormatting>
  <conditionalFormatting sqref="BK125:BK135">
    <cfRule type="expression" dxfId="988" priority="1815">
      <formula>IF(BK125="Validar","Rojo","Verde")</formula>
    </cfRule>
  </conditionalFormatting>
  <conditionalFormatting sqref="BK126:BK132">
    <cfRule type="expression" dxfId="987" priority="1894">
      <formula>BJ126&lt;0</formula>
    </cfRule>
    <cfRule type="colorScale" priority="1892">
      <colorScale>
        <cfvo type="min"/>
        <cfvo type="max"/>
        <color theme="0"/>
        <color theme="0"/>
      </colorScale>
    </cfRule>
  </conditionalFormatting>
  <conditionalFormatting sqref="BK126:BK134">
    <cfRule type="expression" priority="1893">
      <formula>$F$19</formula>
    </cfRule>
  </conditionalFormatting>
  <conditionalFormatting sqref="BK133:BK134">
    <cfRule type="colorScale" priority="1895">
      <colorScale>
        <cfvo type="min"/>
        <cfvo type="max"/>
        <color theme="0"/>
        <color theme="0"/>
      </colorScale>
    </cfRule>
    <cfRule type="expression" dxfId="986" priority="1896">
      <formula>BJ133&lt;0</formula>
    </cfRule>
  </conditionalFormatting>
  <conditionalFormatting sqref="BK135">
    <cfRule type="expression" dxfId="985" priority="1888">
      <formula>BJ135&lt;0</formula>
    </cfRule>
    <cfRule type="expression" priority="1887">
      <formula>$F$23</formula>
    </cfRule>
    <cfRule type="colorScale" priority="1886">
      <colorScale>
        <cfvo type="min"/>
        <cfvo type="max"/>
        <color theme="0"/>
        <color theme="0"/>
      </colorScale>
    </cfRule>
  </conditionalFormatting>
  <conditionalFormatting sqref="BK110:BM111">
    <cfRule type="expression" dxfId="984" priority="1759">
      <formula>IF(BK110="Validar","Rojo","Verde")</formula>
    </cfRule>
  </conditionalFormatting>
  <conditionalFormatting sqref="BK117:BM123">
    <cfRule type="expression" dxfId="983" priority="1772">
      <formula>IF(BK117="Validar","Rojo","Verde")</formula>
    </cfRule>
  </conditionalFormatting>
  <conditionalFormatting sqref="BL40:BL66">
    <cfRule type="colorScale" priority="1807">
      <colorScale>
        <cfvo type="min"/>
        <cfvo type="max"/>
        <color theme="0"/>
        <color theme="0"/>
      </colorScale>
    </cfRule>
    <cfRule type="expression" priority="1808">
      <formula>#REF!</formula>
    </cfRule>
    <cfRule type="expression" dxfId="982" priority="1809">
      <formula>BK40&lt;0</formula>
    </cfRule>
  </conditionalFormatting>
  <conditionalFormatting sqref="BL40:BL67">
    <cfRule type="expression" dxfId="981" priority="1806">
      <formula>IF(BL40="Validar","Rojo","Verde")</formula>
    </cfRule>
  </conditionalFormatting>
  <conditionalFormatting sqref="BL67 BK82:BL82 BK92:BL92 BK103:BL103 BK107:BL107">
    <cfRule type="expression" priority="1811">
      <formula>$F$23</formula>
    </cfRule>
  </conditionalFormatting>
  <conditionalFormatting sqref="BL67 BL82 BL92 BL103 BL107">
    <cfRule type="expression" dxfId="980" priority="1812">
      <formula>BK67&lt;0</formula>
    </cfRule>
  </conditionalFormatting>
  <conditionalFormatting sqref="BL69">
    <cfRule type="colorScale" priority="1804">
      <colorScale>
        <cfvo type="min"/>
        <cfvo type="max"/>
        <color theme="0"/>
        <color theme="0"/>
      </colorScale>
    </cfRule>
    <cfRule type="expression" dxfId="979" priority="1805">
      <formula>BK69&lt;0</formula>
    </cfRule>
  </conditionalFormatting>
  <conditionalFormatting sqref="BL69:BL81">
    <cfRule type="expression" priority="1802">
      <formula>#REF!</formula>
    </cfRule>
  </conditionalFormatting>
  <conditionalFormatting sqref="BL69:BL82">
    <cfRule type="expression" dxfId="978" priority="1800">
      <formula>IF(BL69="Validar","Rojo","Verde")</formula>
    </cfRule>
  </conditionalFormatting>
  <conditionalFormatting sqref="BL70:BL78">
    <cfRule type="colorScale" priority="1801">
      <colorScale>
        <cfvo type="min"/>
        <cfvo type="max"/>
        <color theme="0"/>
        <color theme="0"/>
      </colorScale>
    </cfRule>
    <cfRule type="expression" dxfId="977" priority="1803">
      <formula>BK70&lt;0</formula>
    </cfRule>
  </conditionalFormatting>
  <conditionalFormatting sqref="BL79:BL81">
    <cfRule type="expression" dxfId="976" priority="1814">
      <formula>BK79&lt;0</formula>
    </cfRule>
    <cfRule type="colorScale" priority="1813">
      <colorScale>
        <cfvo type="min"/>
        <cfvo type="max"/>
        <color theme="0"/>
        <color theme="0"/>
      </colorScale>
    </cfRule>
  </conditionalFormatting>
  <conditionalFormatting sqref="BL82 BL67 BL92 BL103 BL107">
    <cfRule type="colorScale" priority="1810">
      <colorScale>
        <cfvo type="min"/>
        <cfvo type="max"/>
        <color theme="0"/>
        <color theme="0"/>
      </colorScale>
    </cfRule>
  </conditionalFormatting>
  <conditionalFormatting sqref="BL84">
    <cfRule type="colorScale" priority="1798">
      <colorScale>
        <cfvo type="min"/>
        <cfvo type="max"/>
        <color theme="0"/>
        <color theme="0"/>
      </colorScale>
    </cfRule>
    <cfRule type="expression" dxfId="975" priority="1799">
      <formula>BK84&lt;0</formula>
    </cfRule>
  </conditionalFormatting>
  <conditionalFormatting sqref="BL84:BL91">
    <cfRule type="expression" priority="1796">
      <formula>#REF!</formula>
    </cfRule>
  </conditionalFormatting>
  <conditionalFormatting sqref="BL84:BL92">
    <cfRule type="expression" dxfId="974" priority="1794">
      <formula>IF(BL84="Validar","Rojo","Verde")</formula>
    </cfRule>
  </conditionalFormatting>
  <conditionalFormatting sqref="BL85:BL91">
    <cfRule type="colorScale" priority="1795">
      <colorScale>
        <cfvo type="min"/>
        <cfvo type="max"/>
        <color theme="0"/>
        <color theme="0"/>
      </colorScale>
    </cfRule>
    <cfRule type="expression" dxfId="973" priority="1797">
      <formula>BK85&lt;0</formula>
    </cfRule>
  </conditionalFormatting>
  <conditionalFormatting sqref="BL94">
    <cfRule type="colorScale" priority="1792">
      <colorScale>
        <cfvo type="min"/>
        <cfvo type="max"/>
        <color theme="0"/>
        <color theme="0"/>
      </colorScale>
    </cfRule>
    <cfRule type="expression" dxfId="972" priority="1793">
      <formula>BK94&lt;0</formula>
    </cfRule>
  </conditionalFormatting>
  <conditionalFormatting sqref="BL94:BL102">
    <cfRule type="expression" priority="1786">
      <formula>#REF!</formula>
    </cfRule>
  </conditionalFormatting>
  <conditionalFormatting sqref="BL94:BL103">
    <cfRule type="expression" dxfId="971" priority="1784">
      <formula>IF(BL94="Validar","Rojo","Verde")</formula>
    </cfRule>
  </conditionalFormatting>
  <conditionalFormatting sqref="BL95:BL100">
    <cfRule type="expression" dxfId="970" priority="1791">
      <formula>BK95&lt;0</formula>
    </cfRule>
    <cfRule type="colorScale" priority="1790">
      <colorScale>
        <cfvo type="min"/>
        <cfvo type="max"/>
        <color theme="0"/>
        <color theme="0"/>
      </colorScale>
    </cfRule>
  </conditionalFormatting>
  <conditionalFormatting sqref="BL101">
    <cfRule type="expression" dxfId="969" priority="1789">
      <formula>BK101&lt;0</formula>
    </cfRule>
    <cfRule type="colorScale" priority="1788">
      <colorScale>
        <cfvo type="min"/>
        <cfvo type="max"/>
        <color theme="0"/>
        <color theme="0"/>
      </colorScale>
    </cfRule>
  </conditionalFormatting>
  <conditionalFormatting sqref="BL102">
    <cfRule type="expression" dxfId="968" priority="1787">
      <formula>BK102&lt;0</formula>
    </cfRule>
    <cfRule type="colorScale" priority="1785">
      <colorScale>
        <cfvo type="min"/>
        <cfvo type="max"/>
        <color theme="0"/>
        <color theme="0"/>
      </colorScale>
    </cfRule>
  </conditionalFormatting>
  <conditionalFormatting sqref="BL105">
    <cfRule type="expression" dxfId="967" priority="1783">
      <formula>BK105&lt;0</formula>
    </cfRule>
    <cfRule type="colorScale" priority="1782">
      <colorScale>
        <cfvo type="min"/>
        <cfvo type="max"/>
        <color theme="0"/>
        <color theme="0"/>
      </colorScale>
    </cfRule>
  </conditionalFormatting>
  <conditionalFormatting sqref="BL105:BL106">
    <cfRule type="expression" priority="1780">
      <formula>#REF!</formula>
    </cfRule>
  </conditionalFormatting>
  <conditionalFormatting sqref="BL105:BL107">
    <cfRule type="expression" dxfId="966" priority="1778">
      <formula>IF(BL105="Validar","Rojo","Verde")</formula>
    </cfRule>
  </conditionalFormatting>
  <conditionalFormatting sqref="BL106">
    <cfRule type="expression" dxfId="965" priority="1781">
      <formula>BK106&lt;0</formula>
    </cfRule>
    <cfRule type="colorScale" priority="1779">
      <colorScale>
        <cfvo type="min"/>
        <cfvo type="max"/>
        <color theme="0"/>
        <color theme="0"/>
      </colorScale>
    </cfRule>
  </conditionalFormatting>
  <conditionalFormatting sqref="BL110">
    <cfRule type="colorScale" priority="1770">
      <colorScale>
        <cfvo type="min"/>
        <cfvo type="max"/>
        <color theme="0"/>
        <color theme="0"/>
      </colorScale>
    </cfRule>
    <cfRule type="expression" dxfId="964" priority="1771">
      <formula>BK110&lt;0</formula>
    </cfRule>
  </conditionalFormatting>
  <conditionalFormatting sqref="BL111">
    <cfRule type="colorScale" priority="1760">
      <colorScale>
        <cfvo type="min"/>
        <cfvo type="max"/>
        <color theme="0"/>
        <color theme="0"/>
      </colorScale>
    </cfRule>
    <cfRule type="expression" dxfId="963" priority="1762">
      <formula>BK111&lt;0</formula>
    </cfRule>
  </conditionalFormatting>
  <conditionalFormatting sqref="BL117">
    <cfRule type="expression" dxfId="962" priority="1777">
      <formula>BK117&lt;0</formula>
    </cfRule>
    <cfRule type="colorScale" priority="1776">
      <colorScale>
        <cfvo type="min"/>
        <cfvo type="max"/>
        <color theme="0"/>
        <color theme="0"/>
      </colorScale>
    </cfRule>
  </conditionalFormatting>
  <conditionalFormatting sqref="BL118:BL123">
    <cfRule type="expression" dxfId="961" priority="1775">
      <formula>BK118&lt;0</formula>
    </cfRule>
    <cfRule type="colorScale" priority="1773">
      <colorScale>
        <cfvo type="min"/>
        <cfvo type="max"/>
        <color theme="0"/>
        <color theme="0"/>
      </colorScale>
    </cfRule>
  </conditionalFormatting>
  <conditionalFormatting sqref="BL126:BL135">
    <cfRule type="expression" priority="1899">
      <formula>$F$23</formula>
    </cfRule>
    <cfRule type="colorScale" priority="1898">
      <colorScale>
        <cfvo type="min"/>
        <cfvo type="max"/>
        <color theme="0"/>
        <color theme="0"/>
      </colorScale>
    </cfRule>
    <cfRule type="expression" dxfId="960" priority="1897">
      <formula>IF(BL126="Validar","Rojo","Verde")</formula>
    </cfRule>
    <cfRule type="expression" dxfId="959" priority="1900">
      <formula>BK126&lt;0</formula>
    </cfRule>
  </conditionalFormatting>
  <conditionalFormatting sqref="BL110:BM111">
    <cfRule type="expression" priority="1761">
      <formula>#REF!</formula>
    </cfRule>
  </conditionalFormatting>
  <conditionalFormatting sqref="BL117:BM123">
    <cfRule type="expression" priority="1774">
      <formula>#REF!</formula>
    </cfRule>
  </conditionalFormatting>
  <conditionalFormatting sqref="BM5">
    <cfRule type="colorScale" priority="4458">
      <colorScale>
        <cfvo type="min"/>
        <cfvo type="max"/>
        <color theme="0"/>
        <color theme="0"/>
      </colorScale>
    </cfRule>
    <cfRule type="expression" dxfId="958" priority="4459">
      <formula>BL5&lt;0</formula>
    </cfRule>
  </conditionalFormatting>
  <conditionalFormatting sqref="BM5:BM16">
    <cfRule type="expression" priority="4432">
      <formula>#REF!</formula>
    </cfRule>
    <cfRule type="expression" dxfId="957" priority="4430">
      <formula>IF(BM5="Validar","Rojo","Verde")</formula>
    </cfRule>
  </conditionalFormatting>
  <conditionalFormatting sqref="BM6:BM9">
    <cfRule type="colorScale" priority="4466">
      <colorScale>
        <cfvo type="min"/>
        <cfvo type="max"/>
        <color theme="0"/>
        <color theme="0"/>
      </colorScale>
    </cfRule>
    <cfRule type="expression" dxfId="956" priority="4467">
      <formula>BL6&lt;0</formula>
    </cfRule>
  </conditionalFormatting>
  <conditionalFormatting sqref="BM10">
    <cfRule type="expression" dxfId="955" priority="4435">
      <formula>BL10&lt;0</formula>
    </cfRule>
    <cfRule type="colorScale" priority="4434">
      <colorScale>
        <cfvo type="min"/>
        <cfvo type="max"/>
        <color theme="0"/>
        <color theme="0"/>
      </colorScale>
    </cfRule>
  </conditionalFormatting>
  <conditionalFormatting sqref="BM11:BM14">
    <cfRule type="colorScale" priority="4464">
      <colorScale>
        <cfvo type="min"/>
        <cfvo type="max"/>
        <color theme="0"/>
        <color theme="0"/>
      </colorScale>
    </cfRule>
    <cfRule type="expression" dxfId="954" priority="4465">
      <formula>BL11&lt;0</formula>
    </cfRule>
  </conditionalFormatting>
  <conditionalFormatting sqref="BM15">
    <cfRule type="colorScale" priority="4431">
      <colorScale>
        <cfvo type="min"/>
        <cfvo type="max"/>
        <color theme="0"/>
        <color theme="0"/>
      </colorScale>
    </cfRule>
    <cfRule type="expression" dxfId="953" priority="4433">
      <formula>BL15&lt;0</formula>
    </cfRule>
  </conditionalFormatting>
  <conditionalFormatting sqref="BM16">
    <cfRule type="expression" dxfId="952" priority="4463">
      <formula>BL16&lt;0</formula>
    </cfRule>
    <cfRule type="colorScale" priority="4462">
      <colorScale>
        <cfvo type="min"/>
        <cfvo type="max"/>
        <color theme="0"/>
        <color theme="0"/>
      </colorScale>
    </cfRule>
  </conditionalFormatting>
  <conditionalFormatting sqref="BM18">
    <cfRule type="expression" dxfId="951" priority="4429">
      <formula>BL18&lt;0</formula>
    </cfRule>
    <cfRule type="colorScale" priority="4427">
      <colorScale>
        <cfvo type="min"/>
        <cfvo type="max"/>
        <color theme="0"/>
        <color theme="0"/>
      </colorScale>
    </cfRule>
  </conditionalFormatting>
  <conditionalFormatting sqref="BM18:BM19">
    <cfRule type="expression" priority="4428">
      <formula>#REF!</formula>
    </cfRule>
    <cfRule type="expression" dxfId="950" priority="4426">
      <formula>IF(BM18="Validar","Rojo","Verde")</formula>
    </cfRule>
  </conditionalFormatting>
  <conditionalFormatting sqref="BM19">
    <cfRule type="expression" dxfId="949" priority="4461">
      <formula>BL19&lt;0</formula>
    </cfRule>
    <cfRule type="colorScale" priority="4460">
      <colorScale>
        <cfvo type="min"/>
        <cfvo type="max"/>
        <color theme="0"/>
        <color theme="0"/>
      </colorScale>
    </cfRule>
  </conditionalFormatting>
  <conditionalFormatting sqref="BM23">
    <cfRule type="expression" dxfId="948" priority="4425">
      <formula>BL23&lt;0</formula>
    </cfRule>
    <cfRule type="colorScale" priority="4423">
      <colorScale>
        <cfvo type="min"/>
        <cfvo type="max"/>
        <color theme="0"/>
        <color theme="0"/>
      </colorScale>
    </cfRule>
  </conditionalFormatting>
  <conditionalFormatting sqref="BM23:BM24">
    <cfRule type="expression" priority="4424">
      <formula>#REF!</formula>
    </cfRule>
    <cfRule type="expression" dxfId="947" priority="4422">
      <formula>IF(BM23="Validar","Rojo","Verde")</formula>
    </cfRule>
  </conditionalFormatting>
  <conditionalFormatting sqref="BM24">
    <cfRule type="colorScale" priority="4456">
      <colorScale>
        <cfvo type="min"/>
        <cfvo type="max"/>
        <color theme="0"/>
        <color theme="0"/>
      </colorScale>
    </cfRule>
    <cfRule type="expression" dxfId="946" priority="4457">
      <formula>BL24&lt;0</formula>
    </cfRule>
  </conditionalFormatting>
  <conditionalFormatting sqref="BM26">
    <cfRule type="colorScale" priority="4419">
      <colorScale>
        <cfvo type="min"/>
        <cfvo type="max"/>
        <color theme="0"/>
        <color theme="0"/>
      </colorScale>
    </cfRule>
    <cfRule type="expression" dxfId="945" priority="4421">
      <formula>BL26&lt;0</formula>
    </cfRule>
  </conditionalFormatting>
  <conditionalFormatting sqref="BM26:BM27">
    <cfRule type="expression" dxfId="944" priority="4418">
      <formula>IF(BM26="Validar","Rojo","Verde")</formula>
    </cfRule>
    <cfRule type="expression" priority="4420">
      <formula>#REF!</formula>
    </cfRule>
  </conditionalFormatting>
  <conditionalFormatting sqref="BM27">
    <cfRule type="colorScale" priority="4454">
      <colorScale>
        <cfvo type="min"/>
        <cfvo type="max"/>
        <color theme="0"/>
        <color theme="0"/>
      </colorScale>
    </cfRule>
    <cfRule type="expression" dxfId="943" priority="4455">
      <formula>BL27&lt;0</formula>
    </cfRule>
  </conditionalFormatting>
  <conditionalFormatting sqref="BM29">
    <cfRule type="expression" dxfId="942" priority="4417">
      <formula>BL29&lt;0</formula>
    </cfRule>
    <cfRule type="colorScale" priority="4415">
      <colorScale>
        <cfvo type="min"/>
        <cfvo type="max"/>
        <color theme="0"/>
        <color theme="0"/>
      </colorScale>
    </cfRule>
  </conditionalFormatting>
  <conditionalFormatting sqref="BM29:BM30">
    <cfRule type="expression" priority="4416">
      <formula>#REF!</formula>
    </cfRule>
    <cfRule type="expression" dxfId="941" priority="4414">
      <formula>IF(BM29="Validar","Rojo","Verde")</formula>
    </cfRule>
  </conditionalFormatting>
  <conditionalFormatting sqref="BM30">
    <cfRule type="colorScale" priority="4452">
      <colorScale>
        <cfvo type="min"/>
        <cfvo type="max"/>
        <color theme="0"/>
        <color theme="0"/>
      </colorScale>
    </cfRule>
    <cfRule type="expression" dxfId="940" priority="4453">
      <formula>BL30&lt;0</formula>
    </cfRule>
  </conditionalFormatting>
  <conditionalFormatting sqref="BM39">
    <cfRule type="expression" dxfId="939" priority="4413">
      <formula>BL39&lt;0</formula>
    </cfRule>
    <cfRule type="colorScale" priority="4411">
      <colorScale>
        <cfvo type="min"/>
        <cfvo type="max"/>
        <color theme="0"/>
        <color theme="0"/>
      </colorScale>
    </cfRule>
  </conditionalFormatting>
  <conditionalFormatting sqref="BM39:BM66">
    <cfRule type="expression" dxfId="938" priority="4410">
      <formula>IF(BM39="Validar","Rojo","Verde")</formula>
    </cfRule>
    <cfRule type="expression" priority="4412">
      <formula>#REF!</formula>
    </cfRule>
  </conditionalFormatting>
  <conditionalFormatting sqref="BM40:BM66">
    <cfRule type="expression" dxfId="937" priority="4451">
      <formula>BL40&lt;0</formula>
    </cfRule>
    <cfRule type="colorScale" priority="4450">
      <colorScale>
        <cfvo type="min"/>
        <cfvo type="max"/>
        <color theme="0"/>
        <color theme="0"/>
      </colorScale>
    </cfRule>
  </conditionalFormatting>
  <conditionalFormatting sqref="BM68">
    <cfRule type="expression" dxfId="936" priority="4409">
      <formula>BL68&lt;0</formula>
    </cfRule>
    <cfRule type="colorScale" priority="4407">
      <colorScale>
        <cfvo type="min"/>
        <cfvo type="max"/>
        <color theme="0"/>
        <color theme="0"/>
      </colorScale>
    </cfRule>
  </conditionalFormatting>
  <conditionalFormatting sqref="BM68:BM81">
    <cfRule type="expression" priority="4408">
      <formula>#REF!</formula>
    </cfRule>
    <cfRule type="expression" dxfId="935" priority="4406">
      <formula>IF(BM68="Validar","Rojo","Verde")</formula>
    </cfRule>
  </conditionalFormatting>
  <conditionalFormatting sqref="BM69:BM81">
    <cfRule type="colorScale" priority="4468">
      <colorScale>
        <cfvo type="min"/>
        <cfvo type="max"/>
        <color theme="0"/>
        <color theme="0"/>
      </colorScale>
    </cfRule>
    <cfRule type="expression" dxfId="934" priority="4469">
      <formula>BL69&lt;0</formula>
    </cfRule>
  </conditionalFormatting>
  <conditionalFormatting sqref="BM83">
    <cfRule type="colorScale" priority="4390">
      <colorScale>
        <cfvo type="min"/>
        <cfvo type="max"/>
        <color theme="0"/>
        <color theme="0"/>
      </colorScale>
    </cfRule>
    <cfRule type="expression" dxfId="933" priority="4392">
      <formula>BL83&lt;0</formula>
    </cfRule>
  </conditionalFormatting>
  <conditionalFormatting sqref="BM83:BM91">
    <cfRule type="expression" priority="4391">
      <formula>#REF!</formula>
    </cfRule>
    <cfRule type="expression" dxfId="932" priority="4389">
      <formula>IF(BM83="Validar","Rojo","Verde")</formula>
    </cfRule>
  </conditionalFormatting>
  <conditionalFormatting sqref="BM84:BM91">
    <cfRule type="colorScale" priority="4448">
      <colorScale>
        <cfvo type="min"/>
        <cfvo type="max"/>
        <color theme="0"/>
        <color theme="0"/>
      </colorScale>
    </cfRule>
    <cfRule type="expression" dxfId="931" priority="4449">
      <formula>BL84&lt;0</formula>
    </cfRule>
  </conditionalFormatting>
  <conditionalFormatting sqref="BM93">
    <cfRule type="colorScale" priority="4403">
      <colorScale>
        <cfvo type="min"/>
        <cfvo type="max"/>
        <color theme="0"/>
        <color theme="0"/>
      </colorScale>
    </cfRule>
    <cfRule type="expression" dxfId="930" priority="4405">
      <formula>BL93&lt;0</formula>
    </cfRule>
  </conditionalFormatting>
  <conditionalFormatting sqref="BM93:BM102">
    <cfRule type="expression" dxfId="929" priority="4402">
      <formula>IF(BM93="Validar","Rojo","Verde")</formula>
    </cfRule>
    <cfRule type="expression" priority="4404">
      <formula>#REF!</formula>
    </cfRule>
  </conditionalFormatting>
  <conditionalFormatting sqref="BM94:BM102">
    <cfRule type="colorScale" priority="4446">
      <colorScale>
        <cfvo type="min"/>
        <cfvo type="max"/>
        <color theme="0"/>
        <color theme="0"/>
      </colorScale>
    </cfRule>
    <cfRule type="expression" dxfId="928" priority="4447">
      <formula>BL94&lt;0</formula>
    </cfRule>
  </conditionalFormatting>
  <conditionalFormatting sqref="BM104">
    <cfRule type="expression" dxfId="927" priority="4401">
      <formula>BL104&lt;0</formula>
    </cfRule>
    <cfRule type="colorScale" priority="4399">
      <colorScale>
        <cfvo type="min"/>
        <cfvo type="max"/>
        <color theme="0"/>
        <color theme="0"/>
      </colorScale>
    </cfRule>
  </conditionalFormatting>
  <conditionalFormatting sqref="BM104:BM106">
    <cfRule type="expression" dxfId="926" priority="4398">
      <formula>IF(BM104="Validar","Rojo","Verde")</formula>
    </cfRule>
    <cfRule type="expression" priority="4400">
      <formula>#REF!</formula>
    </cfRule>
  </conditionalFormatting>
  <conditionalFormatting sqref="BM105:BM106">
    <cfRule type="colorScale" priority="4444">
      <colorScale>
        <cfvo type="min"/>
        <cfvo type="max"/>
        <color theme="0"/>
        <color theme="0"/>
      </colorScale>
    </cfRule>
    <cfRule type="expression" dxfId="925" priority="4445">
      <formula>BL105&lt;0</formula>
    </cfRule>
  </conditionalFormatting>
  <conditionalFormatting sqref="BM110">
    <cfRule type="colorScale" priority="4442">
      <colorScale>
        <cfvo type="min"/>
        <cfvo type="max"/>
        <color theme="0"/>
        <color theme="0"/>
      </colorScale>
    </cfRule>
    <cfRule type="expression" dxfId="924" priority="4443">
      <formula>BL110&lt;0</formula>
    </cfRule>
  </conditionalFormatting>
  <conditionalFormatting sqref="BM111">
    <cfRule type="expression" dxfId="923" priority="4385">
      <formula>BL111&lt;0</formula>
    </cfRule>
    <cfRule type="colorScale" priority="4383">
      <colorScale>
        <cfvo type="min"/>
        <cfvo type="max"/>
        <color theme="0"/>
        <color theme="0"/>
      </colorScale>
    </cfRule>
  </conditionalFormatting>
  <conditionalFormatting sqref="BM117:BM123">
    <cfRule type="colorScale" priority="4439">
      <colorScale>
        <cfvo type="min"/>
        <cfvo type="max"/>
        <color theme="0"/>
        <color theme="0"/>
      </colorScale>
    </cfRule>
    <cfRule type="expression" dxfId="922" priority="4441">
      <formula>BL117&lt;0</formula>
    </cfRule>
  </conditionalFormatting>
  <conditionalFormatting sqref="BM125">
    <cfRule type="expression" dxfId="921" priority="4397">
      <formula>BL125&lt;0</formula>
    </cfRule>
    <cfRule type="colorScale" priority="4395">
      <colorScale>
        <cfvo type="min"/>
        <cfvo type="max"/>
        <color theme="0"/>
        <color theme="0"/>
      </colorScale>
    </cfRule>
  </conditionalFormatting>
  <conditionalFormatting sqref="BM125:BM134">
    <cfRule type="expression" priority="4396">
      <formula>#REF!</formula>
    </cfRule>
    <cfRule type="expression" dxfId="920" priority="4394">
      <formula>IF(BM125="Validar","Rojo","Verde")</formula>
    </cfRule>
  </conditionalFormatting>
  <conditionalFormatting sqref="BM126:BM134">
    <cfRule type="expression" dxfId="919" priority="4437">
      <formula>BL126&lt;0</formula>
    </cfRule>
    <cfRule type="colorScale" priority="4436">
      <colorScale>
        <cfvo type="min"/>
        <cfvo type="max"/>
        <color theme="0"/>
        <color theme="0"/>
      </colorScale>
    </cfRule>
  </conditionalFormatting>
  <conditionalFormatting sqref="BO5 BO9">
    <cfRule type="expression" dxfId="918" priority="1719">
      <formula>BN5&lt;0</formula>
    </cfRule>
    <cfRule type="colorScale" priority="1718">
      <colorScale>
        <cfvo type="min"/>
        <cfvo type="max"/>
        <color theme="0"/>
        <color theme="0"/>
      </colorScale>
    </cfRule>
  </conditionalFormatting>
  <conditionalFormatting sqref="BO5:BO20">
    <cfRule type="expression" priority="1602">
      <formula>#REF!</formula>
    </cfRule>
    <cfRule type="expression" dxfId="917" priority="1601">
      <formula>IF(BO5="Validar","Rojo","Verde")</formula>
    </cfRule>
  </conditionalFormatting>
  <conditionalFormatting sqref="BO6">
    <cfRule type="colorScale" priority="1607">
      <colorScale>
        <cfvo type="min"/>
        <cfvo type="max"/>
        <color theme="0"/>
        <color theme="0"/>
      </colorScale>
    </cfRule>
    <cfRule type="expression" dxfId="916" priority="1608">
      <formula>BN6&lt;0</formula>
    </cfRule>
  </conditionalFormatting>
  <conditionalFormatting sqref="BO7:BO8">
    <cfRule type="colorScale" priority="1603">
      <colorScale>
        <cfvo type="min"/>
        <cfvo type="max"/>
        <color theme="0"/>
        <color theme="0"/>
      </colorScale>
    </cfRule>
    <cfRule type="expression" dxfId="915" priority="1604">
      <formula>BN7&lt;0</formula>
    </cfRule>
  </conditionalFormatting>
  <conditionalFormatting sqref="BO10">
    <cfRule type="colorScale" priority="1695">
      <colorScale>
        <cfvo type="min"/>
        <cfvo type="max"/>
        <color theme="0"/>
        <color theme="0"/>
      </colorScale>
    </cfRule>
    <cfRule type="expression" dxfId="914" priority="1696">
      <formula>BN10&lt;0</formula>
    </cfRule>
  </conditionalFormatting>
  <conditionalFormatting sqref="BO11:BO14">
    <cfRule type="colorScale" priority="1716">
      <colorScale>
        <cfvo type="min"/>
        <cfvo type="max"/>
        <color theme="0"/>
        <color theme="0"/>
      </colorScale>
    </cfRule>
    <cfRule type="expression" dxfId="913" priority="1717">
      <formula>BN11&lt;0</formula>
    </cfRule>
  </conditionalFormatting>
  <conditionalFormatting sqref="BO15">
    <cfRule type="colorScale" priority="1693">
      <colorScale>
        <cfvo type="min"/>
        <cfvo type="max"/>
        <color theme="0"/>
        <color theme="0"/>
      </colorScale>
    </cfRule>
    <cfRule type="expression" dxfId="912" priority="1694">
      <formula>BN15&lt;0</formula>
    </cfRule>
  </conditionalFormatting>
  <conditionalFormatting sqref="BO16:BO17">
    <cfRule type="colorScale" priority="1714">
      <colorScale>
        <cfvo type="min"/>
        <cfvo type="max"/>
        <color theme="0"/>
        <color theme="0"/>
      </colorScale>
    </cfRule>
    <cfRule type="expression" dxfId="911" priority="1715">
      <formula>BN16&lt;0</formula>
    </cfRule>
  </conditionalFormatting>
  <conditionalFormatting sqref="BO18">
    <cfRule type="colorScale" priority="1690">
      <colorScale>
        <cfvo type="min"/>
        <cfvo type="max"/>
        <color theme="0"/>
        <color theme="0"/>
      </colorScale>
    </cfRule>
    <cfRule type="expression" dxfId="910" priority="1692">
      <formula>BN18&lt;0</formula>
    </cfRule>
  </conditionalFormatting>
  <conditionalFormatting sqref="BO19:BO20">
    <cfRule type="colorScale" priority="1712">
      <colorScale>
        <cfvo type="min"/>
        <cfvo type="max"/>
        <color theme="0"/>
        <color theme="0"/>
      </colorScale>
    </cfRule>
    <cfRule type="expression" dxfId="909" priority="1713">
      <formula>BN19&lt;0</formula>
    </cfRule>
  </conditionalFormatting>
  <conditionalFormatting sqref="BO23">
    <cfRule type="colorScale" priority="1687">
      <colorScale>
        <cfvo type="min"/>
        <cfvo type="max"/>
        <color theme="0"/>
        <color theme="0"/>
      </colorScale>
    </cfRule>
    <cfRule type="expression" dxfId="908" priority="1688">
      <formula>BN23&lt;0</formula>
    </cfRule>
  </conditionalFormatting>
  <conditionalFormatting sqref="BO23:BO31">
    <cfRule type="expression" priority="1683">
      <formula>#REF!</formula>
    </cfRule>
    <cfRule type="expression" dxfId="907" priority="1681">
      <formula>IF(BO23="Validar","Rojo","Verde")</formula>
    </cfRule>
  </conditionalFormatting>
  <conditionalFormatting sqref="BO24">
    <cfRule type="expression" dxfId="906" priority="1711">
      <formula>BN24&lt;0</formula>
    </cfRule>
    <cfRule type="colorScale" priority="1710">
      <colorScale>
        <cfvo type="min"/>
        <cfvo type="max"/>
        <color theme="0"/>
        <color theme="0"/>
      </colorScale>
    </cfRule>
  </conditionalFormatting>
  <conditionalFormatting sqref="BO25">
    <cfRule type="expression" dxfId="905" priority="1709">
      <formula>BN25&lt;0</formula>
    </cfRule>
    <cfRule type="colorScale" priority="1708">
      <colorScale>
        <cfvo type="min"/>
        <cfvo type="max"/>
        <color theme="0"/>
        <color theme="0"/>
      </colorScale>
    </cfRule>
  </conditionalFormatting>
  <conditionalFormatting sqref="BO26">
    <cfRule type="colorScale" priority="1685">
      <colorScale>
        <cfvo type="min"/>
        <cfvo type="max"/>
        <color theme="0"/>
        <color theme="0"/>
      </colorScale>
    </cfRule>
    <cfRule type="expression" dxfId="904" priority="1686">
      <formula>BN26&lt;0</formula>
    </cfRule>
  </conditionalFormatting>
  <conditionalFormatting sqref="BO27">
    <cfRule type="colorScale" priority="1706">
      <colorScale>
        <cfvo type="min"/>
        <cfvo type="max"/>
        <color theme="0"/>
        <color theme="0"/>
      </colorScale>
    </cfRule>
    <cfRule type="expression" dxfId="903" priority="1707">
      <formula>BN27&lt;0</formula>
    </cfRule>
  </conditionalFormatting>
  <conditionalFormatting sqref="BO28">
    <cfRule type="colorScale" priority="1704">
      <colorScale>
        <cfvo type="min"/>
        <cfvo type="max"/>
        <color theme="0"/>
        <color theme="0"/>
      </colorScale>
    </cfRule>
    <cfRule type="expression" dxfId="902" priority="1705">
      <formula>BN28&lt;0</formula>
    </cfRule>
  </conditionalFormatting>
  <conditionalFormatting sqref="BO29">
    <cfRule type="expression" dxfId="901" priority="1684">
      <formula>BN29&lt;0</formula>
    </cfRule>
    <cfRule type="colorScale" priority="1682">
      <colorScale>
        <cfvo type="min"/>
        <cfvo type="max"/>
        <color theme="0"/>
        <color theme="0"/>
      </colorScale>
    </cfRule>
  </conditionalFormatting>
  <conditionalFormatting sqref="BO30">
    <cfRule type="expression" dxfId="900" priority="1703">
      <formula>BN30&lt;0</formula>
    </cfRule>
    <cfRule type="colorScale" priority="1702">
      <colorScale>
        <cfvo type="min"/>
        <cfvo type="max"/>
        <color theme="0"/>
        <color theme="0"/>
      </colorScale>
    </cfRule>
  </conditionalFormatting>
  <conditionalFormatting sqref="BO31">
    <cfRule type="expression" dxfId="899" priority="1701">
      <formula>BN31&lt;0</formula>
    </cfRule>
    <cfRule type="colorScale" priority="1700">
      <colorScale>
        <cfvo type="min"/>
        <cfvo type="max"/>
        <color theme="0"/>
        <color theme="0"/>
      </colorScale>
    </cfRule>
  </conditionalFormatting>
  <conditionalFormatting sqref="BO39">
    <cfRule type="expression" priority="1679">
      <formula>#REF!</formula>
    </cfRule>
    <cfRule type="colorScale" priority="1678">
      <colorScale>
        <cfvo type="min"/>
        <cfvo type="max"/>
        <color theme="0"/>
        <color theme="0"/>
      </colorScale>
    </cfRule>
    <cfRule type="expression" dxfId="898" priority="1680">
      <formula>BN39&lt;0</formula>
    </cfRule>
  </conditionalFormatting>
  <conditionalFormatting sqref="BO39:BO107">
    <cfRule type="expression" dxfId="897" priority="1616">
      <formula>IF(BO39="Validar","Rojo","Verde")</formula>
    </cfRule>
  </conditionalFormatting>
  <conditionalFormatting sqref="BO40:BO67">
    <cfRule type="expression" dxfId="896" priority="1699">
      <formula>BN40&lt;0</formula>
    </cfRule>
    <cfRule type="colorScale" priority="1697">
      <colorScale>
        <cfvo type="min"/>
        <cfvo type="max"/>
        <color theme="0"/>
        <color theme="0"/>
      </colorScale>
    </cfRule>
    <cfRule type="expression" priority="1698">
      <formula>$F$19</formula>
    </cfRule>
  </conditionalFormatting>
  <conditionalFormatting sqref="BO68">
    <cfRule type="expression" dxfId="895" priority="1677">
      <formula>BN68&lt;0</formula>
    </cfRule>
    <cfRule type="expression" priority="1676">
      <formula>#REF!</formula>
    </cfRule>
    <cfRule type="colorScale" priority="1675">
      <colorScale>
        <cfvo type="min"/>
        <cfvo type="max"/>
        <color theme="0"/>
        <color theme="0"/>
      </colorScale>
    </cfRule>
  </conditionalFormatting>
  <conditionalFormatting sqref="BO69:BO81">
    <cfRule type="expression" priority="1723">
      <formula>$F$19</formula>
    </cfRule>
    <cfRule type="expression" dxfId="894" priority="1724">
      <formula>BN69&lt;0</formula>
    </cfRule>
    <cfRule type="colorScale" priority="1722">
      <colorScale>
        <cfvo type="min"/>
        <cfvo type="max"/>
        <color theme="0"/>
        <color theme="0"/>
      </colorScale>
    </cfRule>
  </conditionalFormatting>
  <conditionalFormatting sqref="BO82 BO92 BO103 BO107">
    <cfRule type="expression" dxfId="893" priority="1721">
      <formula>BN82&lt;0</formula>
    </cfRule>
  </conditionalFormatting>
  <conditionalFormatting sqref="BO83">
    <cfRule type="colorScale" priority="1617">
      <colorScale>
        <cfvo type="min"/>
        <cfvo type="max"/>
        <color theme="0"/>
        <color theme="0"/>
      </colorScale>
    </cfRule>
    <cfRule type="expression" dxfId="892" priority="1619">
      <formula>BN83&lt;0</formula>
    </cfRule>
    <cfRule type="expression" priority="1618">
      <formula>#REF!</formula>
    </cfRule>
  </conditionalFormatting>
  <conditionalFormatting sqref="BO84:BO91">
    <cfRule type="colorScale" priority="1725">
      <colorScale>
        <cfvo type="min"/>
        <cfvo type="max"/>
        <color theme="0"/>
        <color theme="0"/>
      </colorScale>
    </cfRule>
    <cfRule type="expression" priority="1726">
      <formula>$F$19</formula>
    </cfRule>
    <cfRule type="expression" dxfId="891" priority="1727">
      <formula>BN84&lt;0</formula>
    </cfRule>
  </conditionalFormatting>
  <conditionalFormatting sqref="BO92 BO82 BO103 BO107">
    <cfRule type="colorScale" priority="1720">
      <colorScale>
        <cfvo type="min"/>
        <cfvo type="max"/>
        <color theme="0"/>
        <color theme="0"/>
      </colorScale>
    </cfRule>
  </conditionalFormatting>
  <conditionalFormatting sqref="BO93">
    <cfRule type="expression" dxfId="890" priority="1674">
      <formula>BN93&lt;0</formula>
    </cfRule>
    <cfRule type="expression" priority="1673">
      <formula>#REF!</formula>
    </cfRule>
    <cfRule type="colorScale" priority="1672">
      <colorScale>
        <cfvo type="min"/>
        <cfvo type="max"/>
        <color theme="0"/>
        <color theme="0"/>
      </colorScale>
    </cfRule>
  </conditionalFormatting>
  <conditionalFormatting sqref="BO94:BO102">
    <cfRule type="colorScale" priority="1728">
      <colorScale>
        <cfvo type="min"/>
        <cfvo type="max"/>
        <color theme="0"/>
        <color theme="0"/>
      </colorScale>
    </cfRule>
    <cfRule type="expression" priority="1729">
      <formula>$F$19</formula>
    </cfRule>
    <cfRule type="expression" dxfId="889" priority="1730">
      <formula>BN94&lt;0</formula>
    </cfRule>
  </conditionalFormatting>
  <conditionalFormatting sqref="BO104">
    <cfRule type="expression" dxfId="888" priority="1671">
      <formula>BN104&lt;0</formula>
    </cfRule>
    <cfRule type="expression" priority="1670">
      <formula>#REF!</formula>
    </cfRule>
    <cfRule type="colorScale" priority="1669">
      <colorScale>
        <cfvo type="min"/>
        <cfvo type="max"/>
        <color theme="0"/>
        <color theme="0"/>
      </colorScale>
    </cfRule>
  </conditionalFormatting>
  <conditionalFormatting sqref="BO105:BO106">
    <cfRule type="expression" dxfId="887" priority="1733">
      <formula>BN105&lt;0</formula>
    </cfRule>
    <cfRule type="colorScale" priority="1731">
      <colorScale>
        <cfvo type="min"/>
        <cfvo type="max"/>
        <color theme="0"/>
        <color theme="0"/>
      </colorScale>
    </cfRule>
    <cfRule type="expression" priority="1732">
      <formula>$F$19</formula>
    </cfRule>
  </conditionalFormatting>
  <conditionalFormatting sqref="BO110">
    <cfRule type="expression" dxfId="886" priority="1735">
      <formula>BN110&lt;0</formula>
    </cfRule>
    <cfRule type="colorScale" priority="1734">
      <colorScale>
        <cfvo type="min"/>
        <cfvo type="max"/>
        <color theme="0"/>
        <color theme="0"/>
      </colorScale>
    </cfRule>
  </conditionalFormatting>
  <conditionalFormatting sqref="BO110:BO111">
    <cfRule type="expression" priority="1614">
      <formula>$F$19</formula>
    </cfRule>
  </conditionalFormatting>
  <conditionalFormatting sqref="BO111">
    <cfRule type="expression" dxfId="885" priority="1615">
      <formula>BN111&lt;0</formula>
    </cfRule>
    <cfRule type="colorScale" priority="1613">
      <colorScale>
        <cfvo type="min"/>
        <cfvo type="max"/>
        <color theme="0"/>
        <color theme="0"/>
      </colorScale>
    </cfRule>
  </conditionalFormatting>
  <conditionalFormatting sqref="BO117:BO123">
    <cfRule type="expression" priority="1740">
      <formula>$F$19</formula>
    </cfRule>
    <cfRule type="expression" dxfId="884" priority="1741">
      <formula>BN117&lt;0</formula>
    </cfRule>
    <cfRule type="colorScale" priority="1739">
      <colorScale>
        <cfvo type="min"/>
        <cfvo type="max"/>
        <color theme="0"/>
        <color theme="0"/>
      </colorScale>
    </cfRule>
  </conditionalFormatting>
  <conditionalFormatting sqref="BO125">
    <cfRule type="expression" dxfId="883" priority="1668">
      <formula>BN125&lt;0</formula>
    </cfRule>
    <cfRule type="expression" priority="1667">
      <formula>#REF!</formula>
    </cfRule>
    <cfRule type="colorScale" priority="1666">
      <colorScale>
        <cfvo type="min"/>
        <cfvo type="max"/>
        <color theme="0"/>
        <color theme="0"/>
      </colorScale>
    </cfRule>
  </conditionalFormatting>
  <conditionalFormatting sqref="BO125:BO135">
    <cfRule type="expression" dxfId="882" priority="1665">
      <formula>IF(BO125="Validar","Rojo","Verde")</formula>
    </cfRule>
  </conditionalFormatting>
  <conditionalFormatting sqref="BO126:BO132">
    <cfRule type="expression" dxfId="881" priority="1744">
      <formula>BN126&lt;0</formula>
    </cfRule>
    <cfRule type="colorScale" priority="1742">
      <colorScale>
        <cfvo type="min"/>
        <cfvo type="max"/>
        <color theme="0"/>
        <color theme="0"/>
      </colorScale>
    </cfRule>
  </conditionalFormatting>
  <conditionalFormatting sqref="BO126:BO134">
    <cfRule type="expression" priority="1743">
      <formula>$F$19</formula>
    </cfRule>
  </conditionalFormatting>
  <conditionalFormatting sqref="BO133:BO134">
    <cfRule type="expression" dxfId="880" priority="1746">
      <formula>BN133&lt;0</formula>
    </cfRule>
    <cfRule type="colorScale" priority="1745">
      <colorScale>
        <cfvo type="min"/>
        <cfvo type="max"/>
        <color theme="0"/>
        <color theme="0"/>
      </colorScale>
    </cfRule>
  </conditionalFormatting>
  <conditionalFormatting sqref="BO135">
    <cfRule type="expression" dxfId="879" priority="1738">
      <formula>BN135&lt;0</formula>
    </cfRule>
    <cfRule type="colorScale" priority="1736">
      <colorScale>
        <cfvo type="min"/>
        <cfvo type="max"/>
        <color theme="0"/>
        <color theme="0"/>
      </colorScale>
    </cfRule>
    <cfRule type="expression" priority="1737">
      <formula>$F$23</formula>
    </cfRule>
  </conditionalFormatting>
  <conditionalFormatting sqref="BO110:BP111">
    <cfRule type="expression" dxfId="878" priority="1609">
      <formula>IF(BO110="Validar","Rojo","Verde")</formula>
    </cfRule>
  </conditionalFormatting>
  <conditionalFormatting sqref="BO117:BP123">
    <cfRule type="expression" dxfId="877" priority="1622">
      <formula>IF(BO117="Validar","Rojo","Verde")</formula>
    </cfRule>
  </conditionalFormatting>
  <conditionalFormatting sqref="BP40:BP66">
    <cfRule type="colorScale" priority="1657">
      <colorScale>
        <cfvo type="min"/>
        <cfvo type="max"/>
        <color theme="0"/>
        <color theme="0"/>
      </colorScale>
    </cfRule>
    <cfRule type="expression" priority="1658">
      <formula>#REF!</formula>
    </cfRule>
    <cfRule type="expression" dxfId="876" priority="1659">
      <formula>BO40&lt;0</formula>
    </cfRule>
  </conditionalFormatting>
  <conditionalFormatting sqref="BP40:BP67">
    <cfRule type="expression" dxfId="875" priority="1656">
      <formula>IF(BP40="Validar","Rojo","Verde")</formula>
    </cfRule>
  </conditionalFormatting>
  <conditionalFormatting sqref="BP67 BO82:BP82 BO92:BP92 BO103:BP103 BO107:BP107">
    <cfRule type="expression" priority="1661">
      <formula>$F$23</formula>
    </cfRule>
  </conditionalFormatting>
  <conditionalFormatting sqref="BP67 BP82 BP92 BP103 BP107">
    <cfRule type="expression" dxfId="874" priority="1662">
      <formula>BO67&lt;0</formula>
    </cfRule>
  </conditionalFormatting>
  <conditionalFormatting sqref="BP69">
    <cfRule type="colorScale" priority="1654">
      <colorScale>
        <cfvo type="min"/>
        <cfvo type="max"/>
        <color theme="0"/>
        <color theme="0"/>
      </colorScale>
    </cfRule>
    <cfRule type="expression" dxfId="873" priority="1655">
      <formula>BO69&lt;0</formula>
    </cfRule>
  </conditionalFormatting>
  <conditionalFormatting sqref="BP69:BP81">
    <cfRule type="expression" priority="1652">
      <formula>#REF!</formula>
    </cfRule>
  </conditionalFormatting>
  <conditionalFormatting sqref="BP69:BP82">
    <cfRule type="expression" dxfId="872" priority="1650">
      <formula>IF(BP69="Validar","Rojo","Verde")</formula>
    </cfRule>
  </conditionalFormatting>
  <conditionalFormatting sqref="BP70:BP78">
    <cfRule type="colorScale" priority="1651">
      <colorScale>
        <cfvo type="min"/>
        <cfvo type="max"/>
        <color theme="0"/>
        <color theme="0"/>
      </colorScale>
    </cfRule>
    <cfRule type="expression" dxfId="871" priority="1653">
      <formula>BO70&lt;0</formula>
    </cfRule>
  </conditionalFormatting>
  <conditionalFormatting sqref="BP79:BP81">
    <cfRule type="expression" dxfId="870" priority="1664">
      <formula>BO79&lt;0</formula>
    </cfRule>
    <cfRule type="colorScale" priority="1663">
      <colorScale>
        <cfvo type="min"/>
        <cfvo type="max"/>
        <color theme="0"/>
        <color theme="0"/>
      </colorScale>
    </cfRule>
  </conditionalFormatting>
  <conditionalFormatting sqref="BP82 BP67 BP92 BP103 BP107">
    <cfRule type="colorScale" priority="1660">
      <colorScale>
        <cfvo type="min"/>
        <cfvo type="max"/>
        <color theme="0"/>
        <color theme="0"/>
      </colorScale>
    </cfRule>
  </conditionalFormatting>
  <conditionalFormatting sqref="BP84">
    <cfRule type="colorScale" priority="1648">
      <colorScale>
        <cfvo type="min"/>
        <cfvo type="max"/>
        <color theme="0"/>
        <color theme="0"/>
      </colorScale>
    </cfRule>
    <cfRule type="expression" dxfId="869" priority="1649">
      <formula>BO84&lt;0</formula>
    </cfRule>
  </conditionalFormatting>
  <conditionalFormatting sqref="BP84:BP91">
    <cfRule type="expression" priority="1646">
      <formula>#REF!</formula>
    </cfRule>
  </conditionalFormatting>
  <conditionalFormatting sqref="BP84:BP92">
    <cfRule type="expression" dxfId="868" priority="1644">
      <formula>IF(BP84="Validar","Rojo","Verde")</formula>
    </cfRule>
  </conditionalFormatting>
  <conditionalFormatting sqref="BP85:BP91">
    <cfRule type="expression" dxfId="867" priority="1647">
      <formula>BO85&lt;0</formula>
    </cfRule>
    <cfRule type="colorScale" priority="1645">
      <colorScale>
        <cfvo type="min"/>
        <cfvo type="max"/>
        <color theme="0"/>
        <color theme="0"/>
      </colorScale>
    </cfRule>
  </conditionalFormatting>
  <conditionalFormatting sqref="BP94">
    <cfRule type="expression" dxfId="866" priority="1643">
      <formula>BO94&lt;0</formula>
    </cfRule>
    <cfRule type="colorScale" priority="1642">
      <colorScale>
        <cfvo type="min"/>
        <cfvo type="max"/>
        <color theme="0"/>
        <color theme="0"/>
      </colorScale>
    </cfRule>
  </conditionalFormatting>
  <conditionalFormatting sqref="BP94:BP102">
    <cfRule type="expression" priority="1636">
      <formula>#REF!</formula>
    </cfRule>
  </conditionalFormatting>
  <conditionalFormatting sqref="BP94:BP103">
    <cfRule type="expression" dxfId="865" priority="1634">
      <formula>IF(BP94="Validar","Rojo","Verde")</formula>
    </cfRule>
  </conditionalFormatting>
  <conditionalFormatting sqref="BP95:BP100">
    <cfRule type="colorScale" priority="1640">
      <colorScale>
        <cfvo type="min"/>
        <cfvo type="max"/>
        <color theme="0"/>
        <color theme="0"/>
      </colorScale>
    </cfRule>
    <cfRule type="expression" dxfId="864" priority="1641">
      <formula>BO95&lt;0</formula>
    </cfRule>
  </conditionalFormatting>
  <conditionalFormatting sqref="BP101">
    <cfRule type="colorScale" priority="1638">
      <colorScale>
        <cfvo type="min"/>
        <cfvo type="max"/>
        <color theme="0"/>
        <color theme="0"/>
      </colorScale>
    </cfRule>
    <cfRule type="expression" dxfId="863" priority="1639">
      <formula>BO101&lt;0</formula>
    </cfRule>
  </conditionalFormatting>
  <conditionalFormatting sqref="BP102">
    <cfRule type="colorScale" priority="1635">
      <colorScale>
        <cfvo type="min"/>
        <cfvo type="max"/>
        <color theme="0"/>
        <color theme="0"/>
      </colorScale>
    </cfRule>
    <cfRule type="expression" dxfId="862" priority="1637">
      <formula>BO102&lt;0</formula>
    </cfRule>
  </conditionalFormatting>
  <conditionalFormatting sqref="BP105">
    <cfRule type="expression" dxfId="861" priority="1633">
      <formula>BO105&lt;0</formula>
    </cfRule>
    <cfRule type="colorScale" priority="1632">
      <colorScale>
        <cfvo type="min"/>
        <cfvo type="max"/>
        <color theme="0"/>
        <color theme="0"/>
      </colorScale>
    </cfRule>
  </conditionalFormatting>
  <conditionalFormatting sqref="BP105:BP106">
    <cfRule type="expression" priority="1630">
      <formula>#REF!</formula>
    </cfRule>
  </conditionalFormatting>
  <conditionalFormatting sqref="BP105:BP107">
    <cfRule type="expression" dxfId="860" priority="1628">
      <formula>IF(BP105="Validar","Rojo","Verde")</formula>
    </cfRule>
  </conditionalFormatting>
  <conditionalFormatting sqref="BP106">
    <cfRule type="expression" dxfId="859" priority="1631">
      <formula>BO106&lt;0</formula>
    </cfRule>
    <cfRule type="colorScale" priority="1629">
      <colorScale>
        <cfvo type="min"/>
        <cfvo type="max"/>
        <color theme="0"/>
        <color theme="0"/>
      </colorScale>
    </cfRule>
  </conditionalFormatting>
  <conditionalFormatting sqref="BP110">
    <cfRule type="expression" dxfId="858" priority="1621">
      <formula>BO110&lt;0</formula>
    </cfRule>
    <cfRule type="colorScale" priority="1620">
      <colorScale>
        <cfvo type="min"/>
        <cfvo type="max"/>
        <color theme="0"/>
        <color theme="0"/>
      </colorScale>
    </cfRule>
  </conditionalFormatting>
  <conditionalFormatting sqref="BP110:BP111">
    <cfRule type="expression" priority="1611">
      <formula>#REF!</formula>
    </cfRule>
  </conditionalFormatting>
  <conditionalFormatting sqref="BP111">
    <cfRule type="colorScale" priority="1610">
      <colorScale>
        <cfvo type="min"/>
        <cfvo type="max"/>
        <color theme="0"/>
        <color theme="0"/>
      </colorScale>
    </cfRule>
    <cfRule type="expression" dxfId="857" priority="1612">
      <formula>BO111&lt;0</formula>
    </cfRule>
  </conditionalFormatting>
  <conditionalFormatting sqref="BP117">
    <cfRule type="expression" dxfId="856" priority="1627">
      <formula>BO117&lt;0</formula>
    </cfRule>
    <cfRule type="colorScale" priority="1626">
      <colorScale>
        <cfvo type="min"/>
        <cfvo type="max"/>
        <color theme="0"/>
        <color theme="0"/>
      </colorScale>
    </cfRule>
  </conditionalFormatting>
  <conditionalFormatting sqref="BP117:BP123">
    <cfRule type="expression" priority="1624">
      <formula>#REF!</formula>
    </cfRule>
  </conditionalFormatting>
  <conditionalFormatting sqref="BP118:BP123">
    <cfRule type="expression" dxfId="855" priority="1625">
      <formula>BO118&lt;0</formula>
    </cfRule>
    <cfRule type="colorScale" priority="1623">
      <colorScale>
        <cfvo type="min"/>
        <cfvo type="max"/>
        <color theme="0"/>
        <color theme="0"/>
      </colorScale>
    </cfRule>
  </conditionalFormatting>
  <conditionalFormatting sqref="BP126:BP135">
    <cfRule type="expression" dxfId="854" priority="1747">
      <formula>IF(BP126="Validar","Rojo","Verde")</formula>
    </cfRule>
    <cfRule type="expression" dxfId="853" priority="1750">
      <formula>BO126&lt;0</formula>
    </cfRule>
    <cfRule type="colorScale" priority="1748">
      <colorScale>
        <cfvo type="min"/>
        <cfvo type="max"/>
        <color theme="0"/>
        <color theme="0"/>
      </colorScale>
    </cfRule>
    <cfRule type="expression" priority="1749">
      <formula>$F$23</formula>
    </cfRule>
  </conditionalFormatting>
  <conditionalFormatting sqref="BR5 BR9">
    <cfRule type="colorScale" priority="1568">
      <colorScale>
        <cfvo type="min"/>
        <cfvo type="max"/>
        <color theme="0"/>
        <color theme="0"/>
      </colorScale>
    </cfRule>
    <cfRule type="expression" dxfId="852" priority="1569">
      <formula>BQ5&lt;0</formula>
    </cfRule>
  </conditionalFormatting>
  <conditionalFormatting sqref="BR5:BR20">
    <cfRule type="expression" priority="1452">
      <formula>#REF!</formula>
    </cfRule>
    <cfRule type="expression" dxfId="851" priority="1451">
      <formula>IF(BR5="Validar","Rojo","Verde")</formula>
    </cfRule>
  </conditionalFormatting>
  <conditionalFormatting sqref="BR6">
    <cfRule type="expression" dxfId="850" priority="1458">
      <formula>BQ6&lt;0</formula>
    </cfRule>
    <cfRule type="colorScale" priority="1457">
      <colorScale>
        <cfvo type="min"/>
        <cfvo type="max"/>
        <color theme="0"/>
        <color theme="0"/>
      </colorScale>
    </cfRule>
  </conditionalFormatting>
  <conditionalFormatting sqref="BR7:BR8">
    <cfRule type="expression" dxfId="849" priority="1454">
      <formula>BQ7&lt;0</formula>
    </cfRule>
    <cfRule type="colorScale" priority="1453">
      <colorScale>
        <cfvo type="min"/>
        <cfvo type="max"/>
        <color theme="0"/>
        <color theme="0"/>
      </colorScale>
    </cfRule>
  </conditionalFormatting>
  <conditionalFormatting sqref="BR10">
    <cfRule type="colorScale" priority="1545">
      <colorScale>
        <cfvo type="min"/>
        <cfvo type="max"/>
        <color theme="0"/>
        <color theme="0"/>
      </colorScale>
    </cfRule>
    <cfRule type="expression" dxfId="848" priority="1546">
      <formula>BQ10&lt;0</formula>
    </cfRule>
  </conditionalFormatting>
  <conditionalFormatting sqref="BR11:BR14">
    <cfRule type="colorScale" priority="1566">
      <colorScale>
        <cfvo type="min"/>
        <cfvo type="max"/>
        <color theme="0"/>
        <color theme="0"/>
      </colorScale>
    </cfRule>
    <cfRule type="expression" dxfId="847" priority="1567">
      <formula>BQ11&lt;0</formula>
    </cfRule>
  </conditionalFormatting>
  <conditionalFormatting sqref="BR15">
    <cfRule type="expression" dxfId="846" priority="1544">
      <formula>BQ15&lt;0</formula>
    </cfRule>
    <cfRule type="colorScale" priority="1543">
      <colorScale>
        <cfvo type="min"/>
        <cfvo type="max"/>
        <color theme="0"/>
        <color theme="0"/>
      </colorScale>
    </cfRule>
  </conditionalFormatting>
  <conditionalFormatting sqref="BR16:BR17">
    <cfRule type="expression" dxfId="845" priority="1565">
      <formula>BQ16&lt;0</formula>
    </cfRule>
    <cfRule type="colorScale" priority="1564">
      <colorScale>
        <cfvo type="min"/>
        <cfvo type="max"/>
        <color theme="0"/>
        <color theme="0"/>
      </colorScale>
    </cfRule>
  </conditionalFormatting>
  <conditionalFormatting sqref="BR18">
    <cfRule type="expression" dxfId="844" priority="1542">
      <formula>BQ18&lt;0</formula>
    </cfRule>
    <cfRule type="colorScale" priority="1540">
      <colorScale>
        <cfvo type="min"/>
        <cfvo type="max"/>
        <color theme="0"/>
        <color theme="0"/>
      </colorScale>
    </cfRule>
  </conditionalFormatting>
  <conditionalFormatting sqref="BR19:BR20">
    <cfRule type="colorScale" priority="1562">
      <colorScale>
        <cfvo type="min"/>
        <cfvo type="max"/>
        <color theme="0"/>
        <color theme="0"/>
      </colorScale>
    </cfRule>
    <cfRule type="expression" dxfId="843" priority="1563">
      <formula>BQ19&lt;0</formula>
    </cfRule>
  </conditionalFormatting>
  <conditionalFormatting sqref="BR23">
    <cfRule type="expression" dxfId="842" priority="1538">
      <formula>BQ23&lt;0</formula>
    </cfRule>
    <cfRule type="colorScale" priority="1537">
      <colorScale>
        <cfvo type="min"/>
        <cfvo type="max"/>
        <color theme="0"/>
        <color theme="0"/>
      </colorScale>
    </cfRule>
  </conditionalFormatting>
  <conditionalFormatting sqref="BR23:BR31">
    <cfRule type="expression" dxfId="841" priority="1531">
      <formula>IF(BR23="Validar","Rojo","Verde")</formula>
    </cfRule>
    <cfRule type="expression" priority="1533">
      <formula>#REF!</formula>
    </cfRule>
  </conditionalFormatting>
  <conditionalFormatting sqref="BR24">
    <cfRule type="expression" dxfId="840" priority="1561">
      <formula>BQ24&lt;0</formula>
    </cfRule>
    <cfRule type="colorScale" priority="1560">
      <colorScale>
        <cfvo type="min"/>
        <cfvo type="max"/>
        <color theme="0"/>
        <color theme="0"/>
      </colorScale>
    </cfRule>
  </conditionalFormatting>
  <conditionalFormatting sqref="BR25">
    <cfRule type="colorScale" priority="1558">
      <colorScale>
        <cfvo type="min"/>
        <cfvo type="max"/>
        <color theme="0"/>
        <color theme="0"/>
      </colorScale>
    </cfRule>
    <cfRule type="expression" dxfId="839" priority="1559">
      <formula>BQ25&lt;0</formula>
    </cfRule>
  </conditionalFormatting>
  <conditionalFormatting sqref="BR26">
    <cfRule type="expression" dxfId="838" priority="1536">
      <formula>BQ26&lt;0</formula>
    </cfRule>
    <cfRule type="colorScale" priority="1535">
      <colorScale>
        <cfvo type="min"/>
        <cfvo type="max"/>
        <color theme="0"/>
        <color theme="0"/>
      </colorScale>
    </cfRule>
  </conditionalFormatting>
  <conditionalFormatting sqref="BR27">
    <cfRule type="expression" dxfId="837" priority="1557">
      <formula>BQ27&lt;0</formula>
    </cfRule>
    <cfRule type="colorScale" priority="1556">
      <colorScale>
        <cfvo type="min"/>
        <cfvo type="max"/>
        <color theme="0"/>
        <color theme="0"/>
      </colorScale>
    </cfRule>
  </conditionalFormatting>
  <conditionalFormatting sqref="BR28">
    <cfRule type="expression" dxfId="836" priority="1555">
      <formula>BQ28&lt;0</formula>
    </cfRule>
    <cfRule type="colorScale" priority="1554">
      <colorScale>
        <cfvo type="min"/>
        <cfvo type="max"/>
        <color theme="0"/>
        <color theme="0"/>
      </colorScale>
    </cfRule>
  </conditionalFormatting>
  <conditionalFormatting sqref="BR29">
    <cfRule type="colorScale" priority="1532">
      <colorScale>
        <cfvo type="min"/>
        <cfvo type="max"/>
        <color theme="0"/>
        <color theme="0"/>
      </colorScale>
    </cfRule>
    <cfRule type="expression" dxfId="835" priority="1534">
      <formula>BQ29&lt;0</formula>
    </cfRule>
  </conditionalFormatting>
  <conditionalFormatting sqref="BR30">
    <cfRule type="expression" dxfId="834" priority="1553">
      <formula>BQ30&lt;0</formula>
    </cfRule>
    <cfRule type="colorScale" priority="1552">
      <colorScale>
        <cfvo type="min"/>
        <cfvo type="max"/>
        <color theme="0"/>
        <color theme="0"/>
      </colorScale>
    </cfRule>
  </conditionalFormatting>
  <conditionalFormatting sqref="BR31">
    <cfRule type="colorScale" priority="1550">
      <colorScale>
        <cfvo type="min"/>
        <cfvo type="max"/>
        <color theme="0"/>
        <color theme="0"/>
      </colorScale>
    </cfRule>
    <cfRule type="expression" dxfId="833" priority="1551">
      <formula>BQ31&lt;0</formula>
    </cfRule>
  </conditionalFormatting>
  <conditionalFormatting sqref="BR39">
    <cfRule type="expression" dxfId="832" priority="1530">
      <formula>BQ39&lt;0</formula>
    </cfRule>
    <cfRule type="colorScale" priority="1528">
      <colorScale>
        <cfvo type="min"/>
        <cfvo type="max"/>
        <color theme="0"/>
        <color theme="0"/>
      </colorScale>
    </cfRule>
    <cfRule type="expression" priority="1529">
      <formula>#REF!</formula>
    </cfRule>
  </conditionalFormatting>
  <conditionalFormatting sqref="BR39:BR107">
    <cfRule type="expression" dxfId="831" priority="1466">
      <formula>IF(BR39="Validar","Rojo","Verde")</formula>
    </cfRule>
  </conditionalFormatting>
  <conditionalFormatting sqref="BR40:BR67">
    <cfRule type="expression" priority="1548">
      <formula>$F$19</formula>
    </cfRule>
    <cfRule type="expression" dxfId="830" priority="1549">
      <formula>BQ40&lt;0</formula>
    </cfRule>
    <cfRule type="colorScale" priority="1547">
      <colorScale>
        <cfvo type="min"/>
        <cfvo type="max"/>
        <color theme="0"/>
        <color theme="0"/>
      </colorScale>
    </cfRule>
  </conditionalFormatting>
  <conditionalFormatting sqref="BR68">
    <cfRule type="colorScale" priority="1525">
      <colorScale>
        <cfvo type="min"/>
        <cfvo type="max"/>
        <color theme="0"/>
        <color theme="0"/>
      </colorScale>
    </cfRule>
    <cfRule type="expression" priority="1526">
      <formula>#REF!</formula>
    </cfRule>
    <cfRule type="expression" dxfId="829" priority="1527">
      <formula>BQ68&lt;0</formula>
    </cfRule>
  </conditionalFormatting>
  <conditionalFormatting sqref="BR69:BR81">
    <cfRule type="expression" dxfId="828" priority="1574">
      <formula>BQ69&lt;0</formula>
    </cfRule>
    <cfRule type="colorScale" priority="1572">
      <colorScale>
        <cfvo type="min"/>
        <cfvo type="max"/>
        <color theme="0"/>
        <color theme="0"/>
      </colorScale>
    </cfRule>
    <cfRule type="expression" priority="1573">
      <formula>$F$19</formula>
    </cfRule>
  </conditionalFormatting>
  <conditionalFormatting sqref="BR82 BR92 BR103 BR107">
    <cfRule type="colorScale" priority="1570">
      <colorScale>
        <cfvo type="min"/>
        <cfvo type="max"/>
        <color theme="0"/>
        <color theme="0"/>
      </colorScale>
    </cfRule>
    <cfRule type="expression" dxfId="827" priority="1571">
      <formula>BQ82&lt;0</formula>
    </cfRule>
  </conditionalFormatting>
  <conditionalFormatting sqref="BR83">
    <cfRule type="colorScale" priority="1467">
      <colorScale>
        <cfvo type="min"/>
        <cfvo type="max"/>
        <color theme="0"/>
        <color theme="0"/>
      </colorScale>
    </cfRule>
    <cfRule type="expression" priority="1468">
      <formula>#REF!</formula>
    </cfRule>
    <cfRule type="expression" dxfId="826" priority="1469">
      <formula>BQ83&lt;0</formula>
    </cfRule>
  </conditionalFormatting>
  <conditionalFormatting sqref="BR84:BR91">
    <cfRule type="expression" dxfId="825" priority="1577">
      <formula>BQ84&lt;0</formula>
    </cfRule>
    <cfRule type="colorScale" priority="1575">
      <colorScale>
        <cfvo type="min"/>
        <cfvo type="max"/>
        <color theme="0"/>
        <color theme="0"/>
      </colorScale>
    </cfRule>
    <cfRule type="expression" priority="1576">
      <formula>$F$19</formula>
    </cfRule>
  </conditionalFormatting>
  <conditionalFormatting sqref="BR93">
    <cfRule type="expression" priority="1523">
      <formula>#REF!</formula>
    </cfRule>
    <cfRule type="colorScale" priority="1522">
      <colorScale>
        <cfvo type="min"/>
        <cfvo type="max"/>
        <color theme="0"/>
        <color theme="0"/>
      </colorScale>
    </cfRule>
    <cfRule type="expression" dxfId="824" priority="1524">
      <formula>BQ93&lt;0</formula>
    </cfRule>
  </conditionalFormatting>
  <conditionalFormatting sqref="BR94:BR102">
    <cfRule type="colorScale" priority="1578">
      <colorScale>
        <cfvo type="min"/>
        <cfvo type="max"/>
        <color theme="0"/>
        <color theme="0"/>
      </colorScale>
    </cfRule>
    <cfRule type="expression" priority="1579">
      <formula>$F$19</formula>
    </cfRule>
    <cfRule type="expression" dxfId="823" priority="1580">
      <formula>BQ94&lt;0</formula>
    </cfRule>
  </conditionalFormatting>
  <conditionalFormatting sqref="BR104">
    <cfRule type="colorScale" priority="1519">
      <colorScale>
        <cfvo type="min"/>
        <cfvo type="max"/>
        <color theme="0"/>
        <color theme="0"/>
      </colorScale>
    </cfRule>
    <cfRule type="expression" dxfId="822" priority="1521">
      <formula>BQ104&lt;0</formula>
    </cfRule>
    <cfRule type="expression" priority="1520">
      <formula>#REF!</formula>
    </cfRule>
  </conditionalFormatting>
  <conditionalFormatting sqref="BR105:BR106">
    <cfRule type="expression" priority="1582">
      <formula>$F$19</formula>
    </cfRule>
    <cfRule type="expression" dxfId="821" priority="1583">
      <formula>BQ105&lt;0</formula>
    </cfRule>
    <cfRule type="colorScale" priority="1581">
      <colorScale>
        <cfvo type="min"/>
        <cfvo type="max"/>
        <color theme="0"/>
        <color theme="0"/>
      </colorScale>
    </cfRule>
  </conditionalFormatting>
  <conditionalFormatting sqref="BR110">
    <cfRule type="colorScale" priority="1584">
      <colorScale>
        <cfvo type="min"/>
        <cfvo type="max"/>
        <color theme="0"/>
        <color theme="0"/>
      </colorScale>
    </cfRule>
    <cfRule type="expression" dxfId="820" priority="1585">
      <formula>BQ110&lt;0</formula>
    </cfRule>
  </conditionalFormatting>
  <conditionalFormatting sqref="BR110:BR111">
    <cfRule type="expression" priority="1464">
      <formula>$F$19</formula>
    </cfRule>
  </conditionalFormatting>
  <conditionalFormatting sqref="BR111">
    <cfRule type="expression" dxfId="819" priority="1465">
      <formula>BQ111&lt;0</formula>
    </cfRule>
    <cfRule type="colorScale" priority="1463">
      <colorScale>
        <cfvo type="min"/>
        <cfvo type="max"/>
        <color theme="0"/>
        <color theme="0"/>
      </colorScale>
    </cfRule>
  </conditionalFormatting>
  <conditionalFormatting sqref="BR117:BR123">
    <cfRule type="expression" dxfId="818" priority="1591">
      <formula>BQ117&lt;0</formula>
    </cfRule>
    <cfRule type="expression" priority="1590">
      <formula>$F$19</formula>
    </cfRule>
    <cfRule type="colorScale" priority="1589">
      <colorScale>
        <cfvo type="min"/>
        <cfvo type="max"/>
        <color theme="0"/>
        <color theme="0"/>
      </colorScale>
    </cfRule>
  </conditionalFormatting>
  <conditionalFormatting sqref="BR125">
    <cfRule type="expression" dxfId="817" priority="1518">
      <formula>BQ125&lt;0</formula>
    </cfRule>
    <cfRule type="colorScale" priority="1516">
      <colorScale>
        <cfvo type="min"/>
        <cfvo type="max"/>
        <color theme="0"/>
        <color theme="0"/>
      </colorScale>
    </cfRule>
    <cfRule type="expression" priority="1517">
      <formula>#REF!</formula>
    </cfRule>
  </conditionalFormatting>
  <conditionalFormatting sqref="BR125:BR135">
    <cfRule type="expression" dxfId="816" priority="1515">
      <formula>IF(BR125="Validar","Rojo","Verde")</formula>
    </cfRule>
  </conditionalFormatting>
  <conditionalFormatting sqref="BR126:BR132">
    <cfRule type="expression" dxfId="815" priority="1594">
      <formula>BQ126&lt;0</formula>
    </cfRule>
    <cfRule type="colorScale" priority="1592">
      <colorScale>
        <cfvo type="min"/>
        <cfvo type="max"/>
        <color theme="0"/>
        <color theme="0"/>
      </colorScale>
    </cfRule>
  </conditionalFormatting>
  <conditionalFormatting sqref="BR126:BR134">
    <cfRule type="expression" priority="1593">
      <formula>$F$19</formula>
    </cfRule>
  </conditionalFormatting>
  <conditionalFormatting sqref="BR133:BR134">
    <cfRule type="expression" dxfId="814" priority="1596">
      <formula>BQ133&lt;0</formula>
    </cfRule>
    <cfRule type="colorScale" priority="1595">
      <colorScale>
        <cfvo type="min"/>
        <cfvo type="max"/>
        <color theme="0"/>
        <color theme="0"/>
      </colorScale>
    </cfRule>
  </conditionalFormatting>
  <conditionalFormatting sqref="BR135">
    <cfRule type="expression" priority="1587">
      <formula>$F$23</formula>
    </cfRule>
    <cfRule type="expression" dxfId="813" priority="1588">
      <formula>BQ135&lt;0</formula>
    </cfRule>
    <cfRule type="colorScale" priority="1586">
      <colorScale>
        <cfvo type="min"/>
        <cfvo type="max"/>
        <color theme="0"/>
        <color theme="0"/>
      </colorScale>
    </cfRule>
  </conditionalFormatting>
  <conditionalFormatting sqref="BR110:BT111">
    <cfRule type="expression" dxfId="812" priority="1459">
      <formula>IF(BR110="Validar","Rojo","Verde")</formula>
    </cfRule>
  </conditionalFormatting>
  <conditionalFormatting sqref="BR117:BT123">
    <cfRule type="expression" dxfId="811" priority="1472">
      <formula>IF(BR117="Validar","Rojo","Verde")</formula>
    </cfRule>
  </conditionalFormatting>
  <conditionalFormatting sqref="BS40:BS66">
    <cfRule type="expression" dxfId="810" priority="1509">
      <formula>BR40&lt;0</formula>
    </cfRule>
    <cfRule type="expression" priority="1508">
      <formula>#REF!</formula>
    </cfRule>
    <cfRule type="colorScale" priority="1507">
      <colorScale>
        <cfvo type="min"/>
        <cfvo type="max"/>
        <color theme="0"/>
        <color theme="0"/>
      </colorScale>
    </cfRule>
  </conditionalFormatting>
  <conditionalFormatting sqref="BS40:BS67">
    <cfRule type="expression" dxfId="809" priority="1506">
      <formula>IF(BS40="Validar","Rojo","Verde")</formula>
    </cfRule>
  </conditionalFormatting>
  <conditionalFormatting sqref="BS67 BR82:BS82 BR92:BS92 BR103:BS103 BR107:BS107">
    <cfRule type="expression" priority="1511">
      <formula>$F$23</formula>
    </cfRule>
  </conditionalFormatting>
  <conditionalFormatting sqref="BS67 BS82 BS92 BS103 BS107">
    <cfRule type="expression" dxfId="808" priority="1512">
      <formula>BR67&lt;0</formula>
    </cfRule>
  </conditionalFormatting>
  <conditionalFormatting sqref="BS69">
    <cfRule type="colorScale" priority="1504">
      <colorScale>
        <cfvo type="min"/>
        <cfvo type="max"/>
        <color theme="0"/>
        <color theme="0"/>
      </colorScale>
    </cfRule>
    <cfRule type="expression" dxfId="807" priority="1505">
      <formula>BR69&lt;0</formula>
    </cfRule>
  </conditionalFormatting>
  <conditionalFormatting sqref="BS69:BS81">
    <cfRule type="expression" priority="1502">
      <formula>#REF!</formula>
    </cfRule>
  </conditionalFormatting>
  <conditionalFormatting sqref="BS69:BS82">
    <cfRule type="expression" dxfId="806" priority="1500">
      <formula>IF(BS69="Validar","Rojo","Verde")</formula>
    </cfRule>
  </conditionalFormatting>
  <conditionalFormatting sqref="BS70:BS78">
    <cfRule type="expression" dxfId="805" priority="1503">
      <formula>BR70&lt;0</formula>
    </cfRule>
    <cfRule type="colorScale" priority="1501">
      <colorScale>
        <cfvo type="min"/>
        <cfvo type="max"/>
        <color theme="0"/>
        <color theme="0"/>
      </colorScale>
    </cfRule>
  </conditionalFormatting>
  <conditionalFormatting sqref="BS79:BS81">
    <cfRule type="expression" dxfId="804" priority="1514">
      <formula>BR79&lt;0</formula>
    </cfRule>
    <cfRule type="colorScale" priority="1513">
      <colorScale>
        <cfvo type="min"/>
        <cfvo type="max"/>
        <color theme="0"/>
        <color theme="0"/>
      </colorScale>
    </cfRule>
  </conditionalFormatting>
  <conditionalFormatting sqref="BS82 BS67 BS92 BS103 BS107">
    <cfRule type="colorScale" priority="1510">
      <colorScale>
        <cfvo type="min"/>
        <cfvo type="max"/>
        <color theme="0"/>
        <color theme="0"/>
      </colorScale>
    </cfRule>
  </conditionalFormatting>
  <conditionalFormatting sqref="BS84">
    <cfRule type="expression" dxfId="803" priority="1499">
      <formula>BR84&lt;0</formula>
    </cfRule>
    <cfRule type="colorScale" priority="1498">
      <colorScale>
        <cfvo type="min"/>
        <cfvo type="max"/>
        <color theme="0"/>
        <color theme="0"/>
      </colorScale>
    </cfRule>
  </conditionalFormatting>
  <conditionalFormatting sqref="BS84:BS91">
    <cfRule type="expression" priority="1496">
      <formula>#REF!</formula>
    </cfRule>
  </conditionalFormatting>
  <conditionalFormatting sqref="BS84:BS92">
    <cfRule type="expression" dxfId="802" priority="1494">
      <formula>IF(BS84="Validar","Rojo","Verde")</formula>
    </cfRule>
  </conditionalFormatting>
  <conditionalFormatting sqref="BS85:BS91">
    <cfRule type="expression" dxfId="801" priority="1497">
      <formula>BR85&lt;0</formula>
    </cfRule>
    <cfRule type="colorScale" priority="1495">
      <colorScale>
        <cfvo type="min"/>
        <cfvo type="max"/>
        <color theme="0"/>
        <color theme="0"/>
      </colorScale>
    </cfRule>
  </conditionalFormatting>
  <conditionalFormatting sqref="BS94">
    <cfRule type="expression" dxfId="800" priority="1493">
      <formula>BR94&lt;0</formula>
    </cfRule>
    <cfRule type="colorScale" priority="1492">
      <colorScale>
        <cfvo type="min"/>
        <cfvo type="max"/>
        <color theme="0"/>
        <color theme="0"/>
      </colorScale>
    </cfRule>
  </conditionalFormatting>
  <conditionalFormatting sqref="BS94:BS102">
    <cfRule type="expression" priority="1486">
      <formula>#REF!</formula>
    </cfRule>
  </conditionalFormatting>
  <conditionalFormatting sqref="BS94:BS103">
    <cfRule type="expression" dxfId="799" priority="1484">
      <formula>IF(BS94="Validar","Rojo","Verde")</formula>
    </cfRule>
  </conditionalFormatting>
  <conditionalFormatting sqref="BS95:BS100">
    <cfRule type="expression" dxfId="798" priority="1491">
      <formula>BR95&lt;0</formula>
    </cfRule>
    <cfRule type="colorScale" priority="1490">
      <colorScale>
        <cfvo type="min"/>
        <cfvo type="max"/>
        <color theme="0"/>
        <color theme="0"/>
      </colorScale>
    </cfRule>
  </conditionalFormatting>
  <conditionalFormatting sqref="BS101">
    <cfRule type="expression" dxfId="797" priority="1489">
      <formula>BR101&lt;0</formula>
    </cfRule>
    <cfRule type="colorScale" priority="1488">
      <colorScale>
        <cfvo type="min"/>
        <cfvo type="max"/>
        <color theme="0"/>
        <color theme="0"/>
      </colorScale>
    </cfRule>
  </conditionalFormatting>
  <conditionalFormatting sqref="BS102">
    <cfRule type="expression" dxfId="796" priority="1487">
      <formula>BR102&lt;0</formula>
    </cfRule>
    <cfRule type="colorScale" priority="1485">
      <colorScale>
        <cfvo type="min"/>
        <cfvo type="max"/>
        <color theme="0"/>
        <color theme="0"/>
      </colorScale>
    </cfRule>
  </conditionalFormatting>
  <conditionalFormatting sqref="BS105">
    <cfRule type="colorScale" priority="1482">
      <colorScale>
        <cfvo type="min"/>
        <cfvo type="max"/>
        <color theme="0"/>
        <color theme="0"/>
      </colorScale>
    </cfRule>
    <cfRule type="expression" dxfId="795" priority="1483">
      <formula>BR105&lt;0</formula>
    </cfRule>
  </conditionalFormatting>
  <conditionalFormatting sqref="BS105:BS106">
    <cfRule type="expression" priority="1480">
      <formula>#REF!</formula>
    </cfRule>
  </conditionalFormatting>
  <conditionalFormatting sqref="BS105:BS107">
    <cfRule type="expression" dxfId="794" priority="1478">
      <formula>IF(BS105="Validar","Rojo","Verde")</formula>
    </cfRule>
  </conditionalFormatting>
  <conditionalFormatting sqref="BS106">
    <cfRule type="expression" dxfId="793" priority="1481">
      <formula>BR106&lt;0</formula>
    </cfRule>
    <cfRule type="colorScale" priority="1479">
      <colorScale>
        <cfvo type="min"/>
        <cfvo type="max"/>
        <color theme="0"/>
        <color theme="0"/>
      </colorScale>
    </cfRule>
  </conditionalFormatting>
  <conditionalFormatting sqref="BS110">
    <cfRule type="colorScale" priority="1470">
      <colorScale>
        <cfvo type="min"/>
        <cfvo type="max"/>
        <color theme="0"/>
        <color theme="0"/>
      </colorScale>
    </cfRule>
    <cfRule type="expression" dxfId="792" priority="1471">
      <formula>BR110&lt;0</formula>
    </cfRule>
  </conditionalFormatting>
  <conditionalFormatting sqref="BS111">
    <cfRule type="expression" dxfId="791" priority="1462">
      <formula>BR111&lt;0</formula>
    </cfRule>
    <cfRule type="colorScale" priority="1460">
      <colorScale>
        <cfvo type="min"/>
        <cfvo type="max"/>
        <color theme="0"/>
        <color theme="0"/>
      </colorScale>
    </cfRule>
  </conditionalFormatting>
  <conditionalFormatting sqref="BS117">
    <cfRule type="expression" dxfId="790" priority="1477">
      <formula>BR117&lt;0</formula>
    </cfRule>
    <cfRule type="colorScale" priority="1476">
      <colorScale>
        <cfvo type="min"/>
        <cfvo type="max"/>
        <color theme="0"/>
        <color theme="0"/>
      </colorScale>
    </cfRule>
  </conditionalFormatting>
  <conditionalFormatting sqref="BS118:BS123">
    <cfRule type="colorScale" priority="1473">
      <colorScale>
        <cfvo type="min"/>
        <cfvo type="max"/>
        <color theme="0"/>
        <color theme="0"/>
      </colorScale>
    </cfRule>
    <cfRule type="expression" dxfId="789" priority="1475">
      <formula>BR118&lt;0</formula>
    </cfRule>
  </conditionalFormatting>
  <conditionalFormatting sqref="BS126:BS135">
    <cfRule type="expression" priority="1599">
      <formula>$F$23</formula>
    </cfRule>
    <cfRule type="expression" dxfId="788" priority="1600">
      <formula>BR126&lt;0</formula>
    </cfRule>
    <cfRule type="expression" dxfId="787" priority="1597">
      <formula>IF(BS126="Validar","Rojo","Verde")</formula>
    </cfRule>
    <cfRule type="colorScale" priority="1598">
      <colorScale>
        <cfvo type="min"/>
        <cfvo type="max"/>
        <color theme="0"/>
        <color theme="0"/>
      </colorScale>
    </cfRule>
  </conditionalFormatting>
  <conditionalFormatting sqref="BS110:BT111">
    <cfRule type="expression" priority="1461">
      <formula>#REF!</formula>
    </cfRule>
  </conditionalFormatting>
  <conditionalFormatting sqref="BS117:BT123">
    <cfRule type="expression" priority="1474">
      <formula>#REF!</formula>
    </cfRule>
  </conditionalFormatting>
  <conditionalFormatting sqref="BT5">
    <cfRule type="colorScale" priority="4369">
      <colorScale>
        <cfvo type="min"/>
        <cfvo type="max"/>
        <color theme="0"/>
        <color theme="0"/>
      </colorScale>
    </cfRule>
    <cfRule type="expression" dxfId="786" priority="4370">
      <formula>BS5&lt;0</formula>
    </cfRule>
  </conditionalFormatting>
  <conditionalFormatting sqref="BT5:BT16">
    <cfRule type="expression" priority="4343">
      <formula>#REF!</formula>
    </cfRule>
    <cfRule type="expression" dxfId="785" priority="4341">
      <formula>IF(BT5="Validar","Rojo","Verde")</formula>
    </cfRule>
  </conditionalFormatting>
  <conditionalFormatting sqref="BT6:BT9">
    <cfRule type="expression" dxfId="784" priority="4378">
      <formula>BS6&lt;0</formula>
    </cfRule>
    <cfRule type="colorScale" priority="4377">
      <colorScale>
        <cfvo type="min"/>
        <cfvo type="max"/>
        <color theme="0"/>
        <color theme="0"/>
      </colorScale>
    </cfRule>
  </conditionalFormatting>
  <conditionalFormatting sqref="BT10">
    <cfRule type="colorScale" priority="4345">
      <colorScale>
        <cfvo type="min"/>
        <cfvo type="max"/>
        <color theme="0"/>
        <color theme="0"/>
      </colorScale>
    </cfRule>
    <cfRule type="expression" dxfId="783" priority="4346">
      <formula>BS10&lt;0</formula>
    </cfRule>
  </conditionalFormatting>
  <conditionalFormatting sqref="BT11:BT14">
    <cfRule type="expression" dxfId="782" priority="4376">
      <formula>BS11&lt;0</formula>
    </cfRule>
    <cfRule type="colorScale" priority="4375">
      <colorScale>
        <cfvo type="min"/>
        <cfvo type="max"/>
        <color theme="0"/>
        <color theme="0"/>
      </colorScale>
    </cfRule>
  </conditionalFormatting>
  <conditionalFormatting sqref="BT15">
    <cfRule type="colorScale" priority="4342">
      <colorScale>
        <cfvo type="min"/>
        <cfvo type="max"/>
        <color theme="0"/>
        <color theme="0"/>
      </colorScale>
    </cfRule>
    <cfRule type="expression" dxfId="781" priority="4344">
      <formula>BS15&lt;0</formula>
    </cfRule>
  </conditionalFormatting>
  <conditionalFormatting sqref="BT16">
    <cfRule type="colorScale" priority="4373">
      <colorScale>
        <cfvo type="min"/>
        <cfvo type="max"/>
        <color theme="0"/>
        <color theme="0"/>
      </colorScale>
    </cfRule>
    <cfRule type="expression" dxfId="780" priority="4374">
      <formula>BS16&lt;0</formula>
    </cfRule>
  </conditionalFormatting>
  <conditionalFormatting sqref="BT18">
    <cfRule type="expression" dxfId="779" priority="4340">
      <formula>BS18&lt;0</formula>
    </cfRule>
    <cfRule type="colorScale" priority="4338">
      <colorScale>
        <cfvo type="min"/>
        <cfvo type="max"/>
        <color theme="0"/>
        <color theme="0"/>
      </colorScale>
    </cfRule>
  </conditionalFormatting>
  <conditionalFormatting sqref="BT18:BT19">
    <cfRule type="expression" priority="4339">
      <formula>#REF!</formula>
    </cfRule>
    <cfRule type="expression" dxfId="778" priority="4337">
      <formula>IF(BT18="Validar","Rojo","Verde")</formula>
    </cfRule>
  </conditionalFormatting>
  <conditionalFormatting sqref="BT19">
    <cfRule type="expression" dxfId="777" priority="4372">
      <formula>BS19&lt;0</formula>
    </cfRule>
    <cfRule type="colorScale" priority="4371">
      <colorScale>
        <cfvo type="min"/>
        <cfvo type="max"/>
        <color theme="0"/>
        <color theme="0"/>
      </colorScale>
    </cfRule>
  </conditionalFormatting>
  <conditionalFormatting sqref="BT23">
    <cfRule type="expression" dxfId="776" priority="4336">
      <formula>BS23&lt;0</formula>
    </cfRule>
    <cfRule type="colorScale" priority="4334">
      <colorScale>
        <cfvo type="min"/>
        <cfvo type="max"/>
        <color theme="0"/>
        <color theme="0"/>
      </colorScale>
    </cfRule>
  </conditionalFormatting>
  <conditionalFormatting sqref="BT23:BT24">
    <cfRule type="expression" dxfId="775" priority="4333">
      <formula>IF(BT23="Validar","Rojo","Verde")</formula>
    </cfRule>
    <cfRule type="expression" priority="4335">
      <formula>#REF!</formula>
    </cfRule>
  </conditionalFormatting>
  <conditionalFormatting sqref="BT24">
    <cfRule type="colorScale" priority="4367">
      <colorScale>
        <cfvo type="min"/>
        <cfvo type="max"/>
        <color theme="0"/>
        <color theme="0"/>
      </colorScale>
    </cfRule>
    <cfRule type="expression" dxfId="774" priority="4368">
      <formula>BS24&lt;0</formula>
    </cfRule>
  </conditionalFormatting>
  <conditionalFormatting sqref="BT26">
    <cfRule type="expression" dxfId="773" priority="4332">
      <formula>BS26&lt;0</formula>
    </cfRule>
    <cfRule type="colorScale" priority="4330">
      <colorScale>
        <cfvo type="min"/>
        <cfvo type="max"/>
        <color theme="0"/>
        <color theme="0"/>
      </colorScale>
    </cfRule>
  </conditionalFormatting>
  <conditionalFormatting sqref="BT26:BT27">
    <cfRule type="expression" priority="4331">
      <formula>#REF!</formula>
    </cfRule>
    <cfRule type="expression" dxfId="772" priority="4329">
      <formula>IF(BT26="Validar","Rojo","Verde")</formula>
    </cfRule>
  </conditionalFormatting>
  <conditionalFormatting sqref="BT27">
    <cfRule type="expression" dxfId="771" priority="4366">
      <formula>BS27&lt;0</formula>
    </cfRule>
    <cfRule type="colorScale" priority="4365">
      <colorScale>
        <cfvo type="min"/>
        <cfvo type="max"/>
        <color theme="0"/>
        <color theme="0"/>
      </colorScale>
    </cfRule>
  </conditionalFormatting>
  <conditionalFormatting sqref="BT29">
    <cfRule type="expression" dxfId="770" priority="4328">
      <formula>BS29&lt;0</formula>
    </cfRule>
    <cfRule type="colorScale" priority="4326">
      <colorScale>
        <cfvo type="min"/>
        <cfvo type="max"/>
        <color theme="0"/>
        <color theme="0"/>
      </colorScale>
    </cfRule>
  </conditionalFormatting>
  <conditionalFormatting sqref="BT29:BT30">
    <cfRule type="expression" priority="4327">
      <formula>#REF!</formula>
    </cfRule>
    <cfRule type="expression" dxfId="769" priority="4325">
      <formula>IF(BT29="Validar","Rojo","Verde")</formula>
    </cfRule>
  </conditionalFormatting>
  <conditionalFormatting sqref="BT30">
    <cfRule type="expression" dxfId="768" priority="4364">
      <formula>BS30&lt;0</formula>
    </cfRule>
    <cfRule type="colorScale" priority="4363">
      <colorScale>
        <cfvo type="min"/>
        <cfvo type="max"/>
        <color theme="0"/>
        <color theme="0"/>
      </colorScale>
    </cfRule>
  </conditionalFormatting>
  <conditionalFormatting sqref="BT39">
    <cfRule type="expression" dxfId="767" priority="4324">
      <formula>BS39&lt;0</formula>
    </cfRule>
    <cfRule type="colorScale" priority="4322">
      <colorScale>
        <cfvo type="min"/>
        <cfvo type="max"/>
        <color theme="0"/>
        <color theme="0"/>
      </colorScale>
    </cfRule>
  </conditionalFormatting>
  <conditionalFormatting sqref="BT39:BT66">
    <cfRule type="expression" priority="4323">
      <formula>#REF!</formula>
    </cfRule>
    <cfRule type="expression" dxfId="766" priority="4321">
      <formula>IF(BT39="Validar","Rojo","Verde")</formula>
    </cfRule>
  </conditionalFormatting>
  <conditionalFormatting sqref="BT40:BT66">
    <cfRule type="colorScale" priority="4361">
      <colorScale>
        <cfvo type="min"/>
        <cfvo type="max"/>
        <color theme="0"/>
        <color theme="0"/>
      </colorScale>
    </cfRule>
    <cfRule type="expression" dxfId="765" priority="4362">
      <formula>BS40&lt;0</formula>
    </cfRule>
  </conditionalFormatting>
  <conditionalFormatting sqref="BT68">
    <cfRule type="colorScale" priority="4318">
      <colorScale>
        <cfvo type="min"/>
        <cfvo type="max"/>
        <color theme="0"/>
        <color theme="0"/>
      </colorScale>
    </cfRule>
    <cfRule type="expression" dxfId="764" priority="4320">
      <formula>BS68&lt;0</formula>
    </cfRule>
  </conditionalFormatting>
  <conditionalFormatting sqref="BT68:BT81">
    <cfRule type="expression" priority="4319">
      <formula>#REF!</formula>
    </cfRule>
    <cfRule type="expression" dxfId="763" priority="4317">
      <formula>IF(BT68="Validar","Rojo","Verde")</formula>
    </cfRule>
  </conditionalFormatting>
  <conditionalFormatting sqref="BT69:BT81">
    <cfRule type="colorScale" priority="4379">
      <colorScale>
        <cfvo type="min"/>
        <cfvo type="max"/>
        <color theme="0"/>
        <color theme="0"/>
      </colorScale>
    </cfRule>
    <cfRule type="expression" dxfId="762" priority="4380">
      <formula>BS69&lt;0</formula>
    </cfRule>
  </conditionalFormatting>
  <conditionalFormatting sqref="BT83">
    <cfRule type="expression" dxfId="761" priority="4303">
      <formula>BS83&lt;0</formula>
    </cfRule>
    <cfRule type="colorScale" priority="4301">
      <colorScale>
        <cfvo type="min"/>
        <cfvo type="max"/>
        <color theme="0"/>
        <color theme="0"/>
      </colorScale>
    </cfRule>
  </conditionalFormatting>
  <conditionalFormatting sqref="BT83:BT91">
    <cfRule type="expression" dxfId="760" priority="4300">
      <formula>IF(BT83="Validar","Rojo","Verde")</formula>
    </cfRule>
    <cfRule type="expression" priority="4302">
      <formula>#REF!</formula>
    </cfRule>
  </conditionalFormatting>
  <conditionalFormatting sqref="BT84:BT91">
    <cfRule type="expression" dxfId="759" priority="4360">
      <formula>BS84&lt;0</formula>
    </cfRule>
    <cfRule type="colorScale" priority="4359">
      <colorScale>
        <cfvo type="min"/>
        <cfvo type="max"/>
        <color theme="0"/>
        <color theme="0"/>
      </colorScale>
    </cfRule>
  </conditionalFormatting>
  <conditionalFormatting sqref="BT93">
    <cfRule type="colorScale" priority="4314">
      <colorScale>
        <cfvo type="min"/>
        <cfvo type="max"/>
        <color theme="0"/>
        <color theme="0"/>
      </colorScale>
    </cfRule>
    <cfRule type="expression" dxfId="758" priority="4316">
      <formula>BS93&lt;0</formula>
    </cfRule>
  </conditionalFormatting>
  <conditionalFormatting sqref="BT93:BT102">
    <cfRule type="expression" dxfId="757" priority="4313">
      <formula>IF(BT93="Validar","Rojo","Verde")</formula>
    </cfRule>
    <cfRule type="expression" priority="4315">
      <formula>#REF!</formula>
    </cfRule>
  </conditionalFormatting>
  <conditionalFormatting sqref="BT94:BT102">
    <cfRule type="expression" dxfId="756" priority="4358">
      <formula>BS94&lt;0</formula>
    </cfRule>
    <cfRule type="colorScale" priority="4357">
      <colorScale>
        <cfvo type="min"/>
        <cfvo type="max"/>
        <color theme="0"/>
        <color theme="0"/>
      </colorScale>
    </cfRule>
  </conditionalFormatting>
  <conditionalFormatting sqref="BT104">
    <cfRule type="expression" dxfId="755" priority="4312">
      <formula>BS104&lt;0</formula>
    </cfRule>
    <cfRule type="colorScale" priority="4310">
      <colorScale>
        <cfvo type="min"/>
        <cfvo type="max"/>
        <color theme="0"/>
        <color theme="0"/>
      </colorScale>
    </cfRule>
  </conditionalFormatting>
  <conditionalFormatting sqref="BT104:BT106">
    <cfRule type="expression" dxfId="754" priority="4309">
      <formula>IF(BT104="Validar","Rojo","Verde")</formula>
    </cfRule>
    <cfRule type="expression" priority="4311">
      <formula>#REF!</formula>
    </cfRule>
  </conditionalFormatting>
  <conditionalFormatting sqref="BT105:BT106">
    <cfRule type="expression" dxfId="753" priority="4356">
      <formula>BS105&lt;0</formula>
    </cfRule>
    <cfRule type="colorScale" priority="4355">
      <colorScale>
        <cfvo type="min"/>
        <cfvo type="max"/>
        <color theme="0"/>
        <color theme="0"/>
      </colorScale>
    </cfRule>
  </conditionalFormatting>
  <conditionalFormatting sqref="BT110">
    <cfRule type="expression" dxfId="752" priority="4354">
      <formula>BS110&lt;0</formula>
    </cfRule>
    <cfRule type="colorScale" priority="4353">
      <colorScale>
        <cfvo type="min"/>
        <cfvo type="max"/>
        <color theme="0"/>
        <color theme="0"/>
      </colorScale>
    </cfRule>
  </conditionalFormatting>
  <conditionalFormatting sqref="BT111">
    <cfRule type="expression" dxfId="751" priority="4296">
      <formula>BS111&lt;0</formula>
    </cfRule>
    <cfRule type="colorScale" priority="4294">
      <colorScale>
        <cfvo type="min"/>
        <cfvo type="max"/>
        <color theme="0"/>
        <color theme="0"/>
      </colorScale>
    </cfRule>
  </conditionalFormatting>
  <conditionalFormatting sqref="BT117:BT123">
    <cfRule type="colorScale" priority="4350">
      <colorScale>
        <cfvo type="min"/>
        <cfvo type="max"/>
        <color theme="0"/>
        <color theme="0"/>
      </colorScale>
    </cfRule>
    <cfRule type="expression" dxfId="750" priority="4352">
      <formula>BS117&lt;0</formula>
    </cfRule>
  </conditionalFormatting>
  <conditionalFormatting sqref="BT125">
    <cfRule type="colorScale" priority="4306">
      <colorScale>
        <cfvo type="min"/>
        <cfvo type="max"/>
        <color theme="0"/>
        <color theme="0"/>
      </colorScale>
    </cfRule>
    <cfRule type="expression" dxfId="749" priority="4308">
      <formula>BS125&lt;0</formula>
    </cfRule>
  </conditionalFormatting>
  <conditionalFormatting sqref="BT125:BT134">
    <cfRule type="expression" dxfId="748" priority="4305">
      <formula>IF(BT125="Validar","Rojo","Verde")</formula>
    </cfRule>
    <cfRule type="expression" priority="4307">
      <formula>#REF!</formula>
    </cfRule>
  </conditionalFormatting>
  <conditionalFormatting sqref="BT126:BT134">
    <cfRule type="colorScale" priority="4347">
      <colorScale>
        <cfvo type="min"/>
        <cfvo type="max"/>
        <color theme="0"/>
        <color theme="0"/>
      </colorScale>
    </cfRule>
    <cfRule type="expression" dxfId="747" priority="4348">
      <formula>BS126&lt;0</formula>
    </cfRule>
  </conditionalFormatting>
  <conditionalFormatting sqref="BV5 BV9">
    <cfRule type="expression" dxfId="746" priority="1419">
      <formula>BU5&lt;0</formula>
    </cfRule>
    <cfRule type="colorScale" priority="1418">
      <colorScale>
        <cfvo type="min"/>
        <cfvo type="max"/>
        <color theme="0"/>
        <color theme="0"/>
      </colorScale>
    </cfRule>
  </conditionalFormatting>
  <conditionalFormatting sqref="BV5:BV20">
    <cfRule type="expression" priority="1302">
      <formula>#REF!</formula>
    </cfRule>
    <cfRule type="expression" dxfId="745" priority="1301">
      <formula>IF(BV5="Validar","Rojo","Verde")</formula>
    </cfRule>
  </conditionalFormatting>
  <conditionalFormatting sqref="BV6">
    <cfRule type="expression" dxfId="744" priority="1308">
      <formula>BU6&lt;0</formula>
    </cfRule>
    <cfRule type="colorScale" priority="1307">
      <colorScale>
        <cfvo type="min"/>
        <cfvo type="max"/>
        <color theme="0"/>
        <color theme="0"/>
      </colorScale>
    </cfRule>
  </conditionalFormatting>
  <conditionalFormatting sqref="BV7:BV8">
    <cfRule type="colorScale" priority="1303">
      <colorScale>
        <cfvo type="min"/>
        <cfvo type="max"/>
        <color theme="0"/>
        <color theme="0"/>
      </colorScale>
    </cfRule>
    <cfRule type="expression" dxfId="743" priority="1304">
      <formula>BU7&lt;0</formula>
    </cfRule>
  </conditionalFormatting>
  <conditionalFormatting sqref="BV10">
    <cfRule type="expression" dxfId="742" priority="1396">
      <formula>BU10&lt;0</formula>
    </cfRule>
    <cfRule type="colorScale" priority="1395">
      <colorScale>
        <cfvo type="min"/>
        <cfvo type="max"/>
        <color theme="0"/>
        <color theme="0"/>
      </colorScale>
    </cfRule>
  </conditionalFormatting>
  <conditionalFormatting sqref="BV11:BV14">
    <cfRule type="expression" dxfId="741" priority="1417">
      <formula>BU11&lt;0</formula>
    </cfRule>
    <cfRule type="colorScale" priority="1416">
      <colorScale>
        <cfvo type="min"/>
        <cfvo type="max"/>
        <color theme="0"/>
        <color theme="0"/>
      </colorScale>
    </cfRule>
  </conditionalFormatting>
  <conditionalFormatting sqref="BV15">
    <cfRule type="expression" dxfId="740" priority="1394">
      <formula>BU15&lt;0</formula>
    </cfRule>
    <cfRule type="colorScale" priority="1393">
      <colorScale>
        <cfvo type="min"/>
        <cfvo type="max"/>
        <color theme="0"/>
        <color theme="0"/>
      </colorScale>
    </cfRule>
  </conditionalFormatting>
  <conditionalFormatting sqref="BV16:BV17">
    <cfRule type="colorScale" priority="1414">
      <colorScale>
        <cfvo type="min"/>
        <cfvo type="max"/>
        <color theme="0"/>
        <color theme="0"/>
      </colorScale>
    </cfRule>
    <cfRule type="expression" dxfId="739" priority="1415">
      <formula>BU16&lt;0</formula>
    </cfRule>
  </conditionalFormatting>
  <conditionalFormatting sqref="BV18">
    <cfRule type="expression" dxfId="738" priority="1392">
      <formula>BU18&lt;0</formula>
    </cfRule>
    <cfRule type="colorScale" priority="1390">
      <colorScale>
        <cfvo type="min"/>
        <cfvo type="max"/>
        <color theme="0"/>
        <color theme="0"/>
      </colorScale>
    </cfRule>
  </conditionalFormatting>
  <conditionalFormatting sqref="BV19:BV20">
    <cfRule type="expression" dxfId="737" priority="1413">
      <formula>BU19&lt;0</formula>
    </cfRule>
    <cfRule type="colorScale" priority="1412">
      <colorScale>
        <cfvo type="min"/>
        <cfvo type="max"/>
        <color theme="0"/>
        <color theme="0"/>
      </colorScale>
    </cfRule>
  </conditionalFormatting>
  <conditionalFormatting sqref="BV23">
    <cfRule type="expression" dxfId="736" priority="1388">
      <formula>BU23&lt;0</formula>
    </cfRule>
    <cfRule type="colorScale" priority="1387">
      <colorScale>
        <cfvo type="min"/>
        <cfvo type="max"/>
        <color theme="0"/>
        <color theme="0"/>
      </colorScale>
    </cfRule>
  </conditionalFormatting>
  <conditionalFormatting sqref="BV23:BV31">
    <cfRule type="expression" priority="1383">
      <formula>#REF!</formula>
    </cfRule>
    <cfRule type="expression" dxfId="735" priority="1381">
      <formula>IF(BV23="Validar","Rojo","Verde")</formula>
    </cfRule>
  </conditionalFormatting>
  <conditionalFormatting sqref="BV24">
    <cfRule type="expression" dxfId="734" priority="1411">
      <formula>BU24&lt;0</formula>
    </cfRule>
    <cfRule type="colorScale" priority="1410">
      <colorScale>
        <cfvo type="min"/>
        <cfvo type="max"/>
        <color theme="0"/>
        <color theme="0"/>
      </colorScale>
    </cfRule>
  </conditionalFormatting>
  <conditionalFormatting sqref="BV25">
    <cfRule type="expression" dxfId="733" priority="1409">
      <formula>BU25&lt;0</formula>
    </cfRule>
    <cfRule type="colorScale" priority="1408">
      <colorScale>
        <cfvo type="min"/>
        <cfvo type="max"/>
        <color theme="0"/>
        <color theme="0"/>
      </colorScale>
    </cfRule>
  </conditionalFormatting>
  <conditionalFormatting sqref="BV26">
    <cfRule type="colorScale" priority="1385">
      <colorScale>
        <cfvo type="min"/>
        <cfvo type="max"/>
        <color theme="0"/>
        <color theme="0"/>
      </colorScale>
    </cfRule>
    <cfRule type="expression" dxfId="732" priority="1386">
      <formula>BU26&lt;0</formula>
    </cfRule>
  </conditionalFormatting>
  <conditionalFormatting sqref="BV27">
    <cfRule type="expression" dxfId="731" priority="1407">
      <formula>BU27&lt;0</formula>
    </cfRule>
    <cfRule type="colorScale" priority="1406">
      <colorScale>
        <cfvo type="min"/>
        <cfvo type="max"/>
        <color theme="0"/>
        <color theme="0"/>
      </colorScale>
    </cfRule>
  </conditionalFormatting>
  <conditionalFormatting sqref="BV28">
    <cfRule type="colorScale" priority="1404">
      <colorScale>
        <cfvo type="min"/>
        <cfvo type="max"/>
        <color theme="0"/>
        <color theme="0"/>
      </colorScale>
    </cfRule>
    <cfRule type="expression" dxfId="730" priority="1405">
      <formula>BU28&lt;0</formula>
    </cfRule>
  </conditionalFormatting>
  <conditionalFormatting sqref="BV29">
    <cfRule type="expression" dxfId="729" priority="1384">
      <formula>BU29&lt;0</formula>
    </cfRule>
    <cfRule type="colorScale" priority="1382">
      <colorScale>
        <cfvo type="min"/>
        <cfvo type="max"/>
        <color theme="0"/>
        <color theme="0"/>
      </colorScale>
    </cfRule>
  </conditionalFormatting>
  <conditionalFormatting sqref="BV30">
    <cfRule type="expression" dxfId="728" priority="1403">
      <formula>BU30&lt;0</formula>
    </cfRule>
    <cfRule type="colorScale" priority="1402">
      <colorScale>
        <cfvo type="min"/>
        <cfvo type="max"/>
        <color theme="0"/>
        <color theme="0"/>
      </colorScale>
    </cfRule>
  </conditionalFormatting>
  <conditionalFormatting sqref="BV31">
    <cfRule type="colorScale" priority="1400">
      <colorScale>
        <cfvo type="min"/>
        <cfvo type="max"/>
        <color theme="0"/>
        <color theme="0"/>
      </colorScale>
    </cfRule>
    <cfRule type="expression" dxfId="727" priority="1401">
      <formula>BU31&lt;0</formula>
    </cfRule>
  </conditionalFormatting>
  <conditionalFormatting sqref="BV39">
    <cfRule type="expression" priority="1379">
      <formula>#REF!</formula>
    </cfRule>
    <cfRule type="expression" dxfId="726" priority="1380">
      <formula>BU39&lt;0</formula>
    </cfRule>
    <cfRule type="colorScale" priority="1378">
      <colorScale>
        <cfvo type="min"/>
        <cfvo type="max"/>
        <color theme="0"/>
        <color theme="0"/>
      </colorScale>
    </cfRule>
  </conditionalFormatting>
  <conditionalFormatting sqref="BV39:BV107">
    <cfRule type="expression" dxfId="725" priority="1316">
      <formula>IF(BV39="Validar","Rojo","Verde")</formula>
    </cfRule>
  </conditionalFormatting>
  <conditionalFormatting sqref="BV40:BV67">
    <cfRule type="expression" priority="1398">
      <formula>$F$19</formula>
    </cfRule>
    <cfRule type="colorScale" priority="1397">
      <colorScale>
        <cfvo type="min"/>
        <cfvo type="max"/>
        <color theme="0"/>
        <color theme="0"/>
      </colorScale>
    </cfRule>
    <cfRule type="expression" dxfId="724" priority="1399">
      <formula>BU40&lt;0</formula>
    </cfRule>
  </conditionalFormatting>
  <conditionalFormatting sqref="BV68">
    <cfRule type="colorScale" priority="1375">
      <colorScale>
        <cfvo type="min"/>
        <cfvo type="max"/>
        <color theme="0"/>
        <color theme="0"/>
      </colorScale>
    </cfRule>
    <cfRule type="expression" dxfId="723" priority="1377">
      <formula>BU68&lt;0</formula>
    </cfRule>
    <cfRule type="expression" priority="1376">
      <formula>#REF!</formula>
    </cfRule>
  </conditionalFormatting>
  <conditionalFormatting sqref="BV69:BV81">
    <cfRule type="colorScale" priority="1422">
      <colorScale>
        <cfvo type="min"/>
        <cfvo type="max"/>
        <color theme="0"/>
        <color theme="0"/>
      </colorScale>
    </cfRule>
    <cfRule type="expression" dxfId="722" priority="1424">
      <formula>BU69&lt;0</formula>
    </cfRule>
    <cfRule type="expression" priority="1423">
      <formula>$F$19</formula>
    </cfRule>
  </conditionalFormatting>
  <conditionalFormatting sqref="BV82 BV92 BV103 BV107">
    <cfRule type="expression" dxfId="721" priority="1421">
      <formula>BU82&lt;0</formula>
    </cfRule>
  </conditionalFormatting>
  <conditionalFormatting sqref="BV83">
    <cfRule type="colorScale" priority="1317">
      <colorScale>
        <cfvo type="min"/>
        <cfvo type="max"/>
        <color theme="0"/>
        <color theme="0"/>
      </colorScale>
    </cfRule>
    <cfRule type="expression" priority="1318">
      <formula>#REF!</formula>
    </cfRule>
    <cfRule type="expression" dxfId="720" priority="1319">
      <formula>BU83&lt;0</formula>
    </cfRule>
  </conditionalFormatting>
  <conditionalFormatting sqref="BV84:BV91">
    <cfRule type="expression" dxfId="719" priority="1427">
      <formula>BU84&lt;0</formula>
    </cfRule>
    <cfRule type="expression" priority="1426">
      <formula>$F$19</formula>
    </cfRule>
    <cfRule type="colorScale" priority="1425">
      <colorScale>
        <cfvo type="min"/>
        <cfvo type="max"/>
        <color theme="0"/>
        <color theme="0"/>
      </colorScale>
    </cfRule>
  </conditionalFormatting>
  <conditionalFormatting sqref="BV92 BV82 BV103 BV107">
    <cfRule type="colorScale" priority="1420">
      <colorScale>
        <cfvo type="min"/>
        <cfvo type="max"/>
        <color theme="0"/>
        <color theme="0"/>
      </colorScale>
    </cfRule>
  </conditionalFormatting>
  <conditionalFormatting sqref="BV93">
    <cfRule type="expression" dxfId="718" priority="1374">
      <formula>BU93&lt;0</formula>
    </cfRule>
    <cfRule type="expression" priority="1373">
      <formula>#REF!</formula>
    </cfRule>
    <cfRule type="colorScale" priority="1372">
      <colorScale>
        <cfvo type="min"/>
        <cfvo type="max"/>
        <color theme="0"/>
        <color theme="0"/>
      </colorScale>
    </cfRule>
  </conditionalFormatting>
  <conditionalFormatting sqref="BV94:BV102">
    <cfRule type="expression" priority="1429">
      <formula>$F$19</formula>
    </cfRule>
    <cfRule type="expression" dxfId="717" priority="1430">
      <formula>BU94&lt;0</formula>
    </cfRule>
    <cfRule type="colorScale" priority="1428">
      <colorScale>
        <cfvo type="min"/>
        <cfvo type="max"/>
        <color theme="0"/>
        <color theme="0"/>
      </colorScale>
    </cfRule>
  </conditionalFormatting>
  <conditionalFormatting sqref="BV104">
    <cfRule type="colorScale" priority="1369">
      <colorScale>
        <cfvo type="min"/>
        <cfvo type="max"/>
        <color theme="0"/>
        <color theme="0"/>
      </colorScale>
    </cfRule>
    <cfRule type="expression" priority="1370">
      <formula>#REF!</formula>
    </cfRule>
    <cfRule type="expression" dxfId="716" priority="1371">
      <formula>BU104&lt;0</formula>
    </cfRule>
  </conditionalFormatting>
  <conditionalFormatting sqref="BV105:BV106">
    <cfRule type="colorScale" priority="1431">
      <colorScale>
        <cfvo type="min"/>
        <cfvo type="max"/>
        <color theme="0"/>
        <color theme="0"/>
      </colorScale>
    </cfRule>
    <cfRule type="expression" dxfId="715" priority="1433">
      <formula>BU105&lt;0</formula>
    </cfRule>
    <cfRule type="expression" priority="1432">
      <formula>$F$19</formula>
    </cfRule>
  </conditionalFormatting>
  <conditionalFormatting sqref="BV110">
    <cfRule type="expression" dxfId="714" priority="1435">
      <formula>BU110&lt;0</formula>
    </cfRule>
    <cfRule type="colorScale" priority="1434">
      <colorScale>
        <cfvo type="min"/>
        <cfvo type="max"/>
        <color theme="0"/>
        <color theme="0"/>
      </colorScale>
    </cfRule>
  </conditionalFormatting>
  <conditionalFormatting sqref="BV110:BV111">
    <cfRule type="expression" priority="1314">
      <formula>$F$19</formula>
    </cfRule>
  </conditionalFormatting>
  <conditionalFormatting sqref="BV111">
    <cfRule type="expression" dxfId="713" priority="1315">
      <formula>BU111&lt;0</formula>
    </cfRule>
    <cfRule type="colorScale" priority="1313">
      <colorScale>
        <cfvo type="min"/>
        <cfvo type="max"/>
        <color theme="0"/>
        <color theme="0"/>
      </colorScale>
    </cfRule>
  </conditionalFormatting>
  <conditionalFormatting sqref="BV117:BV123">
    <cfRule type="expression" dxfId="712" priority="1441">
      <formula>BU117&lt;0</formula>
    </cfRule>
    <cfRule type="colorScale" priority="1439">
      <colorScale>
        <cfvo type="min"/>
        <cfvo type="max"/>
        <color theme="0"/>
        <color theme="0"/>
      </colorScale>
    </cfRule>
    <cfRule type="expression" priority="1440">
      <formula>$F$19</formula>
    </cfRule>
  </conditionalFormatting>
  <conditionalFormatting sqref="BV125">
    <cfRule type="expression" dxfId="711" priority="1368">
      <formula>BU125&lt;0</formula>
    </cfRule>
    <cfRule type="colorScale" priority="1366">
      <colorScale>
        <cfvo type="min"/>
        <cfvo type="max"/>
        <color theme="0"/>
        <color theme="0"/>
      </colorScale>
    </cfRule>
    <cfRule type="expression" priority="1367">
      <formula>#REF!</formula>
    </cfRule>
  </conditionalFormatting>
  <conditionalFormatting sqref="BV125:BV135">
    <cfRule type="expression" dxfId="710" priority="1365">
      <formula>IF(BV125="Validar","Rojo","Verde")</formula>
    </cfRule>
  </conditionalFormatting>
  <conditionalFormatting sqref="BV126:BV132">
    <cfRule type="expression" dxfId="709" priority="1444">
      <formula>BU126&lt;0</formula>
    </cfRule>
    <cfRule type="colorScale" priority="1442">
      <colorScale>
        <cfvo type="min"/>
        <cfvo type="max"/>
        <color theme="0"/>
        <color theme="0"/>
      </colorScale>
    </cfRule>
  </conditionalFormatting>
  <conditionalFormatting sqref="BV126:BV134">
    <cfRule type="expression" priority="1443">
      <formula>$F$19</formula>
    </cfRule>
  </conditionalFormatting>
  <conditionalFormatting sqref="BV133:BV134">
    <cfRule type="colorScale" priority="1445">
      <colorScale>
        <cfvo type="min"/>
        <cfvo type="max"/>
        <color theme="0"/>
        <color theme="0"/>
      </colorScale>
    </cfRule>
    <cfRule type="expression" dxfId="708" priority="1446">
      <formula>BU133&lt;0</formula>
    </cfRule>
  </conditionalFormatting>
  <conditionalFormatting sqref="BV135">
    <cfRule type="colorScale" priority="1436">
      <colorScale>
        <cfvo type="min"/>
        <cfvo type="max"/>
        <color theme="0"/>
        <color theme="0"/>
      </colorScale>
    </cfRule>
    <cfRule type="expression" priority="1437">
      <formula>$F$23</formula>
    </cfRule>
    <cfRule type="expression" dxfId="707" priority="1438">
      <formula>BU135&lt;0</formula>
    </cfRule>
  </conditionalFormatting>
  <conditionalFormatting sqref="BV110:BW111">
    <cfRule type="expression" dxfId="706" priority="1309">
      <formula>IF(BV110="Validar","Rojo","Verde")</formula>
    </cfRule>
  </conditionalFormatting>
  <conditionalFormatting sqref="BV117:BW123">
    <cfRule type="expression" dxfId="705" priority="1322">
      <formula>IF(BV117="Validar","Rojo","Verde")</formula>
    </cfRule>
  </conditionalFormatting>
  <conditionalFormatting sqref="BW40:BW66">
    <cfRule type="colorScale" priority="1357">
      <colorScale>
        <cfvo type="min"/>
        <cfvo type="max"/>
        <color theme="0"/>
        <color theme="0"/>
      </colorScale>
    </cfRule>
    <cfRule type="expression" priority="1358">
      <formula>#REF!</formula>
    </cfRule>
    <cfRule type="expression" dxfId="704" priority="1359">
      <formula>BV40&lt;0</formula>
    </cfRule>
  </conditionalFormatting>
  <conditionalFormatting sqref="BW40:BW67">
    <cfRule type="expression" dxfId="703" priority="1356">
      <formula>IF(BW40="Validar","Rojo","Verde")</formula>
    </cfRule>
  </conditionalFormatting>
  <conditionalFormatting sqref="BW67 BV82:BW82 BV92:BW92 BV103:BW103 BV107:BW107">
    <cfRule type="expression" priority="1361">
      <formula>$F$23</formula>
    </cfRule>
  </conditionalFormatting>
  <conditionalFormatting sqref="BW67 BW82 BW92 BW103 BW107">
    <cfRule type="expression" dxfId="702" priority="1362">
      <formula>BV67&lt;0</formula>
    </cfRule>
    <cfRule type="colorScale" priority="1360">
      <colorScale>
        <cfvo type="min"/>
        <cfvo type="max"/>
        <color theme="0"/>
        <color theme="0"/>
      </colorScale>
    </cfRule>
  </conditionalFormatting>
  <conditionalFormatting sqref="BW69">
    <cfRule type="colorScale" priority="1354">
      <colorScale>
        <cfvo type="min"/>
        <cfvo type="max"/>
        <color theme="0"/>
        <color theme="0"/>
      </colorScale>
    </cfRule>
    <cfRule type="expression" dxfId="701" priority="1355">
      <formula>BV69&lt;0</formula>
    </cfRule>
  </conditionalFormatting>
  <conditionalFormatting sqref="BW69:BW81">
    <cfRule type="expression" priority="1352">
      <formula>#REF!</formula>
    </cfRule>
  </conditionalFormatting>
  <conditionalFormatting sqref="BW69:BW82">
    <cfRule type="expression" dxfId="700" priority="1350">
      <formula>IF(BW69="Validar","Rojo","Verde")</formula>
    </cfRule>
  </conditionalFormatting>
  <conditionalFormatting sqref="BW70:BW78">
    <cfRule type="expression" dxfId="699" priority="1353">
      <formula>BV70&lt;0</formula>
    </cfRule>
    <cfRule type="colorScale" priority="1351">
      <colorScale>
        <cfvo type="min"/>
        <cfvo type="max"/>
        <color theme="0"/>
        <color theme="0"/>
      </colorScale>
    </cfRule>
  </conditionalFormatting>
  <conditionalFormatting sqref="BW79:BW81">
    <cfRule type="expression" dxfId="698" priority="1364">
      <formula>BV79&lt;0</formula>
    </cfRule>
    <cfRule type="colorScale" priority="1363">
      <colorScale>
        <cfvo type="min"/>
        <cfvo type="max"/>
        <color theme="0"/>
        <color theme="0"/>
      </colorScale>
    </cfRule>
  </conditionalFormatting>
  <conditionalFormatting sqref="BW84">
    <cfRule type="expression" dxfId="697" priority="1349">
      <formula>BV84&lt;0</formula>
    </cfRule>
    <cfRule type="colorScale" priority="1348">
      <colorScale>
        <cfvo type="min"/>
        <cfvo type="max"/>
        <color theme="0"/>
        <color theme="0"/>
      </colorScale>
    </cfRule>
  </conditionalFormatting>
  <conditionalFormatting sqref="BW84:BW91">
    <cfRule type="expression" priority="1346">
      <formula>#REF!</formula>
    </cfRule>
  </conditionalFormatting>
  <conditionalFormatting sqref="BW84:BW92">
    <cfRule type="expression" dxfId="696" priority="1344">
      <formula>IF(BW84="Validar","Rojo","Verde")</formula>
    </cfRule>
  </conditionalFormatting>
  <conditionalFormatting sqref="BW85:BW91">
    <cfRule type="expression" dxfId="695" priority="1347">
      <formula>BV85&lt;0</formula>
    </cfRule>
    <cfRule type="colorScale" priority="1345">
      <colorScale>
        <cfvo type="min"/>
        <cfvo type="max"/>
        <color theme="0"/>
        <color theme="0"/>
      </colorScale>
    </cfRule>
  </conditionalFormatting>
  <conditionalFormatting sqref="BW94">
    <cfRule type="expression" dxfId="694" priority="1343">
      <formula>BV94&lt;0</formula>
    </cfRule>
    <cfRule type="colorScale" priority="1342">
      <colorScale>
        <cfvo type="min"/>
        <cfvo type="max"/>
        <color theme="0"/>
        <color theme="0"/>
      </colorScale>
    </cfRule>
  </conditionalFormatting>
  <conditionalFormatting sqref="BW94:BW102">
    <cfRule type="expression" priority="1336">
      <formula>#REF!</formula>
    </cfRule>
  </conditionalFormatting>
  <conditionalFormatting sqref="BW94:BW103">
    <cfRule type="expression" dxfId="693" priority="1334">
      <formula>IF(BW94="Validar","Rojo","Verde")</formula>
    </cfRule>
  </conditionalFormatting>
  <conditionalFormatting sqref="BW95:BW100">
    <cfRule type="expression" dxfId="692" priority="1341">
      <formula>BV95&lt;0</formula>
    </cfRule>
    <cfRule type="colorScale" priority="1340">
      <colorScale>
        <cfvo type="min"/>
        <cfvo type="max"/>
        <color theme="0"/>
        <color theme="0"/>
      </colorScale>
    </cfRule>
  </conditionalFormatting>
  <conditionalFormatting sqref="BW101">
    <cfRule type="expression" dxfId="691" priority="1339">
      <formula>BV101&lt;0</formula>
    </cfRule>
    <cfRule type="colorScale" priority="1338">
      <colorScale>
        <cfvo type="min"/>
        <cfvo type="max"/>
        <color theme="0"/>
        <color theme="0"/>
      </colorScale>
    </cfRule>
  </conditionalFormatting>
  <conditionalFormatting sqref="BW102">
    <cfRule type="expression" dxfId="690" priority="1337">
      <formula>BV102&lt;0</formula>
    </cfRule>
    <cfRule type="colorScale" priority="1335">
      <colorScale>
        <cfvo type="min"/>
        <cfvo type="max"/>
        <color theme="0"/>
        <color theme="0"/>
      </colorScale>
    </cfRule>
  </conditionalFormatting>
  <conditionalFormatting sqref="BW105">
    <cfRule type="expression" dxfId="689" priority="1333">
      <formula>BV105&lt;0</formula>
    </cfRule>
    <cfRule type="colorScale" priority="1332">
      <colorScale>
        <cfvo type="min"/>
        <cfvo type="max"/>
        <color theme="0"/>
        <color theme="0"/>
      </colorScale>
    </cfRule>
  </conditionalFormatting>
  <conditionalFormatting sqref="BW105:BW106">
    <cfRule type="expression" priority="1330">
      <formula>#REF!</formula>
    </cfRule>
  </conditionalFormatting>
  <conditionalFormatting sqref="BW105:BW107">
    <cfRule type="expression" dxfId="688" priority="1328">
      <formula>IF(BW105="Validar","Rojo","Verde")</formula>
    </cfRule>
  </conditionalFormatting>
  <conditionalFormatting sqref="BW106">
    <cfRule type="expression" dxfId="687" priority="1331">
      <formula>BV106&lt;0</formula>
    </cfRule>
    <cfRule type="colorScale" priority="1329">
      <colorScale>
        <cfvo type="min"/>
        <cfvo type="max"/>
        <color theme="0"/>
        <color theme="0"/>
      </colorScale>
    </cfRule>
  </conditionalFormatting>
  <conditionalFormatting sqref="BW110">
    <cfRule type="expression" dxfId="686" priority="1321">
      <formula>BV110&lt;0</formula>
    </cfRule>
    <cfRule type="colorScale" priority="1320">
      <colorScale>
        <cfvo type="min"/>
        <cfvo type="max"/>
        <color theme="0"/>
        <color theme="0"/>
      </colorScale>
    </cfRule>
  </conditionalFormatting>
  <conditionalFormatting sqref="BW110:BW111">
    <cfRule type="expression" priority="1311">
      <formula>#REF!</formula>
    </cfRule>
  </conditionalFormatting>
  <conditionalFormatting sqref="BW111">
    <cfRule type="colorScale" priority="1310">
      <colorScale>
        <cfvo type="min"/>
        <cfvo type="max"/>
        <color theme="0"/>
        <color theme="0"/>
      </colorScale>
    </cfRule>
    <cfRule type="expression" dxfId="685" priority="1312">
      <formula>BV111&lt;0</formula>
    </cfRule>
  </conditionalFormatting>
  <conditionalFormatting sqref="BW117">
    <cfRule type="expression" dxfId="684" priority="1327">
      <formula>BV117&lt;0</formula>
    </cfRule>
    <cfRule type="colorScale" priority="1326">
      <colorScale>
        <cfvo type="min"/>
        <cfvo type="max"/>
        <color theme="0"/>
        <color theme="0"/>
      </colorScale>
    </cfRule>
  </conditionalFormatting>
  <conditionalFormatting sqref="BW117:BW123">
    <cfRule type="expression" priority="1324">
      <formula>#REF!</formula>
    </cfRule>
  </conditionalFormatting>
  <conditionalFormatting sqref="BW118:BW123">
    <cfRule type="expression" dxfId="683" priority="1325">
      <formula>BV118&lt;0</formula>
    </cfRule>
    <cfRule type="colorScale" priority="1323">
      <colorScale>
        <cfvo type="min"/>
        <cfvo type="max"/>
        <color theme="0"/>
        <color theme="0"/>
      </colorScale>
    </cfRule>
  </conditionalFormatting>
  <conditionalFormatting sqref="BW126:BW135">
    <cfRule type="expression" priority="1449">
      <formula>$F$23</formula>
    </cfRule>
    <cfRule type="colorScale" priority="1448">
      <colorScale>
        <cfvo type="min"/>
        <cfvo type="max"/>
        <color theme="0"/>
        <color theme="0"/>
      </colorScale>
    </cfRule>
    <cfRule type="expression" dxfId="682" priority="1447">
      <formula>IF(BW126="Validar","Rojo","Verde")</formula>
    </cfRule>
    <cfRule type="expression" dxfId="681" priority="1450">
      <formula>BV126&lt;0</formula>
    </cfRule>
  </conditionalFormatting>
  <conditionalFormatting sqref="BY5 BY9">
    <cfRule type="expression" dxfId="680" priority="73">
      <formula>BX5&lt;0</formula>
    </cfRule>
  </conditionalFormatting>
  <conditionalFormatting sqref="BY5:BY20">
    <cfRule type="expression" priority="2">
      <formula>#REF!</formula>
    </cfRule>
    <cfRule type="expression" dxfId="679" priority="1">
      <formula>IF(BY5="Validar","Rojo","Verde")</formula>
    </cfRule>
  </conditionalFormatting>
  <conditionalFormatting sqref="BY6">
    <cfRule type="expression" dxfId="678" priority="8">
      <formula>BX6&lt;0</formula>
    </cfRule>
    <cfRule type="colorScale" priority="7">
      <colorScale>
        <cfvo type="min"/>
        <cfvo type="max"/>
        <color theme="0"/>
        <color theme="0"/>
      </colorScale>
    </cfRule>
  </conditionalFormatting>
  <conditionalFormatting sqref="BY7:BY8">
    <cfRule type="expression" dxfId="677" priority="4">
      <formula>BX7&lt;0</formula>
    </cfRule>
    <cfRule type="colorScale" priority="3">
      <colorScale>
        <cfvo type="min"/>
        <cfvo type="max"/>
        <color theme="0"/>
        <color theme="0"/>
      </colorScale>
    </cfRule>
  </conditionalFormatting>
  <conditionalFormatting sqref="BY9 BY5">
    <cfRule type="colorScale" priority="72">
      <colorScale>
        <cfvo type="min"/>
        <cfvo type="max"/>
        <color theme="0"/>
        <color theme="0"/>
      </colorScale>
    </cfRule>
  </conditionalFormatting>
  <conditionalFormatting sqref="BY10">
    <cfRule type="expression" dxfId="676" priority="50">
      <formula>BX10&lt;0</formula>
    </cfRule>
    <cfRule type="colorScale" priority="49">
      <colorScale>
        <cfvo type="min"/>
        <cfvo type="max"/>
        <color theme="0"/>
        <color theme="0"/>
      </colorScale>
    </cfRule>
  </conditionalFormatting>
  <conditionalFormatting sqref="BY11:BY14">
    <cfRule type="expression" dxfId="675" priority="71">
      <formula>BX11&lt;0</formula>
    </cfRule>
    <cfRule type="colorScale" priority="70">
      <colorScale>
        <cfvo type="min"/>
        <cfvo type="max"/>
        <color theme="0"/>
        <color theme="0"/>
      </colorScale>
    </cfRule>
  </conditionalFormatting>
  <conditionalFormatting sqref="BY15">
    <cfRule type="expression" dxfId="674" priority="48">
      <formula>BX15&lt;0</formula>
    </cfRule>
    <cfRule type="colorScale" priority="47">
      <colorScale>
        <cfvo type="min"/>
        <cfvo type="max"/>
        <color theme="0"/>
        <color theme="0"/>
      </colorScale>
    </cfRule>
  </conditionalFormatting>
  <conditionalFormatting sqref="BY16:BY17">
    <cfRule type="expression" dxfId="673" priority="69">
      <formula>BX16&lt;0</formula>
    </cfRule>
    <cfRule type="colorScale" priority="68">
      <colorScale>
        <cfvo type="min"/>
        <cfvo type="max"/>
        <color theme="0"/>
        <color theme="0"/>
      </colorScale>
    </cfRule>
  </conditionalFormatting>
  <conditionalFormatting sqref="BY18">
    <cfRule type="expression" dxfId="672" priority="46">
      <formula>BX18&lt;0</formula>
    </cfRule>
    <cfRule type="colorScale" priority="44">
      <colorScale>
        <cfvo type="min"/>
        <cfvo type="max"/>
        <color theme="0"/>
        <color theme="0"/>
      </colorScale>
    </cfRule>
  </conditionalFormatting>
  <conditionalFormatting sqref="BY19:BY20">
    <cfRule type="expression" dxfId="671" priority="67">
      <formula>BX19&lt;0</formula>
    </cfRule>
    <cfRule type="colorScale" priority="66">
      <colorScale>
        <cfvo type="min"/>
        <cfvo type="max"/>
        <color theme="0"/>
        <color theme="0"/>
      </colorScale>
    </cfRule>
  </conditionalFormatting>
  <conditionalFormatting sqref="BY23">
    <cfRule type="colorScale" priority="41">
      <colorScale>
        <cfvo type="min"/>
        <cfvo type="max"/>
        <color theme="0"/>
        <color theme="0"/>
      </colorScale>
    </cfRule>
    <cfRule type="expression" dxfId="670" priority="42">
      <formula>BX23&lt;0</formula>
    </cfRule>
  </conditionalFormatting>
  <conditionalFormatting sqref="BY23:BY31">
    <cfRule type="expression" priority="37">
      <formula>#REF!</formula>
    </cfRule>
    <cfRule type="expression" dxfId="669" priority="35">
      <formula>IF(BY23="Validar","Rojo","Verde")</formula>
    </cfRule>
  </conditionalFormatting>
  <conditionalFormatting sqref="BY24">
    <cfRule type="expression" dxfId="668" priority="65">
      <formula>BX24&lt;0</formula>
    </cfRule>
    <cfRule type="colorScale" priority="64">
      <colorScale>
        <cfvo type="min"/>
        <cfvo type="max"/>
        <color theme="0"/>
        <color theme="0"/>
      </colorScale>
    </cfRule>
  </conditionalFormatting>
  <conditionalFormatting sqref="BY25">
    <cfRule type="expression" dxfId="667" priority="63">
      <formula>BX25&lt;0</formula>
    </cfRule>
    <cfRule type="colorScale" priority="62">
      <colorScale>
        <cfvo type="min"/>
        <cfvo type="max"/>
        <color theme="0"/>
        <color theme="0"/>
      </colorScale>
    </cfRule>
  </conditionalFormatting>
  <conditionalFormatting sqref="BY26">
    <cfRule type="colorScale" priority="39">
      <colorScale>
        <cfvo type="min"/>
        <cfvo type="max"/>
        <color theme="0"/>
        <color theme="0"/>
      </colorScale>
    </cfRule>
    <cfRule type="expression" dxfId="666" priority="40">
      <formula>BX26&lt;0</formula>
    </cfRule>
  </conditionalFormatting>
  <conditionalFormatting sqref="BY27">
    <cfRule type="colorScale" priority="60">
      <colorScale>
        <cfvo type="min"/>
        <cfvo type="max"/>
        <color theme="0"/>
        <color theme="0"/>
      </colorScale>
    </cfRule>
    <cfRule type="expression" dxfId="665" priority="61">
      <formula>BX27&lt;0</formula>
    </cfRule>
  </conditionalFormatting>
  <conditionalFormatting sqref="BY28">
    <cfRule type="expression" dxfId="664" priority="59">
      <formula>BX28&lt;0</formula>
    </cfRule>
    <cfRule type="colorScale" priority="58">
      <colorScale>
        <cfvo type="min"/>
        <cfvo type="max"/>
        <color theme="0"/>
        <color theme="0"/>
      </colorScale>
    </cfRule>
  </conditionalFormatting>
  <conditionalFormatting sqref="BY29">
    <cfRule type="expression" dxfId="663" priority="38">
      <formula>BX29&lt;0</formula>
    </cfRule>
    <cfRule type="colorScale" priority="36">
      <colorScale>
        <cfvo type="min"/>
        <cfvo type="max"/>
        <color theme="0"/>
        <color theme="0"/>
      </colorScale>
    </cfRule>
  </conditionalFormatting>
  <conditionalFormatting sqref="BY30">
    <cfRule type="colorScale" priority="56">
      <colorScale>
        <cfvo type="min"/>
        <cfvo type="max"/>
        <color theme="0"/>
        <color theme="0"/>
      </colorScale>
    </cfRule>
    <cfRule type="expression" dxfId="662" priority="57">
      <formula>BX30&lt;0</formula>
    </cfRule>
  </conditionalFormatting>
  <conditionalFormatting sqref="BY31">
    <cfRule type="expression" dxfId="661" priority="55">
      <formula>BX31&lt;0</formula>
    </cfRule>
    <cfRule type="colorScale" priority="54">
      <colorScale>
        <cfvo type="min"/>
        <cfvo type="max"/>
        <color theme="0"/>
        <color theme="0"/>
      </colorScale>
    </cfRule>
  </conditionalFormatting>
  <conditionalFormatting sqref="BY39">
    <cfRule type="expression" priority="33">
      <formula>#REF!</formula>
    </cfRule>
    <cfRule type="expression" dxfId="660" priority="34">
      <formula>BX39&lt;0</formula>
    </cfRule>
    <cfRule type="colorScale" priority="32">
      <colorScale>
        <cfvo type="min"/>
        <cfvo type="max"/>
        <color theme="0"/>
        <color theme="0"/>
      </colorScale>
    </cfRule>
  </conditionalFormatting>
  <conditionalFormatting sqref="BY39:BY107">
    <cfRule type="expression" dxfId="659" priority="13">
      <formula>IF(BY39="Validar","Rojo","Verde")</formula>
    </cfRule>
  </conditionalFormatting>
  <conditionalFormatting sqref="BY40:BY67">
    <cfRule type="expression" dxfId="658" priority="53">
      <formula>BX40&lt;0</formula>
    </cfRule>
    <cfRule type="expression" priority="52">
      <formula>$F$19</formula>
    </cfRule>
    <cfRule type="colorScale" priority="51">
      <colorScale>
        <cfvo type="min"/>
        <cfvo type="max"/>
        <color theme="0"/>
        <color theme="0"/>
      </colorScale>
    </cfRule>
  </conditionalFormatting>
  <conditionalFormatting sqref="BY68">
    <cfRule type="colorScale" priority="29">
      <colorScale>
        <cfvo type="min"/>
        <cfvo type="max"/>
        <color theme="0"/>
        <color theme="0"/>
      </colorScale>
    </cfRule>
    <cfRule type="expression" priority="30">
      <formula>#REF!</formula>
    </cfRule>
    <cfRule type="expression" dxfId="657" priority="31">
      <formula>BX68&lt;0</formula>
    </cfRule>
  </conditionalFormatting>
  <conditionalFormatting sqref="BY69:BY81">
    <cfRule type="expression" priority="77">
      <formula>$F$19</formula>
    </cfRule>
    <cfRule type="colorScale" priority="76">
      <colorScale>
        <cfvo type="min"/>
        <cfvo type="max"/>
        <color theme="0"/>
        <color theme="0"/>
      </colorScale>
    </cfRule>
    <cfRule type="expression" dxfId="656" priority="78">
      <formula>BX69&lt;0</formula>
    </cfRule>
  </conditionalFormatting>
  <conditionalFormatting sqref="BY82 BY92 BY103 BY107">
    <cfRule type="expression" priority="18">
      <formula>$F$23</formula>
    </cfRule>
    <cfRule type="expression" dxfId="655" priority="75">
      <formula>BX82&lt;0</formula>
    </cfRule>
  </conditionalFormatting>
  <conditionalFormatting sqref="BY83">
    <cfRule type="colorScale" priority="14">
      <colorScale>
        <cfvo type="min"/>
        <cfvo type="max"/>
        <color theme="0"/>
        <color theme="0"/>
      </colorScale>
    </cfRule>
    <cfRule type="expression" priority="15">
      <formula>#REF!</formula>
    </cfRule>
    <cfRule type="expression" dxfId="654" priority="16">
      <formula>BX83&lt;0</formula>
    </cfRule>
  </conditionalFormatting>
  <conditionalFormatting sqref="BY84:BY91">
    <cfRule type="expression" priority="80">
      <formula>$F$19</formula>
    </cfRule>
    <cfRule type="colorScale" priority="79">
      <colorScale>
        <cfvo type="min"/>
        <cfvo type="max"/>
        <color theme="0"/>
        <color theme="0"/>
      </colorScale>
    </cfRule>
    <cfRule type="expression" dxfId="653" priority="81">
      <formula>BX84&lt;0</formula>
    </cfRule>
  </conditionalFormatting>
  <conditionalFormatting sqref="BY92 BY82 BY103 BY107">
    <cfRule type="colorScale" priority="74">
      <colorScale>
        <cfvo type="min"/>
        <cfvo type="max"/>
        <color theme="0"/>
        <color theme="0"/>
      </colorScale>
    </cfRule>
  </conditionalFormatting>
  <conditionalFormatting sqref="BY93">
    <cfRule type="expression" dxfId="652" priority="28">
      <formula>BX93&lt;0</formula>
    </cfRule>
    <cfRule type="colorScale" priority="26">
      <colorScale>
        <cfvo type="min"/>
        <cfvo type="max"/>
        <color theme="0"/>
        <color theme="0"/>
      </colorScale>
    </cfRule>
    <cfRule type="expression" priority="27">
      <formula>#REF!</formula>
    </cfRule>
  </conditionalFormatting>
  <conditionalFormatting sqref="BY94:BY102">
    <cfRule type="colorScale" priority="82">
      <colorScale>
        <cfvo type="min"/>
        <cfvo type="max"/>
        <color theme="0"/>
        <color theme="0"/>
      </colorScale>
    </cfRule>
    <cfRule type="expression" priority="83">
      <formula>$F$19</formula>
    </cfRule>
    <cfRule type="expression" dxfId="651" priority="84">
      <formula>BX94&lt;0</formula>
    </cfRule>
  </conditionalFormatting>
  <conditionalFormatting sqref="BY104">
    <cfRule type="colorScale" priority="23">
      <colorScale>
        <cfvo type="min"/>
        <cfvo type="max"/>
        <color theme="0"/>
        <color theme="0"/>
      </colorScale>
    </cfRule>
    <cfRule type="expression" priority="24">
      <formula>#REF!</formula>
    </cfRule>
    <cfRule type="expression" dxfId="650" priority="25">
      <formula>BX104&lt;0</formula>
    </cfRule>
  </conditionalFormatting>
  <conditionalFormatting sqref="BY105:BY106">
    <cfRule type="colorScale" priority="85">
      <colorScale>
        <cfvo type="min"/>
        <cfvo type="max"/>
        <color theme="0"/>
        <color theme="0"/>
      </colorScale>
    </cfRule>
    <cfRule type="expression" dxfId="649" priority="87">
      <formula>BX105&lt;0</formula>
    </cfRule>
    <cfRule type="expression" priority="86">
      <formula>$F$19</formula>
    </cfRule>
  </conditionalFormatting>
  <conditionalFormatting sqref="BY110">
    <cfRule type="colorScale" priority="88">
      <colorScale>
        <cfvo type="min"/>
        <cfvo type="max"/>
        <color theme="0"/>
        <color theme="0"/>
      </colorScale>
    </cfRule>
    <cfRule type="expression" dxfId="648" priority="89">
      <formula>BX110&lt;0</formula>
    </cfRule>
  </conditionalFormatting>
  <conditionalFormatting sqref="BY110:BY111">
    <cfRule type="expression" priority="11">
      <formula>$F$19</formula>
    </cfRule>
  </conditionalFormatting>
  <conditionalFormatting sqref="BY111">
    <cfRule type="colorScale" priority="10">
      <colorScale>
        <cfvo type="min"/>
        <cfvo type="max"/>
        <color theme="0"/>
        <color theme="0"/>
      </colorScale>
    </cfRule>
    <cfRule type="expression" dxfId="647" priority="12">
      <formula>BX111&lt;0</formula>
    </cfRule>
  </conditionalFormatting>
  <conditionalFormatting sqref="BY117:BY123">
    <cfRule type="expression" dxfId="646" priority="95">
      <formula>BX117&lt;0</formula>
    </cfRule>
    <cfRule type="expression" priority="94">
      <formula>$F$19</formula>
    </cfRule>
    <cfRule type="colorScale" priority="93">
      <colorScale>
        <cfvo type="min"/>
        <cfvo type="max"/>
        <color theme="0"/>
        <color theme="0"/>
      </colorScale>
    </cfRule>
  </conditionalFormatting>
  <conditionalFormatting sqref="BY125">
    <cfRule type="colorScale" priority="20">
      <colorScale>
        <cfvo type="min"/>
        <cfvo type="max"/>
        <color theme="0"/>
        <color theme="0"/>
      </colorScale>
    </cfRule>
    <cfRule type="expression" priority="21">
      <formula>#REF!</formula>
    </cfRule>
    <cfRule type="expression" dxfId="645" priority="22">
      <formula>BX125&lt;0</formula>
    </cfRule>
  </conditionalFormatting>
  <conditionalFormatting sqref="BY125:BY135">
    <cfRule type="expression" dxfId="644" priority="19">
      <formula>IF(BY125="Validar","Rojo","Verde")</formula>
    </cfRule>
  </conditionalFormatting>
  <conditionalFormatting sqref="BY126:BY132">
    <cfRule type="colorScale" priority="96">
      <colorScale>
        <cfvo type="min"/>
        <cfvo type="max"/>
        <color theme="0"/>
        <color theme="0"/>
      </colorScale>
    </cfRule>
    <cfRule type="expression" dxfId="643" priority="98">
      <formula>BX126&lt;0</formula>
    </cfRule>
  </conditionalFormatting>
  <conditionalFormatting sqref="BY126:BY134">
    <cfRule type="expression" priority="97">
      <formula>$F$19</formula>
    </cfRule>
  </conditionalFormatting>
  <conditionalFormatting sqref="BY133:BY134">
    <cfRule type="expression" dxfId="642" priority="100">
      <formula>BX133&lt;0</formula>
    </cfRule>
    <cfRule type="colorScale" priority="99">
      <colorScale>
        <cfvo type="min"/>
        <cfvo type="max"/>
        <color theme="0"/>
        <color theme="0"/>
      </colorScale>
    </cfRule>
  </conditionalFormatting>
  <conditionalFormatting sqref="BY135">
    <cfRule type="expression" priority="91">
      <formula>$F$23</formula>
    </cfRule>
    <cfRule type="expression" dxfId="641" priority="92">
      <formula>BX135&lt;0</formula>
    </cfRule>
    <cfRule type="colorScale" priority="90">
      <colorScale>
        <cfvo type="min"/>
        <cfvo type="max"/>
        <color theme="0"/>
        <color theme="0"/>
      </colorScale>
    </cfRule>
  </conditionalFormatting>
  <conditionalFormatting sqref="BY110:BZ111">
    <cfRule type="expression" dxfId="640" priority="9">
      <formula>IF(BY110="Validar","Rojo","Verde")</formula>
    </cfRule>
  </conditionalFormatting>
  <conditionalFormatting sqref="BY117:BZ123">
    <cfRule type="expression" dxfId="639" priority="17">
      <formula>IF(BY117="Validar","Rojo","Verde")</formula>
    </cfRule>
  </conditionalFormatting>
  <conditionalFormatting sqref="BZ5">
    <cfRule type="colorScale" priority="4903">
      <colorScale>
        <cfvo type="min"/>
        <cfvo type="max"/>
        <color theme="0"/>
        <color theme="0"/>
      </colorScale>
    </cfRule>
    <cfRule type="expression" dxfId="638" priority="4904">
      <formula>BY5&lt;0</formula>
    </cfRule>
  </conditionalFormatting>
  <conditionalFormatting sqref="BZ5:BZ16">
    <cfRule type="expression" dxfId="637" priority="4875">
      <formula>IF(BZ5="Validar","Rojo","Verde")</formula>
    </cfRule>
    <cfRule type="expression" priority="4877">
      <formula>#REF!</formula>
    </cfRule>
  </conditionalFormatting>
  <conditionalFormatting sqref="BZ6:BZ9">
    <cfRule type="expression" dxfId="636" priority="4912">
      <formula>BY6&lt;0</formula>
    </cfRule>
    <cfRule type="colorScale" priority="4911">
      <colorScale>
        <cfvo type="min"/>
        <cfvo type="max"/>
        <color theme="0"/>
        <color theme="0"/>
      </colorScale>
    </cfRule>
  </conditionalFormatting>
  <conditionalFormatting sqref="BZ10">
    <cfRule type="colorScale" priority="4879">
      <colorScale>
        <cfvo type="min"/>
        <cfvo type="max"/>
        <color theme="0"/>
        <color theme="0"/>
      </colorScale>
    </cfRule>
    <cfRule type="expression" dxfId="635" priority="4880">
      <formula>BY10&lt;0</formula>
    </cfRule>
  </conditionalFormatting>
  <conditionalFormatting sqref="BZ11:BZ14">
    <cfRule type="expression" dxfId="634" priority="4910">
      <formula>BY11&lt;0</formula>
    </cfRule>
    <cfRule type="colorScale" priority="4909">
      <colorScale>
        <cfvo type="min"/>
        <cfvo type="max"/>
        <color theme="0"/>
        <color theme="0"/>
      </colorScale>
    </cfRule>
  </conditionalFormatting>
  <conditionalFormatting sqref="BZ15">
    <cfRule type="expression" dxfId="633" priority="4878">
      <formula>BY15&lt;0</formula>
    </cfRule>
    <cfRule type="colorScale" priority="4876">
      <colorScale>
        <cfvo type="min"/>
        <cfvo type="max"/>
        <color theme="0"/>
        <color theme="0"/>
      </colorScale>
    </cfRule>
  </conditionalFormatting>
  <conditionalFormatting sqref="BZ16">
    <cfRule type="expression" dxfId="632" priority="4908">
      <formula>BY16&lt;0</formula>
    </cfRule>
    <cfRule type="colorScale" priority="4907">
      <colorScale>
        <cfvo type="min"/>
        <cfvo type="max"/>
        <color theme="0"/>
        <color theme="0"/>
      </colorScale>
    </cfRule>
  </conditionalFormatting>
  <conditionalFormatting sqref="BZ18">
    <cfRule type="colorScale" priority="4872">
      <colorScale>
        <cfvo type="min"/>
        <cfvo type="max"/>
        <color theme="0"/>
        <color theme="0"/>
      </colorScale>
    </cfRule>
    <cfRule type="expression" dxfId="631" priority="4874">
      <formula>BY18&lt;0</formula>
    </cfRule>
  </conditionalFormatting>
  <conditionalFormatting sqref="BZ18:BZ19">
    <cfRule type="expression" dxfId="630" priority="4871">
      <formula>IF(BZ18="Validar","Rojo","Verde")</formula>
    </cfRule>
    <cfRule type="expression" priority="4873">
      <formula>#REF!</formula>
    </cfRule>
  </conditionalFormatting>
  <conditionalFormatting sqref="BZ19">
    <cfRule type="colorScale" priority="4905">
      <colorScale>
        <cfvo type="min"/>
        <cfvo type="max"/>
        <color theme="0"/>
        <color theme="0"/>
      </colorScale>
    </cfRule>
    <cfRule type="expression" dxfId="629" priority="4906">
      <formula>BY19&lt;0</formula>
    </cfRule>
  </conditionalFormatting>
  <conditionalFormatting sqref="BZ23">
    <cfRule type="colorScale" priority="4868">
      <colorScale>
        <cfvo type="min"/>
        <cfvo type="max"/>
        <color theme="0"/>
        <color theme="0"/>
      </colorScale>
    </cfRule>
    <cfRule type="expression" dxfId="628" priority="4870">
      <formula>BY23&lt;0</formula>
    </cfRule>
  </conditionalFormatting>
  <conditionalFormatting sqref="BZ23:BZ24">
    <cfRule type="expression" priority="4869">
      <formula>#REF!</formula>
    </cfRule>
    <cfRule type="expression" dxfId="627" priority="4867">
      <formula>IF(BZ23="Validar","Rojo","Verde")</formula>
    </cfRule>
  </conditionalFormatting>
  <conditionalFormatting sqref="BZ24">
    <cfRule type="expression" dxfId="626" priority="4902">
      <formula>BY24&lt;0</formula>
    </cfRule>
    <cfRule type="colorScale" priority="4901">
      <colorScale>
        <cfvo type="min"/>
        <cfvo type="max"/>
        <color theme="0"/>
        <color theme="0"/>
      </colorScale>
    </cfRule>
  </conditionalFormatting>
  <conditionalFormatting sqref="BZ26">
    <cfRule type="expression" dxfId="625" priority="4866">
      <formula>BY26&lt;0</formula>
    </cfRule>
    <cfRule type="colorScale" priority="4864">
      <colorScale>
        <cfvo type="min"/>
        <cfvo type="max"/>
        <color theme="0"/>
        <color theme="0"/>
      </colorScale>
    </cfRule>
  </conditionalFormatting>
  <conditionalFormatting sqref="BZ26:BZ27">
    <cfRule type="expression" priority="4865">
      <formula>#REF!</formula>
    </cfRule>
    <cfRule type="expression" dxfId="624" priority="4863">
      <formula>IF(BZ26="Validar","Rojo","Verde")</formula>
    </cfRule>
  </conditionalFormatting>
  <conditionalFormatting sqref="BZ27">
    <cfRule type="colorScale" priority="4899">
      <colorScale>
        <cfvo type="min"/>
        <cfvo type="max"/>
        <color theme="0"/>
        <color theme="0"/>
      </colorScale>
    </cfRule>
    <cfRule type="expression" dxfId="623" priority="4900">
      <formula>BY27&lt;0</formula>
    </cfRule>
  </conditionalFormatting>
  <conditionalFormatting sqref="BZ29">
    <cfRule type="expression" dxfId="622" priority="4862">
      <formula>BY29&lt;0</formula>
    </cfRule>
    <cfRule type="colorScale" priority="4860">
      <colorScale>
        <cfvo type="min"/>
        <cfvo type="max"/>
        <color theme="0"/>
        <color theme="0"/>
      </colorScale>
    </cfRule>
  </conditionalFormatting>
  <conditionalFormatting sqref="BZ29:BZ30">
    <cfRule type="expression" dxfId="621" priority="4859">
      <formula>IF(BZ29="Validar","Rojo","Verde")</formula>
    </cfRule>
    <cfRule type="expression" priority="4861">
      <formula>#REF!</formula>
    </cfRule>
  </conditionalFormatting>
  <conditionalFormatting sqref="BZ30">
    <cfRule type="expression" dxfId="620" priority="4898">
      <formula>BY30&lt;0</formula>
    </cfRule>
    <cfRule type="colorScale" priority="4897">
      <colorScale>
        <cfvo type="min"/>
        <cfvo type="max"/>
        <color theme="0"/>
        <color theme="0"/>
      </colorScale>
    </cfRule>
  </conditionalFormatting>
  <conditionalFormatting sqref="BZ39">
    <cfRule type="colorScale" priority="4856">
      <colorScale>
        <cfvo type="min"/>
        <cfvo type="max"/>
        <color theme="0"/>
        <color theme="0"/>
      </colorScale>
    </cfRule>
    <cfRule type="expression" dxfId="619" priority="4858">
      <formula>BY39&lt;0</formula>
    </cfRule>
  </conditionalFormatting>
  <conditionalFormatting sqref="BZ39:BZ66">
    <cfRule type="expression" priority="4857">
      <formula>#REF!</formula>
    </cfRule>
    <cfRule type="expression" dxfId="618" priority="4855">
      <formula>IF(BZ39="Validar","Rojo","Verde")</formula>
    </cfRule>
  </conditionalFormatting>
  <conditionalFormatting sqref="BZ40:BZ66">
    <cfRule type="expression" dxfId="617" priority="4896">
      <formula>BY40&lt;0</formula>
    </cfRule>
    <cfRule type="colorScale" priority="4895">
      <colorScale>
        <cfvo type="min"/>
        <cfvo type="max"/>
        <color theme="0"/>
        <color theme="0"/>
      </colorScale>
    </cfRule>
  </conditionalFormatting>
  <conditionalFormatting sqref="BZ68">
    <cfRule type="colorScale" priority="4852">
      <colorScale>
        <cfvo type="min"/>
        <cfvo type="max"/>
        <color theme="0"/>
        <color theme="0"/>
      </colorScale>
    </cfRule>
    <cfRule type="expression" dxfId="616" priority="4854">
      <formula>BY68&lt;0</formula>
    </cfRule>
  </conditionalFormatting>
  <conditionalFormatting sqref="BZ68:BZ81">
    <cfRule type="expression" priority="4853">
      <formula>#REF!</formula>
    </cfRule>
    <cfRule type="expression" dxfId="615" priority="4851">
      <formula>IF(BZ68="Validar","Rojo","Verde")</formula>
    </cfRule>
  </conditionalFormatting>
  <conditionalFormatting sqref="BZ69:BZ81">
    <cfRule type="colorScale" priority="4913">
      <colorScale>
        <cfvo type="min"/>
        <cfvo type="max"/>
        <color theme="0"/>
        <color theme="0"/>
      </colorScale>
    </cfRule>
    <cfRule type="expression" dxfId="614" priority="4914">
      <formula>BY69&lt;0</formula>
    </cfRule>
  </conditionalFormatting>
  <conditionalFormatting sqref="BZ83">
    <cfRule type="colorScale" priority="4835">
      <colorScale>
        <cfvo type="min"/>
        <cfvo type="max"/>
        <color theme="0"/>
        <color theme="0"/>
      </colorScale>
    </cfRule>
    <cfRule type="expression" dxfId="613" priority="4837">
      <formula>BY83&lt;0</formula>
    </cfRule>
  </conditionalFormatting>
  <conditionalFormatting sqref="BZ83:BZ91">
    <cfRule type="expression" priority="4836">
      <formula>#REF!</formula>
    </cfRule>
    <cfRule type="expression" dxfId="612" priority="4834">
      <formula>IF(BZ83="Validar","Rojo","Verde")</formula>
    </cfRule>
  </conditionalFormatting>
  <conditionalFormatting sqref="BZ84:BZ91">
    <cfRule type="expression" dxfId="611" priority="4894">
      <formula>BY84&lt;0</formula>
    </cfRule>
    <cfRule type="colorScale" priority="4893">
      <colorScale>
        <cfvo type="min"/>
        <cfvo type="max"/>
        <color theme="0"/>
        <color theme="0"/>
      </colorScale>
    </cfRule>
  </conditionalFormatting>
  <conditionalFormatting sqref="BZ93">
    <cfRule type="expression" dxfId="610" priority="4850">
      <formula>BY93&lt;0</formula>
    </cfRule>
    <cfRule type="colorScale" priority="4848">
      <colorScale>
        <cfvo type="min"/>
        <cfvo type="max"/>
        <color theme="0"/>
        <color theme="0"/>
      </colorScale>
    </cfRule>
  </conditionalFormatting>
  <conditionalFormatting sqref="BZ93:BZ102">
    <cfRule type="expression" priority="4849">
      <formula>#REF!</formula>
    </cfRule>
    <cfRule type="expression" dxfId="609" priority="4847">
      <formula>IF(BZ93="Validar","Rojo","Verde")</formula>
    </cfRule>
  </conditionalFormatting>
  <conditionalFormatting sqref="BZ94:BZ102">
    <cfRule type="expression" dxfId="608" priority="4892">
      <formula>BY94&lt;0</formula>
    </cfRule>
    <cfRule type="colorScale" priority="4891">
      <colorScale>
        <cfvo type="min"/>
        <cfvo type="max"/>
        <color theme="0"/>
        <color theme="0"/>
      </colorScale>
    </cfRule>
  </conditionalFormatting>
  <conditionalFormatting sqref="BZ104">
    <cfRule type="colorScale" priority="4844">
      <colorScale>
        <cfvo type="min"/>
        <cfvo type="max"/>
        <color theme="0"/>
        <color theme="0"/>
      </colorScale>
    </cfRule>
    <cfRule type="expression" dxfId="607" priority="4846">
      <formula>BY104&lt;0</formula>
    </cfRule>
  </conditionalFormatting>
  <conditionalFormatting sqref="BZ104:BZ106">
    <cfRule type="expression" dxfId="606" priority="4843">
      <formula>IF(BZ104="Validar","Rojo","Verde")</formula>
    </cfRule>
    <cfRule type="expression" priority="4845">
      <formula>#REF!</formula>
    </cfRule>
  </conditionalFormatting>
  <conditionalFormatting sqref="BZ105:BZ106">
    <cfRule type="expression" dxfId="605" priority="4890">
      <formula>BY105&lt;0</formula>
    </cfRule>
    <cfRule type="colorScale" priority="4889">
      <colorScale>
        <cfvo type="min"/>
        <cfvo type="max"/>
        <color theme="0"/>
        <color theme="0"/>
      </colorScale>
    </cfRule>
  </conditionalFormatting>
  <conditionalFormatting sqref="BZ110">
    <cfRule type="expression" dxfId="604" priority="4888">
      <formula>BY110&lt;0</formula>
    </cfRule>
    <cfRule type="colorScale" priority="4887">
      <colorScale>
        <cfvo type="min"/>
        <cfvo type="max"/>
        <color theme="0"/>
        <color theme="0"/>
      </colorScale>
    </cfRule>
  </conditionalFormatting>
  <conditionalFormatting sqref="BZ110:BZ111">
    <cfRule type="expression" priority="4829">
      <formula>#REF!</formula>
    </cfRule>
  </conditionalFormatting>
  <conditionalFormatting sqref="BZ111">
    <cfRule type="colorScale" priority="4828">
      <colorScale>
        <cfvo type="min"/>
        <cfvo type="max"/>
        <color theme="0"/>
        <color theme="0"/>
      </colorScale>
    </cfRule>
    <cfRule type="expression" dxfId="603" priority="4830">
      <formula>BY111&lt;0</formula>
    </cfRule>
  </conditionalFormatting>
  <conditionalFormatting sqref="BZ117:BZ123">
    <cfRule type="expression" priority="4885">
      <formula>#REF!</formula>
    </cfRule>
    <cfRule type="expression" dxfId="602" priority="4886">
      <formula>BY117&lt;0</formula>
    </cfRule>
    <cfRule type="colorScale" priority="4884">
      <colorScale>
        <cfvo type="min"/>
        <cfvo type="max"/>
        <color theme="0"/>
        <color theme="0"/>
      </colorScale>
    </cfRule>
  </conditionalFormatting>
  <conditionalFormatting sqref="BZ125">
    <cfRule type="expression" dxfId="601" priority="4842">
      <formula>BY125&lt;0</formula>
    </cfRule>
    <cfRule type="colorScale" priority="4840">
      <colorScale>
        <cfvo type="min"/>
        <cfvo type="max"/>
        <color theme="0"/>
        <color theme="0"/>
      </colorScale>
    </cfRule>
  </conditionalFormatting>
  <conditionalFormatting sqref="BZ125:BZ134">
    <cfRule type="expression" dxfId="600" priority="4839">
      <formula>IF(BZ125="Validar","Rojo","Verde")</formula>
    </cfRule>
    <cfRule type="expression" priority="4841">
      <formula>#REF!</formula>
    </cfRule>
  </conditionalFormatting>
  <conditionalFormatting sqref="BZ126:BZ134">
    <cfRule type="expression" dxfId="599" priority="4882">
      <formula>BY126&lt;0</formula>
    </cfRule>
    <cfRule type="colorScale" priority="4881">
      <colorScale>
        <cfvo type="min"/>
        <cfvo type="max"/>
        <color theme="0"/>
        <color theme="0"/>
      </colorScale>
    </cfRule>
  </conditionalFormatting>
  <conditionalFormatting sqref="CB5 CB9">
    <cfRule type="colorScale" priority="1268">
      <colorScale>
        <cfvo type="min"/>
        <cfvo type="max"/>
        <color theme="0"/>
        <color theme="0"/>
      </colorScale>
    </cfRule>
    <cfRule type="expression" dxfId="598" priority="1269">
      <formula>CA5&lt;0</formula>
    </cfRule>
  </conditionalFormatting>
  <conditionalFormatting sqref="CB5:CB20">
    <cfRule type="expression" dxfId="597" priority="1151">
      <formula>IF(CB5="Validar","Rojo","Verde")</formula>
    </cfRule>
    <cfRule type="expression" priority="1152">
      <formula>#REF!</formula>
    </cfRule>
  </conditionalFormatting>
  <conditionalFormatting sqref="CB6">
    <cfRule type="colorScale" priority="1157">
      <colorScale>
        <cfvo type="min"/>
        <cfvo type="max"/>
        <color theme="0"/>
        <color theme="0"/>
      </colorScale>
    </cfRule>
    <cfRule type="expression" dxfId="596" priority="1158">
      <formula>CA6&lt;0</formula>
    </cfRule>
  </conditionalFormatting>
  <conditionalFormatting sqref="CB7:CB8">
    <cfRule type="expression" dxfId="595" priority="1154">
      <formula>CA7&lt;0</formula>
    </cfRule>
    <cfRule type="colorScale" priority="1153">
      <colorScale>
        <cfvo type="min"/>
        <cfvo type="max"/>
        <color theme="0"/>
        <color theme="0"/>
      </colorScale>
    </cfRule>
  </conditionalFormatting>
  <conditionalFormatting sqref="CB10">
    <cfRule type="expression" dxfId="594" priority="1246">
      <formula>CA10&lt;0</formula>
    </cfRule>
    <cfRule type="colorScale" priority="1245">
      <colorScale>
        <cfvo type="min"/>
        <cfvo type="max"/>
        <color theme="0"/>
        <color theme="0"/>
      </colorScale>
    </cfRule>
  </conditionalFormatting>
  <conditionalFormatting sqref="CB11:CB14">
    <cfRule type="colorScale" priority="1266">
      <colorScale>
        <cfvo type="min"/>
        <cfvo type="max"/>
        <color theme="0"/>
        <color theme="0"/>
      </colorScale>
    </cfRule>
    <cfRule type="expression" dxfId="593" priority="1267">
      <formula>CA11&lt;0</formula>
    </cfRule>
  </conditionalFormatting>
  <conditionalFormatting sqref="CB15">
    <cfRule type="colorScale" priority="1243">
      <colorScale>
        <cfvo type="min"/>
        <cfvo type="max"/>
        <color theme="0"/>
        <color theme="0"/>
      </colorScale>
    </cfRule>
    <cfRule type="expression" dxfId="592" priority="1244">
      <formula>CA15&lt;0</formula>
    </cfRule>
  </conditionalFormatting>
  <conditionalFormatting sqref="CB16:CB17">
    <cfRule type="expression" dxfId="591" priority="1265">
      <formula>CA16&lt;0</formula>
    </cfRule>
    <cfRule type="colorScale" priority="1264">
      <colorScale>
        <cfvo type="min"/>
        <cfvo type="max"/>
        <color theme="0"/>
        <color theme="0"/>
      </colorScale>
    </cfRule>
  </conditionalFormatting>
  <conditionalFormatting sqref="CB18">
    <cfRule type="colorScale" priority="1240">
      <colorScale>
        <cfvo type="min"/>
        <cfvo type="max"/>
        <color theme="0"/>
        <color theme="0"/>
      </colorScale>
    </cfRule>
    <cfRule type="expression" dxfId="590" priority="1242">
      <formula>CA18&lt;0</formula>
    </cfRule>
  </conditionalFormatting>
  <conditionalFormatting sqref="CB19:CB20">
    <cfRule type="colorScale" priority="1262">
      <colorScale>
        <cfvo type="min"/>
        <cfvo type="max"/>
        <color theme="0"/>
        <color theme="0"/>
      </colorScale>
    </cfRule>
    <cfRule type="expression" dxfId="589" priority="1263">
      <formula>CA19&lt;0</formula>
    </cfRule>
  </conditionalFormatting>
  <conditionalFormatting sqref="CB23">
    <cfRule type="expression" dxfId="588" priority="1238">
      <formula>CA23&lt;0</formula>
    </cfRule>
    <cfRule type="colorScale" priority="1237">
      <colorScale>
        <cfvo type="min"/>
        <cfvo type="max"/>
        <color theme="0"/>
        <color theme="0"/>
      </colorScale>
    </cfRule>
  </conditionalFormatting>
  <conditionalFormatting sqref="CB23:CB31">
    <cfRule type="expression" dxfId="587" priority="1231">
      <formula>IF(CB23="Validar","Rojo","Verde")</formula>
    </cfRule>
    <cfRule type="expression" priority="1233">
      <formula>#REF!</formula>
    </cfRule>
  </conditionalFormatting>
  <conditionalFormatting sqref="CB24">
    <cfRule type="colorScale" priority="1260">
      <colorScale>
        <cfvo type="min"/>
        <cfvo type="max"/>
        <color theme="0"/>
        <color theme="0"/>
      </colorScale>
    </cfRule>
    <cfRule type="expression" dxfId="586" priority="1261">
      <formula>CA24&lt;0</formula>
    </cfRule>
  </conditionalFormatting>
  <conditionalFormatting sqref="CB25">
    <cfRule type="expression" dxfId="585" priority="1259">
      <formula>CA25&lt;0</formula>
    </cfRule>
    <cfRule type="colorScale" priority="1258">
      <colorScale>
        <cfvo type="min"/>
        <cfvo type="max"/>
        <color theme="0"/>
        <color theme="0"/>
      </colorScale>
    </cfRule>
  </conditionalFormatting>
  <conditionalFormatting sqref="CB26">
    <cfRule type="expression" dxfId="584" priority="1236">
      <formula>CA26&lt;0</formula>
    </cfRule>
    <cfRule type="colorScale" priority="1235">
      <colorScale>
        <cfvo type="min"/>
        <cfvo type="max"/>
        <color theme="0"/>
        <color theme="0"/>
      </colorScale>
    </cfRule>
  </conditionalFormatting>
  <conditionalFormatting sqref="CB27">
    <cfRule type="expression" dxfId="583" priority="1257">
      <formula>CA27&lt;0</formula>
    </cfRule>
    <cfRule type="colorScale" priority="1256">
      <colorScale>
        <cfvo type="min"/>
        <cfvo type="max"/>
        <color theme="0"/>
        <color theme="0"/>
      </colorScale>
    </cfRule>
  </conditionalFormatting>
  <conditionalFormatting sqref="CB28">
    <cfRule type="expression" dxfId="582" priority="1255">
      <formula>CA28&lt;0</formula>
    </cfRule>
    <cfRule type="colorScale" priority="1254">
      <colorScale>
        <cfvo type="min"/>
        <cfvo type="max"/>
        <color theme="0"/>
        <color theme="0"/>
      </colorScale>
    </cfRule>
  </conditionalFormatting>
  <conditionalFormatting sqref="CB29">
    <cfRule type="colorScale" priority="1232">
      <colorScale>
        <cfvo type="min"/>
        <cfvo type="max"/>
        <color theme="0"/>
        <color theme="0"/>
      </colorScale>
    </cfRule>
    <cfRule type="expression" dxfId="581" priority="1234">
      <formula>CA29&lt;0</formula>
    </cfRule>
  </conditionalFormatting>
  <conditionalFormatting sqref="CB30">
    <cfRule type="colorScale" priority="1252">
      <colorScale>
        <cfvo type="min"/>
        <cfvo type="max"/>
        <color theme="0"/>
        <color theme="0"/>
      </colorScale>
    </cfRule>
    <cfRule type="expression" dxfId="580" priority="1253">
      <formula>CA30&lt;0</formula>
    </cfRule>
  </conditionalFormatting>
  <conditionalFormatting sqref="CB31">
    <cfRule type="colorScale" priority="1250">
      <colorScale>
        <cfvo type="min"/>
        <cfvo type="max"/>
        <color theme="0"/>
        <color theme="0"/>
      </colorScale>
    </cfRule>
    <cfRule type="expression" dxfId="579" priority="1251">
      <formula>CA31&lt;0</formula>
    </cfRule>
  </conditionalFormatting>
  <conditionalFormatting sqref="CB39">
    <cfRule type="colorScale" priority="1228">
      <colorScale>
        <cfvo type="min"/>
        <cfvo type="max"/>
        <color theme="0"/>
        <color theme="0"/>
      </colorScale>
    </cfRule>
    <cfRule type="expression" priority="1229">
      <formula>#REF!</formula>
    </cfRule>
    <cfRule type="expression" dxfId="578" priority="1230">
      <formula>CA39&lt;0</formula>
    </cfRule>
  </conditionalFormatting>
  <conditionalFormatting sqref="CB39:CB107">
    <cfRule type="expression" dxfId="577" priority="1166">
      <formula>IF(CB39="Validar","Rojo","Verde")</formula>
    </cfRule>
  </conditionalFormatting>
  <conditionalFormatting sqref="CB40:CB67">
    <cfRule type="colorScale" priority="1247">
      <colorScale>
        <cfvo type="min"/>
        <cfvo type="max"/>
        <color theme="0"/>
        <color theme="0"/>
      </colorScale>
    </cfRule>
    <cfRule type="expression" priority="1248">
      <formula>$F$19</formula>
    </cfRule>
    <cfRule type="expression" dxfId="576" priority="1249">
      <formula>CA40&lt;0</formula>
    </cfRule>
  </conditionalFormatting>
  <conditionalFormatting sqref="CB68">
    <cfRule type="colorScale" priority="1225">
      <colorScale>
        <cfvo type="min"/>
        <cfvo type="max"/>
        <color theme="0"/>
        <color theme="0"/>
      </colorScale>
    </cfRule>
    <cfRule type="expression" priority="1226">
      <formula>#REF!</formula>
    </cfRule>
    <cfRule type="expression" dxfId="575" priority="1227">
      <formula>CA68&lt;0</formula>
    </cfRule>
  </conditionalFormatting>
  <conditionalFormatting sqref="CB69:CB81">
    <cfRule type="expression" priority="1273">
      <formula>$F$19</formula>
    </cfRule>
    <cfRule type="expression" dxfId="574" priority="1274">
      <formula>CA69&lt;0</formula>
    </cfRule>
    <cfRule type="colorScale" priority="1272">
      <colorScale>
        <cfvo type="min"/>
        <cfvo type="max"/>
        <color theme="0"/>
        <color theme="0"/>
      </colorScale>
    </cfRule>
  </conditionalFormatting>
  <conditionalFormatting sqref="CB82 CB92 CB103 CB107">
    <cfRule type="expression" dxfId="573" priority="1271">
      <formula>CA82&lt;0</formula>
    </cfRule>
  </conditionalFormatting>
  <conditionalFormatting sqref="CB83">
    <cfRule type="colorScale" priority="1167">
      <colorScale>
        <cfvo type="min"/>
        <cfvo type="max"/>
        <color theme="0"/>
        <color theme="0"/>
      </colorScale>
    </cfRule>
    <cfRule type="expression" priority="1168">
      <formula>#REF!</formula>
    </cfRule>
    <cfRule type="expression" dxfId="572" priority="1169">
      <formula>CA83&lt;0</formula>
    </cfRule>
  </conditionalFormatting>
  <conditionalFormatting sqref="CB84:CB91">
    <cfRule type="colorScale" priority="1275">
      <colorScale>
        <cfvo type="min"/>
        <cfvo type="max"/>
        <color theme="0"/>
        <color theme="0"/>
      </colorScale>
    </cfRule>
    <cfRule type="expression" priority="1276">
      <formula>$F$19</formula>
    </cfRule>
    <cfRule type="expression" dxfId="571" priority="1277">
      <formula>CA84&lt;0</formula>
    </cfRule>
  </conditionalFormatting>
  <conditionalFormatting sqref="CB92 CB82 CB103 CB107">
    <cfRule type="colorScale" priority="1270">
      <colorScale>
        <cfvo type="min"/>
        <cfvo type="max"/>
        <color theme="0"/>
        <color theme="0"/>
      </colorScale>
    </cfRule>
  </conditionalFormatting>
  <conditionalFormatting sqref="CB93">
    <cfRule type="expression" priority="1223">
      <formula>#REF!</formula>
    </cfRule>
    <cfRule type="colorScale" priority="1222">
      <colorScale>
        <cfvo type="min"/>
        <cfvo type="max"/>
        <color theme="0"/>
        <color theme="0"/>
      </colorScale>
    </cfRule>
    <cfRule type="expression" dxfId="570" priority="1224">
      <formula>CA93&lt;0</formula>
    </cfRule>
  </conditionalFormatting>
  <conditionalFormatting sqref="CB94:CB102">
    <cfRule type="colorScale" priority="1278">
      <colorScale>
        <cfvo type="min"/>
        <cfvo type="max"/>
        <color theme="0"/>
        <color theme="0"/>
      </colorScale>
    </cfRule>
    <cfRule type="expression" priority="1279">
      <formula>$F$19</formula>
    </cfRule>
    <cfRule type="expression" dxfId="569" priority="1280">
      <formula>CA94&lt;0</formula>
    </cfRule>
  </conditionalFormatting>
  <conditionalFormatting sqref="CB104">
    <cfRule type="colorScale" priority="1219">
      <colorScale>
        <cfvo type="min"/>
        <cfvo type="max"/>
        <color theme="0"/>
        <color theme="0"/>
      </colorScale>
    </cfRule>
    <cfRule type="expression" dxfId="568" priority="1221">
      <formula>CA104&lt;0</formula>
    </cfRule>
    <cfRule type="expression" priority="1220">
      <formula>#REF!</formula>
    </cfRule>
  </conditionalFormatting>
  <conditionalFormatting sqref="CB105:CB106">
    <cfRule type="expression" dxfId="567" priority="1283">
      <formula>CA105&lt;0</formula>
    </cfRule>
    <cfRule type="expression" priority="1282">
      <formula>$F$19</formula>
    </cfRule>
    <cfRule type="colorScale" priority="1281">
      <colorScale>
        <cfvo type="min"/>
        <cfvo type="max"/>
        <color theme="0"/>
        <color theme="0"/>
      </colorScale>
    </cfRule>
  </conditionalFormatting>
  <conditionalFormatting sqref="CB110">
    <cfRule type="expression" dxfId="566" priority="1285">
      <formula>CA110&lt;0</formula>
    </cfRule>
    <cfRule type="colorScale" priority="1284">
      <colorScale>
        <cfvo type="min"/>
        <cfvo type="max"/>
        <color theme="0"/>
        <color theme="0"/>
      </colorScale>
    </cfRule>
  </conditionalFormatting>
  <conditionalFormatting sqref="CB110:CB111">
    <cfRule type="expression" priority="1164">
      <formula>$F$19</formula>
    </cfRule>
  </conditionalFormatting>
  <conditionalFormatting sqref="CB111">
    <cfRule type="colorScale" priority="1163">
      <colorScale>
        <cfvo type="min"/>
        <cfvo type="max"/>
        <color theme="0"/>
        <color theme="0"/>
      </colorScale>
    </cfRule>
    <cfRule type="expression" dxfId="565" priority="1165">
      <formula>CA111&lt;0</formula>
    </cfRule>
  </conditionalFormatting>
  <conditionalFormatting sqref="CB117:CB123">
    <cfRule type="expression" dxfId="564" priority="1291">
      <formula>CA117&lt;0</formula>
    </cfRule>
    <cfRule type="expression" priority="1290">
      <formula>$F$19</formula>
    </cfRule>
    <cfRule type="colorScale" priority="1289">
      <colorScale>
        <cfvo type="min"/>
        <cfvo type="max"/>
        <color theme="0"/>
        <color theme="0"/>
      </colorScale>
    </cfRule>
  </conditionalFormatting>
  <conditionalFormatting sqref="CB125">
    <cfRule type="colorScale" priority="1216">
      <colorScale>
        <cfvo type="min"/>
        <cfvo type="max"/>
        <color theme="0"/>
        <color theme="0"/>
      </colorScale>
    </cfRule>
    <cfRule type="expression" priority="1217">
      <formula>#REF!</formula>
    </cfRule>
    <cfRule type="expression" dxfId="563" priority="1218">
      <formula>CA125&lt;0</formula>
    </cfRule>
  </conditionalFormatting>
  <conditionalFormatting sqref="CB125:CB135">
    <cfRule type="expression" dxfId="562" priority="1215">
      <formula>IF(CB125="Validar","Rojo","Verde")</formula>
    </cfRule>
  </conditionalFormatting>
  <conditionalFormatting sqref="CB126:CB132">
    <cfRule type="colorScale" priority="1292">
      <colorScale>
        <cfvo type="min"/>
        <cfvo type="max"/>
        <color theme="0"/>
        <color theme="0"/>
      </colorScale>
    </cfRule>
    <cfRule type="expression" dxfId="561" priority="1294">
      <formula>CA126&lt;0</formula>
    </cfRule>
  </conditionalFormatting>
  <conditionalFormatting sqref="CB126:CB134">
    <cfRule type="expression" priority="1293">
      <formula>$F$19</formula>
    </cfRule>
  </conditionalFormatting>
  <conditionalFormatting sqref="CB133:CB134">
    <cfRule type="colorScale" priority="1295">
      <colorScale>
        <cfvo type="min"/>
        <cfvo type="max"/>
        <color theme="0"/>
        <color theme="0"/>
      </colorScale>
    </cfRule>
    <cfRule type="expression" dxfId="560" priority="1296">
      <formula>CA133&lt;0</formula>
    </cfRule>
  </conditionalFormatting>
  <conditionalFormatting sqref="CB135">
    <cfRule type="expression" priority="1287">
      <formula>$F$23</formula>
    </cfRule>
    <cfRule type="expression" dxfId="559" priority="1288">
      <formula>CA135&lt;0</formula>
    </cfRule>
    <cfRule type="colorScale" priority="1286">
      <colorScale>
        <cfvo type="min"/>
        <cfvo type="max"/>
        <color theme="0"/>
        <color theme="0"/>
      </colorScale>
    </cfRule>
  </conditionalFormatting>
  <conditionalFormatting sqref="CB110:CD111">
    <cfRule type="expression" dxfId="558" priority="1159">
      <formula>IF(CB110="Validar","Rojo","Verde")</formula>
    </cfRule>
  </conditionalFormatting>
  <conditionalFormatting sqref="CB117:CD123">
    <cfRule type="expression" dxfId="557" priority="1172">
      <formula>IF(CB117="Validar","Rojo","Verde")</formula>
    </cfRule>
  </conditionalFormatting>
  <conditionalFormatting sqref="CC40:CC66">
    <cfRule type="colorScale" priority="1207">
      <colorScale>
        <cfvo type="min"/>
        <cfvo type="max"/>
        <color theme="0"/>
        <color theme="0"/>
      </colorScale>
    </cfRule>
    <cfRule type="expression" dxfId="556" priority="1209">
      <formula>CB40&lt;0</formula>
    </cfRule>
    <cfRule type="expression" priority="1208">
      <formula>#REF!</formula>
    </cfRule>
  </conditionalFormatting>
  <conditionalFormatting sqref="CC40:CC67">
    <cfRule type="expression" dxfId="555" priority="1206">
      <formula>IF(CC40="Validar","Rojo","Verde")</formula>
    </cfRule>
  </conditionalFormatting>
  <conditionalFormatting sqref="CC67 CB82:CC82 CB92:CC92 CB103:CC103 CB107:CC107">
    <cfRule type="expression" priority="1211">
      <formula>$F$23</formula>
    </cfRule>
  </conditionalFormatting>
  <conditionalFormatting sqref="CC67 CC82 CC92 CC103 CC107">
    <cfRule type="expression" dxfId="554" priority="1212">
      <formula>CB67&lt;0</formula>
    </cfRule>
    <cfRule type="colorScale" priority="1210">
      <colorScale>
        <cfvo type="min"/>
        <cfvo type="max"/>
        <color theme="0"/>
        <color theme="0"/>
      </colorScale>
    </cfRule>
  </conditionalFormatting>
  <conditionalFormatting sqref="CC69">
    <cfRule type="expression" dxfId="553" priority="1205">
      <formula>CB69&lt;0</formula>
    </cfRule>
    <cfRule type="colorScale" priority="1204">
      <colorScale>
        <cfvo type="min"/>
        <cfvo type="max"/>
        <color theme="0"/>
        <color theme="0"/>
      </colorScale>
    </cfRule>
  </conditionalFormatting>
  <conditionalFormatting sqref="CC69:CC81">
    <cfRule type="expression" priority="1202">
      <formula>#REF!</formula>
    </cfRule>
  </conditionalFormatting>
  <conditionalFormatting sqref="CC69:CC82">
    <cfRule type="expression" dxfId="552" priority="1200">
      <formula>IF(CC69="Validar","Rojo","Verde")</formula>
    </cfRule>
  </conditionalFormatting>
  <conditionalFormatting sqref="CC70:CC78">
    <cfRule type="expression" dxfId="551" priority="1203">
      <formula>CB70&lt;0</formula>
    </cfRule>
    <cfRule type="colorScale" priority="1201">
      <colorScale>
        <cfvo type="min"/>
        <cfvo type="max"/>
        <color theme="0"/>
        <color theme="0"/>
      </colorScale>
    </cfRule>
  </conditionalFormatting>
  <conditionalFormatting sqref="CC79:CC81">
    <cfRule type="expression" dxfId="550" priority="1214">
      <formula>CB79&lt;0</formula>
    </cfRule>
    <cfRule type="colorScale" priority="1213">
      <colorScale>
        <cfvo type="min"/>
        <cfvo type="max"/>
        <color theme="0"/>
        <color theme="0"/>
      </colorScale>
    </cfRule>
  </conditionalFormatting>
  <conditionalFormatting sqref="CC84">
    <cfRule type="colorScale" priority="1198">
      <colorScale>
        <cfvo type="min"/>
        <cfvo type="max"/>
        <color theme="0"/>
        <color theme="0"/>
      </colorScale>
    </cfRule>
    <cfRule type="expression" dxfId="549" priority="1199">
      <formula>CB84&lt;0</formula>
    </cfRule>
  </conditionalFormatting>
  <conditionalFormatting sqref="CC84:CC91">
    <cfRule type="expression" priority="1196">
      <formula>#REF!</formula>
    </cfRule>
  </conditionalFormatting>
  <conditionalFormatting sqref="CC84:CC92">
    <cfRule type="expression" dxfId="548" priority="1194">
      <formula>IF(CC84="Validar","Rojo","Verde")</formula>
    </cfRule>
  </conditionalFormatting>
  <conditionalFormatting sqref="CC85:CC91">
    <cfRule type="expression" dxfId="547" priority="1197">
      <formula>CB85&lt;0</formula>
    </cfRule>
    <cfRule type="colorScale" priority="1195">
      <colorScale>
        <cfvo type="min"/>
        <cfvo type="max"/>
        <color theme="0"/>
        <color theme="0"/>
      </colorScale>
    </cfRule>
  </conditionalFormatting>
  <conditionalFormatting sqref="CC94">
    <cfRule type="expression" dxfId="546" priority="1193">
      <formula>CB94&lt;0</formula>
    </cfRule>
    <cfRule type="colorScale" priority="1192">
      <colorScale>
        <cfvo type="min"/>
        <cfvo type="max"/>
        <color theme="0"/>
        <color theme="0"/>
      </colorScale>
    </cfRule>
  </conditionalFormatting>
  <conditionalFormatting sqref="CC94:CC102">
    <cfRule type="expression" priority="1186">
      <formula>#REF!</formula>
    </cfRule>
  </conditionalFormatting>
  <conditionalFormatting sqref="CC94:CC103">
    <cfRule type="expression" dxfId="545" priority="1184">
      <formula>IF(CC94="Validar","Rojo","Verde")</formula>
    </cfRule>
  </conditionalFormatting>
  <conditionalFormatting sqref="CC95:CC100">
    <cfRule type="colorScale" priority="1190">
      <colorScale>
        <cfvo type="min"/>
        <cfvo type="max"/>
        <color theme="0"/>
        <color theme="0"/>
      </colorScale>
    </cfRule>
    <cfRule type="expression" dxfId="544" priority="1191">
      <formula>CB95&lt;0</formula>
    </cfRule>
  </conditionalFormatting>
  <conditionalFormatting sqref="CC101">
    <cfRule type="expression" dxfId="543" priority="1189">
      <formula>CB101&lt;0</formula>
    </cfRule>
    <cfRule type="colorScale" priority="1188">
      <colorScale>
        <cfvo type="min"/>
        <cfvo type="max"/>
        <color theme="0"/>
        <color theme="0"/>
      </colorScale>
    </cfRule>
  </conditionalFormatting>
  <conditionalFormatting sqref="CC102">
    <cfRule type="expression" dxfId="542" priority="1187">
      <formula>CB102&lt;0</formula>
    </cfRule>
    <cfRule type="colorScale" priority="1185">
      <colorScale>
        <cfvo type="min"/>
        <cfvo type="max"/>
        <color theme="0"/>
        <color theme="0"/>
      </colorScale>
    </cfRule>
  </conditionalFormatting>
  <conditionalFormatting sqref="CC105">
    <cfRule type="expression" dxfId="541" priority="1183">
      <formula>CB105&lt;0</formula>
    </cfRule>
    <cfRule type="colorScale" priority="1182">
      <colorScale>
        <cfvo type="min"/>
        <cfvo type="max"/>
        <color theme="0"/>
        <color theme="0"/>
      </colorScale>
    </cfRule>
  </conditionalFormatting>
  <conditionalFormatting sqref="CC105:CC106">
    <cfRule type="expression" priority="1180">
      <formula>#REF!</formula>
    </cfRule>
  </conditionalFormatting>
  <conditionalFormatting sqref="CC105:CC107">
    <cfRule type="expression" dxfId="540" priority="1178">
      <formula>IF(CC105="Validar","Rojo","Verde")</formula>
    </cfRule>
  </conditionalFormatting>
  <conditionalFormatting sqref="CC106">
    <cfRule type="expression" dxfId="539" priority="1181">
      <formula>CB106&lt;0</formula>
    </cfRule>
    <cfRule type="colorScale" priority="1179">
      <colorScale>
        <cfvo type="min"/>
        <cfvo type="max"/>
        <color theme="0"/>
        <color theme="0"/>
      </colorScale>
    </cfRule>
  </conditionalFormatting>
  <conditionalFormatting sqref="CC110">
    <cfRule type="expression" dxfId="538" priority="1171">
      <formula>CB110&lt;0</formula>
    </cfRule>
    <cfRule type="colorScale" priority="1170">
      <colorScale>
        <cfvo type="min"/>
        <cfvo type="max"/>
        <color theme="0"/>
        <color theme="0"/>
      </colorScale>
    </cfRule>
  </conditionalFormatting>
  <conditionalFormatting sqref="CC111">
    <cfRule type="expression" dxfId="537" priority="1162">
      <formula>CB111&lt;0</formula>
    </cfRule>
    <cfRule type="colorScale" priority="1160">
      <colorScale>
        <cfvo type="min"/>
        <cfvo type="max"/>
        <color theme="0"/>
        <color theme="0"/>
      </colorScale>
    </cfRule>
  </conditionalFormatting>
  <conditionalFormatting sqref="CC117">
    <cfRule type="expression" dxfId="536" priority="1177">
      <formula>CB117&lt;0</formula>
    </cfRule>
    <cfRule type="colorScale" priority="1176">
      <colorScale>
        <cfvo type="min"/>
        <cfvo type="max"/>
        <color theme="0"/>
        <color theme="0"/>
      </colorScale>
    </cfRule>
  </conditionalFormatting>
  <conditionalFormatting sqref="CC118:CC123">
    <cfRule type="expression" dxfId="535" priority="1175">
      <formula>CB118&lt;0</formula>
    </cfRule>
    <cfRule type="colorScale" priority="1173">
      <colorScale>
        <cfvo type="min"/>
        <cfvo type="max"/>
        <color theme="0"/>
        <color theme="0"/>
      </colorScale>
    </cfRule>
  </conditionalFormatting>
  <conditionalFormatting sqref="CC126:CC135">
    <cfRule type="expression" dxfId="534" priority="1300">
      <formula>CB126&lt;0</formula>
    </cfRule>
    <cfRule type="expression" priority="1299">
      <formula>$F$23</formula>
    </cfRule>
    <cfRule type="colorScale" priority="1298">
      <colorScale>
        <cfvo type="min"/>
        <cfvo type="max"/>
        <color theme="0"/>
        <color theme="0"/>
      </colorScale>
    </cfRule>
    <cfRule type="expression" dxfId="533" priority="1297">
      <formula>IF(CC126="Validar","Rojo","Verde")</formula>
    </cfRule>
  </conditionalFormatting>
  <conditionalFormatting sqref="CC110:CD111">
    <cfRule type="expression" priority="1161">
      <formula>#REF!</formula>
    </cfRule>
  </conditionalFormatting>
  <conditionalFormatting sqref="CC117:CD123">
    <cfRule type="expression" priority="1174">
      <formula>#REF!</formula>
    </cfRule>
  </conditionalFormatting>
  <conditionalFormatting sqref="CD5">
    <cfRule type="expression" dxfId="532" priority="4726">
      <formula>CC5&lt;0</formula>
    </cfRule>
    <cfRule type="colorScale" priority="4725">
      <colorScale>
        <cfvo type="min"/>
        <cfvo type="max"/>
        <color theme="0"/>
        <color theme="0"/>
      </colorScale>
    </cfRule>
  </conditionalFormatting>
  <conditionalFormatting sqref="CD5:CD16">
    <cfRule type="expression" priority="4699">
      <formula>#REF!</formula>
    </cfRule>
    <cfRule type="expression" dxfId="531" priority="4697">
      <formula>IF(CD5="Validar","Rojo","Verde")</formula>
    </cfRule>
  </conditionalFormatting>
  <conditionalFormatting sqref="CD6:CD9">
    <cfRule type="expression" dxfId="530" priority="4734">
      <formula>CC6&lt;0</formula>
    </cfRule>
    <cfRule type="colorScale" priority="4733">
      <colorScale>
        <cfvo type="min"/>
        <cfvo type="max"/>
        <color theme="0"/>
        <color theme="0"/>
      </colorScale>
    </cfRule>
  </conditionalFormatting>
  <conditionalFormatting sqref="CD10">
    <cfRule type="expression" dxfId="529" priority="4702">
      <formula>CC10&lt;0</formula>
    </cfRule>
    <cfRule type="colorScale" priority="4701">
      <colorScale>
        <cfvo type="min"/>
        <cfvo type="max"/>
        <color theme="0"/>
        <color theme="0"/>
      </colorScale>
    </cfRule>
  </conditionalFormatting>
  <conditionalFormatting sqref="CD11:CD14">
    <cfRule type="expression" dxfId="528" priority="4732">
      <formula>CC11&lt;0</formula>
    </cfRule>
    <cfRule type="colorScale" priority="4731">
      <colorScale>
        <cfvo type="min"/>
        <cfvo type="max"/>
        <color theme="0"/>
        <color theme="0"/>
      </colorScale>
    </cfRule>
  </conditionalFormatting>
  <conditionalFormatting sqref="CD15">
    <cfRule type="colorScale" priority="4698">
      <colorScale>
        <cfvo type="min"/>
        <cfvo type="max"/>
        <color theme="0"/>
        <color theme="0"/>
      </colorScale>
    </cfRule>
    <cfRule type="expression" dxfId="527" priority="4700">
      <formula>CC15&lt;0</formula>
    </cfRule>
  </conditionalFormatting>
  <conditionalFormatting sqref="CD16">
    <cfRule type="expression" dxfId="526" priority="4730">
      <formula>CC16&lt;0</formula>
    </cfRule>
    <cfRule type="colorScale" priority="4729">
      <colorScale>
        <cfvo type="min"/>
        <cfvo type="max"/>
        <color theme="0"/>
        <color theme="0"/>
      </colorScale>
    </cfRule>
  </conditionalFormatting>
  <conditionalFormatting sqref="CD18">
    <cfRule type="expression" dxfId="525" priority="4696">
      <formula>CC18&lt;0</formula>
    </cfRule>
    <cfRule type="colorScale" priority="4694">
      <colorScale>
        <cfvo type="min"/>
        <cfvo type="max"/>
        <color theme="0"/>
        <color theme="0"/>
      </colorScale>
    </cfRule>
  </conditionalFormatting>
  <conditionalFormatting sqref="CD18:CD19">
    <cfRule type="expression" priority="4695">
      <formula>#REF!</formula>
    </cfRule>
    <cfRule type="expression" dxfId="524" priority="4693">
      <formula>IF(CD18="Validar","Rojo","Verde")</formula>
    </cfRule>
  </conditionalFormatting>
  <conditionalFormatting sqref="CD19">
    <cfRule type="expression" dxfId="523" priority="4728">
      <formula>CC19&lt;0</formula>
    </cfRule>
    <cfRule type="colorScale" priority="4727">
      <colorScale>
        <cfvo type="min"/>
        <cfvo type="max"/>
        <color theme="0"/>
        <color theme="0"/>
      </colorScale>
    </cfRule>
  </conditionalFormatting>
  <conditionalFormatting sqref="CD23">
    <cfRule type="expression" dxfId="522" priority="4692">
      <formula>CC23&lt;0</formula>
    </cfRule>
    <cfRule type="colorScale" priority="4690">
      <colorScale>
        <cfvo type="min"/>
        <cfvo type="max"/>
        <color theme="0"/>
        <color theme="0"/>
      </colorScale>
    </cfRule>
  </conditionalFormatting>
  <conditionalFormatting sqref="CD23:CD24">
    <cfRule type="expression" dxfId="521" priority="4689">
      <formula>IF(CD23="Validar","Rojo","Verde")</formula>
    </cfRule>
    <cfRule type="expression" priority="4691">
      <formula>#REF!</formula>
    </cfRule>
  </conditionalFormatting>
  <conditionalFormatting sqref="CD24">
    <cfRule type="expression" dxfId="520" priority="4724">
      <formula>CC24&lt;0</formula>
    </cfRule>
    <cfRule type="colorScale" priority="4723">
      <colorScale>
        <cfvo type="min"/>
        <cfvo type="max"/>
        <color theme="0"/>
        <color theme="0"/>
      </colorScale>
    </cfRule>
  </conditionalFormatting>
  <conditionalFormatting sqref="CD26">
    <cfRule type="colorScale" priority="4686">
      <colorScale>
        <cfvo type="min"/>
        <cfvo type="max"/>
        <color theme="0"/>
        <color theme="0"/>
      </colorScale>
    </cfRule>
    <cfRule type="expression" dxfId="519" priority="4688">
      <formula>CC26&lt;0</formula>
    </cfRule>
  </conditionalFormatting>
  <conditionalFormatting sqref="CD26:CD27">
    <cfRule type="expression" priority="4687">
      <formula>#REF!</formula>
    </cfRule>
    <cfRule type="expression" dxfId="518" priority="4685">
      <formula>IF(CD26="Validar","Rojo","Verde")</formula>
    </cfRule>
  </conditionalFormatting>
  <conditionalFormatting sqref="CD27">
    <cfRule type="colorScale" priority="4721">
      <colorScale>
        <cfvo type="min"/>
        <cfvo type="max"/>
        <color theme="0"/>
        <color theme="0"/>
      </colorScale>
    </cfRule>
    <cfRule type="expression" dxfId="517" priority="4722">
      <formula>CC27&lt;0</formula>
    </cfRule>
  </conditionalFormatting>
  <conditionalFormatting sqref="CD29">
    <cfRule type="expression" dxfId="516" priority="4684">
      <formula>CC29&lt;0</formula>
    </cfRule>
    <cfRule type="colorScale" priority="4682">
      <colorScale>
        <cfvo type="min"/>
        <cfvo type="max"/>
        <color theme="0"/>
        <color theme="0"/>
      </colorScale>
    </cfRule>
  </conditionalFormatting>
  <conditionalFormatting sqref="CD29:CD30">
    <cfRule type="expression" priority="4683">
      <formula>#REF!</formula>
    </cfRule>
    <cfRule type="expression" dxfId="515" priority="4681">
      <formula>IF(CD29="Validar","Rojo","Verde")</formula>
    </cfRule>
  </conditionalFormatting>
  <conditionalFormatting sqref="CD30">
    <cfRule type="expression" dxfId="514" priority="4720">
      <formula>CC30&lt;0</formula>
    </cfRule>
    <cfRule type="colorScale" priority="4719">
      <colorScale>
        <cfvo type="min"/>
        <cfvo type="max"/>
        <color theme="0"/>
        <color theme="0"/>
      </colorScale>
    </cfRule>
  </conditionalFormatting>
  <conditionalFormatting sqref="CD39">
    <cfRule type="expression" dxfId="513" priority="4680">
      <formula>CC39&lt;0</formula>
    </cfRule>
    <cfRule type="colorScale" priority="4678">
      <colorScale>
        <cfvo type="min"/>
        <cfvo type="max"/>
        <color theme="0"/>
        <color theme="0"/>
      </colorScale>
    </cfRule>
  </conditionalFormatting>
  <conditionalFormatting sqref="CD39:CD66">
    <cfRule type="expression" priority="4679">
      <formula>#REF!</formula>
    </cfRule>
    <cfRule type="expression" dxfId="512" priority="4677">
      <formula>IF(CD39="Validar","Rojo","Verde")</formula>
    </cfRule>
  </conditionalFormatting>
  <conditionalFormatting sqref="CD40:CD66">
    <cfRule type="expression" dxfId="511" priority="4718">
      <formula>CC40&lt;0</formula>
    </cfRule>
    <cfRule type="colorScale" priority="4717">
      <colorScale>
        <cfvo type="min"/>
        <cfvo type="max"/>
        <color theme="0"/>
        <color theme="0"/>
      </colorScale>
    </cfRule>
  </conditionalFormatting>
  <conditionalFormatting sqref="CD68">
    <cfRule type="expression" dxfId="510" priority="4676">
      <formula>CC68&lt;0</formula>
    </cfRule>
    <cfRule type="colorScale" priority="4674">
      <colorScale>
        <cfvo type="min"/>
        <cfvo type="max"/>
        <color theme="0"/>
        <color theme="0"/>
      </colorScale>
    </cfRule>
  </conditionalFormatting>
  <conditionalFormatting sqref="CD68:CD81">
    <cfRule type="expression" dxfId="509" priority="4673">
      <formula>IF(CD68="Validar","Rojo","Verde")</formula>
    </cfRule>
    <cfRule type="expression" priority="4675">
      <formula>#REF!</formula>
    </cfRule>
  </conditionalFormatting>
  <conditionalFormatting sqref="CD69:CD81">
    <cfRule type="expression" dxfId="508" priority="4736">
      <formula>CC69&lt;0</formula>
    </cfRule>
    <cfRule type="colorScale" priority="4735">
      <colorScale>
        <cfvo type="min"/>
        <cfvo type="max"/>
        <color theme="0"/>
        <color theme="0"/>
      </colorScale>
    </cfRule>
  </conditionalFormatting>
  <conditionalFormatting sqref="CD83">
    <cfRule type="expression" dxfId="507" priority="4659">
      <formula>CC83&lt;0</formula>
    </cfRule>
    <cfRule type="colorScale" priority="4657">
      <colorScale>
        <cfvo type="min"/>
        <cfvo type="max"/>
        <color theme="0"/>
        <color theme="0"/>
      </colorScale>
    </cfRule>
  </conditionalFormatting>
  <conditionalFormatting sqref="CD83:CD91">
    <cfRule type="expression" priority="4658">
      <formula>#REF!</formula>
    </cfRule>
    <cfRule type="expression" dxfId="506" priority="4656">
      <formula>IF(CD83="Validar","Rojo","Verde")</formula>
    </cfRule>
  </conditionalFormatting>
  <conditionalFormatting sqref="CD84:CD91">
    <cfRule type="expression" dxfId="505" priority="4716">
      <formula>CC84&lt;0</formula>
    </cfRule>
    <cfRule type="colorScale" priority="4715">
      <colorScale>
        <cfvo type="min"/>
        <cfvo type="max"/>
        <color theme="0"/>
        <color theme="0"/>
      </colorScale>
    </cfRule>
  </conditionalFormatting>
  <conditionalFormatting sqref="CD93">
    <cfRule type="expression" dxfId="504" priority="4672">
      <formula>CC93&lt;0</formula>
    </cfRule>
    <cfRule type="colorScale" priority="4670">
      <colorScale>
        <cfvo type="min"/>
        <cfvo type="max"/>
        <color theme="0"/>
        <color theme="0"/>
      </colorScale>
    </cfRule>
  </conditionalFormatting>
  <conditionalFormatting sqref="CD93:CD102">
    <cfRule type="expression" priority="4671">
      <formula>#REF!</formula>
    </cfRule>
    <cfRule type="expression" dxfId="503" priority="4669">
      <formula>IF(CD93="Validar","Rojo","Verde")</formula>
    </cfRule>
  </conditionalFormatting>
  <conditionalFormatting sqref="CD94:CD102">
    <cfRule type="expression" dxfId="502" priority="4714">
      <formula>CC94&lt;0</formula>
    </cfRule>
    <cfRule type="colorScale" priority="4713">
      <colorScale>
        <cfvo type="min"/>
        <cfvo type="max"/>
        <color theme="0"/>
        <color theme="0"/>
      </colorScale>
    </cfRule>
  </conditionalFormatting>
  <conditionalFormatting sqref="CD104">
    <cfRule type="expression" dxfId="501" priority="4668">
      <formula>CC104&lt;0</formula>
    </cfRule>
    <cfRule type="colorScale" priority="4666">
      <colorScale>
        <cfvo type="min"/>
        <cfvo type="max"/>
        <color theme="0"/>
        <color theme="0"/>
      </colorScale>
    </cfRule>
  </conditionalFormatting>
  <conditionalFormatting sqref="CD104:CD106">
    <cfRule type="expression" priority="4667">
      <formula>#REF!</formula>
    </cfRule>
    <cfRule type="expression" dxfId="500" priority="4665">
      <formula>IF(CD104="Validar","Rojo","Verde")</formula>
    </cfRule>
  </conditionalFormatting>
  <conditionalFormatting sqref="CD105:CD106">
    <cfRule type="expression" dxfId="499" priority="4712">
      <formula>CC105&lt;0</formula>
    </cfRule>
    <cfRule type="colorScale" priority="4711">
      <colorScale>
        <cfvo type="min"/>
        <cfvo type="max"/>
        <color theme="0"/>
        <color theme="0"/>
      </colorScale>
    </cfRule>
  </conditionalFormatting>
  <conditionalFormatting sqref="CD110">
    <cfRule type="colorScale" priority="4709">
      <colorScale>
        <cfvo type="min"/>
        <cfvo type="max"/>
        <color theme="0"/>
        <color theme="0"/>
      </colorScale>
    </cfRule>
    <cfRule type="expression" dxfId="498" priority="4710">
      <formula>CC110&lt;0</formula>
    </cfRule>
  </conditionalFormatting>
  <conditionalFormatting sqref="CD111">
    <cfRule type="expression" dxfId="497" priority="4652">
      <formula>CC111&lt;0</formula>
    </cfRule>
    <cfRule type="colorScale" priority="4650">
      <colorScale>
        <cfvo type="min"/>
        <cfvo type="max"/>
        <color theme="0"/>
        <color theme="0"/>
      </colorScale>
    </cfRule>
  </conditionalFormatting>
  <conditionalFormatting sqref="CD117:CD123">
    <cfRule type="expression" dxfId="496" priority="4708">
      <formula>CC117&lt;0</formula>
    </cfRule>
    <cfRule type="colorScale" priority="4706">
      <colorScale>
        <cfvo type="min"/>
        <cfvo type="max"/>
        <color theme="0"/>
        <color theme="0"/>
      </colorScale>
    </cfRule>
  </conditionalFormatting>
  <conditionalFormatting sqref="CD125">
    <cfRule type="colorScale" priority="4662">
      <colorScale>
        <cfvo type="min"/>
        <cfvo type="max"/>
        <color theme="0"/>
        <color theme="0"/>
      </colorScale>
    </cfRule>
    <cfRule type="expression" dxfId="495" priority="4664">
      <formula>CC125&lt;0</formula>
    </cfRule>
  </conditionalFormatting>
  <conditionalFormatting sqref="CD125:CD134">
    <cfRule type="expression" priority="4663">
      <formula>#REF!</formula>
    </cfRule>
    <cfRule type="expression" dxfId="494" priority="4661">
      <formula>IF(CD125="Validar","Rojo","Verde")</formula>
    </cfRule>
  </conditionalFormatting>
  <conditionalFormatting sqref="CD126:CD134">
    <cfRule type="expression" dxfId="493" priority="4704">
      <formula>CC126&lt;0</formula>
    </cfRule>
    <cfRule type="colorScale" priority="4703">
      <colorScale>
        <cfvo type="min"/>
        <cfvo type="max"/>
        <color theme="0"/>
        <color theme="0"/>
      </colorScale>
    </cfRule>
  </conditionalFormatting>
  <conditionalFormatting sqref="CF5 CF9">
    <cfRule type="expression" dxfId="492" priority="1119">
      <formula>CE5&lt;0</formula>
    </cfRule>
  </conditionalFormatting>
  <conditionalFormatting sqref="CF5:CF20">
    <cfRule type="expression" dxfId="491" priority="1001">
      <formula>IF(CF5="Validar","Rojo","Verde")</formula>
    </cfRule>
    <cfRule type="expression" priority="1002">
      <formula>#REF!</formula>
    </cfRule>
  </conditionalFormatting>
  <conditionalFormatting sqref="CF6">
    <cfRule type="colorScale" priority="1007">
      <colorScale>
        <cfvo type="min"/>
        <cfvo type="max"/>
        <color theme="0"/>
        <color theme="0"/>
      </colorScale>
    </cfRule>
    <cfRule type="expression" dxfId="490" priority="1008">
      <formula>CE6&lt;0</formula>
    </cfRule>
  </conditionalFormatting>
  <conditionalFormatting sqref="CF7:CF8">
    <cfRule type="colorScale" priority="1003">
      <colorScale>
        <cfvo type="min"/>
        <cfvo type="max"/>
        <color theme="0"/>
        <color theme="0"/>
      </colorScale>
    </cfRule>
    <cfRule type="expression" dxfId="489" priority="1004">
      <formula>CE7&lt;0</formula>
    </cfRule>
  </conditionalFormatting>
  <conditionalFormatting sqref="CF9 CF5">
    <cfRule type="colorScale" priority="1118">
      <colorScale>
        <cfvo type="min"/>
        <cfvo type="max"/>
        <color theme="0"/>
        <color theme="0"/>
      </colorScale>
    </cfRule>
  </conditionalFormatting>
  <conditionalFormatting sqref="CF10">
    <cfRule type="colorScale" priority="1095">
      <colorScale>
        <cfvo type="min"/>
        <cfvo type="max"/>
        <color theme="0"/>
        <color theme="0"/>
      </colorScale>
    </cfRule>
    <cfRule type="expression" dxfId="488" priority="1096">
      <formula>CE10&lt;0</formula>
    </cfRule>
  </conditionalFormatting>
  <conditionalFormatting sqref="CF11:CF14">
    <cfRule type="colorScale" priority="1116">
      <colorScale>
        <cfvo type="min"/>
        <cfvo type="max"/>
        <color theme="0"/>
        <color theme="0"/>
      </colorScale>
    </cfRule>
    <cfRule type="expression" dxfId="487" priority="1117">
      <formula>CE11&lt;0</formula>
    </cfRule>
  </conditionalFormatting>
  <conditionalFormatting sqref="CF15">
    <cfRule type="expression" dxfId="486" priority="1094">
      <formula>CE15&lt;0</formula>
    </cfRule>
    <cfRule type="colorScale" priority="1093">
      <colorScale>
        <cfvo type="min"/>
        <cfvo type="max"/>
        <color theme="0"/>
        <color theme="0"/>
      </colorScale>
    </cfRule>
  </conditionalFormatting>
  <conditionalFormatting sqref="CF16:CF17">
    <cfRule type="colorScale" priority="1114">
      <colorScale>
        <cfvo type="min"/>
        <cfvo type="max"/>
        <color theme="0"/>
        <color theme="0"/>
      </colorScale>
    </cfRule>
    <cfRule type="expression" dxfId="485" priority="1115">
      <formula>CE16&lt;0</formula>
    </cfRule>
  </conditionalFormatting>
  <conditionalFormatting sqref="CF18">
    <cfRule type="expression" dxfId="484" priority="1092">
      <formula>CE18&lt;0</formula>
    </cfRule>
    <cfRule type="colorScale" priority="1090">
      <colorScale>
        <cfvo type="min"/>
        <cfvo type="max"/>
        <color theme="0"/>
        <color theme="0"/>
      </colorScale>
    </cfRule>
  </conditionalFormatting>
  <conditionalFormatting sqref="CF19:CF20">
    <cfRule type="expression" dxfId="483" priority="1113">
      <formula>CE19&lt;0</formula>
    </cfRule>
    <cfRule type="colorScale" priority="1112">
      <colorScale>
        <cfvo type="min"/>
        <cfvo type="max"/>
        <color theme="0"/>
        <color theme="0"/>
      </colorScale>
    </cfRule>
  </conditionalFormatting>
  <conditionalFormatting sqref="CF23">
    <cfRule type="colorScale" priority="1087">
      <colorScale>
        <cfvo type="min"/>
        <cfvo type="max"/>
        <color theme="0"/>
        <color theme="0"/>
      </colorScale>
    </cfRule>
    <cfRule type="expression" dxfId="482" priority="1088">
      <formula>CE23&lt;0</formula>
    </cfRule>
  </conditionalFormatting>
  <conditionalFormatting sqref="CF23:CF31">
    <cfRule type="expression" dxfId="481" priority="1081">
      <formula>IF(CF23="Validar","Rojo","Verde")</formula>
    </cfRule>
    <cfRule type="expression" priority="1083">
      <formula>#REF!</formula>
    </cfRule>
  </conditionalFormatting>
  <conditionalFormatting sqref="CF24">
    <cfRule type="colorScale" priority="1110">
      <colorScale>
        <cfvo type="min"/>
        <cfvo type="max"/>
        <color theme="0"/>
        <color theme="0"/>
      </colorScale>
    </cfRule>
    <cfRule type="expression" dxfId="480" priority="1111">
      <formula>CE24&lt;0</formula>
    </cfRule>
  </conditionalFormatting>
  <conditionalFormatting sqref="CF25">
    <cfRule type="expression" dxfId="479" priority="1109">
      <formula>CE25&lt;0</formula>
    </cfRule>
    <cfRule type="colorScale" priority="1108">
      <colorScale>
        <cfvo type="min"/>
        <cfvo type="max"/>
        <color theme="0"/>
        <color theme="0"/>
      </colorScale>
    </cfRule>
  </conditionalFormatting>
  <conditionalFormatting sqref="CF26">
    <cfRule type="colorScale" priority="1085">
      <colorScale>
        <cfvo type="min"/>
        <cfvo type="max"/>
        <color theme="0"/>
        <color theme="0"/>
      </colorScale>
    </cfRule>
    <cfRule type="expression" dxfId="478" priority="1086">
      <formula>CE26&lt;0</formula>
    </cfRule>
  </conditionalFormatting>
  <conditionalFormatting sqref="CF27">
    <cfRule type="colorScale" priority="1106">
      <colorScale>
        <cfvo type="min"/>
        <cfvo type="max"/>
        <color theme="0"/>
        <color theme="0"/>
      </colorScale>
    </cfRule>
    <cfRule type="expression" dxfId="477" priority="1107">
      <formula>CE27&lt;0</formula>
    </cfRule>
  </conditionalFormatting>
  <conditionalFormatting sqref="CF28">
    <cfRule type="expression" dxfId="476" priority="1105">
      <formula>CE28&lt;0</formula>
    </cfRule>
    <cfRule type="colorScale" priority="1104">
      <colorScale>
        <cfvo type="min"/>
        <cfvo type="max"/>
        <color theme="0"/>
        <color theme="0"/>
      </colorScale>
    </cfRule>
  </conditionalFormatting>
  <conditionalFormatting sqref="CF29">
    <cfRule type="expression" dxfId="475" priority="1084">
      <formula>CE29&lt;0</formula>
    </cfRule>
    <cfRule type="colorScale" priority="1082">
      <colorScale>
        <cfvo type="min"/>
        <cfvo type="max"/>
        <color theme="0"/>
        <color theme="0"/>
      </colorScale>
    </cfRule>
  </conditionalFormatting>
  <conditionalFormatting sqref="CF30">
    <cfRule type="colorScale" priority="1102">
      <colorScale>
        <cfvo type="min"/>
        <cfvo type="max"/>
        <color theme="0"/>
        <color theme="0"/>
      </colorScale>
    </cfRule>
    <cfRule type="expression" dxfId="474" priority="1103">
      <formula>CE30&lt;0</formula>
    </cfRule>
  </conditionalFormatting>
  <conditionalFormatting sqref="CF31">
    <cfRule type="expression" dxfId="473" priority="1101">
      <formula>CE31&lt;0</formula>
    </cfRule>
    <cfRule type="colorScale" priority="1100">
      <colorScale>
        <cfvo type="min"/>
        <cfvo type="max"/>
        <color theme="0"/>
        <color theme="0"/>
      </colorScale>
    </cfRule>
  </conditionalFormatting>
  <conditionalFormatting sqref="CF39">
    <cfRule type="expression" dxfId="472" priority="1080">
      <formula>CE39&lt;0</formula>
    </cfRule>
    <cfRule type="colorScale" priority="1078">
      <colorScale>
        <cfvo type="min"/>
        <cfvo type="max"/>
        <color theme="0"/>
        <color theme="0"/>
      </colorScale>
    </cfRule>
    <cfRule type="expression" priority="1079">
      <formula>#REF!</formula>
    </cfRule>
  </conditionalFormatting>
  <conditionalFormatting sqref="CF39:CF107">
    <cfRule type="expression" dxfId="471" priority="1016">
      <formula>IF(CF39="Validar","Rojo","Verde")</formula>
    </cfRule>
  </conditionalFormatting>
  <conditionalFormatting sqref="CF40:CF67">
    <cfRule type="expression" dxfId="470" priority="1099">
      <formula>CE40&lt;0</formula>
    </cfRule>
    <cfRule type="colorScale" priority="1097">
      <colorScale>
        <cfvo type="min"/>
        <cfvo type="max"/>
        <color theme="0"/>
        <color theme="0"/>
      </colorScale>
    </cfRule>
    <cfRule type="expression" priority="1098">
      <formula>$F$19</formula>
    </cfRule>
  </conditionalFormatting>
  <conditionalFormatting sqref="CF68">
    <cfRule type="expression" priority="1076">
      <formula>#REF!</formula>
    </cfRule>
    <cfRule type="expression" dxfId="469" priority="1077">
      <formula>CE68&lt;0</formula>
    </cfRule>
    <cfRule type="colorScale" priority="1075">
      <colorScale>
        <cfvo type="min"/>
        <cfvo type="max"/>
        <color theme="0"/>
        <color theme="0"/>
      </colorScale>
    </cfRule>
  </conditionalFormatting>
  <conditionalFormatting sqref="CF69:CF81">
    <cfRule type="expression" priority="1123">
      <formula>$F$19</formula>
    </cfRule>
    <cfRule type="colorScale" priority="1122">
      <colorScale>
        <cfvo type="min"/>
        <cfvo type="max"/>
        <color theme="0"/>
        <color theme="0"/>
      </colorScale>
    </cfRule>
    <cfRule type="expression" dxfId="468" priority="1124">
      <formula>CE69&lt;0</formula>
    </cfRule>
  </conditionalFormatting>
  <conditionalFormatting sqref="CF82 CF92 CF103 CF107">
    <cfRule type="expression" dxfId="467" priority="1121">
      <formula>CE82&lt;0</formula>
    </cfRule>
  </conditionalFormatting>
  <conditionalFormatting sqref="CF83">
    <cfRule type="expression" priority="1018">
      <formula>#REF!</formula>
    </cfRule>
    <cfRule type="colorScale" priority="1017">
      <colorScale>
        <cfvo type="min"/>
        <cfvo type="max"/>
        <color theme="0"/>
        <color theme="0"/>
      </colorScale>
    </cfRule>
    <cfRule type="expression" dxfId="466" priority="1019">
      <formula>CE83&lt;0</formula>
    </cfRule>
  </conditionalFormatting>
  <conditionalFormatting sqref="CF84:CF91">
    <cfRule type="expression" priority="1126">
      <formula>$F$19</formula>
    </cfRule>
    <cfRule type="expression" dxfId="465" priority="1127">
      <formula>CE84&lt;0</formula>
    </cfRule>
    <cfRule type="colorScale" priority="1125">
      <colorScale>
        <cfvo type="min"/>
        <cfvo type="max"/>
        <color theme="0"/>
        <color theme="0"/>
      </colorScale>
    </cfRule>
  </conditionalFormatting>
  <conditionalFormatting sqref="CF92 CF82 CF103 CF107">
    <cfRule type="colorScale" priority="1120">
      <colorScale>
        <cfvo type="min"/>
        <cfvo type="max"/>
        <color theme="0"/>
        <color theme="0"/>
      </colorScale>
    </cfRule>
  </conditionalFormatting>
  <conditionalFormatting sqref="CF93">
    <cfRule type="expression" dxfId="464" priority="1074">
      <formula>CE93&lt;0</formula>
    </cfRule>
    <cfRule type="expression" priority="1073">
      <formula>#REF!</formula>
    </cfRule>
    <cfRule type="colorScale" priority="1072">
      <colorScale>
        <cfvo type="min"/>
        <cfvo type="max"/>
        <color theme="0"/>
        <color theme="0"/>
      </colorScale>
    </cfRule>
  </conditionalFormatting>
  <conditionalFormatting sqref="CF94:CF102">
    <cfRule type="colorScale" priority="1128">
      <colorScale>
        <cfvo type="min"/>
        <cfvo type="max"/>
        <color theme="0"/>
        <color theme="0"/>
      </colorScale>
    </cfRule>
    <cfRule type="expression" priority="1129">
      <formula>$F$19</formula>
    </cfRule>
    <cfRule type="expression" dxfId="463" priority="1130">
      <formula>CE94&lt;0</formula>
    </cfRule>
  </conditionalFormatting>
  <conditionalFormatting sqref="CF104">
    <cfRule type="colorScale" priority="1069">
      <colorScale>
        <cfvo type="min"/>
        <cfvo type="max"/>
        <color theme="0"/>
        <color theme="0"/>
      </colorScale>
    </cfRule>
    <cfRule type="expression" priority="1070">
      <formula>#REF!</formula>
    </cfRule>
    <cfRule type="expression" dxfId="462" priority="1071">
      <formula>CE104&lt;0</formula>
    </cfRule>
  </conditionalFormatting>
  <conditionalFormatting sqref="CF105:CF106">
    <cfRule type="expression" priority="1132">
      <formula>$F$19</formula>
    </cfRule>
    <cfRule type="expression" dxfId="461" priority="1133">
      <formula>CE105&lt;0</formula>
    </cfRule>
    <cfRule type="colorScale" priority="1131">
      <colorScale>
        <cfvo type="min"/>
        <cfvo type="max"/>
        <color theme="0"/>
        <color theme="0"/>
      </colorScale>
    </cfRule>
  </conditionalFormatting>
  <conditionalFormatting sqref="CF110">
    <cfRule type="colorScale" priority="1134">
      <colorScale>
        <cfvo type="min"/>
        <cfvo type="max"/>
        <color theme="0"/>
        <color theme="0"/>
      </colorScale>
    </cfRule>
    <cfRule type="expression" dxfId="460" priority="1135">
      <formula>CE110&lt;0</formula>
    </cfRule>
  </conditionalFormatting>
  <conditionalFormatting sqref="CF110:CF111">
    <cfRule type="expression" priority="1014">
      <formula>$F$19</formula>
    </cfRule>
  </conditionalFormatting>
  <conditionalFormatting sqref="CF111">
    <cfRule type="expression" dxfId="459" priority="1015">
      <formula>CE111&lt;0</formula>
    </cfRule>
    <cfRule type="colorScale" priority="1013">
      <colorScale>
        <cfvo type="min"/>
        <cfvo type="max"/>
        <color theme="0"/>
        <color theme="0"/>
      </colorScale>
    </cfRule>
  </conditionalFormatting>
  <conditionalFormatting sqref="CF117:CF123">
    <cfRule type="expression" dxfId="458" priority="1141">
      <formula>CE117&lt;0</formula>
    </cfRule>
    <cfRule type="colorScale" priority="1139">
      <colorScale>
        <cfvo type="min"/>
        <cfvo type="max"/>
        <color theme="0"/>
        <color theme="0"/>
      </colorScale>
    </cfRule>
    <cfRule type="expression" priority="1140">
      <formula>$F$19</formula>
    </cfRule>
  </conditionalFormatting>
  <conditionalFormatting sqref="CF125">
    <cfRule type="colorScale" priority="1066">
      <colorScale>
        <cfvo type="min"/>
        <cfvo type="max"/>
        <color theme="0"/>
        <color theme="0"/>
      </colorScale>
    </cfRule>
    <cfRule type="expression" priority="1067">
      <formula>#REF!</formula>
    </cfRule>
    <cfRule type="expression" dxfId="457" priority="1068">
      <formula>CE125&lt;0</formula>
    </cfRule>
  </conditionalFormatting>
  <conditionalFormatting sqref="CF125:CF135">
    <cfRule type="expression" dxfId="456" priority="1065">
      <formula>IF(CF125="Validar","Rojo","Verde")</formula>
    </cfRule>
  </conditionalFormatting>
  <conditionalFormatting sqref="CF126:CF132">
    <cfRule type="expression" dxfId="455" priority="1144">
      <formula>CE126&lt;0</formula>
    </cfRule>
    <cfRule type="colorScale" priority="1142">
      <colorScale>
        <cfvo type="min"/>
        <cfvo type="max"/>
        <color theme="0"/>
        <color theme="0"/>
      </colorScale>
    </cfRule>
  </conditionalFormatting>
  <conditionalFormatting sqref="CF126:CF134">
    <cfRule type="expression" priority="1143">
      <formula>$F$19</formula>
    </cfRule>
  </conditionalFormatting>
  <conditionalFormatting sqref="CF133:CF134">
    <cfRule type="colorScale" priority="1145">
      <colorScale>
        <cfvo type="min"/>
        <cfvo type="max"/>
        <color theme="0"/>
        <color theme="0"/>
      </colorScale>
    </cfRule>
    <cfRule type="expression" dxfId="454" priority="1146">
      <formula>CE133&lt;0</formula>
    </cfRule>
  </conditionalFormatting>
  <conditionalFormatting sqref="CF135">
    <cfRule type="expression" priority="1137">
      <formula>$F$23</formula>
    </cfRule>
    <cfRule type="colorScale" priority="1136">
      <colorScale>
        <cfvo type="min"/>
        <cfvo type="max"/>
        <color theme="0"/>
        <color theme="0"/>
      </colorScale>
    </cfRule>
    <cfRule type="expression" dxfId="453" priority="1138">
      <formula>CE135&lt;0</formula>
    </cfRule>
  </conditionalFormatting>
  <conditionalFormatting sqref="CF110:CG111">
    <cfRule type="expression" dxfId="452" priority="1009">
      <formula>IF(CF110="Validar","Rojo","Verde")</formula>
    </cfRule>
  </conditionalFormatting>
  <conditionalFormatting sqref="CF117:CG123">
    <cfRule type="expression" dxfId="451" priority="1022">
      <formula>IF(CF117="Validar","Rojo","Verde")</formula>
    </cfRule>
  </conditionalFormatting>
  <conditionalFormatting sqref="CG40:CG66">
    <cfRule type="expression" dxfId="450" priority="1059">
      <formula>CF40&lt;0</formula>
    </cfRule>
    <cfRule type="expression" priority="1058">
      <formula>#REF!</formula>
    </cfRule>
    <cfRule type="colorScale" priority="1057">
      <colorScale>
        <cfvo type="min"/>
        <cfvo type="max"/>
        <color theme="0"/>
        <color theme="0"/>
      </colorScale>
    </cfRule>
  </conditionalFormatting>
  <conditionalFormatting sqref="CG40:CG67">
    <cfRule type="expression" dxfId="449" priority="1056">
      <formula>IF(CG40="Validar","Rojo","Verde")</formula>
    </cfRule>
  </conditionalFormatting>
  <conditionalFormatting sqref="CG67 CF82:CG82 CF92:CG92 CF103:CG103 CF107:CG107">
    <cfRule type="expression" priority="1061">
      <formula>$F$23</formula>
    </cfRule>
  </conditionalFormatting>
  <conditionalFormatting sqref="CG67 CG82 CG92 CG103 CG107">
    <cfRule type="expression" dxfId="448" priority="1062">
      <formula>CF67&lt;0</formula>
    </cfRule>
  </conditionalFormatting>
  <conditionalFormatting sqref="CG69">
    <cfRule type="colorScale" priority="1054">
      <colorScale>
        <cfvo type="min"/>
        <cfvo type="max"/>
        <color theme="0"/>
        <color theme="0"/>
      </colorScale>
    </cfRule>
    <cfRule type="expression" dxfId="447" priority="1055">
      <formula>CF69&lt;0</formula>
    </cfRule>
  </conditionalFormatting>
  <conditionalFormatting sqref="CG69:CG81">
    <cfRule type="expression" priority="1052">
      <formula>#REF!</formula>
    </cfRule>
  </conditionalFormatting>
  <conditionalFormatting sqref="CG69:CG82">
    <cfRule type="expression" dxfId="446" priority="1050">
      <formula>IF(CG69="Validar","Rojo","Verde")</formula>
    </cfRule>
  </conditionalFormatting>
  <conditionalFormatting sqref="CG70:CG78">
    <cfRule type="expression" dxfId="445" priority="1053">
      <formula>CF70&lt;0</formula>
    </cfRule>
    <cfRule type="colorScale" priority="1051">
      <colorScale>
        <cfvo type="min"/>
        <cfvo type="max"/>
        <color theme="0"/>
        <color theme="0"/>
      </colorScale>
    </cfRule>
  </conditionalFormatting>
  <conditionalFormatting sqref="CG79:CG81">
    <cfRule type="colorScale" priority="1063">
      <colorScale>
        <cfvo type="min"/>
        <cfvo type="max"/>
        <color theme="0"/>
        <color theme="0"/>
      </colorScale>
    </cfRule>
    <cfRule type="expression" dxfId="444" priority="1064">
      <formula>CF79&lt;0</formula>
    </cfRule>
  </conditionalFormatting>
  <conditionalFormatting sqref="CG82 CG67 CG92 CG103 CG107">
    <cfRule type="colorScale" priority="1060">
      <colorScale>
        <cfvo type="min"/>
        <cfvo type="max"/>
        <color theme="0"/>
        <color theme="0"/>
      </colorScale>
    </cfRule>
  </conditionalFormatting>
  <conditionalFormatting sqref="CG84">
    <cfRule type="colorScale" priority="1048">
      <colorScale>
        <cfvo type="min"/>
        <cfvo type="max"/>
        <color theme="0"/>
        <color theme="0"/>
      </colorScale>
    </cfRule>
    <cfRule type="expression" dxfId="443" priority="1049">
      <formula>CF84&lt;0</formula>
    </cfRule>
  </conditionalFormatting>
  <conditionalFormatting sqref="CG84:CG91">
    <cfRule type="expression" priority="1046">
      <formula>#REF!</formula>
    </cfRule>
  </conditionalFormatting>
  <conditionalFormatting sqref="CG84:CG92">
    <cfRule type="expression" dxfId="442" priority="1044">
      <formula>IF(CG84="Validar","Rojo","Verde")</formula>
    </cfRule>
  </conditionalFormatting>
  <conditionalFormatting sqref="CG85:CG91">
    <cfRule type="colorScale" priority="1045">
      <colorScale>
        <cfvo type="min"/>
        <cfvo type="max"/>
        <color theme="0"/>
        <color theme="0"/>
      </colorScale>
    </cfRule>
    <cfRule type="expression" dxfId="441" priority="1047">
      <formula>CF85&lt;0</formula>
    </cfRule>
  </conditionalFormatting>
  <conditionalFormatting sqref="CG94">
    <cfRule type="colorScale" priority="1042">
      <colorScale>
        <cfvo type="min"/>
        <cfvo type="max"/>
        <color theme="0"/>
        <color theme="0"/>
      </colorScale>
    </cfRule>
    <cfRule type="expression" dxfId="440" priority="1043">
      <formula>CF94&lt;0</formula>
    </cfRule>
  </conditionalFormatting>
  <conditionalFormatting sqref="CG94:CG102">
    <cfRule type="expression" priority="1036">
      <formula>#REF!</formula>
    </cfRule>
  </conditionalFormatting>
  <conditionalFormatting sqref="CG94:CG103">
    <cfRule type="expression" dxfId="439" priority="1034">
      <formula>IF(CG94="Validar","Rojo","Verde")</formula>
    </cfRule>
  </conditionalFormatting>
  <conditionalFormatting sqref="CG95:CG100">
    <cfRule type="expression" dxfId="438" priority="1041">
      <formula>CF95&lt;0</formula>
    </cfRule>
    <cfRule type="colorScale" priority="1040">
      <colorScale>
        <cfvo type="min"/>
        <cfvo type="max"/>
        <color theme="0"/>
        <color theme="0"/>
      </colorScale>
    </cfRule>
  </conditionalFormatting>
  <conditionalFormatting sqref="CG101">
    <cfRule type="expression" dxfId="437" priority="1039">
      <formula>CF101&lt;0</formula>
    </cfRule>
    <cfRule type="colorScale" priority="1038">
      <colorScale>
        <cfvo type="min"/>
        <cfvo type="max"/>
        <color theme="0"/>
        <color theme="0"/>
      </colorScale>
    </cfRule>
  </conditionalFormatting>
  <conditionalFormatting sqref="CG102">
    <cfRule type="colorScale" priority="1035">
      <colorScale>
        <cfvo type="min"/>
        <cfvo type="max"/>
        <color theme="0"/>
        <color theme="0"/>
      </colorScale>
    </cfRule>
    <cfRule type="expression" dxfId="436" priority="1037">
      <formula>CF102&lt;0</formula>
    </cfRule>
  </conditionalFormatting>
  <conditionalFormatting sqref="CG105">
    <cfRule type="expression" dxfId="435" priority="1033">
      <formula>CF105&lt;0</formula>
    </cfRule>
    <cfRule type="colorScale" priority="1032">
      <colorScale>
        <cfvo type="min"/>
        <cfvo type="max"/>
        <color theme="0"/>
        <color theme="0"/>
      </colorScale>
    </cfRule>
  </conditionalFormatting>
  <conditionalFormatting sqref="CG105:CG106">
    <cfRule type="expression" priority="1030">
      <formula>#REF!</formula>
    </cfRule>
  </conditionalFormatting>
  <conditionalFormatting sqref="CG105:CG107">
    <cfRule type="expression" dxfId="434" priority="1028">
      <formula>IF(CG105="Validar","Rojo","Verde")</formula>
    </cfRule>
  </conditionalFormatting>
  <conditionalFormatting sqref="CG106">
    <cfRule type="expression" dxfId="433" priority="1031">
      <formula>CF106&lt;0</formula>
    </cfRule>
    <cfRule type="colorScale" priority="1029">
      <colorScale>
        <cfvo type="min"/>
        <cfvo type="max"/>
        <color theme="0"/>
        <color theme="0"/>
      </colorScale>
    </cfRule>
  </conditionalFormatting>
  <conditionalFormatting sqref="CG110">
    <cfRule type="expression" dxfId="432" priority="1021">
      <formula>CF110&lt;0</formula>
    </cfRule>
    <cfRule type="colorScale" priority="1020">
      <colorScale>
        <cfvo type="min"/>
        <cfvo type="max"/>
        <color theme="0"/>
        <color theme="0"/>
      </colorScale>
    </cfRule>
  </conditionalFormatting>
  <conditionalFormatting sqref="CG110:CG111">
    <cfRule type="expression" priority="1011">
      <formula>#REF!</formula>
    </cfRule>
  </conditionalFormatting>
  <conditionalFormatting sqref="CG111">
    <cfRule type="colorScale" priority="1010">
      <colorScale>
        <cfvo type="min"/>
        <cfvo type="max"/>
        <color theme="0"/>
        <color theme="0"/>
      </colorScale>
    </cfRule>
    <cfRule type="expression" dxfId="431" priority="1012">
      <formula>CF111&lt;0</formula>
    </cfRule>
  </conditionalFormatting>
  <conditionalFormatting sqref="CG117">
    <cfRule type="expression" dxfId="430" priority="1027">
      <formula>CF117&lt;0</formula>
    </cfRule>
    <cfRule type="colorScale" priority="1026">
      <colorScale>
        <cfvo type="min"/>
        <cfvo type="max"/>
        <color theme="0"/>
        <color theme="0"/>
      </colorScale>
    </cfRule>
  </conditionalFormatting>
  <conditionalFormatting sqref="CG117:CG123">
    <cfRule type="expression" priority="1024">
      <formula>#REF!</formula>
    </cfRule>
  </conditionalFormatting>
  <conditionalFormatting sqref="CG118:CG123">
    <cfRule type="expression" dxfId="429" priority="1025">
      <formula>CF118&lt;0</formula>
    </cfRule>
    <cfRule type="colorScale" priority="1023">
      <colorScale>
        <cfvo type="min"/>
        <cfvo type="max"/>
        <color theme="0"/>
        <color theme="0"/>
      </colorScale>
    </cfRule>
  </conditionalFormatting>
  <conditionalFormatting sqref="CG126:CG135">
    <cfRule type="expression" dxfId="428" priority="1147">
      <formula>IF(CG126="Validar","Rojo","Verde")</formula>
    </cfRule>
    <cfRule type="expression" priority="1149">
      <formula>$F$23</formula>
    </cfRule>
    <cfRule type="colorScale" priority="1148">
      <colorScale>
        <cfvo type="min"/>
        <cfvo type="max"/>
        <color theme="0"/>
        <color theme="0"/>
      </colorScale>
    </cfRule>
    <cfRule type="expression" dxfId="427" priority="1150">
      <formula>CF126&lt;0</formula>
    </cfRule>
  </conditionalFormatting>
  <conditionalFormatting sqref="CI5 CI9">
    <cfRule type="expression" dxfId="426" priority="969">
      <formula>CH5&lt;0</formula>
    </cfRule>
  </conditionalFormatting>
  <conditionalFormatting sqref="CI5:CI20">
    <cfRule type="expression" dxfId="425" priority="851">
      <formula>IF(CI5="Validar","Rojo","Verde")</formula>
    </cfRule>
    <cfRule type="expression" priority="852">
      <formula>#REF!</formula>
    </cfRule>
  </conditionalFormatting>
  <conditionalFormatting sqref="CI6">
    <cfRule type="expression" dxfId="424" priority="858">
      <formula>CH6&lt;0</formula>
    </cfRule>
    <cfRule type="colorScale" priority="857">
      <colorScale>
        <cfvo type="min"/>
        <cfvo type="max"/>
        <color theme="0"/>
        <color theme="0"/>
      </colorScale>
    </cfRule>
  </conditionalFormatting>
  <conditionalFormatting sqref="CI7:CI8">
    <cfRule type="expression" dxfId="423" priority="854">
      <formula>CH7&lt;0</formula>
    </cfRule>
    <cfRule type="colorScale" priority="853">
      <colorScale>
        <cfvo type="min"/>
        <cfvo type="max"/>
        <color theme="0"/>
        <color theme="0"/>
      </colorScale>
    </cfRule>
  </conditionalFormatting>
  <conditionalFormatting sqref="CI9 CI5">
    <cfRule type="colorScale" priority="968">
      <colorScale>
        <cfvo type="min"/>
        <cfvo type="max"/>
        <color theme="0"/>
        <color theme="0"/>
      </colorScale>
    </cfRule>
  </conditionalFormatting>
  <conditionalFormatting sqref="CI10">
    <cfRule type="colorScale" priority="945">
      <colorScale>
        <cfvo type="min"/>
        <cfvo type="max"/>
        <color theme="0"/>
        <color theme="0"/>
      </colorScale>
    </cfRule>
    <cfRule type="expression" dxfId="422" priority="946">
      <formula>CH10&lt;0</formula>
    </cfRule>
  </conditionalFormatting>
  <conditionalFormatting sqref="CI11:CI14">
    <cfRule type="expression" dxfId="421" priority="967">
      <formula>CH11&lt;0</formula>
    </cfRule>
    <cfRule type="colorScale" priority="966">
      <colorScale>
        <cfvo type="min"/>
        <cfvo type="max"/>
        <color theme="0"/>
        <color theme="0"/>
      </colorScale>
    </cfRule>
  </conditionalFormatting>
  <conditionalFormatting sqref="CI15">
    <cfRule type="colorScale" priority="943">
      <colorScale>
        <cfvo type="min"/>
        <cfvo type="max"/>
        <color theme="0"/>
        <color theme="0"/>
      </colorScale>
    </cfRule>
    <cfRule type="expression" dxfId="420" priority="944">
      <formula>CH15&lt;0</formula>
    </cfRule>
  </conditionalFormatting>
  <conditionalFormatting sqref="CI16:CI17">
    <cfRule type="colorScale" priority="964">
      <colorScale>
        <cfvo type="min"/>
        <cfvo type="max"/>
        <color theme="0"/>
        <color theme="0"/>
      </colorScale>
    </cfRule>
    <cfRule type="expression" dxfId="419" priority="965">
      <formula>CH16&lt;0</formula>
    </cfRule>
  </conditionalFormatting>
  <conditionalFormatting sqref="CI18">
    <cfRule type="expression" dxfId="418" priority="942">
      <formula>CH18&lt;0</formula>
    </cfRule>
    <cfRule type="colorScale" priority="940">
      <colorScale>
        <cfvo type="min"/>
        <cfvo type="max"/>
        <color theme="0"/>
        <color theme="0"/>
      </colorScale>
    </cfRule>
  </conditionalFormatting>
  <conditionalFormatting sqref="CI19:CI20">
    <cfRule type="colorScale" priority="962">
      <colorScale>
        <cfvo type="min"/>
        <cfvo type="max"/>
        <color theme="0"/>
        <color theme="0"/>
      </colorScale>
    </cfRule>
    <cfRule type="expression" dxfId="417" priority="963">
      <formula>CH19&lt;0</formula>
    </cfRule>
  </conditionalFormatting>
  <conditionalFormatting sqref="CI23">
    <cfRule type="expression" dxfId="416" priority="938">
      <formula>CH23&lt;0</formula>
    </cfRule>
    <cfRule type="colorScale" priority="937">
      <colorScale>
        <cfvo type="min"/>
        <cfvo type="max"/>
        <color theme="0"/>
        <color theme="0"/>
      </colorScale>
    </cfRule>
  </conditionalFormatting>
  <conditionalFormatting sqref="CI23:CI31">
    <cfRule type="expression" dxfId="415" priority="931">
      <formula>IF(CI23="Validar","Rojo","Verde")</formula>
    </cfRule>
    <cfRule type="expression" priority="933">
      <formula>#REF!</formula>
    </cfRule>
  </conditionalFormatting>
  <conditionalFormatting sqref="CI24">
    <cfRule type="colorScale" priority="960">
      <colorScale>
        <cfvo type="min"/>
        <cfvo type="max"/>
        <color theme="0"/>
        <color theme="0"/>
      </colorScale>
    </cfRule>
    <cfRule type="expression" dxfId="414" priority="961">
      <formula>CH24&lt;0</formula>
    </cfRule>
  </conditionalFormatting>
  <conditionalFormatting sqref="CI25">
    <cfRule type="colorScale" priority="958">
      <colorScale>
        <cfvo type="min"/>
        <cfvo type="max"/>
        <color theme="0"/>
        <color theme="0"/>
      </colorScale>
    </cfRule>
    <cfRule type="expression" dxfId="413" priority="959">
      <formula>CH25&lt;0</formula>
    </cfRule>
  </conditionalFormatting>
  <conditionalFormatting sqref="CI26">
    <cfRule type="expression" dxfId="412" priority="936">
      <formula>CH26&lt;0</formula>
    </cfRule>
    <cfRule type="colorScale" priority="935">
      <colorScale>
        <cfvo type="min"/>
        <cfvo type="max"/>
        <color theme="0"/>
        <color theme="0"/>
      </colorScale>
    </cfRule>
  </conditionalFormatting>
  <conditionalFormatting sqref="CI27">
    <cfRule type="colorScale" priority="956">
      <colorScale>
        <cfvo type="min"/>
        <cfvo type="max"/>
        <color theme="0"/>
        <color theme="0"/>
      </colorScale>
    </cfRule>
    <cfRule type="expression" dxfId="411" priority="957">
      <formula>CH27&lt;0</formula>
    </cfRule>
  </conditionalFormatting>
  <conditionalFormatting sqref="CI28">
    <cfRule type="expression" dxfId="410" priority="955">
      <formula>CH28&lt;0</formula>
    </cfRule>
    <cfRule type="colorScale" priority="954">
      <colorScale>
        <cfvo type="min"/>
        <cfvo type="max"/>
        <color theme="0"/>
        <color theme="0"/>
      </colorScale>
    </cfRule>
  </conditionalFormatting>
  <conditionalFormatting sqref="CI29">
    <cfRule type="colorScale" priority="932">
      <colorScale>
        <cfvo type="min"/>
        <cfvo type="max"/>
        <color theme="0"/>
        <color theme="0"/>
      </colorScale>
    </cfRule>
    <cfRule type="expression" dxfId="409" priority="934">
      <formula>CH29&lt;0</formula>
    </cfRule>
  </conditionalFormatting>
  <conditionalFormatting sqref="CI30">
    <cfRule type="expression" dxfId="408" priority="953">
      <formula>CH30&lt;0</formula>
    </cfRule>
    <cfRule type="colorScale" priority="952">
      <colorScale>
        <cfvo type="min"/>
        <cfvo type="max"/>
        <color theme="0"/>
        <color theme="0"/>
      </colorScale>
    </cfRule>
  </conditionalFormatting>
  <conditionalFormatting sqref="CI31">
    <cfRule type="colorScale" priority="950">
      <colorScale>
        <cfvo type="min"/>
        <cfvo type="max"/>
        <color theme="0"/>
        <color theme="0"/>
      </colorScale>
    </cfRule>
    <cfRule type="expression" dxfId="407" priority="951">
      <formula>CH31&lt;0</formula>
    </cfRule>
  </conditionalFormatting>
  <conditionalFormatting sqref="CI39">
    <cfRule type="expression" dxfId="406" priority="930">
      <formula>CH39&lt;0</formula>
    </cfRule>
    <cfRule type="colorScale" priority="928">
      <colorScale>
        <cfvo type="min"/>
        <cfvo type="max"/>
        <color theme="0"/>
        <color theme="0"/>
      </colorScale>
    </cfRule>
    <cfRule type="expression" priority="929">
      <formula>#REF!</formula>
    </cfRule>
  </conditionalFormatting>
  <conditionalFormatting sqref="CI39:CI107">
    <cfRule type="expression" dxfId="405" priority="866">
      <formula>IF(CI39="Validar","Rojo","Verde")</formula>
    </cfRule>
  </conditionalFormatting>
  <conditionalFormatting sqref="CI40:CI67">
    <cfRule type="expression" dxfId="404" priority="949">
      <formula>CH40&lt;0</formula>
    </cfRule>
    <cfRule type="expression" priority="948">
      <formula>$F$19</formula>
    </cfRule>
    <cfRule type="colorScale" priority="947">
      <colorScale>
        <cfvo type="min"/>
        <cfvo type="max"/>
        <color theme="0"/>
        <color theme="0"/>
      </colorScale>
    </cfRule>
  </conditionalFormatting>
  <conditionalFormatting sqref="CI68">
    <cfRule type="colorScale" priority="925">
      <colorScale>
        <cfvo type="min"/>
        <cfvo type="max"/>
        <color theme="0"/>
        <color theme="0"/>
      </colorScale>
    </cfRule>
    <cfRule type="expression" dxfId="403" priority="927">
      <formula>CH68&lt;0</formula>
    </cfRule>
    <cfRule type="expression" priority="926">
      <formula>#REF!</formula>
    </cfRule>
  </conditionalFormatting>
  <conditionalFormatting sqref="CI69:CI81">
    <cfRule type="expression" dxfId="402" priority="974">
      <formula>CH69&lt;0</formula>
    </cfRule>
    <cfRule type="colorScale" priority="972">
      <colorScale>
        <cfvo type="min"/>
        <cfvo type="max"/>
        <color theme="0"/>
        <color theme="0"/>
      </colorScale>
    </cfRule>
    <cfRule type="expression" priority="973">
      <formula>$F$19</formula>
    </cfRule>
  </conditionalFormatting>
  <conditionalFormatting sqref="CI82 CI92 CI103 CI107">
    <cfRule type="expression" dxfId="401" priority="971">
      <formula>CH82&lt;0</formula>
    </cfRule>
  </conditionalFormatting>
  <conditionalFormatting sqref="CI83">
    <cfRule type="expression" priority="868">
      <formula>#REF!</formula>
    </cfRule>
    <cfRule type="expression" dxfId="400" priority="869">
      <formula>CH83&lt;0</formula>
    </cfRule>
    <cfRule type="colorScale" priority="867">
      <colorScale>
        <cfvo type="min"/>
        <cfvo type="max"/>
        <color theme="0"/>
        <color theme="0"/>
      </colorScale>
    </cfRule>
  </conditionalFormatting>
  <conditionalFormatting sqref="CI84:CI91">
    <cfRule type="colorScale" priority="975">
      <colorScale>
        <cfvo type="min"/>
        <cfvo type="max"/>
        <color theme="0"/>
        <color theme="0"/>
      </colorScale>
    </cfRule>
    <cfRule type="expression" priority="976">
      <formula>$F$19</formula>
    </cfRule>
    <cfRule type="expression" dxfId="399" priority="977">
      <formula>CH84&lt;0</formula>
    </cfRule>
  </conditionalFormatting>
  <conditionalFormatting sqref="CI92 CI82 CI103 CI107">
    <cfRule type="colorScale" priority="970">
      <colorScale>
        <cfvo type="min"/>
        <cfvo type="max"/>
        <color theme="0"/>
        <color theme="0"/>
      </colorScale>
    </cfRule>
  </conditionalFormatting>
  <conditionalFormatting sqref="CI93">
    <cfRule type="expression" dxfId="398" priority="924">
      <formula>CH93&lt;0</formula>
    </cfRule>
    <cfRule type="expression" priority="923">
      <formula>#REF!</formula>
    </cfRule>
    <cfRule type="colorScale" priority="922">
      <colorScale>
        <cfvo type="min"/>
        <cfvo type="max"/>
        <color theme="0"/>
        <color theme="0"/>
      </colorScale>
    </cfRule>
  </conditionalFormatting>
  <conditionalFormatting sqref="CI94:CI102">
    <cfRule type="expression" dxfId="397" priority="980">
      <formula>CH94&lt;0</formula>
    </cfRule>
    <cfRule type="expression" priority="979">
      <formula>$F$19</formula>
    </cfRule>
    <cfRule type="colorScale" priority="978">
      <colorScale>
        <cfvo type="min"/>
        <cfvo type="max"/>
        <color theme="0"/>
        <color theme="0"/>
      </colorScale>
    </cfRule>
  </conditionalFormatting>
  <conditionalFormatting sqref="CI104">
    <cfRule type="expression" priority="920">
      <formula>#REF!</formula>
    </cfRule>
    <cfRule type="expression" dxfId="396" priority="921">
      <formula>CH104&lt;0</formula>
    </cfRule>
    <cfRule type="colorScale" priority="919">
      <colorScale>
        <cfvo type="min"/>
        <cfvo type="max"/>
        <color theme="0"/>
        <color theme="0"/>
      </colorScale>
    </cfRule>
  </conditionalFormatting>
  <conditionalFormatting sqref="CI105:CI106">
    <cfRule type="colorScale" priority="981">
      <colorScale>
        <cfvo type="min"/>
        <cfvo type="max"/>
        <color theme="0"/>
        <color theme="0"/>
      </colorScale>
    </cfRule>
    <cfRule type="expression" priority="982">
      <formula>$F$19</formula>
    </cfRule>
    <cfRule type="expression" dxfId="395" priority="983">
      <formula>CH105&lt;0</formula>
    </cfRule>
  </conditionalFormatting>
  <conditionalFormatting sqref="CI110">
    <cfRule type="colorScale" priority="984">
      <colorScale>
        <cfvo type="min"/>
        <cfvo type="max"/>
        <color theme="0"/>
        <color theme="0"/>
      </colorScale>
    </cfRule>
    <cfRule type="expression" dxfId="394" priority="985">
      <formula>CH110&lt;0</formula>
    </cfRule>
  </conditionalFormatting>
  <conditionalFormatting sqref="CI110:CI111">
    <cfRule type="expression" priority="864">
      <formula>$F$19</formula>
    </cfRule>
  </conditionalFormatting>
  <conditionalFormatting sqref="CI111">
    <cfRule type="expression" dxfId="393" priority="865">
      <formula>CH111&lt;0</formula>
    </cfRule>
    <cfRule type="colorScale" priority="863">
      <colorScale>
        <cfvo type="min"/>
        <cfvo type="max"/>
        <color theme="0"/>
        <color theme="0"/>
      </colorScale>
    </cfRule>
  </conditionalFormatting>
  <conditionalFormatting sqref="CI117:CI123">
    <cfRule type="colorScale" priority="989">
      <colorScale>
        <cfvo type="min"/>
        <cfvo type="max"/>
        <color theme="0"/>
        <color theme="0"/>
      </colorScale>
    </cfRule>
    <cfRule type="expression" priority="990">
      <formula>$F$19</formula>
    </cfRule>
    <cfRule type="expression" dxfId="392" priority="991">
      <formula>CH117&lt;0</formula>
    </cfRule>
  </conditionalFormatting>
  <conditionalFormatting sqref="CI125">
    <cfRule type="colorScale" priority="916">
      <colorScale>
        <cfvo type="min"/>
        <cfvo type="max"/>
        <color theme="0"/>
        <color theme="0"/>
      </colorScale>
    </cfRule>
    <cfRule type="expression" priority="917">
      <formula>#REF!</formula>
    </cfRule>
    <cfRule type="expression" dxfId="391" priority="918">
      <formula>CH125&lt;0</formula>
    </cfRule>
  </conditionalFormatting>
  <conditionalFormatting sqref="CI125:CI135">
    <cfRule type="expression" dxfId="390" priority="915">
      <formula>IF(CI125="Validar","Rojo","Verde")</formula>
    </cfRule>
  </conditionalFormatting>
  <conditionalFormatting sqref="CI126:CI132">
    <cfRule type="expression" dxfId="389" priority="994">
      <formula>CH126&lt;0</formula>
    </cfRule>
    <cfRule type="colorScale" priority="992">
      <colorScale>
        <cfvo type="min"/>
        <cfvo type="max"/>
        <color theme="0"/>
        <color theme="0"/>
      </colorScale>
    </cfRule>
  </conditionalFormatting>
  <conditionalFormatting sqref="CI126:CI134">
    <cfRule type="expression" priority="993">
      <formula>$F$19</formula>
    </cfRule>
  </conditionalFormatting>
  <conditionalFormatting sqref="CI133:CI134">
    <cfRule type="colorScale" priority="995">
      <colorScale>
        <cfvo type="min"/>
        <cfvo type="max"/>
        <color theme="0"/>
        <color theme="0"/>
      </colorScale>
    </cfRule>
    <cfRule type="expression" dxfId="388" priority="996">
      <formula>CH133&lt;0</formula>
    </cfRule>
  </conditionalFormatting>
  <conditionalFormatting sqref="CI135">
    <cfRule type="colorScale" priority="986">
      <colorScale>
        <cfvo type="min"/>
        <cfvo type="max"/>
        <color theme="0"/>
        <color theme="0"/>
      </colorScale>
    </cfRule>
    <cfRule type="expression" dxfId="387" priority="988">
      <formula>CH135&lt;0</formula>
    </cfRule>
    <cfRule type="expression" priority="987">
      <formula>$F$23</formula>
    </cfRule>
  </conditionalFormatting>
  <conditionalFormatting sqref="CI110:CK111">
    <cfRule type="expression" dxfId="386" priority="859">
      <formula>IF(CI110="Validar","Rojo","Verde")</formula>
    </cfRule>
  </conditionalFormatting>
  <conditionalFormatting sqref="CI117:CK123">
    <cfRule type="expression" dxfId="385" priority="872">
      <formula>IF(CI117="Validar","Rojo","Verde")</formula>
    </cfRule>
  </conditionalFormatting>
  <conditionalFormatting sqref="CJ40:CJ66">
    <cfRule type="expression" priority="908">
      <formula>#REF!</formula>
    </cfRule>
    <cfRule type="colorScale" priority="907">
      <colorScale>
        <cfvo type="min"/>
        <cfvo type="max"/>
        <color theme="0"/>
        <color theme="0"/>
      </colorScale>
    </cfRule>
    <cfRule type="expression" dxfId="384" priority="909">
      <formula>CI40&lt;0</formula>
    </cfRule>
  </conditionalFormatting>
  <conditionalFormatting sqref="CJ40:CJ67">
    <cfRule type="expression" dxfId="383" priority="906">
      <formula>IF(CJ40="Validar","Rojo","Verde")</formula>
    </cfRule>
  </conditionalFormatting>
  <conditionalFormatting sqref="CJ67 CI82:CJ82 CI92:CJ92 CI103:CJ103 CI107:CJ107">
    <cfRule type="expression" priority="911">
      <formula>$F$23</formula>
    </cfRule>
  </conditionalFormatting>
  <conditionalFormatting sqref="CJ67 CJ82 CJ92 CJ103 CJ107">
    <cfRule type="expression" dxfId="382" priority="912">
      <formula>CI67&lt;0</formula>
    </cfRule>
  </conditionalFormatting>
  <conditionalFormatting sqref="CJ69">
    <cfRule type="colorScale" priority="904">
      <colorScale>
        <cfvo type="min"/>
        <cfvo type="max"/>
        <color theme="0"/>
        <color theme="0"/>
      </colorScale>
    </cfRule>
    <cfRule type="expression" dxfId="381" priority="905">
      <formula>CI69&lt;0</formula>
    </cfRule>
  </conditionalFormatting>
  <conditionalFormatting sqref="CJ69:CJ81">
    <cfRule type="expression" priority="902">
      <formula>#REF!</formula>
    </cfRule>
  </conditionalFormatting>
  <conditionalFormatting sqref="CJ69:CJ82">
    <cfRule type="expression" dxfId="380" priority="900">
      <formula>IF(CJ69="Validar","Rojo","Verde")</formula>
    </cfRule>
  </conditionalFormatting>
  <conditionalFormatting sqref="CJ70:CJ78">
    <cfRule type="colorScale" priority="901">
      <colorScale>
        <cfvo type="min"/>
        <cfvo type="max"/>
        <color theme="0"/>
        <color theme="0"/>
      </colorScale>
    </cfRule>
    <cfRule type="expression" dxfId="379" priority="903">
      <formula>CI70&lt;0</formula>
    </cfRule>
  </conditionalFormatting>
  <conditionalFormatting sqref="CJ79:CJ81">
    <cfRule type="colorScale" priority="913">
      <colorScale>
        <cfvo type="min"/>
        <cfvo type="max"/>
        <color theme="0"/>
        <color theme="0"/>
      </colorScale>
    </cfRule>
    <cfRule type="expression" dxfId="378" priority="914">
      <formula>CI79&lt;0</formula>
    </cfRule>
  </conditionalFormatting>
  <conditionalFormatting sqref="CJ82 CJ67 CJ92 CJ103 CJ107">
    <cfRule type="colorScale" priority="910">
      <colorScale>
        <cfvo type="min"/>
        <cfvo type="max"/>
        <color theme="0"/>
        <color theme="0"/>
      </colorScale>
    </cfRule>
  </conditionalFormatting>
  <conditionalFormatting sqref="CJ84">
    <cfRule type="colorScale" priority="898">
      <colorScale>
        <cfvo type="min"/>
        <cfvo type="max"/>
        <color theme="0"/>
        <color theme="0"/>
      </colorScale>
    </cfRule>
    <cfRule type="expression" dxfId="377" priority="899">
      <formula>CI84&lt;0</formula>
    </cfRule>
  </conditionalFormatting>
  <conditionalFormatting sqref="CJ84:CJ91">
    <cfRule type="expression" priority="896">
      <formula>#REF!</formula>
    </cfRule>
  </conditionalFormatting>
  <conditionalFormatting sqref="CJ84:CJ92">
    <cfRule type="expression" dxfId="376" priority="894">
      <formula>IF(CJ84="Validar","Rojo","Verde")</formula>
    </cfRule>
  </conditionalFormatting>
  <conditionalFormatting sqref="CJ85:CJ91">
    <cfRule type="colorScale" priority="895">
      <colorScale>
        <cfvo type="min"/>
        <cfvo type="max"/>
        <color theme="0"/>
        <color theme="0"/>
      </colorScale>
    </cfRule>
    <cfRule type="expression" dxfId="375" priority="897">
      <formula>CI85&lt;0</formula>
    </cfRule>
  </conditionalFormatting>
  <conditionalFormatting sqref="CJ94">
    <cfRule type="expression" dxfId="374" priority="893">
      <formula>CI94&lt;0</formula>
    </cfRule>
    <cfRule type="colorScale" priority="892">
      <colorScale>
        <cfvo type="min"/>
        <cfvo type="max"/>
        <color theme="0"/>
        <color theme="0"/>
      </colorScale>
    </cfRule>
  </conditionalFormatting>
  <conditionalFormatting sqref="CJ94:CJ102">
    <cfRule type="expression" priority="886">
      <formula>#REF!</formula>
    </cfRule>
  </conditionalFormatting>
  <conditionalFormatting sqref="CJ94:CJ103">
    <cfRule type="expression" dxfId="373" priority="884">
      <formula>IF(CJ94="Validar","Rojo","Verde")</formula>
    </cfRule>
  </conditionalFormatting>
  <conditionalFormatting sqref="CJ95:CJ100">
    <cfRule type="colorScale" priority="890">
      <colorScale>
        <cfvo type="min"/>
        <cfvo type="max"/>
        <color theme="0"/>
        <color theme="0"/>
      </colorScale>
    </cfRule>
    <cfRule type="expression" dxfId="372" priority="891">
      <formula>CI95&lt;0</formula>
    </cfRule>
  </conditionalFormatting>
  <conditionalFormatting sqref="CJ101">
    <cfRule type="expression" dxfId="371" priority="889">
      <formula>CI101&lt;0</formula>
    </cfRule>
    <cfRule type="colorScale" priority="888">
      <colorScale>
        <cfvo type="min"/>
        <cfvo type="max"/>
        <color theme="0"/>
        <color theme="0"/>
      </colorScale>
    </cfRule>
  </conditionalFormatting>
  <conditionalFormatting sqref="CJ102">
    <cfRule type="colorScale" priority="885">
      <colorScale>
        <cfvo type="min"/>
        <cfvo type="max"/>
        <color theme="0"/>
        <color theme="0"/>
      </colorScale>
    </cfRule>
    <cfRule type="expression" dxfId="370" priority="887">
      <formula>CI102&lt;0</formula>
    </cfRule>
  </conditionalFormatting>
  <conditionalFormatting sqref="CJ105">
    <cfRule type="colorScale" priority="882">
      <colorScale>
        <cfvo type="min"/>
        <cfvo type="max"/>
        <color theme="0"/>
        <color theme="0"/>
      </colorScale>
    </cfRule>
    <cfRule type="expression" dxfId="369" priority="883">
      <formula>CI105&lt;0</formula>
    </cfRule>
  </conditionalFormatting>
  <conditionalFormatting sqref="CJ105:CJ106">
    <cfRule type="expression" priority="880">
      <formula>#REF!</formula>
    </cfRule>
  </conditionalFormatting>
  <conditionalFormatting sqref="CJ105:CJ107">
    <cfRule type="expression" dxfId="368" priority="878">
      <formula>IF(CJ105="Validar","Rojo","Verde")</formula>
    </cfRule>
  </conditionalFormatting>
  <conditionalFormatting sqref="CJ106">
    <cfRule type="expression" dxfId="367" priority="881">
      <formula>CI106&lt;0</formula>
    </cfRule>
    <cfRule type="colorScale" priority="879">
      <colorScale>
        <cfvo type="min"/>
        <cfvo type="max"/>
        <color theme="0"/>
        <color theme="0"/>
      </colorScale>
    </cfRule>
  </conditionalFormatting>
  <conditionalFormatting sqref="CJ110">
    <cfRule type="expression" dxfId="366" priority="871">
      <formula>CI110&lt;0</formula>
    </cfRule>
    <cfRule type="colorScale" priority="870">
      <colorScale>
        <cfvo type="min"/>
        <cfvo type="max"/>
        <color theme="0"/>
        <color theme="0"/>
      </colorScale>
    </cfRule>
  </conditionalFormatting>
  <conditionalFormatting sqref="CJ111">
    <cfRule type="expression" dxfId="365" priority="862">
      <formula>CI111&lt;0</formula>
    </cfRule>
    <cfRule type="colorScale" priority="860">
      <colorScale>
        <cfvo type="min"/>
        <cfvo type="max"/>
        <color theme="0"/>
        <color theme="0"/>
      </colorScale>
    </cfRule>
  </conditionalFormatting>
  <conditionalFormatting sqref="CJ117">
    <cfRule type="colorScale" priority="876">
      <colorScale>
        <cfvo type="min"/>
        <cfvo type="max"/>
        <color theme="0"/>
        <color theme="0"/>
      </colorScale>
    </cfRule>
    <cfRule type="expression" dxfId="364" priority="877">
      <formula>CI117&lt;0</formula>
    </cfRule>
  </conditionalFormatting>
  <conditionalFormatting sqref="CJ118:CJ123">
    <cfRule type="expression" dxfId="363" priority="875">
      <formula>CI118&lt;0</formula>
    </cfRule>
    <cfRule type="colorScale" priority="873">
      <colorScale>
        <cfvo type="min"/>
        <cfvo type="max"/>
        <color theme="0"/>
        <color theme="0"/>
      </colorScale>
    </cfRule>
  </conditionalFormatting>
  <conditionalFormatting sqref="CJ126:CJ135">
    <cfRule type="expression" dxfId="362" priority="997">
      <formula>IF(CJ126="Validar","Rojo","Verde")</formula>
    </cfRule>
    <cfRule type="colorScale" priority="998">
      <colorScale>
        <cfvo type="min"/>
        <cfvo type="max"/>
        <color theme="0"/>
        <color theme="0"/>
      </colorScale>
    </cfRule>
    <cfRule type="expression" priority="999">
      <formula>$F$23</formula>
    </cfRule>
    <cfRule type="expression" dxfId="361" priority="1000">
      <formula>CI126&lt;0</formula>
    </cfRule>
  </conditionalFormatting>
  <conditionalFormatting sqref="CJ110:CK111">
    <cfRule type="expression" priority="861">
      <formula>#REF!</formula>
    </cfRule>
  </conditionalFormatting>
  <conditionalFormatting sqref="CJ117:CK123">
    <cfRule type="expression" priority="874">
      <formula>#REF!</formula>
    </cfRule>
  </conditionalFormatting>
  <conditionalFormatting sqref="CK5">
    <cfRule type="expression" dxfId="360" priority="4281">
      <formula>CJ5&lt;0</formula>
    </cfRule>
    <cfRule type="colorScale" priority="4280">
      <colorScale>
        <cfvo type="min"/>
        <cfvo type="max"/>
        <color theme="0"/>
        <color theme="0"/>
      </colorScale>
    </cfRule>
  </conditionalFormatting>
  <conditionalFormatting sqref="CK5:CK16">
    <cfRule type="expression" dxfId="359" priority="4252">
      <formula>IF(CK5="Validar","Rojo","Verde")</formula>
    </cfRule>
    <cfRule type="expression" priority="4254">
      <formula>#REF!</formula>
    </cfRule>
  </conditionalFormatting>
  <conditionalFormatting sqref="CK6:CK9">
    <cfRule type="expression" dxfId="358" priority="4289">
      <formula>CJ6&lt;0</formula>
    </cfRule>
    <cfRule type="colorScale" priority="4288">
      <colorScale>
        <cfvo type="min"/>
        <cfvo type="max"/>
        <color theme="0"/>
        <color theme="0"/>
      </colorScale>
    </cfRule>
  </conditionalFormatting>
  <conditionalFormatting sqref="CK10">
    <cfRule type="colorScale" priority="4256">
      <colorScale>
        <cfvo type="min"/>
        <cfvo type="max"/>
        <color theme="0"/>
        <color theme="0"/>
      </colorScale>
    </cfRule>
    <cfRule type="expression" dxfId="357" priority="4257">
      <formula>CJ10&lt;0</formula>
    </cfRule>
  </conditionalFormatting>
  <conditionalFormatting sqref="CK11:CK14">
    <cfRule type="expression" dxfId="356" priority="4287">
      <formula>CJ11&lt;0</formula>
    </cfRule>
    <cfRule type="colorScale" priority="4286">
      <colorScale>
        <cfvo type="min"/>
        <cfvo type="max"/>
        <color theme="0"/>
        <color theme="0"/>
      </colorScale>
    </cfRule>
  </conditionalFormatting>
  <conditionalFormatting sqref="CK15">
    <cfRule type="colorScale" priority="4253">
      <colorScale>
        <cfvo type="min"/>
        <cfvo type="max"/>
        <color theme="0"/>
        <color theme="0"/>
      </colorScale>
    </cfRule>
    <cfRule type="expression" dxfId="355" priority="4255">
      <formula>CJ15&lt;0</formula>
    </cfRule>
  </conditionalFormatting>
  <conditionalFormatting sqref="CK16">
    <cfRule type="colorScale" priority="4284">
      <colorScale>
        <cfvo type="min"/>
        <cfvo type="max"/>
        <color theme="0"/>
        <color theme="0"/>
      </colorScale>
    </cfRule>
    <cfRule type="expression" dxfId="354" priority="4285">
      <formula>CJ16&lt;0</formula>
    </cfRule>
  </conditionalFormatting>
  <conditionalFormatting sqref="CK18">
    <cfRule type="expression" dxfId="353" priority="4251">
      <formula>CJ18&lt;0</formula>
    </cfRule>
    <cfRule type="colorScale" priority="4249">
      <colorScale>
        <cfvo type="min"/>
        <cfvo type="max"/>
        <color theme="0"/>
        <color theme="0"/>
      </colorScale>
    </cfRule>
  </conditionalFormatting>
  <conditionalFormatting sqref="CK18:CK19">
    <cfRule type="expression" priority="4250">
      <formula>#REF!</formula>
    </cfRule>
    <cfRule type="expression" dxfId="352" priority="4248">
      <formula>IF(CK18="Validar","Rojo","Verde")</formula>
    </cfRule>
  </conditionalFormatting>
  <conditionalFormatting sqref="CK19">
    <cfRule type="colorScale" priority="4282">
      <colorScale>
        <cfvo type="min"/>
        <cfvo type="max"/>
        <color theme="0"/>
        <color theme="0"/>
      </colorScale>
    </cfRule>
    <cfRule type="expression" dxfId="351" priority="4283">
      <formula>CJ19&lt;0</formula>
    </cfRule>
  </conditionalFormatting>
  <conditionalFormatting sqref="CK23">
    <cfRule type="colorScale" priority="4245">
      <colorScale>
        <cfvo type="min"/>
        <cfvo type="max"/>
        <color theme="0"/>
        <color theme="0"/>
      </colorScale>
    </cfRule>
    <cfRule type="expression" dxfId="350" priority="4247">
      <formula>CJ23&lt;0</formula>
    </cfRule>
  </conditionalFormatting>
  <conditionalFormatting sqref="CK23:CK24">
    <cfRule type="expression" dxfId="349" priority="4244">
      <formula>IF(CK23="Validar","Rojo","Verde")</formula>
    </cfRule>
    <cfRule type="expression" priority="4246">
      <formula>#REF!</formula>
    </cfRule>
  </conditionalFormatting>
  <conditionalFormatting sqref="CK24">
    <cfRule type="expression" dxfId="348" priority="4279">
      <formula>CJ24&lt;0</formula>
    </cfRule>
    <cfRule type="colorScale" priority="4278">
      <colorScale>
        <cfvo type="min"/>
        <cfvo type="max"/>
        <color theme="0"/>
        <color theme="0"/>
      </colorScale>
    </cfRule>
  </conditionalFormatting>
  <conditionalFormatting sqref="CK26">
    <cfRule type="expression" dxfId="347" priority="4243">
      <formula>CJ26&lt;0</formula>
    </cfRule>
    <cfRule type="colorScale" priority="4241">
      <colorScale>
        <cfvo type="min"/>
        <cfvo type="max"/>
        <color theme="0"/>
        <color theme="0"/>
      </colorScale>
    </cfRule>
  </conditionalFormatting>
  <conditionalFormatting sqref="CK26:CK27">
    <cfRule type="expression" dxfId="346" priority="4240">
      <formula>IF(CK26="Validar","Rojo","Verde")</formula>
    </cfRule>
    <cfRule type="expression" priority="4242">
      <formula>#REF!</formula>
    </cfRule>
  </conditionalFormatting>
  <conditionalFormatting sqref="CK27">
    <cfRule type="expression" dxfId="345" priority="4277">
      <formula>CJ27&lt;0</formula>
    </cfRule>
    <cfRule type="colorScale" priority="4276">
      <colorScale>
        <cfvo type="min"/>
        <cfvo type="max"/>
        <color theme="0"/>
        <color theme="0"/>
      </colorScale>
    </cfRule>
  </conditionalFormatting>
  <conditionalFormatting sqref="CK29">
    <cfRule type="expression" dxfId="344" priority="4239">
      <formula>CJ29&lt;0</formula>
    </cfRule>
    <cfRule type="colorScale" priority="4237">
      <colorScale>
        <cfvo type="min"/>
        <cfvo type="max"/>
        <color theme="0"/>
        <color theme="0"/>
      </colorScale>
    </cfRule>
  </conditionalFormatting>
  <conditionalFormatting sqref="CK29:CK30">
    <cfRule type="expression" priority="4238">
      <formula>#REF!</formula>
    </cfRule>
    <cfRule type="expression" dxfId="343" priority="4236">
      <formula>IF(CK29="Validar","Rojo","Verde")</formula>
    </cfRule>
  </conditionalFormatting>
  <conditionalFormatting sqref="CK30">
    <cfRule type="expression" dxfId="342" priority="4275">
      <formula>CJ30&lt;0</formula>
    </cfRule>
    <cfRule type="colorScale" priority="4274">
      <colorScale>
        <cfvo type="min"/>
        <cfvo type="max"/>
        <color theme="0"/>
        <color theme="0"/>
      </colorScale>
    </cfRule>
  </conditionalFormatting>
  <conditionalFormatting sqref="CK39">
    <cfRule type="expression" dxfId="341" priority="4235">
      <formula>CJ39&lt;0</formula>
    </cfRule>
    <cfRule type="colorScale" priority="4233">
      <colorScale>
        <cfvo type="min"/>
        <cfvo type="max"/>
        <color theme="0"/>
        <color theme="0"/>
      </colorScale>
    </cfRule>
  </conditionalFormatting>
  <conditionalFormatting sqref="CK39:CK66">
    <cfRule type="expression" priority="4234">
      <formula>#REF!</formula>
    </cfRule>
    <cfRule type="expression" dxfId="340" priority="4232">
      <formula>IF(CK39="Validar","Rojo","Verde")</formula>
    </cfRule>
  </conditionalFormatting>
  <conditionalFormatting sqref="CK40:CK66">
    <cfRule type="expression" dxfId="339" priority="4273">
      <formula>CJ40&lt;0</formula>
    </cfRule>
    <cfRule type="colorScale" priority="4272">
      <colorScale>
        <cfvo type="min"/>
        <cfvo type="max"/>
        <color theme="0"/>
        <color theme="0"/>
      </colorScale>
    </cfRule>
  </conditionalFormatting>
  <conditionalFormatting sqref="CK68">
    <cfRule type="expression" dxfId="338" priority="4231">
      <formula>CJ68&lt;0</formula>
    </cfRule>
    <cfRule type="colorScale" priority="4229">
      <colorScale>
        <cfvo type="min"/>
        <cfvo type="max"/>
        <color theme="0"/>
        <color theme="0"/>
      </colorScale>
    </cfRule>
  </conditionalFormatting>
  <conditionalFormatting sqref="CK68:CK81">
    <cfRule type="expression" dxfId="337" priority="4228">
      <formula>IF(CK68="Validar","Rojo","Verde")</formula>
    </cfRule>
    <cfRule type="expression" priority="4230">
      <formula>#REF!</formula>
    </cfRule>
  </conditionalFormatting>
  <conditionalFormatting sqref="CK69:CK81">
    <cfRule type="colorScale" priority="4290">
      <colorScale>
        <cfvo type="min"/>
        <cfvo type="max"/>
        <color theme="0"/>
        <color theme="0"/>
      </colorScale>
    </cfRule>
    <cfRule type="expression" dxfId="336" priority="4291">
      <formula>CJ69&lt;0</formula>
    </cfRule>
  </conditionalFormatting>
  <conditionalFormatting sqref="CK83">
    <cfRule type="expression" dxfId="335" priority="4214">
      <formula>CJ83&lt;0</formula>
    </cfRule>
    <cfRule type="colorScale" priority="4212">
      <colorScale>
        <cfvo type="min"/>
        <cfvo type="max"/>
        <color theme="0"/>
        <color theme="0"/>
      </colorScale>
    </cfRule>
  </conditionalFormatting>
  <conditionalFormatting sqref="CK83:CK91">
    <cfRule type="expression" dxfId="334" priority="4211">
      <formula>IF(CK83="Validar","Rojo","Verde")</formula>
    </cfRule>
    <cfRule type="expression" priority="4213">
      <formula>#REF!</formula>
    </cfRule>
  </conditionalFormatting>
  <conditionalFormatting sqref="CK84:CK91">
    <cfRule type="expression" dxfId="333" priority="4271">
      <formula>CJ84&lt;0</formula>
    </cfRule>
    <cfRule type="colorScale" priority="4270">
      <colorScale>
        <cfvo type="min"/>
        <cfvo type="max"/>
        <color theme="0"/>
        <color theme="0"/>
      </colorScale>
    </cfRule>
  </conditionalFormatting>
  <conditionalFormatting sqref="CK93">
    <cfRule type="colorScale" priority="4225">
      <colorScale>
        <cfvo type="min"/>
        <cfvo type="max"/>
        <color theme="0"/>
        <color theme="0"/>
      </colorScale>
    </cfRule>
    <cfRule type="expression" dxfId="332" priority="4227">
      <formula>CJ93&lt;0</formula>
    </cfRule>
  </conditionalFormatting>
  <conditionalFormatting sqref="CK93:CK102">
    <cfRule type="expression" priority="4226">
      <formula>#REF!</formula>
    </cfRule>
    <cfRule type="expression" dxfId="331" priority="4224">
      <formula>IF(CK93="Validar","Rojo","Verde")</formula>
    </cfRule>
  </conditionalFormatting>
  <conditionalFormatting sqref="CK94:CK102">
    <cfRule type="expression" dxfId="330" priority="4269">
      <formula>CJ94&lt;0</formula>
    </cfRule>
    <cfRule type="colorScale" priority="4268">
      <colorScale>
        <cfvo type="min"/>
        <cfvo type="max"/>
        <color theme="0"/>
        <color theme="0"/>
      </colorScale>
    </cfRule>
  </conditionalFormatting>
  <conditionalFormatting sqref="CK104">
    <cfRule type="expression" dxfId="329" priority="4223">
      <formula>CJ104&lt;0</formula>
    </cfRule>
    <cfRule type="colorScale" priority="4221">
      <colorScale>
        <cfvo type="min"/>
        <cfvo type="max"/>
        <color theme="0"/>
        <color theme="0"/>
      </colorScale>
    </cfRule>
  </conditionalFormatting>
  <conditionalFormatting sqref="CK104:CK106">
    <cfRule type="expression" priority="4222">
      <formula>#REF!</formula>
    </cfRule>
    <cfRule type="expression" dxfId="328" priority="4220">
      <formula>IF(CK104="Validar","Rojo","Verde")</formula>
    </cfRule>
  </conditionalFormatting>
  <conditionalFormatting sqref="CK105:CK106">
    <cfRule type="expression" dxfId="327" priority="4267">
      <formula>CJ105&lt;0</formula>
    </cfRule>
    <cfRule type="colorScale" priority="4266">
      <colorScale>
        <cfvo type="min"/>
        <cfvo type="max"/>
        <color theme="0"/>
        <color theme="0"/>
      </colorScale>
    </cfRule>
  </conditionalFormatting>
  <conditionalFormatting sqref="CK110">
    <cfRule type="colorScale" priority="4264">
      <colorScale>
        <cfvo type="min"/>
        <cfvo type="max"/>
        <color theme="0"/>
        <color theme="0"/>
      </colorScale>
    </cfRule>
    <cfRule type="expression" dxfId="326" priority="4265">
      <formula>CJ110&lt;0</formula>
    </cfRule>
  </conditionalFormatting>
  <conditionalFormatting sqref="CK111">
    <cfRule type="colorScale" priority="4205">
      <colorScale>
        <cfvo type="min"/>
        <cfvo type="max"/>
        <color theme="0"/>
        <color theme="0"/>
      </colorScale>
    </cfRule>
    <cfRule type="expression" dxfId="325" priority="4207">
      <formula>CJ111&lt;0</formula>
    </cfRule>
  </conditionalFormatting>
  <conditionalFormatting sqref="CK117:CK123">
    <cfRule type="expression" dxfId="324" priority="4263">
      <formula>CJ117&lt;0</formula>
    </cfRule>
    <cfRule type="colorScale" priority="4261">
      <colorScale>
        <cfvo type="min"/>
        <cfvo type="max"/>
        <color theme="0"/>
        <color theme="0"/>
      </colorScale>
    </cfRule>
  </conditionalFormatting>
  <conditionalFormatting sqref="CK125">
    <cfRule type="colorScale" priority="4217">
      <colorScale>
        <cfvo type="min"/>
        <cfvo type="max"/>
        <color theme="0"/>
        <color theme="0"/>
      </colorScale>
    </cfRule>
    <cfRule type="expression" dxfId="323" priority="4219">
      <formula>CJ125&lt;0</formula>
    </cfRule>
  </conditionalFormatting>
  <conditionalFormatting sqref="CK125:CK134">
    <cfRule type="expression" priority="4218">
      <formula>#REF!</formula>
    </cfRule>
    <cfRule type="expression" dxfId="322" priority="4216">
      <formula>IF(CK125="Validar","Rojo","Verde")</formula>
    </cfRule>
  </conditionalFormatting>
  <conditionalFormatting sqref="CK126:CK134">
    <cfRule type="expression" dxfId="321" priority="4259">
      <formula>CJ126&lt;0</formula>
    </cfRule>
    <cfRule type="colorScale" priority="4258">
      <colorScale>
        <cfvo type="min"/>
        <cfvo type="max"/>
        <color theme="0"/>
        <color theme="0"/>
      </colorScale>
    </cfRule>
  </conditionalFormatting>
  <conditionalFormatting sqref="CM5 CM9">
    <cfRule type="expression" dxfId="320" priority="819">
      <formula>CL5&lt;0</formula>
    </cfRule>
  </conditionalFormatting>
  <conditionalFormatting sqref="CM5:CM20">
    <cfRule type="expression" dxfId="319" priority="701">
      <formula>IF(CM5="Validar","Rojo","Verde")</formula>
    </cfRule>
    <cfRule type="expression" priority="702">
      <formula>#REF!</formula>
    </cfRule>
  </conditionalFormatting>
  <conditionalFormatting sqref="CM6">
    <cfRule type="expression" dxfId="318" priority="708">
      <formula>CL6&lt;0</formula>
    </cfRule>
    <cfRule type="colorScale" priority="707">
      <colorScale>
        <cfvo type="min"/>
        <cfvo type="max"/>
        <color theme="0"/>
        <color theme="0"/>
      </colorScale>
    </cfRule>
  </conditionalFormatting>
  <conditionalFormatting sqref="CM7:CM8">
    <cfRule type="expression" dxfId="317" priority="704">
      <formula>CL7&lt;0</formula>
    </cfRule>
    <cfRule type="colorScale" priority="703">
      <colorScale>
        <cfvo type="min"/>
        <cfvo type="max"/>
        <color theme="0"/>
        <color theme="0"/>
      </colorScale>
    </cfRule>
  </conditionalFormatting>
  <conditionalFormatting sqref="CM9 CM5">
    <cfRule type="colorScale" priority="818">
      <colorScale>
        <cfvo type="min"/>
        <cfvo type="max"/>
        <color theme="0"/>
        <color theme="0"/>
      </colorScale>
    </cfRule>
  </conditionalFormatting>
  <conditionalFormatting sqref="CM10">
    <cfRule type="expression" dxfId="316" priority="796">
      <formula>CL10&lt;0</formula>
    </cfRule>
    <cfRule type="colorScale" priority="795">
      <colorScale>
        <cfvo type="min"/>
        <cfvo type="max"/>
        <color theme="0"/>
        <color theme="0"/>
      </colorScale>
    </cfRule>
  </conditionalFormatting>
  <conditionalFormatting sqref="CM11:CM14">
    <cfRule type="colorScale" priority="816">
      <colorScale>
        <cfvo type="min"/>
        <cfvo type="max"/>
        <color theme="0"/>
        <color theme="0"/>
      </colorScale>
    </cfRule>
    <cfRule type="expression" dxfId="315" priority="817">
      <formula>CL11&lt;0</formula>
    </cfRule>
  </conditionalFormatting>
  <conditionalFormatting sqref="CM15">
    <cfRule type="expression" dxfId="314" priority="794">
      <formula>CL15&lt;0</formula>
    </cfRule>
    <cfRule type="colorScale" priority="793">
      <colorScale>
        <cfvo type="min"/>
        <cfvo type="max"/>
        <color theme="0"/>
        <color theme="0"/>
      </colorScale>
    </cfRule>
  </conditionalFormatting>
  <conditionalFormatting sqref="CM16:CM17">
    <cfRule type="colorScale" priority="814">
      <colorScale>
        <cfvo type="min"/>
        <cfvo type="max"/>
        <color theme="0"/>
        <color theme="0"/>
      </colorScale>
    </cfRule>
    <cfRule type="expression" dxfId="313" priority="815">
      <formula>CL16&lt;0</formula>
    </cfRule>
  </conditionalFormatting>
  <conditionalFormatting sqref="CM18">
    <cfRule type="colorScale" priority="790">
      <colorScale>
        <cfvo type="min"/>
        <cfvo type="max"/>
        <color theme="0"/>
        <color theme="0"/>
      </colorScale>
    </cfRule>
    <cfRule type="expression" dxfId="312" priority="792">
      <formula>CL18&lt;0</formula>
    </cfRule>
  </conditionalFormatting>
  <conditionalFormatting sqref="CM19:CM20">
    <cfRule type="colorScale" priority="812">
      <colorScale>
        <cfvo type="min"/>
        <cfvo type="max"/>
        <color theme="0"/>
        <color theme="0"/>
      </colorScale>
    </cfRule>
    <cfRule type="expression" dxfId="311" priority="813">
      <formula>CL19&lt;0</formula>
    </cfRule>
  </conditionalFormatting>
  <conditionalFormatting sqref="CM23">
    <cfRule type="expression" dxfId="310" priority="788">
      <formula>CL23&lt;0</formula>
    </cfRule>
    <cfRule type="colorScale" priority="787">
      <colorScale>
        <cfvo type="min"/>
        <cfvo type="max"/>
        <color theme="0"/>
        <color theme="0"/>
      </colorScale>
    </cfRule>
  </conditionalFormatting>
  <conditionalFormatting sqref="CM23:CM31">
    <cfRule type="expression" dxfId="309" priority="781">
      <formula>IF(CM23="Validar","Rojo","Verde")</formula>
    </cfRule>
    <cfRule type="expression" priority="783">
      <formula>#REF!</formula>
    </cfRule>
  </conditionalFormatting>
  <conditionalFormatting sqref="CM24">
    <cfRule type="expression" dxfId="308" priority="811">
      <formula>CL24&lt;0</formula>
    </cfRule>
    <cfRule type="colorScale" priority="810">
      <colorScale>
        <cfvo type="min"/>
        <cfvo type="max"/>
        <color theme="0"/>
        <color theme="0"/>
      </colorScale>
    </cfRule>
  </conditionalFormatting>
  <conditionalFormatting sqref="CM25">
    <cfRule type="colorScale" priority="808">
      <colorScale>
        <cfvo type="min"/>
        <cfvo type="max"/>
        <color theme="0"/>
        <color theme="0"/>
      </colorScale>
    </cfRule>
    <cfRule type="expression" dxfId="307" priority="809">
      <formula>CL25&lt;0</formula>
    </cfRule>
  </conditionalFormatting>
  <conditionalFormatting sqref="CM26">
    <cfRule type="expression" dxfId="306" priority="786">
      <formula>CL26&lt;0</formula>
    </cfRule>
    <cfRule type="colorScale" priority="785">
      <colorScale>
        <cfvo type="min"/>
        <cfvo type="max"/>
        <color theme="0"/>
        <color theme="0"/>
      </colorScale>
    </cfRule>
  </conditionalFormatting>
  <conditionalFormatting sqref="CM27">
    <cfRule type="expression" dxfId="305" priority="807">
      <formula>CL27&lt;0</formula>
    </cfRule>
    <cfRule type="colorScale" priority="806">
      <colorScale>
        <cfvo type="min"/>
        <cfvo type="max"/>
        <color theme="0"/>
        <color theme="0"/>
      </colorScale>
    </cfRule>
  </conditionalFormatting>
  <conditionalFormatting sqref="CM28">
    <cfRule type="colorScale" priority="804">
      <colorScale>
        <cfvo type="min"/>
        <cfvo type="max"/>
        <color theme="0"/>
        <color theme="0"/>
      </colorScale>
    </cfRule>
    <cfRule type="expression" dxfId="304" priority="805">
      <formula>CL28&lt;0</formula>
    </cfRule>
  </conditionalFormatting>
  <conditionalFormatting sqref="CM29">
    <cfRule type="expression" dxfId="303" priority="784">
      <formula>CL29&lt;0</formula>
    </cfRule>
    <cfRule type="colorScale" priority="782">
      <colorScale>
        <cfvo type="min"/>
        <cfvo type="max"/>
        <color theme="0"/>
        <color theme="0"/>
      </colorScale>
    </cfRule>
  </conditionalFormatting>
  <conditionalFormatting sqref="CM30">
    <cfRule type="colorScale" priority="802">
      <colorScale>
        <cfvo type="min"/>
        <cfvo type="max"/>
        <color theme="0"/>
        <color theme="0"/>
      </colorScale>
    </cfRule>
    <cfRule type="expression" dxfId="302" priority="803">
      <formula>CL30&lt;0</formula>
    </cfRule>
  </conditionalFormatting>
  <conditionalFormatting sqref="CM31">
    <cfRule type="colorScale" priority="800">
      <colorScale>
        <cfvo type="min"/>
        <cfvo type="max"/>
        <color theme="0"/>
        <color theme="0"/>
      </colorScale>
    </cfRule>
    <cfRule type="expression" dxfId="301" priority="801">
      <formula>CL31&lt;0</formula>
    </cfRule>
  </conditionalFormatting>
  <conditionalFormatting sqref="CM39">
    <cfRule type="colorScale" priority="778">
      <colorScale>
        <cfvo type="min"/>
        <cfvo type="max"/>
        <color theme="0"/>
        <color theme="0"/>
      </colorScale>
    </cfRule>
    <cfRule type="expression" priority="779">
      <formula>#REF!</formula>
    </cfRule>
    <cfRule type="expression" dxfId="300" priority="780">
      <formula>CL39&lt;0</formula>
    </cfRule>
  </conditionalFormatting>
  <conditionalFormatting sqref="CM39:CM107">
    <cfRule type="expression" dxfId="299" priority="716">
      <formula>IF(CM39="Validar","Rojo","Verde")</formula>
    </cfRule>
  </conditionalFormatting>
  <conditionalFormatting sqref="CM40:CM67">
    <cfRule type="expression" dxfId="298" priority="799">
      <formula>CL40&lt;0</formula>
    </cfRule>
    <cfRule type="expression" priority="798">
      <formula>$F$19</formula>
    </cfRule>
    <cfRule type="colorScale" priority="797">
      <colorScale>
        <cfvo type="min"/>
        <cfvo type="max"/>
        <color theme="0"/>
        <color theme="0"/>
      </colorScale>
    </cfRule>
  </conditionalFormatting>
  <conditionalFormatting sqref="CM68">
    <cfRule type="expression" dxfId="297" priority="777">
      <formula>CL68&lt;0</formula>
    </cfRule>
    <cfRule type="colorScale" priority="775">
      <colorScale>
        <cfvo type="min"/>
        <cfvo type="max"/>
        <color theme="0"/>
        <color theme="0"/>
      </colorScale>
    </cfRule>
    <cfRule type="expression" priority="776">
      <formula>#REF!</formula>
    </cfRule>
  </conditionalFormatting>
  <conditionalFormatting sqref="CM69:CM81">
    <cfRule type="expression" priority="823">
      <formula>$F$19</formula>
    </cfRule>
    <cfRule type="expression" dxfId="296" priority="824">
      <formula>CL69&lt;0</formula>
    </cfRule>
    <cfRule type="colorScale" priority="822">
      <colorScale>
        <cfvo type="min"/>
        <cfvo type="max"/>
        <color theme="0"/>
        <color theme="0"/>
      </colorScale>
    </cfRule>
  </conditionalFormatting>
  <conditionalFormatting sqref="CM82 CM92 CM103 CM107">
    <cfRule type="expression" dxfId="295" priority="821">
      <formula>CL82&lt;0</formula>
    </cfRule>
  </conditionalFormatting>
  <conditionalFormatting sqref="CM83">
    <cfRule type="expression" dxfId="294" priority="719">
      <formula>CL83&lt;0</formula>
    </cfRule>
    <cfRule type="expression" priority="718">
      <formula>#REF!</formula>
    </cfRule>
    <cfRule type="colorScale" priority="717">
      <colorScale>
        <cfvo type="min"/>
        <cfvo type="max"/>
        <color theme="0"/>
        <color theme="0"/>
      </colorScale>
    </cfRule>
  </conditionalFormatting>
  <conditionalFormatting sqref="CM84:CM91">
    <cfRule type="expression" priority="826">
      <formula>$F$19</formula>
    </cfRule>
    <cfRule type="colorScale" priority="825">
      <colorScale>
        <cfvo type="min"/>
        <cfvo type="max"/>
        <color theme="0"/>
        <color theme="0"/>
      </colorScale>
    </cfRule>
    <cfRule type="expression" dxfId="293" priority="827">
      <formula>CL84&lt;0</formula>
    </cfRule>
  </conditionalFormatting>
  <conditionalFormatting sqref="CM92 CM82 CM103 CM107">
    <cfRule type="colorScale" priority="820">
      <colorScale>
        <cfvo type="min"/>
        <cfvo type="max"/>
        <color theme="0"/>
        <color theme="0"/>
      </colorScale>
    </cfRule>
  </conditionalFormatting>
  <conditionalFormatting sqref="CM93">
    <cfRule type="colorScale" priority="772">
      <colorScale>
        <cfvo type="min"/>
        <cfvo type="max"/>
        <color theme="0"/>
        <color theme="0"/>
      </colorScale>
    </cfRule>
    <cfRule type="expression" dxfId="292" priority="774">
      <formula>CL93&lt;0</formula>
    </cfRule>
    <cfRule type="expression" priority="773">
      <formula>#REF!</formula>
    </cfRule>
  </conditionalFormatting>
  <conditionalFormatting sqref="CM94:CM102">
    <cfRule type="colorScale" priority="828">
      <colorScale>
        <cfvo type="min"/>
        <cfvo type="max"/>
        <color theme="0"/>
        <color theme="0"/>
      </colorScale>
    </cfRule>
    <cfRule type="expression" priority="829">
      <formula>$F$19</formula>
    </cfRule>
    <cfRule type="expression" dxfId="291" priority="830">
      <formula>CL94&lt;0</formula>
    </cfRule>
  </conditionalFormatting>
  <conditionalFormatting sqref="CM104">
    <cfRule type="colorScale" priority="769">
      <colorScale>
        <cfvo type="min"/>
        <cfvo type="max"/>
        <color theme="0"/>
        <color theme="0"/>
      </colorScale>
    </cfRule>
    <cfRule type="expression" dxfId="290" priority="771">
      <formula>CL104&lt;0</formula>
    </cfRule>
    <cfRule type="expression" priority="770">
      <formula>#REF!</formula>
    </cfRule>
  </conditionalFormatting>
  <conditionalFormatting sqref="CM105:CM106">
    <cfRule type="colorScale" priority="831">
      <colorScale>
        <cfvo type="min"/>
        <cfvo type="max"/>
        <color theme="0"/>
        <color theme="0"/>
      </colorScale>
    </cfRule>
    <cfRule type="expression" priority="832">
      <formula>$F$19</formula>
    </cfRule>
    <cfRule type="expression" dxfId="289" priority="833">
      <formula>CL105&lt;0</formula>
    </cfRule>
  </conditionalFormatting>
  <conditionalFormatting sqref="CM110">
    <cfRule type="colorScale" priority="834">
      <colorScale>
        <cfvo type="min"/>
        <cfvo type="max"/>
        <color theme="0"/>
        <color theme="0"/>
      </colorScale>
    </cfRule>
    <cfRule type="expression" dxfId="288" priority="835">
      <formula>CL110&lt;0</formula>
    </cfRule>
  </conditionalFormatting>
  <conditionalFormatting sqref="CM110:CM111">
    <cfRule type="expression" priority="714">
      <formula>$F$19</formula>
    </cfRule>
  </conditionalFormatting>
  <conditionalFormatting sqref="CM111">
    <cfRule type="expression" dxfId="287" priority="715">
      <formula>CL111&lt;0</formula>
    </cfRule>
    <cfRule type="colorScale" priority="713">
      <colorScale>
        <cfvo type="min"/>
        <cfvo type="max"/>
        <color theme="0"/>
        <color theme="0"/>
      </colorScale>
    </cfRule>
  </conditionalFormatting>
  <conditionalFormatting sqref="CM117:CM123">
    <cfRule type="expression" dxfId="286" priority="841">
      <formula>CL117&lt;0</formula>
    </cfRule>
    <cfRule type="expression" priority="840">
      <formula>$F$19</formula>
    </cfRule>
    <cfRule type="colorScale" priority="839">
      <colorScale>
        <cfvo type="min"/>
        <cfvo type="max"/>
        <color theme="0"/>
        <color theme="0"/>
      </colorScale>
    </cfRule>
  </conditionalFormatting>
  <conditionalFormatting sqref="CM125">
    <cfRule type="expression" dxfId="285" priority="768">
      <formula>CL125&lt;0</formula>
    </cfRule>
    <cfRule type="colorScale" priority="766">
      <colorScale>
        <cfvo type="min"/>
        <cfvo type="max"/>
        <color theme="0"/>
        <color theme="0"/>
      </colorScale>
    </cfRule>
    <cfRule type="expression" priority="767">
      <formula>#REF!</formula>
    </cfRule>
  </conditionalFormatting>
  <conditionalFormatting sqref="CM125:CM135">
    <cfRule type="expression" dxfId="284" priority="765">
      <formula>IF(CM125="Validar","Rojo","Verde")</formula>
    </cfRule>
  </conditionalFormatting>
  <conditionalFormatting sqref="CM126:CM132">
    <cfRule type="colorScale" priority="842">
      <colorScale>
        <cfvo type="min"/>
        <cfvo type="max"/>
        <color theme="0"/>
        <color theme="0"/>
      </colorScale>
    </cfRule>
    <cfRule type="expression" dxfId="283" priority="844">
      <formula>CL126&lt;0</formula>
    </cfRule>
  </conditionalFormatting>
  <conditionalFormatting sqref="CM126:CM134">
    <cfRule type="expression" priority="843">
      <formula>$F$19</formula>
    </cfRule>
  </conditionalFormatting>
  <conditionalFormatting sqref="CM133:CM134">
    <cfRule type="colorScale" priority="845">
      <colorScale>
        <cfvo type="min"/>
        <cfvo type="max"/>
        <color theme="0"/>
        <color theme="0"/>
      </colorScale>
    </cfRule>
    <cfRule type="expression" dxfId="282" priority="846">
      <formula>CL133&lt;0</formula>
    </cfRule>
  </conditionalFormatting>
  <conditionalFormatting sqref="CM135">
    <cfRule type="colorScale" priority="836">
      <colorScale>
        <cfvo type="min"/>
        <cfvo type="max"/>
        <color theme="0"/>
        <color theme="0"/>
      </colorScale>
    </cfRule>
    <cfRule type="expression" priority="837">
      <formula>$F$23</formula>
    </cfRule>
    <cfRule type="expression" dxfId="281" priority="838">
      <formula>CL135&lt;0</formula>
    </cfRule>
  </conditionalFormatting>
  <conditionalFormatting sqref="CM110:CN111">
    <cfRule type="expression" dxfId="280" priority="709">
      <formula>IF(CM110="Validar","Rojo","Verde")</formula>
    </cfRule>
  </conditionalFormatting>
  <conditionalFormatting sqref="CM117:CN123">
    <cfRule type="expression" dxfId="279" priority="722">
      <formula>IF(CM117="Validar","Rojo","Verde")</formula>
    </cfRule>
  </conditionalFormatting>
  <conditionalFormatting sqref="CN40:CN66">
    <cfRule type="expression" dxfId="278" priority="759">
      <formula>CM40&lt;0</formula>
    </cfRule>
    <cfRule type="colorScale" priority="757">
      <colorScale>
        <cfvo type="min"/>
        <cfvo type="max"/>
        <color theme="0"/>
        <color theme="0"/>
      </colorScale>
    </cfRule>
    <cfRule type="expression" priority="758">
      <formula>#REF!</formula>
    </cfRule>
  </conditionalFormatting>
  <conditionalFormatting sqref="CN40:CN67">
    <cfRule type="expression" dxfId="277" priority="756">
      <formula>IF(CN40="Validar","Rojo","Verde")</formula>
    </cfRule>
  </conditionalFormatting>
  <conditionalFormatting sqref="CN67 CM82:CN82 CM92:CN92 CM103:CN103 CM107:CN107">
    <cfRule type="expression" priority="761">
      <formula>$F$23</formula>
    </cfRule>
  </conditionalFormatting>
  <conditionalFormatting sqref="CN67 CN82 CN92 CN103 CN107">
    <cfRule type="expression" dxfId="276" priority="762">
      <formula>CM67&lt;0</formula>
    </cfRule>
  </conditionalFormatting>
  <conditionalFormatting sqref="CN69">
    <cfRule type="colorScale" priority="754">
      <colorScale>
        <cfvo type="min"/>
        <cfvo type="max"/>
        <color theme="0"/>
        <color theme="0"/>
      </colorScale>
    </cfRule>
    <cfRule type="expression" dxfId="275" priority="755">
      <formula>CM69&lt;0</formula>
    </cfRule>
  </conditionalFormatting>
  <conditionalFormatting sqref="CN69:CN81">
    <cfRule type="expression" priority="752">
      <formula>#REF!</formula>
    </cfRule>
  </conditionalFormatting>
  <conditionalFormatting sqref="CN69:CN82">
    <cfRule type="expression" dxfId="274" priority="750">
      <formula>IF(CN69="Validar","Rojo","Verde")</formula>
    </cfRule>
  </conditionalFormatting>
  <conditionalFormatting sqref="CN70:CN78">
    <cfRule type="expression" dxfId="273" priority="753">
      <formula>CM70&lt;0</formula>
    </cfRule>
    <cfRule type="colorScale" priority="751">
      <colorScale>
        <cfvo type="min"/>
        <cfvo type="max"/>
        <color theme="0"/>
        <color theme="0"/>
      </colorScale>
    </cfRule>
  </conditionalFormatting>
  <conditionalFormatting sqref="CN79:CN81">
    <cfRule type="colorScale" priority="763">
      <colorScale>
        <cfvo type="min"/>
        <cfvo type="max"/>
        <color theme="0"/>
        <color theme="0"/>
      </colorScale>
    </cfRule>
    <cfRule type="expression" dxfId="272" priority="764">
      <formula>CM79&lt;0</formula>
    </cfRule>
  </conditionalFormatting>
  <conditionalFormatting sqref="CN82 CN67 CN92 CN103 CN107">
    <cfRule type="colorScale" priority="760">
      <colorScale>
        <cfvo type="min"/>
        <cfvo type="max"/>
        <color theme="0"/>
        <color theme="0"/>
      </colorScale>
    </cfRule>
  </conditionalFormatting>
  <conditionalFormatting sqref="CN84">
    <cfRule type="colorScale" priority="748">
      <colorScale>
        <cfvo type="min"/>
        <cfvo type="max"/>
        <color theme="0"/>
        <color theme="0"/>
      </colorScale>
    </cfRule>
    <cfRule type="expression" dxfId="271" priority="749">
      <formula>CM84&lt;0</formula>
    </cfRule>
  </conditionalFormatting>
  <conditionalFormatting sqref="CN84:CN91">
    <cfRule type="expression" priority="746">
      <formula>#REF!</formula>
    </cfRule>
  </conditionalFormatting>
  <conditionalFormatting sqref="CN84:CN92">
    <cfRule type="expression" dxfId="270" priority="744">
      <formula>IF(CN84="Validar","Rojo","Verde")</formula>
    </cfRule>
  </conditionalFormatting>
  <conditionalFormatting sqref="CN85:CN91">
    <cfRule type="colorScale" priority="745">
      <colorScale>
        <cfvo type="min"/>
        <cfvo type="max"/>
        <color theme="0"/>
        <color theme="0"/>
      </colorScale>
    </cfRule>
    <cfRule type="expression" dxfId="269" priority="747">
      <formula>CM85&lt;0</formula>
    </cfRule>
  </conditionalFormatting>
  <conditionalFormatting sqref="CN94">
    <cfRule type="colorScale" priority="742">
      <colorScale>
        <cfvo type="min"/>
        <cfvo type="max"/>
        <color theme="0"/>
        <color theme="0"/>
      </colorScale>
    </cfRule>
    <cfRule type="expression" dxfId="268" priority="743">
      <formula>CM94&lt;0</formula>
    </cfRule>
  </conditionalFormatting>
  <conditionalFormatting sqref="CN94:CN102">
    <cfRule type="expression" priority="736">
      <formula>#REF!</formula>
    </cfRule>
  </conditionalFormatting>
  <conditionalFormatting sqref="CN94:CN103">
    <cfRule type="expression" dxfId="267" priority="734">
      <formula>IF(CN94="Validar","Rojo","Verde")</formula>
    </cfRule>
  </conditionalFormatting>
  <conditionalFormatting sqref="CN95:CN100">
    <cfRule type="expression" dxfId="266" priority="741">
      <formula>CM95&lt;0</formula>
    </cfRule>
    <cfRule type="colorScale" priority="740">
      <colorScale>
        <cfvo type="min"/>
        <cfvo type="max"/>
        <color theme="0"/>
        <color theme="0"/>
      </colorScale>
    </cfRule>
  </conditionalFormatting>
  <conditionalFormatting sqref="CN101">
    <cfRule type="colorScale" priority="738">
      <colorScale>
        <cfvo type="min"/>
        <cfvo type="max"/>
        <color theme="0"/>
        <color theme="0"/>
      </colorScale>
    </cfRule>
    <cfRule type="expression" dxfId="265" priority="739">
      <formula>CM101&lt;0</formula>
    </cfRule>
  </conditionalFormatting>
  <conditionalFormatting sqref="CN102">
    <cfRule type="expression" dxfId="264" priority="737">
      <formula>CM102&lt;0</formula>
    </cfRule>
    <cfRule type="colorScale" priority="735">
      <colorScale>
        <cfvo type="min"/>
        <cfvo type="max"/>
        <color theme="0"/>
        <color theme="0"/>
      </colorScale>
    </cfRule>
  </conditionalFormatting>
  <conditionalFormatting sqref="CN105">
    <cfRule type="expression" dxfId="263" priority="733">
      <formula>CM105&lt;0</formula>
    </cfRule>
    <cfRule type="colorScale" priority="732">
      <colorScale>
        <cfvo type="min"/>
        <cfvo type="max"/>
        <color theme="0"/>
        <color theme="0"/>
      </colorScale>
    </cfRule>
  </conditionalFormatting>
  <conditionalFormatting sqref="CN105:CN106">
    <cfRule type="expression" priority="730">
      <formula>#REF!</formula>
    </cfRule>
  </conditionalFormatting>
  <conditionalFormatting sqref="CN105:CN107">
    <cfRule type="expression" dxfId="262" priority="728">
      <formula>IF(CN105="Validar","Rojo","Verde")</formula>
    </cfRule>
  </conditionalFormatting>
  <conditionalFormatting sqref="CN106">
    <cfRule type="colorScale" priority="729">
      <colorScale>
        <cfvo type="min"/>
        <cfvo type="max"/>
        <color theme="0"/>
        <color theme="0"/>
      </colorScale>
    </cfRule>
    <cfRule type="expression" dxfId="261" priority="731">
      <formula>CM106&lt;0</formula>
    </cfRule>
  </conditionalFormatting>
  <conditionalFormatting sqref="CN110">
    <cfRule type="colorScale" priority="720">
      <colorScale>
        <cfvo type="min"/>
        <cfvo type="max"/>
        <color theme="0"/>
        <color theme="0"/>
      </colorScale>
    </cfRule>
    <cfRule type="expression" dxfId="260" priority="721">
      <formula>CM110&lt;0</formula>
    </cfRule>
  </conditionalFormatting>
  <conditionalFormatting sqref="CN110:CN111">
    <cfRule type="expression" priority="711">
      <formula>#REF!</formula>
    </cfRule>
  </conditionalFormatting>
  <conditionalFormatting sqref="CN111">
    <cfRule type="expression" dxfId="259" priority="712">
      <formula>CM111&lt;0</formula>
    </cfRule>
    <cfRule type="colorScale" priority="710">
      <colorScale>
        <cfvo type="min"/>
        <cfvo type="max"/>
        <color theme="0"/>
        <color theme="0"/>
      </colorScale>
    </cfRule>
  </conditionalFormatting>
  <conditionalFormatting sqref="CN117">
    <cfRule type="colorScale" priority="726">
      <colorScale>
        <cfvo type="min"/>
        <cfvo type="max"/>
        <color theme="0"/>
        <color theme="0"/>
      </colorScale>
    </cfRule>
    <cfRule type="expression" dxfId="258" priority="727">
      <formula>CM117&lt;0</formula>
    </cfRule>
  </conditionalFormatting>
  <conditionalFormatting sqref="CN117:CN123">
    <cfRule type="expression" priority="724">
      <formula>#REF!</formula>
    </cfRule>
  </conditionalFormatting>
  <conditionalFormatting sqref="CN118:CN123">
    <cfRule type="expression" dxfId="257" priority="725">
      <formula>CM118&lt;0</formula>
    </cfRule>
    <cfRule type="colorScale" priority="723">
      <colorScale>
        <cfvo type="min"/>
        <cfvo type="max"/>
        <color theme="0"/>
        <color theme="0"/>
      </colorScale>
    </cfRule>
  </conditionalFormatting>
  <conditionalFormatting sqref="CN126:CN135">
    <cfRule type="colorScale" priority="848">
      <colorScale>
        <cfvo type="min"/>
        <cfvo type="max"/>
        <color theme="0"/>
        <color theme="0"/>
      </colorScale>
    </cfRule>
    <cfRule type="expression" dxfId="256" priority="850">
      <formula>CM126&lt;0</formula>
    </cfRule>
    <cfRule type="expression" dxfId="255" priority="847">
      <formula>IF(CN126="Validar","Rojo","Verde")</formula>
    </cfRule>
    <cfRule type="expression" priority="849">
      <formula>$F$23</formula>
    </cfRule>
  </conditionalFormatting>
  <conditionalFormatting sqref="CP5 CP9">
    <cfRule type="expression" dxfId="254" priority="669">
      <formula>CO5&lt;0</formula>
    </cfRule>
  </conditionalFormatting>
  <conditionalFormatting sqref="CP5:CP20">
    <cfRule type="expression" dxfId="253" priority="551">
      <formula>IF(CP5="Validar","Rojo","Verde")</formula>
    </cfRule>
    <cfRule type="expression" priority="552">
      <formula>#REF!</formula>
    </cfRule>
  </conditionalFormatting>
  <conditionalFormatting sqref="CP6">
    <cfRule type="colorScale" priority="557">
      <colorScale>
        <cfvo type="min"/>
        <cfvo type="max"/>
        <color theme="0"/>
        <color theme="0"/>
      </colorScale>
    </cfRule>
    <cfRule type="expression" dxfId="252" priority="558">
      <formula>CO6&lt;0</formula>
    </cfRule>
  </conditionalFormatting>
  <conditionalFormatting sqref="CP7:CP8">
    <cfRule type="colorScale" priority="553">
      <colorScale>
        <cfvo type="min"/>
        <cfvo type="max"/>
        <color theme="0"/>
        <color theme="0"/>
      </colorScale>
    </cfRule>
    <cfRule type="expression" dxfId="251" priority="554">
      <formula>CO7&lt;0</formula>
    </cfRule>
  </conditionalFormatting>
  <conditionalFormatting sqref="CP9 CP5">
    <cfRule type="colorScale" priority="668">
      <colorScale>
        <cfvo type="min"/>
        <cfvo type="max"/>
        <color theme="0"/>
        <color theme="0"/>
      </colorScale>
    </cfRule>
  </conditionalFormatting>
  <conditionalFormatting sqref="CP10">
    <cfRule type="colorScale" priority="645">
      <colorScale>
        <cfvo type="min"/>
        <cfvo type="max"/>
        <color theme="0"/>
        <color theme="0"/>
      </colorScale>
    </cfRule>
    <cfRule type="expression" dxfId="250" priority="646">
      <formula>CO10&lt;0</formula>
    </cfRule>
  </conditionalFormatting>
  <conditionalFormatting sqref="CP11:CP14">
    <cfRule type="colorScale" priority="666">
      <colorScale>
        <cfvo type="min"/>
        <cfvo type="max"/>
        <color theme="0"/>
        <color theme="0"/>
      </colorScale>
    </cfRule>
    <cfRule type="expression" dxfId="249" priority="667">
      <formula>CO11&lt;0</formula>
    </cfRule>
  </conditionalFormatting>
  <conditionalFormatting sqref="CP15">
    <cfRule type="expression" dxfId="248" priority="644">
      <formula>CO15&lt;0</formula>
    </cfRule>
    <cfRule type="colorScale" priority="643">
      <colorScale>
        <cfvo type="min"/>
        <cfvo type="max"/>
        <color theme="0"/>
        <color theme="0"/>
      </colorScale>
    </cfRule>
  </conditionalFormatting>
  <conditionalFormatting sqref="CP16:CP17">
    <cfRule type="expression" dxfId="247" priority="665">
      <formula>CO16&lt;0</formula>
    </cfRule>
    <cfRule type="colorScale" priority="664">
      <colorScale>
        <cfvo type="min"/>
        <cfvo type="max"/>
        <color theme="0"/>
        <color theme="0"/>
      </colorScale>
    </cfRule>
  </conditionalFormatting>
  <conditionalFormatting sqref="CP18">
    <cfRule type="expression" dxfId="246" priority="642">
      <formula>CO18&lt;0</formula>
    </cfRule>
    <cfRule type="colorScale" priority="640">
      <colorScale>
        <cfvo type="min"/>
        <cfvo type="max"/>
        <color theme="0"/>
        <color theme="0"/>
      </colorScale>
    </cfRule>
  </conditionalFormatting>
  <conditionalFormatting sqref="CP19:CP20">
    <cfRule type="expression" dxfId="245" priority="663">
      <formula>CO19&lt;0</formula>
    </cfRule>
    <cfRule type="colorScale" priority="662">
      <colorScale>
        <cfvo type="min"/>
        <cfvo type="max"/>
        <color theme="0"/>
        <color theme="0"/>
      </colorScale>
    </cfRule>
  </conditionalFormatting>
  <conditionalFormatting sqref="CP23">
    <cfRule type="colorScale" priority="637">
      <colorScale>
        <cfvo type="min"/>
        <cfvo type="max"/>
        <color theme="0"/>
        <color theme="0"/>
      </colorScale>
    </cfRule>
    <cfRule type="expression" dxfId="244" priority="638">
      <formula>CO23&lt;0</formula>
    </cfRule>
  </conditionalFormatting>
  <conditionalFormatting sqref="CP23:CP31">
    <cfRule type="expression" dxfId="243" priority="631">
      <formula>IF(CP23="Validar","Rojo","Verde")</formula>
    </cfRule>
    <cfRule type="expression" priority="633">
      <formula>#REF!</formula>
    </cfRule>
  </conditionalFormatting>
  <conditionalFormatting sqref="CP24">
    <cfRule type="expression" dxfId="242" priority="661">
      <formula>CO24&lt;0</formula>
    </cfRule>
    <cfRule type="colorScale" priority="660">
      <colorScale>
        <cfvo type="min"/>
        <cfvo type="max"/>
        <color theme="0"/>
        <color theme="0"/>
      </colorScale>
    </cfRule>
  </conditionalFormatting>
  <conditionalFormatting sqref="CP25">
    <cfRule type="expression" dxfId="241" priority="659">
      <formula>CO25&lt;0</formula>
    </cfRule>
    <cfRule type="colorScale" priority="658">
      <colorScale>
        <cfvo type="min"/>
        <cfvo type="max"/>
        <color theme="0"/>
        <color theme="0"/>
      </colorScale>
    </cfRule>
  </conditionalFormatting>
  <conditionalFormatting sqref="CP26">
    <cfRule type="expression" dxfId="240" priority="636">
      <formula>CO26&lt;0</formula>
    </cfRule>
    <cfRule type="colorScale" priority="635">
      <colorScale>
        <cfvo type="min"/>
        <cfvo type="max"/>
        <color theme="0"/>
        <color theme="0"/>
      </colorScale>
    </cfRule>
  </conditionalFormatting>
  <conditionalFormatting sqref="CP27">
    <cfRule type="colorScale" priority="656">
      <colorScale>
        <cfvo type="min"/>
        <cfvo type="max"/>
        <color theme="0"/>
        <color theme="0"/>
      </colorScale>
    </cfRule>
    <cfRule type="expression" dxfId="239" priority="657">
      <formula>CO27&lt;0</formula>
    </cfRule>
  </conditionalFormatting>
  <conditionalFormatting sqref="CP28">
    <cfRule type="expression" dxfId="238" priority="655">
      <formula>CO28&lt;0</formula>
    </cfRule>
    <cfRule type="colorScale" priority="654">
      <colorScale>
        <cfvo type="min"/>
        <cfvo type="max"/>
        <color theme="0"/>
        <color theme="0"/>
      </colorScale>
    </cfRule>
  </conditionalFormatting>
  <conditionalFormatting sqref="CP29">
    <cfRule type="colorScale" priority="632">
      <colorScale>
        <cfvo type="min"/>
        <cfvo type="max"/>
        <color theme="0"/>
        <color theme="0"/>
      </colorScale>
    </cfRule>
    <cfRule type="expression" dxfId="237" priority="634">
      <formula>CO29&lt;0</formula>
    </cfRule>
  </conditionalFormatting>
  <conditionalFormatting sqref="CP30">
    <cfRule type="expression" dxfId="236" priority="653">
      <formula>CO30&lt;0</formula>
    </cfRule>
    <cfRule type="colorScale" priority="652">
      <colorScale>
        <cfvo type="min"/>
        <cfvo type="max"/>
        <color theme="0"/>
        <color theme="0"/>
      </colorScale>
    </cfRule>
  </conditionalFormatting>
  <conditionalFormatting sqref="CP31">
    <cfRule type="expression" dxfId="235" priority="651">
      <formula>CO31&lt;0</formula>
    </cfRule>
    <cfRule type="colorScale" priority="650">
      <colorScale>
        <cfvo type="min"/>
        <cfvo type="max"/>
        <color theme="0"/>
        <color theme="0"/>
      </colorScale>
    </cfRule>
  </conditionalFormatting>
  <conditionalFormatting sqref="CP39">
    <cfRule type="expression" priority="629">
      <formula>#REF!</formula>
    </cfRule>
    <cfRule type="colorScale" priority="628">
      <colorScale>
        <cfvo type="min"/>
        <cfvo type="max"/>
        <color theme="0"/>
        <color theme="0"/>
      </colorScale>
    </cfRule>
    <cfRule type="expression" dxfId="234" priority="630">
      <formula>CO39&lt;0</formula>
    </cfRule>
  </conditionalFormatting>
  <conditionalFormatting sqref="CP39:CP107">
    <cfRule type="expression" dxfId="233" priority="566">
      <formula>IF(CP39="Validar","Rojo","Verde")</formula>
    </cfRule>
  </conditionalFormatting>
  <conditionalFormatting sqref="CP40:CP67">
    <cfRule type="expression" priority="648">
      <formula>$F$19</formula>
    </cfRule>
    <cfRule type="colorScale" priority="647">
      <colorScale>
        <cfvo type="min"/>
        <cfvo type="max"/>
        <color theme="0"/>
        <color theme="0"/>
      </colorScale>
    </cfRule>
    <cfRule type="expression" dxfId="232" priority="649">
      <formula>CO40&lt;0</formula>
    </cfRule>
  </conditionalFormatting>
  <conditionalFormatting sqref="CP68">
    <cfRule type="expression" priority="626">
      <formula>#REF!</formula>
    </cfRule>
    <cfRule type="expression" dxfId="231" priority="627">
      <formula>CO68&lt;0</formula>
    </cfRule>
    <cfRule type="colorScale" priority="625">
      <colorScale>
        <cfvo type="min"/>
        <cfvo type="max"/>
        <color theme="0"/>
        <color theme="0"/>
      </colorScale>
    </cfRule>
  </conditionalFormatting>
  <conditionalFormatting sqref="CP69:CP81">
    <cfRule type="expression" priority="673">
      <formula>$F$19</formula>
    </cfRule>
    <cfRule type="colorScale" priority="672">
      <colorScale>
        <cfvo type="min"/>
        <cfvo type="max"/>
        <color theme="0"/>
        <color theme="0"/>
      </colorScale>
    </cfRule>
    <cfRule type="expression" dxfId="230" priority="674">
      <formula>CO69&lt;0</formula>
    </cfRule>
  </conditionalFormatting>
  <conditionalFormatting sqref="CP82 CP92 CP103 CP107">
    <cfRule type="expression" dxfId="229" priority="671">
      <formula>CO82&lt;0</formula>
    </cfRule>
  </conditionalFormatting>
  <conditionalFormatting sqref="CP83">
    <cfRule type="colorScale" priority="567">
      <colorScale>
        <cfvo type="min"/>
        <cfvo type="max"/>
        <color theme="0"/>
        <color theme="0"/>
      </colorScale>
    </cfRule>
    <cfRule type="expression" priority="568">
      <formula>#REF!</formula>
    </cfRule>
    <cfRule type="expression" dxfId="228" priority="569">
      <formula>CO83&lt;0</formula>
    </cfRule>
  </conditionalFormatting>
  <conditionalFormatting sqref="CP84:CP91">
    <cfRule type="expression" priority="676">
      <formula>$F$19</formula>
    </cfRule>
    <cfRule type="colorScale" priority="675">
      <colorScale>
        <cfvo type="min"/>
        <cfvo type="max"/>
        <color theme="0"/>
        <color theme="0"/>
      </colorScale>
    </cfRule>
    <cfRule type="expression" dxfId="227" priority="677">
      <formula>CO84&lt;0</formula>
    </cfRule>
  </conditionalFormatting>
  <conditionalFormatting sqref="CP92 CP82 CP103 CP107">
    <cfRule type="colorScale" priority="670">
      <colorScale>
        <cfvo type="min"/>
        <cfvo type="max"/>
        <color theme="0"/>
        <color theme="0"/>
      </colorScale>
    </cfRule>
  </conditionalFormatting>
  <conditionalFormatting sqref="CP93">
    <cfRule type="expression" dxfId="226" priority="624">
      <formula>CO93&lt;0</formula>
    </cfRule>
    <cfRule type="colorScale" priority="622">
      <colorScale>
        <cfvo type="min"/>
        <cfvo type="max"/>
        <color theme="0"/>
        <color theme="0"/>
      </colorScale>
    </cfRule>
    <cfRule type="expression" priority="623">
      <formula>#REF!</formula>
    </cfRule>
  </conditionalFormatting>
  <conditionalFormatting sqref="CP94:CP102">
    <cfRule type="expression" dxfId="225" priority="680">
      <formula>CO94&lt;0</formula>
    </cfRule>
    <cfRule type="colorScale" priority="678">
      <colorScale>
        <cfvo type="min"/>
        <cfvo type="max"/>
        <color theme="0"/>
        <color theme="0"/>
      </colorScale>
    </cfRule>
    <cfRule type="expression" priority="679">
      <formula>$F$19</formula>
    </cfRule>
  </conditionalFormatting>
  <conditionalFormatting sqref="CP104">
    <cfRule type="expression" priority="620">
      <formula>#REF!</formula>
    </cfRule>
    <cfRule type="expression" dxfId="224" priority="621">
      <formula>CO104&lt;0</formula>
    </cfRule>
    <cfRule type="colorScale" priority="619">
      <colorScale>
        <cfvo type="min"/>
        <cfvo type="max"/>
        <color theme="0"/>
        <color theme="0"/>
      </colorScale>
    </cfRule>
  </conditionalFormatting>
  <conditionalFormatting sqref="CP105:CP106">
    <cfRule type="expression" priority="682">
      <formula>$F$19</formula>
    </cfRule>
    <cfRule type="expression" dxfId="223" priority="683">
      <formula>CO105&lt;0</formula>
    </cfRule>
    <cfRule type="colorScale" priority="681">
      <colorScale>
        <cfvo type="min"/>
        <cfvo type="max"/>
        <color theme="0"/>
        <color theme="0"/>
      </colorScale>
    </cfRule>
  </conditionalFormatting>
  <conditionalFormatting sqref="CP110">
    <cfRule type="expression" dxfId="222" priority="685">
      <formula>CO110&lt;0</formula>
    </cfRule>
    <cfRule type="colorScale" priority="684">
      <colorScale>
        <cfvo type="min"/>
        <cfvo type="max"/>
        <color theme="0"/>
        <color theme="0"/>
      </colorScale>
    </cfRule>
  </conditionalFormatting>
  <conditionalFormatting sqref="CP110:CP111">
    <cfRule type="expression" priority="564">
      <formula>$F$19</formula>
    </cfRule>
  </conditionalFormatting>
  <conditionalFormatting sqref="CP111">
    <cfRule type="expression" dxfId="221" priority="565">
      <formula>CO111&lt;0</formula>
    </cfRule>
    <cfRule type="colorScale" priority="563">
      <colorScale>
        <cfvo type="min"/>
        <cfvo type="max"/>
        <color theme="0"/>
        <color theme="0"/>
      </colorScale>
    </cfRule>
  </conditionalFormatting>
  <conditionalFormatting sqref="CP117:CP123">
    <cfRule type="expression" priority="690">
      <formula>$F$19</formula>
    </cfRule>
    <cfRule type="colorScale" priority="689">
      <colorScale>
        <cfvo type="min"/>
        <cfvo type="max"/>
        <color theme="0"/>
        <color theme="0"/>
      </colorScale>
    </cfRule>
    <cfRule type="expression" dxfId="220" priority="691">
      <formula>CO117&lt;0</formula>
    </cfRule>
  </conditionalFormatting>
  <conditionalFormatting sqref="CP125">
    <cfRule type="expression" priority="617">
      <formula>#REF!</formula>
    </cfRule>
    <cfRule type="expression" dxfId="219" priority="618">
      <formula>CO125&lt;0</formula>
    </cfRule>
    <cfRule type="colorScale" priority="616">
      <colorScale>
        <cfvo type="min"/>
        <cfvo type="max"/>
        <color theme="0"/>
        <color theme="0"/>
      </colorScale>
    </cfRule>
  </conditionalFormatting>
  <conditionalFormatting sqref="CP125:CP135">
    <cfRule type="expression" dxfId="218" priority="615">
      <formula>IF(CP125="Validar","Rojo","Verde")</formula>
    </cfRule>
  </conditionalFormatting>
  <conditionalFormatting sqref="CP126:CP132">
    <cfRule type="expression" dxfId="217" priority="694">
      <formula>CO126&lt;0</formula>
    </cfRule>
    <cfRule type="colorScale" priority="692">
      <colorScale>
        <cfvo type="min"/>
        <cfvo type="max"/>
        <color theme="0"/>
        <color theme="0"/>
      </colorScale>
    </cfRule>
  </conditionalFormatting>
  <conditionalFormatting sqref="CP126:CP134">
    <cfRule type="expression" priority="693">
      <formula>$F$19</formula>
    </cfRule>
  </conditionalFormatting>
  <conditionalFormatting sqref="CP133:CP134">
    <cfRule type="colorScale" priority="695">
      <colorScale>
        <cfvo type="min"/>
        <cfvo type="max"/>
        <color theme="0"/>
        <color theme="0"/>
      </colorScale>
    </cfRule>
    <cfRule type="expression" dxfId="216" priority="696">
      <formula>CO133&lt;0</formula>
    </cfRule>
  </conditionalFormatting>
  <conditionalFormatting sqref="CP135">
    <cfRule type="expression" priority="687">
      <formula>$F$23</formula>
    </cfRule>
    <cfRule type="expression" dxfId="215" priority="688">
      <formula>CO135&lt;0</formula>
    </cfRule>
    <cfRule type="colorScale" priority="686">
      <colorScale>
        <cfvo type="min"/>
        <cfvo type="max"/>
        <color theme="0"/>
        <color theme="0"/>
      </colorScale>
    </cfRule>
  </conditionalFormatting>
  <conditionalFormatting sqref="CP110:CR111">
    <cfRule type="expression" dxfId="214" priority="559">
      <formula>IF(CP110="Validar","Rojo","Verde")</formula>
    </cfRule>
  </conditionalFormatting>
  <conditionalFormatting sqref="CP117:CR123">
    <cfRule type="expression" dxfId="213" priority="572">
      <formula>IF(CP117="Validar","Rojo","Verde")</formula>
    </cfRule>
  </conditionalFormatting>
  <conditionalFormatting sqref="CQ40:CQ66">
    <cfRule type="expression" priority="608">
      <formula>#REF!</formula>
    </cfRule>
    <cfRule type="colorScale" priority="607">
      <colorScale>
        <cfvo type="min"/>
        <cfvo type="max"/>
        <color theme="0"/>
        <color theme="0"/>
      </colorScale>
    </cfRule>
    <cfRule type="expression" dxfId="212" priority="609">
      <formula>CP40&lt;0</formula>
    </cfRule>
  </conditionalFormatting>
  <conditionalFormatting sqref="CQ40:CQ67">
    <cfRule type="expression" dxfId="211" priority="606">
      <formula>IF(CQ40="Validar","Rojo","Verde")</formula>
    </cfRule>
  </conditionalFormatting>
  <conditionalFormatting sqref="CQ67 CP82:CQ82 CP92:CQ92 CP103:CQ103 CP107:CQ107">
    <cfRule type="expression" priority="611">
      <formula>$F$23</formula>
    </cfRule>
  </conditionalFormatting>
  <conditionalFormatting sqref="CQ67 CQ82 CQ92 CQ103 CQ107">
    <cfRule type="expression" dxfId="210" priority="612">
      <formula>CP67&lt;0</formula>
    </cfRule>
  </conditionalFormatting>
  <conditionalFormatting sqref="CQ69">
    <cfRule type="expression" dxfId="209" priority="605">
      <formula>CP69&lt;0</formula>
    </cfRule>
    <cfRule type="colorScale" priority="604">
      <colorScale>
        <cfvo type="min"/>
        <cfvo type="max"/>
        <color theme="0"/>
        <color theme="0"/>
      </colorScale>
    </cfRule>
  </conditionalFormatting>
  <conditionalFormatting sqref="CQ69:CQ81">
    <cfRule type="expression" priority="602">
      <formula>#REF!</formula>
    </cfRule>
  </conditionalFormatting>
  <conditionalFormatting sqref="CQ69:CQ82">
    <cfRule type="expression" dxfId="208" priority="600">
      <formula>IF(CQ69="Validar","Rojo","Verde")</formula>
    </cfRule>
  </conditionalFormatting>
  <conditionalFormatting sqref="CQ70:CQ78">
    <cfRule type="expression" dxfId="207" priority="603">
      <formula>CP70&lt;0</formula>
    </cfRule>
    <cfRule type="colorScale" priority="601">
      <colorScale>
        <cfvo type="min"/>
        <cfvo type="max"/>
        <color theme="0"/>
        <color theme="0"/>
      </colorScale>
    </cfRule>
  </conditionalFormatting>
  <conditionalFormatting sqref="CQ79:CQ81">
    <cfRule type="expression" dxfId="206" priority="614">
      <formula>CP79&lt;0</formula>
    </cfRule>
    <cfRule type="colorScale" priority="613">
      <colorScale>
        <cfvo type="min"/>
        <cfvo type="max"/>
        <color theme="0"/>
        <color theme="0"/>
      </colorScale>
    </cfRule>
  </conditionalFormatting>
  <conditionalFormatting sqref="CQ82 CQ67 CQ92 CQ103 CQ107">
    <cfRule type="colorScale" priority="610">
      <colorScale>
        <cfvo type="min"/>
        <cfvo type="max"/>
        <color theme="0"/>
        <color theme="0"/>
      </colorScale>
    </cfRule>
  </conditionalFormatting>
  <conditionalFormatting sqref="CQ84">
    <cfRule type="expression" dxfId="205" priority="599">
      <formula>CP84&lt;0</formula>
    </cfRule>
    <cfRule type="colorScale" priority="598">
      <colorScale>
        <cfvo type="min"/>
        <cfvo type="max"/>
        <color theme="0"/>
        <color theme="0"/>
      </colorScale>
    </cfRule>
  </conditionalFormatting>
  <conditionalFormatting sqref="CQ84:CQ91">
    <cfRule type="expression" priority="596">
      <formula>#REF!</formula>
    </cfRule>
  </conditionalFormatting>
  <conditionalFormatting sqref="CQ84:CQ92">
    <cfRule type="expression" dxfId="204" priority="594">
      <formula>IF(CQ84="Validar","Rojo","Verde")</formula>
    </cfRule>
  </conditionalFormatting>
  <conditionalFormatting sqref="CQ85:CQ91">
    <cfRule type="expression" dxfId="203" priority="597">
      <formula>CP85&lt;0</formula>
    </cfRule>
    <cfRule type="colorScale" priority="595">
      <colorScale>
        <cfvo type="min"/>
        <cfvo type="max"/>
        <color theme="0"/>
        <color theme="0"/>
      </colorScale>
    </cfRule>
  </conditionalFormatting>
  <conditionalFormatting sqref="CQ94">
    <cfRule type="expression" dxfId="202" priority="593">
      <formula>CP94&lt;0</formula>
    </cfRule>
    <cfRule type="colorScale" priority="592">
      <colorScale>
        <cfvo type="min"/>
        <cfvo type="max"/>
        <color theme="0"/>
        <color theme="0"/>
      </colorScale>
    </cfRule>
  </conditionalFormatting>
  <conditionalFormatting sqref="CQ94:CQ102">
    <cfRule type="expression" priority="586">
      <formula>#REF!</formula>
    </cfRule>
  </conditionalFormatting>
  <conditionalFormatting sqref="CQ94:CQ103">
    <cfRule type="expression" dxfId="201" priority="584">
      <formula>IF(CQ94="Validar","Rojo","Verde")</formula>
    </cfRule>
  </conditionalFormatting>
  <conditionalFormatting sqref="CQ95:CQ100">
    <cfRule type="expression" dxfId="200" priority="591">
      <formula>CP95&lt;0</formula>
    </cfRule>
    <cfRule type="colorScale" priority="590">
      <colorScale>
        <cfvo type="min"/>
        <cfvo type="max"/>
        <color theme="0"/>
        <color theme="0"/>
      </colorScale>
    </cfRule>
  </conditionalFormatting>
  <conditionalFormatting sqref="CQ101">
    <cfRule type="expression" dxfId="199" priority="589">
      <formula>CP101&lt;0</formula>
    </cfRule>
    <cfRule type="colorScale" priority="588">
      <colorScale>
        <cfvo type="min"/>
        <cfvo type="max"/>
        <color theme="0"/>
        <color theme="0"/>
      </colorScale>
    </cfRule>
  </conditionalFormatting>
  <conditionalFormatting sqref="CQ102">
    <cfRule type="expression" dxfId="198" priority="587">
      <formula>CP102&lt;0</formula>
    </cfRule>
    <cfRule type="colorScale" priority="585">
      <colorScale>
        <cfvo type="min"/>
        <cfvo type="max"/>
        <color theme="0"/>
        <color theme="0"/>
      </colorScale>
    </cfRule>
  </conditionalFormatting>
  <conditionalFormatting sqref="CQ105">
    <cfRule type="expression" dxfId="197" priority="583">
      <formula>CP105&lt;0</formula>
    </cfRule>
    <cfRule type="colorScale" priority="582">
      <colorScale>
        <cfvo type="min"/>
        <cfvo type="max"/>
        <color theme="0"/>
        <color theme="0"/>
      </colorScale>
    </cfRule>
  </conditionalFormatting>
  <conditionalFormatting sqref="CQ105:CQ106">
    <cfRule type="expression" priority="580">
      <formula>#REF!</formula>
    </cfRule>
  </conditionalFormatting>
  <conditionalFormatting sqref="CQ105:CQ107">
    <cfRule type="expression" dxfId="196" priority="578">
      <formula>IF(CQ105="Validar","Rojo","Verde")</formula>
    </cfRule>
  </conditionalFormatting>
  <conditionalFormatting sqref="CQ106">
    <cfRule type="colorScale" priority="579">
      <colorScale>
        <cfvo type="min"/>
        <cfvo type="max"/>
        <color theme="0"/>
        <color theme="0"/>
      </colorScale>
    </cfRule>
    <cfRule type="expression" dxfId="195" priority="581">
      <formula>CP106&lt;0</formula>
    </cfRule>
  </conditionalFormatting>
  <conditionalFormatting sqref="CQ110">
    <cfRule type="expression" dxfId="194" priority="571">
      <formula>CP110&lt;0</formula>
    </cfRule>
    <cfRule type="colorScale" priority="570">
      <colorScale>
        <cfvo type="min"/>
        <cfvo type="max"/>
        <color theme="0"/>
        <color theme="0"/>
      </colorScale>
    </cfRule>
  </conditionalFormatting>
  <conditionalFormatting sqref="CQ111">
    <cfRule type="expression" dxfId="193" priority="562">
      <formula>CP111&lt;0</formula>
    </cfRule>
    <cfRule type="colorScale" priority="560">
      <colorScale>
        <cfvo type="min"/>
        <cfvo type="max"/>
        <color theme="0"/>
        <color theme="0"/>
      </colorScale>
    </cfRule>
  </conditionalFormatting>
  <conditionalFormatting sqref="CQ117">
    <cfRule type="expression" dxfId="192" priority="577">
      <formula>CP117&lt;0</formula>
    </cfRule>
    <cfRule type="colorScale" priority="576">
      <colorScale>
        <cfvo type="min"/>
        <cfvo type="max"/>
        <color theme="0"/>
        <color theme="0"/>
      </colorScale>
    </cfRule>
  </conditionalFormatting>
  <conditionalFormatting sqref="CQ118:CQ123">
    <cfRule type="expression" dxfId="191" priority="575">
      <formula>CP118&lt;0</formula>
    </cfRule>
    <cfRule type="colorScale" priority="573">
      <colorScale>
        <cfvo type="min"/>
        <cfvo type="max"/>
        <color theme="0"/>
        <color theme="0"/>
      </colorScale>
    </cfRule>
  </conditionalFormatting>
  <conditionalFormatting sqref="CQ126:CQ135">
    <cfRule type="expression" dxfId="190" priority="700">
      <formula>CP126&lt;0</formula>
    </cfRule>
    <cfRule type="expression" priority="699">
      <formula>$F$23</formula>
    </cfRule>
    <cfRule type="expression" dxfId="189" priority="697">
      <formula>IF(CQ126="Validar","Rojo","Verde")</formula>
    </cfRule>
    <cfRule type="colorScale" priority="698">
      <colorScale>
        <cfvo type="min"/>
        <cfvo type="max"/>
        <color theme="0"/>
        <color theme="0"/>
      </colorScale>
    </cfRule>
  </conditionalFormatting>
  <conditionalFormatting sqref="CQ110:CR111">
    <cfRule type="expression" priority="561">
      <formula>#REF!</formula>
    </cfRule>
  </conditionalFormatting>
  <conditionalFormatting sqref="CQ117:CR123">
    <cfRule type="expression" priority="574">
      <formula>#REF!</formula>
    </cfRule>
  </conditionalFormatting>
  <conditionalFormatting sqref="CR5">
    <cfRule type="expression" dxfId="188" priority="4192">
      <formula>CQ5&lt;0</formula>
    </cfRule>
    <cfRule type="colorScale" priority="4191">
      <colorScale>
        <cfvo type="min"/>
        <cfvo type="max"/>
        <color theme="0"/>
        <color theme="0"/>
      </colorScale>
    </cfRule>
  </conditionalFormatting>
  <conditionalFormatting sqref="CR5:CR16">
    <cfRule type="expression" dxfId="187" priority="4163">
      <formula>IF(CR5="Validar","Rojo","Verde")</formula>
    </cfRule>
    <cfRule type="expression" priority="4165">
      <formula>#REF!</formula>
    </cfRule>
  </conditionalFormatting>
  <conditionalFormatting sqref="CR6:CR9">
    <cfRule type="expression" dxfId="186" priority="4200">
      <formula>CQ6&lt;0</formula>
    </cfRule>
    <cfRule type="colorScale" priority="4199">
      <colorScale>
        <cfvo type="min"/>
        <cfvo type="max"/>
        <color theme="0"/>
        <color theme="0"/>
      </colorScale>
    </cfRule>
  </conditionalFormatting>
  <conditionalFormatting sqref="CR10">
    <cfRule type="expression" dxfId="185" priority="4168">
      <formula>CQ10&lt;0</formula>
    </cfRule>
    <cfRule type="colorScale" priority="4167">
      <colorScale>
        <cfvo type="min"/>
        <cfvo type="max"/>
        <color theme="0"/>
        <color theme="0"/>
      </colorScale>
    </cfRule>
  </conditionalFormatting>
  <conditionalFormatting sqref="CR11:CR14">
    <cfRule type="expression" dxfId="184" priority="4198">
      <formula>CQ11&lt;0</formula>
    </cfRule>
    <cfRule type="colorScale" priority="4197">
      <colorScale>
        <cfvo type="min"/>
        <cfvo type="max"/>
        <color theme="0"/>
        <color theme="0"/>
      </colorScale>
    </cfRule>
  </conditionalFormatting>
  <conditionalFormatting sqref="CR15">
    <cfRule type="colorScale" priority="4164">
      <colorScale>
        <cfvo type="min"/>
        <cfvo type="max"/>
        <color theme="0"/>
        <color theme="0"/>
      </colorScale>
    </cfRule>
    <cfRule type="expression" dxfId="183" priority="4166">
      <formula>CQ15&lt;0</formula>
    </cfRule>
  </conditionalFormatting>
  <conditionalFormatting sqref="CR16">
    <cfRule type="colorScale" priority="4195">
      <colorScale>
        <cfvo type="min"/>
        <cfvo type="max"/>
        <color theme="0"/>
        <color theme="0"/>
      </colorScale>
    </cfRule>
    <cfRule type="expression" dxfId="182" priority="4196">
      <formula>CQ16&lt;0</formula>
    </cfRule>
  </conditionalFormatting>
  <conditionalFormatting sqref="CR18">
    <cfRule type="colorScale" priority="4160">
      <colorScale>
        <cfvo type="min"/>
        <cfvo type="max"/>
        <color theme="0"/>
        <color theme="0"/>
      </colorScale>
    </cfRule>
    <cfRule type="expression" dxfId="181" priority="4162">
      <formula>CQ18&lt;0</formula>
    </cfRule>
  </conditionalFormatting>
  <conditionalFormatting sqref="CR18:CR19">
    <cfRule type="expression" dxfId="180" priority="4159">
      <formula>IF(CR18="Validar","Rojo","Verde")</formula>
    </cfRule>
    <cfRule type="expression" priority="4161">
      <formula>#REF!</formula>
    </cfRule>
  </conditionalFormatting>
  <conditionalFormatting sqref="CR19">
    <cfRule type="expression" dxfId="179" priority="4194">
      <formula>CQ19&lt;0</formula>
    </cfRule>
    <cfRule type="colorScale" priority="4193">
      <colorScale>
        <cfvo type="min"/>
        <cfvo type="max"/>
        <color theme="0"/>
        <color theme="0"/>
      </colorScale>
    </cfRule>
  </conditionalFormatting>
  <conditionalFormatting sqref="CR23">
    <cfRule type="colorScale" priority="4156">
      <colorScale>
        <cfvo type="min"/>
        <cfvo type="max"/>
        <color theme="0"/>
        <color theme="0"/>
      </colorScale>
    </cfRule>
    <cfRule type="expression" dxfId="178" priority="4158">
      <formula>CQ23&lt;0</formula>
    </cfRule>
  </conditionalFormatting>
  <conditionalFormatting sqref="CR23:CR24">
    <cfRule type="expression" dxfId="177" priority="4155">
      <formula>IF(CR23="Validar","Rojo","Verde")</formula>
    </cfRule>
    <cfRule type="expression" priority="4157">
      <formula>#REF!</formula>
    </cfRule>
  </conditionalFormatting>
  <conditionalFormatting sqref="CR24">
    <cfRule type="colorScale" priority="4189">
      <colorScale>
        <cfvo type="min"/>
        <cfvo type="max"/>
        <color theme="0"/>
        <color theme="0"/>
      </colorScale>
    </cfRule>
    <cfRule type="expression" dxfId="176" priority="4190">
      <formula>CQ24&lt;0</formula>
    </cfRule>
  </conditionalFormatting>
  <conditionalFormatting sqref="CR26">
    <cfRule type="colorScale" priority="4152">
      <colorScale>
        <cfvo type="min"/>
        <cfvo type="max"/>
        <color theme="0"/>
        <color theme="0"/>
      </colorScale>
    </cfRule>
    <cfRule type="expression" dxfId="175" priority="4154">
      <formula>CQ26&lt;0</formula>
    </cfRule>
  </conditionalFormatting>
  <conditionalFormatting sqref="CR26:CR27">
    <cfRule type="expression" dxfId="174" priority="4151">
      <formula>IF(CR26="Validar","Rojo","Verde")</formula>
    </cfRule>
    <cfRule type="expression" priority="4153">
      <formula>#REF!</formula>
    </cfRule>
  </conditionalFormatting>
  <conditionalFormatting sqref="CR27">
    <cfRule type="expression" dxfId="173" priority="4188">
      <formula>CQ27&lt;0</formula>
    </cfRule>
    <cfRule type="colorScale" priority="4187">
      <colorScale>
        <cfvo type="min"/>
        <cfvo type="max"/>
        <color theme="0"/>
        <color theme="0"/>
      </colorScale>
    </cfRule>
  </conditionalFormatting>
  <conditionalFormatting sqref="CR29">
    <cfRule type="colorScale" priority="4148">
      <colorScale>
        <cfvo type="min"/>
        <cfvo type="max"/>
        <color theme="0"/>
        <color theme="0"/>
      </colorScale>
    </cfRule>
    <cfRule type="expression" dxfId="172" priority="4150">
      <formula>CQ29&lt;0</formula>
    </cfRule>
  </conditionalFormatting>
  <conditionalFormatting sqref="CR29:CR30">
    <cfRule type="expression" dxfId="171" priority="4147">
      <formula>IF(CR29="Validar","Rojo","Verde")</formula>
    </cfRule>
    <cfRule type="expression" priority="4149">
      <formula>#REF!</formula>
    </cfRule>
  </conditionalFormatting>
  <conditionalFormatting sqref="CR30">
    <cfRule type="colorScale" priority="4185">
      <colorScale>
        <cfvo type="min"/>
        <cfvo type="max"/>
        <color theme="0"/>
        <color theme="0"/>
      </colorScale>
    </cfRule>
    <cfRule type="expression" dxfId="170" priority="4186">
      <formula>CQ30&lt;0</formula>
    </cfRule>
  </conditionalFormatting>
  <conditionalFormatting sqref="CR39">
    <cfRule type="colorScale" priority="4144">
      <colorScale>
        <cfvo type="min"/>
        <cfvo type="max"/>
        <color theme="0"/>
        <color theme="0"/>
      </colorScale>
    </cfRule>
    <cfRule type="expression" dxfId="169" priority="4146">
      <formula>CQ39&lt;0</formula>
    </cfRule>
  </conditionalFormatting>
  <conditionalFormatting sqref="CR39:CR66">
    <cfRule type="expression" dxfId="168" priority="4143">
      <formula>IF(CR39="Validar","Rojo","Verde")</formula>
    </cfRule>
    <cfRule type="expression" priority="4145">
      <formula>#REF!</formula>
    </cfRule>
  </conditionalFormatting>
  <conditionalFormatting sqref="CR40:CR66">
    <cfRule type="expression" dxfId="167" priority="4184">
      <formula>CQ40&lt;0</formula>
    </cfRule>
    <cfRule type="colorScale" priority="4183">
      <colorScale>
        <cfvo type="min"/>
        <cfvo type="max"/>
        <color theme="0"/>
        <color theme="0"/>
      </colorScale>
    </cfRule>
  </conditionalFormatting>
  <conditionalFormatting sqref="CR68">
    <cfRule type="colorScale" priority="4140">
      <colorScale>
        <cfvo type="min"/>
        <cfvo type="max"/>
        <color theme="0"/>
        <color theme="0"/>
      </colorScale>
    </cfRule>
    <cfRule type="expression" dxfId="166" priority="4142">
      <formula>CQ68&lt;0</formula>
    </cfRule>
  </conditionalFormatting>
  <conditionalFormatting sqref="CR68:CR81">
    <cfRule type="expression" priority="4141">
      <formula>#REF!</formula>
    </cfRule>
    <cfRule type="expression" dxfId="165" priority="4139">
      <formula>IF(CR68="Validar","Rojo","Verde")</formula>
    </cfRule>
  </conditionalFormatting>
  <conditionalFormatting sqref="CR69:CR81">
    <cfRule type="expression" dxfId="164" priority="4202">
      <formula>CQ69&lt;0</formula>
    </cfRule>
    <cfRule type="colorScale" priority="4201">
      <colorScale>
        <cfvo type="min"/>
        <cfvo type="max"/>
        <color theme="0"/>
        <color theme="0"/>
      </colorScale>
    </cfRule>
  </conditionalFormatting>
  <conditionalFormatting sqref="CR83">
    <cfRule type="expression" dxfId="163" priority="4125">
      <formula>CQ83&lt;0</formula>
    </cfRule>
    <cfRule type="colorScale" priority="4123">
      <colorScale>
        <cfvo type="min"/>
        <cfvo type="max"/>
        <color theme="0"/>
        <color theme="0"/>
      </colorScale>
    </cfRule>
  </conditionalFormatting>
  <conditionalFormatting sqref="CR83:CR91">
    <cfRule type="expression" dxfId="162" priority="4109">
      <formula>IF(CR83="Validar","Rojo","Verde")</formula>
    </cfRule>
    <cfRule type="expression" priority="4110">
      <formula>#REF!</formula>
    </cfRule>
  </conditionalFormatting>
  <conditionalFormatting sqref="CR84:CR90">
    <cfRule type="colorScale" priority="4181">
      <colorScale>
        <cfvo type="min"/>
        <cfvo type="max"/>
        <color theme="0"/>
        <color theme="0"/>
      </colorScale>
    </cfRule>
    <cfRule type="expression" dxfId="161" priority="4182">
      <formula>CQ84&lt;0</formula>
    </cfRule>
  </conditionalFormatting>
  <conditionalFormatting sqref="CR91">
    <cfRule type="colorScale" priority="4112">
      <colorScale>
        <cfvo type="min"/>
        <cfvo type="max"/>
        <color theme="0"/>
        <color theme="0"/>
      </colorScale>
    </cfRule>
    <cfRule type="expression" dxfId="160" priority="4113">
      <formula>CQ91&lt;0</formula>
    </cfRule>
  </conditionalFormatting>
  <conditionalFormatting sqref="CR93">
    <cfRule type="expression" dxfId="159" priority="4138">
      <formula>CQ93&lt;0</formula>
    </cfRule>
    <cfRule type="colorScale" priority="4136">
      <colorScale>
        <cfvo type="min"/>
        <cfvo type="max"/>
        <color theme="0"/>
        <color theme="0"/>
      </colorScale>
    </cfRule>
  </conditionalFormatting>
  <conditionalFormatting sqref="CR93:CR102">
    <cfRule type="expression" priority="4137">
      <formula>#REF!</formula>
    </cfRule>
    <cfRule type="expression" dxfId="158" priority="4135">
      <formula>IF(CR93="Validar","Rojo","Verde")</formula>
    </cfRule>
  </conditionalFormatting>
  <conditionalFormatting sqref="CR94:CR102">
    <cfRule type="colorScale" priority="4179">
      <colorScale>
        <cfvo type="min"/>
        <cfvo type="max"/>
        <color theme="0"/>
        <color theme="0"/>
      </colorScale>
    </cfRule>
    <cfRule type="expression" dxfId="157" priority="4180">
      <formula>CQ94&lt;0</formula>
    </cfRule>
  </conditionalFormatting>
  <conditionalFormatting sqref="CR104">
    <cfRule type="expression" dxfId="156" priority="4134">
      <formula>CQ104&lt;0</formula>
    </cfRule>
    <cfRule type="colorScale" priority="4132">
      <colorScale>
        <cfvo type="min"/>
        <cfvo type="max"/>
        <color theme="0"/>
        <color theme="0"/>
      </colorScale>
    </cfRule>
  </conditionalFormatting>
  <conditionalFormatting sqref="CR104:CR106">
    <cfRule type="expression" priority="4133">
      <formula>#REF!</formula>
    </cfRule>
    <cfRule type="expression" dxfId="155" priority="4131">
      <formula>IF(CR104="Validar","Rojo","Verde")</formula>
    </cfRule>
  </conditionalFormatting>
  <conditionalFormatting sqref="CR105:CR106">
    <cfRule type="colorScale" priority="4177">
      <colorScale>
        <cfvo type="min"/>
        <cfvo type="max"/>
        <color theme="0"/>
        <color theme="0"/>
      </colorScale>
    </cfRule>
    <cfRule type="expression" dxfId="154" priority="4178">
      <formula>CQ105&lt;0</formula>
    </cfRule>
  </conditionalFormatting>
  <conditionalFormatting sqref="CR110">
    <cfRule type="expression" dxfId="153" priority="4176">
      <formula>CQ110&lt;0</formula>
    </cfRule>
    <cfRule type="colorScale" priority="4175">
      <colorScale>
        <cfvo type="min"/>
        <cfvo type="max"/>
        <color theme="0"/>
        <color theme="0"/>
      </colorScale>
    </cfRule>
  </conditionalFormatting>
  <conditionalFormatting sqref="CR111">
    <cfRule type="colorScale" priority="4116">
      <colorScale>
        <cfvo type="min"/>
        <cfvo type="max"/>
        <color theme="0"/>
        <color theme="0"/>
      </colorScale>
    </cfRule>
    <cfRule type="expression" dxfId="152" priority="4118">
      <formula>CQ111&lt;0</formula>
    </cfRule>
  </conditionalFormatting>
  <conditionalFormatting sqref="CR117:CR123">
    <cfRule type="expression" dxfId="151" priority="4174">
      <formula>CQ117&lt;0</formula>
    </cfRule>
    <cfRule type="colorScale" priority="4172">
      <colorScale>
        <cfvo type="min"/>
        <cfvo type="max"/>
        <color theme="0"/>
        <color theme="0"/>
      </colorScale>
    </cfRule>
  </conditionalFormatting>
  <conditionalFormatting sqref="CR125">
    <cfRule type="colorScale" priority="4128">
      <colorScale>
        <cfvo type="min"/>
        <cfvo type="max"/>
        <color theme="0"/>
        <color theme="0"/>
      </colorScale>
    </cfRule>
    <cfRule type="expression" dxfId="150" priority="4130">
      <formula>CQ125&lt;0</formula>
    </cfRule>
  </conditionalFormatting>
  <conditionalFormatting sqref="CR125:CR134">
    <cfRule type="expression" dxfId="149" priority="4127">
      <formula>IF(CR125="Validar","Rojo","Verde")</formula>
    </cfRule>
    <cfRule type="expression" priority="4129">
      <formula>#REF!</formula>
    </cfRule>
  </conditionalFormatting>
  <conditionalFormatting sqref="CR126:CR134">
    <cfRule type="expression" dxfId="148" priority="4170">
      <formula>CQ126&lt;0</formula>
    </cfRule>
    <cfRule type="colorScale" priority="4169">
      <colorScale>
        <cfvo type="min"/>
        <cfvo type="max"/>
        <color theme="0"/>
        <color theme="0"/>
      </colorScale>
    </cfRule>
  </conditionalFormatting>
  <conditionalFormatting sqref="CT5 CT9">
    <cfRule type="colorScale" priority="518">
      <colorScale>
        <cfvo type="min"/>
        <cfvo type="max"/>
        <color theme="0"/>
        <color theme="0"/>
      </colorScale>
    </cfRule>
    <cfRule type="expression" dxfId="147" priority="519">
      <formula>CS5&lt;0</formula>
    </cfRule>
  </conditionalFormatting>
  <conditionalFormatting sqref="CT5:CT20">
    <cfRule type="expression" dxfId="146" priority="401">
      <formula>IF(CT5="Validar","Rojo","Verde")</formula>
    </cfRule>
    <cfRule type="expression" priority="402">
      <formula>#REF!</formula>
    </cfRule>
  </conditionalFormatting>
  <conditionalFormatting sqref="CT6">
    <cfRule type="expression" dxfId="145" priority="408">
      <formula>CS6&lt;0</formula>
    </cfRule>
    <cfRule type="colorScale" priority="407">
      <colorScale>
        <cfvo type="min"/>
        <cfvo type="max"/>
        <color theme="0"/>
        <color theme="0"/>
      </colorScale>
    </cfRule>
  </conditionalFormatting>
  <conditionalFormatting sqref="CT7:CT8">
    <cfRule type="colorScale" priority="403">
      <colorScale>
        <cfvo type="min"/>
        <cfvo type="max"/>
        <color theme="0"/>
        <color theme="0"/>
      </colorScale>
    </cfRule>
    <cfRule type="expression" dxfId="144" priority="404">
      <formula>CS7&lt;0</formula>
    </cfRule>
  </conditionalFormatting>
  <conditionalFormatting sqref="CT10">
    <cfRule type="colorScale" priority="495">
      <colorScale>
        <cfvo type="min"/>
        <cfvo type="max"/>
        <color theme="0"/>
        <color theme="0"/>
      </colorScale>
    </cfRule>
    <cfRule type="expression" dxfId="143" priority="496">
      <formula>CS10&lt;0</formula>
    </cfRule>
  </conditionalFormatting>
  <conditionalFormatting sqref="CT11:CT14">
    <cfRule type="expression" dxfId="142" priority="517">
      <formula>CS11&lt;0</formula>
    </cfRule>
    <cfRule type="colorScale" priority="516">
      <colorScale>
        <cfvo type="min"/>
        <cfvo type="max"/>
        <color theme="0"/>
        <color theme="0"/>
      </colorScale>
    </cfRule>
  </conditionalFormatting>
  <conditionalFormatting sqref="CT15">
    <cfRule type="expression" dxfId="141" priority="494">
      <formula>CS15&lt;0</formula>
    </cfRule>
    <cfRule type="colorScale" priority="493">
      <colorScale>
        <cfvo type="min"/>
        <cfvo type="max"/>
        <color theme="0"/>
        <color theme="0"/>
      </colorScale>
    </cfRule>
  </conditionalFormatting>
  <conditionalFormatting sqref="CT16:CT17">
    <cfRule type="expression" dxfId="140" priority="515">
      <formula>CS16&lt;0</formula>
    </cfRule>
    <cfRule type="colorScale" priority="514">
      <colorScale>
        <cfvo type="min"/>
        <cfvo type="max"/>
        <color theme="0"/>
        <color theme="0"/>
      </colorScale>
    </cfRule>
  </conditionalFormatting>
  <conditionalFormatting sqref="CT18">
    <cfRule type="expression" dxfId="139" priority="492">
      <formula>CS18&lt;0</formula>
    </cfRule>
    <cfRule type="colorScale" priority="490">
      <colorScale>
        <cfvo type="min"/>
        <cfvo type="max"/>
        <color theme="0"/>
        <color theme="0"/>
      </colorScale>
    </cfRule>
  </conditionalFormatting>
  <conditionalFormatting sqref="CT19:CT20">
    <cfRule type="colorScale" priority="512">
      <colorScale>
        <cfvo type="min"/>
        <cfvo type="max"/>
        <color theme="0"/>
        <color theme="0"/>
      </colorScale>
    </cfRule>
    <cfRule type="expression" dxfId="138" priority="513">
      <formula>CS19&lt;0</formula>
    </cfRule>
  </conditionalFormatting>
  <conditionalFormatting sqref="CT23">
    <cfRule type="expression" dxfId="137" priority="488">
      <formula>CS23&lt;0</formula>
    </cfRule>
    <cfRule type="colorScale" priority="487">
      <colorScale>
        <cfvo type="min"/>
        <cfvo type="max"/>
        <color theme="0"/>
        <color theme="0"/>
      </colorScale>
    </cfRule>
  </conditionalFormatting>
  <conditionalFormatting sqref="CT23:CT31">
    <cfRule type="expression" dxfId="136" priority="481">
      <formula>IF(CT23="Validar","Rojo","Verde")</formula>
    </cfRule>
    <cfRule type="expression" priority="483">
      <formula>#REF!</formula>
    </cfRule>
  </conditionalFormatting>
  <conditionalFormatting sqref="CT24">
    <cfRule type="expression" dxfId="135" priority="511">
      <formula>CS24&lt;0</formula>
    </cfRule>
    <cfRule type="colorScale" priority="510">
      <colorScale>
        <cfvo type="min"/>
        <cfvo type="max"/>
        <color theme="0"/>
        <color theme="0"/>
      </colorScale>
    </cfRule>
  </conditionalFormatting>
  <conditionalFormatting sqref="CT25">
    <cfRule type="colorScale" priority="508">
      <colorScale>
        <cfvo type="min"/>
        <cfvo type="max"/>
        <color theme="0"/>
        <color theme="0"/>
      </colorScale>
    </cfRule>
    <cfRule type="expression" dxfId="134" priority="509">
      <formula>CS25&lt;0</formula>
    </cfRule>
  </conditionalFormatting>
  <conditionalFormatting sqref="CT26">
    <cfRule type="expression" dxfId="133" priority="486">
      <formula>CS26&lt;0</formula>
    </cfRule>
    <cfRule type="colorScale" priority="485">
      <colorScale>
        <cfvo type="min"/>
        <cfvo type="max"/>
        <color theme="0"/>
        <color theme="0"/>
      </colorScale>
    </cfRule>
  </conditionalFormatting>
  <conditionalFormatting sqref="CT27">
    <cfRule type="expression" dxfId="132" priority="507">
      <formula>CS27&lt;0</formula>
    </cfRule>
    <cfRule type="colorScale" priority="506">
      <colorScale>
        <cfvo type="min"/>
        <cfvo type="max"/>
        <color theme="0"/>
        <color theme="0"/>
      </colorScale>
    </cfRule>
  </conditionalFormatting>
  <conditionalFormatting sqref="CT28">
    <cfRule type="expression" dxfId="131" priority="505">
      <formula>CS28&lt;0</formula>
    </cfRule>
    <cfRule type="colorScale" priority="504">
      <colorScale>
        <cfvo type="min"/>
        <cfvo type="max"/>
        <color theme="0"/>
        <color theme="0"/>
      </colorScale>
    </cfRule>
  </conditionalFormatting>
  <conditionalFormatting sqref="CT29">
    <cfRule type="expression" dxfId="130" priority="484">
      <formula>CS29&lt;0</formula>
    </cfRule>
    <cfRule type="colorScale" priority="482">
      <colorScale>
        <cfvo type="min"/>
        <cfvo type="max"/>
        <color theme="0"/>
        <color theme="0"/>
      </colorScale>
    </cfRule>
  </conditionalFormatting>
  <conditionalFormatting sqref="CT30">
    <cfRule type="expression" dxfId="129" priority="503">
      <formula>CS30&lt;0</formula>
    </cfRule>
    <cfRule type="colorScale" priority="502">
      <colorScale>
        <cfvo type="min"/>
        <cfvo type="max"/>
        <color theme="0"/>
        <color theme="0"/>
      </colorScale>
    </cfRule>
  </conditionalFormatting>
  <conditionalFormatting sqref="CT31">
    <cfRule type="expression" dxfId="128" priority="501">
      <formula>CS31&lt;0</formula>
    </cfRule>
    <cfRule type="colorScale" priority="500">
      <colorScale>
        <cfvo type="min"/>
        <cfvo type="max"/>
        <color theme="0"/>
        <color theme="0"/>
      </colorScale>
    </cfRule>
  </conditionalFormatting>
  <conditionalFormatting sqref="CT39">
    <cfRule type="expression" dxfId="127" priority="480">
      <formula>CS39&lt;0</formula>
    </cfRule>
    <cfRule type="expression" priority="479">
      <formula>#REF!</formula>
    </cfRule>
    <cfRule type="colorScale" priority="478">
      <colorScale>
        <cfvo type="min"/>
        <cfvo type="max"/>
        <color theme="0"/>
        <color theme="0"/>
      </colorScale>
    </cfRule>
  </conditionalFormatting>
  <conditionalFormatting sqref="CT39:CT107">
    <cfRule type="expression" dxfId="126" priority="416">
      <formula>IF(CT39="Validar","Rojo","Verde")</formula>
    </cfRule>
  </conditionalFormatting>
  <conditionalFormatting sqref="CT40:CT67">
    <cfRule type="colorScale" priority="497">
      <colorScale>
        <cfvo type="min"/>
        <cfvo type="max"/>
        <color theme="0"/>
        <color theme="0"/>
      </colorScale>
    </cfRule>
    <cfRule type="expression" dxfId="125" priority="499">
      <formula>CS40&lt;0</formula>
    </cfRule>
    <cfRule type="expression" priority="498">
      <formula>$F$19</formula>
    </cfRule>
  </conditionalFormatting>
  <conditionalFormatting sqref="CT68">
    <cfRule type="expression" priority="476">
      <formula>#REF!</formula>
    </cfRule>
    <cfRule type="colorScale" priority="475">
      <colorScale>
        <cfvo type="min"/>
        <cfvo type="max"/>
        <color theme="0"/>
        <color theme="0"/>
      </colorScale>
    </cfRule>
    <cfRule type="expression" dxfId="124" priority="477">
      <formula>CS68&lt;0</formula>
    </cfRule>
  </conditionalFormatting>
  <conditionalFormatting sqref="CT69:CT81">
    <cfRule type="colorScale" priority="522">
      <colorScale>
        <cfvo type="min"/>
        <cfvo type="max"/>
        <color theme="0"/>
        <color theme="0"/>
      </colorScale>
    </cfRule>
    <cfRule type="expression" priority="523">
      <formula>$F$19</formula>
    </cfRule>
    <cfRule type="expression" dxfId="123" priority="524">
      <formula>CS69&lt;0</formula>
    </cfRule>
  </conditionalFormatting>
  <conditionalFormatting sqref="CT82 CT92 CT103 CT107">
    <cfRule type="expression" dxfId="122" priority="521">
      <formula>CS82&lt;0</formula>
    </cfRule>
  </conditionalFormatting>
  <conditionalFormatting sqref="CT83">
    <cfRule type="expression" priority="418">
      <formula>#REF!</formula>
    </cfRule>
    <cfRule type="colorScale" priority="417">
      <colorScale>
        <cfvo type="min"/>
        <cfvo type="max"/>
        <color theme="0"/>
        <color theme="0"/>
      </colorScale>
    </cfRule>
    <cfRule type="expression" dxfId="121" priority="419">
      <formula>CS83&lt;0</formula>
    </cfRule>
  </conditionalFormatting>
  <conditionalFormatting sqref="CT84:CT91">
    <cfRule type="expression" dxfId="120" priority="527">
      <formula>CS84&lt;0</formula>
    </cfRule>
    <cfRule type="expression" priority="526">
      <formula>$F$19</formula>
    </cfRule>
    <cfRule type="colorScale" priority="525">
      <colorScale>
        <cfvo type="min"/>
        <cfvo type="max"/>
        <color theme="0"/>
        <color theme="0"/>
      </colorScale>
    </cfRule>
  </conditionalFormatting>
  <conditionalFormatting sqref="CT92 CT82 CT103 CT107">
    <cfRule type="colorScale" priority="520">
      <colorScale>
        <cfvo type="min"/>
        <cfvo type="max"/>
        <color theme="0"/>
        <color theme="0"/>
      </colorScale>
    </cfRule>
  </conditionalFormatting>
  <conditionalFormatting sqref="CT93">
    <cfRule type="expression" dxfId="119" priority="474">
      <formula>CS93&lt;0</formula>
    </cfRule>
    <cfRule type="expression" priority="473">
      <formula>#REF!</formula>
    </cfRule>
    <cfRule type="colorScale" priority="472">
      <colorScale>
        <cfvo type="min"/>
        <cfvo type="max"/>
        <color theme="0"/>
        <color theme="0"/>
      </colorScale>
    </cfRule>
  </conditionalFormatting>
  <conditionalFormatting sqref="CT94:CT102">
    <cfRule type="expression" priority="529">
      <formula>$F$19</formula>
    </cfRule>
    <cfRule type="expression" dxfId="118" priority="530">
      <formula>CS94&lt;0</formula>
    </cfRule>
    <cfRule type="colorScale" priority="528">
      <colorScale>
        <cfvo type="min"/>
        <cfvo type="max"/>
        <color theme="0"/>
        <color theme="0"/>
      </colorScale>
    </cfRule>
  </conditionalFormatting>
  <conditionalFormatting sqref="CT104">
    <cfRule type="colorScale" priority="469">
      <colorScale>
        <cfvo type="min"/>
        <cfvo type="max"/>
        <color theme="0"/>
        <color theme="0"/>
      </colorScale>
    </cfRule>
    <cfRule type="expression" dxfId="117" priority="471">
      <formula>CS104&lt;0</formula>
    </cfRule>
    <cfRule type="expression" priority="470">
      <formula>#REF!</formula>
    </cfRule>
  </conditionalFormatting>
  <conditionalFormatting sqref="CT105:CT106">
    <cfRule type="colorScale" priority="531">
      <colorScale>
        <cfvo type="min"/>
        <cfvo type="max"/>
        <color theme="0"/>
        <color theme="0"/>
      </colorScale>
    </cfRule>
    <cfRule type="expression" priority="532">
      <formula>$F$19</formula>
    </cfRule>
    <cfRule type="expression" dxfId="116" priority="533">
      <formula>CS105&lt;0</formula>
    </cfRule>
  </conditionalFormatting>
  <conditionalFormatting sqref="CT110">
    <cfRule type="expression" dxfId="115" priority="535">
      <formula>CS110&lt;0</formula>
    </cfRule>
    <cfRule type="colorScale" priority="534">
      <colorScale>
        <cfvo type="min"/>
        <cfvo type="max"/>
        <color theme="0"/>
        <color theme="0"/>
      </colorScale>
    </cfRule>
  </conditionalFormatting>
  <conditionalFormatting sqref="CT110:CT111">
    <cfRule type="expression" priority="414">
      <formula>$F$19</formula>
    </cfRule>
  </conditionalFormatting>
  <conditionalFormatting sqref="CT111">
    <cfRule type="colorScale" priority="413">
      <colorScale>
        <cfvo type="min"/>
        <cfvo type="max"/>
        <color theme="0"/>
        <color theme="0"/>
      </colorScale>
    </cfRule>
    <cfRule type="expression" dxfId="114" priority="415">
      <formula>CS111&lt;0</formula>
    </cfRule>
  </conditionalFormatting>
  <conditionalFormatting sqref="CT117:CT123">
    <cfRule type="expression" dxfId="113" priority="541">
      <formula>CS117&lt;0</formula>
    </cfRule>
    <cfRule type="colorScale" priority="539">
      <colorScale>
        <cfvo type="min"/>
        <cfvo type="max"/>
        <color theme="0"/>
        <color theme="0"/>
      </colorScale>
    </cfRule>
    <cfRule type="expression" priority="540">
      <formula>$F$19</formula>
    </cfRule>
  </conditionalFormatting>
  <conditionalFormatting sqref="CT125">
    <cfRule type="expression" priority="467">
      <formula>#REF!</formula>
    </cfRule>
    <cfRule type="colorScale" priority="466">
      <colorScale>
        <cfvo type="min"/>
        <cfvo type="max"/>
        <color theme="0"/>
        <color theme="0"/>
      </colorScale>
    </cfRule>
    <cfRule type="expression" dxfId="112" priority="468">
      <formula>CS125&lt;0</formula>
    </cfRule>
  </conditionalFormatting>
  <conditionalFormatting sqref="CT125:CT135">
    <cfRule type="expression" dxfId="111" priority="465">
      <formula>IF(CT125="Validar","Rojo","Verde")</formula>
    </cfRule>
  </conditionalFormatting>
  <conditionalFormatting sqref="CT126:CT132">
    <cfRule type="colorScale" priority="542">
      <colorScale>
        <cfvo type="min"/>
        <cfvo type="max"/>
        <color theme="0"/>
        <color theme="0"/>
      </colorScale>
    </cfRule>
    <cfRule type="expression" dxfId="110" priority="544">
      <formula>CS126&lt;0</formula>
    </cfRule>
  </conditionalFormatting>
  <conditionalFormatting sqref="CT126:CT134">
    <cfRule type="expression" priority="543">
      <formula>$F$19</formula>
    </cfRule>
  </conditionalFormatting>
  <conditionalFormatting sqref="CT133:CT134">
    <cfRule type="colorScale" priority="545">
      <colorScale>
        <cfvo type="min"/>
        <cfvo type="max"/>
        <color theme="0"/>
        <color theme="0"/>
      </colorScale>
    </cfRule>
    <cfRule type="expression" dxfId="109" priority="546">
      <formula>CS133&lt;0</formula>
    </cfRule>
  </conditionalFormatting>
  <conditionalFormatting sqref="CT135">
    <cfRule type="expression" dxfId="108" priority="538">
      <formula>CS135&lt;0</formula>
    </cfRule>
    <cfRule type="colorScale" priority="536">
      <colorScale>
        <cfvo type="min"/>
        <cfvo type="max"/>
        <color theme="0"/>
        <color theme="0"/>
      </colorScale>
    </cfRule>
    <cfRule type="expression" priority="537">
      <formula>$F$23</formula>
    </cfRule>
  </conditionalFormatting>
  <conditionalFormatting sqref="CT110:CU111">
    <cfRule type="expression" dxfId="107" priority="409">
      <formula>IF(CT110="Validar","Rojo","Verde")</formula>
    </cfRule>
  </conditionalFormatting>
  <conditionalFormatting sqref="CT117:CU123">
    <cfRule type="expression" dxfId="106" priority="422">
      <formula>IF(CT117="Validar","Rojo","Verde")</formula>
    </cfRule>
  </conditionalFormatting>
  <conditionalFormatting sqref="CU40:CU66">
    <cfRule type="expression" dxfId="105" priority="459">
      <formula>CT40&lt;0</formula>
    </cfRule>
    <cfRule type="colorScale" priority="457">
      <colorScale>
        <cfvo type="min"/>
        <cfvo type="max"/>
        <color theme="0"/>
        <color theme="0"/>
      </colorScale>
    </cfRule>
    <cfRule type="expression" priority="458">
      <formula>#REF!</formula>
    </cfRule>
  </conditionalFormatting>
  <conditionalFormatting sqref="CU40:CU67">
    <cfRule type="expression" dxfId="104" priority="456">
      <formula>IF(CU40="Validar","Rojo","Verde")</formula>
    </cfRule>
  </conditionalFormatting>
  <conditionalFormatting sqref="CU67 CT82:CU82 CT92:CU92 CT103:CU103 CT107:CU107">
    <cfRule type="expression" priority="461">
      <formula>$F$23</formula>
    </cfRule>
  </conditionalFormatting>
  <conditionalFormatting sqref="CU67 CU82 CU92 CU103 CU107">
    <cfRule type="expression" dxfId="103" priority="462">
      <formula>CT67&lt;0</formula>
    </cfRule>
  </conditionalFormatting>
  <conditionalFormatting sqref="CU69">
    <cfRule type="colorScale" priority="454">
      <colorScale>
        <cfvo type="min"/>
        <cfvo type="max"/>
        <color theme="0"/>
        <color theme="0"/>
      </colorScale>
    </cfRule>
    <cfRule type="expression" dxfId="102" priority="455">
      <formula>CT69&lt;0</formula>
    </cfRule>
  </conditionalFormatting>
  <conditionalFormatting sqref="CU69:CU81">
    <cfRule type="expression" priority="452">
      <formula>#REF!</formula>
    </cfRule>
  </conditionalFormatting>
  <conditionalFormatting sqref="CU69:CU82">
    <cfRule type="expression" dxfId="101" priority="450">
      <formula>IF(CU69="Validar","Rojo","Verde")</formula>
    </cfRule>
  </conditionalFormatting>
  <conditionalFormatting sqref="CU70:CU78">
    <cfRule type="expression" dxfId="100" priority="453">
      <formula>CT70&lt;0</formula>
    </cfRule>
    <cfRule type="colorScale" priority="451">
      <colorScale>
        <cfvo type="min"/>
        <cfvo type="max"/>
        <color theme="0"/>
        <color theme="0"/>
      </colorScale>
    </cfRule>
  </conditionalFormatting>
  <conditionalFormatting sqref="CU79:CU81">
    <cfRule type="colorScale" priority="463">
      <colorScale>
        <cfvo type="min"/>
        <cfvo type="max"/>
        <color theme="0"/>
        <color theme="0"/>
      </colorScale>
    </cfRule>
    <cfRule type="expression" dxfId="99" priority="464">
      <formula>CT79&lt;0</formula>
    </cfRule>
  </conditionalFormatting>
  <conditionalFormatting sqref="CU82 CU67 CU92 CU103 CU107">
    <cfRule type="colorScale" priority="460">
      <colorScale>
        <cfvo type="min"/>
        <cfvo type="max"/>
        <color theme="0"/>
        <color theme="0"/>
      </colorScale>
    </cfRule>
  </conditionalFormatting>
  <conditionalFormatting sqref="CU84">
    <cfRule type="colorScale" priority="448">
      <colorScale>
        <cfvo type="min"/>
        <cfvo type="max"/>
        <color theme="0"/>
        <color theme="0"/>
      </colorScale>
    </cfRule>
    <cfRule type="expression" dxfId="98" priority="449">
      <formula>CT84&lt;0</formula>
    </cfRule>
  </conditionalFormatting>
  <conditionalFormatting sqref="CU84:CU91">
    <cfRule type="expression" priority="446">
      <formula>#REF!</formula>
    </cfRule>
  </conditionalFormatting>
  <conditionalFormatting sqref="CU84:CU92">
    <cfRule type="expression" dxfId="97" priority="444">
      <formula>IF(CU84="Validar","Rojo","Verde")</formula>
    </cfRule>
  </conditionalFormatting>
  <conditionalFormatting sqref="CU85:CU91">
    <cfRule type="expression" dxfId="96" priority="447">
      <formula>CT85&lt;0</formula>
    </cfRule>
    <cfRule type="colorScale" priority="445">
      <colorScale>
        <cfvo type="min"/>
        <cfvo type="max"/>
        <color theme="0"/>
        <color theme="0"/>
      </colorScale>
    </cfRule>
  </conditionalFormatting>
  <conditionalFormatting sqref="CU94">
    <cfRule type="expression" dxfId="95" priority="443">
      <formula>CT94&lt;0</formula>
    </cfRule>
    <cfRule type="colorScale" priority="442">
      <colorScale>
        <cfvo type="min"/>
        <cfvo type="max"/>
        <color theme="0"/>
        <color theme="0"/>
      </colorScale>
    </cfRule>
  </conditionalFormatting>
  <conditionalFormatting sqref="CU94:CU102">
    <cfRule type="expression" priority="436">
      <formula>#REF!</formula>
    </cfRule>
  </conditionalFormatting>
  <conditionalFormatting sqref="CU94:CU103">
    <cfRule type="expression" dxfId="94" priority="434">
      <formula>IF(CU94="Validar","Rojo","Verde")</formula>
    </cfRule>
  </conditionalFormatting>
  <conditionalFormatting sqref="CU95:CU100">
    <cfRule type="expression" dxfId="93" priority="441">
      <formula>CT95&lt;0</formula>
    </cfRule>
    <cfRule type="colorScale" priority="440">
      <colorScale>
        <cfvo type="min"/>
        <cfvo type="max"/>
        <color theme="0"/>
        <color theme="0"/>
      </colorScale>
    </cfRule>
  </conditionalFormatting>
  <conditionalFormatting sqref="CU101">
    <cfRule type="expression" dxfId="92" priority="439">
      <formula>CT101&lt;0</formula>
    </cfRule>
    <cfRule type="colorScale" priority="438">
      <colorScale>
        <cfvo type="min"/>
        <cfvo type="max"/>
        <color theme="0"/>
        <color theme="0"/>
      </colorScale>
    </cfRule>
  </conditionalFormatting>
  <conditionalFormatting sqref="CU102">
    <cfRule type="colorScale" priority="435">
      <colorScale>
        <cfvo type="min"/>
        <cfvo type="max"/>
        <color theme="0"/>
        <color theme="0"/>
      </colorScale>
    </cfRule>
    <cfRule type="expression" dxfId="91" priority="437">
      <formula>CT102&lt;0</formula>
    </cfRule>
  </conditionalFormatting>
  <conditionalFormatting sqref="CU105">
    <cfRule type="expression" dxfId="90" priority="433">
      <formula>CT105&lt;0</formula>
    </cfRule>
    <cfRule type="colorScale" priority="432">
      <colorScale>
        <cfvo type="min"/>
        <cfvo type="max"/>
        <color theme="0"/>
        <color theme="0"/>
      </colorScale>
    </cfRule>
  </conditionalFormatting>
  <conditionalFormatting sqref="CU105:CU106">
    <cfRule type="expression" priority="430">
      <formula>#REF!</formula>
    </cfRule>
  </conditionalFormatting>
  <conditionalFormatting sqref="CU105:CU107">
    <cfRule type="expression" dxfId="89" priority="428">
      <formula>IF(CU105="Validar","Rojo","Verde")</formula>
    </cfRule>
  </conditionalFormatting>
  <conditionalFormatting sqref="CU106">
    <cfRule type="colorScale" priority="429">
      <colorScale>
        <cfvo type="min"/>
        <cfvo type="max"/>
        <color theme="0"/>
        <color theme="0"/>
      </colorScale>
    </cfRule>
    <cfRule type="expression" dxfId="88" priority="431">
      <formula>CT106&lt;0</formula>
    </cfRule>
  </conditionalFormatting>
  <conditionalFormatting sqref="CU110">
    <cfRule type="expression" dxfId="87" priority="421">
      <formula>CT110&lt;0</formula>
    </cfRule>
    <cfRule type="colorScale" priority="420">
      <colorScale>
        <cfvo type="min"/>
        <cfvo type="max"/>
        <color theme="0"/>
        <color theme="0"/>
      </colorScale>
    </cfRule>
  </conditionalFormatting>
  <conditionalFormatting sqref="CU110:CU111">
    <cfRule type="expression" priority="411">
      <formula>#REF!</formula>
    </cfRule>
  </conditionalFormatting>
  <conditionalFormatting sqref="CU111">
    <cfRule type="colorScale" priority="410">
      <colorScale>
        <cfvo type="min"/>
        <cfvo type="max"/>
        <color theme="0"/>
        <color theme="0"/>
      </colorScale>
    </cfRule>
    <cfRule type="expression" dxfId="86" priority="412">
      <formula>CT111&lt;0</formula>
    </cfRule>
  </conditionalFormatting>
  <conditionalFormatting sqref="CU117">
    <cfRule type="expression" dxfId="85" priority="427">
      <formula>CT117&lt;0</formula>
    </cfRule>
    <cfRule type="colorScale" priority="426">
      <colorScale>
        <cfvo type="min"/>
        <cfvo type="max"/>
        <color theme="0"/>
        <color theme="0"/>
      </colorScale>
    </cfRule>
  </conditionalFormatting>
  <conditionalFormatting sqref="CU117:CU123">
    <cfRule type="expression" priority="424">
      <formula>#REF!</formula>
    </cfRule>
  </conditionalFormatting>
  <conditionalFormatting sqref="CU118:CU123">
    <cfRule type="expression" dxfId="84" priority="425">
      <formula>CT118&lt;0</formula>
    </cfRule>
    <cfRule type="colorScale" priority="423">
      <colorScale>
        <cfvo type="min"/>
        <cfvo type="max"/>
        <color theme="0"/>
        <color theme="0"/>
      </colorScale>
    </cfRule>
  </conditionalFormatting>
  <conditionalFormatting sqref="CU126:CU135">
    <cfRule type="expression" dxfId="83" priority="547">
      <formula>IF(CU126="Validar","Rojo","Verde")</formula>
    </cfRule>
    <cfRule type="colorScale" priority="548">
      <colorScale>
        <cfvo type="min"/>
        <cfvo type="max"/>
        <color theme="0"/>
        <color theme="0"/>
      </colorScale>
    </cfRule>
    <cfRule type="expression" priority="549">
      <formula>$F$23</formula>
    </cfRule>
    <cfRule type="expression" dxfId="82" priority="550">
      <formula>CT126&lt;0</formula>
    </cfRule>
  </conditionalFormatting>
  <conditionalFormatting sqref="CW5 CW9">
    <cfRule type="colorScale" priority="372">
      <colorScale>
        <cfvo type="min"/>
        <cfvo type="max"/>
        <color theme="0"/>
        <color theme="0"/>
      </colorScale>
    </cfRule>
    <cfRule type="expression" dxfId="81" priority="373">
      <formula>CV5&lt;0</formula>
    </cfRule>
  </conditionalFormatting>
  <conditionalFormatting sqref="CW5:CW20">
    <cfRule type="expression" dxfId="80" priority="301">
      <formula>IF(CW5="Validar","Rojo","Verde")</formula>
    </cfRule>
    <cfRule type="expression" priority="302">
      <formula>#REF!</formula>
    </cfRule>
  </conditionalFormatting>
  <conditionalFormatting sqref="CW6">
    <cfRule type="expression" dxfId="79" priority="308">
      <formula>CV6&lt;0</formula>
    </cfRule>
    <cfRule type="colorScale" priority="307">
      <colorScale>
        <cfvo type="min"/>
        <cfvo type="max"/>
        <color theme="0"/>
        <color theme="0"/>
      </colorScale>
    </cfRule>
  </conditionalFormatting>
  <conditionalFormatting sqref="CW7:CW8">
    <cfRule type="expression" dxfId="78" priority="304">
      <formula>CV7&lt;0</formula>
    </cfRule>
    <cfRule type="colorScale" priority="303">
      <colorScale>
        <cfvo type="min"/>
        <cfvo type="max"/>
        <color theme="0"/>
        <color theme="0"/>
      </colorScale>
    </cfRule>
  </conditionalFormatting>
  <conditionalFormatting sqref="CW10">
    <cfRule type="colorScale" priority="349">
      <colorScale>
        <cfvo type="min"/>
        <cfvo type="max"/>
        <color theme="0"/>
        <color theme="0"/>
      </colorScale>
    </cfRule>
    <cfRule type="expression" dxfId="77" priority="350">
      <formula>CV10&lt;0</formula>
    </cfRule>
  </conditionalFormatting>
  <conditionalFormatting sqref="CW11:CW14">
    <cfRule type="expression" dxfId="76" priority="371">
      <formula>CV11&lt;0</formula>
    </cfRule>
    <cfRule type="colorScale" priority="370">
      <colorScale>
        <cfvo type="min"/>
        <cfvo type="max"/>
        <color theme="0"/>
        <color theme="0"/>
      </colorScale>
    </cfRule>
  </conditionalFormatting>
  <conditionalFormatting sqref="CW15">
    <cfRule type="expression" dxfId="75" priority="348">
      <formula>CV15&lt;0</formula>
    </cfRule>
    <cfRule type="colorScale" priority="347">
      <colorScale>
        <cfvo type="min"/>
        <cfvo type="max"/>
        <color theme="0"/>
        <color theme="0"/>
      </colorScale>
    </cfRule>
  </conditionalFormatting>
  <conditionalFormatting sqref="CW16:CW17">
    <cfRule type="expression" dxfId="74" priority="369">
      <formula>CV16&lt;0</formula>
    </cfRule>
    <cfRule type="colorScale" priority="368">
      <colorScale>
        <cfvo type="min"/>
        <cfvo type="max"/>
        <color theme="0"/>
        <color theme="0"/>
      </colorScale>
    </cfRule>
  </conditionalFormatting>
  <conditionalFormatting sqref="CW18">
    <cfRule type="colorScale" priority="344">
      <colorScale>
        <cfvo type="min"/>
        <cfvo type="max"/>
        <color theme="0"/>
        <color theme="0"/>
      </colorScale>
    </cfRule>
    <cfRule type="expression" dxfId="73" priority="346">
      <formula>CV18&lt;0</formula>
    </cfRule>
  </conditionalFormatting>
  <conditionalFormatting sqref="CW19:CW20">
    <cfRule type="expression" dxfId="72" priority="367">
      <formula>CV19&lt;0</formula>
    </cfRule>
    <cfRule type="colorScale" priority="366">
      <colorScale>
        <cfvo type="min"/>
        <cfvo type="max"/>
        <color theme="0"/>
        <color theme="0"/>
      </colorScale>
    </cfRule>
  </conditionalFormatting>
  <conditionalFormatting sqref="CW23">
    <cfRule type="expression" dxfId="71" priority="342">
      <formula>CV23&lt;0</formula>
    </cfRule>
    <cfRule type="colorScale" priority="341">
      <colorScale>
        <cfvo type="min"/>
        <cfvo type="max"/>
        <color theme="0"/>
        <color theme="0"/>
      </colorScale>
    </cfRule>
  </conditionalFormatting>
  <conditionalFormatting sqref="CW23:CW31">
    <cfRule type="expression" priority="337">
      <formula>#REF!</formula>
    </cfRule>
    <cfRule type="expression" dxfId="70" priority="335">
      <formula>IF(CW23="Validar","Rojo","Verde")</formula>
    </cfRule>
  </conditionalFormatting>
  <conditionalFormatting sqref="CW24">
    <cfRule type="colorScale" priority="364">
      <colorScale>
        <cfvo type="min"/>
        <cfvo type="max"/>
        <color theme="0"/>
        <color theme="0"/>
      </colorScale>
    </cfRule>
    <cfRule type="expression" dxfId="69" priority="365">
      <formula>CV24&lt;0</formula>
    </cfRule>
  </conditionalFormatting>
  <conditionalFormatting sqref="CW25">
    <cfRule type="expression" dxfId="68" priority="363">
      <formula>CV25&lt;0</formula>
    </cfRule>
    <cfRule type="colorScale" priority="362">
      <colorScale>
        <cfvo type="min"/>
        <cfvo type="max"/>
        <color theme="0"/>
        <color theme="0"/>
      </colorScale>
    </cfRule>
  </conditionalFormatting>
  <conditionalFormatting sqref="CW26">
    <cfRule type="expression" dxfId="67" priority="340">
      <formula>CV26&lt;0</formula>
    </cfRule>
    <cfRule type="colorScale" priority="339">
      <colorScale>
        <cfvo type="min"/>
        <cfvo type="max"/>
        <color theme="0"/>
        <color theme="0"/>
      </colorScale>
    </cfRule>
  </conditionalFormatting>
  <conditionalFormatting sqref="CW27">
    <cfRule type="expression" dxfId="66" priority="361">
      <formula>CV27&lt;0</formula>
    </cfRule>
    <cfRule type="colorScale" priority="360">
      <colorScale>
        <cfvo type="min"/>
        <cfvo type="max"/>
        <color theme="0"/>
        <color theme="0"/>
      </colorScale>
    </cfRule>
  </conditionalFormatting>
  <conditionalFormatting sqref="CW28">
    <cfRule type="expression" dxfId="65" priority="359">
      <formula>CV28&lt;0</formula>
    </cfRule>
    <cfRule type="colorScale" priority="358">
      <colorScale>
        <cfvo type="min"/>
        <cfvo type="max"/>
        <color theme="0"/>
        <color theme="0"/>
      </colorScale>
    </cfRule>
  </conditionalFormatting>
  <conditionalFormatting sqref="CW29">
    <cfRule type="expression" dxfId="64" priority="338">
      <formula>CV29&lt;0</formula>
    </cfRule>
    <cfRule type="colorScale" priority="336">
      <colorScale>
        <cfvo type="min"/>
        <cfvo type="max"/>
        <color theme="0"/>
        <color theme="0"/>
      </colorScale>
    </cfRule>
  </conditionalFormatting>
  <conditionalFormatting sqref="CW30">
    <cfRule type="expression" dxfId="63" priority="357">
      <formula>CV30&lt;0</formula>
    </cfRule>
    <cfRule type="colorScale" priority="356">
      <colorScale>
        <cfvo type="min"/>
        <cfvo type="max"/>
        <color theme="0"/>
        <color theme="0"/>
      </colorScale>
    </cfRule>
  </conditionalFormatting>
  <conditionalFormatting sqref="CW31">
    <cfRule type="expression" dxfId="62" priority="355">
      <formula>CV31&lt;0</formula>
    </cfRule>
    <cfRule type="colorScale" priority="354">
      <colorScale>
        <cfvo type="min"/>
        <cfvo type="max"/>
        <color theme="0"/>
        <color theme="0"/>
      </colorScale>
    </cfRule>
  </conditionalFormatting>
  <conditionalFormatting sqref="CW39">
    <cfRule type="colorScale" priority="332">
      <colorScale>
        <cfvo type="min"/>
        <cfvo type="max"/>
        <color theme="0"/>
        <color theme="0"/>
      </colorScale>
    </cfRule>
    <cfRule type="expression" dxfId="61" priority="334">
      <formula>CV39&lt;0</formula>
    </cfRule>
    <cfRule type="expression" priority="333">
      <formula>#REF!</formula>
    </cfRule>
  </conditionalFormatting>
  <conditionalFormatting sqref="CW39:CW107">
    <cfRule type="expression" dxfId="60" priority="313">
      <formula>IF(CW39="Validar","Rojo","Verde")</formula>
    </cfRule>
  </conditionalFormatting>
  <conditionalFormatting sqref="CW40:CW67">
    <cfRule type="colorScale" priority="351">
      <colorScale>
        <cfvo type="min"/>
        <cfvo type="max"/>
        <color theme="0"/>
        <color theme="0"/>
      </colorScale>
    </cfRule>
    <cfRule type="expression" priority="352">
      <formula>$F$19</formula>
    </cfRule>
    <cfRule type="expression" dxfId="59" priority="353">
      <formula>CV40&lt;0</formula>
    </cfRule>
  </conditionalFormatting>
  <conditionalFormatting sqref="CW68">
    <cfRule type="expression" priority="330">
      <formula>#REF!</formula>
    </cfRule>
    <cfRule type="expression" dxfId="58" priority="331">
      <formula>CV68&lt;0</formula>
    </cfRule>
    <cfRule type="colorScale" priority="329">
      <colorScale>
        <cfvo type="min"/>
        <cfvo type="max"/>
        <color theme="0"/>
        <color theme="0"/>
      </colorScale>
    </cfRule>
  </conditionalFormatting>
  <conditionalFormatting sqref="CW69:CW81">
    <cfRule type="colorScale" priority="376">
      <colorScale>
        <cfvo type="min"/>
        <cfvo type="max"/>
        <color theme="0"/>
        <color theme="0"/>
      </colorScale>
    </cfRule>
    <cfRule type="expression" dxfId="57" priority="378">
      <formula>CV69&lt;0</formula>
    </cfRule>
    <cfRule type="expression" priority="377">
      <formula>$F$19</formula>
    </cfRule>
  </conditionalFormatting>
  <conditionalFormatting sqref="CW82 CW92 CW103 CW107">
    <cfRule type="expression" dxfId="56" priority="375">
      <formula>CV82&lt;0</formula>
    </cfRule>
    <cfRule type="expression" priority="318">
      <formula>$F$23</formula>
    </cfRule>
  </conditionalFormatting>
  <conditionalFormatting sqref="CW83">
    <cfRule type="colorScale" priority="314">
      <colorScale>
        <cfvo type="min"/>
        <cfvo type="max"/>
        <color theme="0"/>
        <color theme="0"/>
      </colorScale>
    </cfRule>
    <cfRule type="expression" dxfId="55" priority="316">
      <formula>CV83&lt;0</formula>
    </cfRule>
    <cfRule type="expression" priority="315">
      <formula>#REF!</formula>
    </cfRule>
  </conditionalFormatting>
  <conditionalFormatting sqref="CW84:CW91">
    <cfRule type="colorScale" priority="379">
      <colorScale>
        <cfvo type="min"/>
        <cfvo type="max"/>
        <color theme="0"/>
        <color theme="0"/>
      </colorScale>
    </cfRule>
    <cfRule type="expression" priority="380">
      <formula>$F$19</formula>
    </cfRule>
    <cfRule type="expression" dxfId="54" priority="381">
      <formula>CV84&lt;0</formula>
    </cfRule>
  </conditionalFormatting>
  <conditionalFormatting sqref="CW92 CW82 CW103 CW107">
    <cfRule type="colorScale" priority="374">
      <colorScale>
        <cfvo type="min"/>
        <cfvo type="max"/>
        <color theme="0"/>
        <color theme="0"/>
      </colorScale>
    </cfRule>
  </conditionalFormatting>
  <conditionalFormatting sqref="CW93">
    <cfRule type="colorScale" priority="326">
      <colorScale>
        <cfvo type="min"/>
        <cfvo type="max"/>
        <color theme="0"/>
        <color theme="0"/>
      </colorScale>
    </cfRule>
    <cfRule type="expression" priority="327">
      <formula>#REF!</formula>
    </cfRule>
    <cfRule type="expression" dxfId="53" priority="328">
      <formula>CV93&lt;0</formula>
    </cfRule>
  </conditionalFormatting>
  <conditionalFormatting sqref="CW94:CW102">
    <cfRule type="colorScale" priority="382">
      <colorScale>
        <cfvo type="min"/>
        <cfvo type="max"/>
        <color theme="0"/>
        <color theme="0"/>
      </colorScale>
    </cfRule>
    <cfRule type="expression" priority="383">
      <formula>$F$19</formula>
    </cfRule>
    <cfRule type="expression" dxfId="52" priority="384">
      <formula>CV94&lt;0</formula>
    </cfRule>
  </conditionalFormatting>
  <conditionalFormatting sqref="CW104">
    <cfRule type="expression" priority="324">
      <formula>#REF!</formula>
    </cfRule>
    <cfRule type="expression" dxfId="51" priority="325">
      <formula>CV104&lt;0</formula>
    </cfRule>
    <cfRule type="colorScale" priority="323">
      <colorScale>
        <cfvo type="min"/>
        <cfvo type="max"/>
        <color theme="0"/>
        <color theme="0"/>
      </colorScale>
    </cfRule>
  </conditionalFormatting>
  <conditionalFormatting sqref="CW105:CW106">
    <cfRule type="expression" dxfId="50" priority="387">
      <formula>CV105&lt;0</formula>
    </cfRule>
    <cfRule type="expression" priority="386">
      <formula>$F$19</formula>
    </cfRule>
    <cfRule type="colorScale" priority="385">
      <colorScale>
        <cfvo type="min"/>
        <cfvo type="max"/>
        <color theme="0"/>
        <color theme="0"/>
      </colorScale>
    </cfRule>
  </conditionalFormatting>
  <conditionalFormatting sqref="CW110">
    <cfRule type="expression" dxfId="49" priority="389">
      <formula>CV110&lt;0</formula>
    </cfRule>
    <cfRule type="colorScale" priority="388">
      <colorScale>
        <cfvo type="min"/>
        <cfvo type="max"/>
        <color theme="0"/>
        <color theme="0"/>
      </colorScale>
    </cfRule>
  </conditionalFormatting>
  <conditionalFormatting sqref="CW110:CW111">
    <cfRule type="expression" priority="311">
      <formula>$F$19</formula>
    </cfRule>
  </conditionalFormatting>
  <conditionalFormatting sqref="CW111">
    <cfRule type="expression" dxfId="48" priority="312">
      <formula>CV111&lt;0</formula>
    </cfRule>
    <cfRule type="colorScale" priority="310">
      <colorScale>
        <cfvo type="min"/>
        <cfvo type="max"/>
        <color theme="0"/>
        <color theme="0"/>
      </colorScale>
    </cfRule>
  </conditionalFormatting>
  <conditionalFormatting sqref="CW117:CW123">
    <cfRule type="expression" priority="394">
      <formula>$F$19</formula>
    </cfRule>
    <cfRule type="expression" dxfId="47" priority="395">
      <formula>CV117&lt;0</formula>
    </cfRule>
    <cfRule type="colorScale" priority="393">
      <colorScale>
        <cfvo type="min"/>
        <cfvo type="max"/>
        <color theme="0"/>
        <color theme="0"/>
      </colorScale>
    </cfRule>
  </conditionalFormatting>
  <conditionalFormatting sqref="CW125">
    <cfRule type="colorScale" priority="320">
      <colorScale>
        <cfvo type="min"/>
        <cfvo type="max"/>
        <color theme="0"/>
        <color theme="0"/>
      </colorScale>
    </cfRule>
    <cfRule type="expression" dxfId="46" priority="322">
      <formula>CV125&lt;0</formula>
    </cfRule>
    <cfRule type="expression" priority="321">
      <formula>#REF!</formula>
    </cfRule>
  </conditionalFormatting>
  <conditionalFormatting sqref="CW125:CW135">
    <cfRule type="expression" dxfId="45" priority="319">
      <formula>IF(CW125="Validar","Rojo","Verde")</formula>
    </cfRule>
  </conditionalFormatting>
  <conditionalFormatting sqref="CW126:CW132">
    <cfRule type="colorScale" priority="396">
      <colorScale>
        <cfvo type="min"/>
        <cfvo type="max"/>
        <color theme="0"/>
        <color theme="0"/>
      </colorScale>
    </cfRule>
    <cfRule type="expression" dxfId="44" priority="398">
      <formula>CV126&lt;0</formula>
    </cfRule>
  </conditionalFormatting>
  <conditionalFormatting sqref="CW126:CW134">
    <cfRule type="expression" priority="397">
      <formula>$F$19</formula>
    </cfRule>
  </conditionalFormatting>
  <conditionalFormatting sqref="CW133:CW134">
    <cfRule type="expression" dxfId="43" priority="400">
      <formula>CV133&lt;0</formula>
    </cfRule>
    <cfRule type="colorScale" priority="399">
      <colorScale>
        <cfvo type="min"/>
        <cfvo type="max"/>
        <color theme="0"/>
        <color theme="0"/>
      </colorScale>
    </cfRule>
  </conditionalFormatting>
  <conditionalFormatting sqref="CW135">
    <cfRule type="expression" dxfId="42" priority="392">
      <formula>CV135&lt;0</formula>
    </cfRule>
    <cfRule type="colorScale" priority="390">
      <colorScale>
        <cfvo type="min"/>
        <cfvo type="max"/>
        <color theme="0"/>
        <color theme="0"/>
      </colorScale>
    </cfRule>
    <cfRule type="expression" priority="391">
      <formula>$F$23</formula>
    </cfRule>
  </conditionalFormatting>
  <conditionalFormatting sqref="CW110:CX111">
    <cfRule type="expression" dxfId="41" priority="309">
      <formula>IF(CW110="Validar","Rojo","Verde")</formula>
    </cfRule>
  </conditionalFormatting>
  <conditionalFormatting sqref="CW117:CX123">
    <cfRule type="expression" dxfId="40" priority="317">
      <formula>IF(CW117="Validar","Rojo","Verde")</formula>
    </cfRule>
  </conditionalFormatting>
  <conditionalFormatting sqref="CX5">
    <cfRule type="colorScale" priority="4814">
      <colorScale>
        <cfvo type="min"/>
        <cfvo type="max"/>
        <color theme="0"/>
        <color theme="0"/>
      </colorScale>
    </cfRule>
    <cfRule type="expression" dxfId="39" priority="4815">
      <formula>CW5&lt;0</formula>
    </cfRule>
  </conditionalFormatting>
  <conditionalFormatting sqref="CX5:CX16">
    <cfRule type="expression" dxfId="38" priority="4786">
      <formula>IF(CX5="Validar","Rojo","Verde")</formula>
    </cfRule>
    <cfRule type="expression" priority="4788">
      <formula>#REF!</formula>
    </cfRule>
  </conditionalFormatting>
  <conditionalFormatting sqref="CX6:CX9">
    <cfRule type="colorScale" priority="4822">
      <colorScale>
        <cfvo type="min"/>
        <cfvo type="max"/>
        <color theme="0"/>
        <color theme="0"/>
      </colorScale>
    </cfRule>
    <cfRule type="expression" dxfId="37" priority="4823">
      <formula>CW6&lt;0</formula>
    </cfRule>
  </conditionalFormatting>
  <conditionalFormatting sqref="CX10">
    <cfRule type="expression" dxfId="36" priority="4791">
      <formula>CW10&lt;0</formula>
    </cfRule>
    <cfRule type="colorScale" priority="4790">
      <colorScale>
        <cfvo type="min"/>
        <cfvo type="max"/>
        <color theme="0"/>
        <color theme="0"/>
      </colorScale>
    </cfRule>
  </conditionalFormatting>
  <conditionalFormatting sqref="CX11:CX14">
    <cfRule type="colorScale" priority="4820">
      <colorScale>
        <cfvo type="min"/>
        <cfvo type="max"/>
        <color theme="0"/>
        <color theme="0"/>
      </colorScale>
    </cfRule>
    <cfRule type="expression" dxfId="35" priority="4821">
      <formula>CW11&lt;0</formula>
    </cfRule>
  </conditionalFormatting>
  <conditionalFormatting sqref="CX15">
    <cfRule type="colorScale" priority="4787">
      <colorScale>
        <cfvo type="min"/>
        <cfvo type="max"/>
        <color theme="0"/>
        <color theme="0"/>
      </colorScale>
    </cfRule>
    <cfRule type="expression" dxfId="34" priority="4789">
      <formula>CW15&lt;0</formula>
    </cfRule>
  </conditionalFormatting>
  <conditionalFormatting sqref="CX16">
    <cfRule type="colorScale" priority="4818">
      <colorScale>
        <cfvo type="min"/>
        <cfvo type="max"/>
        <color theme="0"/>
        <color theme="0"/>
      </colorScale>
    </cfRule>
    <cfRule type="expression" dxfId="33" priority="4819">
      <formula>CW16&lt;0</formula>
    </cfRule>
  </conditionalFormatting>
  <conditionalFormatting sqref="CX18">
    <cfRule type="colorScale" priority="4783">
      <colorScale>
        <cfvo type="min"/>
        <cfvo type="max"/>
        <color theme="0"/>
        <color theme="0"/>
      </colorScale>
    </cfRule>
    <cfRule type="expression" dxfId="32" priority="4785">
      <formula>CW18&lt;0</formula>
    </cfRule>
  </conditionalFormatting>
  <conditionalFormatting sqref="CX18:CX19">
    <cfRule type="expression" dxfId="31" priority="4782">
      <formula>IF(CX18="Validar","Rojo","Verde")</formula>
    </cfRule>
    <cfRule type="expression" priority="4784">
      <formula>#REF!</formula>
    </cfRule>
  </conditionalFormatting>
  <conditionalFormatting sqref="CX19">
    <cfRule type="colorScale" priority="4816">
      <colorScale>
        <cfvo type="min"/>
        <cfvo type="max"/>
        <color theme="0"/>
        <color theme="0"/>
      </colorScale>
    </cfRule>
    <cfRule type="expression" dxfId="30" priority="4817">
      <formula>CW19&lt;0</formula>
    </cfRule>
  </conditionalFormatting>
  <conditionalFormatting sqref="CX23">
    <cfRule type="colorScale" priority="4779">
      <colorScale>
        <cfvo type="min"/>
        <cfvo type="max"/>
        <color theme="0"/>
        <color theme="0"/>
      </colorScale>
    </cfRule>
    <cfRule type="expression" dxfId="29" priority="4781">
      <formula>CW23&lt;0</formula>
    </cfRule>
  </conditionalFormatting>
  <conditionalFormatting sqref="CX23:CX24">
    <cfRule type="expression" dxfId="28" priority="4778">
      <formula>IF(CX23="Validar","Rojo","Verde")</formula>
    </cfRule>
    <cfRule type="expression" priority="4780">
      <formula>#REF!</formula>
    </cfRule>
  </conditionalFormatting>
  <conditionalFormatting sqref="CX24">
    <cfRule type="expression" dxfId="27" priority="4813">
      <formula>CW24&lt;0</formula>
    </cfRule>
    <cfRule type="colorScale" priority="4812">
      <colorScale>
        <cfvo type="min"/>
        <cfvo type="max"/>
        <color theme="0"/>
        <color theme="0"/>
      </colorScale>
    </cfRule>
  </conditionalFormatting>
  <conditionalFormatting sqref="CX26">
    <cfRule type="colorScale" priority="4775">
      <colorScale>
        <cfvo type="min"/>
        <cfvo type="max"/>
        <color theme="0"/>
        <color theme="0"/>
      </colorScale>
    </cfRule>
    <cfRule type="expression" dxfId="26" priority="4777">
      <formula>CW26&lt;0</formula>
    </cfRule>
  </conditionalFormatting>
  <conditionalFormatting sqref="CX26:CX27">
    <cfRule type="expression" dxfId="25" priority="4774">
      <formula>IF(CX26="Validar","Rojo","Verde")</formula>
    </cfRule>
    <cfRule type="expression" priority="4776">
      <formula>#REF!</formula>
    </cfRule>
  </conditionalFormatting>
  <conditionalFormatting sqref="CX27">
    <cfRule type="expression" dxfId="24" priority="4811">
      <formula>CW27&lt;0</formula>
    </cfRule>
    <cfRule type="colorScale" priority="4810">
      <colorScale>
        <cfvo type="min"/>
        <cfvo type="max"/>
        <color theme="0"/>
        <color theme="0"/>
      </colorScale>
    </cfRule>
  </conditionalFormatting>
  <conditionalFormatting sqref="CX29">
    <cfRule type="expression" dxfId="23" priority="4773">
      <formula>CW29&lt;0</formula>
    </cfRule>
    <cfRule type="colorScale" priority="4771">
      <colorScale>
        <cfvo type="min"/>
        <cfvo type="max"/>
        <color theme="0"/>
        <color theme="0"/>
      </colorScale>
    </cfRule>
  </conditionalFormatting>
  <conditionalFormatting sqref="CX29:CX30">
    <cfRule type="expression" priority="4772">
      <formula>#REF!</formula>
    </cfRule>
    <cfRule type="expression" dxfId="22" priority="4770">
      <formula>IF(CX29="Validar","Rojo","Verde")</formula>
    </cfRule>
  </conditionalFormatting>
  <conditionalFormatting sqref="CX30">
    <cfRule type="expression" dxfId="21" priority="4809">
      <formula>CW30&lt;0</formula>
    </cfRule>
    <cfRule type="colorScale" priority="4808">
      <colorScale>
        <cfvo type="min"/>
        <cfvo type="max"/>
        <color theme="0"/>
        <color theme="0"/>
      </colorScale>
    </cfRule>
  </conditionalFormatting>
  <conditionalFormatting sqref="CX39">
    <cfRule type="colorScale" priority="4767">
      <colorScale>
        <cfvo type="min"/>
        <cfvo type="max"/>
        <color theme="0"/>
        <color theme="0"/>
      </colorScale>
    </cfRule>
    <cfRule type="expression" dxfId="20" priority="4769">
      <formula>CW39&lt;0</formula>
    </cfRule>
  </conditionalFormatting>
  <conditionalFormatting sqref="CX39:CX66">
    <cfRule type="expression" dxfId="19" priority="4766">
      <formula>IF(CX39="Validar","Rojo","Verde")</formula>
    </cfRule>
    <cfRule type="expression" priority="4768">
      <formula>#REF!</formula>
    </cfRule>
  </conditionalFormatting>
  <conditionalFormatting sqref="CX40:CX66">
    <cfRule type="expression" dxfId="18" priority="4807">
      <formula>CW40&lt;0</formula>
    </cfRule>
    <cfRule type="colorScale" priority="4806">
      <colorScale>
        <cfvo type="min"/>
        <cfvo type="max"/>
        <color theme="0"/>
        <color theme="0"/>
      </colorScale>
    </cfRule>
  </conditionalFormatting>
  <conditionalFormatting sqref="CX68">
    <cfRule type="colorScale" priority="4763">
      <colorScale>
        <cfvo type="min"/>
        <cfvo type="max"/>
        <color theme="0"/>
        <color theme="0"/>
      </colorScale>
    </cfRule>
    <cfRule type="expression" dxfId="17" priority="4765">
      <formula>CW68&lt;0</formula>
    </cfRule>
  </conditionalFormatting>
  <conditionalFormatting sqref="CX68:CX81">
    <cfRule type="expression" dxfId="16" priority="4762">
      <formula>IF(CX68="Validar","Rojo","Verde")</formula>
    </cfRule>
    <cfRule type="expression" priority="4764">
      <formula>#REF!</formula>
    </cfRule>
  </conditionalFormatting>
  <conditionalFormatting sqref="CX69:CX81">
    <cfRule type="expression" dxfId="15" priority="4825">
      <formula>CW69&lt;0</formula>
    </cfRule>
    <cfRule type="colorScale" priority="4824">
      <colorScale>
        <cfvo type="min"/>
        <cfvo type="max"/>
        <color theme="0"/>
        <color theme="0"/>
      </colorScale>
    </cfRule>
  </conditionalFormatting>
  <conditionalFormatting sqref="CX83">
    <cfRule type="colorScale" priority="4746">
      <colorScale>
        <cfvo type="min"/>
        <cfvo type="max"/>
        <color theme="0"/>
        <color theme="0"/>
      </colorScale>
    </cfRule>
    <cfRule type="expression" dxfId="14" priority="4748">
      <formula>CW83&lt;0</formula>
    </cfRule>
  </conditionalFormatting>
  <conditionalFormatting sqref="CX83:CX91">
    <cfRule type="expression" priority="4747">
      <formula>#REF!</formula>
    </cfRule>
    <cfRule type="expression" dxfId="13" priority="4745">
      <formula>IF(CX83="Validar","Rojo","Verde")</formula>
    </cfRule>
  </conditionalFormatting>
  <conditionalFormatting sqref="CX84:CX91">
    <cfRule type="expression" dxfId="12" priority="4805">
      <formula>CW84&lt;0</formula>
    </cfRule>
    <cfRule type="colorScale" priority="4804">
      <colorScale>
        <cfvo type="min"/>
        <cfvo type="max"/>
        <color theme="0"/>
        <color theme="0"/>
      </colorScale>
    </cfRule>
  </conditionalFormatting>
  <conditionalFormatting sqref="CX93">
    <cfRule type="expression" dxfId="11" priority="4761">
      <formula>CW93&lt;0</formula>
    </cfRule>
    <cfRule type="colorScale" priority="4759">
      <colorScale>
        <cfvo type="min"/>
        <cfvo type="max"/>
        <color theme="0"/>
        <color theme="0"/>
      </colorScale>
    </cfRule>
  </conditionalFormatting>
  <conditionalFormatting sqref="CX93:CX102">
    <cfRule type="expression" priority="4760">
      <formula>#REF!</formula>
    </cfRule>
    <cfRule type="expression" dxfId="10" priority="4758">
      <formula>IF(CX93="Validar","Rojo","Verde")</formula>
    </cfRule>
  </conditionalFormatting>
  <conditionalFormatting sqref="CX94:CX102">
    <cfRule type="colorScale" priority="4802">
      <colorScale>
        <cfvo type="min"/>
        <cfvo type="max"/>
        <color theme="0"/>
        <color theme="0"/>
      </colorScale>
    </cfRule>
    <cfRule type="expression" dxfId="9" priority="4803">
      <formula>CW94&lt;0</formula>
    </cfRule>
  </conditionalFormatting>
  <conditionalFormatting sqref="CX104">
    <cfRule type="colorScale" priority="4755">
      <colorScale>
        <cfvo type="min"/>
        <cfvo type="max"/>
        <color theme="0"/>
        <color theme="0"/>
      </colorScale>
    </cfRule>
    <cfRule type="expression" dxfId="8" priority="4757">
      <formula>CW104&lt;0</formula>
    </cfRule>
  </conditionalFormatting>
  <conditionalFormatting sqref="CX104:CX106">
    <cfRule type="expression" priority="4756">
      <formula>#REF!</formula>
    </cfRule>
    <cfRule type="expression" dxfId="7" priority="4754">
      <formula>IF(CX104="Validar","Rojo","Verde")</formula>
    </cfRule>
  </conditionalFormatting>
  <conditionalFormatting sqref="CX105:CX106">
    <cfRule type="expression" dxfId="6" priority="4801">
      <formula>CW105&lt;0</formula>
    </cfRule>
    <cfRule type="colorScale" priority="4800">
      <colorScale>
        <cfvo type="min"/>
        <cfvo type="max"/>
        <color theme="0"/>
        <color theme="0"/>
      </colorScale>
    </cfRule>
  </conditionalFormatting>
  <conditionalFormatting sqref="CX110">
    <cfRule type="colorScale" priority="4798">
      <colorScale>
        <cfvo type="min"/>
        <cfvo type="max"/>
        <color theme="0"/>
        <color theme="0"/>
      </colorScale>
    </cfRule>
    <cfRule type="expression" dxfId="5" priority="4799">
      <formula>CW110&lt;0</formula>
    </cfRule>
  </conditionalFormatting>
  <conditionalFormatting sqref="CX110:CX111">
    <cfRule type="expression" priority="4740">
      <formula>#REF!</formula>
    </cfRule>
  </conditionalFormatting>
  <conditionalFormatting sqref="CX111">
    <cfRule type="expression" dxfId="4" priority="4741">
      <formula>CW111&lt;0</formula>
    </cfRule>
    <cfRule type="colorScale" priority="4739">
      <colorScale>
        <cfvo type="min"/>
        <cfvo type="max"/>
        <color theme="0"/>
        <color theme="0"/>
      </colorScale>
    </cfRule>
  </conditionalFormatting>
  <conditionalFormatting sqref="CX117:CX123">
    <cfRule type="colorScale" priority="4795">
      <colorScale>
        <cfvo type="min"/>
        <cfvo type="max"/>
        <color theme="0"/>
        <color theme="0"/>
      </colorScale>
    </cfRule>
    <cfRule type="expression" priority="4796">
      <formula>#REF!</formula>
    </cfRule>
    <cfRule type="expression" dxfId="3" priority="4797">
      <formula>CW117&lt;0</formula>
    </cfRule>
  </conditionalFormatting>
  <conditionalFormatting sqref="CX125">
    <cfRule type="colorScale" priority="4751">
      <colorScale>
        <cfvo type="min"/>
        <cfvo type="max"/>
        <color theme="0"/>
        <color theme="0"/>
      </colorScale>
    </cfRule>
    <cfRule type="expression" dxfId="2" priority="4753">
      <formula>CW125&lt;0</formula>
    </cfRule>
  </conditionalFormatting>
  <conditionalFormatting sqref="CX125:CX134">
    <cfRule type="expression" dxfId="1" priority="4750">
      <formula>IF(CX125="Validar","Rojo","Verde")</formula>
    </cfRule>
    <cfRule type="expression" priority="4752">
      <formula>#REF!</formula>
    </cfRule>
  </conditionalFormatting>
  <conditionalFormatting sqref="CX126:CX134">
    <cfRule type="colorScale" priority="4792">
      <colorScale>
        <cfvo type="min"/>
        <cfvo type="max"/>
        <color theme="0"/>
        <color theme="0"/>
      </colorScale>
    </cfRule>
    <cfRule type="expression" dxfId="0" priority="4793">
      <formula>CW126&lt;0</formula>
    </cfRule>
  </conditionalFormatting>
  <pageMargins left="0.7" right="0.7" top="0.75" bottom="0.75" header="0.3" footer="0.3"/>
  <pageSetup paperSize="9" orientation="portrait" r:id="rId1"/>
  <headerFooter>
    <oddHeader>&amp;LElaborado por:&amp;CCarmen Eugenia Quintero Q.</oddHead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397" id="{B6FB8B3F-2C57-4752-801F-098B0995624E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K3</xm:sqref>
        </x14:conditionalFormatting>
        <x14:conditionalFormatting xmlns:xm="http://schemas.microsoft.com/office/excel/2006/main">
          <x14:cfRule type="iconSet" priority="5396" id="{802DE300-4B7E-4604-AFA2-8BCD51F44C9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K4:K82 K110 K113:K139 K84:K108</xm:sqref>
        </x14:conditionalFormatting>
        <x14:conditionalFormatting xmlns:xm="http://schemas.microsoft.com/office/excel/2006/main">
          <x14:cfRule type="iconSet" priority="5386" id="{7D9A6747-A67B-42EA-B51B-D6CFBBEAD35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K83</xm:sqref>
        </x14:conditionalFormatting>
        <x14:conditionalFormatting xmlns:xm="http://schemas.microsoft.com/office/excel/2006/main">
          <x14:cfRule type="iconSet" priority="5380" id="{E404845A-0A5D-444E-8CAD-04AF701BEE0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K109</xm:sqref>
        </x14:conditionalFormatting>
        <x14:conditionalFormatting xmlns:xm="http://schemas.microsoft.com/office/excel/2006/main">
          <x14:cfRule type="iconSet" priority="5365" id="{06B43BCA-0E5C-4CEE-B30C-FD9BC3035AC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K111</xm:sqref>
        </x14:conditionalFormatting>
        <x14:conditionalFormatting xmlns:xm="http://schemas.microsoft.com/office/excel/2006/main">
          <x14:cfRule type="iconSet" priority="5378" id="{AC1AB458-F258-48F0-AFB4-CF9E11CC459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K112</xm:sqref>
        </x14:conditionalFormatting>
        <x14:conditionalFormatting xmlns:xm="http://schemas.microsoft.com/office/excel/2006/main">
          <x14:cfRule type="iconSet" priority="5395" id="{37A371F1-7DDC-441B-BF7E-1403A692217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R4:R82 R110 R113:R139 R84:R108</xm:sqref>
        </x14:conditionalFormatting>
        <x14:conditionalFormatting xmlns:xm="http://schemas.microsoft.com/office/excel/2006/main">
          <x14:cfRule type="iconSet" priority="5381" id="{E38FEABC-4C16-47C4-857C-766A0970E1B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R83</xm:sqref>
        </x14:conditionalFormatting>
        <x14:conditionalFormatting xmlns:xm="http://schemas.microsoft.com/office/excel/2006/main">
          <x14:cfRule type="iconSet" priority="5379" id="{09D6B33F-2256-45FF-AE3B-11B988A4545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R109</xm:sqref>
        </x14:conditionalFormatting>
        <x14:conditionalFormatting xmlns:xm="http://schemas.microsoft.com/office/excel/2006/main">
          <x14:cfRule type="iconSet" priority="5360" id="{68CE7C75-0F0F-46C8-9F1E-C515BC0ACF6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R111</xm:sqref>
        </x14:conditionalFormatting>
        <x14:conditionalFormatting xmlns:xm="http://schemas.microsoft.com/office/excel/2006/main">
          <x14:cfRule type="iconSet" priority="5377" id="{DE52B467-93FF-433D-A052-4B82FFF74AE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R112</xm:sqref>
        </x14:conditionalFormatting>
        <x14:conditionalFormatting xmlns:xm="http://schemas.microsoft.com/office/excel/2006/main">
          <x14:cfRule type="iconSet" priority="5194" id="{26145F04-20E4-43E9-8194-949E0BA83CB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X4:X82 X110 X113:X139 X84:X108</xm:sqref>
        </x14:conditionalFormatting>
        <x14:conditionalFormatting xmlns:xm="http://schemas.microsoft.com/office/excel/2006/main">
          <x14:cfRule type="iconSet" priority="5189" id="{A4C2D7C1-1FF1-485D-A499-4EB15F8BC85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X83</xm:sqref>
        </x14:conditionalFormatting>
        <x14:conditionalFormatting xmlns:xm="http://schemas.microsoft.com/office/excel/2006/main">
          <x14:cfRule type="iconSet" priority="5188" id="{9484DE3C-01B0-4F95-9BEF-C53D1E0BCD9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X109</xm:sqref>
        </x14:conditionalFormatting>
        <x14:conditionalFormatting xmlns:xm="http://schemas.microsoft.com/office/excel/2006/main">
          <x14:cfRule type="iconSet" priority="5182" id="{40B44C9C-81A0-4632-B343-FAB76476511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X111</xm:sqref>
        </x14:conditionalFormatting>
        <x14:conditionalFormatting xmlns:xm="http://schemas.microsoft.com/office/excel/2006/main">
          <x14:cfRule type="iconSet" priority="5187" id="{68C3738B-7B60-4126-A9F9-573DB6E29AD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X112</xm:sqref>
        </x14:conditionalFormatting>
        <x14:conditionalFormatting xmlns:xm="http://schemas.microsoft.com/office/excel/2006/main">
          <x14:cfRule type="iconSet" priority="5283" id="{14F7A6B5-18CE-4B74-9B74-6D0FA61271B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AB4:AB82 AB110 AB113:AB139 AB84:AB108</xm:sqref>
        </x14:conditionalFormatting>
        <x14:conditionalFormatting xmlns:xm="http://schemas.microsoft.com/office/excel/2006/main">
          <x14:cfRule type="iconSet" priority="5278" id="{8DF7E3EE-E015-4D79-A0D4-491489E68FC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AB83</xm:sqref>
        </x14:conditionalFormatting>
        <x14:conditionalFormatting xmlns:xm="http://schemas.microsoft.com/office/excel/2006/main">
          <x14:cfRule type="iconSet" priority="5277" id="{6D6AE3B7-EAFC-402F-9415-D9976398E79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AB109</xm:sqref>
        </x14:conditionalFormatting>
        <x14:conditionalFormatting xmlns:xm="http://schemas.microsoft.com/office/excel/2006/main">
          <x14:cfRule type="iconSet" priority="5271" id="{2B4225C8-D2D4-4624-8FD1-87C328308D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AB111</xm:sqref>
        </x14:conditionalFormatting>
        <x14:conditionalFormatting xmlns:xm="http://schemas.microsoft.com/office/excel/2006/main">
          <x14:cfRule type="iconSet" priority="5276" id="{8A229B6F-B91B-45EE-8EF4-DC2B87187EA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AB112</xm:sqref>
        </x14:conditionalFormatting>
        <x14:conditionalFormatting xmlns:xm="http://schemas.microsoft.com/office/excel/2006/main">
          <x14:cfRule type="iconSet" priority="4571" id="{AD51985F-1B90-480E-8D20-503F3766DAE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AI4:AI82 AI110 AI113:AI139 AI84:AI108</xm:sqref>
        </x14:conditionalFormatting>
        <x14:conditionalFormatting xmlns:xm="http://schemas.microsoft.com/office/excel/2006/main">
          <x14:cfRule type="iconSet" priority="4566" id="{5390D52A-AC55-40F3-979F-C95EBE66698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AI83</xm:sqref>
        </x14:conditionalFormatting>
        <x14:conditionalFormatting xmlns:xm="http://schemas.microsoft.com/office/excel/2006/main">
          <x14:cfRule type="iconSet" priority="4565" id="{4CD0B458-FB54-485F-9960-0B9044D4645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AI109</xm:sqref>
        </x14:conditionalFormatting>
        <x14:conditionalFormatting xmlns:xm="http://schemas.microsoft.com/office/excel/2006/main">
          <x14:cfRule type="iconSet" priority="4559" id="{CB364D05-B9AE-4D3F-9604-B25732FF7DA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AI111</xm:sqref>
        </x14:conditionalFormatting>
        <x14:conditionalFormatting xmlns:xm="http://schemas.microsoft.com/office/excel/2006/main">
          <x14:cfRule type="iconSet" priority="4564" id="{806C14DB-2C1E-46C1-8E9C-807FFA67CCB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AI112</xm:sqref>
        </x14:conditionalFormatting>
        <x14:conditionalFormatting xmlns:xm="http://schemas.microsoft.com/office/excel/2006/main">
          <x14:cfRule type="iconSet" priority="4482" id="{911F64DF-E175-4F90-A355-381B64E1AE1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AP4:AP82 AP110 AP113:AP139 AP84:AP108</xm:sqref>
        </x14:conditionalFormatting>
        <x14:conditionalFormatting xmlns:xm="http://schemas.microsoft.com/office/excel/2006/main">
          <x14:cfRule type="iconSet" priority="4477" id="{5BE69F88-CD94-4D25-9464-99DAC2C2648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AP83</xm:sqref>
        </x14:conditionalFormatting>
        <x14:conditionalFormatting xmlns:xm="http://schemas.microsoft.com/office/excel/2006/main">
          <x14:cfRule type="iconSet" priority="4476" id="{3BD88C66-0E7A-409F-9A62-4ED95A3EDB9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AP109</xm:sqref>
        </x14:conditionalFormatting>
        <x14:conditionalFormatting xmlns:xm="http://schemas.microsoft.com/office/excel/2006/main">
          <x14:cfRule type="iconSet" priority="4470" id="{724AB9E7-6CEC-4F70-AD7D-3673DAEBC35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AP111</xm:sqref>
        </x14:conditionalFormatting>
        <x14:conditionalFormatting xmlns:xm="http://schemas.microsoft.com/office/excel/2006/main">
          <x14:cfRule type="iconSet" priority="4475" id="{6E5D1B7C-EFD5-46CA-AAFA-A39F5798FD3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AP112</xm:sqref>
        </x14:conditionalFormatting>
        <x14:conditionalFormatting xmlns:xm="http://schemas.microsoft.com/office/excel/2006/main">
          <x14:cfRule type="iconSet" priority="5105" id="{5D72B18F-464A-4ECC-8D4E-11CABD396A1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AV4:AV82 AV110 AV113:AV139 AV84:AV108</xm:sqref>
        </x14:conditionalFormatting>
        <x14:conditionalFormatting xmlns:xm="http://schemas.microsoft.com/office/excel/2006/main">
          <x14:cfRule type="iconSet" priority="5100" id="{009C78D4-6872-402A-B9D6-B29FB0051DB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AV83</xm:sqref>
        </x14:conditionalFormatting>
        <x14:conditionalFormatting xmlns:xm="http://schemas.microsoft.com/office/excel/2006/main">
          <x14:cfRule type="iconSet" priority="5099" id="{8EB1B32D-79F8-4524-938B-C10B21917A2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AV109</xm:sqref>
        </x14:conditionalFormatting>
        <x14:conditionalFormatting xmlns:xm="http://schemas.microsoft.com/office/excel/2006/main">
          <x14:cfRule type="iconSet" priority="5093" id="{925885D2-DE4A-4FCB-B7B7-E964F606FA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AV111</xm:sqref>
        </x14:conditionalFormatting>
        <x14:conditionalFormatting xmlns:xm="http://schemas.microsoft.com/office/excel/2006/main">
          <x14:cfRule type="iconSet" priority="5098" id="{49B110C3-8370-40C4-BE31-35D4FAF1FB8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AV112</xm:sqref>
        </x14:conditionalFormatting>
        <x14:conditionalFormatting xmlns:xm="http://schemas.microsoft.com/office/excel/2006/main">
          <x14:cfRule type="iconSet" priority="5016" id="{F0BC47EF-AD3A-42AC-9199-411008372CC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BB4:BB82 BB110 BB113:BB139 BB84:BB108</xm:sqref>
        </x14:conditionalFormatting>
        <x14:conditionalFormatting xmlns:xm="http://schemas.microsoft.com/office/excel/2006/main">
          <x14:cfRule type="iconSet" priority="5011" id="{979A5380-9BE4-49E2-8D29-CDF3A81C852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BB83</xm:sqref>
        </x14:conditionalFormatting>
        <x14:conditionalFormatting xmlns:xm="http://schemas.microsoft.com/office/excel/2006/main">
          <x14:cfRule type="iconSet" priority="5010" id="{3ABFB3DF-57DB-4F95-B0A1-DA47E904C30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BB109</xm:sqref>
        </x14:conditionalFormatting>
        <x14:conditionalFormatting xmlns:xm="http://schemas.microsoft.com/office/excel/2006/main">
          <x14:cfRule type="iconSet" priority="5004" id="{FFE6B3E9-8A5C-4C0D-BB09-9A3798DCF4D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BB111</xm:sqref>
        </x14:conditionalFormatting>
        <x14:conditionalFormatting xmlns:xm="http://schemas.microsoft.com/office/excel/2006/main">
          <x14:cfRule type="iconSet" priority="5009" id="{67488372-6F0B-4852-A4F4-4831B613833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BB112</xm:sqref>
        </x14:conditionalFormatting>
        <x14:conditionalFormatting xmlns:xm="http://schemas.microsoft.com/office/excel/2006/main">
          <x14:cfRule type="iconSet" priority="4927" id="{1CC4C710-2449-4C97-9A59-6619AC0F353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BF4:BF82 BF110 BF113:BF139 BF84:BF108</xm:sqref>
        </x14:conditionalFormatting>
        <x14:conditionalFormatting xmlns:xm="http://schemas.microsoft.com/office/excel/2006/main">
          <x14:cfRule type="iconSet" priority="4922" id="{F8FC9D5B-3338-4709-91CC-D1E6548C9D9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BF83</xm:sqref>
        </x14:conditionalFormatting>
        <x14:conditionalFormatting xmlns:xm="http://schemas.microsoft.com/office/excel/2006/main">
          <x14:cfRule type="iconSet" priority="4921" id="{14C4B2FF-FAAC-4FF6-AAA9-FEB573F415D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BF109</xm:sqref>
        </x14:conditionalFormatting>
        <x14:conditionalFormatting xmlns:xm="http://schemas.microsoft.com/office/excel/2006/main">
          <x14:cfRule type="iconSet" priority="4915" id="{E812700D-2FE3-4641-AE17-9DF23EA743C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BF111</xm:sqref>
        </x14:conditionalFormatting>
        <x14:conditionalFormatting xmlns:xm="http://schemas.microsoft.com/office/excel/2006/main">
          <x14:cfRule type="iconSet" priority="4920" id="{8BB557D9-299E-486C-9317-8C69E837F6C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BF112</xm:sqref>
        </x14:conditionalFormatting>
        <x14:conditionalFormatting xmlns:xm="http://schemas.microsoft.com/office/excel/2006/main">
          <x14:cfRule type="iconSet" priority="4393" id="{2778654A-8E0D-445D-A8F8-A0105D2B8AA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BM4:BM82 BM110 BM113:BM139 BM84:BM108</xm:sqref>
        </x14:conditionalFormatting>
        <x14:conditionalFormatting xmlns:xm="http://schemas.microsoft.com/office/excel/2006/main">
          <x14:cfRule type="iconSet" priority="4388" id="{6B28BE91-750C-4D22-92FD-BE982214DA5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BM83</xm:sqref>
        </x14:conditionalFormatting>
        <x14:conditionalFormatting xmlns:xm="http://schemas.microsoft.com/office/excel/2006/main">
          <x14:cfRule type="iconSet" priority="4387" id="{4FFC8BEA-9DC8-42BD-9358-9ACC6C1C1B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BM109</xm:sqref>
        </x14:conditionalFormatting>
        <x14:conditionalFormatting xmlns:xm="http://schemas.microsoft.com/office/excel/2006/main">
          <x14:cfRule type="iconSet" priority="4381" id="{0DC925CC-230A-4776-A62F-3C42A832B91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BM111</xm:sqref>
        </x14:conditionalFormatting>
        <x14:conditionalFormatting xmlns:xm="http://schemas.microsoft.com/office/excel/2006/main">
          <x14:cfRule type="iconSet" priority="4386" id="{68A144E0-7D92-4DAE-8323-8A467BB9CE3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BM112</xm:sqref>
        </x14:conditionalFormatting>
        <x14:conditionalFormatting xmlns:xm="http://schemas.microsoft.com/office/excel/2006/main">
          <x14:cfRule type="iconSet" priority="4304" id="{D703B6F4-6C0D-4D11-B8EE-481C0C7E89B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BT4:BT82 BT110 BT113:BT139 BT84:BT108</xm:sqref>
        </x14:conditionalFormatting>
        <x14:conditionalFormatting xmlns:xm="http://schemas.microsoft.com/office/excel/2006/main">
          <x14:cfRule type="iconSet" priority="4299" id="{8F2146B2-4542-460D-B5E0-D64649411D0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BT83</xm:sqref>
        </x14:conditionalFormatting>
        <x14:conditionalFormatting xmlns:xm="http://schemas.microsoft.com/office/excel/2006/main">
          <x14:cfRule type="iconSet" priority="4298" id="{D78EC36E-CDA0-4137-8D01-CAA1E7335D4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BT109</xm:sqref>
        </x14:conditionalFormatting>
        <x14:conditionalFormatting xmlns:xm="http://schemas.microsoft.com/office/excel/2006/main">
          <x14:cfRule type="iconSet" priority="4292" id="{A2FD3078-17FF-4924-ADBE-E1184B39BC3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BT111</xm:sqref>
        </x14:conditionalFormatting>
        <x14:conditionalFormatting xmlns:xm="http://schemas.microsoft.com/office/excel/2006/main">
          <x14:cfRule type="iconSet" priority="4297" id="{52FB3CCF-C15A-4B11-963B-3A05BA9030C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BT112</xm:sqref>
        </x14:conditionalFormatting>
        <x14:conditionalFormatting xmlns:xm="http://schemas.microsoft.com/office/excel/2006/main">
          <x14:cfRule type="iconSet" priority="4838" id="{F37489BE-BB71-47CA-8BB5-C8D0D11DE9C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BZ4:BZ82 BZ110 BZ113:BZ139 BZ84:BZ108</xm:sqref>
        </x14:conditionalFormatting>
        <x14:conditionalFormatting xmlns:xm="http://schemas.microsoft.com/office/excel/2006/main">
          <x14:cfRule type="iconSet" priority="4833" id="{9395F6CD-0362-495D-B5F8-FF18B6DADB9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BZ83</xm:sqref>
        </x14:conditionalFormatting>
        <x14:conditionalFormatting xmlns:xm="http://schemas.microsoft.com/office/excel/2006/main">
          <x14:cfRule type="iconSet" priority="4832" id="{B3814A66-07DC-4689-9A16-A4DDBB2043F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BZ109</xm:sqref>
        </x14:conditionalFormatting>
        <x14:conditionalFormatting xmlns:xm="http://schemas.microsoft.com/office/excel/2006/main">
          <x14:cfRule type="iconSet" priority="4826" id="{D5879069-F22A-431C-B291-8B594DE64D6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BZ111</xm:sqref>
        </x14:conditionalFormatting>
        <x14:conditionalFormatting xmlns:xm="http://schemas.microsoft.com/office/excel/2006/main">
          <x14:cfRule type="iconSet" priority="4831" id="{022E2D2F-536F-433B-952F-99C1C3125CE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BZ112</xm:sqref>
        </x14:conditionalFormatting>
        <x14:conditionalFormatting xmlns:xm="http://schemas.microsoft.com/office/excel/2006/main">
          <x14:cfRule type="iconSet" priority="4660" id="{66B56870-17F3-415B-B3A2-DA67B78A29A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CD4:CD82 CD110 CD113:CD139 CD84:CD108</xm:sqref>
        </x14:conditionalFormatting>
        <x14:conditionalFormatting xmlns:xm="http://schemas.microsoft.com/office/excel/2006/main">
          <x14:cfRule type="iconSet" priority="4655" id="{2C431557-E879-42EF-BCB0-DBDC76E3CBC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CD83</xm:sqref>
        </x14:conditionalFormatting>
        <x14:conditionalFormatting xmlns:xm="http://schemas.microsoft.com/office/excel/2006/main">
          <x14:cfRule type="iconSet" priority="4654" id="{113AC28F-1E33-464B-9FA2-DE609E19090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CD109</xm:sqref>
        </x14:conditionalFormatting>
        <x14:conditionalFormatting xmlns:xm="http://schemas.microsoft.com/office/excel/2006/main">
          <x14:cfRule type="iconSet" priority="4648" id="{23D95B3D-9903-4F63-BD3E-AE3A0840AE8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CD111</xm:sqref>
        </x14:conditionalFormatting>
        <x14:conditionalFormatting xmlns:xm="http://schemas.microsoft.com/office/excel/2006/main">
          <x14:cfRule type="iconSet" priority="4653" id="{CE033F4B-5C9C-402C-8B15-66E2BA0BF69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CD112</xm:sqref>
        </x14:conditionalFormatting>
        <x14:conditionalFormatting xmlns:xm="http://schemas.microsoft.com/office/excel/2006/main">
          <x14:cfRule type="iconSet" priority="4215" id="{5ECFBEF6-5424-4045-B4D1-2EEF83DF5CC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CK4:CK82 CK110 CK113:CK139 CK84:CK108</xm:sqref>
        </x14:conditionalFormatting>
        <x14:conditionalFormatting xmlns:xm="http://schemas.microsoft.com/office/excel/2006/main">
          <x14:cfRule type="iconSet" priority="4210" id="{2C1CB5BF-F543-448E-B70C-2DBE359F56E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CK83</xm:sqref>
        </x14:conditionalFormatting>
        <x14:conditionalFormatting xmlns:xm="http://schemas.microsoft.com/office/excel/2006/main">
          <x14:cfRule type="iconSet" priority="4209" id="{5320CC75-D41C-45A9-B834-8F968BFA7B7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CK109</xm:sqref>
        </x14:conditionalFormatting>
        <x14:conditionalFormatting xmlns:xm="http://schemas.microsoft.com/office/excel/2006/main">
          <x14:cfRule type="iconSet" priority="4203" id="{C63912E2-7923-41F0-B8AC-1B239FA5693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CK111</xm:sqref>
        </x14:conditionalFormatting>
        <x14:conditionalFormatting xmlns:xm="http://schemas.microsoft.com/office/excel/2006/main">
          <x14:cfRule type="iconSet" priority="4208" id="{5B946E3C-BAFC-497B-9217-3207BD2B420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CK112</xm:sqref>
        </x14:conditionalFormatting>
        <x14:conditionalFormatting xmlns:xm="http://schemas.microsoft.com/office/excel/2006/main">
          <x14:cfRule type="iconSet" priority="4126" id="{EE2EB281-DFFF-401D-81A0-D3AE65F84A7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CR4:CR82 CR84:CR90 CR110 CR113:CR139 CR92:CR108</xm:sqref>
        </x14:conditionalFormatting>
        <x14:conditionalFormatting xmlns:xm="http://schemas.microsoft.com/office/excel/2006/main">
          <x14:cfRule type="iconSet" priority="4121" id="{A31C31C5-3F6C-4171-A54A-4F3A1FAE2AB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CR83</xm:sqref>
        </x14:conditionalFormatting>
        <x14:conditionalFormatting xmlns:xm="http://schemas.microsoft.com/office/excel/2006/main">
          <x14:cfRule type="iconSet" priority="4111" id="{A616718D-3746-442A-B893-02ABEF04E73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CR91</xm:sqref>
        </x14:conditionalFormatting>
        <x14:conditionalFormatting xmlns:xm="http://schemas.microsoft.com/office/excel/2006/main">
          <x14:cfRule type="iconSet" priority="4120" id="{AB89439C-585A-4330-8326-5E9B7C792A5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CR109</xm:sqref>
        </x14:conditionalFormatting>
        <x14:conditionalFormatting xmlns:xm="http://schemas.microsoft.com/office/excel/2006/main">
          <x14:cfRule type="iconSet" priority="4114" id="{DEBD39EF-8076-423F-9985-7C724F34FE2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CR111</xm:sqref>
        </x14:conditionalFormatting>
        <x14:conditionalFormatting xmlns:xm="http://schemas.microsoft.com/office/excel/2006/main">
          <x14:cfRule type="iconSet" priority="4119" id="{F59CDC0A-6893-4C52-BFAC-02EAD18E6E3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CR112</xm:sqref>
        </x14:conditionalFormatting>
        <x14:conditionalFormatting xmlns:xm="http://schemas.microsoft.com/office/excel/2006/main">
          <x14:cfRule type="iconSet" priority="4749" id="{CBA1912A-12CC-47FD-B715-A6074DC6C94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CX4:CX82 CX110 CX113:CX139 CX84:CX108</xm:sqref>
        </x14:conditionalFormatting>
        <x14:conditionalFormatting xmlns:xm="http://schemas.microsoft.com/office/excel/2006/main">
          <x14:cfRule type="iconSet" priority="4744" id="{90FAB4E1-2072-4DCA-AECD-0FA6FD05619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CX83</xm:sqref>
        </x14:conditionalFormatting>
        <x14:conditionalFormatting xmlns:xm="http://schemas.microsoft.com/office/excel/2006/main">
          <x14:cfRule type="iconSet" priority="4743" id="{BD2E3A13-A76A-442E-8F25-B1AF621B3CE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CX109</xm:sqref>
        </x14:conditionalFormatting>
        <x14:conditionalFormatting xmlns:xm="http://schemas.microsoft.com/office/excel/2006/main">
          <x14:cfRule type="iconSet" priority="4737" id="{713ECCC5-1C85-4048-9AA5-036B026449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CX111</xm:sqref>
        </x14:conditionalFormatting>
        <x14:conditionalFormatting xmlns:xm="http://schemas.microsoft.com/office/excel/2006/main">
          <x14:cfRule type="iconSet" priority="4742" id="{D6D2010F-14E7-4E93-88AF-01DFF5A2492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CX112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EB314"/>
  <sheetViews>
    <sheetView showGridLines="0" zoomScale="70" zoomScaleNormal="70" workbookViewId="0">
      <pane xSplit="1" ySplit="3" topLeftCell="B165" activePane="bottomRight" state="frozen"/>
      <selection activeCell="O106" sqref="O106"/>
      <selection pane="topRight" activeCell="O106" sqref="O106"/>
      <selection pane="bottomLeft" activeCell="O106" sqref="O106"/>
      <selection pane="bottomRight" activeCell="B225" sqref="B225"/>
    </sheetView>
  </sheetViews>
  <sheetFormatPr baseColWidth="10" defaultRowHeight="15" outlineLevelRow="2" x14ac:dyDescent="0.25"/>
  <cols>
    <col min="1" max="1" width="74.5703125" style="3" bestFit="1" customWidth="1"/>
    <col min="2" max="2" width="14.28515625" style="102" customWidth="1"/>
    <col min="3" max="3" width="12.42578125" style="102" bestFit="1" customWidth="1"/>
    <col min="4" max="4" width="12.85546875" style="102" customWidth="1"/>
    <col min="5" max="5" width="12.42578125" style="102" customWidth="1"/>
    <col min="6" max="6" width="12.28515625" style="102" customWidth="1"/>
    <col min="7" max="7" width="13.42578125" style="102" customWidth="1"/>
    <col min="8" max="10" width="13.28515625" style="102" customWidth="1"/>
    <col min="11" max="11" width="12.5703125" style="102" customWidth="1"/>
    <col min="12" max="13" width="13.28515625" style="102" customWidth="1"/>
    <col min="14" max="15" width="13.7109375" style="102" customWidth="1"/>
    <col min="16" max="141" width="11.5703125" style="3"/>
    <col min="142" max="142" width="39.28515625" style="3" customWidth="1"/>
    <col min="143" max="397" width="11.5703125" style="3"/>
    <col min="398" max="398" width="39.28515625" style="3" customWidth="1"/>
    <col min="399" max="653" width="11.5703125" style="3"/>
    <col min="654" max="654" width="39.28515625" style="3" customWidth="1"/>
    <col min="655" max="909" width="11.5703125" style="3"/>
    <col min="910" max="910" width="39.28515625" style="3" customWidth="1"/>
    <col min="911" max="1165" width="11.5703125" style="3"/>
    <col min="1166" max="1166" width="39.28515625" style="3" customWidth="1"/>
    <col min="1167" max="1421" width="11.5703125" style="3"/>
    <col min="1422" max="1422" width="39.28515625" style="3" customWidth="1"/>
    <col min="1423" max="1677" width="11.5703125" style="3"/>
    <col min="1678" max="1678" width="39.28515625" style="3" customWidth="1"/>
    <col min="1679" max="1933" width="11.5703125" style="3"/>
    <col min="1934" max="1934" width="39.28515625" style="3" customWidth="1"/>
    <col min="1935" max="2189" width="11.5703125" style="3"/>
    <col min="2190" max="2190" width="39.28515625" style="3" customWidth="1"/>
    <col min="2191" max="2445" width="11.5703125" style="3"/>
    <col min="2446" max="2446" width="39.28515625" style="3" customWidth="1"/>
    <col min="2447" max="2701" width="11.5703125" style="3"/>
    <col min="2702" max="2702" width="39.28515625" style="3" customWidth="1"/>
    <col min="2703" max="2957" width="11.5703125" style="3"/>
    <col min="2958" max="2958" width="39.28515625" style="3" customWidth="1"/>
    <col min="2959" max="3213" width="11.5703125" style="3"/>
    <col min="3214" max="3214" width="39.28515625" style="3" customWidth="1"/>
    <col min="3215" max="3469" width="11.5703125" style="3"/>
    <col min="3470" max="3470" width="39.28515625" style="3" customWidth="1"/>
    <col min="3471" max="3725" width="11.5703125" style="3"/>
    <col min="3726" max="3726" width="39.28515625" style="3" customWidth="1"/>
    <col min="3727" max="3981" width="11.5703125" style="3"/>
    <col min="3982" max="3982" width="39.28515625" style="3" customWidth="1"/>
    <col min="3983" max="4237" width="11.5703125" style="3"/>
    <col min="4238" max="4238" width="39.28515625" style="3" customWidth="1"/>
    <col min="4239" max="4493" width="11.5703125" style="3"/>
    <col min="4494" max="4494" width="39.28515625" style="3" customWidth="1"/>
    <col min="4495" max="4749" width="11.5703125" style="3"/>
    <col min="4750" max="4750" width="39.28515625" style="3" customWidth="1"/>
    <col min="4751" max="5005" width="11.5703125" style="3"/>
    <col min="5006" max="5006" width="39.28515625" style="3" customWidth="1"/>
    <col min="5007" max="5261" width="11.5703125" style="3"/>
    <col min="5262" max="5262" width="39.28515625" style="3" customWidth="1"/>
    <col min="5263" max="5517" width="11.5703125" style="3"/>
    <col min="5518" max="5518" width="39.28515625" style="3" customWidth="1"/>
    <col min="5519" max="5773" width="11.5703125" style="3"/>
    <col min="5774" max="5774" width="39.28515625" style="3" customWidth="1"/>
    <col min="5775" max="6029" width="11.5703125" style="3"/>
    <col min="6030" max="6030" width="39.28515625" style="3" customWidth="1"/>
    <col min="6031" max="6285" width="11.5703125" style="3"/>
    <col min="6286" max="6286" width="39.28515625" style="3" customWidth="1"/>
    <col min="6287" max="6541" width="11.5703125" style="3"/>
    <col min="6542" max="6542" width="39.28515625" style="3" customWidth="1"/>
    <col min="6543" max="6797" width="11.5703125" style="3"/>
    <col min="6798" max="6798" width="39.28515625" style="3" customWidth="1"/>
    <col min="6799" max="7053" width="11.5703125" style="3"/>
    <col min="7054" max="7054" width="39.28515625" style="3" customWidth="1"/>
    <col min="7055" max="7309" width="11.5703125" style="3"/>
    <col min="7310" max="7310" width="39.28515625" style="3" customWidth="1"/>
    <col min="7311" max="7565" width="11.5703125" style="3"/>
    <col min="7566" max="7566" width="39.28515625" style="3" customWidth="1"/>
    <col min="7567" max="7821" width="11.5703125" style="3"/>
    <col min="7822" max="7822" width="39.28515625" style="3" customWidth="1"/>
    <col min="7823" max="8077" width="11.5703125" style="3"/>
    <col min="8078" max="8078" width="39.28515625" style="3" customWidth="1"/>
    <col min="8079" max="8333" width="11.5703125" style="3"/>
    <col min="8334" max="8334" width="39.28515625" style="3" customWidth="1"/>
    <col min="8335" max="8589" width="11.5703125" style="3"/>
    <col min="8590" max="8590" width="39.28515625" style="3" customWidth="1"/>
    <col min="8591" max="8845" width="11.5703125" style="3"/>
    <col min="8846" max="8846" width="39.28515625" style="3" customWidth="1"/>
    <col min="8847" max="9101" width="11.5703125" style="3"/>
    <col min="9102" max="9102" width="39.28515625" style="3" customWidth="1"/>
    <col min="9103" max="9357" width="11.5703125" style="3"/>
    <col min="9358" max="9358" width="39.28515625" style="3" customWidth="1"/>
    <col min="9359" max="9613" width="11.5703125" style="3"/>
    <col min="9614" max="9614" width="39.28515625" style="3" customWidth="1"/>
    <col min="9615" max="9869" width="11.5703125" style="3"/>
    <col min="9870" max="9870" width="39.28515625" style="3" customWidth="1"/>
    <col min="9871" max="10125" width="11.5703125" style="3"/>
    <col min="10126" max="10126" width="39.28515625" style="3" customWidth="1"/>
    <col min="10127" max="10381" width="11.5703125" style="3"/>
    <col min="10382" max="10382" width="39.28515625" style="3" customWidth="1"/>
    <col min="10383" max="10637" width="11.5703125" style="3"/>
    <col min="10638" max="10638" width="39.28515625" style="3" customWidth="1"/>
    <col min="10639" max="10893" width="11.5703125" style="3"/>
    <col min="10894" max="10894" width="39.28515625" style="3" customWidth="1"/>
    <col min="10895" max="11149" width="11.5703125" style="3"/>
    <col min="11150" max="11150" width="39.28515625" style="3" customWidth="1"/>
    <col min="11151" max="11405" width="11.5703125" style="3"/>
    <col min="11406" max="11406" width="39.28515625" style="3" customWidth="1"/>
    <col min="11407" max="11661" width="11.5703125" style="3"/>
    <col min="11662" max="11662" width="39.28515625" style="3" customWidth="1"/>
    <col min="11663" max="11917" width="11.5703125" style="3"/>
    <col min="11918" max="11918" width="39.28515625" style="3" customWidth="1"/>
    <col min="11919" max="12173" width="11.5703125" style="3"/>
    <col min="12174" max="12174" width="39.28515625" style="3" customWidth="1"/>
    <col min="12175" max="12429" width="11.5703125" style="3"/>
    <col min="12430" max="12430" width="39.28515625" style="3" customWidth="1"/>
    <col min="12431" max="12685" width="11.5703125" style="3"/>
    <col min="12686" max="12686" width="39.28515625" style="3" customWidth="1"/>
    <col min="12687" max="12941" width="11.5703125" style="3"/>
    <col min="12942" max="12942" width="39.28515625" style="3" customWidth="1"/>
    <col min="12943" max="13197" width="11.5703125" style="3"/>
    <col min="13198" max="13198" width="39.28515625" style="3" customWidth="1"/>
    <col min="13199" max="13453" width="11.5703125" style="3"/>
    <col min="13454" max="13454" width="39.28515625" style="3" customWidth="1"/>
    <col min="13455" max="13709" width="11.5703125" style="3"/>
    <col min="13710" max="13710" width="39.28515625" style="3" customWidth="1"/>
    <col min="13711" max="13965" width="11.5703125" style="3"/>
    <col min="13966" max="13966" width="39.28515625" style="3" customWidth="1"/>
    <col min="13967" max="14221" width="11.5703125" style="3"/>
    <col min="14222" max="14222" width="39.28515625" style="3" customWidth="1"/>
    <col min="14223" max="14477" width="11.5703125" style="3"/>
    <col min="14478" max="14478" width="39.28515625" style="3" customWidth="1"/>
    <col min="14479" max="14733" width="11.5703125" style="3"/>
    <col min="14734" max="14734" width="39.28515625" style="3" customWidth="1"/>
    <col min="14735" max="14989" width="11.5703125" style="3"/>
    <col min="14990" max="14990" width="39.28515625" style="3" customWidth="1"/>
    <col min="14991" max="15245" width="11.5703125" style="3"/>
    <col min="15246" max="15246" width="39.28515625" style="3" customWidth="1"/>
    <col min="15247" max="15471" width="11.5703125" style="3"/>
    <col min="15472" max="16384" width="11.42578125" style="3" customWidth="1"/>
  </cols>
  <sheetData>
    <row r="1" spans="1:15" s="2" customFormat="1" x14ac:dyDescent="0.25"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5" s="2" customFormat="1" ht="28.15" customHeight="1" x14ac:dyDescent="0.25">
      <c r="A2" s="166" t="s">
        <v>38</v>
      </c>
      <c r="B2" s="186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5"/>
    </row>
    <row r="3" spans="1:15" s="7" customFormat="1" ht="24" customHeight="1" x14ac:dyDescent="0.25">
      <c r="A3" s="167" t="s">
        <v>33</v>
      </c>
      <c r="B3" s="187">
        <f ca="1">IF(ISBLANK(A2),"",YEAR(TODAY())-1)</f>
        <v>2025</v>
      </c>
      <c r="C3" s="93" t="s">
        <v>119</v>
      </c>
      <c r="D3" s="93" t="s">
        <v>120</v>
      </c>
      <c r="E3" s="93" t="s">
        <v>122</v>
      </c>
      <c r="F3" s="93" t="s">
        <v>127</v>
      </c>
      <c r="G3" s="93" t="s">
        <v>128</v>
      </c>
      <c r="H3" s="93" t="s">
        <v>129</v>
      </c>
      <c r="I3" s="93" t="s">
        <v>139</v>
      </c>
      <c r="J3" s="93" t="s">
        <v>140</v>
      </c>
      <c r="K3" s="93" t="s">
        <v>141</v>
      </c>
      <c r="L3" s="93" t="s">
        <v>142</v>
      </c>
      <c r="M3" s="93" t="s">
        <v>143</v>
      </c>
      <c r="N3" s="93" t="s">
        <v>144</v>
      </c>
      <c r="O3" s="193" t="s">
        <v>145</v>
      </c>
    </row>
    <row r="4" spans="1:15" s="157" customFormat="1" ht="18" customHeight="1" x14ac:dyDescent="0.3">
      <c r="A4" s="168" t="s">
        <v>37</v>
      </c>
      <c r="B4" s="156">
        <f t="shared" ref="B4:O4" si="0">+B5+B18</f>
        <v>0</v>
      </c>
      <c r="C4" s="156">
        <f t="shared" si="0"/>
        <v>48122.01</v>
      </c>
      <c r="D4" s="156">
        <f t="shared" si="0"/>
        <v>51737.22</v>
      </c>
      <c r="E4" s="156">
        <f t="shared" si="0"/>
        <v>67221.179999999993</v>
      </c>
      <c r="F4" s="156">
        <f t="shared" si="0"/>
        <v>0</v>
      </c>
      <c r="G4" s="156">
        <f t="shared" si="0"/>
        <v>0</v>
      </c>
      <c r="H4" s="156">
        <f t="shared" si="0"/>
        <v>0</v>
      </c>
      <c r="I4" s="156">
        <f t="shared" si="0"/>
        <v>0</v>
      </c>
      <c r="J4" s="156">
        <f t="shared" si="0"/>
        <v>0</v>
      </c>
      <c r="K4" s="156">
        <f t="shared" si="0"/>
        <v>0</v>
      </c>
      <c r="L4" s="156">
        <f t="shared" si="0"/>
        <v>0</v>
      </c>
      <c r="M4" s="156">
        <f t="shared" si="0"/>
        <v>0</v>
      </c>
      <c r="N4" s="156">
        <f t="shared" si="0"/>
        <v>0</v>
      </c>
      <c r="O4" s="169">
        <f t="shared" si="0"/>
        <v>167080.41</v>
      </c>
    </row>
    <row r="5" spans="1:15" s="159" customFormat="1" ht="15.75" outlineLevel="1" x14ac:dyDescent="0.25">
      <c r="A5" s="188" t="s">
        <v>146</v>
      </c>
      <c r="B5" s="158">
        <f>+B6+B10+B11+B12+B13+B14+B15-B7-B8-B9</f>
        <v>0</v>
      </c>
      <c r="C5" s="158">
        <f t="shared" ref="C5:O5" si="1">+C6+C10+C11+C12+C13+C14+C15-C7-C8-C9</f>
        <v>47933.03</v>
      </c>
      <c r="D5" s="158">
        <f t="shared" si="1"/>
        <v>51483.040000000001</v>
      </c>
      <c r="E5" s="158">
        <f t="shared" si="1"/>
        <v>64106.18</v>
      </c>
      <c r="F5" s="158">
        <f t="shared" si="1"/>
        <v>0</v>
      </c>
      <c r="G5" s="158">
        <f t="shared" si="1"/>
        <v>0</v>
      </c>
      <c r="H5" s="158">
        <f t="shared" si="1"/>
        <v>0</v>
      </c>
      <c r="I5" s="158">
        <f t="shared" si="1"/>
        <v>0</v>
      </c>
      <c r="J5" s="158">
        <f t="shared" si="1"/>
        <v>0</v>
      </c>
      <c r="K5" s="158">
        <f t="shared" si="1"/>
        <v>0</v>
      </c>
      <c r="L5" s="158">
        <f t="shared" si="1"/>
        <v>0</v>
      </c>
      <c r="M5" s="158">
        <f t="shared" si="1"/>
        <v>0</v>
      </c>
      <c r="N5" s="158">
        <f t="shared" si="1"/>
        <v>0</v>
      </c>
      <c r="O5" s="178">
        <f t="shared" si="1"/>
        <v>163522.25</v>
      </c>
    </row>
    <row r="6" spans="1:15" outlineLevel="1" x14ac:dyDescent="0.25">
      <c r="A6" s="170" t="s">
        <v>147</v>
      </c>
      <c r="B6" s="103"/>
      <c r="C6" s="103">
        <v>47933.03</v>
      </c>
      <c r="D6" s="103">
        <v>51483.040000000001</v>
      </c>
      <c r="E6" s="103">
        <v>64106.18</v>
      </c>
      <c r="F6" s="103"/>
      <c r="G6" s="103"/>
      <c r="H6" s="103"/>
      <c r="I6" s="103"/>
      <c r="J6" s="103"/>
      <c r="K6" s="103"/>
      <c r="L6" s="103"/>
      <c r="M6" s="103"/>
      <c r="N6" s="103"/>
      <c r="O6" s="163">
        <f t="shared" ref="O6:O94" si="2">+SUM(C6:N6)</f>
        <v>163522.25</v>
      </c>
    </row>
    <row r="7" spans="1:15" outlineLevel="1" x14ac:dyDescent="0.25">
      <c r="A7" s="170" t="s">
        <v>148</v>
      </c>
      <c r="B7" s="103"/>
      <c r="C7" s="103">
        <v>0</v>
      </c>
      <c r="D7" s="103">
        <v>0</v>
      </c>
      <c r="E7" s="103">
        <v>0</v>
      </c>
      <c r="F7" s="103"/>
      <c r="G7" s="103"/>
      <c r="H7" s="103"/>
      <c r="I7" s="103"/>
      <c r="J7" s="103"/>
      <c r="K7" s="103"/>
      <c r="L7" s="103"/>
      <c r="M7" s="103"/>
      <c r="N7" s="103"/>
      <c r="O7" s="163">
        <f t="shared" si="2"/>
        <v>0</v>
      </c>
    </row>
    <row r="8" spans="1:15" outlineLevel="1" x14ac:dyDescent="0.25">
      <c r="A8" s="170" t="s">
        <v>53</v>
      </c>
      <c r="B8" s="103"/>
      <c r="C8" s="103">
        <v>0</v>
      </c>
      <c r="D8" s="103">
        <v>0</v>
      </c>
      <c r="E8" s="103">
        <v>0</v>
      </c>
      <c r="F8" s="103"/>
      <c r="G8" s="103"/>
      <c r="H8" s="103"/>
      <c r="I8" s="103"/>
      <c r="J8" s="103"/>
      <c r="K8" s="103"/>
      <c r="L8" s="103"/>
      <c r="M8" s="103"/>
      <c r="N8" s="103"/>
      <c r="O8" s="163">
        <f t="shared" si="2"/>
        <v>0</v>
      </c>
    </row>
    <row r="9" spans="1:15" outlineLevel="1" x14ac:dyDescent="0.25">
      <c r="A9" s="170" t="s">
        <v>149</v>
      </c>
      <c r="B9" s="103"/>
      <c r="C9" s="103">
        <v>0</v>
      </c>
      <c r="D9" s="103">
        <v>0</v>
      </c>
      <c r="E9" s="103">
        <v>0</v>
      </c>
      <c r="F9" s="103"/>
      <c r="G9" s="103"/>
      <c r="H9" s="103"/>
      <c r="I9" s="103"/>
      <c r="J9" s="103"/>
      <c r="K9" s="103"/>
      <c r="L9" s="103"/>
      <c r="M9" s="103"/>
      <c r="N9" s="103"/>
      <c r="O9" s="163">
        <f t="shared" si="2"/>
        <v>0</v>
      </c>
    </row>
    <row r="10" spans="1:15" outlineLevel="1" x14ac:dyDescent="0.25">
      <c r="A10" s="170" t="s">
        <v>40</v>
      </c>
      <c r="B10" s="103"/>
      <c r="C10" s="103">
        <v>0</v>
      </c>
      <c r="D10" s="103">
        <v>0</v>
      </c>
      <c r="E10" s="103">
        <v>0</v>
      </c>
      <c r="F10" s="103"/>
      <c r="G10" s="103"/>
      <c r="H10" s="103"/>
      <c r="I10" s="103"/>
      <c r="J10" s="103"/>
      <c r="K10" s="103"/>
      <c r="L10" s="103"/>
      <c r="M10" s="103"/>
      <c r="N10" s="103"/>
      <c r="O10" s="163">
        <f t="shared" si="2"/>
        <v>0</v>
      </c>
    </row>
    <row r="11" spans="1:15" outlineLevel="1" x14ac:dyDescent="0.25">
      <c r="A11" s="170" t="s">
        <v>150</v>
      </c>
      <c r="B11" s="103"/>
      <c r="C11" s="103">
        <v>0</v>
      </c>
      <c r="D11" s="103">
        <v>0</v>
      </c>
      <c r="E11" s="103">
        <v>0</v>
      </c>
      <c r="F11" s="103"/>
      <c r="G11" s="103"/>
      <c r="H11" s="103"/>
      <c r="I11" s="103"/>
      <c r="J11" s="103"/>
      <c r="K11" s="103"/>
      <c r="L11" s="103"/>
      <c r="M11" s="103"/>
      <c r="N11" s="103"/>
      <c r="O11" s="163">
        <f t="shared" si="2"/>
        <v>0</v>
      </c>
    </row>
    <row r="12" spans="1:15" outlineLevel="1" x14ac:dyDescent="0.25">
      <c r="A12" s="170" t="s">
        <v>151</v>
      </c>
      <c r="B12" s="103"/>
      <c r="C12" s="103">
        <v>0</v>
      </c>
      <c r="D12" s="103">
        <v>0</v>
      </c>
      <c r="E12" s="103">
        <v>0</v>
      </c>
      <c r="F12" s="103"/>
      <c r="G12" s="103"/>
      <c r="H12" s="103"/>
      <c r="I12" s="103"/>
      <c r="J12" s="103"/>
      <c r="K12" s="103"/>
      <c r="L12" s="103"/>
      <c r="M12" s="103"/>
      <c r="N12" s="103"/>
      <c r="O12" s="163">
        <f t="shared" si="2"/>
        <v>0</v>
      </c>
    </row>
    <row r="13" spans="1:15" outlineLevel="1" x14ac:dyDescent="0.25">
      <c r="A13" s="170" t="s">
        <v>152</v>
      </c>
      <c r="B13" s="103"/>
      <c r="C13" s="103">
        <v>0</v>
      </c>
      <c r="D13" s="103">
        <v>0</v>
      </c>
      <c r="E13" s="103">
        <v>0</v>
      </c>
      <c r="F13" s="103"/>
      <c r="G13" s="103"/>
      <c r="H13" s="103"/>
      <c r="I13" s="103"/>
      <c r="J13" s="103"/>
      <c r="K13" s="103"/>
      <c r="L13" s="103"/>
      <c r="M13" s="103"/>
      <c r="N13" s="103"/>
      <c r="O13" s="163">
        <f t="shared" si="2"/>
        <v>0</v>
      </c>
    </row>
    <row r="14" spans="1:15" outlineLevel="1" x14ac:dyDescent="0.25">
      <c r="A14" s="170" t="s">
        <v>45</v>
      </c>
      <c r="B14" s="103"/>
      <c r="C14" s="103">
        <v>0</v>
      </c>
      <c r="D14" s="103">
        <v>0</v>
      </c>
      <c r="E14" s="103">
        <v>0</v>
      </c>
      <c r="F14" s="103"/>
      <c r="G14" s="103"/>
      <c r="H14" s="103"/>
      <c r="I14" s="103"/>
      <c r="J14" s="103"/>
      <c r="K14" s="103"/>
      <c r="L14" s="103"/>
      <c r="M14" s="103"/>
      <c r="N14" s="103"/>
      <c r="O14" s="163">
        <f t="shared" si="2"/>
        <v>0</v>
      </c>
    </row>
    <row r="15" spans="1:15" s="2" customFormat="1" outlineLevel="1" x14ac:dyDescent="0.25">
      <c r="A15" s="170" t="s">
        <v>153</v>
      </c>
      <c r="B15" s="105"/>
      <c r="C15" s="105">
        <v>0</v>
      </c>
      <c r="D15" s="105">
        <v>0</v>
      </c>
      <c r="E15" s="105">
        <v>0</v>
      </c>
      <c r="F15" s="105"/>
      <c r="G15" s="105"/>
      <c r="H15" s="105"/>
      <c r="I15" s="105"/>
      <c r="J15" s="105"/>
      <c r="K15" s="105"/>
      <c r="L15" s="105"/>
      <c r="M15" s="105"/>
      <c r="N15" s="105"/>
      <c r="O15" s="163">
        <f t="shared" si="2"/>
        <v>0</v>
      </c>
    </row>
    <row r="16" spans="1:15" s="2" customFormat="1" outlineLevel="1" x14ac:dyDescent="0.25">
      <c r="A16" s="170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63">
        <f t="shared" si="2"/>
        <v>0</v>
      </c>
    </row>
    <row r="17" spans="1:15" s="2" customFormat="1" outlineLevel="1" x14ac:dyDescent="0.25">
      <c r="A17" s="170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63">
        <f t="shared" si="2"/>
        <v>0</v>
      </c>
    </row>
    <row r="18" spans="1:15" s="159" customFormat="1" ht="15.75" outlineLevel="1" x14ac:dyDescent="0.25">
      <c r="A18" s="188" t="s">
        <v>154</v>
      </c>
      <c r="B18" s="158">
        <f>SUM(B19:B28)</f>
        <v>0</v>
      </c>
      <c r="C18" s="158">
        <v>188.98000000000002</v>
      </c>
      <c r="D18" s="158">
        <v>254.18</v>
      </c>
      <c r="E18" s="158">
        <v>3114.9999999999995</v>
      </c>
      <c r="F18" s="158">
        <f t="shared" ref="F18:O18" si="3">SUM(F19:F28)</f>
        <v>0</v>
      </c>
      <c r="G18" s="158">
        <f t="shared" si="3"/>
        <v>0</v>
      </c>
      <c r="H18" s="158">
        <f t="shared" si="3"/>
        <v>0</v>
      </c>
      <c r="I18" s="158">
        <f t="shared" si="3"/>
        <v>0</v>
      </c>
      <c r="J18" s="158">
        <f t="shared" si="3"/>
        <v>0</v>
      </c>
      <c r="K18" s="158">
        <f t="shared" si="3"/>
        <v>0</v>
      </c>
      <c r="L18" s="158">
        <f t="shared" si="3"/>
        <v>0</v>
      </c>
      <c r="M18" s="158">
        <f t="shared" si="3"/>
        <v>0</v>
      </c>
      <c r="N18" s="158">
        <f t="shared" si="3"/>
        <v>0</v>
      </c>
      <c r="O18" s="178">
        <f t="shared" si="3"/>
        <v>3558.16</v>
      </c>
    </row>
    <row r="19" spans="1:15" s="2" customFormat="1" outlineLevel="1" x14ac:dyDescent="0.25">
      <c r="A19" s="170" t="s">
        <v>104</v>
      </c>
      <c r="B19" s="103"/>
      <c r="C19" s="103">
        <v>0</v>
      </c>
      <c r="D19" s="103">
        <v>0</v>
      </c>
      <c r="E19" s="103">
        <v>0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63">
        <f>+SUM(C19:N19)</f>
        <v>0</v>
      </c>
    </row>
    <row r="20" spans="1:15" s="2" customFormat="1" outlineLevel="1" x14ac:dyDescent="0.25">
      <c r="A20" s="170" t="s">
        <v>105</v>
      </c>
      <c r="B20" s="103"/>
      <c r="C20" s="103">
        <v>0.05</v>
      </c>
      <c r="D20" s="103">
        <v>0</v>
      </c>
      <c r="E20" s="103">
        <v>0.05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63">
        <f t="shared" ref="O20:O28" si="4">+SUM(C20:N20)</f>
        <v>0.1</v>
      </c>
    </row>
    <row r="21" spans="1:15" s="2" customFormat="1" outlineLevel="1" x14ac:dyDescent="0.25">
      <c r="A21" s="170" t="s">
        <v>106</v>
      </c>
      <c r="B21" s="103"/>
      <c r="C21" s="103">
        <v>4.49</v>
      </c>
      <c r="D21" s="103">
        <v>2.7</v>
      </c>
      <c r="E21" s="103">
        <v>0.95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63">
        <f t="shared" si="4"/>
        <v>8.14</v>
      </c>
    </row>
    <row r="22" spans="1:15" s="2" customFormat="1" outlineLevel="1" x14ac:dyDescent="0.25">
      <c r="A22" s="170" t="s">
        <v>107</v>
      </c>
      <c r="B22" s="103"/>
      <c r="C22" s="103">
        <v>0</v>
      </c>
      <c r="D22" s="103">
        <v>27.08</v>
      </c>
      <c r="E22" s="103">
        <v>0</v>
      </c>
      <c r="F22" s="103"/>
      <c r="G22" s="103"/>
      <c r="H22" s="103"/>
      <c r="I22" s="103"/>
      <c r="J22" s="103"/>
      <c r="K22" s="103"/>
      <c r="L22" s="103"/>
      <c r="M22" s="103"/>
      <c r="N22" s="103"/>
      <c r="O22" s="163">
        <f t="shared" si="4"/>
        <v>27.08</v>
      </c>
    </row>
    <row r="23" spans="1:15" s="2" customFormat="1" outlineLevel="1" x14ac:dyDescent="0.25">
      <c r="A23" s="170" t="s">
        <v>108</v>
      </c>
      <c r="B23" s="103"/>
      <c r="C23" s="103">
        <v>4.78</v>
      </c>
      <c r="D23" s="103">
        <v>12.89</v>
      </c>
      <c r="E23" s="103">
        <v>3.54</v>
      </c>
      <c r="F23" s="103"/>
      <c r="G23" s="103"/>
      <c r="H23" s="103"/>
      <c r="I23" s="103"/>
      <c r="J23" s="103"/>
      <c r="K23" s="103"/>
      <c r="L23" s="103"/>
      <c r="M23" s="103"/>
      <c r="N23" s="103"/>
      <c r="O23" s="163">
        <f t="shared" si="4"/>
        <v>21.21</v>
      </c>
    </row>
    <row r="24" spans="1:15" s="2" customFormat="1" outlineLevel="1" x14ac:dyDescent="0.25">
      <c r="A24" s="170" t="s">
        <v>109</v>
      </c>
      <c r="B24" s="103"/>
      <c r="C24" s="103">
        <v>0</v>
      </c>
      <c r="D24" s="103">
        <v>0</v>
      </c>
      <c r="E24" s="103">
        <v>0</v>
      </c>
      <c r="F24" s="103"/>
      <c r="G24" s="103"/>
      <c r="H24" s="103"/>
      <c r="I24" s="103"/>
      <c r="J24" s="103"/>
      <c r="K24" s="103"/>
      <c r="L24" s="103"/>
      <c r="M24" s="103"/>
      <c r="N24" s="103"/>
      <c r="O24" s="163">
        <f t="shared" si="4"/>
        <v>0</v>
      </c>
    </row>
    <row r="25" spans="1:15" s="2" customFormat="1" outlineLevel="1" x14ac:dyDescent="0.25">
      <c r="A25" s="170" t="s">
        <v>110</v>
      </c>
      <c r="B25" s="103"/>
      <c r="C25" s="103">
        <v>0</v>
      </c>
      <c r="D25" s="103">
        <v>0</v>
      </c>
      <c r="E25" s="103">
        <v>0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63">
        <f t="shared" si="4"/>
        <v>0</v>
      </c>
    </row>
    <row r="26" spans="1:15" s="2" customFormat="1" outlineLevel="1" x14ac:dyDescent="0.25">
      <c r="A26" s="170" t="s">
        <v>111</v>
      </c>
      <c r="B26" s="103"/>
      <c r="C26" s="103">
        <v>179.05</v>
      </c>
      <c r="D26" s="103">
        <v>102.53</v>
      </c>
      <c r="E26" s="103">
        <v>3032.74</v>
      </c>
      <c r="F26" s="103"/>
      <c r="G26" s="103"/>
      <c r="H26" s="103"/>
      <c r="I26" s="103"/>
      <c r="J26" s="103"/>
      <c r="K26" s="103"/>
      <c r="L26" s="103"/>
      <c r="M26" s="103"/>
      <c r="N26" s="103"/>
      <c r="O26" s="163">
        <f t="shared" si="4"/>
        <v>3314.3199999999997</v>
      </c>
    </row>
    <row r="27" spans="1:15" s="2" customFormat="1" outlineLevel="1" x14ac:dyDescent="0.25">
      <c r="A27" s="170" t="s">
        <v>112</v>
      </c>
      <c r="B27" s="105"/>
      <c r="C27" s="105">
        <v>0.61</v>
      </c>
      <c r="D27" s="105">
        <v>108.98</v>
      </c>
      <c r="E27" s="105">
        <v>77.72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63">
        <f t="shared" si="4"/>
        <v>187.31</v>
      </c>
    </row>
    <row r="28" spans="1:15" ht="15.6" customHeight="1" x14ac:dyDescent="0.25">
      <c r="A28" s="171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63">
        <f t="shared" si="4"/>
        <v>0</v>
      </c>
    </row>
    <row r="29" spans="1:15" s="18" customFormat="1" ht="18" customHeight="1" x14ac:dyDescent="0.25">
      <c r="A29" s="168" t="s">
        <v>47</v>
      </c>
      <c r="B29" s="156">
        <f>+SUM(B30:B33)</f>
        <v>0</v>
      </c>
      <c r="C29" s="156">
        <v>20670.849999999999</v>
      </c>
      <c r="D29" s="156">
        <v>24313.03</v>
      </c>
      <c r="E29" s="156">
        <v>19883.02</v>
      </c>
      <c r="F29" s="156">
        <f t="shared" ref="F29:O29" si="5">+SUM(F30:F33)</f>
        <v>0</v>
      </c>
      <c r="G29" s="156">
        <f t="shared" si="5"/>
        <v>0</v>
      </c>
      <c r="H29" s="156">
        <f t="shared" si="5"/>
        <v>0</v>
      </c>
      <c r="I29" s="156">
        <f t="shared" si="5"/>
        <v>0</v>
      </c>
      <c r="J29" s="156">
        <f t="shared" si="5"/>
        <v>0</v>
      </c>
      <c r="K29" s="156">
        <f t="shared" si="5"/>
        <v>0</v>
      </c>
      <c r="L29" s="156">
        <f t="shared" si="5"/>
        <v>0</v>
      </c>
      <c r="M29" s="156">
        <f t="shared" si="5"/>
        <v>0</v>
      </c>
      <c r="N29" s="156">
        <f t="shared" si="5"/>
        <v>0</v>
      </c>
      <c r="O29" s="169">
        <f t="shared" si="5"/>
        <v>64866.899999999994</v>
      </c>
    </row>
    <row r="30" spans="1:15" outlineLevel="1" x14ac:dyDescent="0.25">
      <c r="A30" s="170" t="s">
        <v>155</v>
      </c>
      <c r="B30" s="103"/>
      <c r="C30" s="103">
        <v>20670.849999999999</v>
      </c>
      <c r="D30" s="103">
        <v>24313.03</v>
      </c>
      <c r="E30" s="103">
        <v>19883.02</v>
      </c>
      <c r="F30" s="103"/>
      <c r="G30" s="103"/>
      <c r="H30" s="103"/>
      <c r="I30" s="103"/>
      <c r="J30" s="103"/>
      <c r="K30" s="103"/>
      <c r="L30" s="103"/>
      <c r="M30" s="103"/>
      <c r="N30" s="103"/>
      <c r="O30" s="163">
        <f t="shared" si="2"/>
        <v>64866.899999999994</v>
      </c>
    </row>
    <row r="31" spans="1:15" outlineLevel="1" x14ac:dyDescent="0.25">
      <c r="A31" s="170" t="s">
        <v>156</v>
      </c>
      <c r="B31" s="103"/>
      <c r="C31" s="103">
        <v>0</v>
      </c>
      <c r="D31" s="103">
        <v>0</v>
      </c>
      <c r="E31" s="103">
        <v>0</v>
      </c>
      <c r="F31" s="103"/>
      <c r="G31" s="103"/>
      <c r="H31" s="103"/>
      <c r="I31" s="103"/>
      <c r="J31" s="103"/>
      <c r="K31" s="103"/>
      <c r="L31" s="103"/>
      <c r="M31" s="103"/>
      <c r="N31" s="103"/>
      <c r="O31" s="163">
        <f t="shared" si="2"/>
        <v>0</v>
      </c>
    </row>
    <row r="32" spans="1:15" s="2" customFormat="1" outlineLevel="1" x14ac:dyDescent="0.25">
      <c r="A32" s="170" t="s">
        <v>157</v>
      </c>
      <c r="B32" s="105"/>
      <c r="C32" s="105">
        <v>0</v>
      </c>
      <c r="D32" s="105">
        <v>0</v>
      </c>
      <c r="E32" s="105">
        <v>0</v>
      </c>
      <c r="F32" s="105"/>
      <c r="G32" s="105"/>
      <c r="H32" s="105"/>
      <c r="I32" s="105"/>
      <c r="J32" s="105"/>
      <c r="K32" s="105"/>
      <c r="L32" s="105"/>
      <c r="M32" s="105"/>
      <c r="N32" s="105"/>
      <c r="O32" s="163">
        <f t="shared" si="2"/>
        <v>0</v>
      </c>
    </row>
    <row r="33" spans="1:15" s="5" customFormat="1" ht="14.45" customHeight="1" x14ac:dyDescent="0.25">
      <c r="A33" s="172"/>
      <c r="B33" s="108"/>
      <c r="C33" s="108"/>
      <c r="D33" s="108"/>
      <c r="E33" s="108"/>
      <c r="F33" s="108">
        <v>0</v>
      </c>
      <c r="G33" s="108">
        <v>0</v>
      </c>
      <c r="H33" s="108">
        <v>0</v>
      </c>
      <c r="I33" s="108"/>
      <c r="J33" s="108"/>
      <c r="K33" s="108"/>
      <c r="L33" s="108"/>
      <c r="M33" s="108"/>
      <c r="N33" s="108"/>
      <c r="O33" s="163">
        <f t="shared" si="2"/>
        <v>0</v>
      </c>
    </row>
    <row r="34" spans="1:15" s="154" customFormat="1" ht="19.5" thickBot="1" x14ac:dyDescent="0.35">
      <c r="A34" s="184" t="s">
        <v>59</v>
      </c>
      <c r="B34" s="153">
        <f>+B4-B29</f>
        <v>0</v>
      </c>
      <c r="C34" s="153">
        <v>27451.160000000003</v>
      </c>
      <c r="D34" s="153">
        <v>27424.190000000002</v>
      </c>
      <c r="E34" s="153">
        <v>47338.159999999989</v>
      </c>
      <c r="F34" s="153">
        <f t="shared" ref="F34:O34" si="6">+F4-F29</f>
        <v>0</v>
      </c>
      <c r="G34" s="153">
        <f t="shared" si="6"/>
        <v>0</v>
      </c>
      <c r="H34" s="153">
        <f t="shared" si="6"/>
        <v>0</v>
      </c>
      <c r="I34" s="153">
        <f t="shared" si="6"/>
        <v>0</v>
      </c>
      <c r="J34" s="153">
        <f t="shared" si="6"/>
        <v>0</v>
      </c>
      <c r="K34" s="153">
        <f t="shared" si="6"/>
        <v>0</v>
      </c>
      <c r="L34" s="153">
        <f t="shared" si="6"/>
        <v>0</v>
      </c>
      <c r="M34" s="153">
        <f t="shared" si="6"/>
        <v>0</v>
      </c>
      <c r="N34" s="153">
        <f t="shared" si="6"/>
        <v>0</v>
      </c>
      <c r="O34" s="185">
        <f t="shared" si="6"/>
        <v>102213.51000000001</v>
      </c>
    </row>
    <row r="35" spans="1:15" s="2" customFormat="1" ht="15.75" thickTop="1" x14ac:dyDescent="0.25">
      <c r="A35" s="173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74">
        <f t="shared" si="2"/>
        <v>0</v>
      </c>
    </row>
    <row r="36" spans="1:15" s="157" customFormat="1" ht="18.75" x14ac:dyDescent="0.3">
      <c r="A36" s="168" t="s">
        <v>158</v>
      </c>
      <c r="B36" s="156">
        <f>+B37+B193</f>
        <v>0</v>
      </c>
      <c r="C36" s="156">
        <v>30964.809999999998</v>
      </c>
      <c r="D36" s="156">
        <v>19334.689999999999</v>
      </c>
      <c r="E36" s="156">
        <v>25936.86</v>
      </c>
      <c r="F36" s="156">
        <f t="shared" ref="F36:L36" si="7">+F37+F193</f>
        <v>0</v>
      </c>
      <c r="G36" s="156">
        <f t="shared" si="7"/>
        <v>0</v>
      </c>
      <c r="H36" s="156">
        <f t="shared" si="7"/>
        <v>0</v>
      </c>
      <c r="I36" s="156">
        <f t="shared" si="7"/>
        <v>0</v>
      </c>
      <c r="J36" s="156">
        <f t="shared" si="7"/>
        <v>0</v>
      </c>
      <c r="K36" s="156">
        <f t="shared" si="7"/>
        <v>0</v>
      </c>
      <c r="L36" s="156">
        <f t="shared" si="7"/>
        <v>0</v>
      </c>
      <c r="M36" s="156">
        <f t="shared" ref="M36:O36" si="8">+M37+M193</f>
        <v>0</v>
      </c>
      <c r="N36" s="156">
        <f t="shared" si="8"/>
        <v>0</v>
      </c>
      <c r="O36" s="169">
        <f t="shared" si="8"/>
        <v>76236.36</v>
      </c>
    </row>
    <row r="37" spans="1:15" s="160" customFormat="1" ht="17.25" x14ac:dyDescent="0.3">
      <c r="A37" s="175" t="s">
        <v>101</v>
      </c>
      <c r="B37" s="161">
        <f>+B38+B95+B139+B172+B188</f>
        <v>0</v>
      </c>
      <c r="C37" s="161">
        <v>12855.64</v>
      </c>
      <c r="D37" s="161">
        <v>9848.8799999999992</v>
      </c>
      <c r="E37" s="161">
        <v>13947.96</v>
      </c>
      <c r="F37" s="161">
        <f t="shared" ref="F37:L37" si="9">+F38+F95+F139+F172+F188</f>
        <v>0</v>
      </c>
      <c r="G37" s="161">
        <f t="shared" si="9"/>
        <v>0</v>
      </c>
      <c r="H37" s="161">
        <f t="shared" si="9"/>
        <v>0</v>
      </c>
      <c r="I37" s="161">
        <f t="shared" si="9"/>
        <v>0</v>
      </c>
      <c r="J37" s="161">
        <f t="shared" si="9"/>
        <v>0</v>
      </c>
      <c r="K37" s="161">
        <f t="shared" si="9"/>
        <v>0</v>
      </c>
      <c r="L37" s="161">
        <f t="shared" si="9"/>
        <v>0</v>
      </c>
      <c r="M37" s="161">
        <f t="shared" ref="M37:O37" si="10">+M38+M95+M139+M172+M188</f>
        <v>0</v>
      </c>
      <c r="N37" s="161">
        <f t="shared" si="10"/>
        <v>0</v>
      </c>
      <c r="O37" s="176">
        <f t="shared" si="10"/>
        <v>36652.480000000003</v>
      </c>
    </row>
    <row r="38" spans="1:15" s="159" customFormat="1" ht="15.75" x14ac:dyDescent="0.25">
      <c r="A38" s="177" t="s">
        <v>60</v>
      </c>
      <c r="B38" s="158">
        <f>+SUM(B39:B94)</f>
        <v>0</v>
      </c>
      <c r="C38" s="158">
        <v>7181.2</v>
      </c>
      <c r="D38" s="158">
        <v>6517.1099999999988</v>
      </c>
      <c r="E38" s="158">
        <v>6988.8399999999983</v>
      </c>
      <c r="F38" s="158">
        <f t="shared" ref="F38:L38" si="11">+SUM(F39:F94)</f>
        <v>0</v>
      </c>
      <c r="G38" s="158">
        <f t="shared" si="11"/>
        <v>0</v>
      </c>
      <c r="H38" s="158">
        <f t="shared" si="11"/>
        <v>0</v>
      </c>
      <c r="I38" s="158">
        <f t="shared" si="11"/>
        <v>0</v>
      </c>
      <c r="J38" s="158">
        <f t="shared" si="11"/>
        <v>0</v>
      </c>
      <c r="K38" s="158">
        <f t="shared" si="11"/>
        <v>0</v>
      </c>
      <c r="L38" s="158">
        <f t="shared" si="11"/>
        <v>0</v>
      </c>
      <c r="M38" s="158">
        <f t="shared" ref="M38:O38" si="12">+SUM(M39:M94)</f>
        <v>0</v>
      </c>
      <c r="N38" s="158">
        <f t="shared" si="12"/>
        <v>0</v>
      </c>
      <c r="O38" s="178">
        <f t="shared" si="12"/>
        <v>20687.150000000001</v>
      </c>
    </row>
    <row r="39" spans="1:15" outlineLevel="1" x14ac:dyDescent="0.25">
      <c r="A39" s="171" t="s">
        <v>61</v>
      </c>
      <c r="B39" s="103"/>
      <c r="C39" s="103">
        <v>91.41</v>
      </c>
      <c r="D39" s="103">
        <v>94.56</v>
      </c>
      <c r="E39" s="103">
        <v>89.04</v>
      </c>
      <c r="F39" s="103"/>
      <c r="G39" s="103"/>
      <c r="H39" s="103"/>
      <c r="I39" s="103"/>
      <c r="J39" s="103"/>
      <c r="K39" s="103"/>
      <c r="L39" s="103"/>
      <c r="M39" s="103"/>
      <c r="N39" s="103"/>
      <c r="O39" s="163">
        <f t="shared" si="2"/>
        <v>275.01</v>
      </c>
    </row>
    <row r="40" spans="1:15" outlineLevel="1" x14ac:dyDescent="0.25">
      <c r="A40" s="171" t="s">
        <v>3</v>
      </c>
      <c r="B40" s="103"/>
      <c r="C40" s="103">
        <v>21.6</v>
      </c>
      <c r="D40" s="103">
        <v>0</v>
      </c>
      <c r="E40" s="103">
        <v>0</v>
      </c>
      <c r="F40" s="103"/>
      <c r="G40" s="103"/>
      <c r="H40" s="103"/>
      <c r="I40" s="103"/>
      <c r="J40" s="103"/>
      <c r="K40" s="103"/>
      <c r="L40" s="103"/>
      <c r="M40" s="103"/>
      <c r="N40" s="103"/>
      <c r="O40" s="163">
        <f t="shared" si="2"/>
        <v>21.6</v>
      </c>
    </row>
    <row r="41" spans="1:15" outlineLevel="1" x14ac:dyDescent="0.25">
      <c r="A41" s="171" t="s">
        <v>4</v>
      </c>
      <c r="B41" s="103"/>
      <c r="C41" s="103">
        <v>1460.74</v>
      </c>
      <c r="D41" s="103">
        <v>1474.99</v>
      </c>
      <c r="E41" s="103">
        <v>1462.32</v>
      </c>
      <c r="F41" s="103"/>
      <c r="G41" s="103"/>
      <c r="H41" s="103"/>
      <c r="I41" s="103"/>
      <c r="J41" s="103"/>
      <c r="K41" s="103"/>
      <c r="L41" s="103"/>
      <c r="M41" s="103"/>
      <c r="N41" s="103"/>
      <c r="O41" s="163">
        <f t="shared" si="2"/>
        <v>4398.05</v>
      </c>
    </row>
    <row r="42" spans="1:15" outlineLevel="1" x14ac:dyDescent="0.25">
      <c r="A42" s="171" t="s">
        <v>5</v>
      </c>
      <c r="B42" s="103"/>
      <c r="C42" s="103">
        <v>1879.61</v>
      </c>
      <c r="D42" s="103">
        <v>1956.16</v>
      </c>
      <c r="E42" s="103">
        <v>2149.12</v>
      </c>
      <c r="F42" s="103"/>
      <c r="G42" s="103"/>
      <c r="H42" s="103"/>
      <c r="I42" s="103"/>
      <c r="J42" s="103"/>
      <c r="K42" s="103"/>
      <c r="L42" s="103"/>
      <c r="M42" s="103"/>
      <c r="N42" s="103"/>
      <c r="O42" s="163">
        <f t="shared" si="2"/>
        <v>5984.8899999999994</v>
      </c>
    </row>
    <row r="43" spans="1:15" outlineLevel="1" x14ac:dyDescent="0.25">
      <c r="A43" s="171" t="s">
        <v>159</v>
      </c>
      <c r="B43" s="103"/>
      <c r="C43" s="103">
        <v>965.72</v>
      </c>
      <c r="D43" s="103">
        <v>1362.08</v>
      </c>
      <c r="E43" s="103">
        <v>1434.12</v>
      </c>
      <c r="F43" s="103"/>
      <c r="G43" s="103"/>
      <c r="H43" s="103"/>
      <c r="I43" s="103"/>
      <c r="J43" s="103"/>
      <c r="K43" s="103"/>
      <c r="L43" s="103"/>
      <c r="M43" s="103"/>
      <c r="N43" s="103"/>
      <c r="O43" s="163">
        <f t="shared" si="2"/>
        <v>3761.92</v>
      </c>
    </row>
    <row r="44" spans="1:15" outlineLevel="1" x14ac:dyDescent="0.25">
      <c r="A44" s="171" t="s">
        <v>7</v>
      </c>
      <c r="B44" s="103"/>
      <c r="C44" s="103">
        <v>122</v>
      </c>
      <c r="D44" s="103">
        <v>119.11</v>
      </c>
      <c r="E44" s="103">
        <v>122</v>
      </c>
      <c r="F44" s="103"/>
      <c r="G44" s="103"/>
      <c r="H44" s="103"/>
      <c r="I44" s="103"/>
      <c r="J44" s="103"/>
      <c r="K44" s="103"/>
      <c r="L44" s="103"/>
      <c r="M44" s="103"/>
      <c r="N44" s="103"/>
      <c r="O44" s="163">
        <f t="shared" si="2"/>
        <v>363.11</v>
      </c>
    </row>
    <row r="45" spans="1:15" outlineLevel="1" x14ac:dyDescent="0.25">
      <c r="A45" s="171" t="s">
        <v>8</v>
      </c>
      <c r="B45" s="103"/>
      <c r="C45" s="103">
        <v>34.950000000000003</v>
      </c>
      <c r="D45" s="103">
        <v>0</v>
      </c>
      <c r="E45" s="103">
        <v>0</v>
      </c>
      <c r="F45" s="103"/>
      <c r="G45" s="103"/>
      <c r="H45" s="103"/>
      <c r="I45" s="103"/>
      <c r="J45" s="103"/>
      <c r="K45" s="103"/>
      <c r="L45" s="103"/>
      <c r="M45" s="103"/>
      <c r="N45" s="103"/>
      <c r="O45" s="163">
        <f t="shared" si="2"/>
        <v>34.950000000000003</v>
      </c>
    </row>
    <row r="46" spans="1:15" outlineLevel="1" x14ac:dyDescent="0.25">
      <c r="A46" s="171" t="s">
        <v>9</v>
      </c>
      <c r="B46" s="103"/>
      <c r="C46" s="103">
        <v>98.84</v>
      </c>
      <c r="D46" s="103">
        <v>0</v>
      </c>
      <c r="E46" s="103">
        <v>0</v>
      </c>
      <c r="F46" s="103"/>
      <c r="G46" s="103"/>
      <c r="H46" s="103"/>
      <c r="I46" s="103"/>
      <c r="J46" s="103"/>
      <c r="K46" s="103"/>
      <c r="L46" s="103"/>
      <c r="M46" s="103"/>
      <c r="N46" s="103"/>
      <c r="O46" s="163">
        <f t="shared" si="2"/>
        <v>98.84</v>
      </c>
    </row>
    <row r="47" spans="1:15" outlineLevel="1" x14ac:dyDescent="0.25">
      <c r="A47" s="171" t="s">
        <v>10</v>
      </c>
      <c r="B47" s="103"/>
      <c r="C47" s="103">
        <v>114.9</v>
      </c>
      <c r="D47" s="103">
        <v>21</v>
      </c>
      <c r="E47" s="103">
        <v>23</v>
      </c>
      <c r="F47" s="103"/>
      <c r="G47" s="103"/>
      <c r="H47" s="103"/>
      <c r="I47" s="103"/>
      <c r="J47" s="103"/>
      <c r="K47" s="103"/>
      <c r="L47" s="103"/>
      <c r="M47" s="103"/>
      <c r="N47" s="103"/>
      <c r="O47" s="163">
        <f t="shared" si="2"/>
        <v>158.9</v>
      </c>
    </row>
    <row r="48" spans="1:15" outlineLevel="1" x14ac:dyDescent="0.25">
      <c r="A48" s="171" t="s">
        <v>11</v>
      </c>
      <c r="B48" s="103"/>
      <c r="C48" s="103">
        <v>0</v>
      </c>
      <c r="D48" s="103">
        <v>0</v>
      </c>
      <c r="E48" s="103">
        <v>0</v>
      </c>
      <c r="F48" s="103"/>
      <c r="G48" s="103"/>
      <c r="H48" s="103"/>
      <c r="I48" s="103"/>
      <c r="J48" s="103"/>
      <c r="K48" s="103"/>
      <c r="L48" s="103"/>
      <c r="M48" s="103"/>
      <c r="N48" s="103"/>
      <c r="O48" s="163">
        <f t="shared" si="2"/>
        <v>0</v>
      </c>
    </row>
    <row r="49" spans="1:15" outlineLevel="1" x14ac:dyDescent="0.25">
      <c r="A49" s="171" t="s">
        <v>12</v>
      </c>
      <c r="B49" s="103"/>
      <c r="C49" s="103">
        <v>0</v>
      </c>
      <c r="D49" s="103">
        <v>0</v>
      </c>
      <c r="E49" s="103">
        <v>0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63">
        <f t="shared" si="2"/>
        <v>0</v>
      </c>
    </row>
    <row r="50" spans="1:15" outlineLevel="1" x14ac:dyDescent="0.25">
      <c r="A50" s="171" t="s">
        <v>13</v>
      </c>
      <c r="B50" s="103"/>
      <c r="C50" s="103">
        <v>0</v>
      </c>
      <c r="D50" s="103">
        <v>0</v>
      </c>
      <c r="E50" s="103">
        <v>0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63">
        <f t="shared" si="2"/>
        <v>0</v>
      </c>
    </row>
    <row r="51" spans="1:15" outlineLevel="1" x14ac:dyDescent="0.25">
      <c r="A51" s="171" t="s">
        <v>14</v>
      </c>
      <c r="B51" s="103"/>
      <c r="C51" s="103">
        <v>0</v>
      </c>
      <c r="D51" s="103">
        <v>0</v>
      </c>
      <c r="E51" s="103">
        <v>0</v>
      </c>
      <c r="F51" s="103"/>
      <c r="G51" s="103"/>
      <c r="H51" s="103"/>
      <c r="I51" s="103"/>
      <c r="J51" s="103"/>
      <c r="K51" s="103"/>
      <c r="L51" s="103"/>
      <c r="M51" s="103"/>
      <c r="N51" s="103"/>
      <c r="O51" s="163">
        <f t="shared" si="2"/>
        <v>0</v>
      </c>
    </row>
    <row r="52" spans="1:15" outlineLevel="1" x14ac:dyDescent="0.25">
      <c r="A52" s="171" t="s">
        <v>15</v>
      </c>
      <c r="B52" s="103"/>
      <c r="C52" s="103">
        <v>0</v>
      </c>
      <c r="D52" s="103">
        <v>0</v>
      </c>
      <c r="E52" s="103">
        <v>0</v>
      </c>
      <c r="F52" s="103"/>
      <c r="G52" s="103"/>
      <c r="H52" s="103"/>
      <c r="I52" s="103"/>
      <c r="J52" s="103"/>
      <c r="K52" s="103"/>
      <c r="L52" s="103"/>
      <c r="M52" s="103"/>
      <c r="N52" s="103"/>
      <c r="O52" s="163">
        <f t="shared" si="2"/>
        <v>0</v>
      </c>
    </row>
    <row r="53" spans="1:15" outlineLevel="1" x14ac:dyDescent="0.25">
      <c r="A53" s="171" t="s">
        <v>16</v>
      </c>
      <c r="B53" s="103"/>
      <c r="C53" s="103">
        <v>0</v>
      </c>
      <c r="D53" s="103">
        <v>0</v>
      </c>
      <c r="E53" s="103">
        <v>0</v>
      </c>
      <c r="F53" s="103"/>
      <c r="G53" s="103"/>
      <c r="H53" s="103"/>
      <c r="I53" s="103"/>
      <c r="J53" s="103"/>
      <c r="K53" s="103"/>
      <c r="L53" s="103"/>
      <c r="M53" s="103"/>
      <c r="N53" s="103"/>
      <c r="O53" s="163">
        <f t="shared" si="2"/>
        <v>0</v>
      </c>
    </row>
    <row r="54" spans="1:15" outlineLevel="1" x14ac:dyDescent="0.25">
      <c r="A54" s="171" t="s">
        <v>17</v>
      </c>
      <c r="B54" s="103"/>
      <c r="C54" s="103">
        <v>0</v>
      </c>
      <c r="D54" s="103">
        <v>0</v>
      </c>
      <c r="E54" s="103">
        <v>0</v>
      </c>
      <c r="F54" s="103"/>
      <c r="G54" s="103"/>
      <c r="H54" s="103"/>
      <c r="I54" s="103"/>
      <c r="J54" s="103"/>
      <c r="K54" s="103"/>
      <c r="L54" s="103"/>
      <c r="M54" s="103"/>
      <c r="N54" s="103"/>
      <c r="O54" s="163">
        <f t="shared" si="2"/>
        <v>0</v>
      </c>
    </row>
    <row r="55" spans="1:15" outlineLevel="1" x14ac:dyDescent="0.25">
      <c r="A55" s="171" t="s">
        <v>18</v>
      </c>
      <c r="B55" s="103"/>
      <c r="C55" s="103">
        <v>0</v>
      </c>
      <c r="D55" s="103">
        <v>0</v>
      </c>
      <c r="E55" s="103">
        <v>0</v>
      </c>
      <c r="F55" s="103"/>
      <c r="G55" s="103"/>
      <c r="H55" s="103"/>
      <c r="I55" s="103"/>
      <c r="J55" s="103"/>
      <c r="K55" s="103"/>
      <c r="L55" s="103"/>
      <c r="M55" s="103"/>
      <c r="N55" s="103"/>
      <c r="O55" s="163">
        <f t="shared" si="2"/>
        <v>0</v>
      </c>
    </row>
    <row r="56" spans="1:15" outlineLevel="1" x14ac:dyDescent="0.25">
      <c r="A56" s="171" t="s">
        <v>19</v>
      </c>
      <c r="B56" s="103"/>
      <c r="C56" s="103">
        <v>0</v>
      </c>
      <c r="D56" s="103">
        <v>0</v>
      </c>
      <c r="E56" s="103">
        <v>0</v>
      </c>
      <c r="F56" s="103"/>
      <c r="G56" s="103"/>
      <c r="H56" s="103"/>
      <c r="I56" s="103"/>
      <c r="J56" s="103"/>
      <c r="K56" s="103"/>
      <c r="L56" s="103"/>
      <c r="M56" s="103"/>
      <c r="N56" s="103"/>
      <c r="O56" s="163">
        <f t="shared" si="2"/>
        <v>0</v>
      </c>
    </row>
    <row r="57" spans="1:15" outlineLevel="1" x14ac:dyDescent="0.25">
      <c r="A57" s="171" t="s">
        <v>20</v>
      </c>
      <c r="B57" s="103"/>
      <c r="C57" s="103">
        <v>0</v>
      </c>
      <c r="D57" s="103">
        <v>0</v>
      </c>
      <c r="E57" s="103">
        <v>0</v>
      </c>
      <c r="F57" s="103"/>
      <c r="G57" s="103"/>
      <c r="H57" s="103"/>
      <c r="I57" s="103"/>
      <c r="J57" s="103"/>
      <c r="K57" s="103"/>
      <c r="L57" s="103"/>
      <c r="M57" s="103"/>
      <c r="N57" s="103"/>
      <c r="O57" s="163">
        <f t="shared" si="2"/>
        <v>0</v>
      </c>
    </row>
    <row r="58" spans="1:15" outlineLevel="1" x14ac:dyDescent="0.25">
      <c r="A58" s="171" t="s">
        <v>21</v>
      </c>
      <c r="B58" s="103"/>
      <c r="C58" s="103">
        <v>0.06</v>
      </c>
      <c r="D58" s="103">
        <v>0</v>
      </c>
      <c r="E58" s="103">
        <v>7.67</v>
      </c>
      <c r="F58" s="103"/>
      <c r="G58" s="103"/>
      <c r="H58" s="103"/>
      <c r="I58" s="103"/>
      <c r="J58" s="103"/>
      <c r="K58" s="103"/>
      <c r="L58" s="103"/>
      <c r="M58" s="103"/>
      <c r="N58" s="103"/>
      <c r="O58" s="163">
        <f t="shared" si="2"/>
        <v>7.7299999999999995</v>
      </c>
    </row>
    <row r="59" spans="1:15" outlineLevel="1" x14ac:dyDescent="0.25">
      <c r="A59" s="171" t="s">
        <v>160</v>
      </c>
      <c r="B59" s="103"/>
      <c r="C59" s="103">
        <v>0</v>
      </c>
      <c r="D59" s="103">
        <v>0</v>
      </c>
      <c r="E59" s="103">
        <v>28.15</v>
      </c>
      <c r="F59" s="103"/>
      <c r="G59" s="103"/>
      <c r="H59" s="103"/>
      <c r="I59" s="103"/>
      <c r="J59" s="103"/>
      <c r="K59" s="103"/>
      <c r="L59" s="103"/>
      <c r="M59" s="103"/>
      <c r="N59" s="103"/>
      <c r="O59" s="163">
        <f t="shared" si="2"/>
        <v>28.15</v>
      </c>
    </row>
    <row r="60" spans="1:15" outlineLevel="1" x14ac:dyDescent="0.25">
      <c r="A60" s="171" t="s">
        <v>161</v>
      </c>
      <c r="B60" s="103"/>
      <c r="C60" s="103">
        <v>0</v>
      </c>
      <c r="D60" s="103">
        <v>0</v>
      </c>
      <c r="E60" s="103">
        <v>0</v>
      </c>
      <c r="F60" s="103"/>
      <c r="G60" s="103"/>
      <c r="H60" s="103"/>
      <c r="I60" s="103"/>
      <c r="J60" s="103"/>
      <c r="K60" s="103"/>
      <c r="L60" s="103"/>
      <c r="M60" s="103"/>
      <c r="N60" s="103"/>
      <c r="O60" s="163">
        <f t="shared" si="2"/>
        <v>0</v>
      </c>
    </row>
    <row r="61" spans="1:15" outlineLevel="1" x14ac:dyDescent="0.25">
      <c r="A61" s="171" t="s">
        <v>162</v>
      </c>
      <c r="B61" s="103"/>
      <c r="C61" s="103">
        <v>0</v>
      </c>
      <c r="D61" s="103">
        <v>0</v>
      </c>
      <c r="E61" s="103">
        <v>0</v>
      </c>
      <c r="F61" s="103"/>
      <c r="G61" s="103"/>
      <c r="H61" s="103"/>
      <c r="I61" s="103"/>
      <c r="J61" s="103"/>
      <c r="K61" s="103"/>
      <c r="L61" s="103"/>
      <c r="M61" s="103"/>
      <c r="N61" s="103"/>
      <c r="O61" s="163">
        <f t="shared" si="2"/>
        <v>0</v>
      </c>
    </row>
    <row r="62" spans="1:15" outlineLevel="1" x14ac:dyDescent="0.25">
      <c r="A62" s="171" t="s">
        <v>163</v>
      </c>
      <c r="B62" s="103"/>
      <c r="C62" s="103">
        <v>0</v>
      </c>
      <c r="D62" s="103">
        <v>0</v>
      </c>
      <c r="E62" s="103">
        <v>0</v>
      </c>
      <c r="F62" s="103"/>
      <c r="G62" s="103"/>
      <c r="H62" s="103"/>
      <c r="I62" s="103"/>
      <c r="J62" s="103"/>
      <c r="K62" s="103"/>
      <c r="L62" s="103"/>
      <c r="M62" s="103"/>
      <c r="N62" s="103"/>
      <c r="O62" s="163">
        <f t="shared" si="2"/>
        <v>0</v>
      </c>
    </row>
    <row r="63" spans="1:15" outlineLevel="1" x14ac:dyDescent="0.25">
      <c r="A63" s="171" t="s">
        <v>164</v>
      </c>
      <c r="B63" s="103"/>
      <c r="C63" s="103">
        <v>0</v>
      </c>
      <c r="D63" s="103">
        <v>0</v>
      </c>
      <c r="E63" s="103">
        <v>0</v>
      </c>
      <c r="F63" s="103"/>
      <c r="G63" s="103"/>
      <c r="H63" s="103"/>
      <c r="I63" s="103"/>
      <c r="J63" s="103"/>
      <c r="K63" s="103"/>
      <c r="L63" s="103"/>
      <c r="M63" s="103"/>
      <c r="N63" s="103"/>
      <c r="O63" s="163">
        <f t="shared" si="2"/>
        <v>0</v>
      </c>
    </row>
    <row r="64" spans="1:15" outlineLevel="1" x14ac:dyDescent="0.25">
      <c r="A64" s="171" t="s">
        <v>165</v>
      </c>
      <c r="B64" s="103"/>
      <c r="C64" s="103">
        <v>0</v>
      </c>
      <c r="D64" s="103">
        <v>0</v>
      </c>
      <c r="E64" s="103">
        <v>0</v>
      </c>
      <c r="F64" s="103"/>
      <c r="G64" s="103"/>
      <c r="H64" s="103"/>
      <c r="I64" s="103"/>
      <c r="J64" s="103"/>
      <c r="K64" s="103"/>
      <c r="L64" s="103"/>
      <c r="M64" s="103"/>
      <c r="N64" s="103"/>
      <c r="O64" s="163">
        <f t="shared" si="2"/>
        <v>0</v>
      </c>
    </row>
    <row r="65" spans="1:15" outlineLevel="1" x14ac:dyDescent="0.25">
      <c r="A65" s="171" t="s">
        <v>166</v>
      </c>
      <c r="B65" s="103"/>
      <c r="C65" s="103">
        <v>0</v>
      </c>
      <c r="D65" s="103">
        <v>0</v>
      </c>
      <c r="E65" s="103">
        <v>0</v>
      </c>
      <c r="F65" s="103"/>
      <c r="G65" s="103"/>
      <c r="H65" s="103"/>
      <c r="I65" s="103"/>
      <c r="J65" s="103"/>
      <c r="K65" s="103"/>
      <c r="L65" s="103"/>
      <c r="M65" s="103"/>
      <c r="N65" s="103"/>
      <c r="O65" s="163">
        <f t="shared" si="2"/>
        <v>0</v>
      </c>
    </row>
    <row r="66" spans="1:15" outlineLevel="1" x14ac:dyDescent="0.25">
      <c r="A66" s="171" t="s">
        <v>167</v>
      </c>
      <c r="B66" s="103"/>
      <c r="C66" s="103">
        <v>0</v>
      </c>
      <c r="D66" s="103">
        <v>0</v>
      </c>
      <c r="E66" s="103">
        <v>0</v>
      </c>
      <c r="F66" s="103"/>
      <c r="G66" s="103"/>
      <c r="H66" s="103"/>
      <c r="I66" s="103"/>
      <c r="J66" s="103"/>
      <c r="K66" s="103"/>
      <c r="L66" s="103"/>
      <c r="M66" s="103"/>
      <c r="N66" s="103"/>
      <c r="O66" s="163">
        <f t="shared" si="2"/>
        <v>0</v>
      </c>
    </row>
    <row r="67" spans="1:15" outlineLevel="1" x14ac:dyDescent="0.25">
      <c r="A67" s="171" t="s">
        <v>168</v>
      </c>
      <c r="B67" s="103"/>
      <c r="C67" s="103">
        <v>0</v>
      </c>
      <c r="D67" s="103">
        <v>0</v>
      </c>
      <c r="E67" s="103">
        <v>0</v>
      </c>
      <c r="F67" s="103"/>
      <c r="G67" s="103"/>
      <c r="H67" s="103"/>
      <c r="I67" s="103"/>
      <c r="J67" s="103"/>
      <c r="K67" s="103"/>
      <c r="L67" s="103"/>
      <c r="M67" s="103"/>
      <c r="N67" s="103"/>
      <c r="O67" s="163">
        <f t="shared" si="2"/>
        <v>0</v>
      </c>
    </row>
    <row r="68" spans="1:15" outlineLevel="1" x14ac:dyDescent="0.25">
      <c r="A68" s="171" t="s">
        <v>169</v>
      </c>
      <c r="B68" s="103"/>
      <c r="C68" s="103">
        <v>0</v>
      </c>
      <c r="D68" s="103">
        <v>0</v>
      </c>
      <c r="E68" s="103">
        <v>0</v>
      </c>
      <c r="F68" s="103"/>
      <c r="G68" s="103"/>
      <c r="H68" s="103"/>
      <c r="I68" s="103"/>
      <c r="J68" s="103"/>
      <c r="K68" s="103"/>
      <c r="L68" s="103"/>
      <c r="M68" s="103"/>
      <c r="N68" s="103"/>
      <c r="O68" s="163">
        <f t="shared" si="2"/>
        <v>0</v>
      </c>
    </row>
    <row r="69" spans="1:15" outlineLevel="1" x14ac:dyDescent="0.25">
      <c r="A69" s="171" t="s">
        <v>170</v>
      </c>
      <c r="B69" s="103"/>
      <c r="C69" s="103">
        <v>0</v>
      </c>
      <c r="D69" s="103">
        <v>0</v>
      </c>
      <c r="E69" s="103">
        <v>0</v>
      </c>
      <c r="F69" s="103"/>
      <c r="G69" s="103"/>
      <c r="H69" s="103"/>
      <c r="I69" s="103"/>
      <c r="J69" s="103"/>
      <c r="K69" s="103"/>
      <c r="L69" s="103"/>
      <c r="M69" s="103"/>
      <c r="N69" s="103"/>
      <c r="O69" s="163">
        <f t="shared" si="2"/>
        <v>0</v>
      </c>
    </row>
    <row r="70" spans="1:15" outlineLevel="1" x14ac:dyDescent="0.25">
      <c r="A70" s="171" t="s">
        <v>171</v>
      </c>
      <c r="B70" s="103"/>
      <c r="C70" s="103">
        <v>0</v>
      </c>
      <c r="D70" s="103">
        <v>0</v>
      </c>
      <c r="E70" s="103">
        <v>0</v>
      </c>
      <c r="F70" s="103"/>
      <c r="G70" s="103"/>
      <c r="H70" s="103"/>
      <c r="I70" s="103"/>
      <c r="J70" s="103"/>
      <c r="K70" s="103"/>
      <c r="L70" s="103"/>
      <c r="M70" s="103"/>
      <c r="N70" s="103"/>
      <c r="O70" s="163">
        <f t="shared" si="2"/>
        <v>0</v>
      </c>
    </row>
    <row r="71" spans="1:15" outlineLevel="1" x14ac:dyDescent="0.25">
      <c r="A71" s="171" t="s">
        <v>172</v>
      </c>
      <c r="B71" s="103"/>
      <c r="C71" s="103">
        <v>0</v>
      </c>
      <c r="D71" s="103">
        <v>0</v>
      </c>
      <c r="E71" s="103">
        <v>0</v>
      </c>
      <c r="F71" s="103"/>
      <c r="G71" s="103"/>
      <c r="H71" s="103"/>
      <c r="I71" s="103"/>
      <c r="J71" s="103"/>
      <c r="K71" s="103"/>
      <c r="L71" s="103"/>
      <c r="M71" s="103"/>
      <c r="N71" s="103"/>
      <c r="O71" s="163">
        <f t="shared" si="2"/>
        <v>0</v>
      </c>
    </row>
    <row r="72" spans="1:15" outlineLevel="1" x14ac:dyDescent="0.25">
      <c r="A72" s="171" t="s">
        <v>173</v>
      </c>
      <c r="B72" s="103"/>
      <c r="C72" s="103">
        <v>0</v>
      </c>
      <c r="D72" s="103">
        <v>0</v>
      </c>
      <c r="E72" s="103">
        <v>0</v>
      </c>
      <c r="F72" s="103"/>
      <c r="G72" s="103"/>
      <c r="H72" s="103"/>
      <c r="I72" s="103"/>
      <c r="J72" s="103"/>
      <c r="K72" s="103"/>
      <c r="L72" s="103"/>
      <c r="M72" s="103"/>
      <c r="N72" s="103"/>
      <c r="O72" s="163">
        <f t="shared" si="2"/>
        <v>0</v>
      </c>
    </row>
    <row r="73" spans="1:15" outlineLevel="1" x14ac:dyDescent="0.25">
      <c r="A73" s="171" t="s">
        <v>174</v>
      </c>
      <c r="B73" s="103"/>
      <c r="C73" s="103">
        <v>864.63</v>
      </c>
      <c r="D73" s="103">
        <v>352.13</v>
      </c>
      <c r="E73" s="103">
        <v>396.49</v>
      </c>
      <c r="F73" s="103"/>
      <c r="G73" s="103"/>
      <c r="H73" s="103"/>
      <c r="I73" s="103"/>
      <c r="J73" s="103"/>
      <c r="K73" s="103"/>
      <c r="L73" s="103"/>
      <c r="M73" s="103"/>
      <c r="N73" s="103"/>
      <c r="O73" s="163">
        <f t="shared" si="2"/>
        <v>1613.25</v>
      </c>
    </row>
    <row r="74" spans="1:15" outlineLevel="1" x14ac:dyDescent="0.25">
      <c r="A74" s="171" t="s">
        <v>175</v>
      </c>
      <c r="B74" s="103"/>
      <c r="C74" s="103">
        <v>0</v>
      </c>
      <c r="D74" s="103">
        <v>91.16</v>
      </c>
      <c r="E74" s="103">
        <v>0</v>
      </c>
      <c r="F74" s="103"/>
      <c r="G74" s="103"/>
      <c r="H74" s="103"/>
      <c r="I74" s="103"/>
      <c r="J74" s="103"/>
      <c r="K74" s="103"/>
      <c r="L74" s="103"/>
      <c r="M74" s="103"/>
      <c r="N74" s="103"/>
      <c r="O74" s="163">
        <f t="shared" si="2"/>
        <v>91.16</v>
      </c>
    </row>
    <row r="75" spans="1:15" outlineLevel="1" x14ac:dyDescent="0.25">
      <c r="A75" s="171" t="s">
        <v>176</v>
      </c>
      <c r="B75" s="103"/>
      <c r="C75" s="103">
        <v>0</v>
      </c>
      <c r="D75" s="103">
        <v>0</v>
      </c>
      <c r="E75" s="103">
        <v>0</v>
      </c>
      <c r="F75" s="103"/>
      <c r="G75" s="103"/>
      <c r="H75" s="103"/>
      <c r="I75" s="103"/>
      <c r="J75" s="103"/>
      <c r="K75" s="103"/>
      <c r="L75" s="103"/>
      <c r="M75" s="103"/>
      <c r="N75" s="103"/>
      <c r="O75" s="163">
        <f t="shared" si="2"/>
        <v>0</v>
      </c>
    </row>
    <row r="76" spans="1:15" outlineLevel="1" x14ac:dyDescent="0.25">
      <c r="A76" s="171" t="s">
        <v>177</v>
      </c>
      <c r="B76" s="103"/>
      <c r="C76" s="103">
        <v>111.49</v>
      </c>
      <c r="D76" s="103">
        <v>80.069999999999993</v>
      </c>
      <c r="E76" s="103">
        <v>107.61</v>
      </c>
      <c r="F76" s="103"/>
      <c r="G76" s="103"/>
      <c r="H76" s="103"/>
      <c r="I76" s="103"/>
      <c r="J76" s="103"/>
      <c r="K76" s="103"/>
      <c r="L76" s="103"/>
      <c r="M76" s="103"/>
      <c r="N76" s="103"/>
      <c r="O76" s="163">
        <f t="shared" si="2"/>
        <v>299.17</v>
      </c>
    </row>
    <row r="77" spans="1:15" outlineLevel="1" x14ac:dyDescent="0.25">
      <c r="A77" s="171" t="s">
        <v>178</v>
      </c>
      <c r="B77" s="103"/>
      <c r="C77" s="103">
        <v>0</v>
      </c>
      <c r="D77" s="103">
        <v>0</v>
      </c>
      <c r="E77" s="103">
        <v>14.1</v>
      </c>
      <c r="F77" s="103"/>
      <c r="G77" s="103"/>
      <c r="H77" s="103"/>
      <c r="I77" s="103"/>
      <c r="J77" s="103"/>
      <c r="K77" s="103"/>
      <c r="L77" s="103"/>
      <c r="M77" s="103"/>
      <c r="N77" s="103"/>
      <c r="O77" s="163">
        <f t="shared" si="2"/>
        <v>14.1</v>
      </c>
    </row>
    <row r="78" spans="1:15" outlineLevel="1" x14ac:dyDescent="0.25">
      <c r="A78" s="171" t="s">
        <v>179</v>
      </c>
      <c r="B78" s="103"/>
      <c r="C78" s="103">
        <v>0</v>
      </c>
      <c r="D78" s="103">
        <v>0</v>
      </c>
      <c r="E78" s="103">
        <v>0</v>
      </c>
      <c r="F78" s="103"/>
      <c r="G78" s="103"/>
      <c r="H78" s="103"/>
      <c r="I78" s="103"/>
      <c r="J78" s="103"/>
      <c r="K78" s="103"/>
      <c r="L78" s="103"/>
      <c r="M78" s="103"/>
      <c r="N78" s="103"/>
      <c r="O78" s="163">
        <f t="shared" si="2"/>
        <v>0</v>
      </c>
    </row>
    <row r="79" spans="1:15" outlineLevel="1" x14ac:dyDescent="0.25">
      <c r="A79" s="171" t="s">
        <v>180</v>
      </c>
      <c r="B79" s="103"/>
      <c r="C79" s="103">
        <v>0</v>
      </c>
      <c r="D79" s="103">
        <v>0</v>
      </c>
      <c r="E79" s="103">
        <v>0</v>
      </c>
      <c r="F79" s="103"/>
      <c r="G79" s="103"/>
      <c r="H79" s="103"/>
      <c r="I79" s="103"/>
      <c r="J79" s="103"/>
      <c r="K79" s="103"/>
      <c r="L79" s="103"/>
      <c r="M79" s="103"/>
      <c r="N79" s="103"/>
      <c r="O79" s="163">
        <f t="shared" si="2"/>
        <v>0</v>
      </c>
    </row>
    <row r="80" spans="1:15" outlineLevel="1" x14ac:dyDescent="0.25">
      <c r="A80" s="171" t="s">
        <v>181</v>
      </c>
      <c r="B80" s="103"/>
      <c r="C80" s="103">
        <v>0</v>
      </c>
      <c r="D80" s="103">
        <v>0</v>
      </c>
      <c r="E80" s="103">
        <v>0</v>
      </c>
      <c r="F80" s="103"/>
      <c r="G80" s="103"/>
      <c r="H80" s="103"/>
      <c r="I80" s="103"/>
      <c r="J80" s="103"/>
      <c r="K80" s="103"/>
      <c r="L80" s="103"/>
      <c r="M80" s="103"/>
      <c r="N80" s="103"/>
      <c r="O80" s="163">
        <f t="shared" si="2"/>
        <v>0</v>
      </c>
    </row>
    <row r="81" spans="1:15" outlineLevel="1" x14ac:dyDescent="0.25">
      <c r="A81" s="171" t="s">
        <v>182</v>
      </c>
      <c r="B81" s="103"/>
      <c r="C81" s="103">
        <v>0</v>
      </c>
      <c r="D81" s="103">
        <v>0</v>
      </c>
      <c r="E81" s="103">
        <v>0</v>
      </c>
      <c r="F81" s="103"/>
      <c r="G81" s="103"/>
      <c r="H81" s="103"/>
      <c r="I81" s="103"/>
      <c r="J81" s="103"/>
      <c r="K81" s="103"/>
      <c r="L81" s="103"/>
      <c r="M81" s="103"/>
      <c r="N81" s="103"/>
      <c r="O81" s="163">
        <f t="shared" si="2"/>
        <v>0</v>
      </c>
    </row>
    <row r="82" spans="1:15" outlineLevel="1" x14ac:dyDescent="0.25">
      <c r="A82" s="171" t="s">
        <v>183</v>
      </c>
      <c r="B82" s="103"/>
      <c r="C82" s="103">
        <v>0</v>
      </c>
      <c r="D82" s="103">
        <v>0</v>
      </c>
      <c r="E82" s="103">
        <v>0</v>
      </c>
      <c r="F82" s="103"/>
      <c r="G82" s="103"/>
      <c r="H82" s="103"/>
      <c r="I82" s="103"/>
      <c r="J82" s="103"/>
      <c r="K82" s="103"/>
      <c r="L82" s="103"/>
      <c r="M82" s="103"/>
      <c r="N82" s="103"/>
      <c r="O82" s="163">
        <f t="shared" si="2"/>
        <v>0</v>
      </c>
    </row>
    <row r="83" spans="1:15" outlineLevel="1" x14ac:dyDescent="0.25">
      <c r="A83" s="171" t="s">
        <v>184</v>
      </c>
      <c r="B83" s="103"/>
      <c r="C83" s="103">
        <v>0</v>
      </c>
      <c r="D83" s="103">
        <v>0</v>
      </c>
      <c r="E83" s="103">
        <v>0</v>
      </c>
      <c r="F83" s="103"/>
      <c r="G83" s="103"/>
      <c r="H83" s="103"/>
      <c r="I83" s="103"/>
      <c r="J83" s="103"/>
      <c r="K83" s="103"/>
      <c r="L83" s="103"/>
      <c r="M83" s="103"/>
      <c r="N83" s="103"/>
      <c r="O83" s="163">
        <f t="shared" si="2"/>
        <v>0</v>
      </c>
    </row>
    <row r="84" spans="1:15" outlineLevel="1" x14ac:dyDescent="0.25">
      <c r="A84" s="171" t="s">
        <v>185</v>
      </c>
      <c r="B84" s="103"/>
      <c r="C84" s="103">
        <v>0</v>
      </c>
      <c r="D84" s="103">
        <v>0</v>
      </c>
      <c r="E84" s="103">
        <v>0</v>
      </c>
      <c r="F84" s="103"/>
      <c r="G84" s="103"/>
      <c r="H84" s="103"/>
      <c r="I84" s="103"/>
      <c r="J84" s="103"/>
      <c r="K84" s="103"/>
      <c r="L84" s="103"/>
      <c r="M84" s="103"/>
      <c r="N84" s="103"/>
      <c r="O84" s="163">
        <f t="shared" si="2"/>
        <v>0</v>
      </c>
    </row>
    <row r="85" spans="1:15" outlineLevel="1" x14ac:dyDescent="0.25">
      <c r="A85" s="171" t="s">
        <v>186</v>
      </c>
      <c r="B85" s="103"/>
      <c r="C85" s="103">
        <v>0</v>
      </c>
      <c r="D85" s="103">
        <v>0</v>
      </c>
      <c r="E85" s="103">
        <v>0</v>
      </c>
      <c r="F85" s="103"/>
      <c r="G85" s="103"/>
      <c r="H85" s="103"/>
      <c r="I85" s="103"/>
      <c r="J85" s="103"/>
      <c r="K85" s="103"/>
      <c r="L85" s="103"/>
      <c r="M85" s="103"/>
      <c r="N85" s="103"/>
      <c r="O85" s="163">
        <f t="shared" si="2"/>
        <v>0</v>
      </c>
    </row>
    <row r="86" spans="1:15" outlineLevel="1" x14ac:dyDescent="0.25">
      <c r="A86" s="171" t="s">
        <v>187</v>
      </c>
      <c r="B86" s="103"/>
      <c r="C86" s="103">
        <v>0</v>
      </c>
      <c r="D86" s="103">
        <v>157.94999999999999</v>
      </c>
      <c r="E86" s="103">
        <v>0</v>
      </c>
      <c r="F86" s="103"/>
      <c r="G86" s="103"/>
      <c r="H86" s="103"/>
      <c r="I86" s="103"/>
      <c r="J86" s="103"/>
      <c r="K86" s="103"/>
      <c r="L86" s="103"/>
      <c r="M86" s="103"/>
      <c r="N86" s="103"/>
      <c r="O86" s="163">
        <f t="shared" si="2"/>
        <v>157.94999999999999</v>
      </c>
    </row>
    <row r="87" spans="1:15" outlineLevel="1" x14ac:dyDescent="0.25">
      <c r="A87" s="171" t="s">
        <v>188</v>
      </c>
      <c r="B87" s="103"/>
      <c r="C87" s="103">
        <v>0</v>
      </c>
      <c r="D87" s="103">
        <v>0</v>
      </c>
      <c r="E87" s="103">
        <v>0</v>
      </c>
      <c r="F87" s="103"/>
      <c r="G87" s="103"/>
      <c r="H87" s="103"/>
      <c r="I87" s="103"/>
      <c r="J87" s="103"/>
      <c r="K87" s="103"/>
      <c r="L87" s="103"/>
      <c r="M87" s="103"/>
      <c r="N87" s="103"/>
      <c r="O87" s="163">
        <f t="shared" si="2"/>
        <v>0</v>
      </c>
    </row>
    <row r="88" spans="1:15" outlineLevel="1" x14ac:dyDescent="0.25">
      <c r="A88" s="171" t="s">
        <v>189</v>
      </c>
      <c r="B88" s="103"/>
      <c r="C88" s="103">
        <v>774.08</v>
      </c>
      <c r="D88" s="103">
        <v>700.92</v>
      </c>
      <c r="E88" s="103">
        <v>1138.3599999999999</v>
      </c>
      <c r="F88" s="103"/>
      <c r="G88" s="103"/>
      <c r="H88" s="103"/>
      <c r="I88" s="103"/>
      <c r="J88" s="103"/>
      <c r="K88" s="103"/>
      <c r="L88" s="103"/>
      <c r="M88" s="103"/>
      <c r="N88" s="103"/>
      <c r="O88" s="163">
        <f t="shared" si="2"/>
        <v>2613.3599999999997</v>
      </c>
    </row>
    <row r="89" spans="1:15" outlineLevel="1" x14ac:dyDescent="0.25">
      <c r="A89" s="171" t="s">
        <v>190</v>
      </c>
      <c r="B89" s="103"/>
      <c r="C89" s="103">
        <v>641.16999999999996</v>
      </c>
      <c r="D89" s="103">
        <v>106.98</v>
      </c>
      <c r="E89" s="103">
        <v>0</v>
      </c>
      <c r="F89" s="103"/>
      <c r="G89" s="103"/>
      <c r="H89" s="103"/>
      <c r="I89" s="103"/>
      <c r="J89" s="103"/>
      <c r="K89" s="103"/>
      <c r="L89" s="103"/>
      <c r="M89" s="103"/>
      <c r="N89" s="103"/>
      <c r="O89" s="163">
        <f t="shared" si="2"/>
        <v>748.15</v>
      </c>
    </row>
    <row r="90" spans="1:15" outlineLevel="1" x14ac:dyDescent="0.25">
      <c r="A90" s="171" t="s">
        <v>191</v>
      </c>
      <c r="B90" s="103"/>
      <c r="C90" s="103">
        <v>0</v>
      </c>
      <c r="D90" s="103">
        <v>0</v>
      </c>
      <c r="E90" s="103">
        <v>16.86</v>
      </c>
      <c r="F90" s="103"/>
      <c r="G90" s="103"/>
      <c r="H90" s="103"/>
      <c r="I90" s="103"/>
      <c r="J90" s="103"/>
      <c r="K90" s="103"/>
      <c r="L90" s="103"/>
      <c r="M90" s="103"/>
      <c r="N90" s="103"/>
      <c r="O90" s="163">
        <f t="shared" si="2"/>
        <v>16.86</v>
      </c>
    </row>
    <row r="91" spans="1:15" outlineLevel="1" x14ac:dyDescent="0.25">
      <c r="A91" s="171" t="s">
        <v>192</v>
      </c>
      <c r="B91" s="103"/>
      <c r="C91" s="103">
        <v>0</v>
      </c>
      <c r="D91" s="103">
        <v>0</v>
      </c>
      <c r="E91" s="103">
        <v>0</v>
      </c>
      <c r="F91" s="103"/>
      <c r="G91" s="103"/>
      <c r="H91" s="103"/>
      <c r="I91" s="103"/>
      <c r="J91" s="103"/>
      <c r="K91" s="103"/>
      <c r="L91" s="103"/>
      <c r="M91" s="103"/>
      <c r="N91" s="103"/>
      <c r="O91" s="163">
        <f t="shared" si="2"/>
        <v>0</v>
      </c>
    </row>
    <row r="92" spans="1:15" outlineLevel="1" x14ac:dyDescent="0.25">
      <c r="A92" s="171" t="s">
        <v>193</v>
      </c>
      <c r="B92" s="103"/>
      <c r="C92" s="103">
        <v>0</v>
      </c>
      <c r="D92" s="103">
        <v>0</v>
      </c>
      <c r="E92" s="103">
        <v>0</v>
      </c>
      <c r="F92" s="103"/>
      <c r="G92" s="103"/>
      <c r="H92" s="103"/>
      <c r="I92" s="103"/>
      <c r="J92" s="103"/>
      <c r="K92" s="103"/>
      <c r="L92" s="103"/>
      <c r="M92" s="103"/>
      <c r="N92" s="103"/>
      <c r="O92" s="163">
        <f t="shared" si="2"/>
        <v>0</v>
      </c>
    </row>
    <row r="93" spans="1:15" outlineLevel="1" x14ac:dyDescent="0.25">
      <c r="A93" s="171"/>
      <c r="B93" s="103"/>
      <c r="C93" s="103">
        <v>0</v>
      </c>
      <c r="D93" s="103">
        <v>0</v>
      </c>
      <c r="E93" s="103">
        <v>0</v>
      </c>
      <c r="F93" s="103"/>
      <c r="G93" s="103"/>
      <c r="H93" s="103"/>
      <c r="I93" s="103"/>
      <c r="J93" s="103"/>
      <c r="K93" s="103"/>
      <c r="L93" s="103"/>
      <c r="M93" s="103"/>
      <c r="N93" s="103"/>
      <c r="O93" s="163">
        <f t="shared" si="2"/>
        <v>0</v>
      </c>
    </row>
    <row r="94" spans="1:15" outlineLevel="1" x14ac:dyDescent="0.25">
      <c r="A94" s="171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63">
        <f t="shared" si="2"/>
        <v>0</v>
      </c>
    </row>
    <row r="95" spans="1:15" s="159" customFormat="1" ht="15.75" x14ac:dyDescent="0.25">
      <c r="A95" s="177" t="s">
        <v>62</v>
      </c>
      <c r="B95" s="158">
        <f>SUM(B96:B138)</f>
        <v>0</v>
      </c>
      <c r="C95" s="158">
        <v>2123.88</v>
      </c>
      <c r="D95" s="158">
        <v>2164.75</v>
      </c>
      <c r="E95" s="158">
        <v>2648.68</v>
      </c>
      <c r="F95" s="158">
        <f t="shared" ref="F95:O95" si="13">SUM(F96:F138)</f>
        <v>0</v>
      </c>
      <c r="G95" s="158">
        <f t="shared" si="13"/>
        <v>0</v>
      </c>
      <c r="H95" s="158">
        <f t="shared" si="13"/>
        <v>0</v>
      </c>
      <c r="I95" s="158">
        <f t="shared" si="13"/>
        <v>0</v>
      </c>
      <c r="J95" s="158">
        <f t="shared" si="13"/>
        <v>0</v>
      </c>
      <c r="K95" s="158">
        <f t="shared" si="13"/>
        <v>0</v>
      </c>
      <c r="L95" s="158">
        <f t="shared" si="13"/>
        <v>0</v>
      </c>
      <c r="M95" s="158">
        <f t="shared" si="13"/>
        <v>0</v>
      </c>
      <c r="N95" s="158">
        <f t="shared" si="13"/>
        <v>0</v>
      </c>
      <c r="O95" s="178">
        <f t="shared" si="13"/>
        <v>6937.3100000000013</v>
      </c>
    </row>
    <row r="96" spans="1:15" outlineLevel="1" x14ac:dyDescent="0.25">
      <c r="A96" s="171" t="s">
        <v>194</v>
      </c>
      <c r="B96" s="103"/>
      <c r="C96" s="103">
        <v>205.5</v>
      </c>
      <c r="D96" s="103">
        <v>227.9</v>
      </c>
      <c r="E96" s="103">
        <v>179.6</v>
      </c>
      <c r="F96" s="103"/>
      <c r="G96" s="103"/>
      <c r="H96" s="103"/>
      <c r="I96" s="103"/>
      <c r="J96" s="103"/>
      <c r="K96" s="103"/>
      <c r="L96" s="103"/>
      <c r="M96" s="103"/>
      <c r="N96" s="103"/>
      <c r="O96" s="163">
        <f t="shared" ref="O96:O205" si="14">+SUM(C96:N96)</f>
        <v>613</v>
      </c>
    </row>
    <row r="97" spans="1:15" outlineLevel="1" x14ac:dyDescent="0.25">
      <c r="A97" s="171" t="s">
        <v>195</v>
      </c>
      <c r="B97" s="103"/>
      <c r="C97" s="103">
        <v>0</v>
      </c>
      <c r="D97" s="103">
        <v>0</v>
      </c>
      <c r="E97" s="103">
        <v>0</v>
      </c>
      <c r="F97" s="103"/>
      <c r="G97" s="103"/>
      <c r="H97" s="103"/>
      <c r="I97" s="103"/>
      <c r="J97" s="103"/>
      <c r="K97" s="103"/>
      <c r="L97" s="103"/>
      <c r="M97" s="103"/>
      <c r="N97" s="103"/>
      <c r="O97" s="163">
        <f t="shared" si="14"/>
        <v>0</v>
      </c>
    </row>
    <row r="98" spans="1:15" outlineLevel="1" x14ac:dyDescent="0.25">
      <c r="A98" s="171" t="s">
        <v>196</v>
      </c>
      <c r="B98" s="103"/>
      <c r="C98" s="103">
        <v>0</v>
      </c>
      <c r="D98" s="103">
        <v>0</v>
      </c>
      <c r="E98" s="103">
        <v>0</v>
      </c>
      <c r="F98" s="103"/>
      <c r="G98" s="103"/>
      <c r="H98" s="103"/>
      <c r="I98" s="103"/>
      <c r="J98" s="103"/>
      <c r="K98" s="103"/>
      <c r="L98" s="103"/>
      <c r="M98" s="103"/>
      <c r="N98" s="103"/>
      <c r="O98" s="163">
        <f t="shared" si="14"/>
        <v>0</v>
      </c>
    </row>
    <row r="99" spans="1:15" outlineLevel="1" x14ac:dyDescent="0.25">
      <c r="A99" s="171" t="s">
        <v>197</v>
      </c>
      <c r="B99" s="103"/>
      <c r="C99" s="103">
        <v>906.5</v>
      </c>
      <c r="D99" s="103">
        <v>1276.3499999999999</v>
      </c>
      <c r="E99" s="103">
        <v>1364.66</v>
      </c>
      <c r="F99" s="103"/>
      <c r="G99" s="103"/>
      <c r="H99" s="103"/>
      <c r="I99" s="103"/>
      <c r="J99" s="103"/>
      <c r="K99" s="103"/>
      <c r="L99" s="103"/>
      <c r="M99" s="103"/>
      <c r="N99" s="103"/>
      <c r="O99" s="163">
        <f t="shared" si="14"/>
        <v>3547.51</v>
      </c>
    </row>
    <row r="100" spans="1:15" outlineLevel="1" x14ac:dyDescent="0.25">
      <c r="A100" s="171" t="s">
        <v>198</v>
      </c>
      <c r="B100" s="103"/>
      <c r="C100" s="103">
        <v>0</v>
      </c>
      <c r="D100" s="103">
        <v>0</v>
      </c>
      <c r="E100" s="103">
        <v>0</v>
      </c>
      <c r="F100" s="103"/>
      <c r="G100" s="103"/>
      <c r="H100" s="103"/>
      <c r="I100" s="103"/>
      <c r="J100" s="103"/>
      <c r="K100" s="103"/>
      <c r="L100" s="103"/>
      <c r="M100" s="103"/>
      <c r="N100" s="103"/>
      <c r="O100" s="163">
        <f t="shared" si="14"/>
        <v>0</v>
      </c>
    </row>
    <row r="101" spans="1:15" outlineLevel="1" x14ac:dyDescent="0.25">
      <c r="A101" s="171" t="s">
        <v>199</v>
      </c>
      <c r="B101" s="103"/>
      <c r="C101" s="103">
        <v>240</v>
      </c>
      <c r="D101" s="103">
        <v>320</v>
      </c>
      <c r="E101" s="103">
        <v>318.58</v>
      </c>
      <c r="F101" s="103"/>
      <c r="G101" s="103"/>
      <c r="H101" s="103"/>
      <c r="I101" s="103"/>
      <c r="J101" s="103"/>
      <c r="K101" s="103"/>
      <c r="L101" s="103"/>
      <c r="M101" s="103"/>
      <c r="N101" s="103"/>
      <c r="O101" s="163">
        <f t="shared" si="14"/>
        <v>878.57999999999993</v>
      </c>
    </row>
    <row r="102" spans="1:15" outlineLevel="1" x14ac:dyDescent="0.25">
      <c r="A102" s="171" t="s">
        <v>200</v>
      </c>
      <c r="B102" s="103"/>
      <c r="C102" s="103">
        <v>0</v>
      </c>
      <c r="D102" s="103">
        <v>0</v>
      </c>
      <c r="E102" s="103">
        <v>0</v>
      </c>
      <c r="F102" s="103"/>
      <c r="G102" s="103"/>
      <c r="H102" s="103"/>
      <c r="I102" s="103"/>
      <c r="J102" s="103"/>
      <c r="K102" s="103"/>
      <c r="L102" s="103"/>
      <c r="M102" s="103"/>
      <c r="N102" s="103"/>
      <c r="O102" s="163">
        <f t="shared" si="14"/>
        <v>0</v>
      </c>
    </row>
    <row r="103" spans="1:15" outlineLevel="1" x14ac:dyDescent="0.25">
      <c r="A103" s="171" t="s">
        <v>201</v>
      </c>
      <c r="B103" s="103"/>
      <c r="C103" s="103">
        <v>0</v>
      </c>
      <c r="D103" s="103">
        <v>0</v>
      </c>
      <c r="E103" s="103">
        <v>31.81</v>
      </c>
      <c r="F103" s="103"/>
      <c r="G103" s="103"/>
      <c r="H103" s="103"/>
      <c r="I103" s="103"/>
      <c r="J103" s="103"/>
      <c r="K103" s="103"/>
      <c r="L103" s="103"/>
      <c r="M103" s="103"/>
      <c r="N103" s="103"/>
      <c r="O103" s="163">
        <f t="shared" si="14"/>
        <v>31.81</v>
      </c>
    </row>
    <row r="104" spans="1:15" outlineLevel="1" x14ac:dyDescent="0.25">
      <c r="A104" s="171" t="s">
        <v>202</v>
      </c>
      <c r="B104" s="103"/>
      <c r="C104" s="103">
        <v>0</v>
      </c>
      <c r="D104" s="103">
        <v>0</v>
      </c>
      <c r="E104" s="103">
        <v>0</v>
      </c>
      <c r="F104" s="103"/>
      <c r="G104" s="103"/>
      <c r="H104" s="103"/>
      <c r="I104" s="103"/>
      <c r="J104" s="103"/>
      <c r="K104" s="103"/>
      <c r="L104" s="103"/>
      <c r="M104" s="103"/>
      <c r="N104" s="103"/>
      <c r="O104" s="163">
        <f t="shared" si="14"/>
        <v>0</v>
      </c>
    </row>
    <row r="105" spans="1:15" outlineLevel="1" x14ac:dyDescent="0.25">
      <c r="A105" s="171" t="s">
        <v>203</v>
      </c>
      <c r="B105" s="103"/>
      <c r="C105" s="103">
        <v>0</v>
      </c>
      <c r="D105" s="103">
        <v>0</v>
      </c>
      <c r="E105" s="103">
        <v>89.52</v>
      </c>
      <c r="F105" s="103"/>
      <c r="G105" s="103"/>
      <c r="H105" s="103"/>
      <c r="I105" s="103"/>
      <c r="J105" s="103"/>
      <c r="K105" s="103"/>
      <c r="L105" s="103"/>
      <c r="M105" s="103"/>
      <c r="N105" s="103"/>
      <c r="O105" s="163">
        <f t="shared" si="14"/>
        <v>89.52</v>
      </c>
    </row>
    <row r="106" spans="1:15" outlineLevel="1" x14ac:dyDescent="0.25">
      <c r="A106" s="171" t="s">
        <v>204</v>
      </c>
      <c r="B106" s="103"/>
      <c r="C106" s="103">
        <v>0</v>
      </c>
      <c r="D106" s="103">
        <v>0</v>
      </c>
      <c r="E106" s="103">
        <v>0</v>
      </c>
      <c r="F106" s="103"/>
      <c r="G106" s="103"/>
      <c r="H106" s="103"/>
      <c r="I106" s="103"/>
      <c r="J106" s="103"/>
      <c r="K106" s="103"/>
      <c r="L106" s="103"/>
      <c r="M106" s="103"/>
      <c r="N106" s="103"/>
      <c r="O106" s="163">
        <f t="shared" si="14"/>
        <v>0</v>
      </c>
    </row>
    <row r="107" spans="1:15" outlineLevel="1" x14ac:dyDescent="0.25">
      <c r="A107" s="171" t="s">
        <v>205</v>
      </c>
      <c r="B107" s="103"/>
      <c r="C107" s="103">
        <v>0</v>
      </c>
      <c r="D107" s="103">
        <v>0</v>
      </c>
      <c r="E107" s="103">
        <v>0</v>
      </c>
      <c r="F107" s="103"/>
      <c r="G107" s="103"/>
      <c r="H107" s="103"/>
      <c r="I107" s="103"/>
      <c r="J107" s="103"/>
      <c r="K107" s="103"/>
      <c r="L107" s="103"/>
      <c r="M107" s="103"/>
      <c r="N107" s="103"/>
      <c r="O107" s="163">
        <f t="shared" si="14"/>
        <v>0</v>
      </c>
    </row>
    <row r="108" spans="1:15" outlineLevel="1" x14ac:dyDescent="0.25">
      <c r="A108" s="171" t="s">
        <v>206</v>
      </c>
      <c r="B108" s="103"/>
      <c r="C108" s="103">
        <v>5</v>
      </c>
      <c r="D108" s="103">
        <v>0</v>
      </c>
      <c r="E108" s="103">
        <v>0</v>
      </c>
      <c r="F108" s="103"/>
      <c r="G108" s="103"/>
      <c r="H108" s="103"/>
      <c r="I108" s="103"/>
      <c r="J108" s="103"/>
      <c r="K108" s="103"/>
      <c r="L108" s="103"/>
      <c r="M108" s="103"/>
      <c r="N108" s="103"/>
      <c r="O108" s="163">
        <f t="shared" si="14"/>
        <v>5</v>
      </c>
    </row>
    <row r="109" spans="1:15" outlineLevel="1" x14ac:dyDescent="0.25">
      <c r="A109" s="171" t="s">
        <v>207</v>
      </c>
      <c r="B109" s="103"/>
      <c r="C109" s="103">
        <v>0</v>
      </c>
      <c r="D109" s="103">
        <v>0</v>
      </c>
      <c r="E109" s="103">
        <v>24.47</v>
      </c>
      <c r="F109" s="103"/>
      <c r="G109" s="103"/>
      <c r="H109" s="103"/>
      <c r="I109" s="103"/>
      <c r="J109" s="103"/>
      <c r="K109" s="103"/>
      <c r="L109" s="103"/>
      <c r="M109" s="103"/>
      <c r="N109" s="103"/>
      <c r="O109" s="163">
        <f t="shared" si="14"/>
        <v>24.47</v>
      </c>
    </row>
    <row r="110" spans="1:15" outlineLevel="1" x14ac:dyDescent="0.25">
      <c r="A110" s="171" t="s">
        <v>208</v>
      </c>
      <c r="B110" s="103"/>
      <c r="C110" s="103">
        <v>0</v>
      </c>
      <c r="D110" s="103">
        <v>0</v>
      </c>
      <c r="E110" s="103">
        <v>0</v>
      </c>
      <c r="F110" s="103"/>
      <c r="G110" s="103"/>
      <c r="H110" s="103"/>
      <c r="I110" s="103"/>
      <c r="J110" s="103"/>
      <c r="K110" s="103"/>
      <c r="L110" s="103"/>
      <c r="M110" s="103"/>
      <c r="N110" s="103"/>
      <c r="O110" s="163">
        <f t="shared" si="14"/>
        <v>0</v>
      </c>
    </row>
    <row r="111" spans="1:15" outlineLevel="1" x14ac:dyDescent="0.25">
      <c r="A111" s="171" t="s">
        <v>209</v>
      </c>
      <c r="B111" s="103"/>
      <c r="C111" s="103">
        <v>0</v>
      </c>
      <c r="D111" s="103">
        <v>0</v>
      </c>
      <c r="E111" s="103">
        <v>68.87</v>
      </c>
      <c r="F111" s="103"/>
      <c r="G111" s="103"/>
      <c r="H111" s="103"/>
      <c r="I111" s="103"/>
      <c r="J111" s="103"/>
      <c r="K111" s="103"/>
      <c r="L111" s="103"/>
      <c r="M111" s="103"/>
      <c r="N111" s="103"/>
      <c r="O111" s="163">
        <f t="shared" si="14"/>
        <v>68.87</v>
      </c>
    </row>
    <row r="112" spans="1:15" outlineLevel="1" x14ac:dyDescent="0.25">
      <c r="A112" s="171" t="s">
        <v>210</v>
      </c>
      <c r="B112" s="103"/>
      <c r="C112" s="103">
        <v>0</v>
      </c>
      <c r="D112" s="103">
        <v>0</v>
      </c>
      <c r="E112" s="103">
        <v>0</v>
      </c>
      <c r="F112" s="103"/>
      <c r="G112" s="103"/>
      <c r="H112" s="103"/>
      <c r="I112" s="103"/>
      <c r="J112" s="103"/>
      <c r="K112" s="103"/>
      <c r="L112" s="103"/>
      <c r="M112" s="103"/>
      <c r="N112" s="103"/>
      <c r="O112" s="163">
        <f t="shared" si="14"/>
        <v>0</v>
      </c>
    </row>
    <row r="113" spans="1:15" outlineLevel="1" x14ac:dyDescent="0.25">
      <c r="A113" s="171" t="s">
        <v>211</v>
      </c>
      <c r="B113" s="103"/>
      <c r="C113" s="103">
        <v>0</v>
      </c>
      <c r="D113" s="103">
        <v>0</v>
      </c>
      <c r="E113" s="103">
        <v>0</v>
      </c>
      <c r="F113" s="103"/>
      <c r="G113" s="103"/>
      <c r="H113" s="103"/>
      <c r="I113" s="103"/>
      <c r="J113" s="103"/>
      <c r="K113" s="103"/>
      <c r="L113" s="103"/>
      <c r="M113" s="103"/>
      <c r="N113" s="103"/>
      <c r="O113" s="163">
        <f t="shared" si="14"/>
        <v>0</v>
      </c>
    </row>
    <row r="114" spans="1:15" outlineLevel="1" x14ac:dyDescent="0.25">
      <c r="A114" s="171" t="s">
        <v>212</v>
      </c>
      <c r="B114" s="103"/>
      <c r="C114" s="103">
        <v>0</v>
      </c>
      <c r="D114" s="103">
        <v>0</v>
      </c>
      <c r="E114" s="103">
        <v>0</v>
      </c>
      <c r="F114" s="103"/>
      <c r="G114" s="103"/>
      <c r="H114" s="103"/>
      <c r="I114" s="103"/>
      <c r="J114" s="103"/>
      <c r="K114" s="103"/>
      <c r="L114" s="103"/>
      <c r="M114" s="103"/>
      <c r="N114" s="103"/>
      <c r="O114" s="163">
        <f t="shared" si="14"/>
        <v>0</v>
      </c>
    </row>
    <row r="115" spans="1:15" outlineLevel="1" x14ac:dyDescent="0.25">
      <c r="A115" s="171" t="s">
        <v>213</v>
      </c>
      <c r="B115" s="103"/>
      <c r="C115" s="103">
        <v>0</v>
      </c>
      <c r="D115" s="103">
        <v>0</v>
      </c>
      <c r="E115" s="103">
        <v>0</v>
      </c>
      <c r="F115" s="103"/>
      <c r="G115" s="103"/>
      <c r="H115" s="103"/>
      <c r="I115" s="103"/>
      <c r="J115" s="103"/>
      <c r="K115" s="103"/>
      <c r="L115" s="103"/>
      <c r="M115" s="103"/>
      <c r="N115" s="103"/>
      <c r="O115" s="163">
        <f t="shared" si="14"/>
        <v>0</v>
      </c>
    </row>
    <row r="116" spans="1:15" outlineLevel="1" x14ac:dyDescent="0.25">
      <c r="A116" s="171" t="s">
        <v>214</v>
      </c>
      <c r="B116" s="103"/>
      <c r="C116" s="103">
        <v>0</v>
      </c>
      <c r="D116" s="103">
        <v>0</v>
      </c>
      <c r="E116" s="103">
        <v>0</v>
      </c>
      <c r="F116" s="103"/>
      <c r="G116" s="103"/>
      <c r="H116" s="103"/>
      <c r="I116" s="103"/>
      <c r="J116" s="103"/>
      <c r="K116" s="103"/>
      <c r="L116" s="103"/>
      <c r="M116" s="103"/>
      <c r="N116" s="103"/>
      <c r="O116" s="163">
        <f t="shared" si="14"/>
        <v>0</v>
      </c>
    </row>
    <row r="117" spans="1:15" outlineLevel="1" x14ac:dyDescent="0.25">
      <c r="A117" s="171" t="s">
        <v>215</v>
      </c>
      <c r="B117" s="103"/>
      <c r="C117" s="103">
        <v>0</v>
      </c>
      <c r="D117" s="103">
        <v>0</v>
      </c>
      <c r="E117" s="103">
        <v>0</v>
      </c>
      <c r="F117" s="103"/>
      <c r="G117" s="103"/>
      <c r="H117" s="103"/>
      <c r="I117" s="103"/>
      <c r="J117" s="103"/>
      <c r="K117" s="103"/>
      <c r="L117" s="103"/>
      <c r="M117" s="103"/>
      <c r="N117" s="103"/>
      <c r="O117" s="163">
        <f t="shared" si="14"/>
        <v>0</v>
      </c>
    </row>
    <row r="118" spans="1:15" outlineLevel="1" x14ac:dyDescent="0.25">
      <c r="A118" s="171" t="s">
        <v>216</v>
      </c>
      <c r="B118" s="103"/>
      <c r="C118" s="103">
        <v>0</v>
      </c>
      <c r="D118" s="103">
        <v>0</v>
      </c>
      <c r="E118" s="103">
        <v>0</v>
      </c>
      <c r="F118" s="103"/>
      <c r="G118" s="103"/>
      <c r="H118" s="103"/>
      <c r="I118" s="103"/>
      <c r="J118" s="103"/>
      <c r="K118" s="103"/>
      <c r="L118" s="103"/>
      <c r="M118" s="103"/>
      <c r="N118" s="103"/>
      <c r="O118" s="163">
        <f t="shared" si="14"/>
        <v>0</v>
      </c>
    </row>
    <row r="119" spans="1:15" outlineLevel="1" x14ac:dyDescent="0.25">
      <c r="A119" s="171" t="s">
        <v>217</v>
      </c>
      <c r="B119" s="103"/>
      <c r="C119" s="103">
        <v>0</v>
      </c>
      <c r="D119" s="103">
        <v>0</v>
      </c>
      <c r="E119" s="103">
        <v>0</v>
      </c>
      <c r="F119" s="103"/>
      <c r="G119" s="103"/>
      <c r="H119" s="103"/>
      <c r="I119" s="103"/>
      <c r="J119" s="103"/>
      <c r="K119" s="103"/>
      <c r="L119" s="103"/>
      <c r="M119" s="103"/>
      <c r="N119" s="103"/>
      <c r="O119" s="163">
        <f t="shared" si="14"/>
        <v>0</v>
      </c>
    </row>
    <row r="120" spans="1:15" outlineLevel="1" x14ac:dyDescent="0.25">
      <c r="A120" s="171" t="s">
        <v>218</v>
      </c>
      <c r="B120" s="103"/>
      <c r="C120" s="103">
        <v>0</v>
      </c>
      <c r="D120" s="103">
        <v>0</v>
      </c>
      <c r="E120" s="103">
        <v>0</v>
      </c>
      <c r="F120" s="103"/>
      <c r="G120" s="103"/>
      <c r="H120" s="103"/>
      <c r="I120" s="103"/>
      <c r="J120" s="103"/>
      <c r="K120" s="103"/>
      <c r="L120" s="103"/>
      <c r="M120" s="103"/>
      <c r="N120" s="103"/>
      <c r="O120" s="163">
        <f t="shared" si="14"/>
        <v>0</v>
      </c>
    </row>
    <row r="121" spans="1:15" outlineLevel="1" x14ac:dyDescent="0.25">
      <c r="A121" s="171" t="s">
        <v>219</v>
      </c>
      <c r="B121" s="103"/>
      <c r="C121" s="103">
        <v>0</v>
      </c>
      <c r="D121" s="103">
        <v>0</v>
      </c>
      <c r="E121" s="103">
        <v>0</v>
      </c>
      <c r="F121" s="103"/>
      <c r="G121" s="103"/>
      <c r="H121" s="103"/>
      <c r="I121" s="103"/>
      <c r="J121" s="103"/>
      <c r="K121" s="103"/>
      <c r="L121" s="103"/>
      <c r="M121" s="103"/>
      <c r="N121" s="103"/>
      <c r="O121" s="163">
        <f t="shared" si="14"/>
        <v>0</v>
      </c>
    </row>
    <row r="122" spans="1:15" outlineLevel="1" x14ac:dyDescent="0.25">
      <c r="A122" s="171" t="s">
        <v>220</v>
      </c>
      <c r="B122" s="103"/>
      <c r="C122" s="103">
        <v>0</v>
      </c>
      <c r="D122" s="103">
        <v>0</v>
      </c>
      <c r="E122" s="103">
        <v>0</v>
      </c>
      <c r="F122" s="103"/>
      <c r="G122" s="103"/>
      <c r="H122" s="103"/>
      <c r="I122" s="103"/>
      <c r="J122" s="103"/>
      <c r="K122" s="103"/>
      <c r="L122" s="103"/>
      <c r="M122" s="103"/>
      <c r="N122" s="103"/>
      <c r="O122" s="163">
        <f t="shared" si="14"/>
        <v>0</v>
      </c>
    </row>
    <row r="123" spans="1:15" outlineLevel="1" x14ac:dyDescent="0.25">
      <c r="A123" s="171" t="s">
        <v>221</v>
      </c>
      <c r="B123" s="103"/>
      <c r="C123" s="103">
        <v>0</v>
      </c>
      <c r="D123" s="103">
        <v>0</v>
      </c>
      <c r="E123" s="103">
        <v>0</v>
      </c>
      <c r="F123" s="103"/>
      <c r="G123" s="103"/>
      <c r="H123" s="103"/>
      <c r="I123" s="103"/>
      <c r="J123" s="103"/>
      <c r="K123" s="103"/>
      <c r="L123" s="103"/>
      <c r="M123" s="103"/>
      <c r="N123" s="103"/>
      <c r="O123" s="163">
        <f t="shared" si="14"/>
        <v>0</v>
      </c>
    </row>
    <row r="124" spans="1:15" outlineLevel="1" x14ac:dyDescent="0.25">
      <c r="A124" s="171" t="s">
        <v>222</v>
      </c>
      <c r="B124" s="103"/>
      <c r="C124" s="103">
        <v>0</v>
      </c>
      <c r="D124" s="103">
        <v>0</v>
      </c>
      <c r="E124" s="103">
        <v>0</v>
      </c>
      <c r="F124" s="103"/>
      <c r="G124" s="103"/>
      <c r="H124" s="103"/>
      <c r="I124" s="103"/>
      <c r="J124" s="103"/>
      <c r="K124" s="103"/>
      <c r="L124" s="103"/>
      <c r="M124" s="103"/>
      <c r="N124" s="103"/>
      <c r="O124" s="163">
        <f t="shared" si="14"/>
        <v>0</v>
      </c>
    </row>
    <row r="125" spans="1:15" outlineLevel="1" x14ac:dyDescent="0.25">
      <c r="A125" s="171" t="s">
        <v>223</v>
      </c>
      <c r="B125" s="103"/>
      <c r="C125" s="103">
        <v>1.48</v>
      </c>
      <c r="D125" s="103">
        <v>0.97</v>
      </c>
      <c r="E125" s="103">
        <v>1.1299999999999999</v>
      </c>
      <c r="F125" s="103"/>
      <c r="G125" s="103"/>
      <c r="H125" s="103"/>
      <c r="I125" s="103"/>
      <c r="J125" s="103"/>
      <c r="K125" s="103"/>
      <c r="L125" s="103"/>
      <c r="M125" s="103"/>
      <c r="N125" s="103"/>
      <c r="O125" s="163">
        <f t="shared" si="14"/>
        <v>3.58</v>
      </c>
    </row>
    <row r="126" spans="1:15" outlineLevel="1" x14ac:dyDescent="0.25">
      <c r="A126" s="171" t="s">
        <v>224</v>
      </c>
      <c r="B126" s="103"/>
      <c r="C126" s="103">
        <v>0.59</v>
      </c>
      <c r="D126" s="103">
        <v>0.39</v>
      </c>
      <c r="E126" s="103">
        <v>0.45</v>
      </c>
      <c r="F126" s="103"/>
      <c r="G126" s="103"/>
      <c r="H126" s="103"/>
      <c r="I126" s="103"/>
      <c r="J126" s="103"/>
      <c r="K126" s="103"/>
      <c r="L126" s="103"/>
      <c r="M126" s="103"/>
      <c r="N126" s="103"/>
      <c r="O126" s="163">
        <f t="shared" si="14"/>
        <v>1.43</v>
      </c>
    </row>
    <row r="127" spans="1:15" outlineLevel="1" x14ac:dyDescent="0.25">
      <c r="A127" s="171" t="s">
        <v>225</v>
      </c>
      <c r="B127" s="103"/>
      <c r="C127" s="103">
        <v>5.39</v>
      </c>
      <c r="D127" s="103">
        <v>4.3899999999999997</v>
      </c>
      <c r="E127" s="103">
        <v>4.8899999999999997</v>
      </c>
      <c r="F127" s="103"/>
      <c r="G127" s="103"/>
      <c r="H127" s="103"/>
      <c r="I127" s="103"/>
      <c r="J127" s="103"/>
      <c r="K127" s="103"/>
      <c r="L127" s="103"/>
      <c r="M127" s="103"/>
      <c r="N127" s="103"/>
      <c r="O127" s="163">
        <f t="shared" si="14"/>
        <v>14.669999999999998</v>
      </c>
    </row>
    <row r="128" spans="1:15" outlineLevel="1" x14ac:dyDescent="0.25">
      <c r="A128" s="171" t="s">
        <v>226</v>
      </c>
      <c r="B128" s="103"/>
      <c r="C128" s="103">
        <v>11.57</v>
      </c>
      <c r="D128" s="103">
        <v>0</v>
      </c>
      <c r="E128" s="103">
        <v>0</v>
      </c>
      <c r="F128" s="103"/>
      <c r="G128" s="103"/>
      <c r="H128" s="103"/>
      <c r="I128" s="103"/>
      <c r="J128" s="103"/>
      <c r="K128" s="103"/>
      <c r="L128" s="103"/>
      <c r="M128" s="103"/>
      <c r="N128" s="103"/>
      <c r="O128" s="163">
        <f t="shared" si="14"/>
        <v>11.57</v>
      </c>
    </row>
    <row r="129" spans="1:15" outlineLevel="1" x14ac:dyDescent="0.25">
      <c r="A129" s="171" t="s">
        <v>227</v>
      </c>
      <c r="B129" s="103"/>
      <c r="C129" s="103">
        <v>0</v>
      </c>
      <c r="D129" s="103">
        <v>0</v>
      </c>
      <c r="E129" s="103">
        <v>0</v>
      </c>
      <c r="F129" s="103"/>
      <c r="G129" s="103"/>
      <c r="H129" s="103"/>
      <c r="I129" s="103"/>
      <c r="J129" s="103"/>
      <c r="K129" s="103"/>
      <c r="L129" s="103"/>
      <c r="M129" s="103"/>
      <c r="N129" s="103"/>
      <c r="O129" s="163">
        <f t="shared" si="14"/>
        <v>0</v>
      </c>
    </row>
    <row r="130" spans="1:15" outlineLevel="1" x14ac:dyDescent="0.25">
      <c r="A130" s="171" t="s">
        <v>228</v>
      </c>
      <c r="B130" s="103"/>
      <c r="C130" s="103">
        <v>98.7</v>
      </c>
      <c r="D130" s="103">
        <v>0</v>
      </c>
      <c r="E130" s="103">
        <v>126.9</v>
      </c>
      <c r="F130" s="103"/>
      <c r="G130" s="103"/>
      <c r="H130" s="103"/>
      <c r="I130" s="103"/>
      <c r="J130" s="103"/>
      <c r="K130" s="103"/>
      <c r="L130" s="103"/>
      <c r="M130" s="103"/>
      <c r="N130" s="103"/>
      <c r="O130" s="163">
        <f t="shared" si="14"/>
        <v>225.60000000000002</v>
      </c>
    </row>
    <row r="131" spans="1:15" outlineLevel="1" x14ac:dyDescent="0.25">
      <c r="A131" s="171" t="s">
        <v>229</v>
      </c>
      <c r="B131" s="103"/>
      <c r="C131" s="103">
        <v>12.82</v>
      </c>
      <c r="D131" s="103">
        <v>67.75</v>
      </c>
      <c r="E131" s="103">
        <v>90</v>
      </c>
      <c r="F131" s="103"/>
      <c r="G131" s="103"/>
      <c r="H131" s="103"/>
      <c r="I131" s="103"/>
      <c r="J131" s="103"/>
      <c r="K131" s="103"/>
      <c r="L131" s="103"/>
      <c r="M131" s="103"/>
      <c r="N131" s="103"/>
      <c r="O131" s="163">
        <f t="shared" si="14"/>
        <v>170.57</v>
      </c>
    </row>
    <row r="132" spans="1:15" outlineLevel="1" x14ac:dyDescent="0.25">
      <c r="A132" s="171" t="s">
        <v>230</v>
      </c>
      <c r="B132" s="103"/>
      <c r="C132" s="103">
        <v>0</v>
      </c>
      <c r="D132" s="103">
        <v>0</v>
      </c>
      <c r="E132" s="103">
        <v>0</v>
      </c>
      <c r="F132" s="103"/>
      <c r="G132" s="103"/>
      <c r="H132" s="103"/>
      <c r="I132" s="103"/>
      <c r="J132" s="103"/>
      <c r="K132" s="103"/>
      <c r="L132" s="103"/>
      <c r="M132" s="103"/>
      <c r="N132" s="103"/>
      <c r="O132" s="163">
        <f t="shared" si="14"/>
        <v>0</v>
      </c>
    </row>
    <row r="133" spans="1:15" outlineLevel="1" x14ac:dyDescent="0.25">
      <c r="A133" s="171" t="s">
        <v>231</v>
      </c>
      <c r="B133" s="103"/>
      <c r="C133" s="103">
        <v>394.83</v>
      </c>
      <c r="D133" s="103">
        <v>42</v>
      </c>
      <c r="E133" s="103">
        <v>24.8</v>
      </c>
      <c r="F133" s="103"/>
      <c r="G133" s="103"/>
      <c r="H133" s="103"/>
      <c r="I133" s="103"/>
      <c r="J133" s="103"/>
      <c r="K133" s="103"/>
      <c r="L133" s="103"/>
      <c r="M133" s="103"/>
      <c r="N133" s="103"/>
      <c r="O133" s="163">
        <f t="shared" si="14"/>
        <v>461.63</v>
      </c>
    </row>
    <row r="134" spans="1:15" outlineLevel="1" x14ac:dyDescent="0.25">
      <c r="A134" s="171" t="s">
        <v>232</v>
      </c>
      <c r="B134" s="103"/>
      <c r="C134" s="103">
        <v>0</v>
      </c>
      <c r="D134" s="103">
        <v>0</v>
      </c>
      <c r="E134" s="103">
        <v>120</v>
      </c>
      <c r="F134" s="103"/>
      <c r="G134" s="103"/>
      <c r="H134" s="103"/>
      <c r="I134" s="103"/>
      <c r="J134" s="103"/>
      <c r="K134" s="103"/>
      <c r="L134" s="103"/>
      <c r="M134" s="103"/>
      <c r="N134" s="103"/>
      <c r="O134" s="163">
        <f t="shared" si="14"/>
        <v>120</v>
      </c>
    </row>
    <row r="135" spans="1:15" outlineLevel="1" x14ac:dyDescent="0.25">
      <c r="A135" s="171" t="s">
        <v>233</v>
      </c>
      <c r="B135" s="103"/>
      <c r="C135" s="103">
        <v>0</v>
      </c>
      <c r="D135" s="103">
        <v>0</v>
      </c>
      <c r="E135" s="103">
        <v>0</v>
      </c>
      <c r="F135" s="103"/>
      <c r="G135" s="103"/>
      <c r="H135" s="103"/>
      <c r="I135" s="103"/>
      <c r="J135" s="103"/>
      <c r="K135" s="103"/>
      <c r="L135" s="103"/>
      <c r="M135" s="103"/>
      <c r="N135" s="103"/>
      <c r="O135" s="163">
        <f t="shared" si="14"/>
        <v>0</v>
      </c>
    </row>
    <row r="136" spans="1:15" outlineLevel="1" x14ac:dyDescent="0.25">
      <c r="A136" s="171" t="s">
        <v>234</v>
      </c>
      <c r="B136" s="103"/>
      <c r="C136" s="103">
        <v>241.5</v>
      </c>
      <c r="D136" s="103">
        <v>225</v>
      </c>
      <c r="E136" s="103">
        <v>203</v>
      </c>
      <c r="F136" s="103"/>
      <c r="G136" s="103"/>
      <c r="H136" s="103"/>
      <c r="I136" s="103"/>
      <c r="J136" s="103"/>
      <c r="K136" s="103"/>
      <c r="L136" s="103"/>
      <c r="M136" s="103"/>
      <c r="N136" s="103"/>
      <c r="O136" s="163">
        <f t="shared" si="14"/>
        <v>669.5</v>
      </c>
    </row>
    <row r="137" spans="1:15" outlineLevel="1" x14ac:dyDescent="0.25">
      <c r="A137" s="171"/>
      <c r="B137" s="103"/>
      <c r="C137" s="103">
        <v>0</v>
      </c>
      <c r="D137" s="103">
        <v>0</v>
      </c>
      <c r="E137" s="103">
        <v>0</v>
      </c>
      <c r="F137" s="103"/>
      <c r="G137" s="103"/>
      <c r="H137" s="103"/>
      <c r="I137" s="103"/>
      <c r="J137" s="103"/>
      <c r="K137" s="103"/>
      <c r="L137" s="103"/>
      <c r="M137" s="103"/>
      <c r="N137" s="103"/>
      <c r="O137" s="163">
        <f t="shared" si="14"/>
        <v>0</v>
      </c>
    </row>
    <row r="138" spans="1:15" outlineLevel="1" x14ac:dyDescent="0.25">
      <c r="A138" s="171"/>
      <c r="B138" s="103"/>
      <c r="C138" s="103">
        <v>0</v>
      </c>
      <c r="D138" s="103">
        <v>0</v>
      </c>
      <c r="E138" s="103">
        <v>0</v>
      </c>
      <c r="F138" s="103"/>
      <c r="G138" s="103"/>
      <c r="H138" s="103"/>
      <c r="I138" s="103"/>
      <c r="J138" s="103"/>
      <c r="K138" s="103"/>
      <c r="L138" s="103"/>
      <c r="M138" s="103"/>
      <c r="N138" s="103"/>
      <c r="O138" s="163">
        <f t="shared" si="14"/>
        <v>0</v>
      </c>
    </row>
    <row r="139" spans="1:15" s="159" customFormat="1" ht="15.75" x14ac:dyDescent="0.25">
      <c r="A139" s="177" t="s">
        <v>75</v>
      </c>
      <c r="B139" s="158">
        <f>SUM(B140:B171)</f>
        <v>0</v>
      </c>
      <c r="C139" s="158">
        <v>3337.6</v>
      </c>
      <c r="D139" s="158">
        <v>1102.3600000000001</v>
      </c>
      <c r="E139" s="158">
        <v>4204.28</v>
      </c>
      <c r="F139" s="158">
        <f t="shared" ref="F139:O139" si="15">SUM(F140:F171)</f>
        <v>0</v>
      </c>
      <c r="G139" s="158">
        <f t="shared" si="15"/>
        <v>0</v>
      </c>
      <c r="H139" s="158">
        <f t="shared" si="15"/>
        <v>0</v>
      </c>
      <c r="I139" s="158">
        <f t="shared" si="15"/>
        <v>0</v>
      </c>
      <c r="J139" s="158">
        <f t="shared" si="15"/>
        <v>0</v>
      </c>
      <c r="K139" s="158">
        <f t="shared" si="15"/>
        <v>0</v>
      </c>
      <c r="L139" s="158">
        <f t="shared" si="15"/>
        <v>0</v>
      </c>
      <c r="M139" s="158">
        <f t="shared" si="15"/>
        <v>0</v>
      </c>
      <c r="N139" s="158">
        <f t="shared" si="15"/>
        <v>0</v>
      </c>
      <c r="O139" s="178">
        <f t="shared" si="15"/>
        <v>8644.24</v>
      </c>
    </row>
    <row r="140" spans="1:15" outlineLevel="2" x14ac:dyDescent="0.25">
      <c r="A140" s="171" t="s">
        <v>235</v>
      </c>
      <c r="B140" s="103"/>
      <c r="C140" s="103">
        <v>0</v>
      </c>
      <c r="D140" s="103">
        <v>0</v>
      </c>
      <c r="E140" s="103">
        <v>0</v>
      </c>
      <c r="F140" s="103"/>
      <c r="G140" s="103"/>
      <c r="H140" s="103"/>
      <c r="I140" s="103"/>
      <c r="J140" s="103"/>
      <c r="K140" s="103"/>
      <c r="L140" s="103"/>
      <c r="M140" s="103"/>
      <c r="N140" s="103"/>
      <c r="O140" s="163">
        <f t="shared" si="14"/>
        <v>0</v>
      </c>
    </row>
    <row r="141" spans="1:15" outlineLevel="2" x14ac:dyDescent="0.25">
      <c r="A141" s="171" t="s">
        <v>236</v>
      </c>
      <c r="B141" s="103"/>
      <c r="C141" s="103">
        <v>0</v>
      </c>
      <c r="D141" s="103">
        <v>0</v>
      </c>
      <c r="E141" s="103">
        <v>0</v>
      </c>
      <c r="F141" s="103"/>
      <c r="G141" s="103"/>
      <c r="H141" s="103"/>
      <c r="I141" s="103"/>
      <c r="J141" s="103"/>
      <c r="K141" s="103"/>
      <c r="L141" s="103"/>
      <c r="M141" s="103"/>
      <c r="N141" s="103"/>
      <c r="O141" s="163">
        <f t="shared" si="14"/>
        <v>0</v>
      </c>
    </row>
    <row r="142" spans="1:15" outlineLevel="2" x14ac:dyDescent="0.25">
      <c r="A142" s="171" t="s">
        <v>237</v>
      </c>
      <c r="B142" s="103"/>
      <c r="C142" s="103">
        <v>0</v>
      </c>
      <c r="D142" s="103">
        <v>0</v>
      </c>
      <c r="E142" s="103">
        <v>0</v>
      </c>
      <c r="F142" s="103"/>
      <c r="G142" s="103"/>
      <c r="H142" s="103"/>
      <c r="I142" s="103"/>
      <c r="J142" s="103"/>
      <c r="K142" s="103"/>
      <c r="L142" s="103"/>
      <c r="M142" s="103"/>
      <c r="N142" s="103"/>
      <c r="O142" s="163">
        <f t="shared" si="14"/>
        <v>0</v>
      </c>
    </row>
    <row r="143" spans="1:15" outlineLevel="2" x14ac:dyDescent="0.25">
      <c r="A143" s="171" t="s">
        <v>238</v>
      </c>
      <c r="B143" s="103"/>
      <c r="C143" s="103">
        <v>0</v>
      </c>
      <c r="D143" s="103">
        <v>0</v>
      </c>
      <c r="E143" s="103">
        <v>0</v>
      </c>
      <c r="F143" s="103"/>
      <c r="G143" s="103"/>
      <c r="H143" s="103"/>
      <c r="I143" s="103"/>
      <c r="J143" s="103"/>
      <c r="K143" s="103"/>
      <c r="L143" s="103"/>
      <c r="M143" s="103"/>
      <c r="N143" s="103"/>
      <c r="O143" s="163">
        <f t="shared" si="14"/>
        <v>0</v>
      </c>
    </row>
    <row r="144" spans="1:15" outlineLevel="2" x14ac:dyDescent="0.25">
      <c r="A144" s="171" t="s">
        <v>239</v>
      </c>
      <c r="B144" s="103"/>
      <c r="C144" s="103">
        <v>0</v>
      </c>
      <c r="D144" s="103">
        <v>0</v>
      </c>
      <c r="E144" s="103">
        <v>0</v>
      </c>
      <c r="F144" s="103"/>
      <c r="G144" s="103"/>
      <c r="H144" s="103"/>
      <c r="I144" s="103"/>
      <c r="J144" s="103"/>
      <c r="K144" s="103"/>
      <c r="L144" s="103"/>
      <c r="M144" s="103"/>
      <c r="N144" s="103"/>
      <c r="O144" s="163">
        <f t="shared" si="14"/>
        <v>0</v>
      </c>
    </row>
    <row r="145" spans="1:15" outlineLevel="2" x14ac:dyDescent="0.25">
      <c r="A145" s="171" t="s">
        <v>240</v>
      </c>
      <c r="B145" s="103"/>
      <c r="C145" s="103">
        <v>0</v>
      </c>
      <c r="D145" s="103">
        <v>32.97</v>
      </c>
      <c r="E145" s="103">
        <v>27.92</v>
      </c>
      <c r="F145" s="103"/>
      <c r="G145" s="103"/>
      <c r="H145" s="103"/>
      <c r="I145" s="103"/>
      <c r="J145" s="103"/>
      <c r="K145" s="103"/>
      <c r="L145" s="103"/>
      <c r="M145" s="103"/>
      <c r="N145" s="103"/>
      <c r="O145" s="163">
        <f t="shared" si="14"/>
        <v>60.89</v>
      </c>
    </row>
    <row r="146" spans="1:15" outlineLevel="2" x14ac:dyDescent="0.25">
      <c r="A146" s="171" t="s">
        <v>241</v>
      </c>
      <c r="B146" s="103"/>
      <c r="C146" s="103">
        <v>0</v>
      </c>
      <c r="D146" s="103">
        <v>0</v>
      </c>
      <c r="E146" s="103">
        <v>0</v>
      </c>
      <c r="F146" s="103"/>
      <c r="G146" s="103"/>
      <c r="H146" s="103"/>
      <c r="I146" s="103"/>
      <c r="J146" s="103"/>
      <c r="K146" s="103"/>
      <c r="L146" s="103"/>
      <c r="M146" s="103"/>
      <c r="N146" s="103"/>
      <c r="O146" s="163">
        <f t="shared" si="14"/>
        <v>0</v>
      </c>
    </row>
    <row r="147" spans="1:15" outlineLevel="2" x14ac:dyDescent="0.25">
      <c r="A147" s="171" t="s">
        <v>242</v>
      </c>
      <c r="B147" s="103"/>
      <c r="C147" s="103">
        <v>0</v>
      </c>
      <c r="D147" s="103">
        <v>0</v>
      </c>
      <c r="E147" s="103">
        <v>0</v>
      </c>
      <c r="F147" s="103"/>
      <c r="G147" s="103"/>
      <c r="H147" s="103"/>
      <c r="I147" s="103"/>
      <c r="J147" s="103"/>
      <c r="K147" s="103"/>
      <c r="L147" s="103"/>
      <c r="M147" s="103"/>
      <c r="N147" s="103"/>
      <c r="O147" s="163">
        <f t="shared" si="14"/>
        <v>0</v>
      </c>
    </row>
    <row r="148" spans="1:15" outlineLevel="2" x14ac:dyDescent="0.25">
      <c r="A148" s="171" t="s">
        <v>243</v>
      </c>
      <c r="B148" s="103"/>
      <c r="C148" s="103">
        <v>0</v>
      </c>
      <c r="D148" s="103">
        <v>0</v>
      </c>
      <c r="E148" s="103">
        <v>0</v>
      </c>
      <c r="F148" s="103"/>
      <c r="G148" s="103"/>
      <c r="H148" s="103"/>
      <c r="I148" s="103"/>
      <c r="J148" s="103"/>
      <c r="K148" s="103"/>
      <c r="L148" s="103"/>
      <c r="M148" s="103"/>
      <c r="N148" s="103"/>
      <c r="O148" s="163">
        <f t="shared" si="14"/>
        <v>0</v>
      </c>
    </row>
    <row r="149" spans="1:15" outlineLevel="2" x14ac:dyDescent="0.25">
      <c r="A149" s="171" t="s">
        <v>244</v>
      </c>
      <c r="B149" s="103"/>
      <c r="C149" s="103">
        <v>0</v>
      </c>
      <c r="D149" s="103">
        <v>0</v>
      </c>
      <c r="E149" s="103">
        <v>348.81</v>
      </c>
      <c r="F149" s="103"/>
      <c r="G149" s="103"/>
      <c r="H149" s="103"/>
      <c r="I149" s="103"/>
      <c r="J149" s="103"/>
      <c r="K149" s="103"/>
      <c r="L149" s="103"/>
      <c r="M149" s="103"/>
      <c r="N149" s="103"/>
      <c r="O149" s="163">
        <f t="shared" si="14"/>
        <v>348.81</v>
      </c>
    </row>
    <row r="150" spans="1:15" outlineLevel="2" x14ac:dyDescent="0.25">
      <c r="A150" s="171" t="s">
        <v>245</v>
      </c>
      <c r="B150" s="103"/>
      <c r="C150" s="103">
        <v>0</v>
      </c>
      <c r="D150" s="103">
        <v>0</v>
      </c>
      <c r="E150" s="103">
        <v>0</v>
      </c>
      <c r="F150" s="103"/>
      <c r="G150" s="103"/>
      <c r="H150" s="103"/>
      <c r="I150" s="103"/>
      <c r="J150" s="103"/>
      <c r="K150" s="103"/>
      <c r="L150" s="103"/>
      <c r="M150" s="103"/>
      <c r="N150" s="103"/>
      <c r="O150" s="163">
        <f t="shared" si="14"/>
        <v>0</v>
      </c>
    </row>
    <row r="151" spans="1:15" outlineLevel="2" x14ac:dyDescent="0.25">
      <c r="A151" s="171" t="s">
        <v>246</v>
      </c>
      <c r="B151" s="103"/>
      <c r="C151" s="103">
        <v>0</v>
      </c>
      <c r="D151" s="103">
        <v>0</v>
      </c>
      <c r="E151" s="103">
        <v>0</v>
      </c>
      <c r="F151" s="103"/>
      <c r="G151" s="103"/>
      <c r="H151" s="103"/>
      <c r="I151" s="103"/>
      <c r="J151" s="103"/>
      <c r="K151" s="103"/>
      <c r="L151" s="103"/>
      <c r="M151" s="103"/>
      <c r="N151" s="103"/>
      <c r="O151" s="163">
        <f t="shared" si="14"/>
        <v>0</v>
      </c>
    </row>
    <row r="152" spans="1:15" outlineLevel="2" x14ac:dyDescent="0.25">
      <c r="A152" s="171" t="s">
        <v>247</v>
      </c>
      <c r="B152" s="103"/>
      <c r="C152" s="103">
        <v>0</v>
      </c>
      <c r="D152" s="103">
        <v>0</v>
      </c>
      <c r="E152" s="103">
        <v>0</v>
      </c>
      <c r="F152" s="103"/>
      <c r="G152" s="103"/>
      <c r="H152" s="103"/>
      <c r="I152" s="103"/>
      <c r="J152" s="103"/>
      <c r="K152" s="103"/>
      <c r="L152" s="103"/>
      <c r="M152" s="103"/>
      <c r="N152" s="103"/>
      <c r="O152" s="163">
        <f t="shared" si="14"/>
        <v>0</v>
      </c>
    </row>
    <row r="153" spans="1:15" outlineLevel="2" x14ac:dyDescent="0.25">
      <c r="A153" s="171" t="s">
        <v>248</v>
      </c>
      <c r="B153" s="103"/>
      <c r="C153" s="103">
        <v>0</v>
      </c>
      <c r="D153" s="103">
        <v>0</v>
      </c>
      <c r="E153" s="103">
        <v>0</v>
      </c>
      <c r="F153" s="103"/>
      <c r="G153" s="103"/>
      <c r="H153" s="103"/>
      <c r="I153" s="103"/>
      <c r="J153" s="103"/>
      <c r="K153" s="103"/>
      <c r="L153" s="103"/>
      <c r="M153" s="103"/>
      <c r="N153" s="103"/>
      <c r="O153" s="163">
        <f t="shared" si="14"/>
        <v>0</v>
      </c>
    </row>
    <row r="154" spans="1:15" outlineLevel="2" x14ac:dyDescent="0.25">
      <c r="A154" s="171" t="s">
        <v>249</v>
      </c>
      <c r="B154" s="103"/>
      <c r="C154" s="103">
        <v>834.62</v>
      </c>
      <c r="D154" s="103">
        <v>1069.3900000000001</v>
      </c>
      <c r="E154" s="103">
        <v>2121.96</v>
      </c>
      <c r="F154" s="103"/>
      <c r="G154" s="103"/>
      <c r="H154" s="103"/>
      <c r="I154" s="103"/>
      <c r="J154" s="103"/>
      <c r="K154" s="103"/>
      <c r="L154" s="103"/>
      <c r="M154" s="103"/>
      <c r="N154" s="103"/>
      <c r="O154" s="163">
        <f t="shared" si="14"/>
        <v>4025.9700000000003</v>
      </c>
    </row>
    <row r="155" spans="1:15" outlineLevel="2" x14ac:dyDescent="0.25">
      <c r="A155" s="171" t="s">
        <v>250</v>
      </c>
      <c r="B155" s="103"/>
      <c r="C155" s="103">
        <v>0</v>
      </c>
      <c r="D155" s="103">
        <v>0</v>
      </c>
      <c r="E155" s="103">
        <v>0</v>
      </c>
      <c r="F155" s="103"/>
      <c r="G155" s="103"/>
      <c r="H155" s="103"/>
      <c r="I155" s="103"/>
      <c r="J155" s="103"/>
      <c r="K155" s="103"/>
      <c r="L155" s="103"/>
      <c r="M155" s="103"/>
      <c r="N155" s="103"/>
      <c r="O155" s="163">
        <f t="shared" si="14"/>
        <v>0</v>
      </c>
    </row>
    <row r="156" spans="1:15" outlineLevel="2" x14ac:dyDescent="0.25">
      <c r="A156" s="171" t="s">
        <v>251</v>
      </c>
      <c r="B156" s="103"/>
      <c r="C156" s="103">
        <v>2502.98</v>
      </c>
      <c r="D156" s="103">
        <v>0</v>
      </c>
      <c r="E156" s="103">
        <v>1705.59</v>
      </c>
      <c r="F156" s="103"/>
      <c r="G156" s="103"/>
      <c r="H156" s="103"/>
      <c r="I156" s="103"/>
      <c r="J156" s="103"/>
      <c r="K156" s="103"/>
      <c r="L156" s="103"/>
      <c r="M156" s="103"/>
      <c r="N156" s="103"/>
      <c r="O156" s="163">
        <f t="shared" si="14"/>
        <v>4208.57</v>
      </c>
    </row>
    <row r="157" spans="1:15" outlineLevel="2" x14ac:dyDescent="0.25">
      <c r="A157" s="171" t="s">
        <v>252</v>
      </c>
      <c r="B157" s="103"/>
      <c r="C157" s="103">
        <v>0</v>
      </c>
      <c r="D157" s="103">
        <v>0</v>
      </c>
      <c r="E157" s="103">
        <v>0</v>
      </c>
      <c r="F157" s="103"/>
      <c r="G157" s="103"/>
      <c r="H157" s="103"/>
      <c r="I157" s="103"/>
      <c r="J157" s="103"/>
      <c r="K157" s="103"/>
      <c r="L157" s="103"/>
      <c r="M157" s="103"/>
      <c r="N157" s="103"/>
      <c r="O157" s="163">
        <f t="shared" si="14"/>
        <v>0</v>
      </c>
    </row>
    <row r="158" spans="1:15" outlineLevel="2" x14ac:dyDescent="0.25">
      <c r="A158" s="171" t="s">
        <v>253</v>
      </c>
      <c r="B158" s="103"/>
      <c r="C158" s="103">
        <v>0</v>
      </c>
      <c r="D158" s="103">
        <v>0</v>
      </c>
      <c r="E158" s="103">
        <v>0</v>
      </c>
      <c r="F158" s="103"/>
      <c r="G158" s="103"/>
      <c r="H158" s="103"/>
      <c r="I158" s="103"/>
      <c r="J158" s="103"/>
      <c r="K158" s="103"/>
      <c r="L158" s="103"/>
      <c r="M158" s="103"/>
      <c r="N158" s="103"/>
      <c r="O158" s="163">
        <f t="shared" si="14"/>
        <v>0</v>
      </c>
    </row>
    <row r="159" spans="1:15" outlineLevel="2" x14ac:dyDescent="0.25">
      <c r="A159" s="171" t="s">
        <v>80</v>
      </c>
      <c r="B159" s="103"/>
      <c r="C159" s="103">
        <v>0</v>
      </c>
      <c r="D159" s="103">
        <v>0</v>
      </c>
      <c r="E159" s="103">
        <v>0</v>
      </c>
      <c r="F159" s="103"/>
      <c r="G159" s="103"/>
      <c r="H159" s="103"/>
      <c r="I159" s="103"/>
      <c r="J159" s="103"/>
      <c r="K159" s="103"/>
      <c r="L159" s="103"/>
      <c r="M159" s="103"/>
      <c r="N159" s="103"/>
      <c r="O159" s="163">
        <f t="shared" si="14"/>
        <v>0</v>
      </c>
    </row>
    <row r="160" spans="1:15" outlineLevel="2" x14ac:dyDescent="0.25">
      <c r="A160" s="171" t="s">
        <v>254</v>
      </c>
      <c r="B160" s="103"/>
      <c r="C160" s="103">
        <v>0</v>
      </c>
      <c r="D160" s="103">
        <v>0</v>
      </c>
      <c r="E160" s="103">
        <v>0</v>
      </c>
      <c r="F160" s="103"/>
      <c r="G160" s="103"/>
      <c r="H160" s="103"/>
      <c r="I160" s="103"/>
      <c r="J160" s="103"/>
      <c r="K160" s="103"/>
      <c r="L160" s="103"/>
      <c r="M160" s="103"/>
      <c r="N160" s="103"/>
      <c r="O160" s="163">
        <f t="shared" si="14"/>
        <v>0</v>
      </c>
    </row>
    <row r="161" spans="1:15" outlineLevel="2" x14ac:dyDescent="0.25">
      <c r="A161" s="171" t="s">
        <v>255</v>
      </c>
      <c r="B161" s="103"/>
      <c r="C161" s="103">
        <v>0</v>
      </c>
      <c r="D161" s="103">
        <v>0</v>
      </c>
      <c r="E161" s="103">
        <v>0</v>
      </c>
      <c r="F161" s="103"/>
      <c r="G161" s="103"/>
      <c r="H161" s="103"/>
      <c r="I161" s="103"/>
      <c r="J161" s="103"/>
      <c r="K161" s="103"/>
      <c r="L161" s="103"/>
      <c r="M161" s="103"/>
      <c r="N161" s="103"/>
      <c r="O161" s="163">
        <f t="shared" si="14"/>
        <v>0</v>
      </c>
    </row>
    <row r="162" spans="1:15" outlineLevel="2" x14ac:dyDescent="0.25">
      <c r="A162" s="171" t="s">
        <v>256</v>
      </c>
      <c r="B162" s="103"/>
      <c r="C162" s="103">
        <v>0</v>
      </c>
      <c r="D162" s="103">
        <v>0</v>
      </c>
      <c r="E162" s="103">
        <v>0</v>
      </c>
      <c r="F162" s="103"/>
      <c r="G162" s="103"/>
      <c r="H162" s="103"/>
      <c r="I162" s="103"/>
      <c r="J162" s="103"/>
      <c r="K162" s="103"/>
      <c r="L162" s="103"/>
      <c r="M162" s="103"/>
      <c r="N162" s="103"/>
      <c r="O162" s="163">
        <f t="shared" si="14"/>
        <v>0</v>
      </c>
    </row>
    <row r="163" spans="1:15" outlineLevel="2" x14ac:dyDescent="0.25">
      <c r="A163" s="171" t="s">
        <v>257</v>
      </c>
      <c r="B163" s="103"/>
      <c r="C163" s="103">
        <v>0</v>
      </c>
      <c r="D163" s="103">
        <v>0</v>
      </c>
      <c r="E163" s="103">
        <v>0</v>
      </c>
      <c r="F163" s="103"/>
      <c r="G163" s="103"/>
      <c r="H163" s="103"/>
      <c r="I163" s="103"/>
      <c r="J163" s="103"/>
      <c r="K163" s="103"/>
      <c r="L163" s="103"/>
      <c r="M163" s="103"/>
      <c r="N163" s="103"/>
      <c r="O163" s="163">
        <f t="shared" si="14"/>
        <v>0</v>
      </c>
    </row>
    <row r="164" spans="1:15" outlineLevel="2" x14ac:dyDescent="0.25">
      <c r="A164" s="171" t="s">
        <v>258</v>
      </c>
      <c r="B164" s="103"/>
      <c r="C164" s="103">
        <v>0</v>
      </c>
      <c r="D164" s="103">
        <v>0</v>
      </c>
      <c r="E164" s="103">
        <v>0</v>
      </c>
      <c r="F164" s="103"/>
      <c r="G164" s="103"/>
      <c r="H164" s="103"/>
      <c r="I164" s="103"/>
      <c r="J164" s="103"/>
      <c r="K164" s="103"/>
      <c r="L164" s="103"/>
      <c r="M164" s="103"/>
      <c r="N164" s="103"/>
      <c r="O164" s="163">
        <f t="shared" si="14"/>
        <v>0</v>
      </c>
    </row>
    <row r="165" spans="1:15" outlineLevel="2" x14ac:dyDescent="0.25">
      <c r="A165" s="171" t="s">
        <v>259</v>
      </c>
      <c r="B165" s="103"/>
      <c r="C165" s="103">
        <v>0</v>
      </c>
      <c r="D165" s="103">
        <v>0</v>
      </c>
      <c r="E165" s="103">
        <v>0</v>
      </c>
      <c r="F165" s="103"/>
      <c r="G165" s="103"/>
      <c r="H165" s="103"/>
      <c r="I165" s="103"/>
      <c r="J165" s="103"/>
      <c r="K165" s="103"/>
      <c r="L165" s="103"/>
      <c r="M165" s="103"/>
      <c r="N165" s="103"/>
      <c r="O165" s="163">
        <f t="shared" si="14"/>
        <v>0</v>
      </c>
    </row>
    <row r="166" spans="1:15" outlineLevel="2" x14ac:dyDescent="0.25">
      <c r="A166" s="171" t="s">
        <v>260</v>
      </c>
      <c r="B166" s="103"/>
      <c r="C166" s="103">
        <v>0</v>
      </c>
      <c r="D166" s="103">
        <v>0</v>
      </c>
      <c r="E166" s="103">
        <v>0</v>
      </c>
      <c r="F166" s="103"/>
      <c r="G166" s="103"/>
      <c r="H166" s="103"/>
      <c r="I166" s="103"/>
      <c r="J166" s="103"/>
      <c r="K166" s="103"/>
      <c r="L166" s="103"/>
      <c r="M166" s="103"/>
      <c r="N166" s="103"/>
      <c r="O166" s="163">
        <f t="shared" si="14"/>
        <v>0</v>
      </c>
    </row>
    <row r="167" spans="1:15" outlineLevel="2" x14ac:dyDescent="0.25">
      <c r="A167" s="171" t="s">
        <v>261</v>
      </c>
      <c r="B167" s="103"/>
      <c r="C167" s="103">
        <v>0</v>
      </c>
      <c r="D167" s="103">
        <v>0</v>
      </c>
      <c r="E167" s="103">
        <v>0</v>
      </c>
      <c r="F167" s="103"/>
      <c r="G167" s="103"/>
      <c r="H167" s="103"/>
      <c r="I167" s="103"/>
      <c r="J167" s="103"/>
      <c r="K167" s="103"/>
      <c r="L167" s="103"/>
      <c r="M167" s="103"/>
      <c r="N167" s="103"/>
      <c r="O167" s="163">
        <f t="shared" si="14"/>
        <v>0</v>
      </c>
    </row>
    <row r="168" spans="1:15" outlineLevel="2" x14ac:dyDescent="0.25">
      <c r="A168" s="171" t="s">
        <v>262</v>
      </c>
      <c r="B168" s="103"/>
      <c r="C168" s="103">
        <v>0</v>
      </c>
      <c r="D168" s="103">
        <v>0</v>
      </c>
      <c r="E168" s="103">
        <v>0</v>
      </c>
      <c r="F168" s="103"/>
      <c r="G168" s="103"/>
      <c r="H168" s="103"/>
      <c r="I168" s="103"/>
      <c r="J168" s="103"/>
      <c r="K168" s="103"/>
      <c r="L168" s="103"/>
      <c r="M168" s="103"/>
      <c r="N168" s="103"/>
      <c r="O168" s="163">
        <f t="shared" si="14"/>
        <v>0</v>
      </c>
    </row>
    <row r="169" spans="1:15" outlineLevel="2" x14ac:dyDescent="0.25">
      <c r="A169" s="171" t="s">
        <v>263</v>
      </c>
      <c r="B169" s="103"/>
      <c r="C169" s="103">
        <v>0</v>
      </c>
      <c r="D169" s="103">
        <v>0</v>
      </c>
      <c r="E169" s="103">
        <v>0</v>
      </c>
      <c r="F169" s="103"/>
      <c r="G169" s="103"/>
      <c r="H169" s="103"/>
      <c r="I169" s="103"/>
      <c r="J169" s="103"/>
      <c r="K169" s="103"/>
      <c r="L169" s="103"/>
      <c r="M169" s="103"/>
      <c r="N169" s="103"/>
      <c r="O169" s="163">
        <f t="shared" si="14"/>
        <v>0</v>
      </c>
    </row>
    <row r="170" spans="1:15" outlineLevel="2" x14ac:dyDescent="0.25">
      <c r="A170" s="171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63">
        <f t="shared" si="14"/>
        <v>0</v>
      </c>
    </row>
    <row r="171" spans="1:15" outlineLevel="2" x14ac:dyDescent="0.25">
      <c r="A171" s="171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63">
        <f t="shared" si="14"/>
        <v>0</v>
      </c>
    </row>
    <row r="172" spans="1:15" s="159" customFormat="1" ht="15.75" x14ac:dyDescent="0.25">
      <c r="A172" s="177" t="s">
        <v>82</v>
      </c>
      <c r="B172" s="158">
        <f>SUM(B173:B187)</f>
        <v>0</v>
      </c>
      <c r="C172" s="158">
        <v>212.95999999999998</v>
      </c>
      <c r="D172" s="158">
        <v>64.66</v>
      </c>
      <c r="E172" s="158">
        <v>106.16</v>
      </c>
      <c r="F172" s="158">
        <f t="shared" ref="F172:O172" si="16">SUM(F173:F187)</f>
        <v>0</v>
      </c>
      <c r="G172" s="158">
        <f t="shared" si="16"/>
        <v>0</v>
      </c>
      <c r="H172" s="158">
        <f t="shared" si="16"/>
        <v>0</v>
      </c>
      <c r="I172" s="158">
        <f t="shared" si="16"/>
        <v>0</v>
      </c>
      <c r="J172" s="158">
        <f t="shared" si="16"/>
        <v>0</v>
      </c>
      <c r="K172" s="158">
        <f t="shared" si="16"/>
        <v>0</v>
      </c>
      <c r="L172" s="158">
        <f t="shared" si="16"/>
        <v>0</v>
      </c>
      <c r="M172" s="158">
        <f t="shared" si="16"/>
        <v>0</v>
      </c>
      <c r="N172" s="158">
        <f t="shared" si="16"/>
        <v>0</v>
      </c>
      <c r="O172" s="178">
        <f t="shared" si="16"/>
        <v>383.78</v>
      </c>
    </row>
    <row r="173" spans="1:15" outlineLevel="1" x14ac:dyDescent="0.25">
      <c r="A173" s="171" t="s">
        <v>83</v>
      </c>
      <c r="B173" s="103"/>
      <c r="C173" s="103">
        <v>0</v>
      </c>
      <c r="D173" s="103">
        <v>0</v>
      </c>
      <c r="E173" s="103">
        <v>0</v>
      </c>
      <c r="F173" s="103"/>
      <c r="G173" s="103"/>
      <c r="H173" s="103"/>
      <c r="I173" s="103"/>
      <c r="J173" s="103"/>
      <c r="K173" s="103"/>
      <c r="L173" s="103"/>
      <c r="M173" s="103"/>
      <c r="N173" s="103"/>
      <c r="O173" s="163">
        <f t="shared" si="14"/>
        <v>0</v>
      </c>
    </row>
    <row r="174" spans="1:15" outlineLevel="1" x14ac:dyDescent="0.25">
      <c r="A174" s="171" t="s">
        <v>84</v>
      </c>
      <c r="B174" s="103"/>
      <c r="C174" s="103">
        <v>129.32</v>
      </c>
      <c r="D174" s="103">
        <v>64.66</v>
      </c>
      <c r="E174" s="103">
        <v>0</v>
      </c>
      <c r="F174" s="103"/>
      <c r="G174" s="103"/>
      <c r="H174" s="103"/>
      <c r="I174" s="103"/>
      <c r="J174" s="103"/>
      <c r="K174" s="103"/>
      <c r="L174" s="103"/>
      <c r="M174" s="103"/>
      <c r="N174" s="103"/>
      <c r="O174" s="163">
        <f t="shared" si="14"/>
        <v>193.98</v>
      </c>
    </row>
    <row r="175" spans="1:15" outlineLevel="1" x14ac:dyDescent="0.25">
      <c r="A175" s="171" t="s">
        <v>265</v>
      </c>
      <c r="B175" s="103"/>
      <c r="C175" s="103">
        <v>83.64</v>
      </c>
      <c r="D175" s="103">
        <v>0</v>
      </c>
      <c r="E175" s="103">
        <v>106.16</v>
      </c>
      <c r="F175" s="103"/>
      <c r="G175" s="103"/>
      <c r="H175" s="103"/>
      <c r="I175" s="103"/>
      <c r="J175" s="103"/>
      <c r="K175" s="103"/>
      <c r="L175" s="103"/>
      <c r="M175" s="103"/>
      <c r="N175" s="103"/>
      <c r="O175" s="163">
        <f t="shared" si="14"/>
        <v>189.8</v>
      </c>
    </row>
    <row r="176" spans="1:15" outlineLevel="1" x14ac:dyDescent="0.25">
      <c r="A176" s="171" t="s">
        <v>266</v>
      </c>
      <c r="B176" s="103"/>
      <c r="C176" s="103">
        <v>0</v>
      </c>
      <c r="D176" s="103">
        <v>0</v>
      </c>
      <c r="E176" s="103">
        <v>0</v>
      </c>
      <c r="F176" s="103"/>
      <c r="G176" s="103"/>
      <c r="H176" s="103"/>
      <c r="I176" s="103"/>
      <c r="J176" s="103"/>
      <c r="K176" s="103"/>
      <c r="L176" s="103"/>
      <c r="M176" s="103"/>
      <c r="N176" s="103"/>
      <c r="O176" s="163">
        <f t="shared" si="14"/>
        <v>0</v>
      </c>
    </row>
    <row r="177" spans="1:15" outlineLevel="1" x14ac:dyDescent="0.25">
      <c r="A177" s="171" t="s">
        <v>267</v>
      </c>
      <c r="B177" s="103"/>
      <c r="C177" s="103">
        <v>0</v>
      </c>
      <c r="D177" s="103">
        <v>0</v>
      </c>
      <c r="E177" s="103">
        <v>0</v>
      </c>
      <c r="F177" s="103"/>
      <c r="G177" s="103"/>
      <c r="H177" s="103"/>
      <c r="I177" s="103"/>
      <c r="J177" s="103"/>
      <c r="K177" s="103"/>
      <c r="L177" s="103"/>
      <c r="M177" s="103"/>
      <c r="N177" s="103"/>
      <c r="O177" s="163">
        <f t="shared" si="14"/>
        <v>0</v>
      </c>
    </row>
    <row r="178" spans="1:15" outlineLevel="1" x14ac:dyDescent="0.25">
      <c r="A178" s="171" t="s">
        <v>268</v>
      </c>
      <c r="B178" s="103"/>
      <c r="C178" s="103">
        <v>0</v>
      </c>
      <c r="D178" s="103">
        <v>0</v>
      </c>
      <c r="E178" s="103">
        <v>0</v>
      </c>
      <c r="F178" s="103"/>
      <c r="G178" s="103"/>
      <c r="H178" s="103"/>
      <c r="I178" s="103"/>
      <c r="J178" s="103"/>
      <c r="K178" s="103"/>
      <c r="L178" s="103"/>
      <c r="M178" s="103"/>
      <c r="N178" s="103"/>
      <c r="O178" s="163">
        <f t="shared" si="14"/>
        <v>0</v>
      </c>
    </row>
    <row r="179" spans="1:15" outlineLevel="1" x14ac:dyDescent="0.25">
      <c r="A179" s="171" t="s">
        <v>269</v>
      </c>
      <c r="B179" s="103"/>
      <c r="C179" s="103">
        <v>0</v>
      </c>
      <c r="D179" s="103">
        <v>0</v>
      </c>
      <c r="E179" s="103">
        <v>0</v>
      </c>
      <c r="F179" s="103"/>
      <c r="G179" s="103"/>
      <c r="H179" s="103"/>
      <c r="I179" s="103"/>
      <c r="J179" s="103"/>
      <c r="K179" s="103"/>
      <c r="L179" s="103"/>
      <c r="M179" s="103"/>
      <c r="N179" s="103"/>
      <c r="O179" s="163">
        <f t="shared" si="14"/>
        <v>0</v>
      </c>
    </row>
    <row r="180" spans="1:15" outlineLevel="1" x14ac:dyDescent="0.25">
      <c r="A180" s="171" t="s">
        <v>270</v>
      </c>
      <c r="B180" s="103"/>
      <c r="C180" s="103">
        <v>0</v>
      </c>
      <c r="D180" s="103">
        <v>0</v>
      </c>
      <c r="E180" s="103">
        <v>0</v>
      </c>
      <c r="F180" s="103"/>
      <c r="G180" s="103"/>
      <c r="H180" s="103"/>
      <c r="I180" s="103"/>
      <c r="J180" s="103"/>
      <c r="K180" s="103"/>
      <c r="L180" s="103"/>
      <c r="M180" s="103"/>
      <c r="N180" s="103"/>
      <c r="O180" s="163">
        <f t="shared" si="14"/>
        <v>0</v>
      </c>
    </row>
    <row r="181" spans="1:15" outlineLevel="1" x14ac:dyDescent="0.25">
      <c r="A181" s="171" t="s">
        <v>271</v>
      </c>
      <c r="B181" s="103"/>
      <c r="C181" s="103">
        <v>0</v>
      </c>
      <c r="D181" s="103">
        <v>0</v>
      </c>
      <c r="E181" s="103">
        <v>0</v>
      </c>
      <c r="F181" s="103"/>
      <c r="G181" s="103"/>
      <c r="H181" s="103"/>
      <c r="I181" s="103"/>
      <c r="J181" s="103"/>
      <c r="K181" s="103"/>
      <c r="L181" s="103"/>
      <c r="M181" s="103"/>
      <c r="N181" s="103"/>
      <c r="O181" s="163">
        <f t="shared" si="14"/>
        <v>0</v>
      </c>
    </row>
    <row r="182" spans="1:15" outlineLevel="1" x14ac:dyDescent="0.25">
      <c r="A182" s="171" t="s">
        <v>87</v>
      </c>
      <c r="B182" s="103"/>
      <c r="C182" s="103">
        <v>0</v>
      </c>
      <c r="D182" s="103">
        <v>0</v>
      </c>
      <c r="E182" s="103">
        <v>0</v>
      </c>
      <c r="F182" s="103"/>
      <c r="G182" s="103"/>
      <c r="H182" s="103"/>
      <c r="I182" s="103"/>
      <c r="J182" s="103"/>
      <c r="K182" s="103"/>
      <c r="L182" s="103"/>
      <c r="M182" s="103"/>
      <c r="N182" s="103"/>
      <c r="O182" s="163">
        <f t="shared" si="14"/>
        <v>0</v>
      </c>
    </row>
    <row r="183" spans="1:15" outlineLevel="1" x14ac:dyDescent="0.25">
      <c r="A183" s="171" t="s">
        <v>88</v>
      </c>
      <c r="B183" s="103"/>
      <c r="C183" s="103">
        <v>0</v>
      </c>
      <c r="D183" s="103">
        <v>0</v>
      </c>
      <c r="E183" s="103">
        <v>0</v>
      </c>
      <c r="F183" s="103"/>
      <c r="G183" s="103"/>
      <c r="H183" s="103"/>
      <c r="I183" s="103"/>
      <c r="J183" s="103"/>
      <c r="K183" s="103"/>
      <c r="L183" s="103"/>
      <c r="M183" s="103"/>
      <c r="N183" s="103"/>
      <c r="O183" s="163">
        <f t="shared" si="14"/>
        <v>0</v>
      </c>
    </row>
    <row r="184" spans="1:15" outlineLevel="1" x14ac:dyDescent="0.25">
      <c r="A184" s="171" t="s">
        <v>89</v>
      </c>
      <c r="B184" s="103"/>
      <c r="C184" s="103">
        <v>0</v>
      </c>
      <c r="D184" s="103">
        <v>0</v>
      </c>
      <c r="E184" s="103">
        <v>0</v>
      </c>
      <c r="F184" s="103"/>
      <c r="G184" s="103"/>
      <c r="H184" s="103"/>
      <c r="I184" s="103"/>
      <c r="J184" s="103"/>
      <c r="K184" s="103"/>
      <c r="L184" s="103"/>
      <c r="M184" s="103"/>
      <c r="N184" s="103"/>
      <c r="O184" s="163">
        <f t="shared" si="14"/>
        <v>0</v>
      </c>
    </row>
    <row r="185" spans="1:15" outlineLevel="1" x14ac:dyDescent="0.25">
      <c r="A185" s="171" t="s">
        <v>272</v>
      </c>
      <c r="B185" s="103"/>
      <c r="C185" s="103">
        <v>0</v>
      </c>
      <c r="D185" s="103">
        <v>0</v>
      </c>
      <c r="E185" s="103">
        <v>0</v>
      </c>
      <c r="F185" s="103"/>
      <c r="G185" s="103"/>
      <c r="H185" s="103"/>
      <c r="I185" s="103"/>
      <c r="J185" s="103"/>
      <c r="K185" s="103"/>
      <c r="L185" s="103"/>
      <c r="M185" s="103"/>
      <c r="N185" s="103"/>
      <c r="O185" s="163">
        <f t="shared" si="14"/>
        <v>0</v>
      </c>
    </row>
    <row r="186" spans="1:15" outlineLevel="1" x14ac:dyDescent="0.25">
      <c r="A186" s="171"/>
      <c r="B186" s="103"/>
      <c r="C186" s="103">
        <v>0</v>
      </c>
      <c r="D186" s="103">
        <v>0</v>
      </c>
      <c r="E186" s="103">
        <v>0</v>
      </c>
      <c r="F186" s="103"/>
      <c r="G186" s="103"/>
      <c r="H186" s="103"/>
      <c r="I186" s="103"/>
      <c r="J186" s="103"/>
      <c r="K186" s="103"/>
      <c r="L186" s="103"/>
      <c r="M186" s="103"/>
      <c r="N186" s="103"/>
      <c r="O186" s="163">
        <f t="shared" si="14"/>
        <v>0</v>
      </c>
    </row>
    <row r="187" spans="1:15" outlineLevel="1" x14ac:dyDescent="0.25">
      <c r="A187" s="171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63">
        <f t="shared" si="14"/>
        <v>0</v>
      </c>
    </row>
    <row r="188" spans="1:15" s="159" customFormat="1" ht="15.75" x14ac:dyDescent="0.25">
      <c r="A188" s="177" t="s">
        <v>35</v>
      </c>
      <c r="B188" s="158">
        <f>SUM(B189:B192)</f>
        <v>0</v>
      </c>
      <c r="C188" s="158">
        <v>0</v>
      </c>
      <c r="D188" s="158">
        <v>0</v>
      </c>
      <c r="E188" s="158">
        <v>0</v>
      </c>
      <c r="F188" s="158">
        <f t="shared" ref="F188:O188" si="17">SUM(F189:F192)</f>
        <v>0</v>
      </c>
      <c r="G188" s="158">
        <f t="shared" si="17"/>
        <v>0</v>
      </c>
      <c r="H188" s="158">
        <f t="shared" si="17"/>
        <v>0</v>
      </c>
      <c r="I188" s="158">
        <f t="shared" si="17"/>
        <v>0</v>
      </c>
      <c r="J188" s="158">
        <f t="shared" si="17"/>
        <v>0</v>
      </c>
      <c r="K188" s="158">
        <f t="shared" si="17"/>
        <v>0</v>
      </c>
      <c r="L188" s="158">
        <f t="shared" si="17"/>
        <v>0</v>
      </c>
      <c r="M188" s="158">
        <f t="shared" si="17"/>
        <v>0</v>
      </c>
      <c r="N188" s="158">
        <f t="shared" si="17"/>
        <v>0</v>
      </c>
      <c r="O188" s="178">
        <f t="shared" si="17"/>
        <v>0</v>
      </c>
    </row>
    <row r="189" spans="1:15" outlineLevel="1" x14ac:dyDescent="0.25">
      <c r="A189" s="171" t="s">
        <v>273</v>
      </c>
      <c r="B189" s="103"/>
      <c r="C189" s="103">
        <v>0</v>
      </c>
      <c r="D189" s="103">
        <v>0</v>
      </c>
      <c r="E189" s="103">
        <v>0</v>
      </c>
      <c r="F189" s="103"/>
      <c r="G189" s="103"/>
      <c r="H189" s="103"/>
      <c r="I189" s="103"/>
      <c r="J189" s="103"/>
      <c r="K189" s="103"/>
      <c r="L189" s="103"/>
      <c r="M189" s="103"/>
      <c r="N189" s="103"/>
      <c r="O189" s="163">
        <f t="shared" si="14"/>
        <v>0</v>
      </c>
    </row>
    <row r="190" spans="1:15" outlineLevel="1" x14ac:dyDescent="0.25">
      <c r="A190" s="171" t="s">
        <v>274</v>
      </c>
      <c r="B190" s="103"/>
      <c r="C190" s="103">
        <v>0</v>
      </c>
      <c r="D190" s="103">
        <v>0</v>
      </c>
      <c r="E190" s="103">
        <v>0</v>
      </c>
      <c r="F190" s="103"/>
      <c r="G190" s="103"/>
      <c r="H190" s="103"/>
      <c r="I190" s="103"/>
      <c r="J190" s="103"/>
      <c r="K190" s="103"/>
      <c r="L190" s="103"/>
      <c r="M190" s="103"/>
      <c r="N190" s="103"/>
      <c r="O190" s="163">
        <f t="shared" si="14"/>
        <v>0</v>
      </c>
    </row>
    <row r="191" spans="1:15" outlineLevel="1" x14ac:dyDescent="0.25">
      <c r="A191" s="171" t="s">
        <v>275</v>
      </c>
      <c r="B191" s="103"/>
      <c r="C191" s="103">
        <v>0</v>
      </c>
      <c r="D191" s="103">
        <v>0</v>
      </c>
      <c r="E191" s="103">
        <v>0</v>
      </c>
      <c r="F191" s="103"/>
      <c r="G191" s="103"/>
      <c r="H191" s="103"/>
      <c r="I191" s="103"/>
      <c r="J191" s="103"/>
      <c r="K191" s="103"/>
      <c r="L191" s="103"/>
      <c r="M191" s="103"/>
      <c r="N191" s="103"/>
      <c r="O191" s="163">
        <f t="shared" si="14"/>
        <v>0</v>
      </c>
    </row>
    <row r="192" spans="1:15" s="2" customFormat="1" outlineLevel="1" x14ac:dyDescent="0.25">
      <c r="A192" s="179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74">
        <f t="shared" si="14"/>
        <v>0</v>
      </c>
    </row>
    <row r="193" spans="1:132" s="160" customFormat="1" ht="17.25" x14ac:dyDescent="0.3">
      <c r="A193" s="175" t="s">
        <v>102</v>
      </c>
      <c r="B193" s="161">
        <f>SUM(B194:B203)</f>
        <v>0</v>
      </c>
      <c r="C193" s="161">
        <v>18109.169999999998</v>
      </c>
      <c r="D193" s="161">
        <v>9485.81</v>
      </c>
      <c r="E193" s="161">
        <v>11988.900000000001</v>
      </c>
      <c r="F193" s="161">
        <f t="shared" ref="F193:O193" si="18">SUM(F194:F203)</f>
        <v>0</v>
      </c>
      <c r="G193" s="161">
        <f t="shared" si="18"/>
        <v>0</v>
      </c>
      <c r="H193" s="161">
        <f t="shared" si="18"/>
        <v>0</v>
      </c>
      <c r="I193" s="161">
        <f t="shared" si="18"/>
        <v>0</v>
      </c>
      <c r="J193" s="161">
        <f t="shared" si="18"/>
        <v>0</v>
      </c>
      <c r="K193" s="161">
        <f t="shared" si="18"/>
        <v>0</v>
      </c>
      <c r="L193" s="161">
        <f t="shared" si="18"/>
        <v>0</v>
      </c>
      <c r="M193" s="161">
        <f t="shared" si="18"/>
        <v>0</v>
      </c>
      <c r="N193" s="161">
        <f t="shared" si="18"/>
        <v>0</v>
      </c>
      <c r="O193" s="176">
        <f t="shared" si="18"/>
        <v>39583.879999999997</v>
      </c>
    </row>
    <row r="194" spans="1:132" outlineLevel="1" x14ac:dyDescent="0.25">
      <c r="A194" s="170" t="s">
        <v>95</v>
      </c>
      <c r="B194" s="162"/>
      <c r="C194" s="162">
        <v>21.64</v>
      </c>
      <c r="D194" s="162">
        <v>19.66</v>
      </c>
      <c r="E194" s="162">
        <v>34.950000000000003</v>
      </c>
      <c r="F194" s="162"/>
      <c r="G194" s="162"/>
      <c r="H194" s="162"/>
      <c r="I194" s="162"/>
      <c r="J194" s="162"/>
      <c r="K194" s="162"/>
      <c r="L194" s="162"/>
      <c r="M194" s="162"/>
      <c r="N194" s="162"/>
      <c r="O194" s="163">
        <f t="shared" si="14"/>
        <v>76.25</v>
      </c>
    </row>
    <row r="195" spans="1:132" outlineLevel="1" x14ac:dyDescent="0.25">
      <c r="A195" s="170" t="s">
        <v>96</v>
      </c>
      <c r="B195" s="103"/>
      <c r="C195" s="103">
        <v>0</v>
      </c>
      <c r="D195" s="103">
        <v>0</v>
      </c>
      <c r="E195" s="103">
        <v>0</v>
      </c>
      <c r="F195" s="103"/>
      <c r="G195" s="103"/>
      <c r="H195" s="103"/>
      <c r="I195" s="103"/>
      <c r="J195" s="103"/>
      <c r="K195" s="103"/>
      <c r="L195" s="103"/>
      <c r="M195" s="103"/>
      <c r="N195" s="103"/>
      <c r="O195" s="163">
        <f t="shared" si="14"/>
        <v>0</v>
      </c>
    </row>
    <row r="196" spans="1:132" outlineLevel="1" x14ac:dyDescent="0.25">
      <c r="A196" s="170" t="s">
        <v>97</v>
      </c>
      <c r="B196" s="103"/>
      <c r="C196" s="103">
        <v>0</v>
      </c>
      <c r="D196" s="103">
        <v>0</v>
      </c>
      <c r="E196" s="103">
        <v>0</v>
      </c>
      <c r="F196" s="103"/>
      <c r="G196" s="103"/>
      <c r="H196" s="103"/>
      <c r="I196" s="103"/>
      <c r="J196" s="103"/>
      <c r="K196" s="103"/>
      <c r="L196" s="103"/>
      <c r="M196" s="103"/>
      <c r="N196" s="103"/>
      <c r="O196" s="163">
        <f t="shared" si="14"/>
        <v>0</v>
      </c>
    </row>
    <row r="197" spans="1:132" outlineLevel="1" x14ac:dyDescent="0.25">
      <c r="A197" s="170" t="s">
        <v>31</v>
      </c>
      <c r="B197" s="103"/>
      <c r="C197" s="103">
        <v>18087.53</v>
      </c>
      <c r="D197" s="103">
        <v>9466.14</v>
      </c>
      <c r="E197" s="103">
        <v>11951.53</v>
      </c>
      <c r="F197" s="103"/>
      <c r="G197" s="103"/>
      <c r="H197" s="103"/>
      <c r="I197" s="103"/>
      <c r="J197" s="103"/>
      <c r="K197" s="103"/>
      <c r="L197" s="103"/>
      <c r="M197" s="103"/>
      <c r="N197" s="103"/>
      <c r="O197" s="163">
        <f t="shared" si="14"/>
        <v>39505.199999999997</v>
      </c>
    </row>
    <row r="198" spans="1:132" outlineLevel="1" x14ac:dyDescent="0.25">
      <c r="A198" s="170" t="s">
        <v>98</v>
      </c>
      <c r="B198" s="103"/>
      <c r="C198" s="103">
        <v>0</v>
      </c>
      <c r="D198" s="103">
        <v>0.01</v>
      </c>
      <c r="E198" s="103">
        <v>-1.74</v>
      </c>
      <c r="F198" s="103"/>
      <c r="G198" s="103"/>
      <c r="H198" s="103"/>
      <c r="I198" s="103"/>
      <c r="J198" s="103"/>
      <c r="K198" s="103"/>
      <c r="L198" s="103"/>
      <c r="M198" s="103"/>
      <c r="N198" s="103"/>
      <c r="O198" s="163">
        <f t="shared" si="14"/>
        <v>-1.73</v>
      </c>
    </row>
    <row r="199" spans="1:132" outlineLevel="1" x14ac:dyDescent="0.25">
      <c r="A199" s="170" t="s">
        <v>32</v>
      </c>
      <c r="B199" s="103"/>
      <c r="C199" s="103">
        <v>0</v>
      </c>
      <c r="D199" s="103">
        <v>0</v>
      </c>
      <c r="E199" s="103">
        <v>4.16</v>
      </c>
      <c r="F199" s="103"/>
      <c r="G199" s="103"/>
      <c r="H199" s="103"/>
      <c r="I199" s="103"/>
      <c r="J199" s="103"/>
      <c r="K199" s="103"/>
      <c r="L199" s="103"/>
      <c r="M199" s="103"/>
      <c r="N199" s="103"/>
      <c r="O199" s="163">
        <f t="shared" si="14"/>
        <v>4.16</v>
      </c>
    </row>
    <row r="200" spans="1:132" outlineLevel="1" x14ac:dyDescent="0.25">
      <c r="A200" s="170" t="s">
        <v>99</v>
      </c>
      <c r="B200" s="103"/>
      <c r="C200" s="103">
        <v>0</v>
      </c>
      <c r="D200" s="103">
        <v>0</v>
      </c>
      <c r="E200" s="103">
        <v>0</v>
      </c>
      <c r="F200" s="103"/>
      <c r="G200" s="103"/>
      <c r="H200" s="103"/>
      <c r="I200" s="103"/>
      <c r="J200" s="103"/>
      <c r="K200" s="103"/>
      <c r="L200" s="103"/>
      <c r="M200" s="103"/>
      <c r="N200" s="103"/>
      <c r="O200" s="163">
        <f t="shared" si="14"/>
        <v>0</v>
      </c>
    </row>
    <row r="201" spans="1:132" outlineLevel="1" x14ac:dyDescent="0.25">
      <c r="A201" s="170" t="s">
        <v>277</v>
      </c>
      <c r="B201" s="103"/>
      <c r="C201" s="103">
        <v>0</v>
      </c>
      <c r="D201" s="103">
        <v>0</v>
      </c>
      <c r="E201" s="103">
        <v>0</v>
      </c>
      <c r="F201" s="103"/>
      <c r="G201" s="103"/>
      <c r="H201" s="103"/>
      <c r="I201" s="103"/>
      <c r="J201" s="103"/>
      <c r="K201" s="103"/>
      <c r="L201" s="103"/>
      <c r="M201" s="103"/>
      <c r="N201" s="103"/>
      <c r="O201" s="163">
        <f t="shared" si="14"/>
        <v>0</v>
      </c>
    </row>
    <row r="202" spans="1:132" outlineLevel="1" x14ac:dyDescent="0.25">
      <c r="A202" s="170"/>
      <c r="B202" s="103"/>
      <c r="C202" s="103">
        <v>0</v>
      </c>
      <c r="D202" s="103">
        <v>0</v>
      </c>
      <c r="E202" s="103">
        <v>0</v>
      </c>
      <c r="F202" s="103"/>
      <c r="G202" s="103"/>
      <c r="H202" s="103"/>
      <c r="I202" s="103"/>
      <c r="J202" s="103"/>
      <c r="K202" s="103"/>
      <c r="L202" s="103"/>
      <c r="M202" s="103"/>
      <c r="N202" s="103"/>
      <c r="O202" s="163">
        <f t="shared" si="14"/>
        <v>0</v>
      </c>
    </row>
    <row r="203" spans="1:132" s="7" customFormat="1" ht="18" customHeight="1" x14ac:dyDescent="0.25">
      <c r="A203" s="180"/>
      <c r="B203" s="164"/>
      <c r="C203" s="165"/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92"/>
      <c r="O203" s="163">
        <f t="shared" si="14"/>
        <v>0</v>
      </c>
    </row>
    <row r="204" spans="1:132" s="155" customFormat="1" ht="19.5" thickBot="1" x14ac:dyDescent="0.35">
      <c r="A204" s="184" t="s">
        <v>113</v>
      </c>
      <c r="B204" s="153">
        <f>+B34-B36</f>
        <v>0</v>
      </c>
      <c r="C204" s="153">
        <f>+C34-C36</f>
        <v>-3513.6499999999942</v>
      </c>
      <c r="D204" s="153">
        <f t="shared" ref="D204:L204" si="19">+D34-D36</f>
        <v>8089.5000000000036</v>
      </c>
      <c r="E204" s="153">
        <f t="shared" si="19"/>
        <v>21401.299999999988</v>
      </c>
      <c r="F204" s="153">
        <f t="shared" si="19"/>
        <v>0</v>
      </c>
      <c r="G204" s="153">
        <f t="shared" si="19"/>
        <v>0</v>
      </c>
      <c r="H204" s="153">
        <f t="shared" si="19"/>
        <v>0</v>
      </c>
      <c r="I204" s="153">
        <f t="shared" si="19"/>
        <v>0</v>
      </c>
      <c r="J204" s="153">
        <f t="shared" si="19"/>
        <v>0</v>
      </c>
      <c r="K204" s="153">
        <f t="shared" si="19"/>
        <v>0</v>
      </c>
      <c r="L204" s="153">
        <f t="shared" si="19"/>
        <v>0</v>
      </c>
      <c r="M204" s="153">
        <f t="shared" ref="M204:O204" si="20">+M34-M36</f>
        <v>0</v>
      </c>
      <c r="N204" s="153">
        <f t="shared" si="20"/>
        <v>0</v>
      </c>
      <c r="O204" s="185">
        <f t="shared" si="20"/>
        <v>25977.150000000009</v>
      </c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  <c r="AM204" s="154"/>
      <c r="AN204" s="154"/>
      <c r="AO204" s="154"/>
      <c r="AP204" s="154"/>
      <c r="AQ204" s="154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54"/>
      <c r="BM204" s="154"/>
      <c r="BN204" s="154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  <c r="CK204" s="154"/>
      <c r="CL204" s="154"/>
      <c r="CM204" s="154"/>
      <c r="CN204" s="154"/>
      <c r="CO204" s="154"/>
      <c r="CP204" s="154"/>
      <c r="CQ204" s="154"/>
      <c r="CR204" s="154"/>
      <c r="CS204" s="154"/>
      <c r="CT204" s="154"/>
      <c r="CU204" s="154"/>
      <c r="CV204" s="154"/>
      <c r="CW204" s="154"/>
      <c r="CX204" s="154"/>
      <c r="CY204" s="154"/>
      <c r="CZ204" s="154"/>
      <c r="DA204" s="154"/>
      <c r="DB204" s="154"/>
      <c r="DC204" s="154"/>
      <c r="DD204" s="154"/>
      <c r="DE204" s="154"/>
      <c r="DF204" s="154"/>
      <c r="DG204" s="154"/>
      <c r="DH204" s="154"/>
      <c r="DI204" s="154"/>
      <c r="DJ204" s="154"/>
      <c r="DK204" s="154"/>
      <c r="DL204" s="154"/>
      <c r="DM204" s="154"/>
      <c r="DN204" s="154"/>
      <c r="DO204" s="154"/>
      <c r="DP204" s="154"/>
      <c r="DQ204" s="154"/>
      <c r="DR204" s="154"/>
      <c r="DS204" s="154"/>
      <c r="DT204" s="154"/>
      <c r="DU204" s="154"/>
      <c r="DV204" s="154"/>
      <c r="DW204" s="154"/>
      <c r="DX204" s="154"/>
      <c r="DY204" s="154"/>
      <c r="DZ204" s="154"/>
      <c r="EA204" s="154"/>
      <c r="EB204" s="154"/>
    </row>
    <row r="205" spans="1:132" s="7" customFormat="1" ht="18" customHeight="1" collapsed="1" thickTop="1" x14ac:dyDescent="0.25">
      <c r="A205" s="180" t="s">
        <v>28</v>
      </c>
      <c r="B205" s="147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63">
        <f t="shared" si="14"/>
        <v>0</v>
      </c>
    </row>
    <row r="206" spans="1:132" s="155" customFormat="1" ht="19.5" thickBot="1" x14ac:dyDescent="0.35">
      <c r="A206" s="181" t="s">
        <v>114</v>
      </c>
      <c r="B206" s="182">
        <f>+B204-B205</f>
        <v>0</v>
      </c>
      <c r="C206" s="182">
        <f t="shared" ref="C206:L206" si="21">+C204-C205</f>
        <v>-3513.6499999999942</v>
      </c>
      <c r="D206" s="182">
        <f t="shared" si="21"/>
        <v>8089.5000000000036</v>
      </c>
      <c r="E206" s="182">
        <f t="shared" si="21"/>
        <v>21401.299999999988</v>
      </c>
      <c r="F206" s="182">
        <f t="shared" si="21"/>
        <v>0</v>
      </c>
      <c r="G206" s="182">
        <f t="shared" si="21"/>
        <v>0</v>
      </c>
      <c r="H206" s="182">
        <f t="shared" si="21"/>
        <v>0</v>
      </c>
      <c r="I206" s="182">
        <f t="shared" si="21"/>
        <v>0</v>
      </c>
      <c r="J206" s="182">
        <f t="shared" si="21"/>
        <v>0</v>
      </c>
      <c r="K206" s="182">
        <f t="shared" si="21"/>
        <v>0</v>
      </c>
      <c r="L206" s="182">
        <f t="shared" si="21"/>
        <v>0</v>
      </c>
      <c r="M206" s="182">
        <f t="shared" ref="M206:O206" si="22">+M204-M205</f>
        <v>0</v>
      </c>
      <c r="N206" s="182">
        <f t="shared" si="22"/>
        <v>0</v>
      </c>
      <c r="O206" s="183">
        <f t="shared" si="22"/>
        <v>25977.150000000009</v>
      </c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  <c r="AM206" s="154"/>
      <c r="AN206" s="154"/>
      <c r="AO206" s="154"/>
      <c r="AP206" s="154"/>
      <c r="AQ206" s="154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54"/>
      <c r="BM206" s="154"/>
      <c r="BN206" s="154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  <c r="CK206" s="154"/>
      <c r="CL206" s="154"/>
      <c r="CM206" s="154"/>
      <c r="CN206" s="154"/>
      <c r="CO206" s="154"/>
      <c r="CP206" s="154"/>
      <c r="CQ206" s="154"/>
      <c r="CR206" s="154"/>
      <c r="CS206" s="154"/>
      <c r="CT206" s="154"/>
      <c r="CU206" s="154"/>
      <c r="CV206" s="154"/>
      <c r="CW206" s="154"/>
      <c r="CX206" s="154"/>
      <c r="CY206" s="154"/>
      <c r="CZ206" s="154"/>
      <c r="DA206" s="154"/>
      <c r="DB206" s="154"/>
      <c r="DC206" s="154"/>
      <c r="DD206" s="154"/>
      <c r="DE206" s="154"/>
      <c r="DF206" s="154"/>
      <c r="DG206" s="154"/>
      <c r="DH206" s="154"/>
      <c r="DI206" s="154"/>
      <c r="DJ206" s="154"/>
      <c r="DK206" s="154"/>
      <c r="DL206" s="154"/>
      <c r="DM206" s="154"/>
      <c r="DN206" s="154"/>
      <c r="DO206" s="154"/>
      <c r="DP206" s="154"/>
      <c r="DQ206" s="154"/>
      <c r="DR206" s="154"/>
      <c r="DS206" s="154"/>
      <c r="DT206" s="154"/>
      <c r="DU206" s="154"/>
      <c r="DV206" s="154"/>
      <c r="DW206" s="154"/>
      <c r="DX206" s="154"/>
      <c r="DY206" s="154"/>
      <c r="DZ206" s="154"/>
      <c r="EA206" s="154"/>
      <c r="EB206" s="154"/>
    </row>
    <row r="207" spans="1:132" s="2" customFormat="1" ht="15.75" thickTop="1" x14ac:dyDescent="0.25"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</row>
    <row r="208" spans="1:132" s="2" customFormat="1" x14ac:dyDescent="0.25"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</row>
    <row r="209" spans="2:15" s="2" customFormat="1" x14ac:dyDescent="0.25"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</row>
    <row r="210" spans="2:15" x14ac:dyDescent="0.25">
      <c r="O210" s="90"/>
    </row>
    <row r="211" spans="2:15" x14ac:dyDescent="0.25">
      <c r="O211" s="90"/>
    </row>
    <row r="212" spans="2:15" x14ac:dyDescent="0.25">
      <c r="O212" s="90"/>
    </row>
    <row r="213" spans="2:15" x14ac:dyDescent="0.25">
      <c r="O213" s="90"/>
    </row>
    <row r="214" spans="2:15" x14ac:dyDescent="0.25">
      <c r="O214" s="90"/>
    </row>
    <row r="215" spans="2:15" x14ac:dyDescent="0.25">
      <c r="O215" s="90"/>
    </row>
    <row r="216" spans="2:15" x14ac:dyDescent="0.25">
      <c r="O216" s="90"/>
    </row>
    <row r="217" spans="2:15" x14ac:dyDescent="0.25">
      <c r="O217" s="90"/>
    </row>
    <row r="218" spans="2:15" x14ac:dyDescent="0.25">
      <c r="O218" s="90"/>
    </row>
    <row r="219" spans="2:15" x14ac:dyDescent="0.25">
      <c r="O219" s="90"/>
    </row>
    <row r="220" spans="2:15" x14ac:dyDescent="0.25">
      <c r="O220" s="90"/>
    </row>
    <row r="221" spans="2:15" x14ac:dyDescent="0.25">
      <c r="O221" s="90"/>
    </row>
    <row r="222" spans="2:15" x14ac:dyDescent="0.25">
      <c r="O222" s="90"/>
    </row>
    <row r="223" spans="2:15" x14ac:dyDescent="0.25">
      <c r="I223" s="190"/>
      <c r="O223" s="90"/>
    </row>
    <row r="224" spans="2:15" x14ac:dyDescent="0.25">
      <c r="O224" s="90"/>
    </row>
    <row r="225" spans="15:15" x14ac:dyDescent="0.25">
      <c r="O225" s="90"/>
    </row>
    <row r="226" spans="15:15" x14ac:dyDescent="0.25">
      <c r="O226" s="90"/>
    </row>
    <row r="227" spans="15:15" x14ac:dyDescent="0.25">
      <c r="O227" s="90"/>
    </row>
    <row r="228" spans="15:15" x14ac:dyDescent="0.25">
      <c r="O228" s="90"/>
    </row>
    <row r="229" spans="15:15" x14ac:dyDescent="0.25">
      <c r="O229" s="90"/>
    </row>
    <row r="230" spans="15:15" x14ac:dyDescent="0.25">
      <c r="O230" s="90"/>
    </row>
    <row r="231" spans="15:15" x14ac:dyDescent="0.25">
      <c r="O231" s="90"/>
    </row>
    <row r="232" spans="15:15" x14ac:dyDescent="0.25">
      <c r="O232" s="90"/>
    </row>
    <row r="233" spans="15:15" x14ac:dyDescent="0.25">
      <c r="O233" s="90"/>
    </row>
    <row r="234" spans="15:15" x14ac:dyDescent="0.25">
      <c r="O234" s="90"/>
    </row>
    <row r="235" spans="15:15" x14ac:dyDescent="0.25">
      <c r="O235" s="90"/>
    </row>
    <row r="236" spans="15:15" x14ac:dyDescent="0.25">
      <c r="O236" s="90"/>
    </row>
    <row r="237" spans="15:15" x14ac:dyDescent="0.25">
      <c r="O237" s="90"/>
    </row>
    <row r="238" spans="15:15" x14ac:dyDescent="0.25">
      <c r="O238" s="90"/>
    </row>
    <row r="239" spans="15:15" x14ac:dyDescent="0.25">
      <c r="O239" s="90"/>
    </row>
    <row r="240" spans="15:15" x14ac:dyDescent="0.25">
      <c r="O240" s="90"/>
    </row>
    <row r="241" spans="15:15" x14ac:dyDescent="0.25">
      <c r="O241" s="90"/>
    </row>
    <row r="242" spans="15:15" x14ac:dyDescent="0.25">
      <c r="O242" s="90"/>
    </row>
    <row r="243" spans="15:15" x14ac:dyDescent="0.25">
      <c r="O243" s="90"/>
    </row>
    <row r="244" spans="15:15" x14ac:dyDescent="0.25">
      <c r="O244" s="90"/>
    </row>
    <row r="245" spans="15:15" x14ac:dyDescent="0.25">
      <c r="O245" s="90"/>
    </row>
    <row r="246" spans="15:15" x14ac:dyDescent="0.25">
      <c r="O246" s="90"/>
    </row>
    <row r="247" spans="15:15" x14ac:dyDescent="0.25">
      <c r="O247" s="90"/>
    </row>
    <row r="248" spans="15:15" x14ac:dyDescent="0.25">
      <c r="O248" s="90"/>
    </row>
    <row r="249" spans="15:15" x14ac:dyDescent="0.25">
      <c r="O249" s="90"/>
    </row>
    <row r="250" spans="15:15" x14ac:dyDescent="0.25">
      <c r="O250" s="90"/>
    </row>
    <row r="251" spans="15:15" x14ac:dyDescent="0.25">
      <c r="O251" s="90"/>
    </row>
    <row r="252" spans="15:15" x14ac:dyDescent="0.25">
      <c r="O252" s="90"/>
    </row>
    <row r="253" spans="15:15" x14ac:dyDescent="0.25">
      <c r="O253" s="90"/>
    </row>
    <row r="254" spans="15:15" x14ac:dyDescent="0.25">
      <c r="O254" s="90"/>
    </row>
    <row r="255" spans="15:15" x14ac:dyDescent="0.25">
      <c r="O255" s="90"/>
    </row>
    <row r="256" spans="15:15" x14ac:dyDescent="0.25">
      <c r="O256" s="90"/>
    </row>
    <row r="257" spans="15:15" x14ac:dyDescent="0.25">
      <c r="O257" s="90"/>
    </row>
    <row r="258" spans="15:15" x14ac:dyDescent="0.25">
      <c r="O258" s="90"/>
    </row>
    <row r="259" spans="15:15" x14ac:dyDescent="0.25">
      <c r="O259" s="90"/>
    </row>
    <row r="260" spans="15:15" x14ac:dyDescent="0.25">
      <c r="O260" s="90"/>
    </row>
    <row r="261" spans="15:15" x14ac:dyDescent="0.25">
      <c r="O261" s="90"/>
    </row>
    <row r="262" spans="15:15" x14ac:dyDescent="0.25">
      <c r="O262" s="90"/>
    </row>
    <row r="263" spans="15:15" x14ac:dyDescent="0.25">
      <c r="O263" s="90"/>
    </row>
    <row r="264" spans="15:15" x14ac:dyDescent="0.25">
      <c r="O264" s="90"/>
    </row>
    <row r="265" spans="15:15" x14ac:dyDescent="0.25">
      <c r="O265" s="90"/>
    </row>
    <row r="266" spans="15:15" x14ac:dyDescent="0.25">
      <c r="O266" s="90"/>
    </row>
    <row r="267" spans="15:15" x14ac:dyDescent="0.25">
      <c r="O267" s="90"/>
    </row>
    <row r="268" spans="15:15" x14ac:dyDescent="0.25">
      <c r="O268" s="90"/>
    </row>
    <row r="269" spans="15:15" x14ac:dyDescent="0.25">
      <c r="O269" s="90"/>
    </row>
    <row r="270" spans="15:15" x14ac:dyDescent="0.25">
      <c r="O270" s="90"/>
    </row>
    <row r="271" spans="15:15" x14ac:dyDescent="0.25">
      <c r="O271" s="90"/>
    </row>
    <row r="272" spans="15:15" x14ac:dyDescent="0.25">
      <c r="O272" s="90"/>
    </row>
    <row r="273" spans="15:15" x14ac:dyDescent="0.25">
      <c r="O273" s="90"/>
    </row>
    <row r="274" spans="15:15" x14ac:dyDescent="0.25">
      <c r="O274" s="90"/>
    </row>
    <row r="275" spans="15:15" x14ac:dyDescent="0.25">
      <c r="O275" s="90"/>
    </row>
    <row r="276" spans="15:15" x14ac:dyDescent="0.25">
      <c r="O276" s="90"/>
    </row>
    <row r="277" spans="15:15" x14ac:dyDescent="0.25">
      <c r="O277" s="90"/>
    </row>
    <row r="278" spans="15:15" x14ac:dyDescent="0.25">
      <c r="O278" s="90"/>
    </row>
    <row r="279" spans="15:15" x14ac:dyDescent="0.25">
      <c r="O279" s="90"/>
    </row>
    <row r="280" spans="15:15" x14ac:dyDescent="0.25">
      <c r="O280" s="90"/>
    </row>
    <row r="281" spans="15:15" x14ac:dyDescent="0.25">
      <c r="O281" s="90"/>
    </row>
    <row r="282" spans="15:15" x14ac:dyDescent="0.25">
      <c r="O282" s="90"/>
    </row>
    <row r="283" spans="15:15" x14ac:dyDescent="0.25">
      <c r="O283" s="90"/>
    </row>
    <row r="284" spans="15:15" x14ac:dyDescent="0.25">
      <c r="O284" s="90"/>
    </row>
    <row r="285" spans="15:15" x14ac:dyDescent="0.25">
      <c r="O285" s="90"/>
    </row>
    <row r="286" spans="15:15" x14ac:dyDescent="0.25">
      <c r="O286" s="90"/>
    </row>
    <row r="287" spans="15:15" x14ac:dyDescent="0.25">
      <c r="O287" s="90"/>
    </row>
    <row r="288" spans="15:15" x14ac:dyDescent="0.25">
      <c r="O288" s="90"/>
    </row>
    <row r="289" spans="15:15" x14ac:dyDescent="0.25">
      <c r="O289" s="90"/>
    </row>
    <row r="290" spans="15:15" x14ac:dyDescent="0.25">
      <c r="O290" s="90"/>
    </row>
    <row r="291" spans="15:15" x14ac:dyDescent="0.25">
      <c r="O291" s="90"/>
    </row>
    <row r="292" spans="15:15" x14ac:dyDescent="0.25">
      <c r="O292" s="90"/>
    </row>
    <row r="293" spans="15:15" x14ac:dyDescent="0.25">
      <c r="O293" s="90"/>
    </row>
    <row r="294" spans="15:15" x14ac:dyDescent="0.25">
      <c r="O294" s="90"/>
    </row>
    <row r="295" spans="15:15" x14ac:dyDescent="0.25">
      <c r="O295" s="90"/>
    </row>
    <row r="296" spans="15:15" x14ac:dyDescent="0.25">
      <c r="O296" s="90"/>
    </row>
    <row r="297" spans="15:15" x14ac:dyDescent="0.25">
      <c r="O297" s="90"/>
    </row>
    <row r="298" spans="15:15" x14ac:dyDescent="0.25">
      <c r="O298" s="90"/>
    </row>
    <row r="299" spans="15:15" x14ac:dyDescent="0.25">
      <c r="O299" s="90"/>
    </row>
    <row r="300" spans="15:15" x14ac:dyDescent="0.25">
      <c r="O300" s="90"/>
    </row>
    <row r="301" spans="15:15" x14ac:dyDescent="0.25">
      <c r="O301" s="90"/>
    </row>
    <row r="302" spans="15:15" x14ac:dyDescent="0.25">
      <c r="O302" s="90"/>
    </row>
    <row r="303" spans="15:15" x14ac:dyDescent="0.25">
      <c r="O303" s="90"/>
    </row>
    <row r="304" spans="15:15" x14ac:dyDescent="0.25">
      <c r="O304" s="90"/>
    </row>
    <row r="305" spans="15:15" x14ac:dyDescent="0.25">
      <c r="O305" s="90"/>
    </row>
    <row r="306" spans="15:15" x14ac:dyDescent="0.25">
      <c r="O306" s="90"/>
    </row>
    <row r="307" spans="15:15" x14ac:dyDescent="0.25">
      <c r="O307" s="90"/>
    </row>
    <row r="308" spans="15:15" x14ac:dyDescent="0.25">
      <c r="O308" s="90"/>
    </row>
    <row r="309" spans="15:15" x14ac:dyDescent="0.25">
      <c r="O309" s="90"/>
    </row>
    <row r="310" spans="15:15" x14ac:dyDescent="0.25">
      <c r="O310" s="90"/>
    </row>
    <row r="311" spans="15:15" x14ac:dyDescent="0.25">
      <c r="O311" s="90"/>
    </row>
    <row r="312" spans="15:15" x14ac:dyDescent="0.25">
      <c r="O312" s="90"/>
    </row>
    <row r="313" spans="15:15" x14ac:dyDescent="0.25">
      <c r="O313" s="90"/>
    </row>
    <row r="314" spans="15:15" x14ac:dyDescent="0.25">
      <c r="O314" s="90"/>
    </row>
  </sheetData>
  <mergeCells count="1">
    <mergeCell ref="C2:O2"/>
  </mergeCells>
  <pageMargins left="0.7" right="0.7" top="0.75" bottom="0.75" header="0.3" footer="0.3"/>
  <pageSetup paperSize="9" orientation="portrait" r:id="rId1"/>
  <headerFooter>
    <oddHeader>&amp;LElaborado por:&amp;CCarmen Eugenia Quintero Q.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HL220"/>
  <sheetViews>
    <sheetView showGridLines="0" zoomScale="70" zoomScaleNormal="70" workbookViewId="0">
      <pane xSplit="1" ySplit="4" topLeftCell="B5" activePane="bottomRight" state="frozen"/>
      <selection activeCell="L138" sqref="L138"/>
      <selection pane="topRight" activeCell="L138" sqref="L138"/>
      <selection pane="bottomLeft" activeCell="L138" sqref="L138"/>
      <selection pane="bottomRight" activeCell="AW54" sqref="AW54"/>
    </sheetView>
  </sheetViews>
  <sheetFormatPr baseColWidth="10" defaultRowHeight="15" outlineLevelRow="2" x14ac:dyDescent="0.25"/>
  <cols>
    <col min="1" max="1" width="50.42578125" style="3" customWidth="1"/>
    <col min="2" max="2" width="13.7109375" style="53" hidden="1" customWidth="1"/>
    <col min="3" max="3" width="10.140625" style="22" hidden="1" customWidth="1"/>
    <col min="4" max="4" width="9.140625" style="22" hidden="1" customWidth="1"/>
    <col min="5" max="5" width="11.140625" style="53" hidden="1" customWidth="1"/>
    <col min="6" max="6" width="10.140625" style="22" hidden="1" customWidth="1"/>
    <col min="7" max="7" width="9.140625" style="22" hidden="1" customWidth="1"/>
    <col min="8" max="8" width="12.85546875" style="53" hidden="1" customWidth="1"/>
    <col min="9" max="9" width="10" style="22" hidden="1" customWidth="1"/>
    <col min="10" max="10" width="9.28515625" style="22" hidden="1" customWidth="1"/>
    <col min="11" max="11" width="12.7109375" style="22" hidden="1" customWidth="1"/>
    <col min="12" max="12" width="12" style="53" hidden="1" customWidth="1"/>
    <col min="13" max="13" width="10.140625" style="22" hidden="1" customWidth="1"/>
    <col min="14" max="14" width="9.28515625" style="22" hidden="1" customWidth="1"/>
    <col min="15" max="15" width="11.140625" style="53" hidden="1" customWidth="1"/>
    <col min="16" max="16" width="10" style="22" hidden="1" customWidth="1"/>
    <col min="17" max="17" width="9.28515625" style="22" hidden="1" customWidth="1"/>
    <col min="18" max="18" width="11.85546875" style="22" hidden="1" customWidth="1"/>
    <col min="19" max="19" width="12.140625" style="53" hidden="1" customWidth="1"/>
    <col min="20" max="20" width="11.28515625" style="22" hidden="1" customWidth="1"/>
    <col min="21" max="21" width="9.28515625" style="22" hidden="1" customWidth="1"/>
    <col min="22" max="22" width="11.85546875" style="53" hidden="1" customWidth="1"/>
    <col min="23" max="23" width="11.28515625" style="22" hidden="1" customWidth="1"/>
    <col min="24" max="24" width="13.140625" style="22" hidden="1" customWidth="1"/>
    <col min="25" max="25" width="11.140625" style="53" hidden="1" customWidth="1"/>
    <col min="26" max="26" width="10" style="22" hidden="1" customWidth="1"/>
    <col min="27" max="27" width="9.28515625" style="22" hidden="1" customWidth="1"/>
    <col min="28" max="28" width="13.7109375" style="22" hidden="1" customWidth="1"/>
    <col min="29" max="29" width="12.140625" style="53" hidden="1" customWidth="1"/>
    <col min="30" max="30" width="11.28515625" style="22" hidden="1" customWidth="1"/>
    <col min="31" max="31" width="9.28515625" style="22" hidden="1" customWidth="1"/>
    <col min="32" max="32" width="11.140625" style="53" hidden="1" customWidth="1"/>
    <col min="33" max="33" width="10" style="22" hidden="1" customWidth="1"/>
    <col min="34" max="34" width="9.28515625" style="22" hidden="1" customWidth="1"/>
    <col min="35" max="35" width="13.7109375" style="22" hidden="1" customWidth="1"/>
    <col min="36" max="36" width="12.140625" style="53" hidden="1" customWidth="1"/>
    <col min="37" max="37" width="11.28515625" style="22" hidden="1" customWidth="1"/>
    <col min="38" max="38" width="9.28515625" style="22" hidden="1" customWidth="1"/>
    <col min="39" max="39" width="11.140625" style="53" hidden="1" customWidth="1"/>
    <col min="40" max="40" width="10" style="22" hidden="1" customWidth="1"/>
    <col min="41" max="41" width="9.28515625" style="22" hidden="1" customWidth="1"/>
    <col min="42" max="42" width="13.7109375" style="22" hidden="1" customWidth="1"/>
    <col min="43" max="43" width="12.140625" style="53" hidden="1" customWidth="1"/>
    <col min="44" max="44" width="11.28515625" style="22" hidden="1" customWidth="1"/>
    <col min="45" max="45" width="9.28515625" style="22" hidden="1" customWidth="1"/>
    <col min="46" max="46" width="11.85546875" style="53" hidden="1" customWidth="1"/>
    <col min="47" max="47" width="11.28515625" style="22" hidden="1" customWidth="1"/>
    <col min="48" max="48" width="13" style="22" hidden="1" customWidth="1"/>
    <col min="49" max="49" width="11.140625" style="53" bestFit="1" customWidth="1"/>
    <col min="50" max="50" width="11.28515625" style="22" customWidth="1"/>
    <col min="51" max="51" width="9.28515625" style="22" customWidth="1"/>
    <col min="52" max="52" width="11.85546875" style="53" customWidth="1"/>
    <col min="53" max="53" width="11.28515625" style="22" customWidth="1"/>
    <col min="54" max="54" width="13" style="22" customWidth="1"/>
    <col min="55" max="57" width="11.5703125" style="3"/>
    <col min="58" max="58" width="12.140625" style="3" customWidth="1"/>
    <col min="59" max="59" width="11.7109375" style="3" customWidth="1"/>
    <col min="60" max="61" width="14.7109375" style="3" bestFit="1" customWidth="1"/>
    <col min="62" max="229" width="11.5703125" style="3"/>
    <col min="230" max="230" width="39.28515625" style="3" customWidth="1"/>
    <col min="231" max="485" width="11.5703125" style="3"/>
    <col min="486" max="486" width="39.28515625" style="3" customWidth="1"/>
    <col min="487" max="741" width="11.5703125" style="3"/>
    <col min="742" max="742" width="39.28515625" style="3" customWidth="1"/>
    <col min="743" max="997" width="11.5703125" style="3"/>
    <col min="998" max="998" width="39.28515625" style="3" customWidth="1"/>
    <col min="999" max="1253" width="11.5703125" style="3"/>
    <col min="1254" max="1254" width="39.28515625" style="3" customWidth="1"/>
    <col min="1255" max="1509" width="11.5703125" style="3"/>
    <col min="1510" max="1510" width="39.28515625" style="3" customWidth="1"/>
    <col min="1511" max="1765" width="11.5703125" style="3"/>
    <col min="1766" max="1766" width="39.28515625" style="3" customWidth="1"/>
    <col min="1767" max="2021" width="11.5703125" style="3"/>
    <col min="2022" max="2022" width="39.28515625" style="3" customWidth="1"/>
    <col min="2023" max="2277" width="11.5703125" style="3"/>
    <col min="2278" max="2278" width="39.28515625" style="3" customWidth="1"/>
    <col min="2279" max="2533" width="11.5703125" style="3"/>
    <col min="2534" max="2534" width="39.28515625" style="3" customWidth="1"/>
    <col min="2535" max="2789" width="11.5703125" style="3"/>
    <col min="2790" max="2790" width="39.28515625" style="3" customWidth="1"/>
    <col min="2791" max="3045" width="11.5703125" style="3"/>
    <col min="3046" max="3046" width="39.28515625" style="3" customWidth="1"/>
    <col min="3047" max="3301" width="11.5703125" style="3"/>
    <col min="3302" max="3302" width="39.28515625" style="3" customWidth="1"/>
    <col min="3303" max="3557" width="11.5703125" style="3"/>
    <col min="3558" max="3558" width="39.28515625" style="3" customWidth="1"/>
    <col min="3559" max="3813" width="11.5703125" style="3"/>
    <col min="3814" max="3814" width="39.28515625" style="3" customWidth="1"/>
    <col min="3815" max="4069" width="11.5703125" style="3"/>
    <col min="4070" max="4070" width="39.28515625" style="3" customWidth="1"/>
    <col min="4071" max="4325" width="11.5703125" style="3"/>
    <col min="4326" max="4326" width="39.28515625" style="3" customWidth="1"/>
    <col min="4327" max="4581" width="11.5703125" style="3"/>
    <col min="4582" max="4582" width="39.28515625" style="3" customWidth="1"/>
    <col min="4583" max="4837" width="11.5703125" style="3"/>
    <col min="4838" max="4838" width="39.28515625" style="3" customWidth="1"/>
    <col min="4839" max="5093" width="11.5703125" style="3"/>
    <col min="5094" max="5094" width="39.28515625" style="3" customWidth="1"/>
    <col min="5095" max="5349" width="11.5703125" style="3"/>
    <col min="5350" max="5350" width="39.28515625" style="3" customWidth="1"/>
    <col min="5351" max="5605" width="11.5703125" style="3"/>
    <col min="5606" max="5606" width="39.28515625" style="3" customWidth="1"/>
    <col min="5607" max="5861" width="11.5703125" style="3"/>
    <col min="5862" max="5862" width="39.28515625" style="3" customWidth="1"/>
    <col min="5863" max="6117" width="11.5703125" style="3"/>
    <col min="6118" max="6118" width="39.28515625" style="3" customWidth="1"/>
    <col min="6119" max="6373" width="11.5703125" style="3"/>
    <col min="6374" max="6374" width="39.28515625" style="3" customWidth="1"/>
    <col min="6375" max="6629" width="11.5703125" style="3"/>
    <col min="6630" max="6630" width="39.28515625" style="3" customWidth="1"/>
    <col min="6631" max="6885" width="11.5703125" style="3"/>
    <col min="6886" max="6886" width="39.28515625" style="3" customWidth="1"/>
    <col min="6887" max="7141" width="11.5703125" style="3"/>
    <col min="7142" max="7142" width="39.28515625" style="3" customWidth="1"/>
    <col min="7143" max="7397" width="11.5703125" style="3"/>
    <col min="7398" max="7398" width="39.28515625" style="3" customWidth="1"/>
    <col min="7399" max="7653" width="11.5703125" style="3"/>
    <col min="7654" max="7654" width="39.28515625" style="3" customWidth="1"/>
    <col min="7655" max="7909" width="11.5703125" style="3"/>
    <col min="7910" max="7910" width="39.28515625" style="3" customWidth="1"/>
    <col min="7911" max="8165" width="11.5703125" style="3"/>
    <col min="8166" max="8166" width="39.28515625" style="3" customWidth="1"/>
    <col min="8167" max="8421" width="11.5703125" style="3"/>
    <col min="8422" max="8422" width="39.28515625" style="3" customWidth="1"/>
    <col min="8423" max="8677" width="11.5703125" style="3"/>
    <col min="8678" max="8678" width="39.28515625" style="3" customWidth="1"/>
    <col min="8679" max="8933" width="11.5703125" style="3"/>
    <col min="8934" max="8934" width="39.28515625" style="3" customWidth="1"/>
    <col min="8935" max="9189" width="11.5703125" style="3"/>
    <col min="9190" max="9190" width="39.28515625" style="3" customWidth="1"/>
    <col min="9191" max="9445" width="11.5703125" style="3"/>
    <col min="9446" max="9446" width="39.28515625" style="3" customWidth="1"/>
    <col min="9447" max="9701" width="11.5703125" style="3"/>
    <col min="9702" max="9702" width="39.28515625" style="3" customWidth="1"/>
    <col min="9703" max="9957" width="11.5703125" style="3"/>
    <col min="9958" max="9958" width="39.28515625" style="3" customWidth="1"/>
    <col min="9959" max="10213" width="11.5703125" style="3"/>
    <col min="10214" max="10214" width="39.28515625" style="3" customWidth="1"/>
    <col min="10215" max="10469" width="11.5703125" style="3"/>
    <col min="10470" max="10470" width="39.28515625" style="3" customWidth="1"/>
    <col min="10471" max="10725" width="11.5703125" style="3"/>
    <col min="10726" max="10726" width="39.28515625" style="3" customWidth="1"/>
    <col min="10727" max="10981" width="11.5703125" style="3"/>
    <col min="10982" max="10982" width="39.28515625" style="3" customWidth="1"/>
    <col min="10983" max="11237" width="11.5703125" style="3"/>
    <col min="11238" max="11238" width="39.28515625" style="3" customWidth="1"/>
    <col min="11239" max="11493" width="11.5703125" style="3"/>
    <col min="11494" max="11494" width="39.28515625" style="3" customWidth="1"/>
    <col min="11495" max="11749" width="11.5703125" style="3"/>
    <col min="11750" max="11750" width="39.28515625" style="3" customWidth="1"/>
    <col min="11751" max="12005" width="11.5703125" style="3"/>
    <col min="12006" max="12006" width="39.28515625" style="3" customWidth="1"/>
    <col min="12007" max="12261" width="11.5703125" style="3"/>
    <col min="12262" max="12262" width="39.28515625" style="3" customWidth="1"/>
    <col min="12263" max="12517" width="11.5703125" style="3"/>
    <col min="12518" max="12518" width="39.28515625" style="3" customWidth="1"/>
    <col min="12519" max="12773" width="11.5703125" style="3"/>
    <col min="12774" max="12774" width="39.28515625" style="3" customWidth="1"/>
    <col min="12775" max="13029" width="11.5703125" style="3"/>
    <col min="13030" max="13030" width="39.28515625" style="3" customWidth="1"/>
    <col min="13031" max="13285" width="11.5703125" style="3"/>
    <col min="13286" max="13286" width="39.28515625" style="3" customWidth="1"/>
    <col min="13287" max="13541" width="11.5703125" style="3"/>
    <col min="13542" max="13542" width="39.28515625" style="3" customWidth="1"/>
    <col min="13543" max="13797" width="11.5703125" style="3"/>
    <col min="13798" max="13798" width="39.28515625" style="3" customWidth="1"/>
    <col min="13799" max="14053" width="11.5703125" style="3"/>
    <col min="14054" max="14054" width="39.28515625" style="3" customWidth="1"/>
    <col min="14055" max="14309" width="11.5703125" style="3"/>
    <col min="14310" max="14310" width="39.28515625" style="3" customWidth="1"/>
    <col min="14311" max="14565" width="11.5703125" style="3"/>
    <col min="14566" max="14566" width="39.28515625" style="3" customWidth="1"/>
    <col min="14567" max="14821" width="11.5703125" style="3"/>
    <col min="14822" max="14822" width="39.28515625" style="3" customWidth="1"/>
    <col min="14823" max="15077" width="11.5703125" style="3"/>
    <col min="15078" max="15078" width="39.28515625" style="3" customWidth="1"/>
    <col min="15079" max="15333" width="11.5703125" style="3"/>
    <col min="15334" max="15334" width="39.28515625" style="3" customWidth="1"/>
    <col min="15335" max="15559" width="11.5703125" style="3"/>
    <col min="15560" max="16384" width="11.42578125" style="3" customWidth="1"/>
  </cols>
  <sheetData>
    <row r="1" spans="1:54" s="2" customFormat="1" x14ac:dyDescent="0.25">
      <c r="B1" s="49"/>
      <c r="C1" s="13"/>
      <c r="D1" s="13"/>
      <c r="E1" s="49"/>
      <c r="F1" s="13"/>
      <c r="G1" s="13"/>
      <c r="H1" s="49"/>
      <c r="I1" s="13"/>
      <c r="J1" s="13"/>
      <c r="K1" s="13"/>
      <c r="L1" s="49"/>
      <c r="M1" s="13"/>
      <c r="N1" s="13"/>
      <c r="O1" s="49"/>
      <c r="P1" s="13"/>
      <c r="Q1" s="13"/>
      <c r="R1" s="13"/>
      <c r="S1" s="49"/>
      <c r="T1" s="13"/>
      <c r="U1" s="13"/>
      <c r="V1" s="49"/>
      <c r="W1" s="13"/>
      <c r="X1" s="13"/>
      <c r="Y1" s="49"/>
      <c r="Z1" s="13"/>
      <c r="AA1" s="13"/>
      <c r="AB1" s="13"/>
      <c r="AC1" s="49"/>
      <c r="AD1" s="13"/>
      <c r="AE1" s="13"/>
      <c r="AF1" s="49"/>
      <c r="AG1" s="13"/>
      <c r="AH1" s="13"/>
      <c r="AI1" s="13"/>
      <c r="AJ1" s="49"/>
      <c r="AK1" s="13"/>
      <c r="AL1" s="13"/>
      <c r="AM1" s="49"/>
      <c r="AN1" s="13"/>
      <c r="AO1" s="13"/>
      <c r="AP1" s="13"/>
      <c r="AQ1" s="49"/>
      <c r="AR1" s="13"/>
      <c r="AS1" s="13"/>
      <c r="AT1" s="49"/>
      <c r="AU1" s="13"/>
      <c r="AV1" s="13"/>
      <c r="AW1" s="49"/>
      <c r="AX1" s="13"/>
      <c r="AY1" s="13"/>
      <c r="AZ1" s="49"/>
      <c r="BA1" s="13"/>
      <c r="BB1" s="13"/>
    </row>
    <row r="2" spans="1:54" s="2" customFormat="1" ht="14.45" customHeight="1" x14ac:dyDescent="0.25">
      <c r="A2" s="196" t="s">
        <v>38</v>
      </c>
      <c r="B2" s="50"/>
      <c r="C2" s="50"/>
      <c r="D2" s="50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</row>
    <row r="3" spans="1:54" s="2" customFormat="1" ht="15" customHeight="1" x14ac:dyDescent="0.25">
      <c r="A3" s="196"/>
      <c r="B3" s="50"/>
      <c r="C3" s="50"/>
      <c r="D3" s="50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</row>
    <row r="4" spans="1:54" s="7" customFormat="1" ht="28.9" customHeight="1" x14ac:dyDescent="0.25">
      <c r="A4" s="71" t="s">
        <v>33</v>
      </c>
      <c r="B4" s="70">
        <v>2023</v>
      </c>
      <c r="C4" s="72" t="s">
        <v>29</v>
      </c>
      <c r="D4" s="74" t="s">
        <v>30</v>
      </c>
      <c r="E4" s="70" t="s">
        <v>119</v>
      </c>
      <c r="F4" s="72" t="s">
        <v>29</v>
      </c>
      <c r="G4" s="72" t="s">
        <v>30</v>
      </c>
      <c r="H4" s="30" t="s">
        <v>120</v>
      </c>
      <c r="I4" s="72" t="s">
        <v>29</v>
      </c>
      <c r="J4" s="72" t="s">
        <v>30</v>
      </c>
      <c r="K4" s="72" t="s">
        <v>121</v>
      </c>
      <c r="L4" s="73" t="s">
        <v>125</v>
      </c>
      <c r="M4" s="72" t="s">
        <v>29</v>
      </c>
      <c r="N4" s="74" t="s">
        <v>30</v>
      </c>
      <c r="O4" s="70" t="s">
        <v>122</v>
      </c>
      <c r="P4" s="72" t="s">
        <v>29</v>
      </c>
      <c r="Q4" s="72" t="s">
        <v>30</v>
      </c>
      <c r="R4" s="72" t="s">
        <v>121</v>
      </c>
      <c r="S4" s="73" t="s">
        <v>125</v>
      </c>
      <c r="T4" s="72" t="s">
        <v>29</v>
      </c>
      <c r="U4" s="74" t="s">
        <v>30</v>
      </c>
      <c r="V4" s="75" t="s">
        <v>123</v>
      </c>
      <c r="W4" s="72" t="s">
        <v>29</v>
      </c>
      <c r="X4" s="72" t="s">
        <v>124</v>
      </c>
      <c r="Y4" s="70" t="s">
        <v>127</v>
      </c>
      <c r="Z4" s="72" t="s">
        <v>29</v>
      </c>
      <c r="AA4" s="72" t="s">
        <v>30</v>
      </c>
      <c r="AB4" s="72" t="s">
        <v>121</v>
      </c>
      <c r="AC4" s="73" t="s">
        <v>125</v>
      </c>
      <c r="AD4" s="72" t="s">
        <v>29</v>
      </c>
      <c r="AE4" s="74" t="s">
        <v>30</v>
      </c>
      <c r="AF4" s="70" t="s">
        <v>128</v>
      </c>
      <c r="AG4" s="72" t="s">
        <v>29</v>
      </c>
      <c r="AH4" s="72" t="s">
        <v>30</v>
      </c>
      <c r="AI4" s="72" t="s">
        <v>121</v>
      </c>
      <c r="AJ4" s="73" t="s">
        <v>125</v>
      </c>
      <c r="AK4" s="72" t="s">
        <v>29</v>
      </c>
      <c r="AL4" s="74" t="s">
        <v>30</v>
      </c>
      <c r="AM4" s="70" t="s">
        <v>129</v>
      </c>
      <c r="AN4" s="72" t="s">
        <v>29</v>
      </c>
      <c r="AO4" s="72" t="s">
        <v>30</v>
      </c>
      <c r="AP4" s="72" t="s">
        <v>121</v>
      </c>
      <c r="AQ4" s="73" t="s">
        <v>125</v>
      </c>
      <c r="AR4" s="72" t="s">
        <v>29</v>
      </c>
      <c r="AS4" s="74" t="s">
        <v>30</v>
      </c>
      <c r="AT4" s="75" t="s">
        <v>123</v>
      </c>
      <c r="AU4" s="72" t="s">
        <v>29</v>
      </c>
      <c r="AV4" s="72" t="s">
        <v>124</v>
      </c>
      <c r="AW4" s="73" t="s">
        <v>130</v>
      </c>
      <c r="AX4" s="72" t="s">
        <v>29</v>
      </c>
      <c r="AY4" s="74" t="s">
        <v>30</v>
      </c>
      <c r="AZ4" s="75" t="s">
        <v>131</v>
      </c>
      <c r="BA4" s="72" t="s">
        <v>29</v>
      </c>
      <c r="BB4" s="72" t="s">
        <v>124</v>
      </c>
    </row>
    <row r="5" spans="1:54" s="18" customFormat="1" ht="18" customHeight="1" x14ac:dyDescent="0.25">
      <c r="A5" s="15" t="s">
        <v>37</v>
      </c>
      <c r="B5" s="60">
        <f>+B6+B11+B16+B19</f>
        <v>265501.55</v>
      </c>
      <c r="C5" s="26">
        <f>+C6+C11+C16+C19</f>
        <v>1</v>
      </c>
      <c r="D5" s="32"/>
      <c r="E5" s="60">
        <f>+E6+E11+E16+E19</f>
        <v>22820.54</v>
      </c>
      <c r="F5" s="26">
        <f>+F6+F11+F16+F19</f>
        <v>1</v>
      </c>
      <c r="G5" s="26"/>
      <c r="H5" s="51">
        <f>+H6+H11+H16+H19</f>
        <v>24029.919999999998</v>
      </c>
      <c r="I5" s="26">
        <f>+I6+I11+I16+I19</f>
        <v>1</v>
      </c>
      <c r="J5" s="26"/>
      <c r="K5" s="26">
        <f>IF(AND(E5=0,H5&gt;0),100%,IF(AND(E5&lt;0,H5=0),(E5-H5)/E5,IF(AND(E5&gt;0,H5&gt;0),(H5-E5)/E5,IF(AND(E5=0,H5=0),0,(H5-E5)/E5))))</f>
        <v>5.2995240252859808E-2</v>
      </c>
      <c r="L5" s="51">
        <f>+L6+L11+L16+L19</f>
        <v>46850.46</v>
      </c>
      <c r="M5" s="26">
        <f>+M6+M11+M16+M19</f>
        <v>1</v>
      </c>
      <c r="N5" s="32"/>
      <c r="O5" s="60">
        <f>+O6+O11+O16+O19</f>
        <v>24512.29</v>
      </c>
      <c r="P5" s="26">
        <f>+P6+P11+P16+P19</f>
        <v>1</v>
      </c>
      <c r="Q5" s="26"/>
      <c r="R5" s="26">
        <f>IF(AND(H5=0,O5&gt;0),100%,IF(AND(H5&lt;0,O5=0),(H5-O5)/H5,IF(AND(H5&gt;0,O5&gt;0),(O5-H5)/H5,IF(AND(H5=0,O5=0),0,(O5-H5)/H5))))</f>
        <v>2.0073724756470377E-2</v>
      </c>
      <c r="S5" s="51">
        <f>+S6+S11+S16+S19</f>
        <v>71362.75</v>
      </c>
      <c r="T5" s="26">
        <f>+T6+T11+T16+T19</f>
        <v>1</v>
      </c>
      <c r="U5" s="32"/>
      <c r="V5" s="60">
        <f>+V6+V11+V16+V19</f>
        <v>57000</v>
      </c>
      <c r="W5" s="26">
        <f>+W6+W11+W16+W19</f>
        <v>1</v>
      </c>
      <c r="X5" s="32">
        <f>IF(AND(V5=0,S5&gt;0),100%,IF(AND(V5&lt;0,S5=0),(V5-S5)/V5,IF(AND(V5&gt;0,S5&gt;0),(S5-V5)/V5,IF(AND(V5=0,S5=0),0,(S5-V5)/V5))))</f>
        <v>0.25197807017543861</v>
      </c>
      <c r="Y5" s="60">
        <f>+Y6+Y11+Y16+Y19</f>
        <v>23363.1</v>
      </c>
      <c r="Z5" s="26">
        <f>+Z6+Z11+Z16+Z19</f>
        <v>1</v>
      </c>
      <c r="AA5" s="26"/>
      <c r="AB5" s="26">
        <f t="shared" ref="AB5:AB68" si="0">IF(AND(O5=0,Y5&gt;0),100%,IF(AND(O5&lt;0,Y5=0),(O5-Y5)/O5,IF(AND(O5&gt;0,Y5&gt;0),(Y5-O5)/O5,IF(AND(O5=0,Y5=0),0,(Y5-O5)/O5))))</f>
        <v>-4.6882196645029996E-2</v>
      </c>
      <c r="AC5" s="51">
        <f>+AC6+AC11+AC16+AC19</f>
        <v>94725.85</v>
      </c>
      <c r="AD5" s="26">
        <f>+AD6+AD11+AD16+AD19</f>
        <v>1</v>
      </c>
      <c r="AE5" s="32"/>
      <c r="AF5" s="60">
        <f>+AF6+AF11+AF16+AF19</f>
        <v>32031.11</v>
      </c>
      <c r="AG5" s="26">
        <f>+AG6+AG11+AG16+AG19</f>
        <v>1</v>
      </c>
      <c r="AH5" s="26"/>
      <c r="AI5" s="26">
        <f>IF(AND(V5=0,AF5&gt;0),100%,IF(AND(V5&lt;0,AF5=0),(V5-AF5)/V5,IF(AND(V5&gt;0,AF5&gt;0),(AF5-V5)/V5,IF(AND(V5=0,AF5=0),0,(AF5-V5)/V5))))</f>
        <v>-0.43805070175438593</v>
      </c>
      <c r="AJ5" s="51">
        <f>+AJ6+AJ11+AJ16+AJ19</f>
        <v>126756.96</v>
      </c>
      <c r="AK5" s="26">
        <f>+AK6+AK11+AK16+AK19</f>
        <v>1</v>
      </c>
      <c r="AL5" s="32"/>
      <c r="AM5" s="60">
        <f>+AM6+AM11+AM16+AM19</f>
        <v>36857.660000000003</v>
      </c>
      <c r="AN5" s="26">
        <f>+AN6+AN11+AN16+AN19</f>
        <v>1</v>
      </c>
      <c r="AO5" s="26"/>
      <c r="AP5" s="26">
        <f>IF(AND(AC5=0,AM5&gt;0),100%,IF(AND(AC5&lt;0,AM5=0),(AC5-AM5)/AC5,IF(AND(AC5&gt;0,AM5&gt;0),(AM5-AC5)/AC5,IF(AND(AC5=0,AM5=0),0,(AM5-AC5)/AC5))))</f>
        <v>-0.61090177601995654</v>
      </c>
      <c r="AQ5" s="51">
        <f>+AQ6+AQ11+AQ16+AQ19</f>
        <v>163614.62</v>
      </c>
      <c r="AR5" s="26">
        <f>+AR6+AR11+AR16+AR19</f>
        <v>1</v>
      </c>
      <c r="AS5" s="32"/>
      <c r="AT5" s="60">
        <f>+AT6+AT11+AT16+AT19</f>
        <v>114000</v>
      </c>
      <c r="AU5" s="26">
        <f>+AU6+AU11+AU16+AU19</f>
        <v>1</v>
      </c>
      <c r="AV5" s="32">
        <f>IF(AND(AT5=0,AQ5&gt;0),100%,IF(AND(AT5&lt;0,AQ5=0),(AT5-AQ5)/AT5,IF(AND(AT5&gt;0,AQ5&gt;0),(AQ5-AT5)/AT5,IF(AND(AT5=0,AQ5=0),0,(AQ5-AT5)/AT5))))</f>
        <v>0.43521596491228065</v>
      </c>
      <c r="AW5" s="60">
        <f>+AW6+AW11+AW16+AW19</f>
        <v>29000</v>
      </c>
      <c r="AX5" s="26">
        <f>+AX6+AX11+AX16+AX19</f>
        <v>1</v>
      </c>
      <c r="AY5" s="32"/>
      <c r="AZ5" s="60">
        <f>+AZ6+AZ11+AZ16+AZ19</f>
        <v>19000</v>
      </c>
      <c r="BA5" s="26">
        <f>+BA6+BA11+BA16+BA19</f>
        <v>1</v>
      </c>
      <c r="BB5" s="32">
        <f>IF(AND(AZ5=0,AW5&gt;0),100%,IF(AND(AZ5&lt;0,AW5=0),(AZ5-AW5)/AZ5,IF(AND(AZ5&gt;0,AW5&gt;0),(AW5-AZ5)/AZ5,IF(AND(AZ5=0,AW5=0),0,(AW5-AZ5)/AZ5))))</f>
        <v>0.52631578947368418</v>
      </c>
    </row>
    <row r="6" spans="1:54" s="5" customFormat="1" hidden="1" outlineLevel="1" x14ac:dyDescent="0.25">
      <c r="A6" s="27" t="s">
        <v>39</v>
      </c>
      <c r="B6" s="61">
        <f>+B7-B8-B9</f>
        <v>265501.55</v>
      </c>
      <c r="C6" s="28">
        <f>IF(AND(B5=0,B6&gt;=0),,B6/B5)</f>
        <v>1</v>
      </c>
      <c r="D6" s="33"/>
      <c r="E6" s="61">
        <f>+E7-E8-E9</f>
        <v>22820.54</v>
      </c>
      <c r="F6" s="28">
        <f>IF(AND(E5=0,E6&gt;=0),,E6/E5)</f>
        <v>1</v>
      </c>
      <c r="G6" s="29"/>
      <c r="H6" s="52">
        <f>+H7-H8-H9</f>
        <v>24029.919999999998</v>
      </c>
      <c r="I6" s="28">
        <f>IF(AND(H5=0,H6&gt;=0),,H6/H5)</f>
        <v>1</v>
      </c>
      <c r="J6" s="29"/>
      <c r="K6" s="28">
        <f t="shared" ref="K6:K69" si="1">IF(AND(E6=0,H6&gt;0),100%,IF(AND(E6&lt;0,H6=0),(E6-H6)/E6,IF(AND(E6&gt;0,H6&gt;0),(H6-E6)/E6,IF(AND(E6=0,H6=0),0,(H6-E6)/E6))))</f>
        <v>5.2995240252859808E-2</v>
      </c>
      <c r="L6" s="52">
        <f>+L7-L8-L9</f>
        <v>46850.46</v>
      </c>
      <c r="M6" s="28">
        <f>IF(AND(L5=0,L6&gt;=0),,L6/L5)</f>
        <v>1</v>
      </c>
      <c r="N6" s="33"/>
      <c r="O6" s="61">
        <f>+O7-O8-O9</f>
        <v>24512.29</v>
      </c>
      <c r="P6" s="28">
        <f>IF(AND(O5=0,O6&gt;=0),,O6/O5)</f>
        <v>1</v>
      </c>
      <c r="Q6" s="29"/>
      <c r="R6" s="28">
        <f t="shared" ref="R6:R69" si="2">IF(AND(H6=0,O6&gt;0),100%,IF(AND(H6&lt;0,O6=0),(H6-O6)/H6,IF(AND(H6&gt;0,O6&gt;0),(O6-H6)/H6,IF(AND(H6=0,O6=0),0,(O6-H6)/H6))))</f>
        <v>2.0073724756470377E-2</v>
      </c>
      <c r="S6" s="52">
        <f>+S7-S8-S9</f>
        <v>71362.75</v>
      </c>
      <c r="T6" s="28">
        <f>IF(AND(S5=0,S6&gt;=0),,S6/S5)</f>
        <v>1</v>
      </c>
      <c r="U6" s="33"/>
      <c r="V6" s="61">
        <f>+V7-V8-V9</f>
        <v>57000</v>
      </c>
      <c r="W6" s="28">
        <f>IF(AND(V5=0,V6&gt;=0),,V6/V5)</f>
        <v>1</v>
      </c>
      <c r="X6" s="78">
        <f t="shared" ref="X6:X69" si="3">IF(AND(V6=0,S6&gt;0),100%,IF(AND(V6&lt;0,S6=0),(V6-S6)/V6,IF(AND(V6&gt;0,S6&gt;0),(S6-V6)/V6,IF(AND(V6=0,S6=0),0,(S6-V6)/V6))))</f>
        <v>0.25197807017543861</v>
      </c>
      <c r="Y6" s="61">
        <f>+Y7-Y8-Y9</f>
        <v>23363.1</v>
      </c>
      <c r="Z6" s="28">
        <f>IF(AND(Y5=0,Y6&gt;=0),,Y6/Y5)</f>
        <v>1</v>
      </c>
      <c r="AA6" s="29"/>
      <c r="AB6" s="28">
        <f t="shared" si="0"/>
        <v>-4.6882196645029996E-2</v>
      </c>
      <c r="AC6" s="52">
        <f>+AC7-AC8-AC9</f>
        <v>94725.85</v>
      </c>
      <c r="AD6" s="28">
        <f>IF(AND(AC5=0,AC6&gt;=0),,AC6/AC5)</f>
        <v>1</v>
      </c>
      <c r="AE6" s="33"/>
      <c r="AF6" s="61">
        <f>+AF7-AF8-AF9</f>
        <v>32031.11</v>
      </c>
      <c r="AG6" s="28">
        <f>IF(AND(AF5=0,AF6&gt;=0),,AF6/AF5)</f>
        <v>1</v>
      </c>
      <c r="AH6" s="29"/>
      <c r="AI6" s="28">
        <f>IF(AND(V6=0,AF6&gt;0),100%,IF(AND(V6&lt;0,AF6=0),(V6-AF6)/V6,IF(AND(V6&gt;0,AF6&gt;0),(AF6-V6)/V6,IF(AND(V6=0,AF6=0),0,(AF6-V6)/V6))))</f>
        <v>-0.43805070175438593</v>
      </c>
      <c r="AJ6" s="52">
        <f>+AJ7-AJ8-AJ9</f>
        <v>126756.96</v>
      </c>
      <c r="AK6" s="28">
        <f>IF(AND(AJ5=0,AJ6&gt;=0),,AJ6/AJ5)</f>
        <v>1</v>
      </c>
      <c r="AL6" s="33"/>
      <c r="AM6" s="61">
        <f>+AM7-AM8-AM9</f>
        <v>36857.660000000003</v>
      </c>
      <c r="AN6" s="28">
        <f>IF(AND(AM5=0,AM6&gt;=0),,AM6/AM5)</f>
        <v>1</v>
      </c>
      <c r="AO6" s="29"/>
      <c r="AP6" s="28">
        <f>IF(AND(AC6=0,AM6&gt;0),100%,IF(AND(AC6&lt;0,AM6=0),(AC6-AM6)/AC6,IF(AND(AC6&gt;0,AM6&gt;0),(AM6-AC6)/AC6,IF(AND(AC6=0,AM6=0),0,(AM6-AC6)/AC6))))</f>
        <v>-0.61090177601995654</v>
      </c>
      <c r="AQ6" s="52">
        <f>+AQ7-AQ8-AQ9</f>
        <v>163614.62</v>
      </c>
      <c r="AR6" s="28">
        <f>IF(AND(AQ5=0,AQ6&gt;=0),,AQ6/AQ5)</f>
        <v>1</v>
      </c>
      <c r="AS6" s="33"/>
      <c r="AT6" s="61">
        <f>+AT7-AT8-AT9</f>
        <v>114000</v>
      </c>
      <c r="AU6" s="28">
        <f>IF(AND(AT5=0,AT6&gt;=0),,AT6/AT5)</f>
        <v>1</v>
      </c>
      <c r="AV6" s="78">
        <f t="shared" ref="AV6:AV69" si="4">IF(AND(AT6=0,AQ6&gt;0),100%,IF(AND(AT6&lt;0,AQ6=0),(AT6-AQ6)/AT6,IF(AND(AT6&gt;0,AQ6&gt;0),(AQ6-AT6)/AT6,IF(AND(AT6=0,AQ6=0),0,(AQ6-AT6)/AT6))))</f>
        <v>0.43521596491228065</v>
      </c>
      <c r="AW6" s="61">
        <f>+AW7-AW8-AW9</f>
        <v>29000</v>
      </c>
      <c r="AX6" s="28">
        <f>IF(AND(AW5=0,AW6&gt;=0),,AW6/AW5)</f>
        <v>1</v>
      </c>
      <c r="AY6" s="33"/>
      <c r="AZ6" s="61">
        <f>+AZ7-AZ8-AZ9</f>
        <v>19000</v>
      </c>
      <c r="BA6" s="28">
        <f>IF(AND(AZ5=0,AZ6&gt;=0),,AZ6/AZ5)</f>
        <v>1</v>
      </c>
      <c r="BB6" s="78">
        <f t="shared" ref="BB6:BB69" si="5">IF(AND(AZ6=0,AW6&gt;0),100%,IF(AND(AZ6&lt;0,AW6=0),(AZ6-AW6)/AZ6,IF(AND(AZ6&gt;0,AW6&gt;0),(AW6-AZ6)/AZ6,IF(AND(AZ6=0,AW6=0),0,(AW6-AZ6)/AZ6))))</f>
        <v>0.52631578947368418</v>
      </c>
    </row>
    <row r="7" spans="1:54" hidden="1" outlineLevel="1" x14ac:dyDescent="0.25">
      <c r="A7" s="19" t="s">
        <v>34</v>
      </c>
      <c r="B7" s="62">
        <v>265501.55</v>
      </c>
      <c r="C7" s="20">
        <f>IF(AND(B5=0,B7&gt;=0),,B7/B5)</f>
        <v>1</v>
      </c>
      <c r="D7" s="34"/>
      <c r="E7" s="62">
        <v>22820.54</v>
      </c>
      <c r="F7" s="20">
        <f>IF(AND(E5=0,E7&gt;=0),,E7/E5)</f>
        <v>1</v>
      </c>
      <c r="G7" s="12"/>
      <c r="H7" s="53">
        <v>24029.919999999998</v>
      </c>
      <c r="I7" s="20">
        <f>IF(AND(H5=0,H7&gt;=0),,H7/H5)</f>
        <v>1</v>
      </c>
      <c r="J7" s="12"/>
      <c r="K7" s="20">
        <f t="shared" si="1"/>
        <v>5.2995240252859808E-2</v>
      </c>
      <c r="L7" s="53">
        <f>+E7+H7</f>
        <v>46850.46</v>
      </c>
      <c r="M7" s="20">
        <f>IF(AND(L5=0,L7&gt;=0),,L7/L5)</f>
        <v>1</v>
      </c>
      <c r="N7" s="34"/>
      <c r="O7" s="62">
        <v>24512.29</v>
      </c>
      <c r="P7" s="20">
        <f>IF(AND(O5=0,O7&gt;=0),,O7/O5)</f>
        <v>1</v>
      </c>
      <c r="Q7" s="12"/>
      <c r="R7" s="20">
        <f t="shared" si="2"/>
        <v>2.0073724756470377E-2</v>
      </c>
      <c r="S7" s="53">
        <f>+L7+O7</f>
        <v>71362.75</v>
      </c>
      <c r="T7" s="20">
        <f>IF(AND(S5=0,S7&gt;=0),,S7/S5)</f>
        <v>1</v>
      </c>
      <c r="U7" s="34"/>
      <c r="V7" s="62">
        <f>19000*3</f>
        <v>57000</v>
      </c>
      <c r="W7" s="20">
        <f>IF(AND(V5=0,V7&gt;=0),,V7/V5)</f>
        <v>1</v>
      </c>
      <c r="X7" s="37">
        <f t="shared" si="3"/>
        <v>0.25197807017543861</v>
      </c>
      <c r="Y7" s="62">
        <v>23363.1</v>
      </c>
      <c r="Z7" s="20">
        <f>IF(AND(Y5=0,Y7&gt;=0),,Y7/Y5)</f>
        <v>1</v>
      </c>
      <c r="AA7" s="12"/>
      <c r="AB7" s="20">
        <f>IF(AND(O7=0,Y7&gt;0),100%,IF(AND(O7&lt;0,Y7=0),(O7-Y7)/O7,IF(AND(O7&gt;0,Y7&gt;0),(Y7-O7)/O7,IF(AND(O7=0,Y7=0),0,(Y7-O7)/O7))))</f>
        <v>-4.6882196645029996E-2</v>
      </c>
      <c r="AC7" s="53">
        <f>+S7+Y7</f>
        <v>94725.85</v>
      </c>
      <c r="AD7" s="20">
        <f>IF(AND(AC5=0,AC7&gt;=0),,AC7/AC5)</f>
        <v>1</v>
      </c>
      <c r="AE7" s="34"/>
      <c r="AF7" s="62">
        <v>32031.11</v>
      </c>
      <c r="AG7" s="20">
        <f>IF(AND(AF5=0,AF7&gt;=0),,AF7/AF5)</f>
        <v>1</v>
      </c>
      <c r="AH7" s="12"/>
      <c r="AI7" s="20">
        <f>IF(AND(V7=0,AF7&gt;0),100%,IF(AND(V7&lt;0,AF7=0),(V7-AF7)/V7,IF(AND(V7&gt;0,AF7&gt;0),(AF7-V7)/V7,IF(AND(V7=0,AF7=0),0,(AF7-V7)/V7))))</f>
        <v>-0.43805070175438593</v>
      </c>
      <c r="AJ7" s="53">
        <f>+AC7+AF7</f>
        <v>126756.96</v>
      </c>
      <c r="AK7" s="20">
        <f>IF(AND(AJ5=0,AJ7&gt;=0),,AJ7/AJ5)</f>
        <v>1</v>
      </c>
      <c r="AL7" s="34"/>
      <c r="AM7" s="62">
        <v>36857.660000000003</v>
      </c>
      <c r="AN7" s="20">
        <f>IF(AND(AM5=0,AM7&gt;=0),,AM7/AM5)</f>
        <v>1</v>
      </c>
      <c r="AO7" s="12"/>
      <c r="AP7" s="20">
        <f>IF(AND(AC7=0,AM7&gt;0),100%,IF(AND(AC7&lt;0,AM7=0),(AC7-AM7)/AC7,IF(AND(AC7&gt;0,AM7&gt;0),(AM7-AC7)/AC7,IF(AND(AC7=0,AM7=0),0,(AM7-AC7)/AC7))))</f>
        <v>-0.61090177601995654</v>
      </c>
      <c r="AQ7" s="53">
        <f>+AJ7+AM7</f>
        <v>163614.62</v>
      </c>
      <c r="AR7" s="20">
        <f>IF(AND(AQ5=0,AQ7&gt;=0),,AQ7/AQ5)</f>
        <v>1</v>
      </c>
      <c r="AS7" s="34"/>
      <c r="AT7" s="62">
        <f>+V7*2</f>
        <v>114000</v>
      </c>
      <c r="AU7" s="20">
        <f>IF(AND(AT5=0,AT7&gt;=0),,AT7/AT5)</f>
        <v>1</v>
      </c>
      <c r="AV7" s="37">
        <f t="shared" si="4"/>
        <v>0.43521596491228065</v>
      </c>
      <c r="AW7" s="62">
        <f>+BD141</f>
        <v>29000</v>
      </c>
      <c r="AX7" s="20">
        <f>IF(AND(AW5=0,AW7&gt;=0),,AW7/AW5)</f>
        <v>1</v>
      </c>
      <c r="AY7" s="34"/>
      <c r="AZ7" s="62">
        <f>+AT7/6</f>
        <v>19000</v>
      </c>
      <c r="BA7" s="20">
        <f>IF(AND(AZ5=0,AZ7&gt;=0),,AZ7/AZ5)</f>
        <v>1</v>
      </c>
      <c r="BB7" s="37">
        <f t="shared" si="5"/>
        <v>0.52631578947368418</v>
      </c>
    </row>
    <row r="8" spans="1:54" hidden="1" outlineLevel="1" x14ac:dyDescent="0.25">
      <c r="A8" s="19" t="s">
        <v>36</v>
      </c>
      <c r="B8" s="62"/>
      <c r="C8" s="20">
        <f>IF(AND(B5=0,B8&gt;=0),,B8/B5)</f>
        <v>0</v>
      </c>
      <c r="D8" s="34"/>
      <c r="E8" s="62"/>
      <c r="F8" s="20">
        <f>IF(AND(E5=0,E8&gt;=0),,E8/E5)</f>
        <v>0</v>
      </c>
      <c r="G8" s="12"/>
      <c r="I8" s="20">
        <f>IF(AND(H5=0,H8&gt;=0),,H8/H5)</f>
        <v>0</v>
      </c>
      <c r="J8" s="12"/>
      <c r="K8" s="20">
        <f t="shared" si="1"/>
        <v>0</v>
      </c>
      <c r="L8" s="53">
        <f>+E8+H8</f>
        <v>0</v>
      </c>
      <c r="M8" s="20">
        <f>IF(AND(L5=0,L8&gt;=0),,L8/L5)</f>
        <v>0</v>
      </c>
      <c r="N8" s="34"/>
      <c r="O8" s="62"/>
      <c r="P8" s="20">
        <f>IF(AND(O5=0,O8&gt;=0),,O8/O5)</f>
        <v>0</v>
      </c>
      <c r="Q8" s="12"/>
      <c r="R8" s="20">
        <f t="shared" si="2"/>
        <v>0</v>
      </c>
      <c r="S8" s="53">
        <f>+L8+O8</f>
        <v>0</v>
      </c>
      <c r="T8" s="20">
        <f>IF(AND(S5=0,S8&gt;=0),,S8/S5)</f>
        <v>0</v>
      </c>
      <c r="U8" s="34"/>
      <c r="V8" s="62"/>
      <c r="W8" s="20">
        <f>IF(AND(V5=0,V8&gt;=0),,V8/V5)</f>
        <v>0</v>
      </c>
      <c r="X8" s="37">
        <f t="shared" si="3"/>
        <v>0</v>
      </c>
      <c r="Y8" s="62"/>
      <c r="Z8" s="20">
        <f>IF(AND(Y5=0,Y8&gt;=0),,Y8/Y5)</f>
        <v>0</v>
      </c>
      <c r="AA8" s="12"/>
      <c r="AB8" s="20">
        <f t="shared" si="0"/>
        <v>0</v>
      </c>
      <c r="AC8" s="53">
        <f>+S8+Y8</f>
        <v>0</v>
      </c>
      <c r="AD8" s="20">
        <f>IF(AND(AC5=0,AC8&gt;=0),,AC8/AC5)</f>
        <v>0</v>
      </c>
      <c r="AE8" s="34"/>
      <c r="AF8" s="62"/>
      <c r="AG8" s="20">
        <f>IF(AND(AF5=0,AF8&gt;=0),,AF8/AF5)</f>
        <v>0</v>
      </c>
      <c r="AH8" s="12"/>
      <c r="AI8" s="20">
        <f t="shared" ref="AI8:AI71" si="6">IF(AND(V8=0,AF8&gt;0),100%,IF(AND(V8&lt;0,AF8=0),(V8-AF8)/V8,IF(AND(V8&gt;0,AF8&gt;0),(AF8-V8)/V8,IF(AND(V8=0,AF8=0),0,(AF8-V8)/V8))))</f>
        <v>0</v>
      </c>
      <c r="AJ8" s="53">
        <f t="shared" ref="AJ8:AJ71" si="7">+AC8+AF8</f>
        <v>0</v>
      </c>
      <c r="AK8" s="20">
        <f>IF(AND(AJ5=0,AJ8&gt;=0),,AJ8/AJ5)</f>
        <v>0</v>
      </c>
      <c r="AL8" s="34"/>
      <c r="AM8" s="62"/>
      <c r="AN8" s="20">
        <f>IF(AND(AM5=0,AM8&gt;=0),,AM8/AM5)</f>
        <v>0</v>
      </c>
      <c r="AO8" s="12"/>
      <c r="AP8" s="20">
        <f t="shared" ref="AP8:AP71" si="8">IF(AND(AC8=0,AM8&gt;0),100%,IF(AND(AC8&lt;0,AM8=0),(AC8-AM8)/AC8,IF(AND(AC8&gt;0,AM8&gt;0),(AM8-AC8)/AC8,IF(AND(AC8=0,AM8=0),0,(AM8-AC8)/AC8))))</f>
        <v>0</v>
      </c>
      <c r="AQ8" s="53">
        <f t="shared" ref="AQ8:AQ71" si="9">+AJ8+AM8</f>
        <v>0</v>
      </c>
      <c r="AR8" s="20">
        <f>IF(AND(AQ5=0,AQ8&gt;=0),,AQ8/AQ5)</f>
        <v>0</v>
      </c>
      <c r="AS8" s="34"/>
      <c r="AT8" s="62">
        <f>+V8*2</f>
        <v>0</v>
      </c>
      <c r="AU8" s="20">
        <f>IF(AND(AT5=0,AT8&gt;=0),,AT8/AT5)</f>
        <v>0</v>
      </c>
      <c r="AV8" s="37">
        <f t="shared" si="4"/>
        <v>0</v>
      </c>
      <c r="AW8" s="62">
        <f>+AQ8/6</f>
        <v>0</v>
      </c>
      <c r="AX8" s="20">
        <f>IF(AND(AW5=0,AW8&gt;=0),,AW8/AW5)</f>
        <v>0</v>
      </c>
      <c r="AY8" s="34"/>
      <c r="AZ8" s="62">
        <f>+AT8/6</f>
        <v>0</v>
      </c>
      <c r="BA8" s="20">
        <f>IF(AND(AZ5=0,AZ8&gt;=0),,AZ8/AZ5)</f>
        <v>0</v>
      </c>
      <c r="BB8" s="37">
        <f t="shared" si="5"/>
        <v>0</v>
      </c>
    </row>
    <row r="9" spans="1:54" hidden="1" outlineLevel="1" x14ac:dyDescent="0.25">
      <c r="A9" s="19" t="s">
        <v>53</v>
      </c>
      <c r="B9" s="62"/>
      <c r="C9" s="20">
        <f>IF(AND(B5=0,B9&gt;=0),,B9/B5)</f>
        <v>0</v>
      </c>
      <c r="D9" s="34"/>
      <c r="E9" s="62"/>
      <c r="F9" s="20">
        <f>IF(AND(E5=0,E9&gt;=0),,E9/E5)</f>
        <v>0</v>
      </c>
      <c r="G9" s="12"/>
      <c r="I9" s="20">
        <f>IF(AND(H5=0,H9&gt;=0),,H9/H5)</f>
        <v>0</v>
      </c>
      <c r="J9" s="12"/>
      <c r="K9" s="20">
        <f t="shared" si="1"/>
        <v>0</v>
      </c>
      <c r="L9" s="53">
        <f>+E9+H9</f>
        <v>0</v>
      </c>
      <c r="M9" s="20">
        <f>IF(AND(L5=0,L9&gt;=0),,L9/L5)</f>
        <v>0</v>
      </c>
      <c r="N9" s="34"/>
      <c r="O9" s="62"/>
      <c r="P9" s="20">
        <f>IF(AND(O5=0,O9&gt;=0),,O9/O5)</f>
        <v>0</v>
      </c>
      <c r="Q9" s="12"/>
      <c r="R9" s="20">
        <f t="shared" si="2"/>
        <v>0</v>
      </c>
      <c r="S9" s="53">
        <f>+L9+O9</f>
        <v>0</v>
      </c>
      <c r="T9" s="20">
        <f>IF(AND(S5=0,S9&gt;=0),,S9/S5)</f>
        <v>0</v>
      </c>
      <c r="U9" s="34"/>
      <c r="V9" s="62"/>
      <c r="W9" s="20">
        <f>IF(AND(V5=0,V9&gt;=0),,V9/V5)</f>
        <v>0</v>
      </c>
      <c r="X9" s="37">
        <f t="shared" si="3"/>
        <v>0</v>
      </c>
      <c r="Y9" s="62"/>
      <c r="Z9" s="20">
        <f>IF(AND(Y5=0,Y9&gt;=0),,Y9/Y5)</f>
        <v>0</v>
      </c>
      <c r="AA9" s="12"/>
      <c r="AB9" s="20">
        <f t="shared" si="0"/>
        <v>0</v>
      </c>
      <c r="AC9" s="53">
        <f>+S9+Y9</f>
        <v>0</v>
      </c>
      <c r="AD9" s="20">
        <f>IF(AND(AC5=0,AC9&gt;=0),,AC9/AC5)</f>
        <v>0</v>
      </c>
      <c r="AE9" s="34"/>
      <c r="AF9" s="62"/>
      <c r="AG9" s="20">
        <f>IF(AND(AF5=0,AF9&gt;=0),,AF9/AF5)</f>
        <v>0</v>
      </c>
      <c r="AH9" s="12"/>
      <c r="AI9" s="20">
        <f t="shared" si="6"/>
        <v>0</v>
      </c>
      <c r="AJ9" s="53">
        <f t="shared" si="7"/>
        <v>0</v>
      </c>
      <c r="AK9" s="20">
        <f>IF(AND(AJ5=0,AJ9&gt;=0),,AJ9/AJ5)</f>
        <v>0</v>
      </c>
      <c r="AL9" s="34"/>
      <c r="AM9" s="62"/>
      <c r="AN9" s="20">
        <f>IF(AND(AM5=0,AM9&gt;=0),,AM9/AM5)</f>
        <v>0</v>
      </c>
      <c r="AO9" s="12"/>
      <c r="AP9" s="20">
        <f t="shared" si="8"/>
        <v>0</v>
      </c>
      <c r="AQ9" s="53">
        <f t="shared" si="9"/>
        <v>0</v>
      </c>
      <c r="AR9" s="20">
        <f>IF(AND(AQ5=0,AQ9&gt;=0),,AQ9/AQ5)</f>
        <v>0</v>
      </c>
      <c r="AS9" s="34"/>
      <c r="AT9" s="62">
        <f>+V9*2</f>
        <v>0</v>
      </c>
      <c r="AU9" s="20">
        <f>IF(AND(AT5=0,AT9&gt;=0),,AT9/AT5)</f>
        <v>0</v>
      </c>
      <c r="AV9" s="37">
        <f t="shared" si="4"/>
        <v>0</v>
      </c>
      <c r="AW9" s="62">
        <f>+AQ9/6</f>
        <v>0</v>
      </c>
      <c r="AX9" s="20">
        <f>IF(AND(AW5=0,AW9&gt;=0),,AW9/AW5)</f>
        <v>0</v>
      </c>
      <c r="AY9" s="34"/>
      <c r="AZ9" s="62">
        <f>+AT9/6</f>
        <v>0</v>
      </c>
      <c r="BA9" s="20">
        <f>IF(AND(AZ5=0,AZ9&gt;=0),,AZ9/AZ5)</f>
        <v>0</v>
      </c>
      <c r="BB9" s="37">
        <f t="shared" si="5"/>
        <v>0</v>
      </c>
    </row>
    <row r="10" spans="1:54" hidden="1" outlineLevel="1" x14ac:dyDescent="0.25">
      <c r="A10" s="19"/>
      <c r="B10" s="62"/>
      <c r="C10" s="20"/>
      <c r="D10" s="34"/>
      <c r="E10" s="62"/>
      <c r="F10" s="20"/>
      <c r="G10" s="12"/>
      <c r="I10" s="20"/>
      <c r="J10" s="12"/>
      <c r="K10" s="20">
        <f t="shared" si="1"/>
        <v>0</v>
      </c>
      <c r="M10" s="20"/>
      <c r="N10" s="34"/>
      <c r="O10" s="62"/>
      <c r="P10" s="20"/>
      <c r="Q10" s="12"/>
      <c r="R10" s="20">
        <f t="shared" si="2"/>
        <v>0</v>
      </c>
      <c r="T10" s="20"/>
      <c r="U10" s="34"/>
      <c r="V10" s="62"/>
      <c r="W10" s="20"/>
      <c r="X10" s="37">
        <f t="shared" si="3"/>
        <v>0</v>
      </c>
      <c r="Y10" s="62"/>
      <c r="Z10" s="20"/>
      <c r="AA10" s="12"/>
      <c r="AB10" s="20">
        <f t="shared" si="0"/>
        <v>0</v>
      </c>
      <c r="AD10" s="20"/>
      <c r="AE10" s="34"/>
      <c r="AF10" s="62"/>
      <c r="AG10" s="20"/>
      <c r="AH10" s="12"/>
      <c r="AI10" s="20">
        <f t="shared" si="6"/>
        <v>0</v>
      </c>
      <c r="AJ10" s="53">
        <f t="shared" si="7"/>
        <v>0</v>
      </c>
      <c r="AK10" s="20"/>
      <c r="AL10" s="34"/>
      <c r="AM10" s="62"/>
      <c r="AN10" s="20"/>
      <c r="AO10" s="12"/>
      <c r="AP10" s="20">
        <f t="shared" si="8"/>
        <v>0</v>
      </c>
      <c r="AQ10" s="53">
        <f t="shared" si="9"/>
        <v>0</v>
      </c>
      <c r="AR10" s="20"/>
      <c r="AS10" s="34"/>
      <c r="AT10" s="62">
        <f>+V10*2</f>
        <v>0</v>
      </c>
      <c r="AU10" s="20"/>
      <c r="AV10" s="37">
        <f t="shared" si="4"/>
        <v>0</v>
      </c>
      <c r="AW10" s="62"/>
      <c r="AX10" s="20"/>
      <c r="AY10" s="34"/>
      <c r="AZ10" s="62">
        <f>+AT10/6</f>
        <v>0</v>
      </c>
      <c r="BA10" s="20"/>
      <c r="BB10" s="37">
        <f t="shared" si="5"/>
        <v>0</v>
      </c>
    </row>
    <row r="11" spans="1:54" s="5" customFormat="1" hidden="1" outlineLevel="1" x14ac:dyDescent="0.25">
      <c r="A11" s="27" t="s">
        <v>43</v>
      </c>
      <c r="B11" s="61">
        <f>SUM(B12:B15)</f>
        <v>0</v>
      </c>
      <c r="C11" s="28">
        <f>IF(AND(B5=0,B11&gt;=0),,B11/B5)</f>
        <v>0</v>
      </c>
      <c r="D11" s="33"/>
      <c r="E11" s="61">
        <f>SUM(E12:E15)</f>
        <v>0</v>
      </c>
      <c r="F11" s="28">
        <f>IF(AND(E5=0,E11&gt;=0),,E11/E5)</f>
        <v>0</v>
      </c>
      <c r="G11" s="29"/>
      <c r="H11" s="52">
        <f>SUM(H12:H15)</f>
        <v>0</v>
      </c>
      <c r="I11" s="28">
        <f>IF(AND(H5=0,H11&gt;=0),,H11/H5)</f>
        <v>0</v>
      </c>
      <c r="J11" s="29"/>
      <c r="K11" s="28">
        <f t="shared" si="1"/>
        <v>0</v>
      </c>
      <c r="L11" s="52">
        <f>SUM(L12:L15)</f>
        <v>0</v>
      </c>
      <c r="M11" s="28">
        <f>IF(AND(L5=0,L11&gt;=0),,L11/L5)</f>
        <v>0</v>
      </c>
      <c r="N11" s="33"/>
      <c r="O11" s="61">
        <f>SUM(O12:O15)</f>
        <v>0</v>
      </c>
      <c r="P11" s="28">
        <f>IF(AND(O5=0,O11&gt;=0),,O11/O5)</f>
        <v>0</v>
      </c>
      <c r="Q11" s="29"/>
      <c r="R11" s="28">
        <f t="shared" si="2"/>
        <v>0</v>
      </c>
      <c r="S11" s="52">
        <f>SUM(S12:S15)</f>
        <v>0</v>
      </c>
      <c r="T11" s="28">
        <f>IF(AND(S5=0,S11&gt;=0),,S11/S5)</f>
        <v>0</v>
      </c>
      <c r="U11" s="33"/>
      <c r="V11" s="61">
        <f>SUM(V12:V15)</f>
        <v>0</v>
      </c>
      <c r="W11" s="28">
        <f>IF(AND(V5=0,V11&gt;=0),,V11/V5)</f>
        <v>0</v>
      </c>
      <c r="X11" s="78">
        <f t="shared" si="3"/>
        <v>0</v>
      </c>
      <c r="Y11" s="61">
        <f>SUM(Y12:Y15)</f>
        <v>0</v>
      </c>
      <c r="Z11" s="28">
        <f>IF(AND(Y5=0,Y11&gt;=0),,Y11/Y5)</f>
        <v>0</v>
      </c>
      <c r="AA11" s="29"/>
      <c r="AB11" s="28">
        <f t="shared" si="0"/>
        <v>0</v>
      </c>
      <c r="AC11" s="52">
        <f>SUM(AC12:AC15)</f>
        <v>0</v>
      </c>
      <c r="AD11" s="28">
        <f>IF(AND(AC5=0,AC11&gt;=0),,AC11/AC5)</f>
        <v>0</v>
      </c>
      <c r="AE11" s="33"/>
      <c r="AF11" s="61">
        <f>SUM(AF12:AF15)</f>
        <v>0</v>
      </c>
      <c r="AG11" s="28">
        <f>IF(AND(AF5=0,AF11&gt;=0),,AF11/AF5)</f>
        <v>0</v>
      </c>
      <c r="AH11" s="29"/>
      <c r="AI11" s="28">
        <f t="shared" si="6"/>
        <v>0</v>
      </c>
      <c r="AJ11" s="52">
        <f t="shared" si="7"/>
        <v>0</v>
      </c>
      <c r="AK11" s="28">
        <f>IF(AND(AJ5=0,AJ11&gt;=0),,AJ11/AJ5)</f>
        <v>0</v>
      </c>
      <c r="AL11" s="33"/>
      <c r="AM11" s="61">
        <f>SUM(AM12:AM15)</f>
        <v>0</v>
      </c>
      <c r="AN11" s="28">
        <f>IF(AND(AM5=0,AM11&gt;=0),,AM11/AM5)</f>
        <v>0</v>
      </c>
      <c r="AO11" s="29"/>
      <c r="AP11" s="28">
        <f t="shared" si="8"/>
        <v>0</v>
      </c>
      <c r="AQ11" s="52">
        <f t="shared" si="9"/>
        <v>0</v>
      </c>
      <c r="AR11" s="28">
        <f>IF(AND(AQ5=0,AQ11&gt;=0),,AQ11/AQ5)</f>
        <v>0</v>
      </c>
      <c r="AS11" s="33"/>
      <c r="AT11" s="61">
        <f>SUM(AT12:AT15)</f>
        <v>0</v>
      </c>
      <c r="AU11" s="28">
        <f>IF(AND(AT5=0,AT11&gt;=0),,AT11/AT5)</f>
        <v>0</v>
      </c>
      <c r="AV11" s="78">
        <f t="shared" si="4"/>
        <v>0</v>
      </c>
      <c r="AW11" s="61">
        <f>SUM(AW12:AW15)</f>
        <v>0</v>
      </c>
      <c r="AX11" s="28">
        <f>IF(AND(AW5=0,AW11&gt;=0),,AW11/AW5)</f>
        <v>0</v>
      </c>
      <c r="AY11" s="33"/>
      <c r="AZ11" s="61">
        <f>SUM(AZ12:AZ15)</f>
        <v>0</v>
      </c>
      <c r="BA11" s="28">
        <f>IF(AND(AZ5=0,AZ11&gt;=0),,AZ11/AZ5)</f>
        <v>0</v>
      </c>
      <c r="BB11" s="78">
        <f t="shared" si="5"/>
        <v>0</v>
      </c>
    </row>
    <row r="12" spans="1:54" hidden="1" outlineLevel="1" x14ac:dyDescent="0.25">
      <c r="A12" s="19" t="s">
        <v>40</v>
      </c>
      <c r="B12" s="62"/>
      <c r="C12" s="20">
        <f>IF(AND(B5=0,B12&gt;=0),,B12/B5)</f>
        <v>0</v>
      </c>
      <c r="D12" s="34"/>
      <c r="E12" s="62"/>
      <c r="F12" s="20">
        <f>IF(AND(E5=0,E12&gt;=0),,E12/E5)</f>
        <v>0</v>
      </c>
      <c r="G12" s="12"/>
      <c r="I12" s="20">
        <f>IF(AND(H5=0,H12&gt;=0),,H12/H5)</f>
        <v>0</v>
      </c>
      <c r="J12" s="12"/>
      <c r="K12" s="20">
        <f t="shared" si="1"/>
        <v>0</v>
      </c>
      <c r="L12" s="53">
        <f>+E12+H12</f>
        <v>0</v>
      </c>
      <c r="M12" s="20">
        <f>IF(AND(L5=0,L12&gt;=0),,L12/L5)</f>
        <v>0</v>
      </c>
      <c r="N12" s="34"/>
      <c r="O12" s="62"/>
      <c r="P12" s="20">
        <f>IF(AND(O5=0,O12&gt;=0),,O12/O5)</f>
        <v>0</v>
      </c>
      <c r="Q12" s="12"/>
      <c r="R12" s="20">
        <f t="shared" si="2"/>
        <v>0</v>
      </c>
      <c r="S12" s="53">
        <f>+L12+O12</f>
        <v>0</v>
      </c>
      <c r="T12" s="20">
        <f>IF(AND(S5=0,S12&gt;=0),,S12/S5)</f>
        <v>0</v>
      </c>
      <c r="U12" s="34"/>
      <c r="V12" s="62"/>
      <c r="W12" s="20">
        <f>IF(AND(V5=0,V12&gt;=0),,V12/V5)</f>
        <v>0</v>
      </c>
      <c r="X12" s="37">
        <f t="shared" si="3"/>
        <v>0</v>
      </c>
      <c r="Y12" s="62"/>
      <c r="Z12" s="20">
        <f>IF(AND(Y5=0,Y12&gt;=0),,Y12/Y5)</f>
        <v>0</v>
      </c>
      <c r="AA12" s="12"/>
      <c r="AB12" s="20">
        <f t="shared" si="0"/>
        <v>0</v>
      </c>
      <c r="AC12" s="53">
        <f>+S12+Y12</f>
        <v>0</v>
      </c>
      <c r="AD12" s="20">
        <f>IF(AND(AC5=0,AC12&gt;=0),,AC12/AC5)</f>
        <v>0</v>
      </c>
      <c r="AE12" s="34"/>
      <c r="AF12" s="62"/>
      <c r="AG12" s="20">
        <f>IF(AND(AF5=0,AF12&gt;=0),,AF12/AF5)</f>
        <v>0</v>
      </c>
      <c r="AH12" s="12"/>
      <c r="AI12" s="20">
        <f t="shared" si="6"/>
        <v>0</v>
      </c>
      <c r="AJ12" s="53">
        <f t="shared" si="7"/>
        <v>0</v>
      </c>
      <c r="AK12" s="20">
        <f>IF(AND(AJ5=0,AJ12&gt;=0),,AJ12/AJ5)</f>
        <v>0</v>
      </c>
      <c r="AL12" s="34"/>
      <c r="AM12" s="62"/>
      <c r="AN12" s="20">
        <f>IF(AND(AM5=0,AM12&gt;=0),,AM12/AM5)</f>
        <v>0</v>
      </c>
      <c r="AO12" s="12"/>
      <c r="AP12" s="20">
        <f t="shared" si="8"/>
        <v>0</v>
      </c>
      <c r="AQ12" s="53">
        <f t="shared" si="9"/>
        <v>0</v>
      </c>
      <c r="AR12" s="20">
        <f>IF(AND(AQ5=0,AQ12&gt;=0),,AQ12/AQ5)</f>
        <v>0</v>
      </c>
      <c r="AS12" s="34"/>
      <c r="AT12" s="62">
        <f>+V12*2</f>
        <v>0</v>
      </c>
      <c r="AU12" s="20">
        <f>IF(AND(AT5=0,AT12&gt;=0),,AT12/AT5)</f>
        <v>0</v>
      </c>
      <c r="AV12" s="37">
        <f t="shared" si="4"/>
        <v>0</v>
      </c>
      <c r="AW12" s="62">
        <f>+AQ12/6</f>
        <v>0</v>
      </c>
      <c r="AX12" s="20">
        <f>IF(AND(AW5=0,AW12&gt;=0),,AW12/AW5)</f>
        <v>0</v>
      </c>
      <c r="AY12" s="34"/>
      <c r="AZ12" s="62">
        <f>+AT12/6</f>
        <v>0</v>
      </c>
      <c r="BA12" s="20">
        <f>IF(AND(AZ5=0,AZ12&gt;=0),,AZ12/AZ5)</f>
        <v>0</v>
      </c>
      <c r="BB12" s="37">
        <f t="shared" si="5"/>
        <v>0</v>
      </c>
    </row>
    <row r="13" spans="1:54" hidden="1" outlineLevel="1" x14ac:dyDescent="0.25">
      <c r="A13" s="19" t="s">
        <v>41</v>
      </c>
      <c r="B13" s="62"/>
      <c r="C13" s="20">
        <f>IF(AND(B5=0,B13&gt;=0),,B13/B5)</f>
        <v>0</v>
      </c>
      <c r="D13" s="34"/>
      <c r="E13" s="62"/>
      <c r="F13" s="20">
        <f>IF(AND(E5=0,E13&gt;=0),,E13/E5)</f>
        <v>0</v>
      </c>
      <c r="G13" s="12"/>
      <c r="I13" s="20">
        <f>IF(AND(H5=0,H13&gt;=0),,H13/H5)</f>
        <v>0</v>
      </c>
      <c r="J13" s="12"/>
      <c r="K13" s="20">
        <f t="shared" si="1"/>
        <v>0</v>
      </c>
      <c r="L13" s="53">
        <f>+E13+H13</f>
        <v>0</v>
      </c>
      <c r="M13" s="20">
        <f>IF(AND(L5=0,L13&gt;=0),,L13/L5)</f>
        <v>0</v>
      </c>
      <c r="N13" s="34"/>
      <c r="O13" s="62"/>
      <c r="P13" s="20">
        <f>IF(AND(O5=0,O13&gt;=0),,O13/O5)</f>
        <v>0</v>
      </c>
      <c r="Q13" s="12"/>
      <c r="R13" s="20">
        <f t="shared" si="2"/>
        <v>0</v>
      </c>
      <c r="S13" s="53">
        <f>+L13+O13</f>
        <v>0</v>
      </c>
      <c r="T13" s="20">
        <f>IF(AND(S5=0,S13&gt;=0),,S13/S5)</f>
        <v>0</v>
      </c>
      <c r="U13" s="34"/>
      <c r="V13" s="62"/>
      <c r="W13" s="20">
        <f>IF(AND(V5=0,V13&gt;=0),,V13/V5)</f>
        <v>0</v>
      </c>
      <c r="X13" s="37">
        <f t="shared" si="3"/>
        <v>0</v>
      </c>
      <c r="Y13" s="62"/>
      <c r="Z13" s="20">
        <f>IF(AND(Y5=0,Y13&gt;=0),,Y13/Y5)</f>
        <v>0</v>
      </c>
      <c r="AA13" s="12"/>
      <c r="AB13" s="20">
        <f t="shared" si="0"/>
        <v>0</v>
      </c>
      <c r="AC13" s="53">
        <f>+S13+Y13</f>
        <v>0</v>
      </c>
      <c r="AD13" s="20">
        <f>IF(AND(AC5=0,AC13&gt;=0),,AC13/AC5)</f>
        <v>0</v>
      </c>
      <c r="AE13" s="34"/>
      <c r="AF13" s="62"/>
      <c r="AG13" s="20">
        <f>IF(AND(AF5=0,AF13&gt;=0),,AF13/AF5)</f>
        <v>0</v>
      </c>
      <c r="AH13" s="12"/>
      <c r="AI13" s="20">
        <f t="shared" si="6"/>
        <v>0</v>
      </c>
      <c r="AJ13" s="53">
        <f t="shared" si="7"/>
        <v>0</v>
      </c>
      <c r="AK13" s="20">
        <f>IF(AND(AJ5=0,AJ13&gt;=0),,AJ13/AJ5)</f>
        <v>0</v>
      </c>
      <c r="AL13" s="34"/>
      <c r="AM13" s="62"/>
      <c r="AN13" s="20">
        <f>IF(AND(AM5=0,AM13&gt;=0),,AM13/AM5)</f>
        <v>0</v>
      </c>
      <c r="AO13" s="12"/>
      <c r="AP13" s="20">
        <f t="shared" si="8"/>
        <v>0</v>
      </c>
      <c r="AQ13" s="53">
        <f t="shared" si="9"/>
        <v>0</v>
      </c>
      <c r="AR13" s="20">
        <f>IF(AND(AQ5=0,AQ13&gt;=0),,AQ13/AQ5)</f>
        <v>0</v>
      </c>
      <c r="AS13" s="34"/>
      <c r="AT13" s="62">
        <f>+V13*2</f>
        <v>0</v>
      </c>
      <c r="AU13" s="20">
        <f>IF(AND(AT5=0,AT13&gt;=0),,AT13/AT5)</f>
        <v>0</v>
      </c>
      <c r="AV13" s="37">
        <f t="shared" si="4"/>
        <v>0</v>
      </c>
      <c r="AW13" s="62">
        <f>+AQ13/6</f>
        <v>0</v>
      </c>
      <c r="AX13" s="20">
        <f>IF(AND(AW5=0,AW13&gt;=0),,AW13/AW5)</f>
        <v>0</v>
      </c>
      <c r="AY13" s="34"/>
      <c r="AZ13" s="62">
        <f>+AT13/6</f>
        <v>0</v>
      </c>
      <c r="BA13" s="20">
        <f>IF(AND(AZ5=0,AZ13&gt;=0),,AZ13/AZ5)</f>
        <v>0</v>
      </c>
      <c r="BB13" s="37">
        <f t="shared" si="5"/>
        <v>0</v>
      </c>
    </row>
    <row r="14" spans="1:54" hidden="1" outlineLevel="1" x14ac:dyDescent="0.25">
      <c r="A14" s="19" t="s">
        <v>42</v>
      </c>
      <c r="B14" s="62"/>
      <c r="C14" s="20">
        <f>IF(AND(B5=0,B14&gt;=0),,B14/B5)</f>
        <v>0</v>
      </c>
      <c r="D14" s="34"/>
      <c r="E14" s="62"/>
      <c r="F14" s="20">
        <f>IF(AND(E5=0,E14&gt;=0),,E14/E5)</f>
        <v>0</v>
      </c>
      <c r="G14" s="12"/>
      <c r="I14" s="20">
        <f>IF(AND(H5=0,H14&gt;=0),,H14/H5)</f>
        <v>0</v>
      </c>
      <c r="J14" s="12"/>
      <c r="K14" s="20">
        <f t="shared" si="1"/>
        <v>0</v>
      </c>
      <c r="L14" s="53">
        <f>+E14+H14</f>
        <v>0</v>
      </c>
      <c r="M14" s="20">
        <f>IF(AND(L5=0,L14&gt;=0),,L14/L5)</f>
        <v>0</v>
      </c>
      <c r="N14" s="34"/>
      <c r="O14" s="62"/>
      <c r="P14" s="20">
        <f>IF(AND(O5=0,O14&gt;=0),,O14/O5)</f>
        <v>0</v>
      </c>
      <c r="Q14" s="12"/>
      <c r="R14" s="20">
        <f t="shared" si="2"/>
        <v>0</v>
      </c>
      <c r="S14" s="53">
        <f>+L14+O14</f>
        <v>0</v>
      </c>
      <c r="T14" s="20">
        <f>IF(AND(S5=0,S14&gt;=0),,S14/S5)</f>
        <v>0</v>
      </c>
      <c r="U14" s="34"/>
      <c r="V14" s="62"/>
      <c r="W14" s="20">
        <f>IF(AND(V5=0,V14&gt;=0),,V14/V5)</f>
        <v>0</v>
      </c>
      <c r="X14" s="37">
        <f t="shared" si="3"/>
        <v>0</v>
      </c>
      <c r="Y14" s="62"/>
      <c r="Z14" s="20">
        <f>IF(AND(Y5=0,Y14&gt;=0),,Y14/Y5)</f>
        <v>0</v>
      </c>
      <c r="AA14" s="12"/>
      <c r="AB14" s="20">
        <f t="shared" si="0"/>
        <v>0</v>
      </c>
      <c r="AC14" s="53">
        <f>+S14+Y14</f>
        <v>0</v>
      </c>
      <c r="AD14" s="20">
        <f>IF(AND(AC5=0,AC14&gt;=0),,AC14/AC5)</f>
        <v>0</v>
      </c>
      <c r="AE14" s="34"/>
      <c r="AF14" s="62"/>
      <c r="AG14" s="20">
        <f>IF(AND(AF5=0,AF14&gt;=0),,AF14/AF5)</f>
        <v>0</v>
      </c>
      <c r="AH14" s="12"/>
      <c r="AI14" s="20">
        <f t="shared" si="6"/>
        <v>0</v>
      </c>
      <c r="AJ14" s="53">
        <f t="shared" si="7"/>
        <v>0</v>
      </c>
      <c r="AK14" s="20">
        <f>IF(AND(AJ5=0,AJ14&gt;=0),,AJ14/AJ5)</f>
        <v>0</v>
      </c>
      <c r="AL14" s="34"/>
      <c r="AM14" s="62"/>
      <c r="AN14" s="20">
        <f>IF(AND(AM5=0,AM14&gt;=0),,AM14/AM5)</f>
        <v>0</v>
      </c>
      <c r="AO14" s="12"/>
      <c r="AP14" s="20">
        <f t="shared" si="8"/>
        <v>0</v>
      </c>
      <c r="AQ14" s="53">
        <f t="shared" si="9"/>
        <v>0</v>
      </c>
      <c r="AR14" s="20">
        <f>IF(AND(AQ5=0,AQ14&gt;=0),,AQ14/AQ5)</f>
        <v>0</v>
      </c>
      <c r="AS14" s="34"/>
      <c r="AT14" s="62">
        <f>+V14*2</f>
        <v>0</v>
      </c>
      <c r="AU14" s="20">
        <f>IF(AND(AT5=0,AT14&gt;=0),,AT14/AT5)</f>
        <v>0</v>
      </c>
      <c r="AV14" s="37">
        <f t="shared" si="4"/>
        <v>0</v>
      </c>
      <c r="AW14" s="62">
        <f>+AQ14/6</f>
        <v>0</v>
      </c>
      <c r="AX14" s="20">
        <f>IF(AND(AW5=0,AW14&gt;=0),,AW14/AW5)</f>
        <v>0</v>
      </c>
      <c r="AY14" s="34"/>
      <c r="AZ14" s="62">
        <f>+AT14/6</f>
        <v>0</v>
      </c>
      <c r="BA14" s="20">
        <f>IF(AND(AZ5=0,AZ14&gt;=0),,AZ14/AZ5)</f>
        <v>0</v>
      </c>
      <c r="BB14" s="37">
        <f t="shared" si="5"/>
        <v>0</v>
      </c>
    </row>
    <row r="15" spans="1:54" hidden="1" outlineLevel="1" x14ac:dyDescent="0.25">
      <c r="A15" s="21"/>
      <c r="B15" s="62"/>
      <c r="C15" s="20"/>
      <c r="D15" s="34"/>
      <c r="E15" s="62"/>
      <c r="F15" s="20"/>
      <c r="G15" s="12"/>
      <c r="I15" s="20"/>
      <c r="J15" s="12"/>
      <c r="K15" s="20">
        <f t="shared" si="1"/>
        <v>0</v>
      </c>
      <c r="M15" s="20"/>
      <c r="N15" s="34"/>
      <c r="O15" s="62"/>
      <c r="P15" s="20"/>
      <c r="Q15" s="12"/>
      <c r="R15" s="20">
        <f t="shared" si="2"/>
        <v>0</v>
      </c>
      <c r="T15" s="20"/>
      <c r="U15" s="34"/>
      <c r="V15" s="62"/>
      <c r="W15" s="20"/>
      <c r="X15" s="37">
        <f t="shared" si="3"/>
        <v>0</v>
      </c>
      <c r="Y15" s="62"/>
      <c r="Z15" s="20"/>
      <c r="AA15" s="12"/>
      <c r="AB15" s="20">
        <f t="shared" si="0"/>
        <v>0</v>
      </c>
      <c r="AD15" s="20"/>
      <c r="AE15" s="34"/>
      <c r="AF15" s="62"/>
      <c r="AG15" s="20"/>
      <c r="AH15" s="12"/>
      <c r="AI15" s="20">
        <f t="shared" si="6"/>
        <v>0</v>
      </c>
      <c r="AJ15" s="53">
        <f t="shared" si="7"/>
        <v>0</v>
      </c>
      <c r="AK15" s="20"/>
      <c r="AL15" s="34"/>
      <c r="AM15" s="62"/>
      <c r="AN15" s="20"/>
      <c r="AO15" s="12"/>
      <c r="AP15" s="20">
        <f t="shared" si="8"/>
        <v>0</v>
      </c>
      <c r="AQ15" s="53">
        <f t="shared" si="9"/>
        <v>0</v>
      </c>
      <c r="AR15" s="20"/>
      <c r="AS15" s="34"/>
      <c r="AT15" s="62">
        <f>+V15*2</f>
        <v>0</v>
      </c>
      <c r="AU15" s="20"/>
      <c r="AV15" s="37">
        <f t="shared" si="4"/>
        <v>0</v>
      </c>
      <c r="AW15" s="62">
        <f>+AQ15/6</f>
        <v>0</v>
      </c>
      <c r="AX15" s="20"/>
      <c r="AY15" s="34"/>
      <c r="AZ15" s="62">
        <f>+AT15/6</f>
        <v>0</v>
      </c>
      <c r="BA15" s="20"/>
      <c r="BB15" s="37">
        <f t="shared" si="5"/>
        <v>0</v>
      </c>
    </row>
    <row r="16" spans="1:54" s="5" customFormat="1" hidden="1" outlineLevel="1" x14ac:dyDescent="0.25">
      <c r="A16" s="27" t="s">
        <v>44</v>
      </c>
      <c r="B16" s="61">
        <f>SUM(B17:B18)</f>
        <v>0</v>
      </c>
      <c r="C16" s="28">
        <f>IF(AND(B5=0,B16&gt;=0),,B16/B5)</f>
        <v>0</v>
      </c>
      <c r="D16" s="33"/>
      <c r="E16" s="61">
        <f>SUM(E17:E18)</f>
        <v>0</v>
      </c>
      <c r="F16" s="28">
        <f>IF(AND(E5=0,E16&gt;=0),,E16/E5)</f>
        <v>0</v>
      </c>
      <c r="G16" s="29"/>
      <c r="H16" s="52">
        <f>SUM(H17:H18)</f>
        <v>0</v>
      </c>
      <c r="I16" s="28">
        <f>IF(AND(H5=0,H16&gt;=0),,H16/H5)</f>
        <v>0</v>
      </c>
      <c r="J16" s="29"/>
      <c r="K16" s="28">
        <f t="shared" si="1"/>
        <v>0</v>
      </c>
      <c r="L16" s="52">
        <f>SUM(L17:L18)</f>
        <v>0</v>
      </c>
      <c r="M16" s="28">
        <f>IF(AND(L5=0,L16&gt;=0),,L16/L5)</f>
        <v>0</v>
      </c>
      <c r="N16" s="33"/>
      <c r="O16" s="61">
        <f>SUM(O17:O18)</f>
        <v>0</v>
      </c>
      <c r="P16" s="28">
        <f>IF(AND(O5=0,O16&gt;=0),,O16/O5)</f>
        <v>0</v>
      </c>
      <c r="Q16" s="29"/>
      <c r="R16" s="28">
        <f t="shared" si="2"/>
        <v>0</v>
      </c>
      <c r="S16" s="52">
        <f>SUM(S17:S18)</f>
        <v>0</v>
      </c>
      <c r="T16" s="28">
        <f>IF(AND(S5=0,S16&gt;=0),,S16/S5)</f>
        <v>0</v>
      </c>
      <c r="U16" s="33"/>
      <c r="V16" s="61">
        <f>SUM(V17:V18)</f>
        <v>0</v>
      </c>
      <c r="W16" s="28">
        <f>IF(AND(V5=0,V16&gt;=0),,V16/V5)</f>
        <v>0</v>
      </c>
      <c r="X16" s="78">
        <f t="shared" si="3"/>
        <v>0</v>
      </c>
      <c r="Y16" s="61">
        <f>SUM(Y17:Y18)</f>
        <v>0</v>
      </c>
      <c r="Z16" s="28">
        <f>IF(AND(Y5=0,Y16&gt;=0),,Y16/Y5)</f>
        <v>0</v>
      </c>
      <c r="AA16" s="29"/>
      <c r="AB16" s="28">
        <f t="shared" si="0"/>
        <v>0</v>
      </c>
      <c r="AC16" s="52">
        <f>SUM(AC17:AC18)</f>
        <v>0</v>
      </c>
      <c r="AD16" s="28">
        <f>IF(AND(AC5=0,AC16&gt;=0),,AC16/AC5)</f>
        <v>0</v>
      </c>
      <c r="AE16" s="33"/>
      <c r="AF16" s="61">
        <f>SUM(AF17:AF18)</f>
        <v>0</v>
      </c>
      <c r="AG16" s="28">
        <f>IF(AND(AF5=0,AF16&gt;=0),,AF16/AF5)</f>
        <v>0</v>
      </c>
      <c r="AH16" s="29"/>
      <c r="AI16" s="28">
        <f t="shared" si="6"/>
        <v>0</v>
      </c>
      <c r="AJ16" s="52">
        <f t="shared" si="7"/>
        <v>0</v>
      </c>
      <c r="AK16" s="28">
        <f>IF(AND(AJ5=0,AJ16&gt;=0),,AJ16/AJ5)</f>
        <v>0</v>
      </c>
      <c r="AL16" s="33"/>
      <c r="AM16" s="61">
        <f>SUM(AM17:AM18)</f>
        <v>0</v>
      </c>
      <c r="AN16" s="28">
        <f>IF(AND(AM5=0,AM16&gt;=0),,AM16/AM5)</f>
        <v>0</v>
      </c>
      <c r="AO16" s="29"/>
      <c r="AP16" s="28">
        <f t="shared" si="8"/>
        <v>0</v>
      </c>
      <c r="AQ16" s="52">
        <f t="shared" si="9"/>
        <v>0</v>
      </c>
      <c r="AR16" s="28">
        <f>IF(AND(AQ5=0,AQ16&gt;=0),,AQ16/AQ5)</f>
        <v>0</v>
      </c>
      <c r="AS16" s="33"/>
      <c r="AT16" s="61">
        <f>SUM(AT17:AT18)</f>
        <v>0</v>
      </c>
      <c r="AU16" s="28">
        <f>IF(AND(AT5=0,AT16&gt;=0),,AT16/AT5)</f>
        <v>0</v>
      </c>
      <c r="AV16" s="78">
        <f t="shared" si="4"/>
        <v>0</v>
      </c>
      <c r="AW16" s="61">
        <f>SUM(AW17:AW18)</f>
        <v>0</v>
      </c>
      <c r="AX16" s="28">
        <f>IF(AND(AW5=0,AW16&gt;=0),,AW16/AW5)</f>
        <v>0</v>
      </c>
      <c r="AY16" s="33"/>
      <c r="AZ16" s="61">
        <f>SUM(AZ17:AZ18)</f>
        <v>0</v>
      </c>
      <c r="BA16" s="28">
        <f>IF(AND(AZ5=0,AZ16&gt;=0),,AZ16/AZ5)</f>
        <v>0</v>
      </c>
      <c r="BB16" s="78">
        <f t="shared" si="5"/>
        <v>0</v>
      </c>
    </row>
    <row r="17" spans="1:54" hidden="1" outlineLevel="1" x14ac:dyDescent="0.25">
      <c r="A17" s="19" t="s">
        <v>45</v>
      </c>
      <c r="B17" s="62"/>
      <c r="C17" s="20">
        <f>IF(AND(B5=0,B17&gt;=0),,B17/B5)</f>
        <v>0</v>
      </c>
      <c r="D17" s="34"/>
      <c r="E17" s="62"/>
      <c r="F17" s="20">
        <f>IF(AND(E5=0,E17&gt;=0),,E17/E5)</f>
        <v>0</v>
      </c>
      <c r="G17" s="12"/>
      <c r="I17" s="20">
        <f>IF(AND(H5=0,H17&gt;=0),,H17/H5)</f>
        <v>0</v>
      </c>
      <c r="J17" s="12"/>
      <c r="K17" s="20">
        <f t="shared" si="1"/>
        <v>0</v>
      </c>
      <c r="L17" s="53">
        <f>+E17+H17</f>
        <v>0</v>
      </c>
      <c r="M17" s="20">
        <f>IF(AND(L5=0,L17&gt;=0),,L17/L5)</f>
        <v>0</v>
      </c>
      <c r="N17" s="34"/>
      <c r="O17" s="62"/>
      <c r="P17" s="20">
        <f>IF(AND(O5=0,O17&gt;=0),,O17/O5)</f>
        <v>0</v>
      </c>
      <c r="Q17" s="12"/>
      <c r="R17" s="20">
        <f t="shared" si="2"/>
        <v>0</v>
      </c>
      <c r="S17" s="53">
        <f>+L17+O17</f>
        <v>0</v>
      </c>
      <c r="T17" s="20">
        <f>IF(AND(S5=0,S17&gt;=0),,S17/S5)</f>
        <v>0</v>
      </c>
      <c r="U17" s="34"/>
      <c r="V17" s="62"/>
      <c r="W17" s="20">
        <f>IF(AND(V5=0,V17&gt;=0),,V17/V5)</f>
        <v>0</v>
      </c>
      <c r="X17" s="37">
        <f t="shared" si="3"/>
        <v>0</v>
      </c>
      <c r="Y17" s="62"/>
      <c r="Z17" s="20">
        <f>IF(AND(Y5=0,Y17&gt;=0),,Y17/Y5)</f>
        <v>0</v>
      </c>
      <c r="AA17" s="12"/>
      <c r="AB17" s="20">
        <f t="shared" si="0"/>
        <v>0</v>
      </c>
      <c r="AC17" s="53">
        <f>+S17+Y17</f>
        <v>0</v>
      </c>
      <c r="AD17" s="20">
        <f>IF(AND(AC5=0,AC17&gt;=0),,AC17/AC5)</f>
        <v>0</v>
      </c>
      <c r="AE17" s="34"/>
      <c r="AF17" s="62"/>
      <c r="AG17" s="20">
        <f>IF(AND(AF5=0,AF17&gt;=0),,AF17/AF5)</f>
        <v>0</v>
      </c>
      <c r="AH17" s="12"/>
      <c r="AI17" s="20">
        <f t="shared" si="6"/>
        <v>0</v>
      </c>
      <c r="AJ17" s="53">
        <f t="shared" si="7"/>
        <v>0</v>
      </c>
      <c r="AK17" s="20">
        <f>IF(AND(AJ5=0,AJ17&gt;=0),,AJ17/AJ5)</f>
        <v>0</v>
      </c>
      <c r="AL17" s="34"/>
      <c r="AM17" s="62"/>
      <c r="AN17" s="20">
        <f>IF(AND(AM5=0,AM17&gt;=0),,AM17/AM5)</f>
        <v>0</v>
      </c>
      <c r="AO17" s="12"/>
      <c r="AP17" s="20">
        <f t="shared" si="8"/>
        <v>0</v>
      </c>
      <c r="AQ17" s="53">
        <f t="shared" si="9"/>
        <v>0</v>
      </c>
      <c r="AR17" s="20">
        <f>IF(AND(AQ5=0,AQ17&gt;=0),,AQ17/AQ5)</f>
        <v>0</v>
      </c>
      <c r="AS17" s="34"/>
      <c r="AT17" s="62">
        <f>+V17*2</f>
        <v>0</v>
      </c>
      <c r="AU17" s="20">
        <f>IF(AND(AT5=0,AT17&gt;=0),,AT17/AT5)</f>
        <v>0</v>
      </c>
      <c r="AV17" s="37">
        <f t="shared" si="4"/>
        <v>0</v>
      </c>
      <c r="AW17" s="62">
        <f>+AQ17/6</f>
        <v>0</v>
      </c>
      <c r="AX17" s="20">
        <f>IF(AND(AW5=0,AW17&gt;=0),,AW17/AW5)</f>
        <v>0</v>
      </c>
      <c r="AY17" s="34"/>
      <c r="AZ17" s="62">
        <f>+AT17/6</f>
        <v>0</v>
      </c>
      <c r="BA17" s="20">
        <f>IF(AND(AZ5=0,AZ17&gt;=0),,AZ17/AZ5)</f>
        <v>0</v>
      </c>
      <c r="BB17" s="37">
        <f t="shared" si="5"/>
        <v>0</v>
      </c>
    </row>
    <row r="18" spans="1:54" s="2" customFormat="1" hidden="1" outlineLevel="1" x14ac:dyDescent="0.25">
      <c r="A18" s="19"/>
      <c r="B18" s="63"/>
      <c r="C18" s="20"/>
      <c r="D18" s="34"/>
      <c r="E18" s="63"/>
      <c r="F18" s="20"/>
      <c r="G18" s="12"/>
      <c r="H18" s="49"/>
      <c r="I18" s="20"/>
      <c r="J18" s="12"/>
      <c r="K18" s="13">
        <f t="shared" si="1"/>
        <v>0</v>
      </c>
      <c r="L18" s="49"/>
      <c r="M18" s="20"/>
      <c r="N18" s="34"/>
      <c r="O18" s="63"/>
      <c r="P18" s="20"/>
      <c r="Q18" s="12"/>
      <c r="R18" s="13">
        <f t="shared" si="2"/>
        <v>0</v>
      </c>
      <c r="S18" s="49"/>
      <c r="T18" s="20"/>
      <c r="U18" s="34"/>
      <c r="V18" s="63"/>
      <c r="W18" s="20"/>
      <c r="X18" s="36">
        <f t="shared" si="3"/>
        <v>0</v>
      </c>
      <c r="Y18" s="63"/>
      <c r="Z18" s="20"/>
      <c r="AA18" s="12"/>
      <c r="AB18" s="13">
        <f t="shared" si="0"/>
        <v>0</v>
      </c>
      <c r="AC18" s="49"/>
      <c r="AD18" s="20"/>
      <c r="AE18" s="34"/>
      <c r="AF18" s="63"/>
      <c r="AG18" s="20"/>
      <c r="AH18" s="12"/>
      <c r="AI18" s="13">
        <f t="shared" si="6"/>
        <v>0</v>
      </c>
      <c r="AJ18" s="49">
        <f t="shared" si="7"/>
        <v>0</v>
      </c>
      <c r="AK18" s="20"/>
      <c r="AL18" s="34"/>
      <c r="AM18" s="63"/>
      <c r="AN18" s="20"/>
      <c r="AO18" s="12"/>
      <c r="AP18" s="13">
        <f t="shared" si="8"/>
        <v>0</v>
      </c>
      <c r="AQ18" s="49">
        <f t="shared" si="9"/>
        <v>0</v>
      </c>
      <c r="AR18" s="20"/>
      <c r="AS18" s="34"/>
      <c r="AT18" s="62">
        <f>+V18*2</f>
        <v>0</v>
      </c>
      <c r="AU18" s="20"/>
      <c r="AV18" s="36">
        <f t="shared" si="4"/>
        <v>0</v>
      </c>
      <c r="AW18" s="62">
        <f>+AQ18/6</f>
        <v>0</v>
      </c>
      <c r="AX18" s="20"/>
      <c r="AY18" s="34"/>
      <c r="AZ18" s="62">
        <f>+AT18/6</f>
        <v>0</v>
      </c>
      <c r="BA18" s="20"/>
      <c r="BB18" s="36">
        <f t="shared" si="5"/>
        <v>0</v>
      </c>
    </row>
    <row r="19" spans="1:54" s="5" customFormat="1" hidden="1" outlineLevel="1" x14ac:dyDescent="0.25">
      <c r="A19" s="27" t="s">
        <v>46</v>
      </c>
      <c r="B19" s="61">
        <f>SUM(B20:B21)</f>
        <v>0</v>
      </c>
      <c r="C19" s="28">
        <f>IF(AND(B5=0,B19&gt;=0),,B19/B5)</f>
        <v>0</v>
      </c>
      <c r="D19" s="33"/>
      <c r="E19" s="61">
        <f>SUM(E20:E21)</f>
        <v>0</v>
      </c>
      <c r="F19" s="28">
        <f>IF(AND(E5=0,E19&gt;=0),,E19/E5)</f>
        <v>0</v>
      </c>
      <c r="G19" s="29"/>
      <c r="H19" s="52">
        <f>SUM(H20:H21)</f>
        <v>0</v>
      </c>
      <c r="I19" s="28">
        <f>IF(AND(H5=0,H19&gt;=0),,H19/H5)</f>
        <v>0</v>
      </c>
      <c r="J19" s="29"/>
      <c r="K19" s="28">
        <f t="shared" si="1"/>
        <v>0</v>
      </c>
      <c r="L19" s="52">
        <f>SUM(L20:L21)</f>
        <v>0</v>
      </c>
      <c r="M19" s="28">
        <f>IF(AND(L5=0,L19&gt;=0),,L19/L5)</f>
        <v>0</v>
      </c>
      <c r="N19" s="33"/>
      <c r="O19" s="61">
        <f>SUM(O20:O21)</f>
        <v>0</v>
      </c>
      <c r="P19" s="28">
        <f>IF(AND(O5=0,O19&gt;=0),,O19/O5)</f>
        <v>0</v>
      </c>
      <c r="Q19" s="29"/>
      <c r="R19" s="28">
        <f t="shared" si="2"/>
        <v>0</v>
      </c>
      <c r="S19" s="52">
        <f>SUM(S20:S21)</f>
        <v>0</v>
      </c>
      <c r="T19" s="28">
        <f>IF(AND(S5=0,S19&gt;=0),,S19/S5)</f>
        <v>0</v>
      </c>
      <c r="U19" s="33"/>
      <c r="V19" s="61">
        <f>SUM(V20:V21)</f>
        <v>0</v>
      </c>
      <c r="W19" s="28">
        <f>IF(AND(V5=0,V19&gt;=0),,V19/V5)</f>
        <v>0</v>
      </c>
      <c r="X19" s="78">
        <f t="shared" si="3"/>
        <v>0</v>
      </c>
      <c r="Y19" s="61">
        <f>SUM(Y20:Y21)</f>
        <v>0</v>
      </c>
      <c r="Z19" s="28">
        <f>IF(AND(Y5=0,Y19&gt;=0),,Y19/Y5)</f>
        <v>0</v>
      </c>
      <c r="AA19" s="29"/>
      <c r="AB19" s="28">
        <f t="shared" si="0"/>
        <v>0</v>
      </c>
      <c r="AC19" s="52">
        <f>SUM(AC20:AC21)</f>
        <v>0</v>
      </c>
      <c r="AD19" s="28">
        <f>IF(AND(AC5=0,AC19&gt;=0),,AC19/AC5)</f>
        <v>0</v>
      </c>
      <c r="AE19" s="33"/>
      <c r="AF19" s="61">
        <f>SUM(AF20:AF21)</f>
        <v>0</v>
      </c>
      <c r="AG19" s="28">
        <f>IF(AND(AF5=0,AF19&gt;=0),,AF19/AF5)</f>
        <v>0</v>
      </c>
      <c r="AH19" s="29"/>
      <c r="AI19" s="28">
        <f t="shared" si="6"/>
        <v>0</v>
      </c>
      <c r="AJ19" s="52">
        <f t="shared" si="7"/>
        <v>0</v>
      </c>
      <c r="AK19" s="28">
        <f>IF(AND(AJ5=0,AJ19&gt;=0),,AJ19/AJ5)</f>
        <v>0</v>
      </c>
      <c r="AL19" s="33"/>
      <c r="AM19" s="61">
        <f>SUM(AM20:AM21)</f>
        <v>0</v>
      </c>
      <c r="AN19" s="28">
        <f>IF(AND(AM5=0,AM19&gt;=0),,AM19/AM5)</f>
        <v>0</v>
      </c>
      <c r="AO19" s="29"/>
      <c r="AP19" s="28">
        <f t="shared" si="8"/>
        <v>0</v>
      </c>
      <c r="AQ19" s="52">
        <f t="shared" si="9"/>
        <v>0</v>
      </c>
      <c r="AR19" s="28">
        <f>IF(AND(AQ5=0,AQ19&gt;=0),,AQ19/AQ5)</f>
        <v>0</v>
      </c>
      <c r="AS19" s="33"/>
      <c r="AT19" s="61">
        <f>SUM(AT20:AT21)</f>
        <v>0</v>
      </c>
      <c r="AU19" s="28">
        <f>IF(AND(AT5=0,AT19&gt;=0),,AT19/AT5)</f>
        <v>0</v>
      </c>
      <c r="AV19" s="78">
        <f t="shared" si="4"/>
        <v>0</v>
      </c>
      <c r="AW19" s="61">
        <f>SUM(AW20:AW21)</f>
        <v>0</v>
      </c>
      <c r="AX19" s="28">
        <f>IF(AND(AW5=0,AW19&gt;=0),,AW19/AW5)</f>
        <v>0</v>
      </c>
      <c r="AY19" s="33"/>
      <c r="AZ19" s="61">
        <f>SUM(AZ20:AZ21)</f>
        <v>0</v>
      </c>
      <c r="BA19" s="28">
        <f>IF(AND(AZ5=0,AZ19&gt;=0),,AZ19/AZ5)</f>
        <v>0</v>
      </c>
      <c r="BB19" s="78">
        <f t="shared" si="5"/>
        <v>0</v>
      </c>
    </row>
    <row r="20" spans="1:54" s="2" customFormat="1" hidden="1" outlineLevel="1" x14ac:dyDescent="0.25">
      <c r="A20" s="19" t="s">
        <v>52</v>
      </c>
      <c r="B20" s="62"/>
      <c r="C20" s="20">
        <f>IF(AND(B5=0,B20&gt;=0),,B20/B5)</f>
        <v>0</v>
      </c>
      <c r="D20" s="34"/>
      <c r="E20" s="62"/>
      <c r="F20" s="20">
        <f>IF(AND(E5=0,E20&gt;=0),,E20/E5)</f>
        <v>0</v>
      </c>
      <c r="G20" s="12"/>
      <c r="H20" s="53"/>
      <c r="I20" s="20">
        <f>IF(AND(H5=0,H20&gt;=0),,H20/H5)</f>
        <v>0</v>
      </c>
      <c r="J20" s="12"/>
      <c r="K20" s="20">
        <f t="shared" si="1"/>
        <v>0</v>
      </c>
      <c r="L20" s="53">
        <f>+E20+H20</f>
        <v>0</v>
      </c>
      <c r="M20" s="20">
        <f>IF(AND(L5=0,L20&gt;=0),,L20/L5)</f>
        <v>0</v>
      </c>
      <c r="N20" s="34"/>
      <c r="O20" s="62"/>
      <c r="P20" s="20">
        <f>IF(AND(O5=0,O20&gt;=0),,O20/O5)</f>
        <v>0</v>
      </c>
      <c r="Q20" s="12"/>
      <c r="R20" s="20">
        <f t="shared" si="2"/>
        <v>0</v>
      </c>
      <c r="S20" s="53">
        <f>+L20+O20</f>
        <v>0</v>
      </c>
      <c r="T20" s="20">
        <f>IF(AND(S5=0,S20&gt;=0),,S20/S5)</f>
        <v>0</v>
      </c>
      <c r="U20" s="34"/>
      <c r="V20" s="62"/>
      <c r="W20" s="20">
        <f>IF(AND(V5=0,V20&gt;=0),,V20/V5)</f>
        <v>0</v>
      </c>
      <c r="X20" s="37">
        <f t="shared" si="3"/>
        <v>0</v>
      </c>
      <c r="Y20" s="62"/>
      <c r="Z20" s="20">
        <f>IF(AND(Y5=0,Y20&gt;=0),,Y20/Y5)</f>
        <v>0</v>
      </c>
      <c r="AA20" s="12"/>
      <c r="AB20" s="20">
        <f t="shared" si="0"/>
        <v>0</v>
      </c>
      <c r="AC20" s="53">
        <f>+S20+Y20</f>
        <v>0</v>
      </c>
      <c r="AD20" s="20">
        <f>IF(AND(AC5=0,AC20&gt;=0),,AC20/AC5)</f>
        <v>0</v>
      </c>
      <c r="AE20" s="34"/>
      <c r="AF20" s="62"/>
      <c r="AG20" s="20">
        <f>IF(AND(AF5=0,AF20&gt;=0),,AF20/AF5)</f>
        <v>0</v>
      </c>
      <c r="AH20" s="12"/>
      <c r="AI20" s="20">
        <f t="shared" si="6"/>
        <v>0</v>
      </c>
      <c r="AJ20" s="53">
        <f t="shared" si="7"/>
        <v>0</v>
      </c>
      <c r="AK20" s="20">
        <f>IF(AND(AJ5=0,AJ20&gt;=0),,AJ20/AJ5)</f>
        <v>0</v>
      </c>
      <c r="AL20" s="34"/>
      <c r="AM20" s="62"/>
      <c r="AN20" s="20">
        <f>IF(AND(AM5=0,AM20&gt;=0),,AM20/AM5)</f>
        <v>0</v>
      </c>
      <c r="AO20" s="12"/>
      <c r="AP20" s="20">
        <f t="shared" si="8"/>
        <v>0</v>
      </c>
      <c r="AQ20" s="53">
        <f t="shared" si="9"/>
        <v>0</v>
      </c>
      <c r="AR20" s="20">
        <f>IF(AND(AQ5=0,AQ20&gt;=0),,AQ20/AQ5)</f>
        <v>0</v>
      </c>
      <c r="AS20" s="34"/>
      <c r="AT20" s="62">
        <f>+V20*2</f>
        <v>0</v>
      </c>
      <c r="AU20" s="20">
        <f>IF(AND(AT5=0,AT20&gt;=0),,AT20/AT5)</f>
        <v>0</v>
      </c>
      <c r="AV20" s="37">
        <f t="shared" si="4"/>
        <v>0</v>
      </c>
      <c r="AW20" s="62">
        <f>+AQ20/6</f>
        <v>0</v>
      </c>
      <c r="AX20" s="20">
        <f>IF(AND(AW5=0,AW20&gt;=0),,AW20/AW5)</f>
        <v>0</v>
      </c>
      <c r="AY20" s="34"/>
      <c r="AZ20" s="62">
        <f>+AT20/6</f>
        <v>0</v>
      </c>
      <c r="BA20" s="20">
        <f>IF(AND(AZ5=0,AZ20&gt;=0),,AZ20/AZ5)</f>
        <v>0</v>
      </c>
      <c r="BB20" s="37">
        <f t="shared" si="5"/>
        <v>0</v>
      </c>
    </row>
    <row r="21" spans="1:54" s="2" customFormat="1" hidden="1" outlineLevel="1" x14ac:dyDescent="0.25">
      <c r="A21" s="19"/>
      <c r="B21" s="63"/>
      <c r="C21" s="20"/>
      <c r="D21" s="34"/>
      <c r="E21" s="63"/>
      <c r="F21" s="20"/>
      <c r="G21" s="12"/>
      <c r="H21" s="49"/>
      <c r="I21" s="20"/>
      <c r="J21" s="12"/>
      <c r="K21" s="13">
        <f t="shared" si="1"/>
        <v>0</v>
      </c>
      <c r="L21" s="49"/>
      <c r="M21" s="20"/>
      <c r="N21" s="34"/>
      <c r="O21" s="63"/>
      <c r="P21" s="20"/>
      <c r="Q21" s="12"/>
      <c r="R21" s="13">
        <f t="shared" si="2"/>
        <v>0</v>
      </c>
      <c r="S21" s="49"/>
      <c r="T21" s="20"/>
      <c r="U21" s="34"/>
      <c r="V21" s="63"/>
      <c r="W21" s="20"/>
      <c r="X21" s="36">
        <f t="shared" si="3"/>
        <v>0</v>
      </c>
      <c r="Y21" s="63"/>
      <c r="Z21" s="20"/>
      <c r="AA21" s="12"/>
      <c r="AB21" s="13">
        <f t="shared" si="0"/>
        <v>0</v>
      </c>
      <c r="AC21" s="49"/>
      <c r="AD21" s="20"/>
      <c r="AE21" s="34"/>
      <c r="AF21" s="63"/>
      <c r="AG21" s="20"/>
      <c r="AH21" s="12"/>
      <c r="AI21" s="13">
        <f t="shared" si="6"/>
        <v>0</v>
      </c>
      <c r="AJ21" s="49">
        <f t="shared" si="7"/>
        <v>0</v>
      </c>
      <c r="AK21" s="20"/>
      <c r="AL21" s="34"/>
      <c r="AM21" s="63"/>
      <c r="AN21" s="20"/>
      <c r="AO21" s="12"/>
      <c r="AP21" s="13">
        <f t="shared" si="8"/>
        <v>0</v>
      </c>
      <c r="AQ21" s="49">
        <f t="shared" si="9"/>
        <v>0</v>
      </c>
      <c r="AR21" s="20"/>
      <c r="AS21" s="34"/>
      <c r="AT21" s="62">
        <f>+V21*2</f>
        <v>0</v>
      </c>
      <c r="AU21" s="20"/>
      <c r="AV21" s="36">
        <f t="shared" si="4"/>
        <v>0</v>
      </c>
      <c r="AW21" s="62">
        <f>+AQ21/6</f>
        <v>0</v>
      </c>
      <c r="AX21" s="20"/>
      <c r="AY21" s="34"/>
      <c r="AZ21" s="62">
        <f>+AT21/6</f>
        <v>0</v>
      </c>
      <c r="BA21" s="20"/>
      <c r="BB21" s="36">
        <f t="shared" si="5"/>
        <v>0</v>
      </c>
    </row>
    <row r="22" spans="1:54" ht="15.6" customHeight="1" collapsed="1" x14ac:dyDescent="0.25">
      <c r="A22" s="8"/>
      <c r="B22" s="62"/>
      <c r="C22" s="12"/>
      <c r="D22" s="34"/>
      <c r="E22" s="62"/>
      <c r="F22" s="12"/>
      <c r="G22" s="12"/>
      <c r="I22" s="12"/>
      <c r="J22" s="12"/>
      <c r="K22" s="22">
        <f>IF(AND(E22=0,H22&gt;0),100%,IF(AND(E22&lt;0,H22=0),(E22-H22)/E22,IF(AND(E22&gt;0,H22&gt;0),(H22-E22)/E22,IF(AND(E22=0,H22=0),0,(H22-E22)/E22))))</f>
        <v>0</v>
      </c>
      <c r="M22" s="12"/>
      <c r="N22" s="34"/>
      <c r="O22" s="62"/>
      <c r="P22" s="12"/>
      <c r="Q22" s="12"/>
      <c r="R22" s="22">
        <f t="shared" si="2"/>
        <v>0</v>
      </c>
      <c r="T22" s="12"/>
      <c r="U22" s="34"/>
      <c r="V22" s="62"/>
      <c r="W22" s="12"/>
      <c r="X22" s="79">
        <f t="shared" si="3"/>
        <v>0</v>
      </c>
      <c r="Y22" s="62"/>
      <c r="Z22" s="12"/>
      <c r="AA22" s="12"/>
      <c r="AB22" s="22">
        <f t="shared" si="0"/>
        <v>0</v>
      </c>
      <c r="AD22" s="12"/>
      <c r="AE22" s="34"/>
      <c r="AF22" s="62"/>
      <c r="AG22" s="12"/>
      <c r="AH22" s="12"/>
      <c r="AI22" s="22">
        <f t="shared" si="6"/>
        <v>0</v>
      </c>
      <c r="AJ22" s="53">
        <f t="shared" si="7"/>
        <v>0</v>
      </c>
      <c r="AK22" s="12"/>
      <c r="AL22" s="34"/>
      <c r="AM22" s="62"/>
      <c r="AN22" s="12"/>
      <c r="AO22" s="12"/>
      <c r="AP22" s="22">
        <f t="shared" si="8"/>
        <v>0</v>
      </c>
      <c r="AQ22" s="53">
        <f t="shared" si="9"/>
        <v>0</v>
      </c>
      <c r="AR22" s="12"/>
      <c r="AS22" s="34"/>
      <c r="AT22" s="62">
        <f>+V22*2</f>
        <v>0</v>
      </c>
      <c r="AU22" s="12"/>
      <c r="AV22" s="79">
        <f t="shared" si="4"/>
        <v>0</v>
      </c>
      <c r="AW22" s="62">
        <f>+AQ22/6</f>
        <v>0</v>
      </c>
      <c r="AX22" s="12"/>
      <c r="AY22" s="34"/>
      <c r="AZ22" s="62">
        <f>+AT22/6</f>
        <v>0</v>
      </c>
      <c r="BA22" s="12"/>
      <c r="BB22" s="79">
        <f t="shared" si="5"/>
        <v>0</v>
      </c>
    </row>
    <row r="23" spans="1:54" s="18" customFormat="1" ht="18" customHeight="1" x14ac:dyDescent="0.25">
      <c r="A23" s="15" t="s">
        <v>47</v>
      </c>
      <c r="B23" s="60">
        <f>+B24+B27+B30</f>
        <v>177120.37</v>
      </c>
      <c r="C23" s="26">
        <f>IF(AND(B5=0,B23&gt;=0),,B23/B5)</f>
        <v>0.66711614301310107</v>
      </c>
      <c r="D23" s="32"/>
      <c r="E23" s="60">
        <f>+E24+E27+E30</f>
        <v>14656.37</v>
      </c>
      <c r="F23" s="26">
        <f>IF(AND(E5=0,E23&gt;=0),,E23/E5)</f>
        <v>0.64224466204568342</v>
      </c>
      <c r="G23" s="26"/>
      <c r="H23" s="51">
        <f>+H24+H27+H30</f>
        <v>16438.330000000002</v>
      </c>
      <c r="I23" s="26">
        <f>IF(AND(H5=0,H23&gt;=0),,H23/H5)</f>
        <v>0.68407759992542638</v>
      </c>
      <c r="J23" s="26"/>
      <c r="K23" s="26">
        <f t="shared" si="1"/>
        <v>0.1215826292594961</v>
      </c>
      <c r="L23" s="51">
        <f>+L24+L27+L30</f>
        <v>31094.700000000004</v>
      </c>
      <c r="M23" s="26">
        <f>IF(AND(L5=0,L23&gt;=0),,L23/L5)</f>
        <v>0.66370106077933932</v>
      </c>
      <c r="N23" s="32"/>
      <c r="O23" s="60">
        <f>+O24+O27+O30</f>
        <v>15759.97</v>
      </c>
      <c r="P23" s="26">
        <f>IF(AND(O5=0,O23&gt;=0),,O23/O5)</f>
        <v>0.6429415611515692</v>
      </c>
      <c r="Q23" s="26"/>
      <c r="R23" s="26">
        <f t="shared" si="2"/>
        <v>-4.1266965683253852E-2</v>
      </c>
      <c r="S23" s="51">
        <f>+S24+S27+S30</f>
        <v>46854.670000000006</v>
      </c>
      <c r="T23" s="26">
        <f>IF(AND(S5=0,S23&gt;=0),,S23/S5)</f>
        <v>0.65657040963247637</v>
      </c>
      <c r="U23" s="32"/>
      <c r="V23" s="60">
        <f>+V24+V27+V30</f>
        <v>38024.699999999997</v>
      </c>
      <c r="W23" s="26">
        <f>IF(AND(V5=0,V23&gt;=0),,V23/V5)</f>
        <v>0.66709999999999992</v>
      </c>
      <c r="X23" s="32">
        <f>IF(AND(V23=0,S23&gt;0),100%,IF(AND(V23&lt;0,S23=0),(V23-S23)/V23,IF(AND(V23&gt;0,S23&gt;0),(S23-V23)/V23,IF(AND(V23=0,S23=0),0,(S23-V23)/V23))))</f>
        <v>0.23221669072997311</v>
      </c>
      <c r="Y23" s="60">
        <f>+Y24+Y27+Y30</f>
        <v>14789.42</v>
      </c>
      <c r="Z23" s="26">
        <f>IF(AND(Y5=0,Y23&gt;=0),,Y23/Y5)</f>
        <v>0.63302472702680723</v>
      </c>
      <c r="AA23" s="26"/>
      <c r="AB23" s="26">
        <f t="shared" si="0"/>
        <v>-6.1583239054389019E-2</v>
      </c>
      <c r="AC23" s="51">
        <f>+AC24+AC27+AC30</f>
        <v>61644.090000000004</v>
      </c>
      <c r="AD23" s="26">
        <f>IF(AND(AC5=0,AC23&gt;=0),,AC23/AC5)</f>
        <v>0.65076312326571895</v>
      </c>
      <c r="AE23" s="32"/>
      <c r="AF23" s="60">
        <f>+AF24+AF27+AF30</f>
        <v>20249.38</v>
      </c>
      <c r="AG23" s="26">
        <f>IF(AND(AF5=0,AF23&gt;=0),,AF23/AF5)</f>
        <v>0.6321785289363997</v>
      </c>
      <c r="AH23" s="26"/>
      <c r="AI23" s="26">
        <f t="shared" si="6"/>
        <v>-0.46746772492616634</v>
      </c>
      <c r="AJ23" s="51">
        <f t="shared" si="7"/>
        <v>81893.47</v>
      </c>
      <c r="AK23" s="26">
        <f>IF(AND(AJ5=0,AJ23&gt;=0),,AJ23/AJ5)</f>
        <v>0.64606685108257567</v>
      </c>
      <c r="AL23" s="32"/>
      <c r="AM23" s="60">
        <f>+AM24+AM27+AM30</f>
        <v>24039.79</v>
      </c>
      <c r="AN23" s="26">
        <f>IF(AND(AM5=0,AM23&gt;=0),,AM23/AM5)</f>
        <v>0.65223321285181968</v>
      </c>
      <c r="AO23" s="26"/>
      <c r="AP23" s="26">
        <f t="shared" si="8"/>
        <v>-0.61002279375038226</v>
      </c>
      <c r="AQ23" s="51">
        <f t="shared" si="9"/>
        <v>105933.26000000001</v>
      </c>
      <c r="AR23" s="26">
        <f>IF(AND(AQ5=0,AQ23&gt;=0),,AQ23/AQ5)</f>
        <v>0.64745595473069595</v>
      </c>
      <c r="AS23" s="32"/>
      <c r="AT23" s="60">
        <f>+AT24+AT27+AT30</f>
        <v>76049.399999999994</v>
      </c>
      <c r="AU23" s="26">
        <f>IF(AND(AT5=0,AT23&gt;=0),,AT23/AT5)</f>
        <v>0.66709999999999992</v>
      </c>
      <c r="AV23" s="32">
        <f>IF(AND(AT23=0,AQ23&gt;0),100%,IF(AND(AT23&lt;0,AQ23=0),(AT23-AQ23)/AT23,IF(AND(AT23&gt;0,AQ23&gt;0),(AQ23-AT23)/AT23,IF(AND(AT23=0,AQ23=0),0,(AQ23-AT23)/AT23))))</f>
        <v>0.39295326458854402</v>
      </c>
      <c r="AW23" s="60">
        <f>+AW24+AW27+AW30</f>
        <v>19139.999999999996</v>
      </c>
      <c r="AX23" s="26">
        <f>IF(AND(AW5=0,AW23&gt;=0),,AW23/AW5)</f>
        <v>0.65999999999999992</v>
      </c>
      <c r="AY23" s="32"/>
      <c r="AZ23" s="60">
        <f>+AZ24+AZ27+AZ30</f>
        <v>12674.9</v>
      </c>
      <c r="BA23" s="26">
        <f>IF(AND(AZ5=0,AZ23&gt;=0),,AZ23/AZ5)</f>
        <v>0.66710000000000003</v>
      </c>
      <c r="BB23" s="32">
        <f>IF(AND(AZ23=0,AW23&gt;0),100%,IF(AND(AZ23&lt;0,AW23=0),(AZ23-AW23)/AZ23,IF(AND(AZ23&gt;0,AW23&gt;0),(AW23-AZ23)/AZ23,IF(AND(AZ23=0,AW23=0),0,(AW23-AZ23)/AZ23))))</f>
        <v>0.51007108537345436</v>
      </c>
    </row>
    <row r="24" spans="1:54" s="5" customFormat="1" hidden="1" outlineLevel="1" x14ac:dyDescent="0.25">
      <c r="A24" s="27" t="s">
        <v>48</v>
      </c>
      <c r="B24" s="61">
        <f>SUM(B25:B26)</f>
        <v>177120.37</v>
      </c>
      <c r="C24" s="28">
        <f>IF(AND(B6=0,B24&gt;=0),,B24/B6)</f>
        <v>0.66711614301310107</v>
      </c>
      <c r="D24" s="33"/>
      <c r="E24" s="61">
        <f>SUM(E25:E26)</f>
        <v>14656.37</v>
      </c>
      <c r="F24" s="28">
        <f>IF(AND(E6=0,E24&gt;=0),,E24/E6)</f>
        <v>0.64224466204568342</v>
      </c>
      <c r="G24" s="29"/>
      <c r="H24" s="52">
        <f>SUM(H25:H26)</f>
        <v>16438.330000000002</v>
      </c>
      <c r="I24" s="28">
        <f>IF(AND(H6=0,H24&gt;=0),,H24/H6)</f>
        <v>0.68407759992542638</v>
      </c>
      <c r="J24" s="29"/>
      <c r="K24" s="28">
        <f t="shared" si="1"/>
        <v>0.1215826292594961</v>
      </c>
      <c r="L24" s="52">
        <f>SUM(L25:L26)</f>
        <v>31094.700000000004</v>
      </c>
      <c r="M24" s="28">
        <f>IF(AND(L6=0,L24&gt;=0),,L24/L6)</f>
        <v>0.66370106077933932</v>
      </c>
      <c r="N24" s="33"/>
      <c r="O24" s="61">
        <f>SUM(O25:O26)</f>
        <v>15759.97</v>
      </c>
      <c r="P24" s="28">
        <f>IF(AND(O6=0,O24&gt;=0),,O24/O6)</f>
        <v>0.6429415611515692</v>
      </c>
      <c r="Q24" s="29"/>
      <c r="R24" s="28">
        <f t="shared" si="2"/>
        <v>-4.1266965683253852E-2</v>
      </c>
      <c r="S24" s="52">
        <f>SUM(S25:S26)</f>
        <v>46854.670000000006</v>
      </c>
      <c r="T24" s="28">
        <f>IF(AND(S6=0,S24&gt;=0),,S24/S6)</f>
        <v>0.65657040963247637</v>
      </c>
      <c r="U24" s="33"/>
      <c r="V24" s="61">
        <f>SUM(V25:V26)</f>
        <v>38024.699999999997</v>
      </c>
      <c r="W24" s="28">
        <f>IF(AND(V6=0,V24&gt;=0),,V24/V6)</f>
        <v>0.66709999999999992</v>
      </c>
      <c r="X24" s="78">
        <f t="shared" si="3"/>
        <v>0.23221669072997311</v>
      </c>
      <c r="Y24" s="61">
        <f>SUM(Y25:Y26)</f>
        <v>14789.42</v>
      </c>
      <c r="Z24" s="28">
        <f>IF(AND(Y6=0,Y24&gt;=0),,Y24/Y6)</f>
        <v>0.63302472702680723</v>
      </c>
      <c r="AA24" s="29"/>
      <c r="AB24" s="28">
        <f t="shared" si="0"/>
        <v>-6.1583239054389019E-2</v>
      </c>
      <c r="AC24" s="52">
        <f>SUM(AC25:AC26)</f>
        <v>61644.090000000004</v>
      </c>
      <c r="AD24" s="28">
        <f>IF(AND(AC6=0,AC24&gt;=0),,AC24/AC6)</f>
        <v>0.65076312326571895</v>
      </c>
      <c r="AE24" s="33"/>
      <c r="AF24" s="61">
        <f>SUM(AF25:AF26)</f>
        <v>20249.38</v>
      </c>
      <c r="AG24" s="28">
        <f>IF(AND(AF6=0,AF24&gt;=0),,AF24/AF6)</f>
        <v>0.6321785289363997</v>
      </c>
      <c r="AH24" s="29"/>
      <c r="AI24" s="28">
        <f t="shared" si="6"/>
        <v>-0.46746772492616634</v>
      </c>
      <c r="AJ24" s="52">
        <f t="shared" si="7"/>
        <v>81893.47</v>
      </c>
      <c r="AK24" s="28">
        <f>IF(AND(AJ6=0,AJ24&gt;=0),,AJ24/AJ6)</f>
        <v>0.64606685108257567</v>
      </c>
      <c r="AL24" s="33"/>
      <c r="AM24" s="61">
        <f>SUM(AM25:AM26)</f>
        <v>24039.79</v>
      </c>
      <c r="AN24" s="28">
        <f>IF(AND(AM6=0,AM24&gt;=0),,AM24/AM6)</f>
        <v>0.65223321285181968</v>
      </c>
      <c r="AO24" s="29"/>
      <c r="AP24" s="28">
        <f t="shared" si="8"/>
        <v>-0.61002279375038226</v>
      </c>
      <c r="AQ24" s="52">
        <f t="shared" si="9"/>
        <v>105933.26000000001</v>
      </c>
      <c r="AR24" s="28">
        <f>IF(AND(AQ6=0,AQ24&gt;=0),,AQ24/AQ6)</f>
        <v>0.64745595473069595</v>
      </c>
      <c r="AS24" s="33"/>
      <c r="AT24" s="61">
        <f>SUM(AT25:AT26)</f>
        <v>76049.399999999994</v>
      </c>
      <c r="AU24" s="28">
        <f>IF(AND(AT6=0,AT24&gt;=0),,AT24/AT6)</f>
        <v>0.66709999999999992</v>
      </c>
      <c r="AV24" s="78">
        <f t="shared" si="4"/>
        <v>0.39295326458854402</v>
      </c>
      <c r="AW24" s="61">
        <f>SUM(AW25:AW26)</f>
        <v>19139.999999999996</v>
      </c>
      <c r="AX24" s="28">
        <f>IF(AND(AW6=0,AW24&gt;=0),,AW24/AW6)</f>
        <v>0.65999999999999992</v>
      </c>
      <c r="AY24" s="33"/>
      <c r="AZ24" s="61">
        <f>SUM(AZ25:AZ26)</f>
        <v>12674.9</v>
      </c>
      <c r="BA24" s="28">
        <f>IF(AND(AZ6=0,AZ24&gt;=0),,AZ24/AZ6)</f>
        <v>0.66710000000000003</v>
      </c>
      <c r="BB24" s="78">
        <f t="shared" si="5"/>
        <v>0.51007108537345436</v>
      </c>
    </row>
    <row r="25" spans="1:54" hidden="1" outlineLevel="1" x14ac:dyDescent="0.25">
      <c r="A25" s="19" t="s">
        <v>49</v>
      </c>
      <c r="B25" s="62">
        <v>177120.37</v>
      </c>
      <c r="C25" s="20">
        <f>IF(AND(B6=0,B25&gt;=0),,B25/B6)</f>
        <v>0.66711614301310107</v>
      </c>
      <c r="D25" s="34"/>
      <c r="E25" s="62">
        <v>14656.37</v>
      </c>
      <c r="F25" s="20">
        <f>IF(AND(E6=0,E25&gt;=0),,E25/E6)</f>
        <v>0.64224466204568342</v>
      </c>
      <c r="G25" s="12"/>
      <c r="H25" s="53">
        <v>16438.330000000002</v>
      </c>
      <c r="I25" s="20">
        <f>IF(AND(H6=0,H25&gt;=0),,H25/H6)</f>
        <v>0.68407759992542638</v>
      </c>
      <c r="J25" s="12"/>
      <c r="K25" s="20">
        <f t="shared" si="1"/>
        <v>0.1215826292594961</v>
      </c>
      <c r="L25" s="53">
        <f>+E25+H25</f>
        <v>31094.700000000004</v>
      </c>
      <c r="M25" s="20">
        <f>IF(AND(L6=0,L25&gt;=0),,L25/L6)</f>
        <v>0.66370106077933932</v>
      </c>
      <c r="N25" s="34"/>
      <c r="O25" s="62">
        <v>15759.97</v>
      </c>
      <c r="P25" s="20">
        <f>IF(AND(O6=0,O25&gt;=0),,O25/O6)</f>
        <v>0.6429415611515692</v>
      </c>
      <c r="Q25" s="12"/>
      <c r="R25" s="20">
        <f t="shared" si="2"/>
        <v>-4.1266965683253852E-2</v>
      </c>
      <c r="S25" s="53">
        <f>+L25+O25</f>
        <v>46854.670000000006</v>
      </c>
      <c r="T25" s="20">
        <f>IF(AND(S6=0,S25&gt;=0),,S25/S6)</f>
        <v>0.65657040963247637</v>
      </c>
      <c r="U25" s="34"/>
      <c r="V25" s="62">
        <f>+V7*66.71%</f>
        <v>38024.699999999997</v>
      </c>
      <c r="W25" s="20">
        <f>IF(AND(V6=0,V25&gt;=0),,V25/V6)</f>
        <v>0.66709999999999992</v>
      </c>
      <c r="X25" s="37">
        <f t="shared" si="3"/>
        <v>0.23221669072997311</v>
      </c>
      <c r="Y25" s="62">
        <v>14789.42</v>
      </c>
      <c r="Z25" s="20">
        <f>IF(AND(Y6=0,Y25&gt;=0),,Y25/Y6)</f>
        <v>0.63302472702680723</v>
      </c>
      <c r="AA25" s="12"/>
      <c r="AB25" s="20">
        <f t="shared" si="0"/>
        <v>-6.1583239054389019E-2</v>
      </c>
      <c r="AC25" s="53">
        <f>+S25+Y25</f>
        <v>61644.090000000004</v>
      </c>
      <c r="AD25" s="20">
        <f>IF(AND(AC6=0,AC25&gt;=0),,AC25/AC6)</f>
        <v>0.65076312326571895</v>
      </c>
      <c r="AE25" s="34"/>
      <c r="AF25" s="62">
        <v>20249.38</v>
      </c>
      <c r="AG25" s="20">
        <f>IF(AND(AF6=0,AF25&gt;=0),,AF25/AF6)</f>
        <v>0.6321785289363997</v>
      </c>
      <c r="AH25" s="12"/>
      <c r="AI25" s="20">
        <f t="shared" si="6"/>
        <v>-0.46746772492616634</v>
      </c>
      <c r="AJ25" s="53">
        <f t="shared" si="7"/>
        <v>81893.47</v>
      </c>
      <c r="AK25" s="20">
        <f>IF(AND(AJ6=0,AJ25&gt;=0),,AJ25/AJ6)</f>
        <v>0.64606685108257567</v>
      </c>
      <c r="AL25" s="34"/>
      <c r="AM25" s="62">
        <v>24039.79</v>
      </c>
      <c r="AN25" s="20">
        <f>IF(AND(AM6=0,AM25&gt;=0),,AM25/AM6)</f>
        <v>0.65223321285181968</v>
      </c>
      <c r="AO25" s="12"/>
      <c r="AP25" s="20">
        <f t="shared" si="8"/>
        <v>-0.61002279375038226</v>
      </c>
      <c r="AQ25" s="53">
        <f t="shared" si="9"/>
        <v>105933.26000000001</v>
      </c>
      <c r="AR25" s="20">
        <f>IF(AND(AQ6=0,AQ25&gt;=0),,AQ25/AQ6)</f>
        <v>0.64745595473069595</v>
      </c>
      <c r="AS25" s="34"/>
      <c r="AT25" s="62">
        <f>+V25*2</f>
        <v>76049.399999999994</v>
      </c>
      <c r="AU25" s="20">
        <f>IF(AND(AT6=0,AT25&gt;=0),,AT25/AT6)</f>
        <v>0.66709999999999992</v>
      </c>
      <c r="AV25" s="37">
        <f t="shared" si="4"/>
        <v>0.39295326458854402</v>
      </c>
      <c r="AW25" s="62">
        <f>+AW7*(100%-BG141)</f>
        <v>19139.999999999996</v>
      </c>
      <c r="AX25" s="20">
        <f>IF(AND(AW6=0,AW25&gt;=0),,AW25/AW6)</f>
        <v>0.65999999999999992</v>
      </c>
      <c r="AY25" s="34"/>
      <c r="AZ25" s="62">
        <f>+AT25/6</f>
        <v>12674.9</v>
      </c>
      <c r="BA25" s="20">
        <f>IF(AND(AZ6=0,AZ25&gt;=0),,AZ25/AZ6)</f>
        <v>0.66710000000000003</v>
      </c>
      <c r="BB25" s="37">
        <f t="shared" si="5"/>
        <v>0.51007108537345436</v>
      </c>
    </row>
    <row r="26" spans="1:54" hidden="1" outlineLevel="1" x14ac:dyDescent="0.25">
      <c r="A26" s="19"/>
      <c r="B26" s="62"/>
      <c r="C26" s="20"/>
      <c r="D26" s="34"/>
      <c r="E26" s="62"/>
      <c r="F26" s="20"/>
      <c r="G26" s="12"/>
      <c r="I26" s="20"/>
      <c r="J26" s="12"/>
      <c r="K26" s="22">
        <f t="shared" si="1"/>
        <v>0</v>
      </c>
      <c r="M26" s="20"/>
      <c r="N26" s="34"/>
      <c r="O26" s="62"/>
      <c r="P26" s="20"/>
      <c r="Q26" s="12"/>
      <c r="R26" s="22">
        <f t="shared" si="2"/>
        <v>0</v>
      </c>
      <c r="T26" s="20"/>
      <c r="U26" s="34"/>
      <c r="V26" s="62"/>
      <c r="W26" s="20"/>
      <c r="X26" s="79">
        <f t="shared" si="3"/>
        <v>0</v>
      </c>
      <c r="Y26" s="62"/>
      <c r="Z26" s="20"/>
      <c r="AA26" s="12"/>
      <c r="AB26" s="22">
        <f t="shared" si="0"/>
        <v>0</v>
      </c>
      <c r="AD26" s="20"/>
      <c r="AE26" s="34"/>
      <c r="AF26" s="62"/>
      <c r="AG26" s="20"/>
      <c r="AH26" s="12"/>
      <c r="AI26" s="22">
        <f t="shared" si="6"/>
        <v>0</v>
      </c>
      <c r="AJ26" s="53">
        <f t="shared" si="7"/>
        <v>0</v>
      </c>
      <c r="AK26" s="20"/>
      <c r="AL26" s="34"/>
      <c r="AM26" s="62"/>
      <c r="AN26" s="20"/>
      <c r="AO26" s="12"/>
      <c r="AP26" s="22">
        <f t="shared" si="8"/>
        <v>0</v>
      </c>
      <c r="AQ26" s="53">
        <f t="shared" si="9"/>
        <v>0</v>
      </c>
      <c r="AR26" s="20"/>
      <c r="AS26" s="34"/>
      <c r="AT26" s="62">
        <f>+V26*2</f>
        <v>0</v>
      </c>
      <c r="AU26" s="20"/>
      <c r="AV26" s="79">
        <f t="shared" si="4"/>
        <v>0</v>
      </c>
      <c r="AW26" s="62">
        <f>+AQ26/6</f>
        <v>0</v>
      </c>
      <c r="AX26" s="20"/>
      <c r="AY26" s="34"/>
      <c r="AZ26" s="62">
        <f>+AT26/6</f>
        <v>0</v>
      </c>
      <c r="BA26" s="20"/>
      <c r="BB26" s="79">
        <f t="shared" si="5"/>
        <v>0</v>
      </c>
    </row>
    <row r="27" spans="1:54" s="5" customFormat="1" hidden="1" outlineLevel="1" x14ac:dyDescent="0.25">
      <c r="A27" s="27" t="s">
        <v>50</v>
      </c>
      <c r="B27" s="61">
        <f>SUM(B28:B29)</f>
        <v>0</v>
      </c>
      <c r="C27" s="28">
        <f>IF(AND(B11=0,B27&gt;=0),,B27/B11)</f>
        <v>0</v>
      </c>
      <c r="D27" s="33"/>
      <c r="E27" s="61">
        <f>SUM(E28:E29)</f>
        <v>0</v>
      </c>
      <c r="F27" s="28">
        <f>IF(AND(E11=0,E27&gt;=0),,E27/E11)</f>
        <v>0</v>
      </c>
      <c r="G27" s="29"/>
      <c r="H27" s="52">
        <f>SUM(H28:H29)</f>
        <v>0</v>
      </c>
      <c r="I27" s="28">
        <f>IF(AND(H11=0,H27&gt;=0),,H27/H11)</f>
        <v>0</v>
      </c>
      <c r="J27" s="29"/>
      <c r="K27" s="28">
        <f t="shared" si="1"/>
        <v>0</v>
      </c>
      <c r="L27" s="52">
        <f>SUM(L28:L29)</f>
        <v>0</v>
      </c>
      <c r="M27" s="28">
        <f>IF(AND(L11=0,L27&gt;=0),,L27/L11)</f>
        <v>0</v>
      </c>
      <c r="N27" s="33"/>
      <c r="O27" s="61">
        <f>SUM(O28:O29)</f>
        <v>0</v>
      </c>
      <c r="P27" s="28">
        <f>IF(AND(O11=0,O27&gt;=0),,O27/O11)</f>
        <v>0</v>
      </c>
      <c r="Q27" s="29"/>
      <c r="R27" s="28">
        <f t="shared" si="2"/>
        <v>0</v>
      </c>
      <c r="S27" s="52">
        <f>SUM(S28:S29)</f>
        <v>0</v>
      </c>
      <c r="T27" s="28">
        <f>IF(AND(S11=0,S27&gt;=0),,S27/S11)</f>
        <v>0</v>
      </c>
      <c r="U27" s="33"/>
      <c r="V27" s="61">
        <f>SUM(V28:V29)</f>
        <v>0</v>
      </c>
      <c r="W27" s="28">
        <f>IF(AND(V11=0,V27&gt;=0),,V27/V11)</f>
        <v>0</v>
      </c>
      <c r="X27" s="78">
        <f t="shared" si="3"/>
        <v>0</v>
      </c>
      <c r="Y27" s="61">
        <f>SUM(Y28:Y29)</f>
        <v>0</v>
      </c>
      <c r="Z27" s="28">
        <f>IF(AND(Y11=0,Y27&gt;=0),,Y27/Y11)</f>
        <v>0</v>
      </c>
      <c r="AA27" s="29"/>
      <c r="AB27" s="28">
        <f t="shared" si="0"/>
        <v>0</v>
      </c>
      <c r="AC27" s="52">
        <f>SUM(AC28:AC29)</f>
        <v>0</v>
      </c>
      <c r="AD27" s="28">
        <f>IF(AND(AC11=0,AC27&gt;=0),,AC27/AC11)</f>
        <v>0</v>
      </c>
      <c r="AE27" s="33"/>
      <c r="AF27" s="61">
        <f>SUM(AF28:AF29)</f>
        <v>0</v>
      </c>
      <c r="AG27" s="28">
        <f>IF(AND(AF11=0,AF27&gt;=0),,AF27/AF11)</f>
        <v>0</v>
      </c>
      <c r="AH27" s="29"/>
      <c r="AI27" s="28">
        <f t="shared" si="6"/>
        <v>0</v>
      </c>
      <c r="AJ27" s="52">
        <f t="shared" si="7"/>
        <v>0</v>
      </c>
      <c r="AK27" s="28">
        <f>IF(AND(AJ11=0,AJ27&gt;=0),,AJ27/AJ11)</f>
        <v>0</v>
      </c>
      <c r="AL27" s="33"/>
      <c r="AM27" s="61">
        <f>SUM(AM28:AM29)</f>
        <v>0</v>
      </c>
      <c r="AN27" s="28">
        <f>IF(AND(AM11=0,AM27&gt;=0),,AM27/AM11)</f>
        <v>0</v>
      </c>
      <c r="AO27" s="29"/>
      <c r="AP27" s="28">
        <f t="shared" si="8"/>
        <v>0</v>
      </c>
      <c r="AQ27" s="52">
        <f t="shared" si="9"/>
        <v>0</v>
      </c>
      <c r="AR27" s="28">
        <f>IF(AND(AQ11=0,AQ27&gt;=0),,AQ27/AQ11)</f>
        <v>0</v>
      </c>
      <c r="AS27" s="33"/>
      <c r="AT27" s="61">
        <f>SUM(AT28:AT29)</f>
        <v>0</v>
      </c>
      <c r="AU27" s="28">
        <f>IF(AND(AT11=0,AT27&gt;=0),,AT27/AT11)</f>
        <v>0</v>
      </c>
      <c r="AV27" s="78">
        <f t="shared" si="4"/>
        <v>0</v>
      </c>
      <c r="AW27" s="61">
        <f>SUM(AW28:AW29)</f>
        <v>0</v>
      </c>
      <c r="AX27" s="28">
        <f>IF(AND(AW11=0,AW27&gt;=0),,AW27/AW11)</f>
        <v>0</v>
      </c>
      <c r="AY27" s="33"/>
      <c r="AZ27" s="61">
        <f>SUM(AZ28:AZ29)</f>
        <v>0</v>
      </c>
      <c r="BA27" s="28">
        <f>IF(AND(AZ11=0,AZ27&gt;=0),,AZ27/AZ11)</f>
        <v>0</v>
      </c>
      <c r="BB27" s="78">
        <f t="shared" si="5"/>
        <v>0</v>
      </c>
    </row>
    <row r="28" spans="1:54" hidden="1" outlineLevel="1" x14ac:dyDescent="0.25">
      <c r="A28" s="19" t="s">
        <v>51</v>
      </c>
      <c r="B28" s="62"/>
      <c r="C28" s="20">
        <f>IF(AND(B11=0,B28&gt;=0),,B28/B11)</f>
        <v>0</v>
      </c>
      <c r="D28" s="34"/>
      <c r="E28" s="62"/>
      <c r="F28" s="20">
        <f>IF(AND(E11=0,E28&gt;=0),,E28/E11)</f>
        <v>0</v>
      </c>
      <c r="G28" s="12"/>
      <c r="I28" s="20">
        <f>IF(AND(H11=0,H28&gt;=0),,H28/H11)</f>
        <v>0</v>
      </c>
      <c r="J28" s="12"/>
      <c r="K28" s="20">
        <f t="shared" si="1"/>
        <v>0</v>
      </c>
      <c r="L28" s="53">
        <f>+E28+H28</f>
        <v>0</v>
      </c>
      <c r="M28" s="20">
        <f>IF(AND(L11=0,L28&gt;=0),,L28/L11)</f>
        <v>0</v>
      </c>
      <c r="N28" s="34"/>
      <c r="O28" s="62"/>
      <c r="P28" s="20">
        <f>IF(AND(O11=0,O28&gt;=0),,O28/O11)</f>
        <v>0</v>
      </c>
      <c r="Q28" s="12"/>
      <c r="R28" s="20">
        <f t="shared" si="2"/>
        <v>0</v>
      </c>
      <c r="S28" s="53">
        <f>+L28+O28</f>
        <v>0</v>
      </c>
      <c r="T28" s="20">
        <f>IF(AND(S11=0,S28&gt;=0),,S28/S11)</f>
        <v>0</v>
      </c>
      <c r="U28" s="34"/>
      <c r="V28" s="62"/>
      <c r="W28" s="20">
        <f>IF(AND(V11=0,V28&gt;=0),,V28/V11)</f>
        <v>0</v>
      </c>
      <c r="X28" s="37">
        <f t="shared" si="3"/>
        <v>0</v>
      </c>
      <c r="Y28" s="62"/>
      <c r="Z28" s="20">
        <f>IF(AND(Y11=0,Y28&gt;=0),,Y28/Y11)</f>
        <v>0</v>
      </c>
      <c r="AA28" s="12"/>
      <c r="AB28" s="20">
        <f t="shared" si="0"/>
        <v>0</v>
      </c>
      <c r="AC28" s="53">
        <f>+S28+Y28</f>
        <v>0</v>
      </c>
      <c r="AD28" s="20">
        <f>IF(AND(AC11=0,AC28&gt;=0),,AC28/AC11)</f>
        <v>0</v>
      </c>
      <c r="AE28" s="34"/>
      <c r="AF28" s="62"/>
      <c r="AG28" s="20">
        <f>IF(AND(AF11=0,AF28&gt;=0),,AF28/AF11)</f>
        <v>0</v>
      </c>
      <c r="AH28" s="12"/>
      <c r="AI28" s="20">
        <f t="shared" si="6"/>
        <v>0</v>
      </c>
      <c r="AJ28" s="53">
        <f t="shared" si="7"/>
        <v>0</v>
      </c>
      <c r="AK28" s="20">
        <f>IF(AND(AJ11=0,AJ28&gt;=0),,AJ28/AJ11)</f>
        <v>0</v>
      </c>
      <c r="AL28" s="34"/>
      <c r="AM28" s="62"/>
      <c r="AN28" s="20">
        <f>IF(AND(AM11=0,AM28&gt;=0),,AM28/AM11)</f>
        <v>0</v>
      </c>
      <c r="AO28" s="12"/>
      <c r="AP28" s="20">
        <f t="shared" si="8"/>
        <v>0</v>
      </c>
      <c r="AQ28" s="53">
        <f t="shared" si="9"/>
        <v>0</v>
      </c>
      <c r="AR28" s="20">
        <f>IF(AND(AQ11=0,AQ28&gt;=0),,AQ28/AQ11)</f>
        <v>0</v>
      </c>
      <c r="AS28" s="34"/>
      <c r="AT28" s="62">
        <f>+V28*2</f>
        <v>0</v>
      </c>
      <c r="AU28" s="20">
        <f>IF(AND(AT11=0,AT28&gt;=0),,AT28/AT11)</f>
        <v>0</v>
      </c>
      <c r="AV28" s="37">
        <f t="shared" si="4"/>
        <v>0</v>
      </c>
      <c r="AW28" s="62">
        <f>+AQ28/6</f>
        <v>0</v>
      </c>
      <c r="AX28" s="20">
        <f>IF(AND(AW11=0,AW28&gt;=0),,AW28/AW11)</f>
        <v>0</v>
      </c>
      <c r="AY28" s="34"/>
      <c r="AZ28" s="62">
        <f>+AT28/6</f>
        <v>0</v>
      </c>
      <c r="BA28" s="20">
        <f>IF(AND(AZ11=0,AZ28&gt;=0),,AZ28/AZ11)</f>
        <v>0</v>
      </c>
      <c r="BB28" s="37">
        <f t="shared" si="5"/>
        <v>0</v>
      </c>
    </row>
    <row r="29" spans="1:54" hidden="1" outlineLevel="1" x14ac:dyDescent="0.25">
      <c r="A29" s="19"/>
      <c r="B29" s="62"/>
      <c r="C29" s="20"/>
      <c r="D29" s="34"/>
      <c r="E29" s="62"/>
      <c r="F29" s="20"/>
      <c r="G29" s="12"/>
      <c r="I29" s="20"/>
      <c r="J29" s="12"/>
      <c r="K29" s="22">
        <f t="shared" si="1"/>
        <v>0</v>
      </c>
      <c r="M29" s="20"/>
      <c r="N29" s="34"/>
      <c r="O29" s="62"/>
      <c r="P29" s="20"/>
      <c r="Q29" s="12"/>
      <c r="R29" s="22">
        <f t="shared" si="2"/>
        <v>0</v>
      </c>
      <c r="T29" s="20"/>
      <c r="U29" s="34"/>
      <c r="V29" s="62"/>
      <c r="W29" s="20"/>
      <c r="X29" s="79">
        <f t="shared" si="3"/>
        <v>0</v>
      </c>
      <c r="Y29" s="62"/>
      <c r="Z29" s="20"/>
      <c r="AA29" s="12"/>
      <c r="AB29" s="22">
        <f t="shared" si="0"/>
        <v>0</v>
      </c>
      <c r="AD29" s="20"/>
      <c r="AE29" s="34"/>
      <c r="AF29" s="62"/>
      <c r="AG29" s="20"/>
      <c r="AH29" s="12"/>
      <c r="AI29" s="22">
        <f t="shared" si="6"/>
        <v>0</v>
      </c>
      <c r="AJ29" s="53">
        <f t="shared" si="7"/>
        <v>0</v>
      </c>
      <c r="AK29" s="20"/>
      <c r="AL29" s="34"/>
      <c r="AM29" s="62"/>
      <c r="AN29" s="20"/>
      <c r="AO29" s="12"/>
      <c r="AP29" s="22">
        <f t="shared" si="8"/>
        <v>0</v>
      </c>
      <c r="AQ29" s="53">
        <f t="shared" si="9"/>
        <v>0</v>
      </c>
      <c r="AR29" s="20"/>
      <c r="AS29" s="34"/>
      <c r="AT29" s="62">
        <f>+V29*2</f>
        <v>0</v>
      </c>
      <c r="AU29" s="20"/>
      <c r="AV29" s="79">
        <f t="shared" si="4"/>
        <v>0</v>
      </c>
      <c r="AW29" s="62">
        <f>+AQ29/6</f>
        <v>0</v>
      </c>
      <c r="AX29" s="20"/>
      <c r="AY29" s="34"/>
      <c r="AZ29" s="62">
        <f>+AT29/6</f>
        <v>0</v>
      </c>
      <c r="BA29" s="20"/>
      <c r="BB29" s="79">
        <f t="shared" si="5"/>
        <v>0</v>
      </c>
    </row>
    <row r="30" spans="1:54" s="5" customFormat="1" hidden="1" outlineLevel="1" x14ac:dyDescent="0.25">
      <c r="A30" s="27" t="s">
        <v>54</v>
      </c>
      <c r="B30" s="61">
        <f>SUM(B31:B32)</f>
        <v>0</v>
      </c>
      <c r="C30" s="28">
        <f>IF(AND(B16=0,B30&gt;=0),,B30/B16)</f>
        <v>0</v>
      </c>
      <c r="D30" s="33"/>
      <c r="E30" s="61">
        <f>SUM(E31:E32)</f>
        <v>0</v>
      </c>
      <c r="F30" s="28">
        <f>IF(AND(E16=0,E30&gt;=0),,E30/E16)</f>
        <v>0</v>
      </c>
      <c r="G30" s="29"/>
      <c r="H30" s="52">
        <f>SUM(H31:H32)</f>
        <v>0</v>
      </c>
      <c r="I30" s="28">
        <f>IF(AND(H16=0,H30&gt;=0),,H30/H16)</f>
        <v>0</v>
      </c>
      <c r="J30" s="29"/>
      <c r="K30" s="28">
        <f t="shared" si="1"/>
        <v>0</v>
      </c>
      <c r="L30" s="52">
        <f>SUM(L31:L32)</f>
        <v>0</v>
      </c>
      <c r="M30" s="28">
        <f>IF(AND(L16=0,L30&gt;=0),,L30/L16)</f>
        <v>0</v>
      </c>
      <c r="N30" s="33"/>
      <c r="O30" s="61">
        <f>SUM(O31:O32)</f>
        <v>0</v>
      </c>
      <c r="P30" s="28">
        <f>IF(AND(O16=0,O30&gt;=0),,O30/O16)</f>
        <v>0</v>
      </c>
      <c r="Q30" s="29"/>
      <c r="R30" s="28">
        <f t="shared" si="2"/>
        <v>0</v>
      </c>
      <c r="S30" s="52">
        <f>SUM(S31:S32)</f>
        <v>0</v>
      </c>
      <c r="T30" s="28">
        <f>IF(AND(S16=0,S30&gt;=0),,S30/S16)</f>
        <v>0</v>
      </c>
      <c r="U30" s="33"/>
      <c r="V30" s="61">
        <f>SUM(V31:V32)</f>
        <v>0</v>
      </c>
      <c r="W30" s="28">
        <f>IF(AND(V16=0,V30&gt;=0),,V30/V16)</f>
        <v>0</v>
      </c>
      <c r="X30" s="78">
        <f t="shared" si="3"/>
        <v>0</v>
      </c>
      <c r="Y30" s="61">
        <f>SUM(Y31:Y32)</f>
        <v>0</v>
      </c>
      <c r="Z30" s="28">
        <f>IF(AND(Y16=0,Y30&gt;=0),,Y30/Y16)</f>
        <v>0</v>
      </c>
      <c r="AA30" s="29"/>
      <c r="AB30" s="28">
        <f t="shared" si="0"/>
        <v>0</v>
      </c>
      <c r="AC30" s="52">
        <f>SUM(AC31:AC32)</f>
        <v>0</v>
      </c>
      <c r="AD30" s="28">
        <f>IF(AND(AC16=0,AC30&gt;=0),,AC30/AC16)</f>
        <v>0</v>
      </c>
      <c r="AE30" s="33"/>
      <c r="AF30" s="61">
        <f>SUM(AF31:AF32)</f>
        <v>0</v>
      </c>
      <c r="AG30" s="28">
        <f>IF(AND(AF16=0,AF30&gt;=0),,AF30/AF16)</f>
        <v>0</v>
      </c>
      <c r="AH30" s="29"/>
      <c r="AI30" s="28">
        <f t="shared" si="6"/>
        <v>0</v>
      </c>
      <c r="AJ30" s="52">
        <f t="shared" si="7"/>
        <v>0</v>
      </c>
      <c r="AK30" s="28">
        <f>IF(AND(AJ16=0,AJ30&gt;=0),,AJ30/AJ16)</f>
        <v>0</v>
      </c>
      <c r="AL30" s="33"/>
      <c r="AM30" s="61">
        <f>SUM(AM31:AM32)</f>
        <v>0</v>
      </c>
      <c r="AN30" s="28">
        <f>IF(AND(AM16=0,AM30&gt;=0),,AM30/AM16)</f>
        <v>0</v>
      </c>
      <c r="AO30" s="29"/>
      <c r="AP30" s="28">
        <f t="shared" si="8"/>
        <v>0</v>
      </c>
      <c r="AQ30" s="52">
        <f t="shared" si="9"/>
        <v>0</v>
      </c>
      <c r="AR30" s="28">
        <f>IF(AND(AQ16=0,AQ30&gt;=0),,AQ30/AQ16)</f>
        <v>0</v>
      </c>
      <c r="AS30" s="33"/>
      <c r="AT30" s="61">
        <f>SUM(AT31:AT32)</f>
        <v>0</v>
      </c>
      <c r="AU30" s="28">
        <f>IF(AND(AT16=0,AT30&gt;=0),,AT30/AT16)</f>
        <v>0</v>
      </c>
      <c r="AV30" s="78">
        <f t="shared" si="4"/>
        <v>0</v>
      </c>
      <c r="AW30" s="61">
        <f>SUM(AW31:AW32)</f>
        <v>0</v>
      </c>
      <c r="AX30" s="28">
        <f>IF(AND(AW16=0,AW30&gt;=0),,AW30/AW16)</f>
        <v>0</v>
      </c>
      <c r="AY30" s="33"/>
      <c r="AZ30" s="61">
        <f>SUM(AZ31:AZ32)</f>
        <v>0</v>
      </c>
      <c r="BA30" s="28">
        <f>IF(AND(AZ16=0,AZ30&gt;=0),,AZ30/AZ16)</f>
        <v>0</v>
      </c>
      <c r="BB30" s="78">
        <f t="shared" si="5"/>
        <v>0</v>
      </c>
    </row>
    <row r="31" spans="1:54" hidden="1" outlineLevel="1" x14ac:dyDescent="0.25">
      <c r="A31" s="19" t="s">
        <v>55</v>
      </c>
      <c r="B31" s="62"/>
      <c r="C31" s="20">
        <f>IF(AND(B16=0,B31&gt;=0),,B31/B16)</f>
        <v>0</v>
      </c>
      <c r="D31" s="34"/>
      <c r="E31" s="62"/>
      <c r="F31" s="20">
        <f>IF(AND(E16=0,E31&gt;=0),,E31/E16)</f>
        <v>0</v>
      </c>
      <c r="G31" s="12"/>
      <c r="I31" s="20">
        <f>IF(AND(H16=0,H31&gt;=0),,H31/H16)</f>
        <v>0</v>
      </c>
      <c r="J31" s="12"/>
      <c r="K31" s="20">
        <f t="shared" si="1"/>
        <v>0</v>
      </c>
      <c r="L31" s="53">
        <f>+E31+H31</f>
        <v>0</v>
      </c>
      <c r="M31" s="20">
        <f>IF(AND(L16=0,L31&gt;=0),,L31/L16)</f>
        <v>0</v>
      </c>
      <c r="N31" s="34"/>
      <c r="O31" s="62"/>
      <c r="P31" s="20">
        <f>IF(AND(O16=0,O31&gt;=0),,O31/O16)</f>
        <v>0</v>
      </c>
      <c r="Q31" s="12"/>
      <c r="R31" s="20">
        <f t="shared" si="2"/>
        <v>0</v>
      </c>
      <c r="S31" s="53">
        <f>+L31+O31</f>
        <v>0</v>
      </c>
      <c r="T31" s="20">
        <f>IF(AND(S16=0,S31&gt;=0),,S31/S16)</f>
        <v>0</v>
      </c>
      <c r="U31" s="34"/>
      <c r="V31" s="62"/>
      <c r="W31" s="20">
        <f>IF(AND(V16=0,V31&gt;=0),,V31/V16)</f>
        <v>0</v>
      </c>
      <c r="X31" s="37">
        <f t="shared" si="3"/>
        <v>0</v>
      </c>
      <c r="Y31" s="62"/>
      <c r="Z31" s="20">
        <f>IF(AND(Y16=0,Y31&gt;=0),,Y31/Y16)</f>
        <v>0</v>
      </c>
      <c r="AA31" s="12"/>
      <c r="AB31" s="20">
        <f t="shared" si="0"/>
        <v>0</v>
      </c>
      <c r="AC31" s="53">
        <f>+S31+Y31</f>
        <v>0</v>
      </c>
      <c r="AD31" s="20">
        <f>IF(AND(AC16=0,AC31&gt;=0),,AC31/AC16)</f>
        <v>0</v>
      </c>
      <c r="AE31" s="34"/>
      <c r="AF31" s="62"/>
      <c r="AG31" s="20">
        <f>IF(AND(AF16=0,AF31&gt;=0),,AF31/AF16)</f>
        <v>0</v>
      </c>
      <c r="AH31" s="12"/>
      <c r="AI31" s="20">
        <f t="shared" si="6"/>
        <v>0</v>
      </c>
      <c r="AJ31" s="53">
        <f t="shared" si="7"/>
        <v>0</v>
      </c>
      <c r="AK31" s="20">
        <f>IF(AND(AJ16=0,AJ31&gt;=0),,AJ31/AJ16)</f>
        <v>0</v>
      </c>
      <c r="AL31" s="34"/>
      <c r="AM31" s="62"/>
      <c r="AN31" s="20">
        <f>IF(AND(AM16=0,AM31&gt;=0),,AM31/AM16)</f>
        <v>0</v>
      </c>
      <c r="AO31" s="12"/>
      <c r="AP31" s="20">
        <f t="shared" si="8"/>
        <v>0</v>
      </c>
      <c r="AQ31" s="53">
        <f t="shared" si="9"/>
        <v>0</v>
      </c>
      <c r="AR31" s="20">
        <f>IF(AND(AQ16=0,AQ31&gt;=0),,AQ31/AQ16)</f>
        <v>0</v>
      </c>
      <c r="AS31" s="34"/>
      <c r="AT31" s="62">
        <f>+V31*2</f>
        <v>0</v>
      </c>
      <c r="AU31" s="20">
        <f>IF(AND(AT16=0,AT31&gt;=0),,AT31/AT16)</f>
        <v>0</v>
      </c>
      <c r="AV31" s="37">
        <f t="shared" si="4"/>
        <v>0</v>
      </c>
      <c r="AW31" s="62">
        <f>+AQ31/6</f>
        <v>0</v>
      </c>
      <c r="AX31" s="20">
        <f>IF(AND(AW16=0,AW31&gt;=0),,AW31/AW16)</f>
        <v>0</v>
      </c>
      <c r="AY31" s="34"/>
      <c r="AZ31" s="62">
        <f>+AT31/6</f>
        <v>0</v>
      </c>
      <c r="BA31" s="20">
        <f>IF(AND(AZ16=0,AZ31&gt;=0),,AZ31/AZ16)</f>
        <v>0</v>
      </c>
      <c r="BB31" s="37">
        <f t="shared" si="5"/>
        <v>0</v>
      </c>
    </row>
    <row r="32" spans="1:54" s="2" customFormat="1" hidden="1" outlineLevel="1" x14ac:dyDescent="0.25">
      <c r="A32" s="19"/>
      <c r="B32" s="63"/>
      <c r="C32" s="20"/>
      <c r="D32" s="34"/>
      <c r="E32" s="63"/>
      <c r="F32" s="20"/>
      <c r="G32" s="12"/>
      <c r="H32" s="49"/>
      <c r="I32" s="20"/>
      <c r="J32" s="12"/>
      <c r="K32" s="13">
        <f t="shared" si="1"/>
        <v>0</v>
      </c>
      <c r="L32" s="49"/>
      <c r="M32" s="20"/>
      <c r="N32" s="34"/>
      <c r="O32" s="63"/>
      <c r="P32" s="20"/>
      <c r="Q32" s="12"/>
      <c r="R32" s="13">
        <f t="shared" si="2"/>
        <v>0</v>
      </c>
      <c r="S32" s="49"/>
      <c r="T32" s="20"/>
      <c r="U32" s="34"/>
      <c r="V32" s="63"/>
      <c r="W32" s="20"/>
      <c r="X32" s="36">
        <f t="shared" si="3"/>
        <v>0</v>
      </c>
      <c r="Y32" s="63"/>
      <c r="Z32" s="20"/>
      <c r="AA32" s="12"/>
      <c r="AB32" s="13">
        <f t="shared" si="0"/>
        <v>0</v>
      </c>
      <c r="AC32" s="49"/>
      <c r="AD32" s="20"/>
      <c r="AE32" s="34"/>
      <c r="AF32" s="63"/>
      <c r="AG32" s="20"/>
      <c r="AH32" s="12"/>
      <c r="AI32" s="13">
        <f t="shared" si="6"/>
        <v>0</v>
      </c>
      <c r="AJ32" s="49">
        <f t="shared" si="7"/>
        <v>0</v>
      </c>
      <c r="AK32" s="20"/>
      <c r="AL32" s="34"/>
      <c r="AM32" s="63"/>
      <c r="AN32" s="20"/>
      <c r="AO32" s="12"/>
      <c r="AP32" s="13">
        <f t="shared" si="8"/>
        <v>0</v>
      </c>
      <c r="AQ32" s="49">
        <f t="shared" si="9"/>
        <v>0</v>
      </c>
      <c r="AR32" s="20"/>
      <c r="AS32" s="34"/>
      <c r="AT32" s="62">
        <f>+V32*2</f>
        <v>0</v>
      </c>
      <c r="AU32" s="20"/>
      <c r="AV32" s="36">
        <f t="shared" si="4"/>
        <v>0</v>
      </c>
      <c r="AW32" s="62">
        <f>+AQ32/6</f>
        <v>0</v>
      </c>
      <c r="AX32" s="20"/>
      <c r="AY32" s="34"/>
      <c r="AZ32" s="62">
        <f>+AT32/6</f>
        <v>0</v>
      </c>
      <c r="BA32" s="20"/>
      <c r="BB32" s="36">
        <f t="shared" si="5"/>
        <v>0</v>
      </c>
    </row>
    <row r="33" spans="1:54" s="5" customFormat="1" ht="14.45" customHeight="1" collapsed="1" x14ac:dyDescent="0.25">
      <c r="A33" s="1"/>
      <c r="B33" s="64"/>
      <c r="C33" s="4"/>
      <c r="D33" s="35"/>
      <c r="E33" s="64"/>
      <c r="F33" s="4"/>
      <c r="G33" s="4"/>
      <c r="H33" s="54"/>
      <c r="I33" s="4"/>
      <c r="J33" s="4"/>
      <c r="K33" s="23">
        <f t="shared" si="1"/>
        <v>0</v>
      </c>
      <c r="L33" s="54"/>
      <c r="M33" s="4"/>
      <c r="N33" s="35"/>
      <c r="O33" s="64"/>
      <c r="P33" s="4"/>
      <c r="Q33" s="4"/>
      <c r="R33" s="23"/>
      <c r="S33" s="54"/>
      <c r="T33" s="4"/>
      <c r="U33" s="35"/>
      <c r="V33" s="64"/>
      <c r="W33" s="4"/>
      <c r="X33" s="80">
        <f t="shared" si="3"/>
        <v>0</v>
      </c>
      <c r="Y33" s="64"/>
      <c r="Z33" s="4"/>
      <c r="AA33" s="4"/>
      <c r="AB33" s="23">
        <f t="shared" si="0"/>
        <v>0</v>
      </c>
      <c r="AC33" s="54"/>
      <c r="AD33" s="4"/>
      <c r="AE33" s="35"/>
      <c r="AF33" s="64"/>
      <c r="AG33" s="4"/>
      <c r="AH33" s="4"/>
      <c r="AI33" s="23">
        <f t="shared" si="6"/>
        <v>0</v>
      </c>
      <c r="AJ33" s="54">
        <f t="shared" si="7"/>
        <v>0</v>
      </c>
      <c r="AK33" s="4"/>
      <c r="AL33" s="35"/>
      <c r="AM33" s="64"/>
      <c r="AN33" s="4"/>
      <c r="AO33" s="4"/>
      <c r="AP33" s="23">
        <f t="shared" si="8"/>
        <v>0</v>
      </c>
      <c r="AQ33" s="54">
        <f t="shared" si="9"/>
        <v>0</v>
      </c>
      <c r="AR33" s="4"/>
      <c r="AS33" s="35"/>
      <c r="AT33" s="64"/>
      <c r="AU33" s="4"/>
      <c r="AV33" s="80">
        <f t="shared" si="4"/>
        <v>0</v>
      </c>
      <c r="AW33" s="64"/>
      <c r="AX33" s="4"/>
      <c r="AY33" s="35"/>
      <c r="AZ33" s="64"/>
      <c r="BA33" s="4"/>
      <c r="BB33" s="80">
        <f t="shared" si="5"/>
        <v>0</v>
      </c>
    </row>
    <row r="34" spans="1:54" s="24" customFormat="1" ht="15.75" x14ac:dyDescent="0.25">
      <c r="A34" s="40" t="s">
        <v>58</v>
      </c>
      <c r="B34" s="65">
        <f>+B6+B19-B24</f>
        <v>88381.18</v>
      </c>
      <c r="C34" s="41">
        <f>IF(AND((B6+B19)=0,B34&lt;=0),,B34/(B6+B19))</f>
        <v>0.33288385698689893</v>
      </c>
      <c r="D34" s="42"/>
      <c r="E34" s="65">
        <f>+E6+E19-E24</f>
        <v>8164.17</v>
      </c>
      <c r="F34" s="41">
        <f>IF(AND((E6+E19)=0,E34&lt;=0),,E34/(E6+E19))</f>
        <v>0.35775533795431658</v>
      </c>
      <c r="G34" s="41"/>
      <c r="H34" s="55">
        <f>+H6+H19-H24</f>
        <v>7591.5899999999965</v>
      </c>
      <c r="I34" s="41">
        <f>IF(AND((H6+H19)=0,H34&lt;=0),,H34/(H6+H19))</f>
        <v>0.31592240007457356</v>
      </c>
      <c r="J34" s="41"/>
      <c r="K34" s="41">
        <f t="shared" si="1"/>
        <v>-7.0133277479523762E-2</v>
      </c>
      <c r="L34" s="55">
        <f>+L6+L19-L24</f>
        <v>15755.759999999995</v>
      </c>
      <c r="M34" s="41">
        <f>IF(AND((L6+L19)=0,L34&lt;=0),,L34/(L6+L19))</f>
        <v>0.33629893922066068</v>
      </c>
      <c r="N34" s="42"/>
      <c r="O34" s="65">
        <f>+O6+O19-O24</f>
        <v>8752.3200000000015</v>
      </c>
      <c r="P34" s="41">
        <f>IF(AND((O6+O19)=0,O34&lt;=0),,O34/(O6+O19))</f>
        <v>0.35705843884843075</v>
      </c>
      <c r="Q34" s="41"/>
      <c r="R34" s="41">
        <f t="shared" si="2"/>
        <v>0.15289682398548993</v>
      </c>
      <c r="S34" s="55">
        <f>+S6+S19-S24</f>
        <v>24508.079999999994</v>
      </c>
      <c r="T34" s="41">
        <f>IF(AND((S6+S19)=0,S34&lt;=0),,S34/(S6+S19))</f>
        <v>0.34342959036752357</v>
      </c>
      <c r="U34" s="42"/>
      <c r="V34" s="65">
        <f>+V6+V19-V24</f>
        <v>18975.300000000003</v>
      </c>
      <c r="W34" s="41">
        <f>IF(AND((V6+V19)=0,V34&lt;=0),,V34/(V6+V19))</f>
        <v>0.33290000000000003</v>
      </c>
      <c r="X34" s="42">
        <f t="shared" si="3"/>
        <v>0.29157799876681745</v>
      </c>
      <c r="Y34" s="65">
        <f>+Y6+Y19-Y24</f>
        <v>8573.6799999999985</v>
      </c>
      <c r="Z34" s="41">
        <f>IF(AND((Y6+Y19)=0,Y34&lt;=0),,Y34/(Y6+Y19))</f>
        <v>0.36697527297319271</v>
      </c>
      <c r="AA34" s="41"/>
      <c r="AB34" s="41">
        <f t="shared" si="0"/>
        <v>-2.0410588278308269E-2</v>
      </c>
      <c r="AC34" s="55">
        <f>+AC6+AC19-AC24</f>
        <v>33081.760000000002</v>
      </c>
      <c r="AD34" s="41">
        <f>IF(AND((AC6+AC19)=0,AC34&lt;=0),,AC34/(AC6+AC19))</f>
        <v>0.34923687673428111</v>
      </c>
      <c r="AE34" s="42"/>
      <c r="AF34" s="65">
        <f>+AF6+AF19-AF24</f>
        <v>11781.73</v>
      </c>
      <c r="AG34" s="41">
        <f>IF(AND((AF6+AF19)=0,AF34&lt;=0),,AF34/(AF6+AF19))</f>
        <v>0.36782147106360036</v>
      </c>
      <c r="AH34" s="41"/>
      <c r="AI34" s="41">
        <f t="shared" si="6"/>
        <v>-0.37910177968200776</v>
      </c>
      <c r="AJ34" s="55">
        <f t="shared" si="7"/>
        <v>44863.490000000005</v>
      </c>
      <c r="AK34" s="41">
        <f>IF(AND((AJ6+AJ19)=0,AJ34&lt;=0),,AJ34/(AJ6+AJ19))</f>
        <v>0.35393314891742433</v>
      </c>
      <c r="AL34" s="42"/>
      <c r="AM34" s="65">
        <f>+AM6+AM19-AM24</f>
        <v>12817.870000000003</v>
      </c>
      <c r="AN34" s="41">
        <f>IF(AND((AM6+AM19)=0,AM34&lt;=0),,AM34/(AM6+AM19))</f>
        <v>0.34776678714818038</v>
      </c>
      <c r="AO34" s="41"/>
      <c r="AP34" s="41">
        <f t="shared" si="8"/>
        <v>-0.61253965931679566</v>
      </c>
      <c r="AQ34" s="55">
        <f t="shared" si="9"/>
        <v>57681.360000000008</v>
      </c>
      <c r="AR34" s="41">
        <f>IF(AND((AQ6+AQ19)=0,AQ34&lt;=0),,AQ34/(AQ6+AQ19))</f>
        <v>0.35254404526930422</v>
      </c>
      <c r="AS34" s="42"/>
      <c r="AT34" s="65">
        <f>+AT6+AT19-AT24</f>
        <v>37950.600000000006</v>
      </c>
      <c r="AU34" s="41">
        <f>IF(AND((AT6+AT19)=0,AT34&lt;=0),,AT34/(AT6+AT19))</f>
        <v>0.33290000000000003</v>
      </c>
      <c r="AV34" s="42">
        <f t="shared" si="4"/>
        <v>0.5199064046418238</v>
      </c>
      <c r="AW34" s="65">
        <f>+AW6+AW19-AW24</f>
        <v>9860.0000000000036</v>
      </c>
      <c r="AX34" s="41">
        <f>IF(AND((AW6+AW19)=0,AW34&lt;=0),,AW34/(AW6+AW19))</f>
        <v>0.34000000000000014</v>
      </c>
      <c r="AY34" s="42"/>
      <c r="AZ34" s="65">
        <f>+AZ6+AZ19-AZ24</f>
        <v>6325.1</v>
      </c>
      <c r="BA34" s="41">
        <f>IF(AND((AZ6+AZ19)=0,AZ34&lt;=0),,AZ34/(AZ6+AZ19))</f>
        <v>0.33290000000000003</v>
      </c>
      <c r="BB34" s="42">
        <f t="shared" si="5"/>
        <v>0.55886863448799273</v>
      </c>
    </row>
    <row r="35" spans="1:54" s="24" customFormat="1" ht="15.75" x14ac:dyDescent="0.25">
      <c r="A35" s="40" t="s">
        <v>56</v>
      </c>
      <c r="B35" s="65">
        <f>+B11-B27</f>
        <v>0</v>
      </c>
      <c r="C35" s="41">
        <f>IF(AND(B11=0,B35&lt;=0),,B35/B11)</f>
        <v>0</v>
      </c>
      <c r="D35" s="42"/>
      <c r="E35" s="65">
        <f>+E11-E27</f>
        <v>0</v>
      </c>
      <c r="F35" s="41">
        <f>IF(AND(E11=0,E35&lt;=0),,E35/E11)</f>
        <v>0</v>
      </c>
      <c r="G35" s="41"/>
      <c r="H35" s="55">
        <f>+H11-H27</f>
        <v>0</v>
      </c>
      <c r="I35" s="41">
        <f>IF(AND(H11=0,H35&lt;=0),,H35/H11)</f>
        <v>0</v>
      </c>
      <c r="J35" s="41"/>
      <c r="K35" s="41">
        <f t="shared" si="1"/>
        <v>0</v>
      </c>
      <c r="L35" s="55">
        <f>+L11-L27</f>
        <v>0</v>
      </c>
      <c r="M35" s="41">
        <f>IF(AND(L11=0,L35&lt;=0),,L35/L11)</f>
        <v>0</v>
      </c>
      <c r="N35" s="42"/>
      <c r="O35" s="65">
        <f>+O11-O27</f>
        <v>0</v>
      </c>
      <c r="P35" s="41">
        <f>IF(AND(O11=0,O35&lt;=0),,O35/O11)</f>
        <v>0</v>
      </c>
      <c r="Q35" s="41"/>
      <c r="R35" s="41">
        <f t="shared" si="2"/>
        <v>0</v>
      </c>
      <c r="S35" s="55">
        <f>+S11-S27</f>
        <v>0</v>
      </c>
      <c r="T35" s="41">
        <f>IF(AND(S11=0,S35&lt;=0),,S35/S11)</f>
        <v>0</v>
      </c>
      <c r="U35" s="42"/>
      <c r="V35" s="65">
        <f>+V11-V27</f>
        <v>0</v>
      </c>
      <c r="W35" s="41">
        <f>IF(AND(V11=0,V35&lt;=0),,V35/V11)</f>
        <v>0</v>
      </c>
      <c r="X35" s="42">
        <f t="shared" si="3"/>
        <v>0</v>
      </c>
      <c r="Y35" s="65">
        <f>+Y11-Y27</f>
        <v>0</v>
      </c>
      <c r="Z35" s="41">
        <f>IF(AND(Y11=0,Y35&lt;=0),,Y35/Y11)</f>
        <v>0</v>
      </c>
      <c r="AA35" s="41"/>
      <c r="AB35" s="41">
        <f t="shared" si="0"/>
        <v>0</v>
      </c>
      <c r="AC35" s="55">
        <f>+AC11-AC27</f>
        <v>0</v>
      </c>
      <c r="AD35" s="41">
        <f>IF(AND(AC11=0,AC35&lt;=0),,AC35/AC11)</f>
        <v>0</v>
      </c>
      <c r="AE35" s="42"/>
      <c r="AF35" s="65">
        <f>+AF11-AF27</f>
        <v>0</v>
      </c>
      <c r="AG35" s="41">
        <f>IF(AND(AF11=0,AF35&lt;=0),,AF35/AF11)</f>
        <v>0</v>
      </c>
      <c r="AH35" s="41"/>
      <c r="AI35" s="41">
        <f t="shared" si="6"/>
        <v>0</v>
      </c>
      <c r="AJ35" s="55">
        <f t="shared" si="7"/>
        <v>0</v>
      </c>
      <c r="AK35" s="41">
        <f>IF(AND(AJ11=0,AJ35&lt;=0),,AJ35/AJ11)</f>
        <v>0</v>
      </c>
      <c r="AL35" s="42"/>
      <c r="AM35" s="65">
        <f>+AM11-AM27</f>
        <v>0</v>
      </c>
      <c r="AN35" s="41">
        <f>IF(AND(AM11=0,AM35&lt;=0),,AM35/AM11)</f>
        <v>0</v>
      </c>
      <c r="AO35" s="41"/>
      <c r="AP35" s="41">
        <f t="shared" si="8"/>
        <v>0</v>
      </c>
      <c r="AQ35" s="55">
        <f t="shared" si="9"/>
        <v>0</v>
      </c>
      <c r="AR35" s="41">
        <f>IF(AND(AQ11=0,AQ35&lt;=0),,AQ35/AQ11)</f>
        <v>0</v>
      </c>
      <c r="AS35" s="42"/>
      <c r="AT35" s="65">
        <f>+AT11-AT27</f>
        <v>0</v>
      </c>
      <c r="AU35" s="41">
        <f>IF(AND(AT11=0,AT35&lt;=0),,AT35/AT11)</f>
        <v>0</v>
      </c>
      <c r="AV35" s="42">
        <f t="shared" si="4"/>
        <v>0</v>
      </c>
      <c r="AW35" s="65">
        <f>+AW11-AW27</f>
        <v>0</v>
      </c>
      <c r="AX35" s="41">
        <f>IF(AND(AW11=0,AW35&lt;=0),,AW35/AW11)</f>
        <v>0</v>
      </c>
      <c r="AY35" s="42"/>
      <c r="AZ35" s="65">
        <f>+AZ11-AZ27</f>
        <v>0</v>
      </c>
      <c r="BA35" s="41">
        <f>IF(AND(AZ11=0,AZ35&lt;=0),,AZ35/AZ11)</f>
        <v>0</v>
      </c>
      <c r="BB35" s="42">
        <f t="shared" si="5"/>
        <v>0</v>
      </c>
    </row>
    <row r="36" spans="1:54" s="24" customFormat="1" ht="15.75" x14ac:dyDescent="0.25">
      <c r="A36" s="40" t="s">
        <v>57</v>
      </c>
      <c r="B36" s="65">
        <f>+B16-B30</f>
        <v>0</v>
      </c>
      <c r="C36" s="41">
        <f>IF(AND(B16=0,B36&lt;=0),,B36/B16)</f>
        <v>0</v>
      </c>
      <c r="D36" s="42"/>
      <c r="E36" s="65">
        <f>+E16-E30</f>
        <v>0</v>
      </c>
      <c r="F36" s="41">
        <f>IF(AND(E16=0,E36&lt;=0),,E36/E16)</f>
        <v>0</v>
      </c>
      <c r="G36" s="41"/>
      <c r="H36" s="55">
        <f>+H16-H30</f>
        <v>0</v>
      </c>
      <c r="I36" s="41">
        <f>IF(AND(H16=0,H36&lt;=0),,H36/H16)</f>
        <v>0</v>
      </c>
      <c r="J36" s="41"/>
      <c r="K36" s="41">
        <f t="shared" si="1"/>
        <v>0</v>
      </c>
      <c r="L36" s="55">
        <f>+L16-L30</f>
        <v>0</v>
      </c>
      <c r="M36" s="41">
        <f>IF(AND(L16=0,L36&lt;=0),,L36/L16)</f>
        <v>0</v>
      </c>
      <c r="N36" s="42"/>
      <c r="O36" s="65">
        <f>+O16-O30</f>
        <v>0</v>
      </c>
      <c r="P36" s="41">
        <f>IF(AND(O16=0,O36&lt;=0),,O36/O16)</f>
        <v>0</v>
      </c>
      <c r="Q36" s="41"/>
      <c r="R36" s="41">
        <f t="shared" si="2"/>
        <v>0</v>
      </c>
      <c r="S36" s="55">
        <f>+S16-S30</f>
        <v>0</v>
      </c>
      <c r="T36" s="41">
        <f>IF(AND(S16=0,S36&lt;=0),,S36/S16)</f>
        <v>0</v>
      </c>
      <c r="U36" s="42"/>
      <c r="V36" s="65">
        <f>+V16-V30</f>
        <v>0</v>
      </c>
      <c r="W36" s="41">
        <f>IF(AND(V16=0,V36&lt;=0),,V36/V16)</f>
        <v>0</v>
      </c>
      <c r="X36" s="42">
        <f t="shared" si="3"/>
        <v>0</v>
      </c>
      <c r="Y36" s="65">
        <f>+Y16-Y30</f>
        <v>0</v>
      </c>
      <c r="Z36" s="41">
        <f>IF(AND(Y16=0,Y36&lt;=0),,Y36/Y16)</f>
        <v>0</v>
      </c>
      <c r="AA36" s="41"/>
      <c r="AB36" s="41">
        <f t="shared" si="0"/>
        <v>0</v>
      </c>
      <c r="AC36" s="55">
        <f>+AC16-AC30</f>
        <v>0</v>
      </c>
      <c r="AD36" s="41">
        <f>IF(AND(AC16=0,AC36&lt;=0),,AC36/AC16)</f>
        <v>0</v>
      </c>
      <c r="AE36" s="42"/>
      <c r="AF36" s="65">
        <f>+AF16-AF30</f>
        <v>0</v>
      </c>
      <c r="AG36" s="41">
        <f>IF(AND(AF16=0,AF36&lt;=0),,AF36/AF16)</f>
        <v>0</v>
      </c>
      <c r="AH36" s="41"/>
      <c r="AI36" s="41">
        <f t="shared" si="6"/>
        <v>0</v>
      </c>
      <c r="AJ36" s="55">
        <f t="shared" si="7"/>
        <v>0</v>
      </c>
      <c r="AK36" s="41">
        <f>IF(AND(AJ16=0,AJ36&lt;=0),,AJ36/AJ16)</f>
        <v>0</v>
      </c>
      <c r="AL36" s="42"/>
      <c r="AM36" s="65">
        <f>+AM16-AM30</f>
        <v>0</v>
      </c>
      <c r="AN36" s="41">
        <f>IF(AND(AM16=0,AM36&lt;=0),,AM36/AM16)</f>
        <v>0</v>
      </c>
      <c r="AO36" s="41"/>
      <c r="AP36" s="41">
        <f t="shared" si="8"/>
        <v>0</v>
      </c>
      <c r="AQ36" s="55">
        <f t="shared" si="9"/>
        <v>0</v>
      </c>
      <c r="AR36" s="41">
        <f>IF(AND(AQ16=0,AQ36&lt;=0),,AQ36/AQ16)</f>
        <v>0</v>
      </c>
      <c r="AS36" s="42"/>
      <c r="AT36" s="65">
        <f>+AT16-AT30</f>
        <v>0</v>
      </c>
      <c r="AU36" s="41">
        <f>IF(AND(AT16=0,AT36&lt;=0),,AT36/AT16)</f>
        <v>0</v>
      </c>
      <c r="AV36" s="42">
        <f t="shared" si="4"/>
        <v>0</v>
      </c>
      <c r="AW36" s="65">
        <f>+AW16-AW30</f>
        <v>0</v>
      </c>
      <c r="AX36" s="41">
        <f>IF(AND(AW16=0,AW36&lt;=0),,AW36/AW16)</f>
        <v>0</v>
      </c>
      <c r="AY36" s="42"/>
      <c r="AZ36" s="65">
        <f>+AZ16-AZ30</f>
        <v>0</v>
      </c>
      <c r="BA36" s="41">
        <f>IF(AND(AZ16=0,AZ36&lt;=0),,AZ36/AZ16)</f>
        <v>0</v>
      </c>
      <c r="BB36" s="42">
        <f t="shared" si="5"/>
        <v>0</v>
      </c>
    </row>
    <row r="37" spans="1:54" s="24" customFormat="1" ht="16.5" thickBot="1" x14ac:dyDescent="0.3">
      <c r="A37" s="43" t="s">
        <v>59</v>
      </c>
      <c r="B37" s="66">
        <f>+B5-B23</f>
        <v>88381.18</v>
      </c>
      <c r="C37" s="44">
        <f>IF(AND(B5=0,B37&lt;=0),,B37/B5)</f>
        <v>0.33288385698689893</v>
      </c>
      <c r="D37" s="45"/>
      <c r="E37" s="66">
        <f>+E5-E23</f>
        <v>8164.17</v>
      </c>
      <c r="F37" s="44">
        <f>IF(AND(E5=0,E37&lt;=0),,E37/E5)</f>
        <v>0.35775533795431658</v>
      </c>
      <c r="G37" s="44"/>
      <c r="H37" s="56">
        <f>+H5-H23</f>
        <v>7591.5899999999965</v>
      </c>
      <c r="I37" s="44">
        <f>IF(AND(H5=0,H37&lt;=0),,H37/H5)</f>
        <v>0.31592240007457356</v>
      </c>
      <c r="J37" s="44"/>
      <c r="K37" s="44">
        <f t="shared" si="1"/>
        <v>-7.0133277479523762E-2</v>
      </c>
      <c r="L37" s="56">
        <f>+L5-L23</f>
        <v>15755.759999999995</v>
      </c>
      <c r="M37" s="44">
        <f>IF(AND(L5=0,L37&lt;=0),,L37/L5)</f>
        <v>0.33629893922066068</v>
      </c>
      <c r="N37" s="45"/>
      <c r="O37" s="66">
        <f>+O5-O23</f>
        <v>8752.3200000000015</v>
      </c>
      <c r="P37" s="44">
        <f>IF(AND(O5=0,O37&lt;=0),,O37/O5)</f>
        <v>0.35705843884843075</v>
      </c>
      <c r="Q37" s="44"/>
      <c r="R37" s="44">
        <f t="shared" si="2"/>
        <v>0.15289682398548993</v>
      </c>
      <c r="S37" s="56">
        <f>+S5-S23</f>
        <v>24508.079999999994</v>
      </c>
      <c r="T37" s="44">
        <f>IF(AND(S5=0,S37&lt;=0),,S37/S5)</f>
        <v>0.34342959036752357</v>
      </c>
      <c r="U37" s="45"/>
      <c r="V37" s="66">
        <f>+V5-V23</f>
        <v>18975.300000000003</v>
      </c>
      <c r="W37" s="44">
        <f>IF(AND(V5=0,V37&lt;=0),,V37/V5)</f>
        <v>0.33290000000000003</v>
      </c>
      <c r="X37" s="45">
        <f t="shared" si="3"/>
        <v>0.29157799876681745</v>
      </c>
      <c r="Y37" s="66">
        <f>+Y5-Y23</f>
        <v>8573.6799999999985</v>
      </c>
      <c r="Z37" s="44">
        <f>IF(AND(Y5=0,Y37&lt;=0),,Y37/Y5)</f>
        <v>0.36697527297319271</v>
      </c>
      <c r="AA37" s="44"/>
      <c r="AB37" s="44">
        <f t="shared" si="0"/>
        <v>-2.0410588278308269E-2</v>
      </c>
      <c r="AC37" s="56">
        <f>+AC5-AC23</f>
        <v>33081.760000000002</v>
      </c>
      <c r="AD37" s="44">
        <f>IF(AND(AC5=0,AC37&lt;=0),,AC37/AC5)</f>
        <v>0.34923687673428111</v>
      </c>
      <c r="AE37" s="45"/>
      <c r="AF37" s="66">
        <f>+AF5-AF23</f>
        <v>11781.73</v>
      </c>
      <c r="AG37" s="44">
        <f>IF(AND(AF5=0,AF37&lt;=0),,AF37/AF5)</f>
        <v>0.36782147106360036</v>
      </c>
      <c r="AH37" s="44"/>
      <c r="AI37" s="44">
        <f t="shared" si="6"/>
        <v>-0.37910177968200776</v>
      </c>
      <c r="AJ37" s="56">
        <f t="shared" si="7"/>
        <v>44863.490000000005</v>
      </c>
      <c r="AK37" s="44">
        <f>IF(AND(AJ5=0,AJ37&lt;=0),,AJ37/AJ5)</f>
        <v>0.35393314891742433</v>
      </c>
      <c r="AL37" s="45"/>
      <c r="AM37" s="66">
        <f>+AM5-AM23</f>
        <v>12817.870000000003</v>
      </c>
      <c r="AN37" s="44">
        <f>IF(AND(AM5=0,AM37&lt;=0),,AM37/AM5)</f>
        <v>0.34776678714818038</v>
      </c>
      <c r="AO37" s="44"/>
      <c r="AP37" s="44">
        <f t="shared" si="8"/>
        <v>-0.61253965931679566</v>
      </c>
      <c r="AQ37" s="56">
        <f t="shared" si="9"/>
        <v>57681.360000000008</v>
      </c>
      <c r="AR37" s="44">
        <f>IF(AND(AQ5=0,AQ37&lt;=0),,AQ37/AQ5)</f>
        <v>0.35254404526930422</v>
      </c>
      <c r="AS37" s="45"/>
      <c r="AT37" s="66">
        <f>+AT5-AT23</f>
        <v>37950.600000000006</v>
      </c>
      <c r="AU37" s="44">
        <f>IF(AND(AT5=0,AT37&lt;=0),,AT37/AT5)</f>
        <v>0.33290000000000003</v>
      </c>
      <c r="AV37" s="45">
        <f t="shared" si="4"/>
        <v>0.5199064046418238</v>
      </c>
      <c r="AW37" s="66">
        <f>+AW5-AW23</f>
        <v>9860.0000000000036</v>
      </c>
      <c r="AX37" s="44">
        <f>IF(AND(AW5=0,AW37&lt;=0),,AW37/AW5)</f>
        <v>0.34000000000000014</v>
      </c>
      <c r="AY37" s="45"/>
      <c r="AZ37" s="66">
        <f>+AZ5-AZ23</f>
        <v>6325.1</v>
      </c>
      <c r="BA37" s="44">
        <f>IF(AND(AZ5=0,AZ37&lt;=0),,AZ37/AZ5)</f>
        <v>0.33290000000000003</v>
      </c>
      <c r="BB37" s="45">
        <f t="shared" si="5"/>
        <v>0.55886863448799273</v>
      </c>
    </row>
    <row r="38" spans="1:54" s="2" customFormat="1" ht="15.75" thickTop="1" x14ac:dyDescent="0.25">
      <c r="B38" s="63"/>
      <c r="C38" s="13"/>
      <c r="D38" s="36"/>
      <c r="E38" s="63"/>
      <c r="F38" s="13"/>
      <c r="G38" s="13"/>
      <c r="H38" s="49"/>
      <c r="I38" s="13"/>
      <c r="J38" s="13"/>
      <c r="K38" s="13"/>
      <c r="L38" s="49"/>
      <c r="M38" s="13"/>
      <c r="N38" s="36"/>
      <c r="O38" s="63"/>
      <c r="P38" s="13"/>
      <c r="Q38" s="13"/>
      <c r="R38" s="13"/>
      <c r="S38" s="49"/>
      <c r="T38" s="13"/>
      <c r="U38" s="36"/>
      <c r="V38" s="63"/>
      <c r="W38" s="13"/>
      <c r="X38" s="36">
        <f t="shared" si="3"/>
        <v>0</v>
      </c>
      <c r="Y38" s="63"/>
      <c r="Z38" s="13"/>
      <c r="AA38" s="13"/>
      <c r="AB38" s="13">
        <f t="shared" si="0"/>
        <v>0</v>
      </c>
      <c r="AC38" s="49"/>
      <c r="AD38" s="13"/>
      <c r="AE38" s="36"/>
      <c r="AF38" s="63"/>
      <c r="AG38" s="13"/>
      <c r="AH38" s="13"/>
      <c r="AI38" s="13">
        <f t="shared" si="6"/>
        <v>0</v>
      </c>
      <c r="AJ38" s="49">
        <f t="shared" si="7"/>
        <v>0</v>
      </c>
      <c r="AK38" s="13"/>
      <c r="AL38" s="36"/>
      <c r="AM38" s="63"/>
      <c r="AN38" s="13"/>
      <c r="AO38" s="13"/>
      <c r="AP38" s="13">
        <f t="shared" si="8"/>
        <v>0</v>
      </c>
      <c r="AQ38" s="49">
        <f t="shared" si="9"/>
        <v>0</v>
      </c>
      <c r="AR38" s="13"/>
      <c r="AS38" s="36"/>
      <c r="AT38" s="63"/>
      <c r="AU38" s="13"/>
      <c r="AV38" s="36">
        <f t="shared" si="4"/>
        <v>0</v>
      </c>
      <c r="AW38" s="63"/>
      <c r="AX38" s="13"/>
      <c r="AY38" s="36"/>
      <c r="AZ38" s="63"/>
      <c r="BA38" s="13"/>
      <c r="BB38" s="36">
        <f t="shared" si="5"/>
        <v>0</v>
      </c>
    </row>
    <row r="39" spans="1:54" s="18" customFormat="1" ht="18" customHeight="1" x14ac:dyDescent="0.25">
      <c r="A39" s="15" t="s">
        <v>101</v>
      </c>
      <c r="B39" s="60">
        <f>+B40+B69+B84+B93+B104</f>
        <v>71873.60000000002</v>
      </c>
      <c r="C39" s="26">
        <f>IF(AND(B5=0,B39&gt;=0),,B39/B5)</f>
        <v>0.27070877740638433</v>
      </c>
      <c r="D39" s="32">
        <f>IF(AND(B124=0,B39&gt;=0),"Validar",B39/B124)</f>
        <v>0.9911748895447664</v>
      </c>
      <c r="E39" s="60">
        <f>+E40+E69+E84+E93+E104</f>
        <v>8708.92</v>
      </c>
      <c r="F39" s="26">
        <f>IF(AND(E5=0,E39&gt;=0),,E39/E5)</f>
        <v>0.38162637693937129</v>
      </c>
      <c r="G39" s="26">
        <f>IF(AND(E124=0,E39&gt;=0),"Validar",E39/E124)</f>
        <v>0.99845913262007069</v>
      </c>
      <c r="H39" s="51">
        <f>+H40+H69+H84+H93+H104</f>
        <v>6305.76</v>
      </c>
      <c r="I39" s="26">
        <f>IF(AND(H5=0,H39&gt;=0),,H39/H5)</f>
        <v>0.26241285863623354</v>
      </c>
      <c r="J39" s="26">
        <f>IF(AND(H124=0,H39&gt;=0),,H39/H124)</f>
        <v>0.9873020545307083</v>
      </c>
      <c r="K39" s="26">
        <f t="shared" si="1"/>
        <v>-0.27594236713622355</v>
      </c>
      <c r="L39" s="51">
        <f>+L40+L69+L84+L93+L104</f>
        <v>15014.68</v>
      </c>
      <c r="M39" s="26">
        <f>IF(AND(L5=0,L39&gt;=0),,L39/L5)</f>
        <v>0.32048095152107364</v>
      </c>
      <c r="N39" s="32">
        <f>IF(AND(L124=0,L39&gt;=0),,L39/L124)</f>
        <v>0.99374289341210198</v>
      </c>
      <c r="O39" s="60">
        <f>+O40+O69+O84+O93+O104</f>
        <v>5398.1299999999992</v>
      </c>
      <c r="P39" s="26">
        <f>IF(AND(O5=0,O39&gt;=0),,O39/O5)</f>
        <v>0.22022136650635249</v>
      </c>
      <c r="Q39" s="26">
        <f>IF(AND(O124=0,O39&gt;=0),,O39/O124)</f>
        <v>0.9975662040544786</v>
      </c>
      <c r="R39" s="26">
        <f t="shared" si="2"/>
        <v>-0.14393665474106229</v>
      </c>
      <c r="S39" s="51">
        <f>+S40+S69+S84+S93+S104</f>
        <v>20412.809999999998</v>
      </c>
      <c r="T39" s="26">
        <f>IF(AND(S5=0,S39&gt;=0),,S39/S5)</f>
        <v>0.28604292855866675</v>
      </c>
      <c r="U39" s="32">
        <f>IF(AND(S124=0,S39&gt;=0),,S39/S124)</f>
        <v>0.99475110767173547</v>
      </c>
      <c r="V39" s="60">
        <f>+V40+V69+V84+V93+V104</f>
        <v>18045.39</v>
      </c>
      <c r="W39" s="26">
        <f>IF(AND(V5=0,V39&gt;=0),,V39/V5)</f>
        <v>0.31658578947368421</v>
      </c>
      <c r="X39" s="32">
        <f t="shared" si="3"/>
        <v>0.13119250955507186</v>
      </c>
      <c r="Y39" s="60">
        <f>+Y40+Y69+Y84+Y93+Y104</f>
        <v>6756.3200000000006</v>
      </c>
      <c r="Z39" s="26">
        <f>IF(AND(Y5=0,Y39&gt;=0),,Y39/Y5)</f>
        <v>0.28918765061143431</v>
      </c>
      <c r="AA39" s="26">
        <f>IF(AND(Y124=0,Y39&gt;=0),,Y39/Y124)</f>
        <v>0.99716038231526249</v>
      </c>
      <c r="AB39" s="26">
        <f t="shared" si="0"/>
        <v>0.25160379612940065</v>
      </c>
      <c r="AC39" s="51">
        <f>+AC40+AC69+AC84+AC93+AC104</f>
        <v>27169.13</v>
      </c>
      <c r="AD39" s="26">
        <f>IF(AND(AC5=0,AC39&gt;=0),,AC39/AC5)</f>
        <v>0.28681854002893614</v>
      </c>
      <c r="AE39" s="32">
        <f>IF(AND(AC124=0,AC39&gt;=0),,AC39/AC124)</f>
        <v>0.99534914903531935</v>
      </c>
      <c r="AF39" s="60">
        <f>+AF40+AF69+AF84+AF93+AF104</f>
        <v>6934.6699999999992</v>
      </c>
      <c r="AG39" s="26">
        <f>IF(AND(AF5=0,AF39&gt;=0),,AF39/AF5)</f>
        <v>0.21649796088864853</v>
      </c>
      <c r="AH39" s="26">
        <f>IF(AND(AF124=0,AF39&gt;=0),,AF39/AF124)</f>
        <v>0.99646371463714645</v>
      </c>
      <c r="AI39" s="26">
        <f t="shared" si="6"/>
        <v>-0.61570960782781647</v>
      </c>
      <c r="AJ39" s="51">
        <f t="shared" si="7"/>
        <v>34103.800000000003</v>
      </c>
      <c r="AK39" s="26">
        <f>IF(AND(AJ5=0,AJ39&gt;=0),,AJ39/AJ5)</f>
        <v>0.26904873704765403</v>
      </c>
      <c r="AL39" s="32">
        <f>IF(AND(AJ124=0,AJ39&gt;=0),,AJ39/AJ124)</f>
        <v>0.99557558291607506</v>
      </c>
      <c r="AM39" s="60">
        <f>+AM40+AM69+AM84+AM93+AM104</f>
        <v>8843.35</v>
      </c>
      <c r="AN39" s="26">
        <f>IF(AND(AM5=0,AM39&gt;=0),,AM39/AM5)</f>
        <v>0.23993248621860422</v>
      </c>
      <c r="AO39" s="26">
        <f>IF(AND(AM124=0,AM39&gt;=0),,AM39/AM124)</f>
        <v>0.99035331245121505</v>
      </c>
      <c r="AP39" s="26">
        <f t="shared" si="8"/>
        <v>-0.67450742809946429</v>
      </c>
      <c r="AQ39" s="51">
        <f t="shared" si="9"/>
        <v>42947.15</v>
      </c>
      <c r="AR39" s="26">
        <f>IF(AND(AQ5=0,AQ39&gt;=0),,AQ39/AQ5)</f>
        <v>0.26248968460153499</v>
      </c>
      <c r="AS39" s="32">
        <f>IF(AND(AQ124=0,AQ39&gt;=0),,AQ39/AQ124)</f>
        <v>0.9944957548769997</v>
      </c>
      <c r="AT39" s="60">
        <f>+AT40+AT69+AT84+AT93+AT104</f>
        <v>36090.78</v>
      </c>
      <c r="AU39" s="26">
        <f>IF(AND(AT5=0,AT39&gt;=0),,AT39/AT5)</f>
        <v>0.31658578947368421</v>
      </c>
      <c r="AV39" s="32">
        <f t="shared" si="4"/>
        <v>0.18997566691548376</v>
      </c>
      <c r="AW39" s="60">
        <f>+AW40+AW69+AW84+AW93+AW104</f>
        <v>7470.3906666666653</v>
      </c>
      <c r="AX39" s="26">
        <f>IF(AND(AW5=0,AW39&gt;=0),,AW39/AW5)</f>
        <v>0.2575996781609195</v>
      </c>
      <c r="AY39" s="32">
        <f>IF(AND(AW124=0,AW39&gt;=0),,AW39/AW124)</f>
        <v>0.99113202143386703</v>
      </c>
      <c r="AZ39" s="60">
        <f>+AZ40+AZ69+AZ84+AZ93+AZ104</f>
        <v>6015.13</v>
      </c>
      <c r="BA39" s="26">
        <f>IF(AND(AZ5=0,AZ39&gt;=0),,AZ39/AZ5)</f>
        <v>0.31658578947368421</v>
      </c>
      <c r="BB39" s="32">
        <f t="shared" si="5"/>
        <v>0.24193336913194979</v>
      </c>
    </row>
    <row r="40" spans="1:54" s="5" customFormat="1" x14ac:dyDescent="0.25">
      <c r="A40" s="27" t="s">
        <v>60</v>
      </c>
      <c r="B40" s="61">
        <f>SUM(B41:B68)</f>
        <v>45973.710000000006</v>
      </c>
      <c r="C40" s="28">
        <f>IF(AND(B5=0,B40&gt;=0),,B40/B5)</f>
        <v>0.17315797214743195</v>
      </c>
      <c r="D40" s="33">
        <f>IF(AND(B124=0,B40&gt;=0),"Validar",B40/B124)</f>
        <v>0.63400173264193127</v>
      </c>
      <c r="E40" s="61">
        <f>SUM(E41:E68)</f>
        <v>4419.43</v>
      </c>
      <c r="F40" s="28">
        <f>IF(AND(E5=0,E40&gt;=0),,E40/E5)</f>
        <v>0.19366018507888069</v>
      </c>
      <c r="G40" s="29">
        <f>IF(AND(E124=0,E40&gt;=0),"Validar",E40/E124)</f>
        <v>0.50667823845839888</v>
      </c>
      <c r="H40" s="52">
        <f>SUM(H41:H68)</f>
        <v>3681.18</v>
      </c>
      <c r="I40" s="28">
        <f>IF(AND(H5=0,H40&gt;=0),,H40/H5)</f>
        <v>0.15319152123685806</v>
      </c>
      <c r="J40" s="29">
        <f>IF(AND(H124=0,H40&gt;=0),,H40/H124)</f>
        <v>0.57636772999564723</v>
      </c>
      <c r="K40" s="28">
        <f t="shared" si="1"/>
        <v>-0.16704642906438169</v>
      </c>
      <c r="L40" s="52">
        <f>SUM(L41:L68)</f>
        <v>8100.6100000000015</v>
      </c>
      <c r="M40" s="28">
        <f>IF(AND(L5=0,L40&gt;=0),,L40/L5)</f>
        <v>0.17290353179029622</v>
      </c>
      <c r="N40" s="33">
        <f>IF(AND(L124=0,L40&gt;=0),,L40/L124)</f>
        <v>0.53613687536484356</v>
      </c>
      <c r="O40" s="61">
        <f>SUM(O41:O68)</f>
        <v>3028.1099999999997</v>
      </c>
      <c r="P40" s="28">
        <f>IF(AND(O5=0,O40&gt;=0),,O40/O5)</f>
        <v>0.1235343576630335</v>
      </c>
      <c r="Q40" s="29">
        <f>IF(AND(O124=0,O40&gt;=0),,O40/O124)</f>
        <v>0.5595901169774361</v>
      </c>
      <c r="R40" s="28">
        <f t="shared" si="2"/>
        <v>-0.17740778772024193</v>
      </c>
      <c r="S40" s="52">
        <f>SUM(S41:S68)</f>
        <v>11128.719999999998</v>
      </c>
      <c r="T40" s="28">
        <f>IF(AND(S5=0,S40&gt;=0),,S40/S5)</f>
        <v>0.15594578403999282</v>
      </c>
      <c r="U40" s="33">
        <f>IF(AND(S124=0,S40&gt;=0),,S40/S124)</f>
        <v>0.54232153961010732</v>
      </c>
      <c r="V40" s="61">
        <f>SUM(V41:V68)</f>
        <v>12019.74</v>
      </c>
      <c r="W40" s="28">
        <f>IF(AND(V5=0,V40&gt;=0),,V40/V5)</f>
        <v>0.21087263157894737</v>
      </c>
      <c r="X40" s="78">
        <f t="shared" si="3"/>
        <v>-7.4129723271884607E-2</v>
      </c>
      <c r="Y40" s="61">
        <f>SUM(Y41:Y68)</f>
        <v>4705.93</v>
      </c>
      <c r="Z40" s="28">
        <f>IF(AND(Y5=0,Y40&gt;=0),,Y40/Y5)</f>
        <v>0.20142575257564282</v>
      </c>
      <c r="AA40" s="29">
        <f>IF(AND(Y124=0,Y40&gt;=0),,Y40/Y124)</f>
        <v>0.69454480515263683</v>
      </c>
      <c r="AB40" s="28">
        <f t="shared" si="0"/>
        <v>0.55408158884584802</v>
      </c>
      <c r="AC40" s="52">
        <f>SUM(AC41:AC68)</f>
        <v>15834.65</v>
      </c>
      <c r="AD40" s="28">
        <f>IF(AND(AC5=0,AC40&gt;=0),,AC40/AC5)</f>
        <v>0.16716292332029745</v>
      </c>
      <c r="AE40" s="33">
        <f>IF(AND(AC124=0,AC40&gt;=0),,AC40/AC124)</f>
        <v>0.5801071069545517</v>
      </c>
      <c r="AF40" s="61">
        <f>SUM(AF41:AF68)</f>
        <v>5062.2</v>
      </c>
      <c r="AG40" s="28">
        <f>IF(AND(AF5=0,AF40&gt;=0),,AF40/AF5)</f>
        <v>0.15804010538504595</v>
      </c>
      <c r="AH40" s="29">
        <f>IF(AND(AF124=0,AF40&gt;=0),,AF40/AF124)</f>
        <v>0.72740283477601142</v>
      </c>
      <c r="AI40" s="28">
        <f t="shared" si="6"/>
        <v>-0.57884280358809759</v>
      </c>
      <c r="AJ40" s="52">
        <f t="shared" si="7"/>
        <v>20896.849999999999</v>
      </c>
      <c r="AK40" s="28">
        <f>IF(AND(AJ5=0,AJ40&gt;=0),,AJ40/AJ5)</f>
        <v>0.1648576141302221</v>
      </c>
      <c r="AL40" s="33">
        <f>IF(AND(AJ124=0,AJ40&gt;=0),,AJ40/AJ124)</f>
        <v>0.61003153958971668</v>
      </c>
      <c r="AM40" s="61">
        <f>SUM(AM41:AM68)</f>
        <v>6187.69</v>
      </c>
      <c r="AN40" s="28">
        <f>IF(AND(AM5=0,AM40&gt;=0),,AM40/AM5)</f>
        <v>0.16788070648000983</v>
      </c>
      <c r="AO40" s="29">
        <f>IF(AND(AM124=0,AM40&gt;=0),,AM40/AM124)</f>
        <v>0.69294998930510021</v>
      </c>
      <c r="AP40" s="28">
        <f t="shared" si="8"/>
        <v>-0.60923102184134159</v>
      </c>
      <c r="AQ40" s="52">
        <f t="shared" si="9"/>
        <v>27084.539999999997</v>
      </c>
      <c r="AR40" s="28">
        <f>IF(AND(AQ5=0,AQ40&gt;=0),,AQ40/AQ5)</f>
        <v>0.16553862973858938</v>
      </c>
      <c r="AS40" s="33">
        <f>IF(AND(AQ124=0,AQ40&gt;=0),,AQ40/AQ124)</f>
        <v>0.62717689189611625</v>
      </c>
      <c r="AT40" s="61">
        <f>SUM(AT41:AT68)</f>
        <v>24039.48</v>
      </c>
      <c r="AU40" s="28">
        <f>IF(AND(AT5=0,AT40&gt;=0),,AT40/AT5)</f>
        <v>0.21087263157894737</v>
      </c>
      <c r="AV40" s="78">
        <f t="shared" si="4"/>
        <v>0.12666912928233048</v>
      </c>
      <c r="AW40" s="61">
        <f>SUM(AW41:AW68)</f>
        <v>4615.9499999999989</v>
      </c>
      <c r="AX40" s="28">
        <f>IF(AND(AW5=0,AW40&gt;=0),,AW40/AW5)</f>
        <v>0.15917068965517236</v>
      </c>
      <c r="AY40" s="33">
        <f>IF(AND(AW124=0,AW40&gt;=0),,AW40/AW124)</f>
        <v>0.61241989321276791</v>
      </c>
      <c r="AZ40" s="61">
        <f>SUM(AZ41:AZ68)</f>
        <v>4006.58</v>
      </c>
      <c r="BA40" s="28">
        <f>IF(AND(AZ5=0,AZ40&gt;=0),,AZ40/AZ5)</f>
        <v>0.21087263157894737</v>
      </c>
      <c r="BB40" s="78">
        <f t="shared" si="5"/>
        <v>0.15209230815308791</v>
      </c>
    </row>
    <row r="41" spans="1:54" hidden="1" outlineLevel="1" x14ac:dyDescent="0.25">
      <c r="A41" s="19" t="s">
        <v>61</v>
      </c>
      <c r="B41" s="62">
        <v>878.68</v>
      </c>
      <c r="C41" s="20">
        <f>IF(AND(B5=0,B41&gt;=0),,B41/B5)</f>
        <v>3.3095098691514231E-3</v>
      </c>
      <c r="D41" s="37">
        <f>IF(AND(B124=0,B41&gt;=0),"Validar",B41/B124)</f>
        <v>1.211746109761018E-2</v>
      </c>
      <c r="E41" s="62"/>
      <c r="F41" s="20">
        <f>IF(AND(E5=0,E41&gt;=0),,E41/E5)</f>
        <v>0</v>
      </c>
      <c r="G41" s="20">
        <f>IF(AND(E124=0,E41&gt;=0),"Validar",E41/E124)</f>
        <v>0</v>
      </c>
      <c r="I41" s="20">
        <f>IF(AND(H5=0,H41&gt;=0),,H41/H5)</f>
        <v>0</v>
      </c>
      <c r="J41" s="20">
        <f>IF(AND(H124=0,H41&gt;=0),,H41/H124)</f>
        <v>0</v>
      </c>
      <c r="K41" s="20">
        <f t="shared" si="1"/>
        <v>0</v>
      </c>
      <c r="L41" s="53">
        <f>+E41+H41</f>
        <v>0</v>
      </c>
      <c r="M41" s="20">
        <f>IF(AND(L5=0,L41&gt;=0),,L41/L5)</f>
        <v>0</v>
      </c>
      <c r="N41" s="37">
        <f>IF(AND(L124=0,L41&gt;=0),,L41/L124)</f>
        <v>0</v>
      </c>
      <c r="O41" s="62">
        <v>345.83</v>
      </c>
      <c r="P41" s="20">
        <f>IF(AND(O5=0,O41&gt;=0),,O41/O5)</f>
        <v>1.4108432953428666E-2</v>
      </c>
      <c r="Q41" s="20">
        <f>IF(AND(O124=0,O41&gt;=0),,O41/O124)</f>
        <v>6.3908857391015109E-2</v>
      </c>
      <c r="R41" s="20">
        <f t="shared" si="2"/>
        <v>1</v>
      </c>
      <c r="S41" s="53">
        <f>+L41+O41</f>
        <v>345.83</v>
      </c>
      <c r="T41" s="20">
        <f>IF(AND(S5=0,S41&gt;=0),,S41/S5)</f>
        <v>4.846085667943009E-3</v>
      </c>
      <c r="U41" s="37">
        <f>IF(AND(S124=0,S41&gt;=0),,S41/S124)</f>
        <v>1.6852886768951275E-2</v>
      </c>
      <c r="V41" s="62">
        <f>85*3</f>
        <v>255</v>
      </c>
      <c r="W41" s="20">
        <f>IF(AND(V5=0,V41&gt;=0),,V41/V5)</f>
        <v>4.4736842105263155E-3</v>
      </c>
      <c r="X41" s="37">
        <f t="shared" si="3"/>
        <v>0.35619607843137246</v>
      </c>
      <c r="Y41" s="62"/>
      <c r="Z41" s="20">
        <f>IF(AND(Y5=0,Y41&gt;=0),,Y41/Y5)</f>
        <v>0</v>
      </c>
      <c r="AA41" s="20">
        <f>IF(AND(Y124=0,Y41&gt;=0),,Y41/Y124)</f>
        <v>0</v>
      </c>
      <c r="AB41" s="20">
        <f t="shared" si="0"/>
        <v>-1</v>
      </c>
      <c r="AC41" s="53">
        <f t="shared" ref="AC41:AC67" si="10">+S41+Y41</f>
        <v>345.83</v>
      </c>
      <c r="AD41" s="20">
        <f>IF(AND(AC5=0,AC41&gt;=0),,AC41/AC5)</f>
        <v>3.6508513779501578E-3</v>
      </c>
      <c r="AE41" s="37">
        <f>IF(AND(AC124=0,AC41&gt;=0),,AC41/AC124)</f>
        <v>1.266958479019698E-2</v>
      </c>
      <c r="AF41" s="62">
        <v>172.55</v>
      </c>
      <c r="AG41" s="20">
        <f>IF(AND(AF5=0,AF41&gt;=0),,AF41/AF5)</f>
        <v>5.3869503741830992E-3</v>
      </c>
      <c r="AH41" s="20">
        <f>IF(AND(AF124=0,AF41&gt;=0),,AF41/AF124)</f>
        <v>2.479423158717569E-2</v>
      </c>
      <c r="AI41" s="20">
        <f t="shared" si="6"/>
        <v>-0.32333333333333331</v>
      </c>
      <c r="AJ41" s="53">
        <f t="shared" si="7"/>
        <v>518.38</v>
      </c>
      <c r="AK41" s="20">
        <f>IF(AND(AJ5=0,AJ41&gt;=0),,AJ41/AJ5)</f>
        <v>4.0895584747377969E-3</v>
      </c>
      <c r="AL41" s="37">
        <f>IF(AND(AJ124=0,AJ41&gt;=0),,AJ41/AJ124)</f>
        <v>1.5132814251550705E-2</v>
      </c>
      <c r="AM41" s="62"/>
      <c r="AN41" s="20">
        <f>IF(AND(AM5=0,AM41&gt;=0),,AM41/AM5)</f>
        <v>0</v>
      </c>
      <c r="AO41" s="20">
        <f>IF(AND(AM124=0,AM41&gt;=0),,AM41/AM124)</f>
        <v>0</v>
      </c>
      <c r="AP41" s="20">
        <f t="shared" si="8"/>
        <v>-1</v>
      </c>
      <c r="AQ41" s="53">
        <f t="shared" si="9"/>
        <v>518.38</v>
      </c>
      <c r="AR41" s="20">
        <f>IF(AND(AQ5=0,AQ41&gt;=0),,AQ41/AQ5)</f>
        <v>3.16829877427824E-3</v>
      </c>
      <c r="AS41" s="37">
        <f>IF(AND(AQ124=0,AQ41&gt;=0),,AQ41/AQ124)</f>
        <v>1.2003746684311744E-2</v>
      </c>
      <c r="AT41" s="62">
        <f t="shared" ref="AT41:AT68" si="11">+V41*2</f>
        <v>510</v>
      </c>
      <c r="AU41" s="20">
        <f>IF(AND(AT5=0,AT41&gt;=0),,AT41/AT5)</f>
        <v>4.4736842105263155E-3</v>
      </c>
      <c r="AV41" s="37">
        <f t="shared" si="4"/>
        <v>1.64313725490196E-2</v>
      </c>
      <c r="AW41" s="62">
        <f>+AQ41/6</f>
        <v>86.396666666666661</v>
      </c>
      <c r="AX41" s="20">
        <f>IF(AND(AW5=0,AW41&gt;=0),,AW41/AW5)</f>
        <v>2.9791954022988505E-3</v>
      </c>
      <c r="AY41" s="37">
        <f>IF(AND(AW124=0,AW41&gt;=0),,AW41/AW124)</f>
        <v>1.1462653922581292E-2</v>
      </c>
      <c r="AZ41" s="62">
        <f t="shared" ref="AZ41:AZ68" si="12">+AT41/6</f>
        <v>85</v>
      </c>
      <c r="BA41" s="20">
        <f>IF(AND(AZ5=0,AZ41&gt;=0),,AZ41/AZ5)</f>
        <v>4.4736842105263155E-3</v>
      </c>
      <c r="BB41" s="37">
        <f t="shared" si="5"/>
        <v>1.6431372549019545E-2</v>
      </c>
    </row>
    <row r="42" spans="1:54" hidden="1" outlineLevel="1" x14ac:dyDescent="0.25">
      <c r="A42" s="19" t="s">
        <v>3</v>
      </c>
      <c r="B42" s="62">
        <v>198.41</v>
      </c>
      <c r="C42" s="20">
        <f>IF(AND(B5=0,B42&gt;=0),,B42/B5)</f>
        <v>7.4730260520136324E-4</v>
      </c>
      <c r="D42" s="37">
        <f>IF(AND(B124=0,B42&gt;=0),"Validar",B42/B124)</f>
        <v>2.7361786502217368E-3</v>
      </c>
      <c r="E42" s="62">
        <v>16.5</v>
      </c>
      <c r="F42" s="20">
        <f>IF(AND(E5=0,E42&gt;=0),,E42/E5)</f>
        <v>7.2303284672492409E-4</v>
      </c>
      <c r="G42" s="20">
        <f>IF(AND(E124=0,E42&gt;=0),"Validar",E42/E124)</f>
        <v>1.8916898637524706E-3</v>
      </c>
      <c r="H42" s="53">
        <v>16.5</v>
      </c>
      <c r="I42" s="20">
        <f>IF(AND(H5=0,H42&gt;=0),,H42/H5)</f>
        <v>6.8664398383348768E-4</v>
      </c>
      <c r="J42" s="20">
        <f>IF(AND(H124=0,H42&gt;=0),,H42/H124)</f>
        <v>2.5834291028768437E-3</v>
      </c>
      <c r="K42" s="20">
        <f t="shared" si="1"/>
        <v>0</v>
      </c>
      <c r="L42" s="53">
        <f t="shared" ref="L42:L67" si="13">+E42+H42</f>
        <v>33</v>
      </c>
      <c r="M42" s="20">
        <f>IF(AND(L5=0,L42&gt;=0),,L42/L5)</f>
        <v>7.0436875112859089E-4</v>
      </c>
      <c r="N42" s="37">
        <f>IF(AND(L124=0,L42&gt;=0),,L42/L124)</f>
        <v>2.1840968627103185E-3</v>
      </c>
      <c r="O42" s="62">
        <v>16.5</v>
      </c>
      <c r="P42" s="20">
        <f>IF(AND(O5=0,O42&gt;=0),,O42/O5)</f>
        <v>6.7313172290308244E-4</v>
      </c>
      <c r="Q42" s="20">
        <f>IF(AND(O124=0,O42&gt;=0),,O42/O124)</f>
        <v>3.0491748747990322E-3</v>
      </c>
      <c r="R42" s="20">
        <f t="shared" si="2"/>
        <v>0</v>
      </c>
      <c r="S42" s="53">
        <f t="shared" ref="S42:S67" si="14">+L42+O42</f>
        <v>49.5</v>
      </c>
      <c r="T42" s="20">
        <f>IF(AND(S5=0,S42&gt;=0),,S42/S5)</f>
        <v>6.9363918851221399E-4</v>
      </c>
      <c r="U42" s="37">
        <f>IF(AND(S124=0,S42&gt;=0),,S42/S124)</f>
        <v>2.4122195733831311E-3</v>
      </c>
      <c r="V42" s="62">
        <f>17*3</f>
        <v>51</v>
      </c>
      <c r="W42" s="20">
        <f>IF(AND(V5=0,V42&gt;=0),,V42/V5)</f>
        <v>8.9473684210526316E-4</v>
      </c>
      <c r="X42" s="37">
        <f t="shared" si="3"/>
        <v>-2.9411764705882353E-2</v>
      </c>
      <c r="Y42" s="62">
        <v>16.5</v>
      </c>
      <c r="Z42" s="20">
        <f>IF(AND(Y5=0,Y42&gt;=0),,Y42/Y5)</f>
        <v>7.0624189426916808E-4</v>
      </c>
      <c r="AA42" s="20">
        <f>IF(AND(Y124=0,Y42&gt;=0),,Y42/Y124)</f>
        <v>2.435223066432885E-3</v>
      </c>
      <c r="AB42" s="20">
        <f t="shared" si="0"/>
        <v>0</v>
      </c>
      <c r="AC42" s="53">
        <f t="shared" si="10"/>
        <v>66</v>
      </c>
      <c r="AD42" s="20">
        <f>IF(AND(AC5=0,AC42&gt;=0),,AC42/AC5)</f>
        <v>6.9674750873177692E-4</v>
      </c>
      <c r="AE42" s="37">
        <f>IF(AND(AC124=0,AC42&gt;=0),,AC42/AC124)</f>
        <v>2.4179296074747728E-3</v>
      </c>
      <c r="AF42" s="62">
        <v>16.5</v>
      </c>
      <c r="AG42" s="20">
        <f>IF(AND(AF5=0,AF42&gt;=0),,AF42/AF5)</f>
        <v>5.1512420268919805E-4</v>
      </c>
      <c r="AH42" s="20">
        <f>IF(AND(AF124=0,AF42&gt;=0),,AF42/AF124)</f>
        <v>2.3709349243025146E-3</v>
      </c>
      <c r="AI42" s="20">
        <f t="shared" si="6"/>
        <v>-0.67647058823529416</v>
      </c>
      <c r="AJ42" s="53">
        <f t="shared" si="7"/>
        <v>82.5</v>
      </c>
      <c r="AK42" s="20">
        <f>IF(AND(AJ5=0,AJ42&gt;=0),,AJ42/AJ5)</f>
        <v>6.5085183488149286E-4</v>
      </c>
      <c r="AL42" s="37">
        <f>IF(AND(AJ124=0,AJ42&gt;=0),,AJ42/AJ124)</f>
        <v>2.4083822210597115E-3</v>
      </c>
      <c r="AM42" s="62">
        <v>16.5</v>
      </c>
      <c r="AN42" s="20">
        <f>IF(AND(AM5=0,AM42&gt;=0),,AM42/AM5)</f>
        <v>4.476681373695454E-4</v>
      </c>
      <c r="AO42" s="20">
        <f>IF(AND(AM124=0,AM42&gt;=0),,AM42/AM124)</f>
        <v>1.8478098973177641E-3</v>
      </c>
      <c r="AP42" s="20">
        <f t="shared" si="8"/>
        <v>-0.75</v>
      </c>
      <c r="AQ42" s="53">
        <f t="shared" si="9"/>
        <v>99</v>
      </c>
      <c r="AR42" s="20">
        <f>IF(AND(AQ5=0,AQ42&gt;=0),,AQ42/AQ5)</f>
        <v>6.0508040173915998E-4</v>
      </c>
      <c r="AS42" s="37">
        <f>IF(AND(AQ124=0,AQ42&gt;=0),,AQ42/AQ124)</f>
        <v>2.2924706233783377E-3</v>
      </c>
      <c r="AT42" s="62">
        <f t="shared" si="11"/>
        <v>102</v>
      </c>
      <c r="AU42" s="20">
        <f>IF(AND(AT5=0,AT42&gt;=0),,AT42/AT5)</f>
        <v>8.9473684210526316E-4</v>
      </c>
      <c r="AV42" s="37">
        <f t="shared" si="4"/>
        <v>-2.9411764705882353E-2</v>
      </c>
      <c r="AW42" s="62">
        <f t="shared" ref="AW42:AW102" si="15">+AQ42/6</f>
        <v>16.5</v>
      </c>
      <c r="AX42" s="20">
        <f>IF(AND(AW5=0,AW42&gt;=0),,AW42/AW5)</f>
        <v>5.6896551724137934E-4</v>
      </c>
      <c r="AY42" s="37">
        <f>IF(AND(AW124=0,AW42&gt;=0),,AW42/AW124)</f>
        <v>2.1891329494493385E-3</v>
      </c>
      <c r="AZ42" s="62">
        <f t="shared" si="12"/>
        <v>17</v>
      </c>
      <c r="BA42" s="20">
        <f>IF(AND(AZ5=0,AZ42&gt;=0),,AZ42/AZ5)</f>
        <v>8.9473684210526316E-4</v>
      </c>
      <c r="BB42" s="37">
        <f t="shared" si="5"/>
        <v>-2.9411764705882353E-2</v>
      </c>
    </row>
    <row r="43" spans="1:54" hidden="1" outlineLevel="1" x14ac:dyDescent="0.25">
      <c r="A43" s="19" t="s">
        <v>4</v>
      </c>
      <c r="B43" s="62">
        <v>14289.31</v>
      </c>
      <c r="C43" s="20">
        <f>IF(AND(B5=0,B43&gt;=0),,B43/B5)</f>
        <v>5.3820062444079893E-2</v>
      </c>
      <c r="D43" s="37">
        <f>IF(AND(B124=0,B43&gt;=0),"Validar",B43/B124)</f>
        <v>0.19705712891688912</v>
      </c>
      <c r="E43" s="62">
        <v>1801.42</v>
      </c>
      <c r="F43" s="20">
        <f>IF(AND(E5=0,E43&gt;=0),,E43/E5)</f>
        <v>7.8938535196800774E-2</v>
      </c>
      <c r="G43" s="20">
        <f>IF(AND(E124=0,E43&gt;=0),"Validar",E43/E124)</f>
        <v>0.20652896693096823</v>
      </c>
      <c r="H43" s="53">
        <v>1303.8800000000001</v>
      </c>
      <c r="I43" s="20">
        <f>IF(AND(H5=0,H43&gt;=0),,H43/H5)</f>
        <v>5.4260688341867147E-2</v>
      </c>
      <c r="J43" s="20">
        <f>IF(AND(H124=0,H43&gt;=0),,H43/H124)</f>
        <v>0.20415039628236722</v>
      </c>
      <c r="K43" s="20">
        <f t="shared" si="1"/>
        <v>-0.27619322534445045</v>
      </c>
      <c r="L43" s="53">
        <f t="shared" si="13"/>
        <v>3105.3</v>
      </c>
      <c r="M43" s="20">
        <f>IF(AND(L5=0,L43&gt;=0),,L43/L5)</f>
        <v>6.6281099481200409E-2</v>
      </c>
      <c r="N43" s="37">
        <f>IF(AND(L124=0,L43&gt;=0),,L43/L124)</f>
        <v>0.20552351478104097</v>
      </c>
      <c r="O43" s="62">
        <v>1276.6099999999999</v>
      </c>
      <c r="P43" s="20">
        <f>IF(AND(O5=0,O43&gt;=0),,O43/O5)</f>
        <v>5.2080405380321458E-2</v>
      </c>
      <c r="Q43" s="20">
        <f>IF(AND(O124=0,O43&gt;=0),,O43/O124)</f>
        <v>0.23591558405558741</v>
      </c>
      <c r="R43" s="20">
        <f t="shared" si="2"/>
        <v>-2.091450133447879E-2</v>
      </c>
      <c r="S43" s="53">
        <f t="shared" si="14"/>
        <v>4381.91</v>
      </c>
      <c r="T43" s="20">
        <f>IF(AND(S5=0,S43&gt;=0),,S43/S5)</f>
        <v>6.1403323162294049E-2</v>
      </c>
      <c r="U43" s="37">
        <f>IF(AND(S124=0,S43&gt;=0),,S43/S124)</f>
        <v>0.2135379610263288</v>
      </c>
      <c r="V43" s="62">
        <f>1250*3</f>
        <v>3750</v>
      </c>
      <c r="W43" s="20">
        <f>IF(AND(V5=0,V43&gt;=0),,V43/V5)</f>
        <v>6.5789473684210523E-2</v>
      </c>
      <c r="X43" s="37">
        <f t="shared" si="3"/>
        <v>0.16850933333333329</v>
      </c>
      <c r="Y43" s="62">
        <v>900.25</v>
      </c>
      <c r="Z43" s="20">
        <f>IF(AND(Y5=0,Y43&gt;=0),,Y43/Y5)</f>
        <v>3.853298577671628E-2</v>
      </c>
      <c r="AA43" s="20">
        <f>IF(AND(Y124=0,Y43&gt;=0),,Y43/Y124)</f>
        <v>0.13286724639734573</v>
      </c>
      <c r="AB43" s="20">
        <f t="shared" si="0"/>
        <v>-0.29481204126553917</v>
      </c>
      <c r="AC43" s="53">
        <f t="shared" si="10"/>
        <v>5282.16</v>
      </c>
      <c r="AD43" s="20">
        <f>IF(AND(AC5=0,AC43&gt;=0),,AC43/AC5)</f>
        <v>5.5762603344282471E-2</v>
      </c>
      <c r="AE43" s="37">
        <f>IF(AND(AC124=0,AC43&gt;=0),,AC43/AC124)</f>
        <v>0.193513500839681</v>
      </c>
      <c r="AF43" s="62">
        <v>1831.73</v>
      </c>
      <c r="AG43" s="20">
        <f>IF(AND(AF5=0,AF43&gt;=0),,AF43/AF5)</f>
        <v>5.7185967017689986E-2</v>
      </c>
      <c r="AH43" s="20">
        <f>IF(AND(AF124=0,AF43&gt;=0),,AF43/AF124)</f>
        <v>0.26320682599349365</v>
      </c>
      <c r="AI43" s="20">
        <f t="shared" si="6"/>
        <v>-0.5115386666666667</v>
      </c>
      <c r="AJ43" s="53">
        <f t="shared" si="7"/>
        <v>7113.8899999999994</v>
      </c>
      <c r="AK43" s="20">
        <f>IF(AND(AJ5=0,AJ43&gt;=0),,AJ43/AJ5)</f>
        <v>5.6122283147213368E-2</v>
      </c>
      <c r="AL43" s="37">
        <f>IF(AND(AJ124=0,AJ43&gt;=0),,AJ43/AJ124)</f>
        <v>0.20767231755847843</v>
      </c>
      <c r="AM43" s="62">
        <v>1384.81</v>
      </c>
      <c r="AN43" s="20">
        <f>IF(AND(AM5=0,AM43&gt;=0),,AM43/AM5)</f>
        <v>3.7571837170346678E-2</v>
      </c>
      <c r="AO43" s="20">
        <f>IF(AND(AM124=0,AM43&gt;=0),,AM43/AM124)</f>
        <v>0.15508276508512803</v>
      </c>
      <c r="AP43" s="20">
        <f t="shared" si="8"/>
        <v>-0.73783262907598413</v>
      </c>
      <c r="AQ43" s="53">
        <f t="shared" si="9"/>
        <v>8498.6999999999989</v>
      </c>
      <c r="AR43" s="20">
        <f>IF(AND(AQ5=0,AQ43&gt;=0),,AQ43/AQ5)</f>
        <v>5.1943402123844427E-2</v>
      </c>
      <c r="AS43" s="37">
        <f>IF(AND(AQ124=0,AQ43&gt;=0),,AQ43/AQ124)</f>
        <v>0.1967981826960149</v>
      </c>
      <c r="AT43" s="62">
        <f t="shared" si="11"/>
        <v>7500</v>
      </c>
      <c r="AU43" s="20">
        <f>IF(AND(AT5=0,AT43&gt;=0),,AT43/AT5)</f>
        <v>6.5789473684210523E-2</v>
      </c>
      <c r="AV43" s="37">
        <f t="shared" si="4"/>
        <v>0.13315999999999986</v>
      </c>
      <c r="AW43" s="62">
        <f t="shared" si="15"/>
        <v>1416.4499999999998</v>
      </c>
      <c r="AX43" s="20">
        <f>IF(AND(AW5=0,AW43&gt;=0),,AW43/AW5)</f>
        <v>4.8843103448275853E-2</v>
      </c>
      <c r="AY43" s="37">
        <f>IF(AND(AW124=0,AW43&gt;=0),,AW43/AW124)</f>
        <v>0.18792711310590998</v>
      </c>
      <c r="AZ43" s="62">
        <f t="shared" si="12"/>
        <v>1250</v>
      </c>
      <c r="BA43" s="20">
        <f>IF(AND(AZ5=0,AZ43&gt;=0),,AZ43/AZ5)</f>
        <v>6.5789473684210523E-2</v>
      </c>
      <c r="BB43" s="37">
        <f t="shared" si="5"/>
        <v>0.13315999999999986</v>
      </c>
    </row>
    <row r="44" spans="1:54" hidden="1" outlineLevel="1" x14ac:dyDescent="0.25">
      <c r="A44" s="19" t="s">
        <v>5</v>
      </c>
      <c r="B44" s="62">
        <v>17427.54</v>
      </c>
      <c r="C44" s="20">
        <f>IF(AND(B5=0,B44&gt;=0),,B44/B5)</f>
        <v>6.5640068767960122E-2</v>
      </c>
      <c r="D44" s="37">
        <f>IF(AND(B124=0,B44&gt;=0),"Validar",B44/B124)</f>
        <v>0.24033497744007526</v>
      </c>
      <c r="E44" s="62">
        <v>1548</v>
      </c>
      <c r="F44" s="20">
        <f>IF(AND(E5=0,E44&gt;=0),,E44/E5)</f>
        <v>6.7833627074556521E-2</v>
      </c>
      <c r="G44" s="20">
        <f>IF(AND(E124=0,E44&gt;=0),"Validar",E44/E124)</f>
        <v>0.17747490358114087</v>
      </c>
      <c r="H44" s="53">
        <v>1546.67</v>
      </c>
      <c r="I44" s="20">
        <f>IF(AND(H5=0,H44&gt;=0),,H44/H5)</f>
        <v>6.436434245307518E-2</v>
      </c>
      <c r="J44" s="20">
        <f>IF(AND(H124=0,H44&gt;=0),,H44/H124)</f>
        <v>0.24216438124524414</v>
      </c>
      <c r="K44" s="20">
        <f t="shared" si="1"/>
        <v>-8.5917312661494007E-4</v>
      </c>
      <c r="L44" s="53">
        <f t="shared" si="13"/>
        <v>3094.67</v>
      </c>
      <c r="M44" s="20">
        <f>IF(AND(L5=0,L44&gt;=0),,L44/L5)</f>
        <v>6.6054207365306553E-2</v>
      </c>
      <c r="N44" s="37">
        <f>IF(AND(L124=0,L44&gt;=0),,L44/L124)</f>
        <v>0.20481997085223458</v>
      </c>
      <c r="O44" s="62">
        <v>691.65</v>
      </c>
      <c r="P44" s="20">
        <f>IF(AND(O5=0,O44&gt;=0),,O44/O5)</f>
        <v>2.8216457948237392E-2</v>
      </c>
      <c r="Q44" s="20">
        <f>IF(AND(O124=0,O44&gt;=0),,O44/O124)</f>
        <v>0.12781586679725759</v>
      </c>
      <c r="R44" s="20">
        <f t="shared" si="2"/>
        <v>-0.5528134637640868</v>
      </c>
      <c r="S44" s="53">
        <f t="shared" si="14"/>
        <v>3786.32</v>
      </c>
      <c r="T44" s="20">
        <f>IF(AND(S5=0,S44&gt;=0),,S44/S5)</f>
        <v>5.3057372368637702E-2</v>
      </c>
      <c r="U44" s="37">
        <f>IF(AND(S124=0,S44&gt;=0),,S44/S124)</f>
        <v>0.18451384272913166</v>
      </c>
      <c r="V44" s="62">
        <f>1500*3</f>
        <v>4500</v>
      </c>
      <c r="W44" s="20">
        <f>IF(AND(V5=0,V44&gt;=0),,V44/V5)</f>
        <v>7.8947368421052627E-2</v>
      </c>
      <c r="X44" s="37">
        <f t="shared" si="3"/>
        <v>-0.15859555555555552</v>
      </c>
      <c r="Y44" s="62">
        <v>2587.33</v>
      </c>
      <c r="Z44" s="20">
        <f>IF(AND(Y5=0,Y44&gt;=0),,Y44/Y5)</f>
        <v>0.11074429335148162</v>
      </c>
      <c r="AA44" s="20">
        <f>IF(AND(Y124=0,Y44&gt;=0),,Y44/Y124)</f>
        <v>0.38186216342265433</v>
      </c>
      <c r="AB44" s="20">
        <f t="shared" si="0"/>
        <v>2.740808212246078</v>
      </c>
      <c r="AC44" s="53">
        <f t="shared" si="10"/>
        <v>6373.65</v>
      </c>
      <c r="AD44" s="20">
        <f>IF(AND(AC5=0,AC44&gt;=0),,AC44/AC5)</f>
        <v>6.7285223621640758E-2</v>
      </c>
      <c r="AE44" s="37">
        <f>IF(AND(AC124=0,AC44&gt;=0),,AC44/AC124)</f>
        <v>0.23350056125275129</v>
      </c>
      <c r="AF44" s="62">
        <v>1775.62</v>
      </c>
      <c r="AG44" s="20">
        <f>IF(AND(AF5=0,AF44&gt;=0),,AF44/AF5)</f>
        <v>5.5434232532060236E-2</v>
      </c>
      <c r="AH44" s="20">
        <f>IF(AND(AF124=0,AF44&gt;=0),,AF44/AF124)</f>
        <v>0.25514421032060791</v>
      </c>
      <c r="AI44" s="20">
        <f t="shared" si="6"/>
        <v>-0.60541777777777783</v>
      </c>
      <c r="AJ44" s="53">
        <f t="shared" si="7"/>
        <v>8149.2699999999995</v>
      </c>
      <c r="AK44" s="20">
        <f>IF(AND(AJ5=0,AJ44&gt;=0),,AJ44/AJ5)</f>
        <v>6.4290513120541862E-2</v>
      </c>
      <c r="AL44" s="37">
        <f>IF(AND(AJ124=0,AJ44&gt;=0),,AJ44/AJ124)</f>
        <v>0.23789766039533666</v>
      </c>
      <c r="AM44" s="62">
        <v>2386.85</v>
      </c>
      <c r="AN44" s="20">
        <f>IF(AND(AM5=0,AM44&gt;=0),,AM44/AM5)</f>
        <v>6.4758587495787848E-2</v>
      </c>
      <c r="AO44" s="20">
        <f>IF(AND(AM124=0,AM44&gt;=0),,AM44/AM124)</f>
        <v>0.26729970020684274</v>
      </c>
      <c r="AP44" s="20">
        <f t="shared" si="8"/>
        <v>-0.62551285370235266</v>
      </c>
      <c r="AQ44" s="53">
        <f t="shared" si="9"/>
        <v>10536.119999999999</v>
      </c>
      <c r="AR44" s="20">
        <f>IF(AND(AQ5=0,AQ44&gt;=0),,AQ44/AQ5)</f>
        <v>6.4395956791636344E-2</v>
      </c>
      <c r="AS44" s="37">
        <f>IF(AND(AQ124=0,AQ44&gt;=0),,AQ44/AQ124)</f>
        <v>0.24397722812514108</v>
      </c>
      <c r="AT44" s="62">
        <f t="shared" si="11"/>
        <v>9000</v>
      </c>
      <c r="AU44" s="20">
        <f>IF(AND(AT5=0,AT44&gt;=0),,AT44/AT5)</f>
        <v>7.8947368421052627E-2</v>
      </c>
      <c r="AV44" s="37">
        <f t="shared" si="4"/>
        <v>0.17067999999999989</v>
      </c>
      <c r="AW44" s="62">
        <f t="shared" si="15"/>
        <v>1756.0199999999998</v>
      </c>
      <c r="AX44" s="20">
        <f>IF(AND(AW5=0,AW44&gt;=0),,AW44/AW5)</f>
        <v>6.0552413793103436E-2</v>
      </c>
      <c r="AY44" s="37">
        <f>IF(AND(AW124=0,AW44&gt;=0),,AW44/AW124)</f>
        <v>0.23297946920557736</v>
      </c>
      <c r="AZ44" s="62">
        <f t="shared" si="12"/>
        <v>1500</v>
      </c>
      <c r="BA44" s="20">
        <f>IF(AND(AZ5=0,AZ44&gt;=0),,AZ44/AZ5)</f>
        <v>7.8947368421052627E-2</v>
      </c>
      <c r="BB44" s="37">
        <f t="shared" si="5"/>
        <v>0.17067999999999983</v>
      </c>
    </row>
    <row r="45" spans="1:54" hidden="1" outlineLevel="1" x14ac:dyDescent="0.25">
      <c r="A45" s="19" t="s">
        <v>6</v>
      </c>
      <c r="B45" s="62">
        <v>4347.6099999999997</v>
      </c>
      <c r="C45" s="20">
        <f>IF(AND(B5=0,B45&gt;=0),,B45/B5)</f>
        <v>1.6375083309306478E-2</v>
      </c>
      <c r="D45" s="37">
        <f>IF(AND(B124=0,B45&gt;=0),"Validar",B45/B124)</f>
        <v>5.9955837213298349E-2</v>
      </c>
      <c r="E45" s="62">
        <v>286.91000000000003</v>
      </c>
      <c r="F45" s="20">
        <f>IF(AND(E5=0,E45&gt;=0),,E45/E5)</f>
        <v>1.2572445700233211E-2</v>
      </c>
      <c r="G45" s="20">
        <f>IF(AND(E124=0,E45&gt;=0),"Validar",E45/E124)</f>
        <v>3.2893620533892207E-2</v>
      </c>
      <c r="H45" s="53">
        <v>329.77</v>
      </c>
      <c r="I45" s="20">
        <f>IF(AND(H5=0,H45&gt;=0),,H45/H5)</f>
        <v>1.3723308275682982E-2</v>
      </c>
      <c r="J45" s="20">
        <f>IF(AND(H124=0,H45&gt;=0),,H45/H124)</f>
        <v>5.1632570621557378E-2</v>
      </c>
      <c r="K45" s="20">
        <f t="shared" si="1"/>
        <v>0.14938482450942789</v>
      </c>
      <c r="L45" s="53">
        <f t="shared" si="13"/>
        <v>616.68000000000006</v>
      </c>
      <c r="M45" s="20">
        <f>IF(AND(L5=0,L45&gt;=0),,L45/L5)</f>
        <v>1.3162730952908468E-2</v>
      </c>
      <c r="N45" s="37">
        <f>IF(AND(L124=0,L45&gt;=0),,L45/L124)</f>
        <v>4.0814813736248463E-2</v>
      </c>
      <c r="O45" s="62">
        <v>324.14</v>
      </c>
      <c r="P45" s="20">
        <f>IF(AND(O5=0,O45&gt;=0),,O45/O5)</f>
        <v>1.3223570706776069E-2</v>
      </c>
      <c r="Q45" s="20">
        <f>IF(AND(O124=0,O45&gt;=0),,O45/O124)</f>
        <v>5.9900578419233831E-2</v>
      </c>
      <c r="R45" s="20">
        <f t="shared" si="2"/>
        <v>-1.7072505079297678E-2</v>
      </c>
      <c r="S45" s="53">
        <f t="shared" si="14"/>
        <v>940.82</v>
      </c>
      <c r="T45" s="20">
        <f>IF(AND(S5=0,S45&gt;=0),,S45/S5)</f>
        <v>1.3183628713859823E-2</v>
      </c>
      <c r="U45" s="37">
        <f>IF(AND(S124=0,S45&gt;=0),,S45/S124)</f>
        <v>4.5847766041016515E-2</v>
      </c>
      <c r="V45" s="62">
        <f>357.58*3</f>
        <v>1072.74</v>
      </c>
      <c r="W45" s="20">
        <f>IF(AND(V5=0,V45&gt;=0),,V45/V5)</f>
        <v>1.882E-2</v>
      </c>
      <c r="X45" s="37">
        <f t="shared" si="3"/>
        <v>-0.12297481216324548</v>
      </c>
      <c r="Y45" s="62">
        <v>304.24</v>
      </c>
      <c r="Z45" s="20">
        <f>IF(AND(Y5=0,Y45&gt;=0),,Y45/Y5)</f>
        <v>1.3022244479542528E-2</v>
      </c>
      <c r="AA45" s="20">
        <f>IF(AND(Y124=0,Y45&gt;=0),,Y45/Y124)</f>
        <v>4.4902561559487332E-2</v>
      </c>
      <c r="AB45" s="20">
        <f t="shared" si="0"/>
        <v>-6.139322514962664E-2</v>
      </c>
      <c r="AC45" s="53">
        <f t="shared" si="10"/>
        <v>1245.06</v>
      </c>
      <c r="AD45" s="20">
        <f>IF(AND(AC5=0,AC45&gt;=0),,AC45/AC5)</f>
        <v>1.3143825048811912E-2</v>
      </c>
      <c r="AE45" s="37">
        <f>IF(AND(AC124=0,AC45&gt;=0),,AC45/AC124)</f>
        <v>4.5613142986099101E-2</v>
      </c>
      <c r="AF45" s="62">
        <v>297.7</v>
      </c>
      <c r="AG45" s="20">
        <f>IF(AND(AF5=0,AF45&gt;=0),,AF45/AF5)</f>
        <v>9.2940894024590472E-3</v>
      </c>
      <c r="AH45" s="20">
        <f>IF(AND(AF124=0,AF45&gt;=0),,AF45/AF124)</f>
        <v>4.277741375544597E-2</v>
      </c>
      <c r="AI45" s="20">
        <f t="shared" si="6"/>
        <v>-0.72248634338236661</v>
      </c>
      <c r="AJ45" s="53">
        <f t="shared" si="7"/>
        <v>1542.76</v>
      </c>
      <c r="AK45" s="20">
        <f>IF(AND(AJ5=0,AJ45&gt;=0),,AJ45/AJ5)</f>
        <v>1.2171008203415417E-2</v>
      </c>
      <c r="AL45" s="37">
        <f>IF(AND(AJ124=0,AJ45&gt;=0),,AJ45/AJ124)</f>
        <v>4.5037039458934308E-2</v>
      </c>
      <c r="AM45" s="62">
        <v>339.95</v>
      </c>
      <c r="AN45" s="20">
        <f>IF(AND(AM5=0,AM45&gt;=0),,AM45/AM5)</f>
        <v>9.2233201999258763E-3</v>
      </c>
      <c r="AO45" s="20">
        <f>IF(AND(AM124=0,AM45&gt;=0),,AM45/AM124)</f>
        <v>3.8070483308677204E-2</v>
      </c>
      <c r="AP45" s="20">
        <f t="shared" si="8"/>
        <v>-0.72696094967310809</v>
      </c>
      <c r="AQ45" s="53">
        <f t="shared" si="9"/>
        <v>1882.71</v>
      </c>
      <c r="AR45" s="20">
        <f>IF(AND(AQ5=0,AQ45&gt;=0),,AQ45/AQ5)</f>
        <v>1.1506979021801353E-2</v>
      </c>
      <c r="AS45" s="37">
        <f>IF(AND(AQ124=0,AQ45&gt;=0),,AQ45/AQ124)</f>
        <v>4.3596539064046771E-2</v>
      </c>
      <c r="AT45" s="62">
        <f t="shared" si="11"/>
        <v>2145.48</v>
      </c>
      <c r="AU45" s="20">
        <f>IF(AND(AT5=0,AT45&gt;=0),,AT45/AT5)</f>
        <v>1.882E-2</v>
      </c>
      <c r="AV45" s="37">
        <f t="shared" si="4"/>
        <v>-0.1224760892667375</v>
      </c>
      <c r="AW45" s="62">
        <f>+AZ45</f>
        <v>357.58</v>
      </c>
      <c r="AX45" s="20">
        <f>IF(AND(AW5=0,AW45&gt;=0),,AW45/AW5)</f>
        <v>1.2330344827586206E-2</v>
      </c>
      <c r="AY45" s="37">
        <f>IF(AND(AW124=0,AW45&gt;=0),,AW45/AW124)</f>
        <v>4.7441827882672385E-2</v>
      </c>
      <c r="AZ45" s="62">
        <f t="shared" si="12"/>
        <v>357.58</v>
      </c>
      <c r="BA45" s="20">
        <f>IF(AND(AZ5=0,AZ45&gt;=0),,AZ45/AZ5)</f>
        <v>1.882E-2</v>
      </c>
      <c r="BB45" s="37">
        <f t="shared" si="5"/>
        <v>0</v>
      </c>
    </row>
    <row r="46" spans="1:54" hidden="1" outlineLevel="1" x14ac:dyDescent="0.25">
      <c r="A46" s="19" t="s">
        <v>7</v>
      </c>
      <c r="B46" s="62">
        <v>1190.97</v>
      </c>
      <c r="C46" s="20">
        <f>IF(AND(B5=0,B46&gt;=0),,B46/B5)</f>
        <v>4.4857365239487305E-3</v>
      </c>
      <c r="D46" s="37">
        <f>IF(AND(B124=0,B46&gt;=0),"Validar",B46/B124)</f>
        <v>1.6424105070584054E-2</v>
      </c>
      <c r="E46" s="62">
        <v>102</v>
      </c>
      <c r="F46" s="20">
        <f>IF(AND(E5=0,E46&gt;=0),,E46/E5)</f>
        <v>4.4696575979358945E-3</v>
      </c>
      <c r="G46" s="20">
        <f>IF(AND(E124=0,E46&gt;=0),"Validar",E46/E124)</f>
        <v>1.1694082794106182E-2</v>
      </c>
      <c r="H46" s="53">
        <v>101.66</v>
      </c>
      <c r="I46" s="20">
        <f>IF(AND(H5=0,H46&gt;=0),,H46/H5)</f>
        <v>4.2305592361522636E-3</v>
      </c>
      <c r="J46" s="20">
        <f>IF(AND(H124=0,H46&gt;=0),,H46/H124)</f>
        <v>1.5917054702936966E-2</v>
      </c>
      <c r="K46" s="20">
        <f t="shared" si="1"/>
        <v>-3.3333333333333669E-3</v>
      </c>
      <c r="L46" s="53">
        <f t="shared" si="13"/>
        <v>203.66</v>
      </c>
      <c r="M46" s="20">
        <f>IF(AND(L5=0,L46&gt;=0),,L46/L5)</f>
        <v>4.3470224198439034E-3</v>
      </c>
      <c r="N46" s="37">
        <f>IF(AND(L124=0,L46&gt;=0),,L46/L124)</f>
        <v>1.3479186880593437E-2</v>
      </c>
      <c r="O46" s="62">
        <v>101.77</v>
      </c>
      <c r="P46" s="20">
        <f>IF(AND(O5=0,O46&gt;=0),,O46/O5)</f>
        <v>4.1517948751422246E-3</v>
      </c>
      <c r="Q46" s="20">
        <f>IF(AND(O124=0,O46&gt;=0),,O46/O124)</f>
        <v>1.8806941030805907E-2</v>
      </c>
      <c r="R46" s="20">
        <f t="shared" si="2"/>
        <v>1.082038166437138E-3</v>
      </c>
      <c r="S46" s="53">
        <f t="shared" si="14"/>
        <v>305.43</v>
      </c>
      <c r="T46" s="20">
        <f>IF(AND(S5=0,S46&gt;=0),,S46/S5)</f>
        <v>4.2799639868138489E-3</v>
      </c>
      <c r="U46" s="37">
        <f>IF(AND(S124=0,S46&gt;=0),,S46/S124)</f>
        <v>1.4884125743402216E-2</v>
      </c>
      <c r="V46" s="62">
        <f>105*3</f>
        <v>315</v>
      </c>
      <c r="W46" s="20">
        <f>IF(AND(V5=0,V46&gt;=0),,V46/V5)</f>
        <v>5.5263157894736839E-3</v>
      </c>
      <c r="X46" s="37">
        <f t="shared" si="3"/>
        <v>-3.0380952380952359E-2</v>
      </c>
      <c r="Y46" s="62">
        <v>102.17</v>
      </c>
      <c r="Z46" s="20">
        <f>IF(AND(Y5=0,Y46&gt;=0),,Y46/Y5)</f>
        <v>4.3731354143927825E-3</v>
      </c>
      <c r="AA46" s="20">
        <f>IF(AND(Y124=0,Y46&gt;=0),,Y46/Y124)</f>
        <v>1.5079196405905932E-2</v>
      </c>
      <c r="AB46" s="20">
        <f t="shared" si="0"/>
        <v>3.9304313648423472E-3</v>
      </c>
      <c r="AC46" s="53">
        <f t="shared" si="10"/>
        <v>407.6</v>
      </c>
      <c r="AD46" s="20">
        <f>IF(AND(AC5=0,AC46&gt;=0),,AC46/AC5)</f>
        <v>4.3029437054404899E-3</v>
      </c>
      <c r="AE46" s="37">
        <f>IF(AND(AC124=0,AC46&gt;=0),,AC46/AC124)</f>
        <v>1.493254709101087E-2</v>
      </c>
      <c r="AF46" s="62">
        <v>101.89</v>
      </c>
      <c r="AG46" s="20">
        <f>IF(AND(AF5=0,AF46&gt;=0),,AF46/AF5)</f>
        <v>3.1809700007274177E-3</v>
      </c>
      <c r="AH46" s="20">
        <f>IF(AND(AF124=0,AF46&gt;=0),,AF46/AF124)</f>
        <v>1.4640882390132315E-2</v>
      </c>
      <c r="AI46" s="20">
        <f t="shared" si="6"/>
        <v>-0.67653968253968255</v>
      </c>
      <c r="AJ46" s="53">
        <f t="shared" si="7"/>
        <v>509.49</v>
      </c>
      <c r="AK46" s="20">
        <f>IF(AND(AJ5=0,AJ46&gt;=0),,AJ46/AJ5)</f>
        <v>4.0194242588335975E-3</v>
      </c>
      <c r="AL46" s="37">
        <f>IF(AND(AJ124=0,AJ46&gt;=0),,AJ46/AJ124)</f>
        <v>1.4873292821911665E-2</v>
      </c>
      <c r="AM46" s="62">
        <v>101.92</v>
      </c>
      <c r="AN46" s="20">
        <f>IF(AND(AM5=0,AM46&gt;=0),,AM46/AM5)</f>
        <v>2.7652325188305495E-3</v>
      </c>
      <c r="AO46" s="20">
        <f>IF(AND(AM124=0,AM46&gt;=0),,AM46/AM124)</f>
        <v>1.1413865741492515E-2</v>
      </c>
      <c r="AP46" s="20">
        <f t="shared" si="8"/>
        <v>-0.74995093228655541</v>
      </c>
      <c r="AQ46" s="53">
        <f t="shared" si="9"/>
        <v>611.41</v>
      </c>
      <c r="AR46" s="20">
        <f>IF(AND(AQ5=0,AQ46&gt;=0),,AQ46/AQ5)</f>
        <v>3.7368909942155537E-3</v>
      </c>
      <c r="AS46" s="37">
        <f>IF(AND(AQ124=0,AQ46&gt;=0),,AQ46/AQ124)</f>
        <v>1.415797438221969E-2</v>
      </c>
      <c r="AT46" s="62">
        <f t="shared" si="11"/>
        <v>630</v>
      </c>
      <c r="AU46" s="20">
        <f>IF(AND(AT5=0,AT46&gt;=0),,AT46/AT5)</f>
        <v>5.5263157894736839E-3</v>
      </c>
      <c r="AV46" s="37">
        <f t="shared" si="4"/>
        <v>-2.9507936507936559E-2</v>
      </c>
      <c r="AW46" s="62">
        <f t="shared" si="15"/>
        <v>101.90166666666666</v>
      </c>
      <c r="AX46" s="20">
        <f>IF(AND(AW5=0,AW46&gt;=0),,AW46/AW5)</f>
        <v>3.5138505747126431E-3</v>
      </c>
      <c r="AY46" s="37">
        <f>IF(AND(AW124=0,AW46&gt;=0),,AW46/AW124)</f>
        <v>1.3519775521442625E-2</v>
      </c>
      <c r="AZ46" s="62">
        <f t="shared" si="12"/>
        <v>105</v>
      </c>
      <c r="BA46" s="20">
        <f>IF(AND(AZ5=0,AZ46&gt;=0),,AZ46/AZ5)</f>
        <v>5.5263157894736839E-3</v>
      </c>
      <c r="BB46" s="37">
        <f t="shared" si="5"/>
        <v>-2.9507936507936604E-2</v>
      </c>
    </row>
    <row r="47" spans="1:54" hidden="1" outlineLevel="1" x14ac:dyDescent="0.25">
      <c r="A47" s="19" t="s">
        <v>8</v>
      </c>
      <c r="B47" s="62">
        <v>97.69</v>
      </c>
      <c r="C47" s="20">
        <f>IF(AND(B5=0,B47&gt;=0),,B47/B5)</f>
        <v>3.6794512122433938E-4</v>
      </c>
      <c r="D47" s="37">
        <f>IF(AND(B124=0,B47&gt;=0),"Validar",B47/B124)</f>
        <v>1.3471966752691975E-3</v>
      </c>
      <c r="E47" s="62">
        <v>41.02</v>
      </c>
      <c r="F47" s="20">
        <f>IF(AND(E5=0,E47&gt;=0),,E47/E5)</f>
        <v>1.7975034771306902E-3</v>
      </c>
      <c r="G47" s="20">
        <f>IF(AND(E124=0,E47&gt;=0),"Validar",E47/E124)</f>
        <v>4.7028556491591723E-3</v>
      </c>
      <c r="I47" s="20">
        <f>IF(AND(H5=0,H47&gt;=0),,H47/H5)</f>
        <v>0</v>
      </c>
      <c r="J47" s="20">
        <f>IF(AND(H124=0,H47&gt;=0),,H47/H124)</f>
        <v>0</v>
      </c>
      <c r="K47" s="20">
        <f t="shared" si="1"/>
        <v>-1</v>
      </c>
      <c r="L47" s="53">
        <f t="shared" si="13"/>
        <v>41.02</v>
      </c>
      <c r="M47" s="20">
        <f>IF(AND(L5=0,L47&gt;=0),,L47/L5)</f>
        <v>8.755517021604484E-4</v>
      </c>
      <c r="N47" s="37">
        <f>IF(AND(L124=0,L47&gt;=0),,L47/L124)</f>
        <v>2.7148985851023415E-3</v>
      </c>
      <c r="O47" s="62">
        <v>0.55000000000000004</v>
      </c>
      <c r="P47" s="20">
        <f>IF(AND(O5=0,O47&gt;=0),,O47/O5)</f>
        <v>2.2437724096769417E-5</v>
      </c>
      <c r="Q47" s="20">
        <f>IF(AND(O124=0,O47&gt;=0),,O47/O124)</f>
        <v>1.0163916249330108E-4</v>
      </c>
      <c r="R47" s="20">
        <f t="shared" si="2"/>
        <v>1</v>
      </c>
      <c r="S47" s="53">
        <f t="shared" si="14"/>
        <v>41.57</v>
      </c>
      <c r="T47" s="20">
        <f>IF(AND(S5=0,S47&gt;=0),,S47/S5)</f>
        <v>5.8251678922126738E-4</v>
      </c>
      <c r="U47" s="37">
        <f>IF(AND(S124=0,S47&gt;=0),,S47/S124)</f>
        <v>2.0257771245562983E-3</v>
      </c>
      <c r="V47" s="62">
        <f>15*3</f>
        <v>45</v>
      </c>
      <c r="W47" s="20">
        <f>IF(AND(V5=0,V47&gt;=0),,V47/V5)</f>
        <v>7.894736842105263E-4</v>
      </c>
      <c r="X47" s="37">
        <f t="shared" si="3"/>
        <v>-7.6222222222222219E-2</v>
      </c>
      <c r="Y47" s="62">
        <v>40.75</v>
      </c>
      <c r="Z47" s="20">
        <f>IF(AND(Y5=0,Y47&gt;=0),,Y47/Y5)</f>
        <v>1.7442034661496121E-3</v>
      </c>
      <c r="AA47" s="20">
        <f>IF(AND(Y124=0,Y47&gt;=0),,Y47/Y124)</f>
        <v>6.0142630277054583E-3</v>
      </c>
      <c r="AB47" s="20">
        <f t="shared" si="0"/>
        <v>73.090909090909093</v>
      </c>
      <c r="AC47" s="53">
        <f t="shared" si="10"/>
        <v>82.32</v>
      </c>
      <c r="AD47" s="20">
        <f>IF(AND(AC5=0,AC47&gt;=0),,AC47/AC5)</f>
        <v>8.6903416543636174E-4</v>
      </c>
      <c r="AE47" s="37">
        <f>IF(AND(AC124=0,AC47&gt;=0),,AC47/AC124)</f>
        <v>3.0158176558685345E-3</v>
      </c>
      <c r="AF47" s="62"/>
      <c r="AG47" s="20">
        <f>IF(AND(AF5=0,AF47&gt;=0),,AF47/AF5)</f>
        <v>0</v>
      </c>
      <c r="AH47" s="20">
        <f>IF(AND(AF124=0,AF47&gt;=0),,AF47/AF124)</f>
        <v>0</v>
      </c>
      <c r="AI47" s="20">
        <f t="shared" si="6"/>
        <v>-1</v>
      </c>
      <c r="AJ47" s="53">
        <f t="shared" si="7"/>
        <v>82.32</v>
      </c>
      <c r="AK47" s="20">
        <f>IF(AND(AJ5=0,AJ47&gt;=0),,AJ47/AJ5)</f>
        <v>6.4943179451447863E-4</v>
      </c>
      <c r="AL47" s="37">
        <f>IF(AND(AJ124=0,AJ47&gt;=0),,AJ47/AJ124)</f>
        <v>2.4031275689410355E-3</v>
      </c>
      <c r="AM47" s="62">
        <v>8.76</v>
      </c>
      <c r="AN47" s="20">
        <f>IF(AND(AM5=0,AM47&gt;=0),,AM47/AM5)</f>
        <v>2.3767108383983135E-4</v>
      </c>
      <c r="AO47" s="20">
        <f>IF(AND(AM124=0,AM47&gt;=0),,AM47/AM124)</f>
        <v>9.8101907275779466E-4</v>
      </c>
      <c r="AP47" s="20">
        <f t="shared" si="8"/>
        <v>-0.89358600583090375</v>
      </c>
      <c r="AQ47" s="53">
        <f t="shared" si="9"/>
        <v>91.08</v>
      </c>
      <c r="AR47" s="20">
        <f>IF(AND(AQ5=0,AQ47&gt;=0),,AQ47/AQ5)</f>
        <v>5.5667396960002715E-4</v>
      </c>
      <c r="AS47" s="37">
        <f>IF(AND(AQ124=0,AQ47&gt;=0),,AQ47/AQ124)</f>
        <v>2.1090729735080706E-3</v>
      </c>
      <c r="AT47" s="62">
        <f t="shared" si="11"/>
        <v>90</v>
      </c>
      <c r="AU47" s="20">
        <f>IF(AND(AT5=0,AT47&gt;=0),,AT47/AT5)</f>
        <v>7.894736842105263E-4</v>
      </c>
      <c r="AV47" s="37">
        <f t="shared" si="4"/>
        <v>1.1999999999999981E-2</v>
      </c>
      <c r="AW47" s="62">
        <f t="shared" si="15"/>
        <v>15.18</v>
      </c>
      <c r="AX47" s="20">
        <f>IF(AND(AW5=0,AW47&gt;=0),,AW47/AW5)</f>
        <v>5.2344827586206901E-4</v>
      </c>
      <c r="AY47" s="37">
        <f>IF(AND(AW124=0,AW47&gt;=0),,AW47/AW124)</f>
        <v>2.0140023134933914E-3</v>
      </c>
      <c r="AZ47" s="62">
        <f t="shared" si="12"/>
        <v>15</v>
      </c>
      <c r="BA47" s="20">
        <f>IF(AND(AZ5=0,AZ47&gt;=0),,AZ47/AZ5)</f>
        <v>7.894736842105263E-4</v>
      </c>
      <c r="BB47" s="37">
        <f t="shared" si="5"/>
        <v>1.1999999999999981E-2</v>
      </c>
    </row>
    <row r="48" spans="1:54" hidden="1" outlineLevel="1" x14ac:dyDescent="0.25">
      <c r="A48" s="19" t="s">
        <v>9</v>
      </c>
      <c r="B48" s="62">
        <v>99.11</v>
      </c>
      <c r="C48" s="20">
        <f>IF(AND(B5=0,B48&gt;=0),,B48/B5)</f>
        <v>3.7329348924704963E-4</v>
      </c>
      <c r="D48" s="37">
        <f>IF(AND(B124=0,B48&gt;=0),"Validar",B48/B124)</f>
        <v>1.3667792249557802E-3</v>
      </c>
      <c r="E48" s="62">
        <v>21.77</v>
      </c>
      <c r="F48" s="20">
        <f>IF(AND(E5=0,E48&gt;=0),,E48/E5)</f>
        <v>9.5396515595161195E-4</v>
      </c>
      <c r="G48" s="20">
        <f>IF(AND(E124=0,E48&gt;=0),"Validar",E48/E124)</f>
        <v>2.4958841414479565E-3</v>
      </c>
      <c r="I48" s="20">
        <f>IF(AND(H5=0,H48&gt;=0),,H48/H5)</f>
        <v>0</v>
      </c>
      <c r="J48" s="20">
        <f>IF(AND(H124=0,H48&gt;=0),,H48/H124)</f>
        <v>0</v>
      </c>
      <c r="K48" s="20">
        <f t="shared" si="1"/>
        <v>-1</v>
      </c>
      <c r="L48" s="53">
        <f t="shared" si="13"/>
        <v>21.77</v>
      </c>
      <c r="M48" s="20">
        <f>IF(AND(L5=0,L48&gt;=0),,L48/L5)</f>
        <v>4.6466993066877037E-4</v>
      </c>
      <c r="N48" s="37">
        <f>IF(AND(L124=0,L48&gt;=0),,L48/L124)</f>
        <v>1.4408420818546556E-3</v>
      </c>
      <c r="O48" s="62"/>
      <c r="P48" s="20">
        <f>IF(AND(O5=0,O48&gt;=0),,O48/O5)</f>
        <v>0</v>
      </c>
      <c r="Q48" s="20">
        <f>IF(AND(O124=0,O48&gt;=0),,O48/O124)</f>
        <v>0</v>
      </c>
      <c r="R48" s="20">
        <f t="shared" si="2"/>
        <v>0</v>
      </c>
      <c r="S48" s="53">
        <f t="shared" si="14"/>
        <v>21.77</v>
      </c>
      <c r="T48" s="20">
        <f>IF(AND(S5=0,S48&gt;=0),,S48/S5)</f>
        <v>3.050611138163818E-4</v>
      </c>
      <c r="U48" s="37">
        <f>IF(AND(S124=0,S48&gt;=0),,S48/S124)</f>
        <v>1.0608892952030456E-3</v>
      </c>
      <c r="V48" s="62">
        <f>10*3</f>
        <v>30</v>
      </c>
      <c r="W48" s="20">
        <f>IF(AND(V5=0,V48&gt;=0),,V48/V5)</f>
        <v>5.263157894736842E-4</v>
      </c>
      <c r="X48" s="37">
        <f t="shared" si="3"/>
        <v>-0.27433333333333337</v>
      </c>
      <c r="Y48" s="62">
        <v>19.84</v>
      </c>
      <c r="Z48" s="20">
        <f>IF(AND(Y5=0,Y48&gt;=0),,Y48/Y5)</f>
        <v>8.4920237468486632E-4</v>
      </c>
      <c r="AA48" s="20">
        <f>IF(AND(Y124=0,Y48&gt;=0),,Y48/Y124)</f>
        <v>2.9281712507896024E-3</v>
      </c>
      <c r="AB48" s="20">
        <f t="shared" si="0"/>
        <v>1</v>
      </c>
      <c r="AC48" s="53">
        <f t="shared" si="10"/>
        <v>41.61</v>
      </c>
      <c r="AD48" s="20">
        <f>IF(AND(AC5=0,AC48&gt;=0),,AC48/AC5)</f>
        <v>4.392676339140794E-4</v>
      </c>
      <c r="AE48" s="37">
        <f>IF(AND(AC124=0,AC48&gt;=0),,AC48/AC124)</f>
        <v>1.5243947116215953E-3</v>
      </c>
      <c r="AF48" s="62"/>
      <c r="AG48" s="20">
        <f>IF(AND(AF5=0,AF48&gt;=0),,AF48/AF5)</f>
        <v>0</v>
      </c>
      <c r="AH48" s="20">
        <f>IF(AND(AF124=0,AF48&gt;=0),,AF48/AF124)</f>
        <v>0</v>
      </c>
      <c r="AI48" s="20">
        <f t="shared" si="6"/>
        <v>-1</v>
      </c>
      <c r="AJ48" s="53">
        <f t="shared" si="7"/>
        <v>41.61</v>
      </c>
      <c r="AK48" s="20">
        <f>IF(AND(AJ5=0,AJ48&gt;=0),,AJ48/AJ5)</f>
        <v>3.2826599817477477E-4</v>
      </c>
      <c r="AL48" s="37">
        <f>IF(AND(AJ124=0,AJ48&gt;=0),,AJ48/AJ124)</f>
        <v>1.2147004147672071E-3</v>
      </c>
      <c r="AM48" s="62"/>
      <c r="AN48" s="20">
        <f>IF(AND(AM5=0,AM48&gt;=0),,AM48/AM5)</f>
        <v>0</v>
      </c>
      <c r="AO48" s="20">
        <f>IF(AND(AM124=0,AM48&gt;=0),,AM48/AM124)</f>
        <v>0</v>
      </c>
      <c r="AP48" s="20">
        <f t="shared" si="8"/>
        <v>-1</v>
      </c>
      <c r="AQ48" s="53">
        <f t="shared" si="9"/>
        <v>41.61</v>
      </c>
      <c r="AR48" s="20">
        <f>IF(AND(AQ5=0,AQ48&gt;=0),,AQ48/AQ5)</f>
        <v>2.543171264279439E-4</v>
      </c>
      <c r="AS48" s="37">
        <f>IF(AND(AQ124=0,AQ48&gt;=0),,AQ48/AQ124)</f>
        <v>9.6353234988659216E-4</v>
      </c>
      <c r="AT48" s="62">
        <f t="shared" si="11"/>
        <v>60</v>
      </c>
      <c r="AU48" s="20">
        <f>IF(AND(AT5=0,AT48&gt;=0),,AT48/AT5)</f>
        <v>5.263157894736842E-4</v>
      </c>
      <c r="AV48" s="37">
        <f t="shared" si="4"/>
        <v>-0.30649999999999999</v>
      </c>
      <c r="AW48" s="62">
        <f>+AZ48</f>
        <v>10</v>
      </c>
      <c r="AX48" s="20">
        <f>IF(AND(AW5=0,AW48&gt;=0),,AW48/AW5)</f>
        <v>3.4482758620689653E-4</v>
      </c>
      <c r="AY48" s="37">
        <f>IF(AND(AW124=0,AW48&gt;=0),,AW48/AW124)</f>
        <v>1.3267472420905081E-3</v>
      </c>
      <c r="AZ48" s="62">
        <f t="shared" si="12"/>
        <v>10</v>
      </c>
      <c r="BA48" s="20">
        <f>IF(AND(AZ5=0,AZ48&gt;=0),,AZ48/AZ5)</f>
        <v>5.263157894736842E-4</v>
      </c>
      <c r="BB48" s="37">
        <f t="shared" si="5"/>
        <v>0</v>
      </c>
    </row>
    <row r="49" spans="1:54" hidden="1" outlineLevel="1" x14ac:dyDescent="0.25">
      <c r="A49" s="19" t="s">
        <v>10</v>
      </c>
      <c r="B49" s="62">
        <v>454.68</v>
      </c>
      <c r="C49" s="20">
        <f>IF(AND(B5=0,B49&gt;=0),,B49/B5)</f>
        <v>1.7125323750463981E-3</v>
      </c>
      <c r="D49" s="37">
        <f>IF(AND(B124=0,B49&gt;=0),"Validar",B49/B124)</f>
        <v>6.2702772475319761E-3</v>
      </c>
      <c r="E49" s="62">
        <v>39.909999999999997</v>
      </c>
      <c r="F49" s="20">
        <f>IF(AND(E5=0,E49&gt;=0),,E49/E5)</f>
        <v>1.7488630856237405E-3</v>
      </c>
      <c r="G49" s="20">
        <f>IF(AND(E124=0,E49&gt;=0),"Validar",E49/E124)</f>
        <v>4.5755965128703689E-3</v>
      </c>
      <c r="H49" s="53">
        <v>7</v>
      </c>
      <c r="I49" s="20">
        <f>IF(AND(H5=0,H49&gt;=0),,H49/H5)</f>
        <v>2.9130350829299474E-4</v>
      </c>
      <c r="J49" s="20">
        <f>IF(AND(H124=0,H49&gt;=0),,H49/H124)</f>
        <v>1.0960002254629035E-3</v>
      </c>
      <c r="K49" s="20">
        <f t="shared" si="1"/>
        <v>-0.82460536206464541</v>
      </c>
      <c r="L49" s="53">
        <f t="shared" si="13"/>
        <v>46.91</v>
      </c>
      <c r="M49" s="20">
        <f>IF(AND(L5=0,L49&gt;=0),,L49/L5)</f>
        <v>1.0012708519830968E-3</v>
      </c>
      <c r="N49" s="37">
        <f>IF(AND(L124=0,L49&gt;=0),,L49/L124)</f>
        <v>3.1047267827194252E-3</v>
      </c>
      <c r="O49" s="62">
        <v>24.48</v>
      </c>
      <c r="P49" s="20">
        <f>IF(AND(O5=0,O49&gt;=0),,O49/O5)</f>
        <v>9.9868270161620966E-4</v>
      </c>
      <c r="Q49" s="20">
        <f>IF(AND(O124=0,O49&gt;=0),,O49/O124)</f>
        <v>4.5238667233382006E-3</v>
      </c>
      <c r="R49" s="20">
        <f t="shared" si="2"/>
        <v>2.4971428571428573</v>
      </c>
      <c r="S49" s="53">
        <f t="shared" si="14"/>
        <v>71.39</v>
      </c>
      <c r="T49" s="20">
        <f>IF(AND(S5=0,S49&gt;=0),,S49/S5)</f>
        <v>1.0003818518765043E-3</v>
      </c>
      <c r="U49" s="37">
        <f>IF(AND(S124=0,S49&gt;=0),,S49/S124)</f>
        <v>3.4789566736125599E-3</v>
      </c>
      <c r="V49" s="62">
        <f>20*3</f>
        <v>60</v>
      </c>
      <c r="W49" s="20">
        <f>IF(AND(V5=0,V49&gt;=0),,V49/V5)</f>
        <v>1.0526315789473684E-3</v>
      </c>
      <c r="X49" s="37">
        <f t="shared" si="3"/>
        <v>0.18983333333333335</v>
      </c>
      <c r="Y49" s="62">
        <v>44.4</v>
      </c>
      <c r="Z49" s="20">
        <f>IF(AND(Y5=0,Y49&gt;=0),,Y49/Y5)</f>
        <v>1.9004327336697613E-3</v>
      </c>
      <c r="AA49" s="20">
        <f>IF(AND(Y124=0,Y49&gt;=0),,Y49/Y124)</f>
        <v>6.5529638878557631E-3</v>
      </c>
      <c r="AB49" s="20">
        <f t="shared" si="0"/>
        <v>0.81372549019607832</v>
      </c>
      <c r="AC49" s="53">
        <f t="shared" si="10"/>
        <v>115.78999999999999</v>
      </c>
      <c r="AD49" s="20">
        <f>IF(AND(AC5=0,AC49&gt;=0),,AC49/AC5)</f>
        <v>1.2223696066068553E-3</v>
      </c>
      <c r="AE49" s="37">
        <f>IF(AND(AC124=0,AC49&gt;=0),,AC49/AC124)</f>
        <v>4.2420010492349083E-3</v>
      </c>
      <c r="AF49" s="62">
        <v>15.28</v>
      </c>
      <c r="AG49" s="20">
        <f>IF(AND(AF5=0,AF49&gt;=0),,AF49/AF5)</f>
        <v>4.7703623133884523E-4</v>
      </c>
      <c r="AH49" s="20">
        <f>IF(AND(AF124=0,AF49&gt;=0),,AF49/AF124)</f>
        <v>2.1956294329298436E-3</v>
      </c>
      <c r="AI49" s="20">
        <f t="shared" si="6"/>
        <v>-0.74533333333333329</v>
      </c>
      <c r="AJ49" s="53">
        <f t="shared" si="7"/>
        <v>131.07</v>
      </c>
      <c r="AK49" s="20">
        <f>IF(AND(AJ5=0,AJ49&gt;=0),,AJ49/AJ5)</f>
        <v>1.0340260605808153E-3</v>
      </c>
      <c r="AL49" s="37">
        <f>IF(AND(AJ124=0,AJ49&gt;=0),,AJ49/AJ124)</f>
        <v>3.8262625177490467E-3</v>
      </c>
      <c r="AM49" s="62">
        <v>49.37</v>
      </c>
      <c r="AN49" s="20">
        <f>IF(AND(AM5=0,AM49&gt;=0),,AM49/AM5)</f>
        <v>1.3394773298142093E-3</v>
      </c>
      <c r="AO49" s="20">
        <f>IF(AND(AM124=0,AM49&gt;=0),,AM49/AM124)</f>
        <v>5.5288711897320004E-3</v>
      </c>
      <c r="AP49" s="20">
        <f t="shared" si="8"/>
        <v>-0.57362466534243017</v>
      </c>
      <c r="AQ49" s="53">
        <f t="shared" si="9"/>
        <v>180.44</v>
      </c>
      <c r="AR49" s="20">
        <f>IF(AND(AQ5=0,AQ49&gt;=0),,AQ49/AQ5)</f>
        <v>1.1028354312102428E-3</v>
      </c>
      <c r="AS49" s="37">
        <f>IF(AND(AQ124=0,AQ49&gt;=0),,AQ49/AQ124)</f>
        <v>4.1783171644685577E-3</v>
      </c>
      <c r="AT49" s="62">
        <f t="shared" si="11"/>
        <v>120</v>
      </c>
      <c r="AU49" s="20">
        <f>IF(AND(AT5=0,AT49&gt;=0),,AT49/AT5)</f>
        <v>1.0526315789473684E-3</v>
      </c>
      <c r="AV49" s="37">
        <f t="shared" si="4"/>
        <v>0.5036666666666666</v>
      </c>
      <c r="AW49" s="62">
        <f t="shared" si="15"/>
        <v>30.073333333333334</v>
      </c>
      <c r="AX49" s="20">
        <f>IF(AND(AW5=0,AW49&gt;=0),,AW49/AW5)</f>
        <v>1.0370114942528737E-3</v>
      </c>
      <c r="AY49" s="37">
        <f>IF(AND(AW124=0,AW49&gt;=0),,AW49/AW124)</f>
        <v>3.9899712060468551E-3</v>
      </c>
      <c r="AZ49" s="62">
        <f t="shared" si="12"/>
        <v>20</v>
      </c>
      <c r="BA49" s="20">
        <f>IF(AND(AZ5=0,AZ49&gt;=0),,AZ49/AZ5)</f>
        <v>1.0526315789473684E-3</v>
      </c>
      <c r="BB49" s="37">
        <f t="shared" si="5"/>
        <v>0.50366666666666671</v>
      </c>
    </row>
    <row r="50" spans="1:54" hidden="1" outlineLevel="1" x14ac:dyDescent="0.25">
      <c r="A50" s="19" t="s">
        <v>11</v>
      </c>
      <c r="B50" s="62"/>
      <c r="C50" s="20">
        <f>IF(AND(B5=0,B50&gt;=0),,B50/B5)</f>
        <v>0</v>
      </c>
      <c r="D50" s="37">
        <f>IF(AND(B124=0,B50&gt;=0),"Validar",B50/B124)</f>
        <v>0</v>
      </c>
      <c r="E50" s="62"/>
      <c r="F50" s="20">
        <f>IF(AND(E5=0,E50&gt;=0),,E50/E5)</f>
        <v>0</v>
      </c>
      <c r="G50" s="20">
        <f>IF(AND(E124=0,E50&gt;=0),"Validar",E50/E124)</f>
        <v>0</v>
      </c>
      <c r="I50" s="20">
        <f>IF(AND(H5=0,H50&gt;=0),,H50/H5)</f>
        <v>0</v>
      </c>
      <c r="J50" s="20">
        <f>IF(AND(H124=0,H50&gt;=0),,H50/H124)</f>
        <v>0</v>
      </c>
      <c r="K50" s="20">
        <f t="shared" si="1"/>
        <v>0</v>
      </c>
      <c r="L50" s="53">
        <f t="shared" si="13"/>
        <v>0</v>
      </c>
      <c r="M50" s="20">
        <f>IF(AND(L5=0,L50&gt;=0),,L50/L5)</f>
        <v>0</v>
      </c>
      <c r="N50" s="37">
        <f>IF(AND(L124=0,L50&gt;=0),,L50/L124)</f>
        <v>0</v>
      </c>
      <c r="O50" s="62"/>
      <c r="P50" s="20">
        <f>IF(AND(O5=0,O50&gt;=0),,O50/O5)</f>
        <v>0</v>
      </c>
      <c r="Q50" s="20">
        <f>IF(AND(O124=0,O50&gt;=0),,O50/O124)</f>
        <v>0</v>
      </c>
      <c r="R50" s="20">
        <f t="shared" si="2"/>
        <v>0</v>
      </c>
      <c r="S50" s="53">
        <f t="shared" si="14"/>
        <v>0</v>
      </c>
      <c r="T50" s="20">
        <f>IF(AND(S5=0,S50&gt;=0),,S50/S5)</f>
        <v>0</v>
      </c>
      <c r="U50" s="37">
        <f>IF(AND(S124=0,S50&gt;=0),,S50/S124)</f>
        <v>0</v>
      </c>
      <c r="V50" s="62"/>
      <c r="W50" s="20">
        <f>IF(AND(V5=0,V50&gt;=0),,V50/V5)</f>
        <v>0</v>
      </c>
      <c r="X50" s="37">
        <f t="shared" si="3"/>
        <v>0</v>
      </c>
      <c r="Y50" s="62"/>
      <c r="Z50" s="20">
        <f>IF(AND(Y5=0,Y50&gt;=0),,Y50/Y5)</f>
        <v>0</v>
      </c>
      <c r="AA50" s="20">
        <f>IF(AND(Y124=0,Y50&gt;=0),,Y50/Y124)</f>
        <v>0</v>
      </c>
      <c r="AB50" s="20">
        <f t="shared" si="0"/>
        <v>0</v>
      </c>
      <c r="AC50" s="53">
        <f t="shared" si="10"/>
        <v>0</v>
      </c>
      <c r="AD50" s="20">
        <f>IF(AND(AC5=0,AC50&gt;=0),,AC50/AC5)</f>
        <v>0</v>
      </c>
      <c r="AE50" s="37">
        <f>IF(AND(AC124=0,AC50&gt;=0),,AC50/AC124)</f>
        <v>0</v>
      </c>
      <c r="AF50" s="62"/>
      <c r="AG50" s="20">
        <f>IF(AND(AF5=0,AF50&gt;=0),,AF50/AF5)</f>
        <v>0</v>
      </c>
      <c r="AH50" s="20">
        <f>IF(AND(AF124=0,AF50&gt;=0),,AF50/AF124)</f>
        <v>0</v>
      </c>
      <c r="AI50" s="20">
        <f t="shared" si="6"/>
        <v>0</v>
      </c>
      <c r="AJ50" s="53">
        <f t="shared" si="7"/>
        <v>0</v>
      </c>
      <c r="AK50" s="20">
        <f>IF(AND(AJ5=0,AJ50&gt;=0),,AJ50/AJ5)</f>
        <v>0</v>
      </c>
      <c r="AL50" s="37">
        <f>IF(AND(AJ124=0,AJ50&gt;=0),,AJ50/AJ124)</f>
        <v>0</v>
      </c>
      <c r="AM50" s="62"/>
      <c r="AN50" s="20">
        <f>IF(AND(AM5=0,AM50&gt;=0),,AM50/AM5)</f>
        <v>0</v>
      </c>
      <c r="AO50" s="20">
        <f>IF(AND(AM124=0,AM50&gt;=0),,AM50/AM124)</f>
        <v>0</v>
      </c>
      <c r="AP50" s="20">
        <f t="shared" si="8"/>
        <v>0</v>
      </c>
      <c r="AQ50" s="53">
        <f t="shared" si="9"/>
        <v>0</v>
      </c>
      <c r="AR50" s="20">
        <f>IF(AND(AQ5=0,AQ50&gt;=0),,AQ50/AQ5)</f>
        <v>0</v>
      </c>
      <c r="AS50" s="37">
        <f>IF(AND(AQ124=0,AQ50&gt;=0),,AQ50/AQ124)</f>
        <v>0</v>
      </c>
      <c r="AT50" s="62">
        <f t="shared" si="11"/>
        <v>0</v>
      </c>
      <c r="AU50" s="20">
        <f>IF(AND(AT5=0,AT50&gt;=0),,AT50/AT5)</f>
        <v>0</v>
      </c>
      <c r="AV50" s="37">
        <f t="shared" si="4"/>
        <v>0</v>
      </c>
      <c r="AW50" s="62">
        <f>+AZ50</f>
        <v>0</v>
      </c>
      <c r="AX50" s="20">
        <f>IF(AND(AW5=0,AW50&gt;=0),,AW50/AW5)</f>
        <v>0</v>
      </c>
      <c r="AY50" s="37">
        <f>IF(AND(AW124=0,AW50&gt;=0),,AW50/AW124)</f>
        <v>0</v>
      </c>
      <c r="AZ50" s="62">
        <f t="shared" si="12"/>
        <v>0</v>
      </c>
      <c r="BA50" s="20">
        <f>IF(AND(AZ5=0,AZ50&gt;=0),,AZ50/AZ5)</f>
        <v>0</v>
      </c>
      <c r="BB50" s="37">
        <f t="shared" si="5"/>
        <v>0</v>
      </c>
    </row>
    <row r="51" spans="1:54" hidden="1" outlineLevel="1" x14ac:dyDescent="0.25">
      <c r="A51" s="19" t="s">
        <v>12</v>
      </c>
      <c r="B51" s="62"/>
      <c r="C51" s="20">
        <f>IF(AND(B5=0,B51&gt;=0),,B51/B5)</f>
        <v>0</v>
      </c>
      <c r="D51" s="37">
        <f>IF(AND(B124=0,B51&gt;=0),"Validar",B51/B124)</f>
        <v>0</v>
      </c>
      <c r="E51" s="62"/>
      <c r="F51" s="20">
        <f>IF(AND(E5=0,E51&gt;=0),,E51/E5)</f>
        <v>0</v>
      </c>
      <c r="G51" s="20">
        <f>IF(AND(E124=0,E51&gt;=0),"Validar",E51/E124)</f>
        <v>0</v>
      </c>
      <c r="I51" s="20">
        <f>IF(AND(H5=0,H51&gt;=0),,H51/H5)</f>
        <v>0</v>
      </c>
      <c r="J51" s="20">
        <f>IF(AND(H124=0,H51&gt;=0),,H51/H124)</f>
        <v>0</v>
      </c>
      <c r="K51" s="20">
        <f t="shared" si="1"/>
        <v>0</v>
      </c>
      <c r="L51" s="53">
        <f t="shared" si="13"/>
        <v>0</v>
      </c>
      <c r="M51" s="20">
        <f>IF(AND(L5=0,L51&gt;=0),,L51/L5)</f>
        <v>0</v>
      </c>
      <c r="N51" s="37">
        <f>IF(AND(L124=0,L51&gt;=0),,L51/L124)</f>
        <v>0</v>
      </c>
      <c r="O51" s="62"/>
      <c r="P51" s="20">
        <f>IF(AND(O5=0,O51&gt;=0),,O51/O5)</f>
        <v>0</v>
      </c>
      <c r="Q51" s="20">
        <f>IF(AND(O124=0,O51&gt;=0),,O51/O124)</f>
        <v>0</v>
      </c>
      <c r="R51" s="20">
        <f t="shared" si="2"/>
        <v>0</v>
      </c>
      <c r="S51" s="53">
        <f t="shared" si="14"/>
        <v>0</v>
      </c>
      <c r="T51" s="20">
        <f>IF(AND(S5=0,S51&gt;=0),,S51/S5)</f>
        <v>0</v>
      </c>
      <c r="U51" s="37">
        <f>IF(AND(S124=0,S51&gt;=0),,S51/S124)</f>
        <v>0</v>
      </c>
      <c r="V51" s="62"/>
      <c r="W51" s="20">
        <f>IF(AND(V5=0,V51&gt;=0),,V51/V5)</f>
        <v>0</v>
      </c>
      <c r="X51" s="37">
        <f t="shared" si="3"/>
        <v>0</v>
      </c>
      <c r="Y51" s="62"/>
      <c r="Z51" s="20">
        <f>IF(AND(Y5=0,Y51&gt;=0),,Y51/Y5)</f>
        <v>0</v>
      </c>
      <c r="AA51" s="20">
        <f>IF(AND(Y124=0,Y51&gt;=0),,Y51/Y124)</f>
        <v>0</v>
      </c>
      <c r="AB51" s="20">
        <f t="shared" si="0"/>
        <v>0</v>
      </c>
      <c r="AC51" s="53">
        <f t="shared" si="10"/>
        <v>0</v>
      </c>
      <c r="AD51" s="20">
        <f>IF(AND(AC5=0,AC51&gt;=0),,AC51/AC5)</f>
        <v>0</v>
      </c>
      <c r="AE51" s="37">
        <f>IF(AND(AC124=0,AC51&gt;=0),,AC51/AC124)</f>
        <v>0</v>
      </c>
      <c r="AF51" s="62"/>
      <c r="AG51" s="20">
        <f>IF(AND(AF5=0,AF51&gt;=0),,AF51/AF5)</f>
        <v>0</v>
      </c>
      <c r="AH51" s="20">
        <f>IF(AND(AF124=0,AF51&gt;=0),,AF51/AF124)</f>
        <v>0</v>
      </c>
      <c r="AI51" s="20">
        <f t="shared" si="6"/>
        <v>0</v>
      </c>
      <c r="AJ51" s="53">
        <f t="shared" si="7"/>
        <v>0</v>
      </c>
      <c r="AK51" s="20">
        <f>IF(AND(AJ5=0,AJ51&gt;=0),,AJ51/AJ5)</f>
        <v>0</v>
      </c>
      <c r="AL51" s="37">
        <f>IF(AND(AJ124=0,AJ51&gt;=0),,AJ51/AJ124)</f>
        <v>0</v>
      </c>
      <c r="AM51" s="62"/>
      <c r="AN51" s="20">
        <f>IF(AND(AM5=0,AM51&gt;=0),,AM51/AM5)</f>
        <v>0</v>
      </c>
      <c r="AO51" s="20">
        <f>IF(AND(AM124=0,AM51&gt;=0),,AM51/AM124)</f>
        <v>0</v>
      </c>
      <c r="AP51" s="20">
        <f t="shared" si="8"/>
        <v>0</v>
      </c>
      <c r="AQ51" s="53">
        <f t="shared" si="9"/>
        <v>0</v>
      </c>
      <c r="AR51" s="20">
        <f>IF(AND(AQ5=0,AQ51&gt;=0),,AQ51/AQ5)</f>
        <v>0</v>
      </c>
      <c r="AS51" s="37">
        <f>IF(AND(AQ124=0,AQ51&gt;=0),,AQ51/AQ124)</f>
        <v>0</v>
      </c>
      <c r="AT51" s="62">
        <f t="shared" si="11"/>
        <v>0</v>
      </c>
      <c r="AU51" s="20">
        <f>IF(AND(AT5=0,AT51&gt;=0),,AT51/AT5)</f>
        <v>0</v>
      </c>
      <c r="AV51" s="37">
        <f t="shared" si="4"/>
        <v>0</v>
      </c>
      <c r="AW51" s="62">
        <f t="shared" ref="AW51:AW59" si="16">+AZ51</f>
        <v>0</v>
      </c>
      <c r="AX51" s="20">
        <f>IF(AND(AW5=0,AW51&gt;=0),,AW51/AW5)</f>
        <v>0</v>
      </c>
      <c r="AY51" s="37">
        <f>IF(AND(AW124=0,AW51&gt;=0),,AW51/AW124)</f>
        <v>0</v>
      </c>
      <c r="AZ51" s="62">
        <f t="shared" si="12"/>
        <v>0</v>
      </c>
      <c r="BA51" s="20">
        <f>IF(AND(AZ5=0,AZ51&gt;=0),,AZ51/AZ5)</f>
        <v>0</v>
      </c>
      <c r="BB51" s="37">
        <f t="shared" si="5"/>
        <v>0</v>
      </c>
    </row>
    <row r="52" spans="1:54" hidden="1" outlineLevel="1" x14ac:dyDescent="0.25">
      <c r="A52" s="19" t="s">
        <v>13</v>
      </c>
      <c r="B52" s="62">
        <v>69.83</v>
      </c>
      <c r="C52" s="20">
        <f>IF(AND(B5=0,B52&gt;=0),,B52/B5)</f>
        <v>2.6301164720130639E-4</v>
      </c>
      <c r="D52" s="37">
        <f>IF(AND(B124=0,B52&gt;=0),"Validar",B52/B124)</f>
        <v>9.6299256662962503E-4</v>
      </c>
      <c r="E52" s="62"/>
      <c r="F52" s="20">
        <f>IF(AND(E5=0,E52&gt;=0),,E52/E5)</f>
        <v>0</v>
      </c>
      <c r="G52" s="20">
        <f>IF(AND(E124=0,E52&gt;=0),"Validar",E52/E124)</f>
        <v>0</v>
      </c>
      <c r="I52" s="20">
        <f>IF(AND(H5=0,H52&gt;=0),,H52/H5)</f>
        <v>0</v>
      </c>
      <c r="J52" s="20">
        <f>IF(AND(H124=0,H52&gt;=0),,H52/H124)</f>
        <v>0</v>
      </c>
      <c r="K52" s="20">
        <f t="shared" si="1"/>
        <v>0</v>
      </c>
      <c r="L52" s="53">
        <f t="shared" si="13"/>
        <v>0</v>
      </c>
      <c r="M52" s="20">
        <f>IF(AND(L5=0,L52&gt;=0),,L52/L5)</f>
        <v>0</v>
      </c>
      <c r="N52" s="37">
        <f>IF(AND(L124=0,L52&gt;=0),,L52/L124)</f>
        <v>0</v>
      </c>
      <c r="O52" s="62"/>
      <c r="P52" s="20">
        <f>IF(AND(O5=0,O52&gt;=0),,O52/O5)</f>
        <v>0</v>
      </c>
      <c r="Q52" s="20">
        <f>IF(AND(O124=0,O52&gt;=0),,O52/O124)</f>
        <v>0</v>
      </c>
      <c r="R52" s="20">
        <f t="shared" si="2"/>
        <v>0</v>
      </c>
      <c r="S52" s="53">
        <f t="shared" si="14"/>
        <v>0</v>
      </c>
      <c r="T52" s="20">
        <f>IF(AND(S5=0,S52&gt;=0),,S52/S5)</f>
        <v>0</v>
      </c>
      <c r="U52" s="37">
        <f>IF(AND(S124=0,S52&gt;=0),,S52/S124)</f>
        <v>0</v>
      </c>
      <c r="V52" s="62">
        <f>5*3</f>
        <v>15</v>
      </c>
      <c r="W52" s="20">
        <f>IF(AND(V5=0,V52&gt;=0),,V52/V5)</f>
        <v>2.631578947368421E-4</v>
      </c>
      <c r="X52" s="37">
        <f t="shared" si="3"/>
        <v>-1</v>
      </c>
      <c r="Y52" s="62"/>
      <c r="Z52" s="20">
        <f>IF(AND(Y5=0,Y52&gt;=0),,Y52/Y5)</f>
        <v>0</v>
      </c>
      <c r="AA52" s="20">
        <f>IF(AND(Y124=0,Y52&gt;=0),,Y52/Y124)</f>
        <v>0</v>
      </c>
      <c r="AB52" s="20">
        <f t="shared" si="0"/>
        <v>0</v>
      </c>
      <c r="AC52" s="53">
        <f t="shared" si="10"/>
        <v>0</v>
      </c>
      <c r="AD52" s="20">
        <f>IF(AND(AC5=0,AC52&gt;=0),,AC52/AC5)</f>
        <v>0</v>
      </c>
      <c r="AE52" s="37">
        <f>IF(AND(AC124=0,AC52&gt;=0),,AC52/AC124)</f>
        <v>0</v>
      </c>
      <c r="AF52" s="62"/>
      <c r="AG52" s="20">
        <f>IF(AND(AF5=0,AF52&gt;=0),,AF52/AF5)</f>
        <v>0</v>
      </c>
      <c r="AH52" s="20">
        <f>IF(AND(AF124=0,AF52&gt;=0),,AF52/AF124)</f>
        <v>0</v>
      </c>
      <c r="AI52" s="20">
        <f t="shared" si="6"/>
        <v>-1</v>
      </c>
      <c r="AJ52" s="53">
        <f t="shared" si="7"/>
        <v>0</v>
      </c>
      <c r="AK52" s="20">
        <f>IF(AND(AJ5=0,AJ52&gt;=0),,AJ52/AJ5)</f>
        <v>0</v>
      </c>
      <c r="AL52" s="37">
        <f>IF(AND(AJ124=0,AJ52&gt;=0),,AJ52/AJ124)</f>
        <v>0</v>
      </c>
      <c r="AM52" s="62"/>
      <c r="AN52" s="20">
        <f>IF(AND(AM5=0,AM52&gt;=0),,AM52/AM5)</f>
        <v>0</v>
      </c>
      <c r="AO52" s="20">
        <f>IF(AND(AM124=0,AM52&gt;=0),,AM52/AM124)</f>
        <v>0</v>
      </c>
      <c r="AP52" s="20">
        <f t="shared" si="8"/>
        <v>0</v>
      </c>
      <c r="AQ52" s="53">
        <f t="shared" si="9"/>
        <v>0</v>
      </c>
      <c r="AR52" s="20">
        <f>IF(AND(AQ5=0,AQ52&gt;=0),,AQ52/AQ5)</f>
        <v>0</v>
      </c>
      <c r="AS52" s="37">
        <f>IF(AND(AQ124=0,AQ52&gt;=0),,AQ52/AQ124)</f>
        <v>0</v>
      </c>
      <c r="AT52" s="62">
        <f t="shared" si="11"/>
        <v>30</v>
      </c>
      <c r="AU52" s="20">
        <f>IF(AND(AT5=0,AT52&gt;=0),,AT52/AT5)</f>
        <v>2.631578947368421E-4</v>
      </c>
      <c r="AV52" s="37">
        <f t="shared" si="4"/>
        <v>-1</v>
      </c>
      <c r="AW52" s="62">
        <f t="shared" si="16"/>
        <v>5</v>
      </c>
      <c r="AX52" s="20">
        <f>IF(AND(AW5=0,AW52&gt;=0),,AW52/AW5)</f>
        <v>1.7241379310344826E-4</v>
      </c>
      <c r="AY52" s="37">
        <f>IF(AND(AW124=0,AW52&gt;=0),,AW52/AW124)</f>
        <v>6.6337362104525405E-4</v>
      </c>
      <c r="AZ52" s="62">
        <f t="shared" si="12"/>
        <v>5</v>
      </c>
      <c r="BA52" s="20">
        <f>IF(AND(AZ5=0,AZ52&gt;=0),,AZ52/AZ5)</f>
        <v>2.631578947368421E-4</v>
      </c>
      <c r="BB52" s="37">
        <f t="shared" si="5"/>
        <v>0</v>
      </c>
    </row>
    <row r="53" spans="1:54" hidden="1" outlineLevel="1" x14ac:dyDescent="0.25">
      <c r="A53" s="19" t="s">
        <v>14</v>
      </c>
      <c r="B53" s="62"/>
      <c r="C53" s="20">
        <f>IF(AND(B5=0,B53&gt;=0),,B53/B5)</f>
        <v>0</v>
      </c>
      <c r="D53" s="37">
        <f>IF(AND(B124=0,B53&gt;=0),"Validar",B53/B124)</f>
        <v>0</v>
      </c>
      <c r="E53" s="62"/>
      <c r="F53" s="20">
        <f>IF(AND(E5=0,E53&gt;=0),,E53/E5)</f>
        <v>0</v>
      </c>
      <c r="G53" s="20">
        <f>IF(AND(E124=0,E53&gt;=0),"Validar",E53/E124)</f>
        <v>0</v>
      </c>
      <c r="I53" s="20">
        <f>IF(AND(H5=0,H53&gt;=0),,H53/H5)</f>
        <v>0</v>
      </c>
      <c r="J53" s="20">
        <f>IF(AND(H124=0,H53&gt;=0),,H53/H124)</f>
        <v>0</v>
      </c>
      <c r="K53" s="20">
        <f t="shared" si="1"/>
        <v>0</v>
      </c>
      <c r="L53" s="53">
        <f t="shared" si="13"/>
        <v>0</v>
      </c>
      <c r="M53" s="20">
        <f>IF(AND(L5=0,L53&gt;=0),,L53/L5)</f>
        <v>0</v>
      </c>
      <c r="N53" s="37">
        <f>IF(AND(L124=0,L53&gt;=0),,L53/L124)</f>
        <v>0</v>
      </c>
      <c r="O53" s="62"/>
      <c r="P53" s="20">
        <f>IF(AND(O5=0,O53&gt;=0),,O53/O5)</f>
        <v>0</v>
      </c>
      <c r="Q53" s="20">
        <f>IF(AND(O124=0,O53&gt;=0),,O53/O124)</f>
        <v>0</v>
      </c>
      <c r="R53" s="20">
        <f t="shared" si="2"/>
        <v>0</v>
      </c>
      <c r="S53" s="53">
        <f t="shared" si="14"/>
        <v>0</v>
      </c>
      <c r="T53" s="20">
        <f>IF(AND(S5=0,S53&gt;=0),,S53/S5)</f>
        <v>0</v>
      </c>
      <c r="U53" s="37">
        <f>IF(AND(S124=0,S53&gt;=0),,S53/S124)</f>
        <v>0</v>
      </c>
      <c r="V53" s="62"/>
      <c r="W53" s="20">
        <f>IF(AND(V5=0,V53&gt;=0),,V53/V5)</f>
        <v>0</v>
      </c>
      <c r="X53" s="37">
        <f t="shared" si="3"/>
        <v>0</v>
      </c>
      <c r="Y53" s="62"/>
      <c r="Z53" s="20">
        <f>IF(AND(Y5=0,Y53&gt;=0),,Y53/Y5)</f>
        <v>0</v>
      </c>
      <c r="AA53" s="20">
        <f>IF(AND(Y124=0,Y53&gt;=0),,Y53/Y124)</f>
        <v>0</v>
      </c>
      <c r="AB53" s="20">
        <f t="shared" si="0"/>
        <v>0</v>
      </c>
      <c r="AC53" s="53">
        <f t="shared" si="10"/>
        <v>0</v>
      </c>
      <c r="AD53" s="20">
        <f>IF(AND(AC5=0,AC53&gt;=0),,AC53/AC5)</f>
        <v>0</v>
      </c>
      <c r="AE53" s="37">
        <f>IF(AND(AC124=0,AC53&gt;=0),,AC53/AC124)</f>
        <v>0</v>
      </c>
      <c r="AF53" s="62"/>
      <c r="AG53" s="20">
        <f>IF(AND(AF5=0,AF53&gt;=0),,AF53/AF5)</f>
        <v>0</v>
      </c>
      <c r="AH53" s="20">
        <f>IF(AND(AF124=0,AF53&gt;=0),,AF53/AF124)</f>
        <v>0</v>
      </c>
      <c r="AI53" s="20">
        <f t="shared" si="6"/>
        <v>0</v>
      </c>
      <c r="AJ53" s="53">
        <f t="shared" si="7"/>
        <v>0</v>
      </c>
      <c r="AK53" s="20">
        <f>IF(AND(AJ5=0,AJ53&gt;=0),,AJ53/AJ5)</f>
        <v>0</v>
      </c>
      <c r="AL53" s="37">
        <f>IF(AND(AJ124=0,AJ53&gt;=0),,AJ53/AJ124)</f>
        <v>0</v>
      </c>
      <c r="AM53" s="62"/>
      <c r="AN53" s="20">
        <f>IF(AND(AM5=0,AM53&gt;=0),,AM53/AM5)</f>
        <v>0</v>
      </c>
      <c r="AO53" s="20">
        <f>IF(AND(AM124=0,AM53&gt;=0),,AM53/AM124)</f>
        <v>0</v>
      </c>
      <c r="AP53" s="20">
        <f t="shared" si="8"/>
        <v>0</v>
      </c>
      <c r="AQ53" s="53">
        <f t="shared" si="9"/>
        <v>0</v>
      </c>
      <c r="AR53" s="20">
        <f>IF(AND(AQ5=0,AQ53&gt;=0),,AQ53/AQ5)</f>
        <v>0</v>
      </c>
      <c r="AS53" s="37">
        <f>IF(AND(AQ124=0,AQ53&gt;=0),,AQ53/AQ124)</f>
        <v>0</v>
      </c>
      <c r="AT53" s="62">
        <f t="shared" si="11"/>
        <v>0</v>
      </c>
      <c r="AU53" s="20">
        <f>IF(AND(AT5=0,AT53&gt;=0),,AT53/AT5)</f>
        <v>0</v>
      </c>
      <c r="AV53" s="37">
        <f t="shared" si="4"/>
        <v>0</v>
      </c>
      <c r="AW53" s="62">
        <f t="shared" si="16"/>
        <v>0</v>
      </c>
      <c r="AX53" s="20">
        <f>IF(AND(AW5=0,AW53&gt;=0),,AW53/AW5)</f>
        <v>0</v>
      </c>
      <c r="AY53" s="37">
        <f>IF(AND(AW124=0,AW53&gt;=0),,AW53/AW124)</f>
        <v>0</v>
      </c>
      <c r="AZ53" s="62">
        <f t="shared" si="12"/>
        <v>0</v>
      </c>
      <c r="BA53" s="20">
        <f>IF(AND(AZ5=0,AZ53&gt;=0),,AZ53/AZ5)</f>
        <v>0</v>
      </c>
      <c r="BB53" s="37">
        <f t="shared" si="5"/>
        <v>0</v>
      </c>
    </row>
    <row r="54" spans="1:54" hidden="1" outlineLevel="1" x14ac:dyDescent="0.25">
      <c r="A54" s="19" t="s">
        <v>15</v>
      </c>
      <c r="B54" s="62">
        <v>977.2</v>
      </c>
      <c r="C54" s="20">
        <f>IF(AND(B5=0,B54&gt;=0),,B54/B5)</f>
        <v>3.6805811491496003E-3</v>
      </c>
      <c r="D54" s="37">
        <f>IF(AND(B124=0,B54&gt;=0),"Validar",B54/B124)</f>
        <v>1.3476103911076466E-2</v>
      </c>
      <c r="E54" s="62"/>
      <c r="F54" s="20">
        <f>IF(AND(E5=0,E54&gt;=0),,E54/E5)</f>
        <v>0</v>
      </c>
      <c r="G54" s="20">
        <f>IF(AND(E124=0,E54&gt;=0),"Validar",E54/E124)</f>
        <v>0</v>
      </c>
      <c r="I54" s="20">
        <f>IF(AND(H5=0,H54&gt;=0),,H54/H5)</f>
        <v>0</v>
      </c>
      <c r="J54" s="20">
        <f>IF(AND(H124=0,H54&gt;=0),,H54/H124)</f>
        <v>0</v>
      </c>
      <c r="K54" s="20">
        <f t="shared" si="1"/>
        <v>0</v>
      </c>
      <c r="L54" s="53">
        <f t="shared" si="13"/>
        <v>0</v>
      </c>
      <c r="M54" s="20">
        <f>IF(AND(L5=0,L54&gt;=0),,L54/L5)</f>
        <v>0</v>
      </c>
      <c r="N54" s="37">
        <f>IF(AND(L124=0,L54&gt;=0),,L54/L124)</f>
        <v>0</v>
      </c>
      <c r="O54" s="62"/>
      <c r="P54" s="20">
        <f>IF(AND(O5=0,O54&gt;=0),,O54/O5)</f>
        <v>0</v>
      </c>
      <c r="Q54" s="20">
        <f>IF(AND(O124=0,O54&gt;=0),,O54/O124)</f>
        <v>0</v>
      </c>
      <c r="R54" s="20">
        <f t="shared" si="2"/>
        <v>0</v>
      </c>
      <c r="S54" s="53">
        <f t="shared" si="14"/>
        <v>0</v>
      </c>
      <c r="T54" s="20">
        <f>IF(AND(S5=0,S54&gt;=0),,S54/S5)</f>
        <v>0</v>
      </c>
      <c r="U54" s="37">
        <f>IF(AND(S124=0,S54&gt;=0),,S54/S124)</f>
        <v>0</v>
      </c>
      <c r="V54" s="62">
        <f>50*3</f>
        <v>150</v>
      </c>
      <c r="W54" s="20">
        <f>IF(AND(V5=0,V54&gt;=0),,V54/V5)</f>
        <v>2.631578947368421E-3</v>
      </c>
      <c r="X54" s="37">
        <f t="shared" si="3"/>
        <v>-1</v>
      </c>
      <c r="Y54" s="62"/>
      <c r="Z54" s="20">
        <f>IF(AND(Y5=0,Y54&gt;=0),,Y54/Y5)</f>
        <v>0</v>
      </c>
      <c r="AA54" s="20">
        <f>IF(AND(Y124=0,Y54&gt;=0),,Y54/Y124)</f>
        <v>0</v>
      </c>
      <c r="AB54" s="20">
        <f t="shared" si="0"/>
        <v>0</v>
      </c>
      <c r="AC54" s="53">
        <f t="shared" si="10"/>
        <v>0</v>
      </c>
      <c r="AD54" s="20">
        <f>IF(AND(AC5=0,AC54&gt;=0),,AC54/AC5)</f>
        <v>0</v>
      </c>
      <c r="AE54" s="37">
        <f>IF(AND(AC124=0,AC54&gt;=0),,AC54/AC124)</f>
        <v>0</v>
      </c>
      <c r="AF54" s="62"/>
      <c r="AG54" s="20">
        <f>IF(AND(AF5=0,AF54&gt;=0),,AF54/AF5)</f>
        <v>0</v>
      </c>
      <c r="AH54" s="20">
        <f>IF(AND(AF124=0,AF54&gt;=0),,AF54/AF124)</f>
        <v>0</v>
      </c>
      <c r="AI54" s="20">
        <f t="shared" si="6"/>
        <v>-1</v>
      </c>
      <c r="AJ54" s="53">
        <f t="shared" si="7"/>
        <v>0</v>
      </c>
      <c r="AK54" s="20">
        <f>IF(AND(AJ5=0,AJ54&gt;=0),,AJ54/AJ5)</f>
        <v>0</v>
      </c>
      <c r="AL54" s="37">
        <f>IF(AND(AJ124=0,AJ54&gt;=0),,AJ54/AJ124)</f>
        <v>0</v>
      </c>
      <c r="AM54" s="62"/>
      <c r="AN54" s="20">
        <f>IF(AND(AM5=0,AM54&gt;=0),,AM54/AM5)</f>
        <v>0</v>
      </c>
      <c r="AO54" s="20">
        <f>IF(AND(AM124=0,AM54&gt;=0),,AM54/AM124)</f>
        <v>0</v>
      </c>
      <c r="AP54" s="20">
        <f t="shared" si="8"/>
        <v>0</v>
      </c>
      <c r="AQ54" s="53">
        <f t="shared" si="9"/>
        <v>0</v>
      </c>
      <c r="AR54" s="20">
        <f>IF(AND(AQ5=0,AQ54&gt;=0),,AQ54/AQ5)</f>
        <v>0</v>
      </c>
      <c r="AS54" s="37">
        <f>IF(AND(AQ124=0,AQ54&gt;=0),,AQ54/AQ124)</f>
        <v>0</v>
      </c>
      <c r="AT54" s="62">
        <f t="shared" si="11"/>
        <v>300</v>
      </c>
      <c r="AU54" s="20">
        <f>IF(AND(AT5=0,AT54&gt;=0),,AT54/AT5)</f>
        <v>2.631578947368421E-3</v>
      </c>
      <c r="AV54" s="37">
        <f t="shared" si="4"/>
        <v>-1</v>
      </c>
      <c r="AW54" s="62">
        <f t="shared" si="16"/>
        <v>50</v>
      </c>
      <c r="AX54" s="20">
        <f>IF(AND(AW5=0,AW54&gt;=0),,AW54/AW5)</f>
        <v>1.7241379310344827E-3</v>
      </c>
      <c r="AY54" s="37">
        <f>IF(AND(AW124=0,AW54&gt;=0),,AW54/AW124)</f>
        <v>6.6337362104525403E-3</v>
      </c>
      <c r="AZ54" s="62">
        <f t="shared" si="12"/>
        <v>50</v>
      </c>
      <c r="BA54" s="20">
        <f>IF(AND(AZ5=0,AZ54&gt;=0),,AZ54/AZ5)</f>
        <v>2.631578947368421E-3</v>
      </c>
      <c r="BB54" s="37">
        <f t="shared" si="5"/>
        <v>0</v>
      </c>
    </row>
    <row r="55" spans="1:54" hidden="1" outlineLevel="1" x14ac:dyDescent="0.25">
      <c r="A55" s="19" t="s">
        <v>16</v>
      </c>
      <c r="B55" s="62">
        <v>0.41</v>
      </c>
      <c r="C55" s="20">
        <f>IF(AND(B5=0,B55&gt;=0),,B55/B5)</f>
        <v>1.544247105148727E-6</v>
      </c>
      <c r="D55" s="37">
        <f>IF(AND(B124=0,B55&gt;=0),"Validar",B55/B124)</f>
        <v>5.6541164588020368E-6</v>
      </c>
      <c r="E55" s="62"/>
      <c r="F55" s="20">
        <f>IF(AND(E5=0,E55&gt;=0),,E55/E5)</f>
        <v>0</v>
      </c>
      <c r="G55" s="20">
        <f>IF(AND(E124=0,E55&gt;=0),"Validar",E55/E124)</f>
        <v>0</v>
      </c>
      <c r="I55" s="20">
        <f>IF(AND(H5=0,H55&gt;=0),,H55/H5)</f>
        <v>0</v>
      </c>
      <c r="J55" s="20">
        <f>IF(AND(H124=0,H55&gt;=0),,H55/H124)</f>
        <v>0</v>
      </c>
      <c r="K55" s="20">
        <f t="shared" si="1"/>
        <v>0</v>
      </c>
      <c r="L55" s="53">
        <f t="shared" si="13"/>
        <v>0</v>
      </c>
      <c r="M55" s="20">
        <f>IF(AND(L5=0,L55&gt;=0),,L55/L5)</f>
        <v>0</v>
      </c>
      <c r="N55" s="37">
        <f>IF(AND(L124=0,L55&gt;=0),,L55/L124)</f>
        <v>0</v>
      </c>
      <c r="O55" s="62"/>
      <c r="P55" s="20">
        <f>IF(AND(O5=0,O55&gt;=0),,O55/O5)</f>
        <v>0</v>
      </c>
      <c r="Q55" s="20">
        <f>IF(AND(O124=0,O55&gt;=0),,O55/O124)</f>
        <v>0</v>
      </c>
      <c r="R55" s="20">
        <f t="shared" si="2"/>
        <v>0</v>
      </c>
      <c r="S55" s="53">
        <f t="shared" si="14"/>
        <v>0</v>
      </c>
      <c r="T55" s="20">
        <f>IF(AND(S5=0,S55&gt;=0),,S55/S5)</f>
        <v>0</v>
      </c>
      <c r="U55" s="37">
        <f>IF(AND(S124=0,S55&gt;=0),,S55/S124)</f>
        <v>0</v>
      </c>
      <c r="V55" s="62"/>
      <c r="W55" s="20">
        <f>IF(AND(V5=0,V55&gt;=0),,V55/V5)</f>
        <v>0</v>
      </c>
      <c r="X55" s="37">
        <f t="shared" si="3"/>
        <v>0</v>
      </c>
      <c r="Y55" s="62"/>
      <c r="Z55" s="20">
        <f>IF(AND(Y5=0,Y55&gt;=0),,Y55/Y5)</f>
        <v>0</v>
      </c>
      <c r="AA55" s="20">
        <f>IF(AND(Y124=0,Y55&gt;=0),,Y55/Y124)</f>
        <v>0</v>
      </c>
      <c r="AB55" s="20">
        <f t="shared" si="0"/>
        <v>0</v>
      </c>
      <c r="AC55" s="53">
        <f t="shared" si="10"/>
        <v>0</v>
      </c>
      <c r="AD55" s="20">
        <f>IF(AND(AC5=0,AC55&gt;=0),,AC55/AC5)</f>
        <v>0</v>
      </c>
      <c r="AE55" s="37">
        <f>IF(AND(AC124=0,AC55&gt;=0),,AC55/AC124)</f>
        <v>0</v>
      </c>
      <c r="AF55" s="62"/>
      <c r="AG55" s="20">
        <f>IF(AND(AF5=0,AF55&gt;=0),,AF55/AF5)</f>
        <v>0</v>
      </c>
      <c r="AH55" s="20">
        <f>IF(AND(AF124=0,AF55&gt;=0),,AF55/AF124)</f>
        <v>0</v>
      </c>
      <c r="AI55" s="20">
        <f t="shared" si="6"/>
        <v>0</v>
      </c>
      <c r="AJ55" s="53">
        <f t="shared" si="7"/>
        <v>0</v>
      </c>
      <c r="AK55" s="20">
        <f>IF(AND(AJ5=0,AJ55&gt;=0),,AJ55/AJ5)</f>
        <v>0</v>
      </c>
      <c r="AL55" s="37">
        <f>IF(AND(AJ124=0,AJ55&gt;=0),,AJ55/AJ124)</f>
        <v>0</v>
      </c>
      <c r="AM55" s="62"/>
      <c r="AN55" s="20">
        <f>IF(AND(AM5=0,AM55&gt;=0),,AM55/AM5)</f>
        <v>0</v>
      </c>
      <c r="AO55" s="20">
        <f>IF(AND(AM124=0,AM55&gt;=0),,AM55/AM124)</f>
        <v>0</v>
      </c>
      <c r="AP55" s="20">
        <f t="shared" si="8"/>
        <v>0</v>
      </c>
      <c r="AQ55" s="53">
        <f t="shared" si="9"/>
        <v>0</v>
      </c>
      <c r="AR55" s="20">
        <f>IF(AND(AQ5=0,AQ55&gt;=0),,AQ55/AQ5)</f>
        <v>0</v>
      </c>
      <c r="AS55" s="37">
        <f>IF(AND(AQ124=0,AQ55&gt;=0),,AQ55/AQ124)</f>
        <v>0</v>
      </c>
      <c r="AT55" s="62">
        <f t="shared" si="11"/>
        <v>0</v>
      </c>
      <c r="AU55" s="20">
        <f>IF(AND(AT5=0,AT55&gt;=0),,AT55/AT5)</f>
        <v>0</v>
      </c>
      <c r="AV55" s="37">
        <f t="shared" si="4"/>
        <v>0</v>
      </c>
      <c r="AW55" s="62">
        <f t="shared" si="16"/>
        <v>0</v>
      </c>
      <c r="AX55" s="20">
        <f>IF(AND(AW5=0,AW55&gt;=0),,AW55/AW5)</f>
        <v>0</v>
      </c>
      <c r="AY55" s="37">
        <f>IF(AND(AW124=0,AW55&gt;=0),,AW55/AW124)</f>
        <v>0</v>
      </c>
      <c r="AZ55" s="62">
        <f t="shared" si="12"/>
        <v>0</v>
      </c>
      <c r="BA55" s="20">
        <f>IF(AND(AZ5=0,AZ55&gt;=0),,AZ55/AZ5)</f>
        <v>0</v>
      </c>
      <c r="BB55" s="37">
        <f t="shared" si="5"/>
        <v>0</v>
      </c>
    </row>
    <row r="56" spans="1:54" hidden="1" outlineLevel="1" x14ac:dyDescent="0.25">
      <c r="A56" s="19" t="s">
        <v>17</v>
      </c>
      <c r="B56" s="62"/>
      <c r="C56" s="20">
        <f>IF(AND(B5=0,B56&gt;=0),,B56/B5)</f>
        <v>0</v>
      </c>
      <c r="D56" s="37">
        <f>IF(AND(B124=0,B56&gt;=0),"Validar",B56/B124)</f>
        <v>0</v>
      </c>
      <c r="E56" s="62"/>
      <c r="F56" s="20">
        <f>IF(AND(E5=0,E56&gt;=0),,E56/E5)</f>
        <v>0</v>
      </c>
      <c r="G56" s="20">
        <f>IF(AND(E124=0,E56&gt;=0),"Validar",E56/E124)</f>
        <v>0</v>
      </c>
      <c r="I56" s="20">
        <f>IF(AND(H5=0,H56&gt;=0),,H56/H5)</f>
        <v>0</v>
      </c>
      <c r="J56" s="20">
        <f>IF(AND(H124=0,H56&gt;=0),,H56/H124)</f>
        <v>0</v>
      </c>
      <c r="K56" s="20">
        <f t="shared" si="1"/>
        <v>0</v>
      </c>
      <c r="L56" s="53">
        <f t="shared" si="13"/>
        <v>0</v>
      </c>
      <c r="M56" s="20">
        <f>IF(AND(L5=0,L56&gt;=0),,L56/L5)</f>
        <v>0</v>
      </c>
      <c r="N56" s="37">
        <f>IF(AND(L124=0,L56&gt;=0),,L56/L124)</f>
        <v>0</v>
      </c>
      <c r="O56" s="62"/>
      <c r="P56" s="20">
        <f>IF(AND(O5=0,O56&gt;=0),,O56/O5)</f>
        <v>0</v>
      </c>
      <c r="Q56" s="20">
        <f>IF(AND(O124=0,O56&gt;=0),,O56/O124)</f>
        <v>0</v>
      </c>
      <c r="R56" s="20">
        <f t="shared" si="2"/>
        <v>0</v>
      </c>
      <c r="S56" s="53">
        <f t="shared" si="14"/>
        <v>0</v>
      </c>
      <c r="T56" s="20">
        <f>IF(AND(S5=0,S56&gt;=0),,S56/S5)</f>
        <v>0</v>
      </c>
      <c r="U56" s="37">
        <f>IF(AND(S124=0,S56&gt;=0),,S56/S124)</f>
        <v>0</v>
      </c>
      <c r="V56" s="62"/>
      <c r="W56" s="20">
        <f>IF(AND(V5=0,V56&gt;=0),,V56/V5)</f>
        <v>0</v>
      </c>
      <c r="X56" s="37">
        <f t="shared" si="3"/>
        <v>0</v>
      </c>
      <c r="Y56" s="62"/>
      <c r="Z56" s="20">
        <f>IF(AND(Y5=0,Y56&gt;=0),,Y56/Y5)</f>
        <v>0</v>
      </c>
      <c r="AA56" s="20">
        <f>IF(AND(Y124=0,Y56&gt;=0),,Y56/Y124)</f>
        <v>0</v>
      </c>
      <c r="AB56" s="20">
        <f t="shared" si="0"/>
        <v>0</v>
      </c>
      <c r="AC56" s="53">
        <f t="shared" si="10"/>
        <v>0</v>
      </c>
      <c r="AD56" s="20">
        <f>IF(AND(AC5=0,AC56&gt;=0),,AC56/AC5)</f>
        <v>0</v>
      </c>
      <c r="AE56" s="37">
        <f>IF(AND(AC124=0,AC56&gt;=0),,AC56/AC124)</f>
        <v>0</v>
      </c>
      <c r="AF56" s="62"/>
      <c r="AG56" s="20">
        <f>IF(AND(AF5=0,AF56&gt;=0),,AF56/AF5)</f>
        <v>0</v>
      </c>
      <c r="AH56" s="20">
        <f>IF(AND(AF124=0,AF56&gt;=0),,AF56/AF124)</f>
        <v>0</v>
      </c>
      <c r="AI56" s="20">
        <f t="shared" si="6"/>
        <v>0</v>
      </c>
      <c r="AJ56" s="53">
        <f t="shared" si="7"/>
        <v>0</v>
      </c>
      <c r="AK56" s="20">
        <f>IF(AND(AJ5=0,AJ56&gt;=0),,AJ56/AJ5)</f>
        <v>0</v>
      </c>
      <c r="AL56" s="37">
        <f>IF(AND(AJ124=0,AJ56&gt;=0),,AJ56/AJ124)</f>
        <v>0</v>
      </c>
      <c r="AM56" s="62"/>
      <c r="AN56" s="20">
        <f>IF(AND(AM5=0,AM56&gt;=0),,AM56/AM5)</f>
        <v>0</v>
      </c>
      <c r="AO56" s="20">
        <f>IF(AND(AM124=0,AM56&gt;=0),,AM56/AM124)</f>
        <v>0</v>
      </c>
      <c r="AP56" s="20">
        <f t="shared" si="8"/>
        <v>0</v>
      </c>
      <c r="AQ56" s="53">
        <f t="shared" si="9"/>
        <v>0</v>
      </c>
      <c r="AR56" s="20">
        <f>IF(AND(AQ5=0,AQ56&gt;=0),,AQ56/AQ5)</f>
        <v>0</v>
      </c>
      <c r="AS56" s="37">
        <f>IF(AND(AQ124=0,AQ56&gt;=0),,AQ56/AQ124)</f>
        <v>0</v>
      </c>
      <c r="AT56" s="62">
        <f t="shared" si="11"/>
        <v>0</v>
      </c>
      <c r="AU56" s="20">
        <f>IF(AND(AT5=0,AT56&gt;=0),,AT56/AT5)</f>
        <v>0</v>
      </c>
      <c r="AV56" s="37">
        <f t="shared" si="4"/>
        <v>0</v>
      </c>
      <c r="AW56" s="62">
        <f t="shared" si="16"/>
        <v>0</v>
      </c>
      <c r="AX56" s="20">
        <f>IF(AND(AW5=0,AW56&gt;=0),,AW56/AW5)</f>
        <v>0</v>
      </c>
      <c r="AY56" s="37">
        <f>IF(AND(AW124=0,AW56&gt;=0),,AW56/AW124)</f>
        <v>0</v>
      </c>
      <c r="AZ56" s="62">
        <f t="shared" si="12"/>
        <v>0</v>
      </c>
      <c r="BA56" s="20">
        <f>IF(AND(AZ5=0,AZ56&gt;=0),,AZ56/AZ5)</f>
        <v>0</v>
      </c>
      <c r="BB56" s="37">
        <f t="shared" si="5"/>
        <v>0</v>
      </c>
    </row>
    <row r="57" spans="1:54" hidden="1" outlineLevel="1" x14ac:dyDescent="0.25">
      <c r="A57" s="19" t="s">
        <v>18</v>
      </c>
      <c r="B57" s="62"/>
      <c r="C57" s="20">
        <f>IF(AND(B5=0,B57&gt;=0),,B57/B5)</f>
        <v>0</v>
      </c>
      <c r="D57" s="37">
        <f>IF(AND(B124=0,B57&gt;=0),"Validar",B57/B124)</f>
        <v>0</v>
      </c>
      <c r="E57" s="62"/>
      <c r="F57" s="20">
        <f>IF(AND(E5=0,E57&gt;=0),,E57/E5)</f>
        <v>0</v>
      </c>
      <c r="G57" s="20">
        <f>IF(AND(E124=0,E57&gt;=0),"Validar",E57/E124)</f>
        <v>0</v>
      </c>
      <c r="I57" s="20">
        <f>IF(AND(H5=0,H57&gt;=0),,H57/H5)</f>
        <v>0</v>
      </c>
      <c r="J57" s="20">
        <f>IF(AND(H124=0,H57&gt;=0),,H57/H124)</f>
        <v>0</v>
      </c>
      <c r="K57" s="20">
        <f t="shared" si="1"/>
        <v>0</v>
      </c>
      <c r="L57" s="53">
        <f t="shared" si="13"/>
        <v>0</v>
      </c>
      <c r="M57" s="20">
        <f>IF(AND(L5=0,L57&gt;=0),,L57/L5)</f>
        <v>0</v>
      </c>
      <c r="N57" s="37">
        <f>IF(AND(L124=0,L57&gt;=0),,L57/L124)</f>
        <v>0</v>
      </c>
      <c r="O57" s="62"/>
      <c r="P57" s="20">
        <f>IF(AND(O5=0,O57&gt;=0),,O57/O5)</f>
        <v>0</v>
      </c>
      <c r="Q57" s="20">
        <f>IF(AND(O124=0,O57&gt;=0),,O57/O124)</f>
        <v>0</v>
      </c>
      <c r="R57" s="20">
        <f t="shared" si="2"/>
        <v>0</v>
      </c>
      <c r="S57" s="53">
        <f t="shared" si="14"/>
        <v>0</v>
      </c>
      <c r="T57" s="20">
        <f>IF(AND(S5=0,S57&gt;=0),,S57/S5)</f>
        <v>0</v>
      </c>
      <c r="U57" s="37">
        <f>IF(AND(S124=0,S57&gt;=0),,S57/S124)</f>
        <v>0</v>
      </c>
      <c r="V57" s="62"/>
      <c r="W57" s="20">
        <f>IF(AND(V5=0,V57&gt;=0),,V57/V5)</f>
        <v>0</v>
      </c>
      <c r="X57" s="37">
        <f t="shared" si="3"/>
        <v>0</v>
      </c>
      <c r="Y57" s="62"/>
      <c r="Z57" s="20">
        <f>IF(AND(Y5=0,Y57&gt;=0),,Y57/Y5)</f>
        <v>0</v>
      </c>
      <c r="AA57" s="20">
        <f>IF(AND(Y124=0,Y57&gt;=0),,Y57/Y124)</f>
        <v>0</v>
      </c>
      <c r="AB57" s="20">
        <f t="shared" si="0"/>
        <v>0</v>
      </c>
      <c r="AC57" s="53">
        <f t="shared" si="10"/>
        <v>0</v>
      </c>
      <c r="AD57" s="20">
        <f>IF(AND(AC5=0,AC57&gt;=0),,AC57/AC5)</f>
        <v>0</v>
      </c>
      <c r="AE57" s="37">
        <f>IF(AND(AC124=0,AC57&gt;=0),,AC57/AC124)</f>
        <v>0</v>
      </c>
      <c r="AF57" s="62"/>
      <c r="AG57" s="20">
        <f>IF(AND(AF5=0,AF57&gt;=0),,AF57/AF5)</f>
        <v>0</v>
      </c>
      <c r="AH57" s="20">
        <f>IF(AND(AF124=0,AF57&gt;=0),,AF57/AF124)</f>
        <v>0</v>
      </c>
      <c r="AI57" s="20">
        <f t="shared" si="6"/>
        <v>0</v>
      </c>
      <c r="AJ57" s="53">
        <f t="shared" si="7"/>
        <v>0</v>
      </c>
      <c r="AK57" s="20">
        <f>IF(AND(AJ5=0,AJ57&gt;=0),,AJ57/AJ5)</f>
        <v>0</v>
      </c>
      <c r="AL57" s="37">
        <f>IF(AND(AJ124=0,AJ57&gt;=0),,AJ57/AJ124)</f>
        <v>0</v>
      </c>
      <c r="AM57" s="62"/>
      <c r="AN57" s="20">
        <f>IF(AND(AM5=0,AM57&gt;=0),,AM57/AM5)</f>
        <v>0</v>
      </c>
      <c r="AO57" s="20">
        <f>IF(AND(AM124=0,AM57&gt;=0),,AM57/AM124)</f>
        <v>0</v>
      </c>
      <c r="AP57" s="20">
        <f t="shared" si="8"/>
        <v>0</v>
      </c>
      <c r="AQ57" s="53">
        <f t="shared" si="9"/>
        <v>0</v>
      </c>
      <c r="AR57" s="20">
        <f>IF(AND(AQ5=0,AQ57&gt;=0),,AQ57/AQ5)</f>
        <v>0</v>
      </c>
      <c r="AS57" s="37">
        <f>IF(AND(AQ124=0,AQ57&gt;=0),,AQ57/AQ124)</f>
        <v>0</v>
      </c>
      <c r="AT57" s="62">
        <f t="shared" si="11"/>
        <v>0</v>
      </c>
      <c r="AU57" s="20">
        <f>IF(AND(AT5=0,AT57&gt;=0),,AT57/AT5)</f>
        <v>0</v>
      </c>
      <c r="AV57" s="37">
        <f t="shared" si="4"/>
        <v>0</v>
      </c>
      <c r="AW57" s="62">
        <f t="shared" si="16"/>
        <v>0</v>
      </c>
      <c r="AX57" s="20">
        <f>IF(AND(AW5=0,AW57&gt;=0),,AW57/AW5)</f>
        <v>0</v>
      </c>
      <c r="AY57" s="37">
        <f>IF(AND(AW124=0,AW57&gt;=0),,AW57/AW124)</f>
        <v>0</v>
      </c>
      <c r="AZ57" s="62">
        <f t="shared" si="12"/>
        <v>0</v>
      </c>
      <c r="BA57" s="20">
        <f>IF(AND(AZ5=0,AZ57&gt;=0),,AZ57/AZ5)</f>
        <v>0</v>
      </c>
      <c r="BB57" s="37">
        <f t="shared" si="5"/>
        <v>0</v>
      </c>
    </row>
    <row r="58" spans="1:54" hidden="1" outlineLevel="1" x14ac:dyDescent="0.25">
      <c r="A58" s="19" t="s">
        <v>19</v>
      </c>
      <c r="B58" s="62"/>
      <c r="C58" s="20">
        <f>IF(AND(B5=0,B58&gt;=0),,B58/B5)</f>
        <v>0</v>
      </c>
      <c r="D58" s="37">
        <f>IF(AND(B124=0,B58&gt;=0),"Validar",B58/B124)</f>
        <v>0</v>
      </c>
      <c r="E58" s="62"/>
      <c r="F58" s="20">
        <f>IF(AND(E5=0,E58&gt;=0),,E58/E5)</f>
        <v>0</v>
      </c>
      <c r="G58" s="20">
        <f>IF(AND(E124=0,E58&gt;=0),"Validar",E58/E124)</f>
        <v>0</v>
      </c>
      <c r="I58" s="20">
        <f>IF(AND(H5=0,H58&gt;=0),,H58/H5)</f>
        <v>0</v>
      </c>
      <c r="J58" s="20">
        <f>IF(AND(H124=0,H58&gt;=0),,H58/H124)</f>
        <v>0</v>
      </c>
      <c r="K58" s="20">
        <f t="shared" si="1"/>
        <v>0</v>
      </c>
      <c r="L58" s="53">
        <f t="shared" si="13"/>
        <v>0</v>
      </c>
      <c r="M58" s="20">
        <f>IF(AND(L5=0,L58&gt;=0),,L58/L5)</f>
        <v>0</v>
      </c>
      <c r="N58" s="37">
        <f>IF(AND(L124=0,L58&gt;=0),,L58/L124)</f>
        <v>0</v>
      </c>
      <c r="O58" s="62"/>
      <c r="P58" s="20">
        <f>IF(AND(O5=0,O58&gt;=0),,O58/O5)</f>
        <v>0</v>
      </c>
      <c r="Q58" s="20">
        <f>IF(AND(O124=0,O58&gt;=0),,O58/O124)</f>
        <v>0</v>
      </c>
      <c r="R58" s="20">
        <f t="shared" si="2"/>
        <v>0</v>
      </c>
      <c r="S58" s="53">
        <f t="shared" si="14"/>
        <v>0</v>
      </c>
      <c r="T58" s="20">
        <f>IF(AND(S5=0,S58&gt;=0),,S58/S5)</f>
        <v>0</v>
      </c>
      <c r="U58" s="37">
        <f>IF(AND(S124=0,S58&gt;=0),,S58/S124)</f>
        <v>0</v>
      </c>
      <c r="V58" s="62"/>
      <c r="W58" s="20">
        <f>IF(AND(V5=0,V58&gt;=0),,V58/V5)</f>
        <v>0</v>
      </c>
      <c r="X58" s="37">
        <f t="shared" si="3"/>
        <v>0</v>
      </c>
      <c r="Y58" s="62"/>
      <c r="Z58" s="20">
        <f>IF(AND(Y5=0,Y58&gt;=0),,Y58/Y5)</f>
        <v>0</v>
      </c>
      <c r="AA58" s="20">
        <f>IF(AND(Y124=0,Y58&gt;=0),,Y58/Y124)</f>
        <v>0</v>
      </c>
      <c r="AB58" s="20">
        <f t="shared" si="0"/>
        <v>0</v>
      </c>
      <c r="AC58" s="53">
        <f t="shared" si="10"/>
        <v>0</v>
      </c>
      <c r="AD58" s="20">
        <f>IF(AND(AC5=0,AC58&gt;=0),,AC58/AC5)</f>
        <v>0</v>
      </c>
      <c r="AE58" s="37">
        <f>IF(AND(AC124=0,AC58&gt;=0),,AC58/AC124)</f>
        <v>0</v>
      </c>
      <c r="AF58" s="62"/>
      <c r="AG58" s="20">
        <f>IF(AND(AF5=0,AF58&gt;=0),,AF58/AF5)</f>
        <v>0</v>
      </c>
      <c r="AH58" s="20">
        <f>IF(AND(AF124=0,AF58&gt;=0),,AF58/AF124)</f>
        <v>0</v>
      </c>
      <c r="AI58" s="20">
        <f t="shared" si="6"/>
        <v>0</v>
      </c>
      <c r="AJ58" s="53">
        <f t="shared" si="7"/>
        <v>0</v>
      </c>
      <c r="AK58" s="20">
        <f>IF(AND(AJ5=0,AJ58&gt;=0),,AJ58/AJ5)</f>
        <v>0</v>
      </c>
      <c r="AL58" s="37">
        <f>IF(AND(AJ124=0,AJ58&gt;=0),,AJ58/AJ124)</f>
        <v>0</v>
      </c>
      <c r="AM58" s="62"/>
      <c r="AN58" s="20">
        <f>IF(AND(AM5=0,AM58&gt;=0),,AM58/AM5)</f>
        <v>0</v>
      </c>
      <c r="AO58" s="20">
        <f>IF(AND(AM124=0,AM58&gt;=0),,AM58/AM124)</f>
        <v>0</v>
      </c>
      <c r="AP58" s="20">
        <f t="shared" si="8"/>
        <v>0</v>
      </c>
      <c r="AQ58" s="53">
        <f t="shared" si="9"/>
        <v>0</v>
      </c>
      <c r="AR58" s="20">
        <f>IF(AND(AQ5=0,AQ58&gt;=0),,AQ58/AQ5)</f>
        <v>0</v>
      </c>
      <c r="AS58" s="37">
        <f>IF(AND(AQ124=0,AQ58&gt;=0),,AQ58/AQ124)</f>
        <v>0</v>
      </c>
      <c r="AT58" s="62">
        <f t="shared" si="11"/>
        <v>0</v>
      </c>
      <c r="AU58" s="20">
        <f>IF(AND(AT5=0,AT58&gt;=0),,AT58/AT5)</f>
        <v>0</v>
      </c>
      <c r="AV58" s="37">
        <f t="shared" si="4"/>
        <v>0</v>
      </c>
      <c r="AW58" s="62">
        <f t="shared" si="16"/>
        <v>0</v>
      </c>
      <c r="AX58" s="20">
        <f>IF(AND(AW5=0,AW58&gt;=0),,AW58/AW5)</f>
        <v>0</v>
      </c>
      <c r="AY58" s="37">
        <f>IF(AND(AW124=0,AW58&gt;=0),,AW58/AW124)</f>
        <v>0</v>
      </c>
      <c r="AZ58" s="62">
        <f t="shared" si="12"/>
        <v>0</v>
      </c>
      <c r="BA58" s="20">
        <f>IF(AND(AZ5=0,AZ58&gt;=0),,AZ58/AZ5)</f>
        <v>0</v>
      </c>
      <c r="BB58" s="37">
        <f t="shared" si="5"/>
        <v>0</v>
      </c>
    </row>
    <row r="59" spans="1:54" hidden="1" outlineLevel="1" x14ac:dyDescent="0.25">
      <c r="A59" s="19" t="s">
        <v>20</v>
      </c>
      <c r="B59" s="62"/>
      <c r="C59" s="20">
        <f>IF(AND(B5=0,B59&gt;=0),,B59/B5)</f>
        <v>0</v>
      </c>
      <c r="D59" s="37">
        <f>IF(AND(B124=0,B59&gt;=0),"Validar",B59/B124)</f>
        <v>0</v>
      </c>
      <c r="E59" s="62"/>
      <c r="F59" s="20">
        <f>IF(AND(E5=0,E59&gt;=0),,E59/E5)</f>
        <v>0</v>
      </c>
      <c r="G59" s="20">
        <f>IF(AND(E124=0,E59&gt;=0),"Validar",E59/E124)</f>
        <v>0</v>
      </c>
      <c r="I59" s="20">
        <f>IF(AND(H5=0,H59&gt;=0),,H59/H5)</f>
        <v>0</v>
      </c>
      <c r="J59" s="20">
        <f>IF(AND(H124=0,H59&gt;=0),,H59/H124)</f>
        <v>0</v>
      </c>
      <c r="K59" s="20">
        <f t="shared" si="1"/>
        <v>0</v>
      </c>
      <c r="L59" s="53">
        <f t="shared" si="13"/>
        <v>0</v>
      </c>
      <c r="M59" s="20">
        <f>IF(AND(L5=0,L59&gt;=0),,L59/L5)</f>
        <v>0</v>
      </c>
      <c r="N59" s="37">
        <f>IF(AND(L124=0,L59&gt;=0),,L59/L124)</f>
        <v>0</v>
      </c>
      <c r="O59" s="62"/>
      <c r="P59" s="20">
        <f>IF(AND(O5=0,O59&gt;=0),,O59/O5)</f>
        <v>0</v>
      </c>
      <c r="Q59" s="20">
        <f>IF(AND(O124=0,O59&gt;=0),,O59/O124)</f>
        <v>0</v>
      </c>
      <c r="R59" s="20">
        <f t="shared" si="2"/>
        <v>0</v>
      </c>
      <c r="S59" s="53">
        <f t="shared" si="14"/>
        <v>0</v>
      </c>
      <c r="T59" s="20">
        <f>IF(AND(S5=0,S59&gt;=0),,S59/S5)</f>
        <v>0</v>
      </c>
      <c r="U59" s="37">
        <f>IF(AND(S124=0,S59&gt;=0),,S59/S124)</f>
        <v>0</v>
      </c>
      <c r="V59" s="62"/>
      <c r="W59" s="20">
        <f>IF(AND(V5=0,V59&gt;=0),,V59/V5)</f>
        <v>0</v>
      </c>
      <c r="X59" s="37">
        <f t="shared" si="3"/>
        <v>0</v>
      </c>
      <c r="Y59" s="62"/>
      <c r="Z59" s="20">
        <f>IF(AND(Y5=0,Y59&gt;=0),,Y59/Y5)</f>
        <v>0</v>
      </c>
      <c r="AA59" s="20">
        <f>IF(AND(Y124=0,Y59&gt;=0),,Y59/Y124)</f>
        <v>0</v>
      </c>
      <c r="AB59" s="20">
        <f t="shared" si="0"/>
        <v>0</v>
      </c>
      <c r="AC59" s="53">
        <f t="shared" si="10"/>
        <v>0</v>
      </c>
      <c r="AD59" s="20">
        <f>IF(AND(AC5=0,AC59&gt;=0),,AC59/AC5)</f>
        <v>0</v>
      </c>
      <c r="AE59" s="37">
        <f>IF(AND(AC124=0,AC59&gt;=0),,AC59/AC124)</f>
        <v>0</v>
      </c>
      <c r="AF59" s="62"/>
      <c r="AG59" s="20">
        <f>IF(AND(AF5=0,AF59&gt;=0),,AF59/AF5)</f>
        <v>0</v>
      </c>
      <c r="AH59" s="20">
        <f>IF(AND(AF124=0,AF59&gt;=0),,AF59/AF124)</f>
        <v>0</v>
      </c>
      <c r="AI59" s="20">
        <f t="shared" si="6"/>
        <v>0</v>
      </c>
      <c r="AJ59" s="53">
        <f t="shared" si="7"/>
        <v>0</v>
      </c>
      <c r="AK59" s="20">
        <f>IF(AND(AJ5=0,AJ59&gt;=0),,AJ59/AJ5)</f>
        <v>0</v>
      </c>
      <c r="AL59" s="37">
        <f>IF(AND(AJ124=0,AJ59&gt;=0),,AJ59/AJ124)</f>
        <v>0</v>
      </c>
      <c r="AM59" s="62"/>
      <c r="AN59" s="20">
        <f>IF(AND(AM5=0,AM59&gt;=0),,AM59/AM5)</f>
        <v>0</v>
      </c>
      <c r="AO59" s="20">
        <f>IF(AND(AM124=0,AM59&gt;=0),,AM59/AM124)</f>
        <v>0</v>
      </c>
      <c r="AP59" s="20">
        <f t="shared" si="8"/>
        <v>0</v>
      </c>
      <c r="AQ59" s="53">
        <f t="shared" si="9"/>
        <v>0</v>
      </c>
      <c r="AR59" s="20">
        <f>IF(AND(AQ5=0,AQ59&gt;=0),,AQ59/AQ5)</f>
        <v>0</v>
      </c>
      <c r="AS59" s="37">
        <f>IF(AND(AQ124=0,AQ59&gt;=0),,AQ59/AQ124)</f>
        <v>0</v>
      </c>
      <c r="AT59" s="62">
        <f t="shared" si="11"/>
        <v>0</v>
      </c>
      <c r="AU59" s="20">
        <f>IF(AND(AT5=0,AT59&gt;=0),,AT59/AT5)</f>
        <v>0</v>
      </c>
      <c r="AV59" s="37">
        <f t="shared" si="4"/>
        <v>0</v>
      </c>
      <c r="AW59" s="62">
        <f t="shared" si="16"/>
        <v>0</v>
      </c>
      <c r="AX59" s="20">
        <f>IF(AND(AW5=0,AW59&gt;=0),,AW59/AW5)</f>
        <v>0</v>
      </c>
      <c r="AY59" s="37">
        <f>IF(AND(AW124=0,AW59&gt;=0),,AW59/AW124)</f>
        <v>0</v>
      </c>
      <c r="AZ59" s="62">
        <f t="shared" si="12"/>
        <v>0</v>
      </c>
      <c r="BA59" s="20">
        <f>IF(AND(AZ5=0,AZ59&gt;=0),,AZ59/AZ5)</f>
        <v>0</v>
      </c>
      <c r="BB59" s="37">
        <f t="shared" si="5"/>
        <v>0</v>
      </c>
    </row>
    <row r="60" spans="1:54" hidden="1" outlineLevel="1" x14ac:dyDescent="0.25">
      <c r="A60" s="19" t="s">
        <v>21</v>
      </c>
      <c r="B60" s="62">
        <v>13.11</v>
      </c>
      <c r="C60" s="20">
        <f>IF(AND(B5=0,B60&gt;=0),,B60/B5)</f>
        <v>4.9378242801219052E-5</v>
      </c>
      <c r="D60" s="37">
        <f>IF(AND(B124=0,B60&gt;=0),"Validar",B60/B124)</f>
        <v>1.8079382140218219E-4</v>
      </c>
      <c r="E60" s="62">
        <v>4.88</v>
      </c>
      <c r="F60" s="20">
        <f>IF(AND(E5=0,E60&gt;=0),,E60/E5)</f>
        <v>2.1384244194046239E-4</v>
      </c>
      <c r="G60" s="20">
        <f>IF(AND(E124=0,E60&gt;=0),"Validar",E60/E124)</f>
        <v>5.5948160818860941E-4</v>
      </c>
      <c r="I60" s="20">
        <f>IF(AND(H5=0,H60&gt;=0),,H60/H5)</f>
        <v>0</v>
      </c>
      <c r="J60" s="20">
        <f>IF(AND(H124=0,H60&gt;=0),,H60/H124)</f>
        <v>0</v>
      </c>
      <c r="K60" s="20">
        <f t="shared" si="1"/>
        <v>-1</v>
      </c>
      <c r="L60" s="53">
        <f t="shared" si="13"/>
        <v>4.88</v>
      </c>
      <c r="M60" s="20">
        <f>IF(AND(L5=0,L60&gt;=0),,L60/L5)</f>
        <v>1.0416119713659162E-4</v>
      </c>
      <c r="N60" s="37">
        <f>IF(AND(L124=0,L60&gt;=0),,L60/L124)</f>
        <v>3.2298159666746529E-4</v>
      </c>
      <c r="O60" s="62"/>
      <c r="P60" s="20">
        <f>IF(AND(O5=0,O60&gt;=0),,O60/O5)</f>
        <v>0</v>
      </c>
      <c r="Q60" s="20">
        <f>IF(AND(O124=0,O60&gt;=0),,O60/O124)</f>
        <v>0</v>
      </c>
      <c r="R60" s="20">
        <f t="shared" si="2"/>
        <v>0</v>
      </c>
      <c r="S60" s="53">
        <f t="shared" si="14"/>
        <v>4.88</v>
      </c>
      <c r="T60" s="20">
        <f>IF(AND(S5=0,S60&gt;=0),,S60/S5)</f>
        <v>6.8383014948274835E-5</v>
      </c>
      <c r="U60" s="37">
        <f>IF(AND(S124=0,S60&gt;=0),,S60/S124)</f>
        <v>2.3781073773958947E-4</v>
      </c>
      <c r="V60" s="62">
        <f>2*3</f>
        <v>6</v>
      </c>
      <c r="W60" s="20">
        <f>IF(AND(V5=0,V60&gt;=0),,V60/V5)</f>
        <v>1.0526315789473685E-4</v>
      </c>
      <c r="X60" s="37">
        <f t="shared" si="3"/>
        <v>-0.18666666666666668</v>
      </c>
      <c r="Y60" s="62">
        <v>4.33</v>
      </c>
      <c r="Z60" s="20">
        <f>IF(AND(Y5=0,Y60&gt;=0),,Y60/Y5)</f>
        <v>1.8533499407184835E-4</v>
      </c>
      <c r="AA60" s="20">
        <f>IF(AND(Y124=0,Y60&gt;=0),,Y60/Y124)</f>
        <v>6.3906156834269041E-4</v>
      </c>
      <c r="AB60" s="20">
        <f t="shared" si="0"/>
        <v>1</v>
      </c>
      <c r="AC60" s="53">
        <f t="shared" si="10"/>
        <v>9.2100000000000009</v>
      </c>
      <c r="AD60" s="20">
        <f>IF(AND(AC5=0,AC60&gt;=0),,AC60/AC5)</f>
        <v>9.7227947809388885E-5</v>
      </c>
      <c r="AE60" s="37">
        <f>IF(AND(AC124=0,AC60&gt;=0),,AC60/AC124)</f>
        <v>3.3741108613397969E-4</v>
      </c>
      <c r="AF60" s="62"/>
      <c r="AG60" s="20">
        <f>IF(AND(AF5=0,AF60&gt;=0),,AF60/AF5)</f>
        <v>0</v>
      </c>
      <c r="AH60" s="20">
        <f>IF(AND(AF124=0,AF60&gt;=0),,AF60/AF124)</f>
        <v>0</v>
      </c>
      <c r="AI60" s="20">
        <f t="shared" si="6"/>
        <v>-1</v>
      </c>
      <c r="AJ60" s="53">
        <f t="shared" si="7"/>
        <v>9.2100000000000009</v>
      </c>
      <c r="AK60" s="20">
        <f>IF(AND(AJ5=0,AJ60&gt;=0),,AJ60/AJ5)</f>
        <v>7.2658732112224842E-5</v>
      </c>
      <c r="AL60" s="37">
        <f>IF(AND(AJ124=0,AJ60&gt;=0),,AJ60/AJ124)</f>
        <v>2.6886303340557506E-4</v>
      </c>
      <c r="AM60" s="62">
        <v>4.29</v>
      </c>
      <c r="AN60" s="20">
        <f>IF(AND(AM5=0,AM60&gt;=0),,AM60/AM5)</f>
        <v>1.163937157160818E-4</v>
      </c>
      <c r="AO60" s="20">
        <f>IF(AND(AM124=0,AM60&gt;=0),,AM60/AM124)</f>
        <v>4.8043057330261866E-4</v>
      </c>
      <c r="AP60" s="20">
        <f t="shared" si="8"/>
        <v>-0.53420195439739415</v>
      </c>
      <c r="AQ60" s="53">
        <f t="shared" si="9"/>
        <v>13.5</v>
      </c>
      <c r="AR60" s="20">
        <f>IF(AND(AQ5=0,AQ60&gt;=0),,AQ60/AQ5)</f>
        <v>8.2510963873521818E-5</v>
      </c>
      <c r="AS60" s="37">
        <f>IF(AND(AQ124=0,AQ60&gt;=0),,AQ60/AQ124)</f>
        <v>3.126096304606824E-4</v>
      </c>
      <c r="AT60" s="62">
        <f t="shared" si="11"/>
        <v>12</v>
      </c>
      <c r="AU60" s="20">
        <f>IF(AND(AT5=0,AT60&gt;=0),,AT60/AT5)</f>
        <v>1.0526315789473685E-4</v>
      </c>
      <c r="AV60" s="37">
        <f t="shared" si="4"/>
        <v>0.125</v>
      </c>
      <c r="AW60" s="62">
        <f t="shared" si="15"/>
        <v>2.25</v>
      </c>
      <c r="AX60" s="20">
        <f>IF(AND(AW5=0,AW60&gt;=0),,AW60/AW5)</f>
        <v>7.7586206896551729E-5</v>
      </c>
      <c r="AY60" s="37">
        <f>IF(AND(AW124=0,AW60&gt;=0),,AW60/AW124)</f>
        <v>2.9851812947036434E-4</v>
      </c>
      <c r="AZ60" s="62">
        <f t="shared" si="12"/>
        <v>2</v>
      </c>
      <c r="BA60" s="20">
        <f>IF(AND(AZ5=0,AZ60&gt;=0),,AZ60/AZ5)</f>
        <v>1.0526315789473685E-4</v>
      </c>
      <c r="BB60" s="37">
        <f t="shared" si="5"/>
        <v>0.125</v>
      </c>
    </row>
    <row r="61" spans="1:54" hidden="1" outlineLevel="1" x14ac:dyDescent="0.25">
      <c r="A61" s="19" t="s">
        <v>0</v>
      </c>
      <c r="B61" s="62">
        <v>756.43</v>
      </c>
      <c r="C61" s="20">
        <f>IF(AND(B5=0,B61&gt;=0),,B61/B5)</f>
        <v>2.8490605798723208E-3</v>
      </c>
      <c r="D61" s="37">
        <f>IF(AND(B124=0,B61&gt;=0),"Validar",B61/B124)</f>
        <v>1.0431569055930791E-2</v>
      </c>
      <c r="E61" s="62">
        <v>22.34</v>
      </c>
      <c r="F61" s="20">
        <f>IF(AND(E5=0,E61&gt;=0),,E61/E5)</f>
        <v>9.7894265429301843E-4</v>
      </c>
      <c r="G61" s="20">
        <f>IF(AND(E124=0,E61&gt;=0),"Validar",E61/E124)</f>
        <v>2.5612334276503145E-3</v>
      </c>
      <c r="I61" s="20">
        <f>IF(AND(H5=0,H61&gt;=0),,H61/H5)</f>
        <v>0</v>
      </c>
      <c r="J61" s="20">
        <f>IF(AND(H124=0,H61&gt;=0),,H61/H124)</f>
        <v>0</v>
      </c>
      <c r="K61" s="20">
        <f t="shared" si="1"/>
        <v>-1</v>
      </c>
      <c r="L61" s="53">
        <f t="shared" si="13"/>
        <v>22.34</v>
      </c>
      <c r="M61" s="20">
        <f>IF(AND(L5=0,L61&gt;=0),,L61/L5)</f>
        <v>4.7683630000644602E-4</v>
      </c>
      <c r="N61" s="37">
        <f>IF(AND(L124=0,L61&gt;=0),,L61/L124)</f>
        <v>1.47856739130147E-3</v>
      </c>
      <c r="O61" s="62"/>
      <c r="P61" s="20">
        <f>IF(AND(O5=0,O61&gt;=0),,O61/O5)</f>
        <v>0</v>
      </c>
      <c r="Q61" s="20">
        <f>IF(AND(O124=0,O61&gt;=0),,O61/O124)</f>
        <v>0</v>
      </c>
      <c r="R61" s="20">
        <f t="shared" si="2"/>
        <v>0</v>
      </c>
      <c r="S61" s="53">
        <f t="shared" si="14"/>
        <v>22.34</v>
      </c>
      <c r="T61" s="20">
        <f>IF(AND(S5=0,S61&gt;=0),,S61/S5)</f>
        <v>3.1304847416894669E-4</v>
      </c>
      <c r="U61" s="37">
        <f>IF(AND(S124=0,S61&gt;=0),,S61/S124)</f>
        <v>1.0886663690783667E-3</v>
      </c>
      <c r="V61" s="62">
        <f>60*3</f>
        <v>180</v>
      </c>
      <c r="W61" s="20">
        <f>IF(AND(V5=0,V61&gt;=0),,V61/V5)</f>
        <v>3.1578947368421052E-3</v>
      </c>
      <c r="X61" s="37">
        <f t="shared" si="3"/>
        <v>-0.87588888888888883</v>
      </c>
      <c r="Y61" s="62">
        <v>19.100000000000001</v>
      </c>
      <c r="Z61" s="20">
        <f>IF(AND(Y5=0,Y61&gt;=0),,Y61/Y5)</f>
        <v>8.1752849579037044E-4</v>
      </c>
      <c r="AA61" s="20">
        <f>IF(AND(Y124=0,Y61&gt;=0),,Y61/Y124)</f>
        <v>2.8189551859920067E-3</v>
      </c>
      <c r="AB61" s="20">
        <f t="shared" si="0"/>
        <v>1</v>
      </c>
      <c r="AC61" s="53">
        <f t="shared" si="10"/>
        <v>41.44</v>
      </c>
      <c r="AD61" s="20">
        <f>IF(AND(AC5=0,AC61&gt;=0),,AC61/AC5)</f>
        <v>4.374729812400733E-4</v>
      </c>
      <c r="AE61" s="37">
        <f>IF(AND(AC124=0,AC61&gt;=0),,AC61/AC124)</f>
        <v>1.5181667111174937E-3</v>
      </c>
      <c r="AF61" s="62">
        <v>262.98</v>
      </c>
      <c r="AG61" s="20">
        <f>IF(AND(AF5=0,AF61&gt;=0),,AF61/AF5)</f>
        <v>8.2101432014063825E-3</v>
      </c>
      <c r="AH61" s="20">
        <f>IF(AND(AF124=0,AF61&gt;=0),,AF61/AF124)</f>
        <v>3.7788391902610623E-2</v>
      </c>
      <c r="AI61" s="20">
        <f t="shared" si="6"/>
        <v>0.46100000000000008</v>
      </c>
      <c r="AJ61" s="53">
        <f t="shared" si="7"/>
        <v>304.42</v>
      </c>
      <c r="AK61" s="20">
        <f>IF(AND(AJ5=0,AJ61&gt;=0),,AJ61/AJ5)</f>
        <v>2.4016038251469586E-3</v>
      </c>
      <c r="AL61" s="37">
        <f>IF(AND(AJ124=0,AJ61&gt;=0),,AJ61/AJ124)</f>
        <v>8.8867844331514834E-3</v>
      </c>
      <c r="AM61" s="62">
        <v>153.04</v>
      </c>
      <c r="AN61" s="20">
        <f>IF(AND(AM5=0,AM61&gt;=0),,AM61/AM5)</f>
        <v>4.1521898026081958E-3</v>
      </c>
      <c r="AO61" s="20">
        <f>IF(AND(AM124=0,AM61&gt;=0),,AM61/AM124)</f>
        <v>1.7138716768818823E-2</v>
      </c>
      <c r="AP61" s="20">
        <f t="shared" si="8"/>
        <v>2.6930501930501931</v>
      </c>
      <c r="AQ61" s="53">
        <f t="shared" si="9"/>
        <v>457.46000000000004</v>
      </c>
      <c r="AR61" s="20">
        <f>IF(AND(AQ5=0,AQ61&gt;=0),,AQ61/AQ5)</f>
        <v>2.7959604098949107E-3</v>
      </c>
      <c r="AS61" s="37">
        <f>IF(AND(AQ124=0,AQ61&gt;=0),,AQ61/AQ124)</f>
        <v>1.0593066781521762E-2</v>
      </c>
      <c r="AT61" s="62">
        <f t="shared" si="11"/>
        <v>360</v>
      </c>
      <c r="AU61" s="20">
        <f>IF(AND(AT5=0,AT61&gt;=0),,AT61/AT5)</f>
        <v>3.1578947368421052E-3</v>
      </c>
      <c r="AV61" s="37">
        <f t="shared" si="4"/>
        <v>0.27072222222222231</v>
      </c>
      <c r="AW61" s="62">
        <f t="shared" si="15"/>
        <v>76.243333333333339</v>
      </c>
      <c r="AX61" s="20">
        <f>IF(AND(AW5=0,AW61&gt;=0),,AW61/AW5)</f>
        <v>2.629080459770115E-3</v>
      </c>
      <c r="AY61" s="37">
        <f>IF(AND(AW124=0,AW61&gt;=0),,AW61/AW124)</f>
        <v>1.0115563222778731E-2</v>
      </c>
      <c r="AZ61" s="62">
        <f t="shared" si="12"/>
        <v>60</v>
      </c>
      <c r="BA61" s="20">
        <f>IF(AND(AZ5=0,AZ61&gt;=0),,AZ61/AZ5)</f>
        <v>3.1578947368421052E-3</v>
      </c>
      <c r="BB61" s="37">
        <f t="shared" si="5"/>
        <v>0.27072222222222231</v>
      </c>
    </row>
    <row r="62" spans="1:54" hidden="1" outlineLevel="1" x14ac:dyDescent="0.25">
      <c r="A62" s="19" t="s">
        <v>22</v>
      </c>
      <c r="B62" s="62"/>
      <c r="C62" s="20">
        <f>IF(AND(B5=0,B62&gt;=0),,B62/B5)</f>
        <v>0</v>
      </c>
      <c r="D62" s="37">
        <f>IF(AND(B124=0,B62&gt;=0),"Validar",B62/B124)</f>
        <v>0</v>
      </c>
      <c r="E62" s="62"/>
      <c r="F62" s="20">
        <f>IF(AND(E5=0,E62&gt;=0),,E62/E5)</f>
        <v>0</v>
      </c>
      <c r="G62" s="20">
        <f>IF(AND(E124=0,E62&gt;=0),"Validar",E62/E124)</f>
        <v>0</v>
      </c>
      <c r="I62" s="20">
        <f>IF(AND(H5=0,H62&gt;=0),,H62/H5)</f>
        <v>0</v>
      </c>
      <c r="J62" s="20">
        <f>IF(AND(H124=0,H62&gt;=0),,H62/H124)</f>
        <v>0</v>
      </c>
      <c r="K62" s="20">
        <f t="shared" si="1"/>
        <v>0</v>
      </c>
      <c r="L62" s="53">
        <f t="shared" si="13"/>
        <v>0</v>
      </c>
      <c r="M62" s="20">
        <f>IF(AND(L5=0,L62&gt;=0),,L62/L5)</f>
        <v>0</v>
      </c>
      <c r="N62" s="37">
        <f>IF(AND(L124=0,L62&gt;=0),,L62/L124)</f>
        <v>0</v>
      </c>
      <c r="O62" s="62"/>
      <c r="P62" s="20">
        <f>IF(AND(O5=0,O62&gt;=0),,O62/O5)</f>
        <v>0</v>
      </c>
      <c r="Q62" s="20">
        <f>IF(AND(O124=0,O62&gt;=0),,O62/O124)</f>
        <v>0</v>
      </c>
      <c r="R62" s="20">
        <f t="shared" si="2"/>
        <v>0</v>
      </c>
      <c r="S62" s="53">
        <f t="shared" si="14"/>
        <v>0</v>
      </c>
      <c r="T62" s="20">
        <f>IF(AND(S5=0,S62&gt;=0),,S62/S5)</f>
        <v>0</v>
      </c>
      <c r="U62" s="37">
        <f>IF(AND(S124=0,S62&gt;=0),,S62/S124)</f>
        <v>0</v>
      </c>
      <c r="V62" s="62"/>
      <c r="W62" s="20">
        <f>IF(AND(V5=0,V62&gt;=0),,V62/V5)</f>
        <v>0</v>
      </c>
      <c r="X62" s="37">
        <f t="shared" si="3"/>
        <v>0</v>
      </c>
      <c r="Y62" s="62"/>
      <c r="Z62" s="20">
        <f>IF(AND(Y5=0,Y62&gt;=0),,Y62/Y5)</f>
        <v>0</v>
      </c>
      <c r="AA62" s="20">
        <f>IF(AND(Y124=0,Y62&gt;=0),,Y62/Y124)</f>
        <v>0</v>
      </c>
      <c r="AB62" s="20">
        <f t="shared" si="0"/>
        <v>0</v>
      </c>
      <c r="AC62" s="53">
        <f t="shared" si="10"/>
        <v>0</v>
      </c>
      <c r="AD62" s="20">
        <f>IF(AND(AC5=0,AC62&gt;=0),,AC62/AC5)</f>
        <v>0</v>
      </c>
      <c r="AE62" s="37">
        <f>IF(AND(AC124=0,AC62&gt;=0),,AC62/AC124)</f>
        <v>0</v>
      </c>
      <c r="AF62" s="62"/>
      <c r="AG62" s="20">
        <f>IF(AND(AF5=0,AF62&gt;=0),,AF62/AF5)</f>
        <v>0</v>
      </c>
      <c r="AH62" s="20">
        <f>IF(AND(AF124=0,AF62&gt;=0),,AF62/AF124)</f>
        <v>0</v>
      </c>
      <c r="AI62" s="20">
        <f t="shared" si="6"/>
        <v>0</v>
      </c>
      <c r="AJ62" s="53">
        <f t="shared" si="7"/>
        <v>0</v>
      </c>
      <c r="AK62" s="20">
        <f>IF(AND(AJ5=0,AJ62&gt;=0),,AJ62/AJ5)</f>
        <v>0</v>
      </c>
      <c r="AL62" s="37">
        <f>IF(AND(AJ124=0,AJ62&gt;=0),,AJ62/AJ124)</f>
        <v>0</v>
      </c>
      <c r="AM62" s="62"/>
      <c r="AN62" s="20">
        <f>IF(AND(AM5=0,AM62&gt;=0),,AM62/AM5)</f>
        <v>0</v>
      </c>
      <c r="AO62" s="20">
        <f>IF(AND(AM124=0,AM62&gt;=0),,AM62/AM124)</f>
        <v>0</v>
      </c>
      <c r="AP62" s="20">
        <f t="shared" si="8"/>
        <v>0</v>
      </c>
      <c r="AQ62" s="53">
        <f t="shared" si="9"/>
        <v>0</v>
      </c>
      <c r="AR62" s="20">
        <f>IF(AND(AQ5=0,AQ62&gt;=0),,AQ62/AQ5)</f>
        <v>0</v>
      </c>
      <c r="AS62" s="37">
        <f>IF(AND(AQ124=0,AQ62&gt;=0),,AQ62/AQ124)</f>
        <v>0</v>
      </c>
      <c r="AT62" s="62">
        <f t="shared" si="11"/>
        <v>0</v>
      </c>
      <c r="AU62" s="20">
        <f>IF(AND(AT5=0,AT62&gt;=0),,AT62/AT5)</f>
        <v>0</v>
      </c>
      <c r="AV62" s="37">
        <f t="shared" si="4"/>
        <v>0</v>
      </c>
      <c r="AW62" s="62">
        <f t="shared" si="15"/>
        <v>0</v>
      </c>
      <c r="AX62" s="20">
        <f>IF(AND(AW5=0,AW62&gt;=0),,AW62/AW5)</f>
        <v>0</v>
      </c>
      <c r="AY62" s="37">
        <f>IF(AND(AW124=0,AW62&gt;=0),,AW62/AW124)</f>
        <v>0</v>
      </c>
      <c r="AZ62" s="62">
        <f t="shared" si="12"/>
        <v>0</v>
      </c>
      <c r="BA62" s="20">
        <f>IF(AND(AZ5=0,AZ62&gt;=0),,AZ62/AZ5)</f>
        <v>0</v>
      </c>
      <c r="BB62" s="37">
        <f t="shared" si="5"/>
        <v>0</v>
      </c>
    </row>
    <row r="63" spans="1:54" hidden="1" outlineLevel="1" x14ac:dyDescent="0.25">
      <c r="A63" s="19" t="s">
        <v>23</v>
      </c>
      <c r="B63" s="62"/>
      <c r="C63" s="20">
        <f>IF(AND(B5=0,B63&gt;=0),,B63/B5)</f>
        <v>0</v>
      </c>
      <c r="D63" s="37">
        <f>IF(AND(B124=0,B63&gt;=0),"Validar",B63/B124)</f>
        <v>0</v>
      </c>
      <c r="E63" s="62"/>
      <c r="F63" s="20">
        <f>IF(AND(E5=0,E63&gt;=0),,E63/E5)</f>
        <v>0</v>
      </c>
      <c r="G63" s="20">
        <f>IF(AND(E124=0,E63&gt;=0),"Validar",E63/E124)</f>
        <v>0</v>
      </c>
      <c r="I63" s="20">
        <f>IF(AND(H5=0,H63&gt;=0),,H63/H5)</f>
        <v>0</v>
      </c>
      <c r="J63" s="20">
        <f>IF(AND(H124=0,H63&gt;=0),,H63/H124)</f>
        <v>0</v>
      </c>
      <c r="K63" s="20">
        <f t="shared" si="1"/>
        <v>0</v>
      </c>
      <c r="L63" s="53">
        <f t="shared" si="13"/>
        <v>0</v>
      </c>
      <c r="M63" s="20">
        <f>IF(AND(L5=0,L63&gt;=0),,L63/L5)</f>
        <v>0</v>
      </c>
      <c r="N63" s="37">
        <f>IF(AND(L124=0,L63&gt;=0),,L63/L124)</f>
        <v>0</v>
      </c>
      <c r="O63" s="62"/>
      <c r="P63" s="20">
        <f>IF(AND(O5=0,O63&gt;=0),,O63/O5)</f>
        <v>0</v>
      </c>
      <c r="Q63" s="20">
        <f>IF(AND(O124=0,O63&gt;=0),,O63/O124)</f>
        <v>0</v>
      </c>
      <c r="R63" s="20">
        <f t="shared" si="2"/>
        <v>0</v>
      </c>
      <c r="S63" s="53">
        <f t="shared" si="14"/>
        <v>0</v>
      </c>
      <c r="T63" s="20">
        <f>IF(AND(S5=0,S63&gt;=0),,S63/S5)</f>
        <v>0</v>
      </c>
      <c r="U63" s="37">
        <f>IF(AND(S124=0,S63&gt;=0),,S63/S124)</f>
        <v>0</v>
      </c>
      <c r="V63" s="62"/>
      <c r="W63" s="20">
        <f>IF(AND(V5=0,V63&gt;=0),,V63/V5)</f>
        <v>0</v>
      </c>
      <c r="X63" s="37">
        <f t="shared" si="3"/>
        <v>0</v>
      </c>
      <c r="Y63" s="62"/>
      <c r="Z63" s="20">
        <f>IF(AND(Y5=0,Y63&gt;=0),,Y63/Y5)</f>
        <v>0</v>
      </c>
      <c r="AA63" s="20">
        <f>IF(AND(Y124=0,Y63&gt;=0),,Y63/Y124)</f>
        <v>0</v>
      </c>
      <c r="AB63" s="20">
        <f t="shared" si="0"/>
        <v>0</v>
      </c>
      <c r="AC63" s="53">
        <f t="shared" si="10"/>
        <v>0</v>
      </c>
      <c r="AD63" s="20">
        <f>IF(AND(AC5=0,AC63&gt;=0),,AC63/AC5)</f>
        <v>0</v>
      </c>
      <c r="AE63" s="37">
        <f>IF(AND(AC124=0,AC63&gt;=0),,AC63/AC124)</f>
        <v>0</v>
      </c>
      <c r="AF63" s="62"/>
      <c r="AG63" s="20">
        <f>IF(AND(AF5=0,AF63&gt;=0),,AF63/AF5)</f>
        <v>0</v>
      </c>
      <c r="AH63" s="20">
        <f>IF(AND(AF124=0,AF63&gt;=0),,AF63/AF124)</f>
        <v>0</v>
      </c>
      <c r="AI63" s="20">
        <f t="shared" si="6"/>
        <v>0</v>
      </c>
      <c r="AJ63" s="53">
        <f t="shared" si="7"/>
        <v>0</v>
      </c>
      <c r="AK63" s="20">
        <f>IF(AND(AJ5=0,AJ63&gt;=0),,AJ63/AJ5)</f>
        <v>0</v>
      </c>
      <c r="AL63" s="37">
        <f>IF(AND(AJ124=0,AJ63&gt;=0),,AJ63/AJ124)</f>
        <v>0</v>
      </c>
      <c r="AM63" s="62"/>
      <c r="AN63" s="20">
        <f>IF(AND(AM5=0,AM63&gt;=0),,AM63/AM5)</f>
        <v>0</v>
      </c>
      <c r="AO63" s="20">
        <f>IF(AND(AM124=0,AM63&gt;=0),,AM63/AM124)</f>
        <v>0</v>
      </c>
      <c r="AP63" s="20">
        <f t="shared" si="8"/>
        <v>0</v>
      </c>
      <c r="AQ63" s="53">
        <f t="shared" si="9"/>
        <v>0</v>
      </c>
      <c r="AR63" s="20">
        <f>IF(AND(AQ5=0,AQ63&gt;=0),,AQ63/AQ5)</f>
        <v>0</v>
      </c>
      <c r="AS63" s="37">
        <f>IF(AND(AQ124=0,AQ63&gt;=0),,AQ63/AQ124)</f>
        <v>0</v>
      </c>
      <c r="AT63" s="62">
        <f t="shared" si="11"/>
        <v>0</v>
      </c>
      <c r="AU63" s="20">
        <f>IF(AND(AT5=0,AT63&gt;=0),,AT63/AT5)</f>
        <v>0</v>
      </c>
      <c r="AV63" s="37">
        <f t="shared" si="4"/>
        <v>0</v>
      </c>
      <c r="AW63" s="62">
        <f t="shared" si="15"/>
        <v>0</v>
      </c>
      <c r="AX63" s="20">
        <f>IF(AND(AW5=0,AW63&gt;=0),,AW63/AW5)</f>
        <v>0</v>
      </c>
      <c r="AY63" s="37">
        <f>IF(AND(AW124=0,AW63&gt;=0),,AW63/AW124)</f>
        <v>0</v>
      </c>
      <c r="AZ63" s="62">
        <f t="shared" si="12"/>
        <v>0</v>
      </c>
      <c r="BA63" s="20">
        <f>IF(AND(AZ5=0,AZ63&gt;=0),,AZ63/AZ5)</f>
        <v>0</v>
      </c>
      <c r="BB63" s="37">
        <f t="shared" si="5"/>
        <v>0</v>
      </c>
    </row>
    <row r="64" spans="1:54" hidden="1" outlineLevel="1" x14ac:dyDescent="0.25">
      <c r="A64" s="19" t="s">
        <v>24</v>
      </c>
      <c r="B64" s="62">
        <v>1382.99</v>
      </c>
      <c r="C64" s="20">
        <f>IF(AND(B5=0,B64&gt;=0),,B64/B5)</f>
        <v>5.2089714730478975E-3</v>
      </c>
      <c r="D64" s="37">
        <f>IF(AND(B124=0,B64&gt;=0),"Validar",B64/B124)</f>
        <v>1.9072162247216168E-2</v>
      </c>
      <c r="E64" s="62"/>
      <c r="F64" s="20">
        <f>IF(AND(E5=0,E64&gt;=0),,E64/E5)</f>
        <v>0</v>
      </c>
      <c r="G64" s="20">
        <f>IF(AND(E124=0,E64&gt;=0),"Validar",E64/E124)</f>
        <v>0</v>
      </c>
      <c r="I64" s="20">
        <f>IF(AND(H5=0,H64&gt;=0),,H64/H5)</f>
        <v>0</v>
      </c>
      <c r="J64" s="20">
        <f>IF(AND(H124=0,H64&gt;=0),,H64/H124)</f>
        <v>0</v>
      </c>
      <c r="K64" s="20">
        <f t="shared" si="1"/>
        <v>0</v>
      </c>
      <c r="L64" s="53">
        <f t="shared" si="13"/>
        <v>0</v>
      </c>
      <c r="M64" s="20">
        <f>IF(AND(L5=0,L64&gt;=0),,L64/L5)</f>
        <v>0</v>
      </c>
      <c r="N64" s="37">
        <f>IF(AND(L124=0,L64&gt;=0),,L64/L124)</f>
        <v>0</v>
      </c>
      <c r="O64" s="62"/>
      <c r="P64" s="20">
        <f>IF(AND(O5=0,O64&gt;=0),,O64/O5)</f>
        <v>0</v>
      </c>
      <c r="Q64" s="20">
        <f>IF(AND(O124=0,O64&gt;=0),,O64/O124)</f>
        <v>0</v>
      </c>
      <c r="R64" s="20">
        <f t="shared" si="2"/>
        <v>0</v>
      </c>
      <c r="S64" s="53">
        <f t="shared" si="14"/>
        <v>0</v>
      </c>
      <c r="T64" s="20">
        <f>IF(AND(S5=0,S64&gt;=0),,S64/S5)</f>
        <v>0</v>
      </c>
      <c r="U64" s="37">
        <f>IF(AND(S124=0,S64&gt;=0),,S64/S124)</f>
        <v>0</v>
      </c>
      <c r="V64" s="62">
        <f>130*3</f>
        <v>390</v>
      </c>
      <c r="W64" s="20">
        <f>IF(AND(V5=0,V64&gt;=0),,V64/V5)</f>
        <v>6.842105263157895E-3</v>
      </c>
      <c r="X64" s="37">
        <f t="shared" si="3"/>
        <v>-1</v>
      </c>
      <c r="Y64" s="62"/>
      <c r="Z64" s="20">
        <f>IF(AND(Y5=0,Y64&gt;=0),,Y64/Y5)</f>
        <v>0</v>
      </c>
      <c r="AA64" s="20">
        <f>IF(AND(Y124=0,Y64&gt;=0),,Y64/Y124)</f>
        <v>0</v>
      </c>
      <c r="AB64" s="20">
        <f t="shared" si="0"/>
        <v>0</v>
      </c>
      <c r="AC64" s="53">
        <f t="shared" si="10"/>
        <v>0</v>
      </c>
      <c r="AD64" s="20">
        <f>IF(AND(AC5=0,AC64&gt;=0),,AC64/AC5)</f>
        <v>0</v>
      </c>
      <c r="AE64" s="37">
        <f>IF(AND(AC124=0,AC64&gt;=0),,AC64/AC124)</f>
        <v>0</v>
      </c>
      <c r="AF64" s="62"/>
      <c r="AG64" s="20">
        <f>IF(AND(AF5=0,AF64&gt;=0),,AF64/AF5)</f>
        <v>0</v>
      </c>
      <c r="AH64" s="20">
        <f>IF(AND(AF124=0,AF64&gt;=0),,AF64/AF124)</f>
        <v>0</v>
      </c>
      <c r="AI64" s="20">
        <f t="shared" si="6"/>
        <v>-1</v>
      </c>
      <c r="AJ64" s="53">
        <f t="shared" si="7"/>
        <v>0</v>
      </c>
      <c r="AK64" s="20">
        <f>IF(AND(AJ5=0,AJ64&gt;=0),,AJ64/AJ5)</f>
        <v>0</v>
      </c>
      <c r="AL64" s="37">
        <f>IF(AND(AJ124=0,AJ64&gt;=0),,AJ64/AJ124)</f>
        <v>0</v>
      </c>
      <c r="AM64" s="62">
        <v>1155.55</v>
      </c>
      <c r="AN64" s="20">
        <f>IF(AND(AM5=0,AM64&gt;=0),,AM64/AM5)</f>
        <v>3.1351691887113828E-2</v>
      </c>
      <c r="AO64" s="20">
        <f>IF(AND(AM124=0,AM64&gt;=0),,AM64/AM124)</f>
        <v>0.12940828647548741</v>
      </c>
      <c r="AP64" s="20">
        <f t="shared" si="8"/>
        <v>1</v>
      </c>
      <c r="AQ64" s="53">
        <f t="shared" si="9"/>
        <v>1155.55</v>
      </c>
      <c r="AR64" s="20">
        <f>IF(AND(AQ5=0,AQ64&gt;=0),,AQ64/AQ5)</f>
        <v>7.0626329114109728E-3</v>
      </c>
      <c r="AS64" s="37">
        <f>IF(AND(AQ124=0,AQ64&gt;=0),,AQ64/AQ124)</f>
        <v>2.6758226553988261E-2</v>
      </c>
      <c r="AT64" s="62">
        <f t="shared" si="11"/>
        <v>780</v>
      </c>
      <c r="AU64" s="20">
        <f>IF(AND(AT5=0,AT64&gt;=0),,AT64/AT5)</f>
        <v>6.842105263157895E-3</v>
      </c>
      <c r="AV64" s="37">
        <f t="shared" si="4"/>
        <v>0.48147435897435892</v>
      </c>
      <c r="AW64" s="62">
        <f t="shared" si="15"/>
        <v>192.59166666666667</v>
      </c>
      <c r="AX64" s="20">
        <f>IF(AND(AW5=0,AW64&gt;=0),,AW64/AW5)</f>
        <v>6.6410919540229882E-3</v>
      </c>
      <c r="AY64" s="37">
        <f>IF(AND(AW124=0,AW64&gt;=0),,AW64/AW124)</f>
        <v>2.5552046259961443E-2</v>
      </c>
      <c r="AZ64" s="62">
        <f t="shared" si="12"/>
        <v>130</v>
      </c>
      <c r="BA64" s="20">
        <f>IF(AND(AZ5=0,AZ64&gt;=0),,AZ64/AZ5)</f>
        <v>6.842105263157895E-3</v>
      </c>
      <c r="BB64" s="37">
        <f t="shared" si="5"/>
        <v>0.48147435897435897</v>
      </c>
    </row>
    <row r="65" spans="1:54" hidden="1" outlineLevel="1" x14ac:dyDescent="0.25">
      <c r="A65" s="19" t="s">
        <v>25</v>
      </c>
      <c r="B65" s="62"/>
      <c r="C65" s="20">
        <f>IF(AND(B5=0,B65&gt;=0),,B65/B5)</f>
        <v>0</v>
      </c>
      <c r="D65" s="37">
        <f>IF(AND(B124=0,B65&gt;=0),"Validar",B65/B124)</f>
        <v>0</v>
      </c>
      <c r="E65" s="62"/>
      <c r="F65" s="20">
        <f>IF(AND(E5=0,E65&gt;=0),,E65/E5)</f>
        <v>0</v>
      </c>
      <c r="G65" s="20">
        <f>IF(AND(E124=0,E65&gt;=0),"Validar",E65/E124)</f>
        <v>0</v>
      </c>
      <c r="I65" s="20">
        <f>IF(AND(H5=0,H65&gt;=0),,H65/H5)</f>
        <v>0</v>
      </c>
      <c r="J65" s="20">
        <f>IF(AND(H124=0,H65&gt;=0),,H65/H124)</f>
        <v>0</v>
      </c>
      <c r="K65" s="20">
        <f t="shared" si="1"/>
        <v>0</v>
      </c>
      <c r="L65" s="53">
        <f t="shared" si="13"/>
        <v>0</v>
      </c>
      <c r="M65" s="20">
        <f>IF(AND(L5=0,L65&gt;=0),,L65/L5)</f>
        <v>0</v>
      </c>
      <c r="N65" s="37">
        <f>IF(AND(L124=0,L65&gt;=0),,L65/L124)</f>
        <v>0</v>
      </c>
      <c r="O65" s="62"/>
      <c r="P65" s="20">
        <f>IF(AND(O5=0,O65&gt;=0),,O65/O5)</f>
        <v>0</v>
      </c>
      <c r="Q65" s="20">
        <f>IF(AND(O124=0,O65&gt;=0),,O65/O124)</f>
        <v>0</v>
      </c>
      <c r="R65" s="20">
        <f t="shared" si="2"/>
        <v>0</v>
      </c>
      <c r="S65" s="53">
        <f t="shared" si="14"/>
        <v>0</v>
      </c>
      <c r="T65" s="20">
        <f>IF(AND(S5=0,S65&gt;=0),,S65/S5)</f>
        <v>0</v>
      </c>
      <c r="U65" s="37">
        <f>IF(AND(S124=0,S65&gt;=0),,S65/S124)</f>
        <v>0</v>
      </c>
      <c r="V65" s="62"/>
      <c r="W65" s="20">
        <f>IF(AND(V5=0,V65&gt;=0),,V65/V5)</f>
        <v>0</v>
      </c>
      <c r="X65" s="37">
        <f t="shared" si="3"/>
        <v>0</v>
      </c>
      <c r="Y65" s="62"/>
      <c r="Z65" s="20">
        <f>IF(AND(Y5=0,Y65&gt;=0),,Y65/Y5)</f>
        <v>0</v>
      </c>
      <c r="AA65" s="20">
        <f>IF(AND(Y124=0,Y65&gt;=0),,Y65/Y124)</f>
        <v>0</v>
      </c>
      <c r="AB65" s="20">
        <f t="shared" si="0"/>
        <v>0</v>
      </c>
      <c r="AC65" s="53">
        <f t="shared" si="10"/>
        <v>0</v>
      </c>
      <c r="AD65" s="20">
        <f>IF(AND(AC5=0,AC65&gt;=0),,AC65/AC5)</f>
        <v>0</v>
      </c>
      <c r="AE65" s="37">
        <f>IF(AND(AC124=0,AC65&gt;=0),,AC65/AC124)</f>
        <v>0</v>
      </c>
      <c r="AF65" s="62"/>
      <c r="AG65" s="20">
        <f>IF(AND(AF5=0,AF65&gt;=0),,AF65/AF5)</f>
        <v>0</v>
      </c>
      <c r="AH65" s="20">
        <f>IF(AND(AF124=0,AF65&gt;=0),,AF65/AF124)</f>
        <v>0</v>
      </c>
      <c r="AI65" s="20">
        <f t="shared" si="6"/>
        <v>0</v>
      </c>
      <c r="AJ65" s="53">
        <f t="shared" si="7"/>
        <v>0</v>
      </c>
      <c r="AK65" s="20">
        <f>IF(AND(AJ5=0,AJ65&gt;=0),,AJ65/AJ5)</f>
        <v>0</v>
      </c>
      <c r="AL65" s="37">
        <f>IF(AND(AJ124=0,AJ65&gt;=0),,AJ65/AJ124)</f>
        <v>0</v>
      </c>
      <c r="AM65" s="62"/>
      <c r="AN65" s="20">
        <f>IF(AND(AM5=0,AM65&gt;=0),,AM65/AM5)</f>
        <v>0</v>
      </c>
      <c r="AO65" s="20">
        <f>IF(AND(AM124=0,AM65&gt;=0),,AM65/AM124)</f>
        <v>0</v>
      </c>
      <c r="AP65" s="20">
        <f t="shared" si="8"/>
        <v>0</v>
      </c>
      <c r="AQ65" s="53">
        <f t="shared" si="9"/>
        <v>0</v>
      </c>
      <c r="AR65" s="20">
        <f>IF(AND(AQ5=0,AQ65&gt;=0),,AQ65/AQ5)</f>
        <v>0</v>
      </c>
      <c r="AS65" s="37">
        <f>IF(AND(AQ124=0,AQ65&gt;=0),,AQ65/AQ124)</f>
        <v>0</v>
      </c>
      <c r="AT65" s="62">
        <f t="shared" si="11"/>
        <v>0</v>
      </c>
      <c r="AU65" s="20">
        <f>IF(AND(AT5=0,AT65&gt;=0),,AT65/AT5)</f>
        <v>0</v>
      </c>
      <c r="AV65" s="37">
        <f t="shared" si="4"/>
        <v>0</v>
      </c>
      <c r="AW65" s="62">
        <f t="shared" si="15"/>
        <v>0</v>
      </c>
      <c r="AX65" s="20">
        <f>IF(AND(AW5=0,AW65&gt;=0),,AW65/AW5)</f>
        <v>0</v>
      </c>
      <c r="AY65" s="37">
        <f>IF(AND(AW124=0,AW65&gt;=0),,AW65/AW124)</f>
        <v>0</v>
      </c>
      <c r="AZ65" s="62">
        <f t="shared" si="12"/>
        <v>0</v>
      </c>
      <c r="BA65" s="20">
        <f>IF(AND(AZ5=0,AZ65&gt;=0),,AZ65/AZ5)</f>
        <v>0</v>
      </c>
      <c r="BB65" s="37">
        <f t="shared" si="5"/>
        <v>0</v>
      </c>
    </row>
    <row r="66" spans="1:54" hidden="1" outlineLevel="1" x14ac:dyDescent="0.25">
      <c r="A66" s="19" t="s">
        <v>26</v>
      </c>
      <c r="B66" s="62">
        <v>3789.74</v>
      </c>
      <c r="C66" s="20">
        <f>IF(AND(B5=0,B66&gt;=0),,B66/B5)</f>
        <v>1.4273890303088626E-2</v>
      </c>
      <c r="D66" s="37">
        <f>IF(AND(B124=0,B66&gt;=0),"Validar",B66/B124)</f>
        <v>5.226251538678154E-2</v>
      </c>
      <c r="E66" s="62">
        <v>534.67999999999995</v>
      </c>
      <c r="F66" s="20">
        <f>IF(AND(E5=0,E66&gt;=0),,E66/E5)</f>
        <v>2.3429769847689842E-2</v>
      </c>
      <c r="G66" s="20">
        <f>IF(AND(E124=0,E66&gt;=0),"Validar",E66/E124)</f>
        <v>6.1299923415222474E-2</v>
      </c>
      <c r="H66" s="53">
        <v>375.7</v>
      </c>
      <c r="I66" s="20">
        <f>IF(AND(H5=0,H66&gt;=0),,H66/H5)</f>
        <v>1.5634675437954017E-2</v>
      </c>
      <c r="J66" s="20">
        <f>IF(AND(H124=0,H66&gt;=0),,H66/H124)</f>
        <v>5.882389781520183E-2</v>
      </c>
      <c r="K66" s="20">
        <f t="shared" si="1"/>
        <v>-0.29733672476995582</v>
      </c>
      <c r="L66" s="53">
        <f t="shared" si="13"/>
        <v>910.37999999999988</v>
      </c>
      <c r="M66" s="20">
        <f>IF(AND(L5=0,L66&gt;=0),,L66/L5)</f>
        <v>1.9431612837952923E-2</v>
      </c>
      <c r="N66" s="37">
        <f>IF(AND(L124=0,L66&gt;=0),,L66/L124)</f>
        <v>6.0253275814370288E-2</v>
      </c>
      <c r="O66" s="62">
        <v>246.58</v>
      </c>
      <c r="P66" s="20">
        <f>IF(AND(O5=0,O66&gt;=0),,O66/O5)</f>
        <v>1.0059443650511641E-2</v>
      </c>
      <c r="Q66" s="20">
        <f>IF(AND(O124=0,O66&gt;=0),,O66/O124)</f>
        <v>4.5567608522905777E-2</v>
      </c>
      <c r="R66" s="20">
        <f t="shared" si="2"/>
        <v>-0.34367846686185782</v>
      </c>
      <c r="S66" s="53">
        <f t="shared" si="14"/>
        <v>1156.9599999999998</v>
      </c>
      <c r="T66" s="20">
        <f>IF(AND(S5=0,S66&gt;=0),,S66/S5)</f>
        <v>1.6212379707900827E-2</v>
      </c>
      <c r="U66" s="37">
        <f>IF(AND(S124=0,S66&gt;=0),,S66/S124)</f>
        <v>5.6380637527703975E-2</v>
      </c>
      <c r="V66" s="62">
        <f>400*3</f>
        <v>1200</v>
      </c>
      <c r="W66" s="20">
        <f>IF(AND(V5=0,V66&gt;=0),,V66/V5)</f>
        <v>2.1052631578947368E-2</v>
      </c>
      <c r="X66" s="37">
        <f t="shared" si="3"/>
        <v>-3.5866666666666824E-2</v>
      </c>
      <c r="Y66" s="62">
        <v>667.02</v>
      </c>
      <c r="Z66" s="20">
        <f>IF(AND(Y5=0,Y66&gt;=0),,Y66/Y5)</f>
        <v>2.855014959487397E-2</v>
      </c>
      <c r="AA66" s="20">
        <f>IF(AND(Y124=0,Y66&gt;=0),,Y66/Y124)</f>
        <v>9.8444999380125034E-2</v>
      </c>
      <c r="AB66" s="20">
        <f t="shared" si="0"/>
        <v>1.7050855706058883</v>
      </c>
      <c r="AC66" s="53">
        <f t="shared" si="10"/>
        <v>1823.9799999999998</v>
      </c>
      <c r="AD66" s="20">
        <f>IF(AND(AC5=0,AC66&gt;=0),,AC66/AC5)</f>
        <v>1.9255356378433126E-2</v>
      </c>
      <c r="AE66" s="37">
        <f>IF(AND(AC124=0,AC66&gt;=0),,AC66/AC124)</f>
        <v>6.6822049173361139E-2</v>
      </c>
      <c r="AF66" s="62">
        <v>587.95000000000005</v>
      </c>
      <c r="AG66" s="20">
        <f>IF(AND(AF5=0,AF66&gt;=0),,AF66/AF5)</f>
        <v>1.8355592422491761E-2</v>
      </c>
      <c r="AH66" s="20">
        <f>IF(AND(AF124=0,AF66&gt;=0),,AF66/AF124)</f>
        <v>8.4484314469312941E-2</v>
      </c>
      <c r="AI66" s="20">
        <f t="shared" si="6"/>
        <v>-0.51004166666666662</v>
      </c>
      <c r="AJ66" s="53">
        <f t="shared" si="7"/>
        <v>2411.9299999999998</v>
      </c>
      <c r="AK66" s="20">
        <f>IF(AND(AJ5=0,AJ66&gt;=0),,AJ66/AJ5)</f>
        <v>1.9027988680069319E-2</v>
      </c>
      <c r="AL66" s="37">
        <f>IF(AND(AJ124=0,AJ66&gt;=0),,AJ66/AJ124)</f>
        <v>7.0410294914430904E-2</v>
      </c>
      <c r="AM66" s="62">
        <v>586.65</v>
      </c>
      <c r="AN66" s="20">
        <f>IF(AND(AM5=0,AM66&gt;=0),,AM66/AM5)</f>
        <v>1.5916637138657201E-2</v>
      </c>
      <c r="AO66" s="20">
        <f>IF(AND(AM124=0,AM66&gt;=0),,AM66/AM124)</f>
        <v>6.569804098554341E-2</v>
      </c>
      <c r="AP66" s="20">
        <f t="shared" si="8"/>
        <v>-0.6783681838616652</v>
      </c>
      <c r="AQ66" s="53">
        <f t="shared" si="9"/>
        <v>2998.58</v>
      </c>
      <c r="AR66" s="20">
        <f>IF(AND(AQ5=0,AQ66&gt;=0),,AQ66/AQ5)</f>
        <v>1.8327090818656671E-2</v>
      </c>
      <c r="AS66" s="37">
        <f>IF(AND(AQ124=0,AQ66&gt;=0),,AQ66/AQ124)</f>
        <v>6.943592486716986E-2</v>
      </c>
      <c r="AT66" s="62">
        <f t="shared" si="11"/>
        <v>2400</v>
      </c>
      <c r="AU66" s="20">
        <f>IF(AND(AT5=0,AT66&gt;=0),,AT66/AT5)</f>
        <v>2.1052631578947368E-2</v>
      </c>
      <c r="AV66" s="37">
        <f t="shared" si="4"/>
        <v>0.24940833333333332</v>
      </c>
      <c r="AW66" s="62">
        <f t="shared" si="15"/>
        <v>499.76333333333332</v>
      </c>
      <c r="AX66" s="20">
        <f>IF(AND(AW5=0,AW66&gt;=0),,AW66/AW5)</f>
        <v>1.7233218390804599E-2</v>
      </c>
      <c r="AY66" s="37">
        <f>IF(AND(AW124=0,AW66&gt;=0),,AW66/AW124)</f>
        <v>6.630596241979593E-2</v>
      </c>
      <c r="AZ66" s="62">
        <f t="shared" si="12"/>
        <v>400</v>
      </c>
      <c r="BA66" s="20">
        <f>IF(AND(AZ5=0,AZ66&gt;=0),,AZ66/AZ5)</f>
        <v>2.1052631578947368E-2</v>
      </c>
      <c r="BB66" s="37">
        <f t="shared" si="5"/>
        <v>0.24940833333333332</v>
      </c>
    </row>
    <row r="67" spans="1:54" hidden="1" outlineLevel="1" x14ac:dyDescent="0.25">
      <c r="A67" s="19" t="s">
        <v>116</v>
      </c>
      <c r="B67" s="62"/>
      <c r="C67" s="20">
        <f>IF(AND(B5=0,B67&gt;=0),,B67/B5)</f>
        <v>0</v>
      </c>
      <c r="D67" s="37">
        <f>IF(AND(B124=0,B67&gt;=0),"Validar",B67/B124)</f>
        <v>0</v>
      </c>
      <c r="E67" s="62"/>
      <c r="F67" s="20">
        <f>IF(AND(E5=0,E67&gt;=0),,E67/E5)</f>
        <v>0</v>
      </c>
      <c r="G67" s="20">
        <f>IF(AND(E124=0,E67&gt;=0),"Validar",E67/E124)</f>
        <v>0</v>
      </c>
      <c r="I67" s="20">
        <f>IF(AND(H5=0,H67&gt;=0),,H67/H5)</f>
        <v>0</v>
      </c>
      <c r="J67" s="20">
        <f>IF(AND(H124=0,H67&gt;=0),,H67/H124)</f>
        <v>0</v>
      </c>
      <c r="K67" s="20">
        <f t="shared" si="1"/>
        <v>0</v>
      </c>
      <c r="L67" s="53">
        <f t="shared" si="13"/>
        <v>0</v>
      </c>
      <c r="M67" s="20">
        <f>IF(AND(L5=0,L67&gt;=0),,L67/L5)</f>
        <v>0</v>
      </c>
      <c r="N67" s="37">
        <f>IF(AND(L124=0,L67&gt;=0),,L67/L124)</f>
        <v>0</v>
      </c>
      <c r="O67" s="62"/>
      <c r="P67" s="20">
        <f>IF(AND(O5=0,O67&gt;=0),,O67/O5)</f>
        <v>0</v>
      </c>
      <c r="Q67" s="20">
        <f>IF(AND(O124=0,O67&gt;=0),,O67/O124)</f>
        <v>0</v>
      </c>
      <c r="R67" s="20">
        <f t="shared" si="2"/>
        <v>0</v>
      </c>
      <c r="S67" s="53">
        <f t="shared" si="14"/>
        <v>0</v>
      </c>
      <c r="T67" s="20">
        <f>IF(AND(S5=0,S67&gt;=0),,S67/S5)</f>
        <v>0</v>
      </c>
      <c r="U67" s="37">
        <f>IF(AND(S124=0,S67&gt;=0),,S67/S124)</f>
        <v>0</v>
      </c>
      <c r="V67" s="62"/>
      <c r="W67" s="20">
        <f>IF(AND(V5=0,V67&gt;=0),,V67/V5)</f>
        <v>0</v>
      </c>
      <c r="X67" s="37">
        <f t="shared" si="3"/>
        <v>0</v>
      </c>
      <c r="Y67" s="62"/>
      <c r="Z67" s="20">
        <f>IF(AND(Y5=0,Y67&gt;=0),,Y67/Y5)</f>
        <v>0</v>
      </c>
      <c r="AA67" s="20">
        <f>IF(AND(Y124=0,Y67&gt;=0),,Y67/Y124)</f>
        <v>0</v>
      </c>
      <c r="AB67" s="20">
        <f t="shared" si="0"/>
        <v>0</v>
      </c>
      <c r="AC67" s="53">
        <f t="shared" si="10"/>
        <v>0</v>
      </c>
      <c r="AD67" s="20">
        <f>IF(AND(AC5=0,AC67&gt;=0),,AC67/AC5)</f>
        <v>0</v>
      </c>
      <c r="AE67" s="37">
        <f>IF(AND(AC124=0,AC67&gt;=0),,AC67/AC124)</f>
        <v>0</v>
      </c>
      <c r="AF67" s="62"/>
      <c r="AG67" s="20">
        <f>IF(AND(AF5=0,AF67&gt;=0),,AF67/AF5)</f>
        <v>0</v>
      </c>
      <c r="AH67" s="20">
        <f>IF(AND(AF124=0,AF67&gt;=0),,AF67/AF124)</f>
        <v>0</v>
      </c>
      <c r="AI67" s="20">
        <f t="shared" si="6"/>
        <v>0</v>
      </c>
      <c r="AJ67" s="53">
        <f t="shared" si="7"/>
        <v>0</v>
      </c>
      <c r="AK67" s="20">
        <f>IF(AND(AJ5=0,AJ67&gt;=0),,AJ67/AJ5)</f>
        <v>0</v>
      </c>
      <c r="AL67" s="37">
        <f>IF(AND(AJ124=0,AJ67&gt;=0),,AJ67/AJ124)</f>
        <v>0</v>
      </c>
      <c r="AM67" s="62"/>
      <c r="AN67" s="20">
        <f>IF(AND(AM5=0,AM67&gt;=0),,AM67/AM5)</f>
        <v>0</v>
      </c>
      <c r="AO67" s="20">
        <f>IF(AND(AM124=0,AM67&gt;=0),,AM67/AM124)</f>
        <v>0</v>
      </c>
      <c r="AP67" s="20">
        <f t="shared" si="8"/>
        <v>0</v>
      </c>
      <c r="AQ67" s="53">
        <f t="shared" si="9"/>
        <v>0</v>
      </c>
      <c r="AR67" s="20">
        <f>IF(AND(AQ5=0,AQ67&gt;=0),,AQ67/AQ5)</f>
        <v>0</v>
      </c>
      <c r="AS67" s="37">
        <f>IF(AND(AQ124=0,AQ67&gt;=0),,AQ67/AQ124)</f>
        <v>0</v>
      </c>
      <c r="AT67" s="62">
        <f t="shared" si="11"/>
        <v>0</v>
      </c>
      <c r="AU67" s="20">
        <f>IF(AND(AT5=0,AT67&gt;=0),,AT67/AT5)</f>
        <v>0</v>
      </c>
      <c r="AV67" s="37">
        <f t="shared" si="4"/>
        <v>0</v>
      </c>
      <c r="AW67" s="62">
        <f t="shared" si="15"/>
        <v>0</v>
      </c>
      <c r="AX67" s="20">
        <f>IF(AND(AW5=0,AW67&gt;=0),,AW67/AW5)</f>
        <v>0</v>
      </c>
      <c r="AY67" s="37">
        <f>IF(AND(AW124=0,AW67&gt;=0),,AW67/AW124)</f>
        <v>0</v>
      </c>
      <c r="AZ67" s="62">
        <f t="shared" si="12"/>
        <v>0</v>
      </c>
      <c r="BA67" s="20">
        <f>IF(AND(AZ5=0,AZ67&gt;=0),,AZ67/AZ5)</f>
        <v>0</v>
      </c>
      <c r="BB67" s="37">
        <f t="shared" si="5"/>
        <v>0</v>
      </c>
    </row>
    <row r="68" spans="1:54" hidden="1" outlineLevel="1" x14ac:dyDescent="0.25">
      <c r="A68" s="19"/>
      <c r="B68" s="62"/>
      <c r="C68" s="20"/>
      <c r="D68" s="36"/>
      <c r="E68" s="62"/>
      <c r="F68" s="20"/>
      <c r="G68" s="13"/>
      <c r="I68" s="20"/>
      <c r="J68" s="13"/>
      <c r="K68" s="22">
        <f t="shared" si="1"/>
        <v>0</v>
      </c>
      <c r="M68" s="20"/>
      <c r="N68" s="36"/>
      <c r="O68" s="62"/>
      <c r="P68" s="20"/>
      <c r="Q68" s="13"/>
      <c r="R68" s="22">
        <f t="shared" si="2"/>
        <v>0</v>
      </c>
      <c r="T68" s="20"/>
      <c r="U68" s="36"/>
      <c r="V68" s="62"/>
      <c r="W68" s="20"/>
      <c r="X68" s="79">
        <f t="shared" si="3"/>
        <v>0</v>
      </c>
      <c r="Y68" s="62"/>
      <c r="Z68" s="20"/>
      <c r="AA68" s="13"/>
      <c r="AB68" s="22">
        <f t="shared" si="0"/>
        <v>0</v>
      </c>
      <c r="AD68" s="20"/>
      <c r="AE68" s="36"/>
      <c r="AF68" s="62"/>
      <c r="AG68" s="20"/>
      <c r="AH68" s="13"/>
      <c r="AI68" s="22">
        <f t="shared" si="6"/>
        <v>0</v>
      </c>
      <c r="AJ68" s="53">
        <f t="shared" si="7"/>
        <v>0</v>
      </c>
      <c r="AK68" s="20"/>
      <c r="AL68" s="36"/>
      <c r="AM68" s="62"/>
      <c r="AN68" s="20"/>
      <c r="AO68" s="13"/>
      <c r="AP68" s="22">
        <f t="shared" si="8"/>
        <v>0</v>
      </c>
      <c r="AQ68" s="53">
        <f t="shared" si="9"/>
        <v>0</v>
      </c>
      <c r="AR68" s="20"/>
      <c r="AS68" s="36"/>
      <c r="AT68" s="62">
        <f t="shared" si="11"/>
        <v>0</v>
      </c>
      <c r="AU68" s="20"/>
      <c r="AV68" s="79">
        <f t="shared" si="4"/>
        <v>0</v>
      </c>
      <c r="AW68" s="62">
        <f t="shared" si="15"/>
        <v>0</v>
      </c>
      <c r="AX68" s="20"/>
      <c r="AY68" s="36"/>
      <c r="AZ68" s="62">
        <f t="shared" si="12"/>
        <v>0</v>
      </c>
      <c r="BA68" s="20"/>
      <c r="BB68" s="79">
        <f t="shared" si="5"/>
        <v>0</v>
      </c>
    </row>
    <row r="69" spans="1:54" s="5" customFormat="1" collapsed="1" x14ac:dyDescent="0.25">
      <c r="A69" s="27" t="s">
        <v>62</v>
      </c>
      <c r="B69" s="61">
        <f>SUM(B70:B83)</f>
        <v>17587.600000000002</v>
      </c>
      <c r="C69" s="28">
        <f>IF(AND(B5=0,B69&gt;=0),,B69/B5)</f>
        <v>6.6242927771984775E-2</v>
      </c>
      <c r="D69" s="33">
        <f>IF(AND(B124=0,B69&gt;=0),"Validar",B69/B124)</f>
        <v>0.24254228934347979</v>
      </c>
      <c r="E69" s="61">
        <f>SUM(E70:E83)</f>
        <v>1605.4499999999998</v>
      </c>
      <c r="F69" s="28">
        <f>IF(AND(E5=0,E69&gt;=0),,E69/E5)</f>
        <v>7.0351095986335113E-2</v>
      </c>
      <c r="G69" s="29">
        <f>IF(AND(E124=0,E69&gt;=0),"Validar",E69/E124)</f>
        <v>0.18406142374311535</v>
      </c>
      <c r="H69" s="52">
        <f>SUM(H70:H83)</f>
        <v>1845.4800000000002</v>
      </c>
      <c r="I69" s="28">
        <f>IF(AND(H5=0,H69&gt;=0),,H69/H5)</f>
        <v>7.6799256926365148E-2</v>
      </c>
      <c r="J69" s="29">
        <f>IF(AND(H124=0,H69&gt;=0),,H69/H124)</f>
        <v>0.28894949944103987</v>
      </c>
      <c r="K69" s="28">
        <f t="shared" si="1"/>
        <v>0.14950948332243325</v>
      </c>
      <c r="L69" s="52">
        <f>SUM(L70:L83)</f>
        <v>3450.93</v>
      </c>
      <c r="M69" s="28">
        <f>IF(AND(L5=0,L69&gt;=0),,L69/L5)</f>
        <v>7.3658401646429936E-2</v>
      </c>
      <c r="N69" s="33">
        <f>IF(AND(L124=0,L69&gt;=0),,L69/L124)</f>
        <v>0.22839895110402783</v>
      </c>
      <c r="O69" s="61">
        <f>SUM(O70:O83)</f>
        <v>959.25</v>
      </c>
      <c r="P69" s="28">
        <f>IF(AND(O5=0,O69&gt;=0),,O69/O5)</f>
        <v>3.9133430617865568E-2</v>
      </c>
      <c r="Q69" s="29">
        <f>IF(AND(O124=0,O69&gt;=0),,O69/O124)</f>
        <v>0.1772679393121801</v>
      </c>
      <c r="R69" s="28">
        <f t="shared" si="2"/>
        <v>-0.48021652903309714</v>
      </c>
      <c r="S69" s="52">
        <f>SUM(S70:S83)</f>
        <v>4410.1799999999994</v>
      </c>
      <c r="T69" s="28">
        <f>IF(AND(S5=0,S69&gt;=0),,S69/S5)</f>
        <v>6.1799468209955466E-2</v>
      </c>
      <c r="U69" s="33">
        <f>IF(AND(S124=0,S69&gt;=0),,S69/S124)</f>
        <v>0.21491560642712759</v>
      </c>
      <c r="V69" s="61">
        <f>SUM(V70:V83)</f>
        <v>4162.6500000000005</v>
      </c>
      <c r="W69" s="28">
        <f>IF(AND(V5=0,V69&gt;=0),,V69/V5)</f>
        <v>7.3028947368421068E-2</v>
      </c>
      <c r="X69" s="78">
        <f t="shared" si="3"/>
        <v>5.9464523800943823E-2</v>
      </c>
      <c r="Y69" s="61">
        <f>SUM(Y70:Y83)</f>
        <v>1225.96</v>
      </c>
      <c r="Z69" s="28">
        <f>IF(AND(Y5=0,Y69&gt;=0),,Y69/Y5)</f>
        <v>5.2474200769589655E-2</v>
      </c>
      <c r="AA69" s="29">
        <f>IF(AND(Y124=0,Y69&gt;=0),,Y69/Y124)</f>
        <v>0.18093854972873091</v>
      </c>
      <c r="AB69" s="28">
        <f t="shared" ref="AB69:AB132" si="17">IF(AND(O69=0,Y69&gt;0),100%,IF(AND(O69&lt;0,Y69=0),(O69-Y69)/O69,IF(AND(O69&gt;0,Y69&gt;0),(Y69-O69)/O69,IF(AND(O69=0,Y69=0),0,(Y69-O69)/O69))))</f>
        <v>0.2780401355225437</v>
      </c>
      <c r="AC69" s="52">
        <f>SUM(AC70:AC83)</f>
        <v>5636.14</v>
      </c>
      <c r="AD69" s="28">
        <f>IF(AND(AC5=0,AC69&gt;=0),,AC69/AC5)</f>
        <v>5.9499492482780574E-2</v>
      </c>
      <c r="AE69" s="33">
        <f>IF(AND(AC124=0,AC69&gt;=0),,AC69/AC124)</f>
        <v>0.20648166330110404</v>
      </c>
      <c r="AF69" s="61">
        <f>SUM(AF70:AF83)</f>
        <v>1018.24</v>
      </c>
      <c r="AG69" s="28">
        <f>IF(AND(AF5=0,AF69&gt;=0),,AF69/AF5)</f>
        <v>3.1789095039166611E-2</v>
      </c>
      <c r="AH69" s="29">
        <f>IF(AND(AF124=0,AF69&gt;=0),,AF69/AF124)</f>
        <v>0.14631398650435104</v>
      </c>
      <c r="AI69" s="28">
        <f t="shared" si="6"/>
        <v>-0.75538659267533914</v>
      </c>
      <c r="AJ69" s="52">
        <f t="shared" si="7"/>
        <v>6654.38</v>
      </c>
      <c r="AK69" s="28">
        <f>IF(AND(AJ5=0,AJ69&gt;=0),,AJ69/AJ5)</f>
        <v>5.2497156763620711E-2</v>
      </c>
      <c r="AL69" s="33">
        <f>IF(AND(AJ124=0,AJ69&gt;=0),,AJ69/AJ124)</f>
        <v>0.19425806647485241</v>
      </c>
      <c r="AM69" s="61">
        <f>SUM(AM70:AM83)</f>
        <v>1015.47</v>
      </c>
      <c r="AN69" s="28">
        <f>IF(AND(AM5=0,AM69&gt;=0),,AM69/AM5)</f>
        <v>2.7551125057857714E-2</v>
      </c>
      <c r="AO69" s="29">
        <f>IF(AND(AM124=0,AM69&gt;=0),,AM69/AM124)</f>
        <v>0.11372094038965272</v>
      </c>
      <c r="AP69" s="28">
        <f t="shared" si="8"/>
        <v>-0.81982881901443183</v>
      </c>
      <c r="AQ69" s="52">
        <f t="shared" si="9"/>
        <v>7669.85</v>
      </c>
      <c r="AR69" s="28">
        <f>IF(AND(AQ5=0,AQ69&gt;=0),,AQ69/AQ5)</f>
        <v>4.6877534538172692E-2</v>
      </c>
      <c r="AS69" s="33">
        <f>IF(AND(AQ124=0,AQ69&gt;=0),,AQ69/AQ124)</f>
        <v>0.17760510919917519</v>
      </c>
      <c r="AT69" s="61">
        <f>SUM(AT70:AT83)</f>
        <v>8325.3000000000011</v>
      </c>
      <c r="AU69" s="28">
        <f>IF(AND(AT5=0,AT69&gt;=0),,AT69/AT5)</f>
        <v>7.3028947368421068E-2</v>
      </c>
      <c r="AV69" s="78">
        <f t="shared" si="4"/>
        <v>-7.8729895619377155E-2</v>
      </c>
      <c r="AW69" s="61">
        <f>SUM(AW70:AW83)</f>
        <v>1488.9806666666666</v>
      </c>
      <c r="AX69" s="28">
        <f>IF(AND(AW5=0,AW69&gt;=0),,AW69/AW5)</f>
        <v>5.1344160919540228E-2</v>
      </c>
      <c r="AY69" s="33">
        <f>IF(AND(AW124=0,AW69&gt;=0),,AW69/AW124)</f>
        <v>0.19755009930260861</v>
      </c>
      <c r="AZ69" s="61">
        <f>SUM(AZ70:AZ83)</f>
        <v>1387.55</v>
      </c>
      <c r="BA69" s="28">
        <f>IF(AND(AZ5=0,AZ69&gt;=0),,AZ69/AZ5)</f>
        <v>7.3028947368421054E-2</v>
      </c>
      <c r="BB69" s="78">
        <f t="shared" si="5"/>
        <v>7.3100548929167702E-2</v>
      </c>
    </row>
    <row r="70" spans="1:54" hidden="1" outlineLevel="1" x14ac:dyDescent="0.25">
      <c r="A70" s="19" t="s">
        <v>63</v>
      </c>
      <c r="B70" s="62">
        <v>2659.33</v>
      </c>
      <c r="C70" s="20">
        <f>IF(AND(B5=0,B70&gt;=0),,B70/B5)</f>
        <v>1.0016250375939425E-2</v>
      </c>
      <c r="D70" s="37">
        <f>IF(AND(B124=0,B70&gt;=0),"Validar",B70/B124)</f>
        <v>3.6673564688746392E-2</v>
      </c>
      <c r="E70" s="62">
        <v>281.62</v>
      </c>
      <c r="F70" s="20">
        <f>IF(AND(E5=0,E70&gt;=0),,E70/E5)</f>
        <v>1.2340636987555947E-2</v>
      </c>
      <c r="G70" s="20">
        <f>IF(AND(E124=0,E70&gt;=0),"Validar",E70/E124)</f>
        <v>3.228713329878611E-2</v>
      </c>
      <c r="H70" s="53">
        <v>249.42</v>
      </c>
      <c r="I70" s="20">
        <f>IF(AND(H5=0,H70&gt;=0),,H70/H5)</f>
        <v>1.0379560148348392E-2</v>
      </c>
      <c r="J70" s="20">
        <f>IF(AND(H124=0,H70&gt;=0),,H70/H124)</f>
        <v>3.9052053747851048E-2</v>
      </c>
      <c r="K70" s="20">
        <f t="shared" ref="K70:K134" si="18">IF(AND(E70=0,H70&gt;0),100%,IF(AND(E70&lt;0,H70=0),(E70-H70)/E70,IF(AND(E70&gt;0,H70&gt;0),(H70-E70)/E70,IF(AND(E70=0,H70=0),0,(H70-E70)/E70))))</f>
        <v>-0.11433847027909956</v>
      </c>
      <c r="L70" s="53">
        <f t="shared" ref="L70:L82" si="19">+E70+H70</f>
        <v>531.04</v>
      </c>
      <c r="M70" s="20">
        <f>IF(AND(L5=0,L70&gt;=0),,L70/L5)</f>
        <v>1.1334787321191723E-2</v>
      </c>
      <c r="N70" s="37">
        <f>IF(AND(L124=0,L70&gt;=0),,L70/L124)</f>
        <v>3.5146751453748105E-2</v>
      </c>
      <c r="O70" s="62">
        <v>248.45</v>
      </c>
      <c r="P70" s="20">
        <f>IF(AND(O5=0,O70&gt;=0),,O70/O5)</f>
        <v>1.0135731912440656E-2</v>
      </c>
      <c r="Q70" s="20">
        <f>IF(AND(O124=0,O70&gt;=0),,O70/O124)</f>
        <v>4.5913181675382997E-2</v>
      </c>
      <c r="R70" s="20">
        <f t="shared" ref="R70:R134" si="20">IF(AND(H70=0,O70&gt;0),100%,IF(AND(H70&lt;0,O70=0),(H70-O70)/H70,IF(AND(H70&gt;0,O70&gt;0),(O70-H70)/H70,IF(AND(H70=0,O70=0),0,(O70-H70)/H70))))</f>
        <v>-3.8890225322748733E-3</v>
      </c>
      <c r="S70" s="53">
        <f t="shared" ref="S70:S82" si="21">+L70+O70</f>
        <v>779.49</v>
      </c>
      <c r="T70" s="20">
        <f>IF(AND(S5=0,S70&gt;=0),,S70/S5)</f>
        <v>1.0922925475825974E-2</v>
      </c>
      <c r="U70" s="37">
        <f>IF(AND(S124=0,S70&gt;=0),,S70/S124)</f>
        <v>3.7985879500129632E-2</v>
      </c>
      <c r="V70" s="62">
        <f>880*3*29.02%</f>
        <v>766.12800000000004</v>
      </c>
      <c r="W70" s="20">
        <f>IF(AND(V5=0,V70&gt;=0),,V70/V5)</f>
        <v>1.3440842105263159E-2</v>
      </c>
      <c r="X70" s="37">
        <f t="shared" ref="X70:X133" si="22">IF(AND(V70=0,S70&gt;0),100%,IF(AND(V70&lt;0,S70=0),(V70-S70)/V70,IF(AND(V70&gt;0,S70&gt;0),(S70-V70)/V70,IF(AND(V70=0,S70=0),0,(S70-V70)/V70))))</f>
        <v>1.7440949815174443E-2</v>
      </c>
      <c r="Y70" s="62">
        <v>235.09</v>
      </c>
      <c r="Z70" s="20">
        <f>IF(AND(Y5=0,Y70&gt;=0),,Y70/Y5)</f>
        <v>1.0062448904469013E-2</v>
      </c>
      <c r="AA70" s="20">
        <f>IF(AND(Y124=0,Y70&gt;=0),,Y70/Y124)</f>
        <v>3.4696763071982238E-2</v>
      </c>
      <c r="AB70" s="20">
        <f t="shared" si="17"/>
        <v>-5.3773395049305638E-2</v>
      </c>
      <c r="AC70" s="53">
        <f t="shared" ref="AC70:AC82" si="23">+S70+Y70</f>
        <v>1014.58</v>
      </c>
      <c r="AD70" s="20">
        <f>IF(AND(AC5=0,AC70&gt;=0),,AC70/AC5)</f>
        <v>1.0710698294077066E-2</v>
      </c>
      <c r="AE70" s="37">
        <f>IF(AND(AC124=0,AC70&gt;=0),,AC70/AC124)</f>
        <v>3.7169439714420528E-2</v>
      </c>
      <c r="AF70" s="62">
        <v>313.81</v>
      </c>
      <c r="AG70" s="20">
        <f>IF(AND(AF5=0,AF70&gt;=0),,AF70/AF5)</f>
        <v>9.7970379421755908E-3</v>
      </c>
      <c r="AH70" s="20">
        <f>IF(AND(AF124=0,AF70&gt;=0),,AF70/AF124)</f>
        <v>4.5092308399719519E-2</v>
      </c>
      <c r="AI70" s="20">
        <f t="shared" si="6"/>
        <v>-0.59039481653196335</v>
      </c>
      <c r="AJ70" s="53">
        <f t="shared" si="7"/>
        <v>1328.39</v>
      </c>
      <c r="AK70" s="20">
        <f>IF(AND(AJ5=0,AJ70&gt;=0),,AJ70/AJ5)</f>
        <v>1.0479819017433048E-2</v>
      </c>
      <c r="AL70" s="37">
        <f>IF(AND(AJ124=0,AJ70&gt;=0),,AJ70/AJ124)</f>
        <v>3.8779040710709214E-2</v>
      </c>
      <c r="AM70" s="62">
        <v>302.17</v>
      </c>
      <c r="AN70" s="20">
        <f>IF(AND(AM5=0,AM70&gt;=0),,AM70/AM5)</f>
        <v>8.198295822360941E-3</v>
      </c>
      <c r="AO70" s="20">
        <f>IF(AND(AM124=0,AM70&gt;=0),,AM70/AM124)</f>
        <v>3.3839558586212654E-2</v>
      </c>
      <c r="AP70" s="20">
        <f t="shared" si="8"/>
        <v>-0.70217232746555225</v>
      </c>
      <c r="AQ70" s="53">
        <f t="shared" si="9"/>
        <v>1630.5600000000002</v>
      </c>
      <c r="AR70" s="20">
        <f>IF(AND(AQ5=0,AQ70&gt;=0),,AQ70/AQ5)</f>
        <v>9.9658575743414631E-3</v>
      </c>
      <c r="AS70" s="37">
        <f>IF(AND(AQ124=0,AQ70&gt;=0),,AQ70/AQ124)</f>
        <v>3.7757685855108913E-2</v>
      </c>
      <c r="AT70" s="62">
        <f t="shared" ref="AT70:AT83" si="24">+V70*2</f>
        <v>1532.2560000000001</v>
      </c>
      <c r="AU70" s="20">
        <f>IF(AND(AT5=0,AT70&gt;=0),,AT70/AT5)</f>
        <v>1.3440842105263159E-2</v>
      </c>
      <c r="AV70" s="37">
        <f t="shared" ref="AV70:AV133" si="25">IF(AND(AT70=0,AQ70&gt;0),100%,IF(AND(AT70&lt;0,AQ70=0),(AT70-AQ70)/AT70,IF(AND(AT70&gt;0,AQ70&gt;0),(AQ70-AT70)/AT70,IF(AND(AT70=0,AQ70=0),0,(AQ70-AT70)/AT70))))</f>
        <v>6.4156381179124172E-2</v>
      </c>
      <c r="AW70" s="62">
        <f t="shared" si="15"/>
        <v>271.76000000000005</v>
      </c>
      <c r="AX70" s="20">
        <f>IF(AND(AW5=0,AW70&gt;=0),,AW70/AW5)</f>
        <v>9.3710344827586216E-3</v>
      </c>
      <c r="AY70" s="37">
        <f>IF(AND(AW124=0,AW70&gt;=0),,AW70/AW124)</f>
        <v>3.6055683051051654E-2</v>
      </c>
      <c r="AZ70" s="62">
        <f t="shared" ref="AZ70:AZ83" si="26">+AT70/6</f>
        <v>255.376</v>
      </c>
      <c r="BA70" s="20">
        <f>IF(AND(AZ5=0,AZ70&gt;=0),,AZ70/AZ5)</f>
        <v>1.3440842105263157E-2</v>
      </c>
      <c r="BB70" s="37">
        <f t="shared" ref="BB70:BB133" si="27">IF(AND(AZ70=0,AW70&gt;0),100%,IF(AND(AZ70&lt;0,AW70=0),(AZ70-AW70)/AZ70,IF(AND(AZ70&gt;0,AW70&gt;0),(AW70-AZ70)/AZ70,IF(AND(AZ70=0,AW70=0),0,(AW70-AZ70)/AZ70))))</f>
        <v>6.4156381179124283E-2</v>
      </c>
    </row>
    <row r="71" spans="1:54" hidden="1" outlineLevel="1" x14ac:dyDescent="0.25">
      <c r="A71" s="19" t="s">
        <v>69</v>
      </c>
      <c r="B71" s="62">
        <v>8412.83</v>
      </c>
      <c r="C71" s="20">
        <f>IF(AND(B5=0,B71&gt;=0),,B71/B5)</f>
        <v>3.1686557008800895E-2</v>
      </c>
      <c r="D71" s="37">
        <f>IF(AND(B124=0,B71&gt;=0),"Validar",B71/B124)</f>
        <v>0.11601736723927693</v>
      </c>
      <c r="E71" s="62">
        <v>598.38</v>
      </c>
      <c r="F71" s="20">
        <f>IF(AND(E5=0,E71&gt;=0),,E71/E5)</f>
        <v>2.6221114837773337E-2</v>
      </c>
      <c r="G71" s="20">
        <f>IF(AND(E124=0,E71&gt;=0),"Validar",E71/E124)</f>
        <v>6.8602992768012322E-2</v>
      </c>
      <c r="H71" s="53">
        <v>835.83</v>
      </c>
      <c r="I71" s="20">
        <f>IF(AND(H5=0,H71&gt;=0),,H71/H5)</f>
        <v>3.4782887333790542E-2</v>
      </c>
      <c r="J71" s="20">
        <f>IF(AND(H124=0,H71&gt;=0),,H71/H124)</f>
        <v>0.13086712406409409</v>
      </c>
      <c r="K71" s="20">
        <f t="shared" si="18"/>
        <v>0.39682141782813607</v>
      </c>
      <c r="L71" s="53">
        <f t="shared" si="19"/>
        <v>1434.21</v>
      </c>
      <c r="M71" s="20">
        <f>IF(AND(L5=0,L71&gt;=0),,L71/L5)</f>
        <v>3.0612506259276858E-2</v>
      </c>
      <c r="N71" s="37">
        <f>IF(AND(L124=0,L71&gt;=0),,L71/L124)</f>
        <v>9.49228351959929E-2</v>
      </c>
      <c r="O71" s="62">
        <v>607.54999999999995</v>
      </c>
      <c r="P71" s="20">
        <f>IF(AND(O5=0,O71&gt;=0),,O71/O5)</f>
        <v>2.4785525954531377E-2</v>
      </c>
      <c r="Q71" s="20">
        <f>IF(AND(O124=0,O71&gt;=0),,O71/O124)</f>
        <v>0.11227431485964556</v>
      </c>
      <c r="R71" s="20">
        <f t="shared" si="20"/>
        <v>-0.27311773925319749</v>
      </c>
      <c r="S71" s="53">
        <f t="shared" si="21"/>
        <v>2041.76</v>
      </c>
      <c r="T71" s="20">
        <f>IF(AND(S5=0,S71&gt;=0),,S71/S5)</f>
        <v>2.8611005041145415E-2</v>
      </c>
      <c r="U71" s="37">
        <f>IF(AND(S124=0,S71&gt;=0),,S71/S124)</f>
        <v>9.9498453255570538E-2</v>
      </c>
      <c r="V71" s="62">
        <f>+(880*3)-V70</f>
        <v>1873.8719999999998</v>
      </c>
      <c r="W71" s="20">
        <f>IF(AND(V5=0,V71&gt;=0),,V71/V5)</f>
        <v>3.2874947368421052E-2</v>
      </c>
      <c r="X71" s="37">
        <f t="shared" si="22"/>
        <v>8.9594166517243529E-2</v>
      </c>
      <c r="Y71" s="62">
        <v>522.89</v>
      </c>
      <c r="Z71" s="20">
        <f>IF(AND(Y5=0,Y71&gt;=0),,Y71/Y5)</f>
        <v>2.2381019642085168E-2</v>
      </c>
      <c r="AA71" s="20">
        <f>IF(AND(Y124=0,Y71&gt;=0),,Y71/Y124)</f>
        <v>7.7172956921641889E-2</v>
      </c>
      <c r="AB71" s="20">
        <f t="shared" si="17"/>
        <v>-0.13934655583902555</v>
      </c>
      <c r="AC71" s="53">
        <f t="shared" si="23"/>
        <v>2564.65</v>
      </c>
      <c r="AD71" s="20">
        <f>IF(AND(AC5=0,AC71&gt;=0),,AC71/AC5)</f>
        <v>2.7074446943468968E-2</v>
      </c>
      <c r="AE71" s="37">
        <f>IF(AND(AC124=0,AC71&gt;=0),,AC71/AC124)</f>
        <v>9.3956714663790547E-2</v>
      </c>
      <c r="AF71" s="62">
        <v>492.19</v>
      </c>
      <c r="AG71" s="20">
        <f>IF(AND(AF5=0,AF71&gt;=0),,AF71/AF5)</f>
        <v>1.5365998867975539E-2</v>
      </c>
      <c r="AH71" s="20">
        <f>IF(AND(AF124=0,AF71&gt;=0),,AF71/AF124)</f>
        <v>7.0724270326815428E-2</v>
      </c>
      <c r="AI71" s="20">
        <f t="shared" si="6"/>
        <v>-0.73734065080218925</v>
      </c>
      <c r="AJ71" s="53">
        <f t="shared" si="7"/>
        <v>3056.84</v>
      </c>
      <c r="AK71" s="20">
        <f>IF(AND(AJ5=0,AJ71&gt;=0),,AJ71/AJ5)</f>
        <v>2.4115756641686577E-2</v>
      </c>
      <c r="AL71" s="37">
        <f>IF(AND(AJ124=0,AJ71&gt;=0),,AJ71/AJ124)</f>
        <v>8.923683768029296E-2</v>
      </c>
      <c r="AM71" s="62">
        <v>493.94</v>
      </c>
      <c r="AN71" s="20">
        <f>IF(AND(AM5=0,AM71&gt;=0),,AM71/AM5)</f>
        <v>1.3401284834685652E-2</v>
      </c>
      <c r="AO71" s="20">
        <f>IF(AND(AM124=0,AM71&gt;=0),,AM71/AM124)</f>
        <v>5.5315589132190084E-2</v>
      </c>
      <c r="AP71" s="20">
        <f t="shared" si="8"/>
        <v>-0.80740451913516464</v>
      </c>
      <c r="AQ71" s="53">
        <f t="shared" si="9"/>
        <v>3550.78</v>
      </c>
      <c r="AR71" s="20">
        <f>IF(AND(AQ5=0,AQ71&gt;=0),,AQ71/AQ5)</f>
        <v>2.1702094837246208E-2</v>
      </c>
      <c r="AS71" s="37">
        <f>IF(AND(AQ124=0,AQ71&gt;=0),,AQ71/AQ124)</f>
        <v>8.2222816566457926E-2</v>
      </c>
      <c r="AT71" s="62">
        <f t="shared" si="24"/>
        <v>3747.7439999999997</v>
      </c>
      <c r="AU71" s="20">
        <f>IF(AND(AT5=0,AT71&gt;=0),,AT71/AT5)</f>
        <v>3.2874947368421052E-2</v>
      </c>
      <c r="AV71" s="37">
        <f t="shared" si="25"/>
        <v>-5.2555350632273574E-2</v>
      </c>
      <c r="AW71" s="62">
        <f>+AZ71</f>
        <v>624.62399999999991</v>
      </c>
      <c r="AX71" s="20">
        <f>IF(AND(AW5=0,AW71&gt;=0),,AW71/AW5)</f>
        <v>2.1538758620689651E-2</v>
      </c>
      <c r="AY71" s="37">
        <f>IF(AND(AW124=0,AW71&gt;=0),,AW71/AW124)</f>
        <v>8.2871816934354137E-2</v>
      </c>
      <c r="AZ71" s="62">
        <f t="shared" si="26"/>
        <v>624.62399999999991</v>
      </c>
      <c r="BA71" s="20">
        <f>IF(AND(AZ5=0,AZ71&gt;=0),,AZ71/AZ5)</f>
        <v>3.2874947368421045E-2</v>
      </c>
      <c r="BB71" s="37">
        <f t="shared" si="27"/>
        <v>0</v>
      </c>
    </row>
    <row r="72" spans="1:54" hidden="1" outlineLevel="1" x14ac:dyDescent="0.25">
      <c r="A72" s="19" t="s">
        <v>64</v>
      </c>
      <c r="B72" s="62">
        <v>725.78</v>
      </c>
      <c r="C72" s="20">
        <f>IF(AND(B5=0,B72&gt;=0),,B72/B5)</f>
        <v>2.7336186926215683E-3</v>
      </c>
      <c r="D72" s="37">
        <f>IF(AND(B124=0,B72&gt;=0),"Validar",B72/B124)</f>
        <v>1.0008889374315469E-2</v>
      </c>
      <c r="E72" s="62"/>
      <c r="F72" s="20">
        <f>IF(AND(E5=0,E72&gt;=0),,E72/E5)</f>
        <v>0</v>
      </c>
      <c r="G72" s="20">
        <f>IF(AND(E124=0,E72&gt;=0),"Validar",E72/E124)</f>
        <v>0</v>
      </c>
      <c r="H72" s="53">
        <v>5</v>
      </c>
      <c r="I72" s="20">
        <f>IF(AND(H5=0,H72&gt;=0),,H72/H5)</f>
        <v>2.0807393449499625E-4</v>
      </c>
      <c r="J72" s="20">
        <f>IF(AND(H124=0,H72&gt;=0),,H72/H124)</f>
        <v>7.8285730390207384E-4</v>
      </c>
      <c r="K72" s="20">
        <f t="shared" si="18"/>
        <v>1</v>
      </c>
      <c r="L72" s="53">
        <f t="shared" si="19"/>
        <v>5</v>
      </c>
      <c r="M72" s="20">
        <f>IF(AND(L5=0,L72&gt;=0),,L72/L5)</f>
        <v>1.0672253804978649E-4</v>
      </c>
      <c r="N72" s="37">
        <f>IF(AND(L124=0,L72&gt;=0),,L72/L124)</f>
        <v>3.3092376707732099E-4</v>
      </c>
      <c r="O72" s="62">
        <v>10</v>
      </c>
      <c r="P72" s="20">
        <f>IF(AND(O5=0,O72&gt;=0),,O72/O5)</f>
        <v>4.079586199412621E-4</v>
      </c>
      <c r="Q72" s="20">
        <f>IF(AND(O124=0,O72&gt;=0),,O72/O124)</f>
        <v>1.847984772605474E-3</v>
      </c>
      <c r="R72" s="20">
        <f t="shared" si="20"/>
        <v>1</v>
      </c>
      <c r="S72" s="53">
        <f t="shared" si="21"/>
        <v>15</v>
      </c>
      <c r="T72" s="20">
        <f>IF(AND(S5=0,S72&gt;=0),,S72/S5)</f>
        <v>2.1019369348854969E-4</v>
      </c>
      <c r="U72" s="37">
        <f>IF(AND(S124=0,S72&gt;=0),,S72/S124)</f>
        <v>7.3097562829791849E-4</v>
      </c>
      <c r="V72" s="62">
        <f>5*3</f>
        <v>15</v>
      </c>
      <c r="W72" s="20">
        <f>IF(AND(V5=0,V72&gt;=0),,V72/V5)</f>
        <v>2.631578947368421E-4</v>
      </c>
      <c r="X72" s="37">
        <f t="shared" si="22"/>
        <v>0</v>
      </c>
      <c r="Y72" s="62"/>
      <c r="Z72" s="20">
        <f>IF(AND(Y5=0,Y72&gt;=0),,Y72/Y5)</f>
        <v>0</v>
      </c>
      <c r="AA72" s="20">
        <f>IF(AND(Y124=0,Y72&gt;=0),,Y72/Y124)</f>
        <v>0</v>
      </c>
      <c r="AB72" s="20">
        <f t="shared" si="17"/>
        <v>-1</v>
      </c>
      <c r="AC72" s="53">
        <f t="shared" si="23"/>
        <v>15</v>
      </c>
      <c r="AD72" s="20">
        <f>IF(AND(AC5=0,AC72&gt;=0),,AC72/AC5)</f>
        <v>1.5835170652994931E-4</v>
      </c>
      <c r="AE72" s="37">
        <f>IF(AND(AC124=0,AC72&gt;=0),,AC72/AC124)</f>
        <v>5.4952945624426653E-4</v>
      </c>
      <c r="AF72" s="62"/>
      <c r="AG72" s="20">
        <f>IF(AND(AF5=0,AF72&gt;=0),,AF72/AF5)</f>
        <v>0</v>
      </c>
      <c r="AH72" s="20">
        <f>IF(AND(AF124=0,AF72&gt;=0),,AF72/AF124)</f>
        <v>0</v>
      </c>
      <c r="AI72" s="20">
        <f t="shared" ref="AI72:AI115" si="28">IF(AND(V72=0,AF72&gt;0),100%,IF(AND(V72&lt;0,AF72=0),(V72-AF72)/V72,IF(AND(V72&gt;0,AF72&gt;0),(AF72-V72)/V72,IF(AND(V72=0,AF72=0),0,(AF72-V72)/V72))))</f>
        <v>-1</v>
      </c>
      <c r="AJ72" s="53">
        <f t="shared" ref="AJ72:AJ135" si="29">+AC72+AF72</f>
        <v>15</v>
      </c>
      <c r="AK72" s="20">
        <f>IF(AND(AJ5=0,AJ72&gt;=0),,AJ72/AJ5)</f>
        <v>1.1833669725118053E-4</v>
      </c>
      <c r="AL72" s="37">
        <f>IF(AND(AJ124=0,AJ72&gt;=0),,AJ72/AJ124)</f>
        <v>4.3788767655631117E-4</v>
      </c>
      <c r="AM72" s="62"/>
      <c r="AN72" s="20">
        <f>IF(AND(AM5=0,AM72&gt;=0),,AM72/AM5)</f>
        <v>0</v>
      </c>
      <c r="AO72" s="20">
        <f>IF(AND(AM124=0,AM72&gt;=0),,AM72/AM124)</f>
        <v>0</v>
      </c>
      <c r="AP72" s="20">
        <f t="shared" ref="AP72:AP115" si="30">IF(AND(AC72=0,AM72&gt;0),100%,IF(AND(AC72&lt;0,AM72=0),(AC72-AM72)/AC72,IF(AND(AC72&gt;0,AM72&gt;0),(AM72-AC72)/AC72,IF(AND(AC72=0,AM72=0),0,(AM72-AC72)/AC72))))</f>
        <v>-1</v>
      </c>
      <c r="AQ72" s="53">
        <f t="shared" ref="AQ72:AQ135" si="31">+AJ72+AM72</f>
        <v>15</v>
      </c>
      <c r="AR72" s="20">
        <f>IF(AND(AQ5=0,AQ72&gt;=0),,AQ72/AQ5)</f>
        <v>9.1678848748357578E-5</v>
      </c>
      <c r="AS72" s="37">
        <f>IF(AND(AQ124=0,AQ72&gt;=0),,AQ72/AQ124)</f>
        <v>3.4734403384520266E-4</v>
      </c>
      <c r="AT72" s="62">
        <f t="shared" si="24"/>
        <v>30</v>
      </c>
      <c r="AU72" s="20">
        <f>IF(AND(AT5=0,AT72&gt;=0),,AT72/AT5)</f>
        <v>2.631578947368421E-4</v>
      </c>
      <c r="AV72" s="37">
        <f t="shared" si="25"/>
        <v>-0.5</v>
      </c>
      <c r="AW72" s="62">
        <f>+AZ72</f>
        <v>5</v>
      </c>
      <c r="AX72" s="20">
        <f>IF(AND(AW5=0,AW72&gt;=0),,AW72/AW5)</f>
        <v>1.7241379310344826E-4</v>
      </c>
      <c r="AY72" s="37">
        <f>IF(AND(AW124=0,AW72&gt;=0),,AW72/AW124)</f>
        <v>6.6337362104525405E-4</v>
      </c>
      <c r="AZ72" s="62">
        <f t="shared" si="26"/>
        <v>5</v>
      </c>
      <c r="BA72" s="20">
        <f>IF(AND(AZ5=0,AZ72&gt;=0),,AZ72/AZ5)</f>
        <v>2.631578947368421E-4</v>
      </c>
      <c r="BB72" s="37">
        <f t="shared" si="27"/>
        <v>0</v>
      </c>
    </row>
    <row r="73" spans="1:54" hidden="1" outlineLevel="1" x14ac:dyDescent="0.25">
      <c r="A73" s="19" t="s">
        <v>65</v>
      </c>
      <c r="B73" s="62">
        <v>228.83</v>
      </c>
      <c r="C73" s="20">
        <f>IF(AND(B5=0,B73&gt;=0),,B73/B5)</f>
        <v>8.6187820749069081E-4</v>
      </c>
      <c r="D73" s="37">
        <f>IF(AND(B124=0,B73&gt;=0),"Validar",B73/B124)</f>
        <v>3.1556865104089516E-3</v>
      </c>
      <c r="E73" s="62"/>
      <c r="F73" s="20">
        <f>IF(AND(E5=0,E73&gt;=0),,E73/E5)</f>
        <v>0</v>
      </c>
      <c r="G73" s="20">
        <f>IF(AND(E124=0,E73&gt;=0),"Validar",E73/E124)</f>
        <v>0</v>
      </c>
      <c r="H73" s="53">
        <v>49.59</v>
      </c>
      <c r="I73" s="20">
        <f>IF(AND(H5=0,H73&gt;=0),,H73/H5)</f>
        <v>2.0636772823213732E-3</v>
      </c>
      <c r="J73" s="20">
        <f>IF(AND(H124=0,H73&gt;=0),,H73/H124)</f>
        <v>7.7643787401007695E-3</v>
      </c>
      <c r="K73" s="20">
        <f t="shared" si="18"/>
        <v>1</v>
      </c>
      <c r="L73" s="53">
        <f t="shared" si="19"/>
        <v>49.59</v>
      </c>
      <c r="M73" s="20">
        <f>IF(AND(L5=0,L73&gt;=0),,L73/L5)</f>
        <v>1.0584741323777826E-3</v>
      </c>
      <c r="N73" s="37">
        <f>IF(AND(L124=0,L73&gt;=0),,L73/L124)</f>
        <v>3.2821019218728697E-3</v>
      </c>
      <c r="O73" s="62"/>
      <c r="P73" s="20">
        <f>IF(AND(O5=0,O73&gt;=0),,O73/O5)</f>
        <v>0</v>
      </c>
      <c r="Q73" s="20">
        <f>IF(AND(O124=0,O73&gt;=0),,O73/O124)</f>
        <v>0</v>
      </c>
      <c r="R73" s="20">
        <f t="shared" si="20"/>
        <v>-1</v>
      </c>
      <c r="S73" s="53">
        <f t="shared" si="21"/>
        <v>49.59</v>
      </c>
      <c r="T73" s="20">
        <f>IF(AND(S5=0,S73&gt;=0),,S73/S5)</f>
        <v>6.9490035067314539E-4</v>
      </c>
      <c r="U73" s="37">
        <f>IF(AND(S124=0,S73&gt;=0),,S73/S124)</f>
        <v>2.4166054271529186E-3</v>
      </c>
      <c r="V73" s="62">
        <f>21.92*3</f>
        <v>65.760000000000005</v>
      </c>
      <c r="W73" s="20">
        <f>IF(AND(V5=0,V73&gt;=0),,V73/V5)</f>
        <v>1.1536842105263159E-3</v>
      </c>
      <c r="X73" s="37">
        <f t="shared" si="22"/>
        <v>-0.24589416058394162</v>
      </c>
      <c r="Y73" s="62"/>
      <c r="Z73" s="20">
        <f>IF(AND(Y5=0,Y73&gt;=0),,Y73/Y5)</f>
        <v>0</v>
      </c>
      <c r="AA73" s="20">
        <f>IF(AND(Y124=0,Y73&gt;=0),,Y73/Y124)</f>
        <v>0</v>
      </c>
      <c r="AB73" s="20">
        <f t="shared" si="17"/>
        <v>0</v>
      </c>
      <c r="AC73" s="53">
        <f t="shared" si="23"/>
        <v>49.59</v>
      </c>
      <c r="AD73" s="20">
        <f>IF(AND(AC5=0,AC73&gt;=0),,AC73/AC5)</f>
        <v>5.2351074178801245E-4</v>
      </c>
      <c r="AE73" s="37">
        <f>IF(AND(AC124=0,AC73&gt;=0),,AC73/AC124)</f>
        <v>1.8167443823435454E-3</v>
      </c>
      <c r="AF73" s="62"/>
      <c r="AG73" s="20">
        <f>IF(AND(AF5=0,AF73&gt;=0),,AF73/AF5)</f>
        <v>0</v>
      </c>
      <c r="AH73" s="20">
        <f>IF(AND(AF124=0,AF73&gt;=0),,AF73/AF124)</f>
        <v>0</v>
      </c>
      <c r="AI73" s="20">
        <f t="shared" si="28"/>
        <v>-1</v>
      </c>
      <c r="AJ73" s="53">
        <f t="shared" si="29"/>
        <v>49.59</v>
      </c>
      <c r="AK73" s="20">
        <f>IF(AND(AJ5=0,AJ73&gt;=0),,AJ73/AJ5)</f>
        <v>3.9122112111240285E-4</v>
      </c>
      <c r="AL73" s="37">
        <f>IF(AND(AJ124=0,AJ73&gt;=0),,AJ73/AJ124)</f>
        <v>1.4476566586951649E-3</v>
      </c>
      <c r="AM73" s="62"/>
      <c r="AN73" s="20">
        <f>IF(AND(AM5=0,AM73&gt;=0),,AM73/AM5)</f>
        <v>0</v>
      </c>
      <c r="AO73" s="20">
        <f>IF(AND(AM124=0,AM73&gt;=0),,AM73/AM124)</f>
        <v>0</v>
      </c>
      <c r="AP73" s="20">
        <f t="shared" si="30"/>
        <v>-1</v>
      </c>
      <c r="AQ73" s="53">
        <f t="shared" si="31"/>
        <v>49.59</v>
      </c>
      <c r="AR73" s="20">
        <f>IF(AND(AQ5=0,AQ73&gt;=0),,AQ73/AQ5)</f>
        <v>3.0309027396207015E-4</v>
      </c>
      <c r="AS73" s="37">
        <f>IF(AND(AQ124=0,AQ73&gt;=0),,AQ73/AQ124)</f>
        <v>1.1483193758922402E-3</v>
      </c>
      <c r="AT73" s="62">
        <f t="shared" si="24"/>
        <v>131.52000000000001</v>
      </c>
      <c r="AU73" s="20">
        <f>IF(AND(AT5=0,AT73&gt;=0),,AT73/AT5)</f>
        <v>1.1536842105263159E-3</v>
      </c>
      <c r="AV73" s="37">
        <f t="shared" si="25"/>
        <v>-0.62294708029197077</v>
      </c>
      <c r="AW73" s="62">
        <f>+AZ73</f>
        <v>21.92</v>
      </c>
      <c r="AX73" s="20">
        <f>IF(AND(AW5=0,AW73&gt;=0),,AW73/AW5)</f>
        <v>7.5586206896551726E-4</v>
      </c>
      <c r="AY73" s="37">
        <f>IF(AND(AW124=0,AW73&gt;=0),,AW73/AW124)</f>
        <v>2.9082299546623939E-3</v>
      </c>
      <c r="AZ73" s="62">
        <f t="shared" si="26"/>
        <v>21.92</v>
      </c>
      <c r="BA73" s="20">
        <f>IF(AND(AZ5=0,AZ73&gt;=0),,AZ73/AZ5)</f>
        <v>1.1536842105263159E-3</v>
      </c>
      <c r="BB73" s="37">
        <f t="shared" si="27"/>
        <v>0</v>
      </c>
    </row>
    <row r="74" spans="1:54" hidden="1" outlineLevel="1" x14ac:dyDescent="0.25">
      <c r="A74" s="19" t="s">
        <v>66</v>
      </c>
      <c r="B74" s="62">
        <v>928.33</v>
      </c>
      <c r="C74" s="20">
        <f>IF(AND(B5=0,B74&gt;=0),,B74/B5)</f>
        <v>3.4965144271285799E-3</v>
      </c>
      <c r="D74" s="37">
        <f>IF(AND(B124=0,B74&gt;=0),"Validar",B74/B124)</f>
        <v>1.2802160810243159E-2</v>
      </c>
      <c r="E74" s="62"/>
      <c r="F74" s="20">
        <f>IF(AND(E5=0,E74&gt;=0),,E74/E5)</f>
        <v>0</v>
      </c>
      <c r="G74" s="20">
        <f>IF(AND(E124=0,E74&gt;=0),"Validar",E74/E124)</f>
        <v>0</v>
      </c>
      <c r="H74" s="53">
        <v>11.67</v>
      </c>
      <c r="I74" s="20">
        <f>IF(AND(H5=0,H74&gt;=0),,H74/H5)</f>
        <v>4.8564456311132127E-4</v>
      </c>
      <c r="J74" s="20">
        <f>IF(AND(H124=0,H74&gt;=0),,H74/H124)</f>
        <v>1.8271889473074404E-3</v>
      </c>
      <c r="K74" s="20">
        <f t="shared" si="18"/>
        <v>1</v>
      </c>
      <c r="L74" s="53">
        <f t="shared" si="19"/>
        <v>11.67</v>
      </c>
      <c r="M74" s="20">
        <f>IF(AND(L5=0,L74&gt;=0),,L74/L5)</f>
        <v>2.4909040380820165E-4</v>
      </c>
      <c r="N74" s="37">
        <f>IF(AND(L124=0,L74&gt;=0),,L74/L124)</f>
        <v>7.7237607235846717E-4</v>
      </c>
      <c r="O74" s="62"/>
      <c r="P74" s="20">
        <f>IF(AND(O5=0,O74&gt;=0),,O74/O5)</f>
        <v>0</v>
      </c>
      <c r="Q74" s="20">
        <f>IF(AND(O124=0,O74&gt;=0),,O74/O124)</f>
        <v>0</v>
      </c>
      <c r="R74" s="20">
        <f t="shared" si="20"/>
        <v>-1</v>
      </c>
      <c r="S74" s="53">
        <f t="shared" si="21"/>
        <v>11.67</v>
      </c>
      <c r="T74" s="20">
        <f>IF(AND(S5=0,S74&gt;=0),,S74/S5)</f>
        <v>1.6353069353409168E-4</v>
      </c>
      <c r="U74" s="37">
        <f>IF(AND(S124=0,S74&gt;=0),,S74/S124)</f>
        <v>5.6869903881578054E-4</v>
      </c>
      <c r="V74" s="62">
        <f>76*3</f>
        <v>228</v>
      </c>
      <c r="W74" s="20">
        <f>IF(AND(V5=0,V74&gt;=0),,V74/V5)</f>
        <v>4.0000000000000001E-3</v>
      </c>
      <c r="X74" s="37">
        <f t="shared" si="22"/>
        <v>-0.94881578947368428</v>
      </c>
      <c r="Y74" s="62"/>
      <c r="Z74" s="20">
        <f>IF(AND(Y5=0,Y74&gt;=0),,Y74/Y5)</f>
        <v>0</v>
      </c>
      <c r="AA74" s="20">
        <f>IF(AND(Y124=0,Y74&gt;=0),,Y74/Y124)</f>
        <v>0</v>
      </c>
      <c r="AB74" s="20">
        <f t="shared" si="17"/>
        <v>0</v>
      </c>
      <c r="AC74" s="53">
        <f t="shared" si="23"/>
        <v>11.67</v>
      </c>
      <c r="AD74" s="20">
        <f>IF(AND(AC5=0,AC74&gt;=0),,AC74/AC5)</f>
        <v>1.2319762768030055E-4</v>
      </c>
      <c r="AE74" s="37">
        <f>IF(AND(AC124=0,AC74&gt;=0),,AC74/AC124)</f>
        <v>4.2753391695803935E-4</v>
      </c>
      <c r="AF74" s="62"/>
      <c r="AG74" s="20">
        <f>IF(AND(AF5=0,AF74&gt;=0),,AF74/AF5)</f>
        <v>0</v>
      </c>
      <c r="AH74" s="20">
        <f>IF(AND(AF124=0,AF74&gt;=0),,AF74/AF124)</f>
        <v>0</v>
      </c>
      <c r="AI74" s="20">
        <f t="shared" si="28"/>
        <v>-1</v>
      </c>
      <c r="AJ74" s="53">
        <f t="shared" si="29"/>
        <v>11.67</v>
      </c>
      <c r="AK74" s="20">
        <f>IF(AND(AJ5=0,AJ74&gt;=0),,AJ74/AJ5)</f>
        <v>9.2065950461418439E-5</v>
      </c>
      <c r="AL74" s="37">
        <f>IF(AND(AJ124=0,AJ74&gt;=0),,AJ74/AJ124)</f>
        <v>3.4067661236081011E-4</v>
      </c>
      <c r="AM74" s="62"/>
      <c r="AN74" s="20">
        <f>IF(AND(AM5=0,AM74&gt;=0),,AM74/AM5)</f>
        <v>0</v>
      </c>
      <c r="AO74" s="20">
        <f>IF(AND(AM124=0,AM74&gt;=0),,AM74/AM124)</f>
        <v>0</v>
      </c>
      <c r="AP74" s="20">
        <f t="shared" si="30"/>
        <v>-1</v>
      </c>
      <c r="AQ74" s="53">
        <f t="shared" si="31"/>
        <v>11.67</v>
      </c>
      <c r="AR74" s="20">
        <f>IF(AND(AQ5=0,AQ74&gt;=0),,AQ74/AQ5)</f>
        <v>7.1326144326222199E-5</v>
      </c>
      <c r="AS74" s="37">
        <f>IF(AND(AQ124=0,AQ74&gt;=0),,AQ74/AQ124)</f>
        <v>2.7023365833156769E-4</v>
      </c>
      <c r="AT74" s="62">
        <f t="shared" si="24"/>
        <v>456</v>
      </c>
      <c r="AU74" s="20">
        <f>IF(AND(AT5=0,AT74&gt;=0),,AT74/AT5)</f>
        <v>4.0000000000000001E-3</v>
      </c>
      <c r="AV74" s="37">
        <f t="shared" si="25"/>
        <v>-0.97440789473684208</v>
      </c>
      <c r="AW74" s="62">
        <f>+AZ74</f>
        <v>76</v>
      </c>
      <c r="AX74" s="20">
        <f>IF(AND(AW5=0,AW74&gt;=0),,AW74/AW5)</f>
        <v>2.620689655172414E-3</v>
      </c>
      <c r="AY74" s="37">
        <f>IF(AND(AW124=0,AW74&gt;=0),,AW74/AW124)</f>
        <v>1.0083279039887861E-2</v>
      </c>
      <c r="AZ74" s="62">
        <f t="shared" si="26"/>
        <v>76</v>
      </c>
      <c r="BA74" s="20">
        <f>IF(AND(AZ5=0,AZ74&gt;=0),,AZ74/AZ5)</f>
        <v>4.0000000000000001E-3</v>
      </c>
      <c r="BB74" s="37">
        <f t="shared" si="27"/>
        <v>0</v>
      </c>
    </row>
    <row r="75" spans="1:54" hidden="1" outlineLevel="1" x14ac:dyDescent="0.25">
      <c r="A75" s="19" t="s">
        <v>67</v>
      </c>
      <c r="B75" s="62">
        <v>511.76</v>
      </c>
      <c r="C75" s="20">
        <f>IF(AND(B5=0,B75&gt;=0),,B75/B5)</f>
        <v>1.9275217037339331E-3</v>
      </c>
      <c r="D75" s="37">
        <f>IF(AND(B124=0,B75&gt;=0),"Validar",B75/B124)</f>
        <v>7.0574405828208063E-3</v>
      </c>
      <c r="E75" s="62">
        <v>169.14</v>
      </c>
      <c r="F75" s="20">
        <f>IF(AND(E5=0,E75&gt;=0),,E75/E5)</f>
        <v>7.4117439815184032E-3</v>
      </c>
      <c r="G75" s="20">
        <f>IF(AND(E124=0,E75&gt;=0),"Validar",E75/E124)</f>
        <v>1.9391540821520777E-2</v>
      </c>
      <c r="H75" s="53">
        <v>368.35</v>
      </c>
      <c r="I75" s="20">
        <f>IF(AND(H5=0,H75&gt;=0),,H75/H5)</f>
        <v>1.5328806754246374E-2</v>
      </c>
      <c r="J75" s="20">
        <f>IF(AND(H124=0,H75&gt;=0),,H75/H124)</f>
        <v>5.7673097578465789E-2</v>
      </c>
      <c r="K75" s="20">
        <f t="shared" si="18"/>
        <v>1.1777817192857991</v>
      </c>
      <c r="L75" s="53">
        <f t="shared" si="19"/>
        <v>537.49</v>
      </c>
      <c r="M75" s="20">
        <f>IF(AND(L5=0,L75&gt;=0),,L75/L5)</f>
        <v>1.1472459395275948E-2</v>
      </c>
      <c r="N75" s="37">
        <f>IF(AND(L124=0,L75&gt;=0),,L75/L124)</f>
        <v>3.5573643113277847E-2</v>
      </c>
      <c r="O75" s="62"/>
      <c r="P75" s="20">
        <f>IF(AND(O5=0,O75&gt;=0),,O75/O5)</f>
        <v>0</v>
      </c>
      <c r="Q75" s="20">
        <f>IF(AND(O124=0,O75&gt;=0),,O75/O124)</f>
        <v>0</v>
      </c>
      <c r="R75" s="20">
        <f t="shared" si="20"/>
        <v>-1</v>
      </c>
      <c r="S75" s="53">
        <f t="shared" si="21"/>
        <v>537.49</v>
      </c>
      <c r="T75" s="20">
        <f>IF(AND(S5=0,S75&gt;=0),,S75/S5)</f>
        <v>7.5318005542107051E-3</v>
      </c>
      <c r="U75" s="37">
        <f>IF(AND(S124=0,S75&gt;=0),,S75/S124)</f>
        <v>2.6192806030256546E-2</v>
      </c>
      <c r="V75" s="62">
        <f>36.2*3</f>
        <v>108.60000000000001</v>
      </c>
      <c r="W75" s="20">
        <f>IF(AND(V5=0,V75&gt;=0),,V75/V5)</f>
        <v>1.9052631578947369E-3</v>
      </c>
      <c r="X75" s="37">
        <f t="shared" si="22"/>
        <v>3.949263351749539</v>
      </c>
      <c r="Y75" s="62"/>
      <c r="Z75" s="20">
        <f>IF(AND(Y5=0,Y75&gt;=0),,Y75/Y5)</f>
        <v>0</v>
      </c>
      <c r="AA75" s="20">
        <f>IF(AND(Y124=0,Y75&gt;=0),,Y75/Y124)</f>
        <v>0</v>
      </c>
      <c r="AB75" s="20">
        <f t="shared" si="17"/>
        <v>0</v>
      </c>
      <c r="AC75" s="53">
        <f t="shared" si="23"/>
        <v>537.49</v>
      </c>
      <c r="AD75" s="20">
        <f>IF(AND(AC5=0,AC75&gt;=0),,AC75/AC5)</f>
        <v>5.6741639161854976E-3</v>
      </c>
      <c r="AE75" s="37">
        <f>IF(AND(AC124=0,AC75&gt;=0),,AC75/AC124)</f>
        <v>1.9691105829115388E-2</v>
      </c>
      <c r="AF75" s="62"/>
      <c r="AG75" s="20">
        <f>IF(AND(AF5=0,AF75&gt;=0),,AF75/AF5)</f>
        <v>0</v>
      </c>
      <c r="AH75" s="20">
        <f>IF(AND(AF124=0,AF75&gt;=0),,AF75/AF124)</f>
        <v>0</v>
      </c>
      <c r="AI75" s="20">
        <f t="shared" si="28"/>
        <v>-1</v>
      </c>
      <c r="AJ75" s="53">
        <f t="shared" si="29"/>
        <v>537.49</v>
      </c>
      <c r="AK75" s="20">
        <f>IF(AND(AJ5=0,AJ75&gt;=0),,AJ75/AJ5)</f>
        <v>4.240319427035801E-3</v>
      </c>
      <c r="AL75" s="37">
        <f>IF(AND(AJ124=0,AJ75&gt;=0),,AJ75/AJ124)</f>
        <v>1.5690683151483448E-2</v>
      </c>
      <c r="AM75" s="62"/>
      <c r="AN75" s="20">
        <f>IF(AND(AM5=0,AM75&gt;=0),,AM75/AM5)</f>
        <v>0</v>
      </c>
      <c r="AO75" s="20">
        <f>IF(AND(AM124=0,AM75&gt;=0),,AM75/AM124)</f>
        <v>0</v>
      </c>
      <c r="AP75" s="20">
        <f t="shared" si="30"/>
        <v>-1</v>
      </c>
      <c r="AQ75" s="53">
        <f t="shared" si="31"/>
        <v>537.49</v>
      </c>
      <c r="AR75" s="20">
        <f>IF(AND(AQ5=0,AQ75&gt;=0),,AQ75/AQ5)</f>
        <v>3.2850976275836477E-3</v>
      </c>
      <c r="AS75" s="37">
        <f>IF(AND(AQ124=0,AQ75&gt;=0),,AQ75/AQ124)</f>
        <v>1.2446262983430533E-2</v>
      </c>
      <c r="AT75" s="62">
        <f t="shared" si="24"/>
        <v>217.20000000000002</v>
      </c>
      <c r="AU75" s="20">
        <f>IF(AND(AT5=0,AT75&gt;=0),,AT75/AT5)</f>
        <v>1.9052631578947369E-3</v>
      </c>
      <c r="AV75" s="37">
        <f t="shared" si="25"/>
        <v>1.4746316758747695</v>
      </c>
      <c r="AW75" s="62">
        <f t="shared" si="15"/>
        <v>89.581666666666663</v>
      </c>
      <c r="AX75" s="20">
        <f>IF(AND(AW5=0,AW75&gt;=0),,AW75/AW5)</f>
        <v>3.0890229885057472E-3</v>
      </c>
      <c r="AY75" s="37">
        <f>IF(AND(AW124=0,AW75&gt;=0),,AW75/AW124)</f>
        <v>1.188522291918712E-2</v>
      </c>
      <c r="AZ75" s="62">
        <f t="shared" si="26"/>
        <v>36.200000000000003</v>
      </c>
      <c r="BA75" s="20">
        <f>IF(AND(AZ5=0,AZ75&gt;=0),,AZ75/AZ5)</f>
        <v>1.9052631578947369E-3</v>
      </c>
      <c r="BB75" s="37">
        <f t="shared" si="27"/>
        <v>1.4746316758747695</v>
      </c>
    </row>
    <row r="76" spans="1:54" hidden="1" outlineLevel="1" x14ac:dyDescent="0.25">
      <c r="A76" s="19" t="s">
        <v>68</v>
      </c>
      <c r="B76" s="62">
        <v>94.25</v>
      </c>
      <c r="C76" s="20">
        <f>IF(AND(B5=0,B76&gt;=0),,B76/B5)</f>
        <v>3.5498851136650614E-4</v>
      </c>
      <c r="D76" s="37">
        <f>IF(AND(B124=0,B76&gt;=0),"Validar",B76/B124)</f>
        <v>1.2997572591270537E-3</v>
      </c>
      <c r="E76" s="62">
        <v>11.38</v>
      </c>
      <c r="F76" s="20">
        <f>IF(AND(E5=0,E76&gt;=0),,E76/E5)</f>
        <v>4.9867356337755374E-4</v>
      </c>
      <c r="G76" s="20">
        <f>IF(AND(E124=0,E76&gt;=0),"Validar",E76/E124)</f>
        <v>1.3046927666365525E-3</v>
      </c>
      <c r="H76" s="53">
        <v>5.0199999999999996</v>
      </c>
      <c r="I76" s="20">
        <f>IF(AND(H5=0,H76&gt;=0),,H76/H5)</f>
        <v>2.0890623023297623E-4</v>
      </c>
      <c r="J76" s="20">
        <f>IF(AND(H124=0,H76&gt;=0),,H76/H124)</f>
        <v>7.8598873311768206E-4</v>
      </c>
      <c r="K76" s="20">
        <f t="shared" si="18"/>
        <v>-0.55887521968365561</v>
      </c>
      <c r="L76" s="53">
        <f t="shared" si="19"/>
        <v>16.399999999999999</v>
      </c>
      <c r="M76" s="20">
        <f>IF(AND(L5=0,L76&gt;=0),,L76/L5)</f>
        <v>3.5004992480329965E-4</v>
      </c>
      <c r="N76" s="37">
        <f>IF(AND(L124=0,L76&gt;=0),,L76/L124)</f>
        <v>1.0854299560136126E-3</v>
      </c>
      <c r="O76" s="62">
        <v>4.34</v>
      </c>
      <c r="P76" s="20">
        <f>IF(AND(O5=0,O76&gt;=0),,O76/O5)</f>
        <v>1.7705404105450775E-4</v>
      </c>
      <c r="Q76" s="20">
        <f>IF(AND(O124=0,O76&gt;=0),,O76/O124)</f>
        <v>8.0202539131077571E-4</v>
      </c>
      <c r="R76" s="20">
        <f t="shared" si="20"/>
        <v>-0.13545816733067725</v>
      </c>
      <c r="S76" s="53">
        <f t="shared" si="21"/>
        <v>20.74</v>
      </c>
      <c r="T76" s="20">
        <f>IF(AND(S5=0,S76&gt;=0),,S76/S5)</f>
        <v>2.9062781353016804E-4</v>
      </c>
      <c r="U76" s="37">
        <f>IF(AND(S124=0,S76&gt;=0),,S76/S124)</f>
        <v>1.0106956353932552E-3</v>
      </c>
      <c r="V76" s="62">
        <f>9.37*3</f>
        <v>28.11</v>
      </c>
      <c r="W76" s="20">
        <f>IF(AND(V5=0,V76&gt;=0),,V76/V5)</f>
        <v>4.9315789473684205E-4</v>
      </c>
      <c r="X76" s="37">
        <f t="shared" si="22"/>
        <v>-0.26218427605834227</v>
      </c>
      <c r="Y76" s="62">
        <v>3.31</v>
      </c>
      <c r="Z76" s="20">
        <f>IF(AND(Y5=0,Y76&gt;=0),,Y76/Y5)</f>
        <v>1.4167640424429979E-4</v>
      </c>
      <c r="AA76" s="20">
        <f>IF(AND(Y124=0,Y76&gt;=0),,Y76/Y124)</f>
        <v>4.8852050605411213E-4</v>
      </c>
      <c r="AB76" s="20">
        <f t="shared" si="17"/>
        <v>-0.23732718894009214</v>
      </c>
      <c r="AC76" s="53">
        <f t="shared" si="23"/>
        <v>24.049999999999997</v>
      </c>
      <c r="AD76" s="20">
        <f>IF(AND(AC5=0,AC76&gt;=0),,AC76/AC5)</f>
        <v>2.5389056946968538E-4</v>
      </c>
      <c r="AE76" s="37">
        <f>IF(AND(AC124=0,AC76&gt;=0),,AC76/AC124)</f>
        <v>8.8107889484497393E-4</v>
      </c>
      <c r="AF76" s="62">
        <v>9.07</v>
      </c>
      <c r="AG76" s="20">
        <f>IF(AND(AF5=0,AF76&gt;=0),,AF76/AF5)</f>
        <v>2.8316221323581979E-4</v>
      </c>
      <c r="AH76" s="20">
        <f>IF(AND(AF124=0,AF76&gt;=0),,AF76/AF124)</f>
        <v>1.3032957432378065E-3</v>
      </c>
      <c r="AI76" s="20">
        <f t="shared" si="28"/>
        <v>-0.67733902525791534</v>
      </c>
      <c r="AJ76" s="53">
        <f t="shared" si="29"/>
        <v>33.119999999999997</v>
      </c>
      <c r="AK76" s="20">
        <f>IF(AND(AJ5=0,AJ76&gt;=0),,AJ76/AJ5)</f>
        <v>2.6128742753060659E-4</v>
      </c>
      <c r="AL76" s="37">
        <f>IF(AND(AJ124=0,AJ76&gt;=0),,AJ76/AJ124)</f>
        <v>9.6685598983633505E-4</v>
      </c>
      <c r="AM76" s="62">
        <v>3.55</v>
      </c>
      <c r="AN76" s="20">
        <f>IF(AND(AM5=0,AM76&gt;=0),,AM76/AM5)</f>
        <v>9.6316478040114306E-5</v>
      </c>
      <c r="AO76" s="20">
        <f>IF(AND(AM124=0,AM76&gt;=0),,AM76/AM124)</f>
        <v>3.9755909911988251E-4</v>
      </c>
      <c r="AP76" s="20">
        <f t="shared" si="30"/>
        <v>-0.85239085239085233</v>
      </c>
      <c r="AQ76" s="53">
        <f t="shared" si="31"/>
        <v>36.669999999999995</v>
      </c>
      <c r="AR76" s="20">
        <f>IF(AND(AQ5=0,AQ76&gt;=0),,AQ76/AQ5)</f>
        <v>2.2412422557348477E-4</v>
      </c>
      <c r="AS76" s="37">
        <f>IF(AND(AQ124=0,AQ76&gt;=0),,AQ76/AQ124)</f>
        <v>8.4914038140690537E-4</v>
      </c>
      <c r="AT76" s="62">
        <f t="shared" si="24"/>
        <v>56.22</v>
      </c>
      <c r="AU76" s="20">
        <f>IF(AND(AT5=0,AT76&gt;=0),,AT76/AT5)</f>
        <v>4.9315789473684205E-4</v>
      </c>
      <c r="AV76" s="37">
        <f t="shared" si="25"/>
        <v>-0.34774101743151914</v>
      </c>
      <c r="AW76" s="62">
        <f t="shared" ref="AW76:AW81" si="32">+AZ76</f>
        <v>9.3699999999999992</v>
      </c>
      <c r="AX76" s="20">
        <f>IF(AND(AW5=0,AW76&gt;=0),,AW76/AW5)</f>
        <v>3.2310344827586205E-4</v>
      </c>
      <c r="AY76" s="37">
        <f>IF(AND(AW124=0,AW76&gt;=0),,AW76/AW124)</f>
        <v>1.2431621658388059E-3</v>
      </c>
      <c r="AZ76" s="62">
        <f t="shared" si="26"/>
        <v>9.3699999999999992</v>
      </c>
      <c r="BA76" s="20">
        <f>IF(AND(AZ5=0,AZ76&gt;=0),,AZ76/AZ5)</f>
        <v>4.9315789473684205E-4</v>
      </c>
      <c r="BB76" s="37">
        <f t="shared" si="27"/>
        <v>0</v>
      </c>
    </row>
    <row r="77" spans="1:54" hidden="1" outlineLevel="1" x14ac:dyDescent="0.25">
      <c r="A77" s="19" t="s">
        <v>70</v>
      </c>
      <c r="B77" s="62"/>
      <c r="C77" s="20">
        <f>IF(AND(B5=0,B77&gt;=0),,B77/B5)</f>
        <v>0</v>
      </c>
      <c r="D77" s="37">
        <f>IF(AND(B124=0,B77&gt;=0),"Validar",B77/B124)</f>
        <v>0</v>
      </c>
      <c r="E77" s="62"/>
      <c r="F77" s="20">
        <f>IF(AND(E5=0,E77&gt;=0),,E77/E5)</f>
        <v>0</v>
      </c>
      <c r="G77" s="20">
        <f>IF(AND(E124=0,E77&gt;=0),"Validar",E77/E124)</f>
        <v>0</v>
      </c>
      <c r="I77" s="20">
        <f>IF(AND(H5=0,H77&gt;=0),,H77/H5)</f>
        <v>0</v>
      </c>
      <c r="J77" s="20">
        <f>IF(AND(H124=0,H77&gt;=0),,H77/H124)</f>
        <v>0</v>
      </c>
      <c r="K77" s="20">
        <f t="shared" si="18"/>
        <v>0</v>
      </c>
      <c r="L77" s="53">
        <f t="shared" si="19"/>
        <v>0</v>
      </c>
      <c r="M77" s="20">
        <f>IF(AND(L5=0,L77&gt;=0),,L77/L5)</f>
        <v>0</v>
      </c>
      <c r="N77" s="37">
        <f>IF(AND(L124=0,L77&gt;=0),,L77/L124)</f>
        <v>0</v>
      </c>
      <c r="O77" s="62"/>
      <c r="P77" s="20">
        <f>IF(AND(O5=0,O77&gt;=0),,O77/O5)</f>
        <v>0</v>
      </c>
      <c r="Q77" s="20">
        <f>IF(AND(O124=0,O77&gt;=0),,O77/O124)</f>
        <v>0</v>
      </c>
      <c r="R77" s="20">
        <f t="shared" si="20"/>
        <v>0</v>
      </c>
      <c r="S77" s="53">
        <f t="shared" si="21"/>
        <v>0</v>
      </c>
      <c r="T77" s="20">
        <f>IF(AND(S5=0,S77&gt;=0),,S77/S5)</f>
        <v>0</v>
      </c>
      <c r="U77" s="37">
        <f>IF(AND(S124=0,S77&gt;=0),,S77/S124)</f>
        <v>0</v>
      </c>
      <c r="V77" s="62"/>
      <c r="W77" s="20">
        <f>IF(AND(V5=0,V77&gt;=0),,V77/V5)</f>
        <v>0</v>
      </c>
      <c r="X77" s="37">
        <f t="shared" si="22"/>
        <v>0</v>
      </c>
      <c r="Y77" s="62"/>
      <c r="Z77" s="20">
        <f>IF(AND(Y5=0,Y77&gt;=0),,Y77/Y5)</f>
        <v>0</v>
      </c>
      <c r="AA77" s="20">
        <f>IF(AND(Y124=0,Y77&gt;=0),,Y77/Y124)</f>
        <v>0</v>
      </c>
      <c r="AB77" s="20">
        <f t="shared" si="17"/>
        <v>0</v>
      </c>
      <c r="AC77" s="53">
        <f t="shared" si="23"/>
        <v>0</v>
      </c>
      <c r="AD77" s="20">
        <f>IF(AND(AC5=0,AC77&gt;=0),,AC77/AC5)</f>
        <v>0</v>
      </c>
      <c r="AE77" s="37">
        <f>IF(AND(AC124=0,AC77&gt;=0),,AC77/AC124)</f>
        <v>0</v>
      </c>
      <c r="AF77" s="62"/>
      <c r="AG77" s="20">
        <f>IF(AND(AF5=0,AF77&gt;=0),,AF77/AF5)</f>
        <v>0</v>
      </c>
      <c r="AH77" s="20">
        <f>IF(AND(AF124=0,AF77&gt;=0),,AF77/AF124)</f>
        <v>0</v>
      </c>
      <c r="AI77" s="20">
        <f t="shared" si="28"/>
        <v>0</v>
      </c>
      <c r="AJ77" s="53">
        <f t="shared" si="29"/>
        <v>0</v>
      </c>
      <c r="AK77" s="20">
        <f>IF(AND(AJ5=0,AJ77&gt;=0),,AJ77/AJ5)</f>
        <v>0</v>
      </c>
      <c r="AL77" s="37">
        <f>IF(AND(AJ124=0,AJ77&gt;=0),,AJ77/AJ124)</f>
        <v>0</v>
      </c>
      <c r="AM77" s="62"/>
      <c r="AN77" s="20">
        <f>IF(AND(AM5=0,AM77&gt;=0),,AM77/AM5)</f>
        <v>0</v>
      </c>
      <c r="AO77" s="20">
        <f>IF(AND(AM124=0,AM77&gt;=0),,AM77/AM124)</f>
        <v>0</v>
      </c>
      <c r="AP77" s="20">
        <f t="shared" si="30"/>
        <v>0</v>
      </c>
      <c r="AQ77" s="53">
        <f t="shared" si="31"/>
        <v>0</v>
      </c>
      <c r="AR77" s="20">
        <f>IF(AND(AQ5=0,AQ77&gt;=0),,AQ77/AQ5)</f>
        <v>0</v>
      </c>
      <c r="AS77" s="37">
        <f>IF(AND(AQ124=0,AQ77&gt;=0),,AQ77/AQ124)</f>
        <v>0</v>
      </c>
      <c r="AT77" s="62">
        <f t="shared" si="24"/>
        <v>0</v>
      </c>
      <c r="AU77" s="20">
        <f>IF(AND(AT5=0,AT77&gt;=0),,AT77/AT5)</f>
        <v>0</v>
      </c>
      <c r="AV77" s="37">
        <f t="shared" si="25"/>
        <v>0</v>
      </c>
      <c r="AW77" s="62">
        <f t="shared" si="32"/>
        <v>0</v>
      </c>
      <c r="AX77" s="20">
        <f>IF(AND(AW5=0,AW77&gt;=0),,AW77/AW5)</f>
        <v>0</v>
      </c>
      <c r="AY77" s="37">
        <f>IF(AND(AW124=0,AW77&gt;=0),,AW77/AW124)</f>
        <v>0</v>
      </c>
      <c r="AZ77" s="62">
        <f t="shared" si="26"/>
        <v>0</v>
      </c>
      <c r="BA77" s="20">
        <f>IF(AND(AZ5=0,AZ77&gt;=0),,AZ77/AZ5)</f>
        <v>0</v>
      </c>
      <c r="BB77" s="37">
        <f t="shared" si="27"/>
        <v>0</v>
      </c>
    </row>
    <row r="78" spans="1:54" hidden="1" outlineLevel="1" x14ac:dyDescent="0.25">
      <c r="A78" s="19" t="s">
        <v>71</v>
      </c>
      <c r="B78" s="62">
        <v>580.91999999999996</v>
      </c>
      <c r="C78" s="20">
        <f>IF(AND(B5=0,B78&gt;=0),,B78/B5)</f>
        <v>2.1880098251780451E-3</v>
      </c>
      <c r="D78" s="37">
        <f>IF(AND(B124=0,B78&gt;=0),"Validar",B78/B124)</f>
        <v>8.0111934957250719E-3</v>
      </c>
      <c r="E78" s="62"/>
      <c r="F78" s="20">
        <f>IF(AND(E5=0,E78&gt;=0),,E78/E5)</f>
        <v>0</v>
      </c>
      <c r="G78" s="20">
        <f>IF(AND(E124=0,E78&gt;=0),"Validar",E78/E124)</f>
        <v>0</v>
      </c>
      <c r="I78" s="20">
        <f>IF(AND(H5=0,H78&gt;=0),,H78/H5)</f>
        <v>0</v>
      </c>
      <c r="J78" s="20">
        <f>IF(AND(H124=0,H78&gt;=0),,H78/H124)</f>
        <v>0</v>
      </c>
      <c r="K78" s="20">
        <f t="shared" si="18"/>
        <v>0</v>
      </c>
      <c r="L78" s="53">
        <f t="shared" si="19"/>
        <v>0</v>
      </c>
      <c r="M78" s="20">
        <f>IF(AND(L5=0,L78&gt;=0),,L78/L5)</f>
        <v>0</v>
      </c>
      <c r="N78" s="37">
        <f>IF(AND(L124=0,L78&gt;=0),,L78/L124)</f>
        <v>0</v>
      </c>
      <c r="O78" s="62"/>
      <c r="P78" s="20">
        <f>IF(AND(O5=0,O78&gt;=0),,O78/O5)</f>
        <v>0</v>
      </c>
      <c r="Q78" s="20">
        <f>IF(AND(O124=0,O78&gt;=0),,O78/O124)</f>
        <v>0</v>
      </c>
      <c r="R78" s="20">
        <f t="shared" si="20"/>
        <v>0</v>
      </c>
      <c r="S78" s="53">
        <f t="shared" si="21"/>
        <v>0</v>
      </c>
      <c r="T78" s="20">
        <f>IF(AND(S5=0,S78&gt;=0),,S78/S5)</f>
        <v>0</v>
      </c>
      <c r="U78" s="37">
        <f>IF(AND(S124=0,S78&gt;=0),,S78/S124)</f>
        <v>0</v>
      </c>
      <c r="V78" s="62">
        <f>48.49*3</f>
        <v>145.47</v>
      </c>
      <c r="W78" s="20">
        <f>IF(AND(V5=0,V78&gt;=0),,V78/V5)</f>
        <v>2.5521052631578946E-3</v>
      </c>
      <c r="X78" s="37">
        <f t="shared" si="22"/>
        <v>-1</v>
      </c>
      <c r="Y78" s="62"/>
      <c r="Z78" s="20">
        <f>IF(AND(Y5=0,Y78&gt;=0),,Y78/Y5)</f>
        <v>0</v>
      </c>
      <c r="AA78" s="20">
        <f>IF(AND(Y124=0,Y78&gt;=0),,Y78/Y124)</f>
        <v>0</v>
      </c>
      <c r="AB78" s="20">
        <f t="shared" si="17"/>
        <v>0</v>
      </c>
      <c r="AC78" s="53">
        <f t="shared" si="23"/>
        <v>0</v>
      </c>
      <c r="AD78" s="20">
        <f>IF(AND(AC5=0,AC78&gt;=0),,AC78/AC5)</f>
        <v>0</v>
      </c>
      <c r="AE78" s="37">
        <f>IF(AND(AC124=0,AC78&gt;=0),,AC78/AC124)</f>
        <v>0</v>
      </c>
      <c r="AF78" s="62"/>
      <c r="AG78" s="20">
        <f>IF(AND(AF5=0,AF78&gt;=0),,AF78/AF5)</f>
        <v>0</v>
      </c>
      <c r="AH78" s="20">
        <f>IF(AND(AF124=0,AF78&gt;=0),,AF78/AF124)</f>
        <v>0</v>
      </c>
      <c r="AI78" s="20">
        <f t="shared" si="28"/>
        <v>-1</v>
      </c>
      <c r="AJ78" s="53">
        <f t="shared" si="29"/>
        <v>0</v>
      </c>
      <c r="AK78" s="20">
        <f>IF(AND(AJ5=0,AJ78&gt;=0),,AJ78/AJ5)</f>
        <v>0</v>
      </c>
      <c r="AL78" s="37">
        <f>IF(AND(AJ124=0,AJ78&gt;=0),,AJ78/AJ124)</f>
        <v>0</v>
      </c>
      <c r="AM78" s="62"/>
      <c r="AN78" s="20">
        <f>IF(AND(AM5=0,AM78&gt;=0),,AM78/AM5)</f>
        <v>0</v>
      </c>
      <c r="AO78" s="20">
        <f>IF(AND(AM124=0,AM78&gt;=0),,AM78/AM124)</f>
        <v>0</v>
      </c>
      <c r="AP78" s="20">
        <f t="shared" si="30"/>
        <v>0</v>
      </c>
      <c r="AQ78" s="53">
        <f t="shared" si="31"/>
        <v>0</v>
      </c>
      <c r="AR78" s="20">
        <f>IF(AND(AQ5=0,AQ78&gt;=0),,AQ78/AQ5)</f>
        <v>0</v>
      </c>
      <c r="AS78" s="37">
        <f>IF(AND(AQ124=0,AQ78&gt;=0),,AQ78/AQ124)</f>
        <v>0</v>
      </c>
      <c r="AT78" s="62">
        <f t="shared" si="24"/>
        <v>290.94</v>
      </c>
      <c r="AU78" s="20">
        <f>IF(AND(AT5=0,AT78&gt;=0),,AT78/AT5)</f>
        <v>2.5521052631578946E-3</v>
      </c>
      <c r="AV78" s="37">
        <f t="shared" si="25"/>
        <v>-1</v>
      </c>
      <c r="AW78" s="62">
        <f t="shared" si="32"/>
        <v>48.49</v>
      </c>
      <c r="AX78" s="20">
        <f>IF(AND(AW5=0,AW78&gt;=0),,AW78/AW5)</f>
        <v>1.6720689655172415E-3</v>
      </c>
      <c r="AY78" s="37">
        <f>IF(AND(AW124=0,AW78&gt;=0),,AW78/AW124)</f>
        <v>6.4333973768968744E-3</v>
      </c>
      <c r="AZ78" s="62">
        <f t="shared" si="26"/>
        <v>48.49</v>
      </c>
      <c r="BA78" s="20">
        <f>IF(AND(AZ5=0,AZ78&gt;=0),,AZ78/AZ5)</f>
        <v>2.552105263157895E-3</v>
      </c>
      <c r="BB78" s="37">
        <f t="shared" si="27"/>
        <v>0</v>
      </c>
    </row>
    <row r="79" spans="1:54" hidden="1" outlineLevel="1" x14ac:dyDescent="0.25">
      <c r="A79" s="19" t="s">
        <v>72</v>
      </c>
      <c r="B79" s="62">
        <v>772.2</v>
      </c>
      <c r="C79" s="20">
        <f>IF(AND(B5=0,B79&gt;=0),,B79/B5)</f>
        <v>2.9084575965752368E-3</v>
      </c>
      <c r="D79" s="37">
        <f>IF(AND(B124=0,B79&gt;=0),"Validar",B79/B124)</f>
        <v>1.0649045681675446E-2</v>
      </c>
      <c r="E79" s="62">
        <v>32.53</v>
      </c>
      <c r="F79" s="20">
        <f>IF(AND(E5=0,E79&gt;=0),,E79/E5)</f>
        <v>1.42547021236132E-3</v>
      </c>
      <c r="G79" s="20">
        <f>IF(AND(E124=0,E79&gt;=0),"Validar",E79/E124)</f>
        <v>3.7294952283556284E-3</v>
      </c>
      <c r="H79" s="53">
        <v>76.38</v>
      </c>
      <c r="I79" s="20">
        <f>IF(AND(H5=0,H79&gt;=0),,H79/H5)</f>
        <v>3.1785374233455625E-3</v>
      </c>
      <c r="J79" s="20">
        <f>IF(AND(H124=0,H79&gt;=0),,H79/H124)</f>
        <v>1.1958928174408081E-2</v>
      </c>
      <c r="K79" s="20">
        <f t="shared" si="18"/>
        <v>1.3479864740239778</v>
      </c>
      <c r="L79" s="53">
        <f t="shared" si="19"/>
        <v>108.91</v>
      </c>
      <c r="M79" s="20">
        <f>IF(AND(L5=0,L79&gt;=0),,L79/L5)</f>
        <v>2.3246303238004494E-3</v>
      </c>
      <c r="N79" s="37">
        <f>IF(AND(L124=0,L79&gt;=0),,L79/L124)</f>
        <v>7.208181494478205E-3</v>
      </c>
      <c r="O79" s="62">
        <v>25.13</v>
      </c>
      <c r="P79" s="20">
        <f>IF(AND(O5=0,O79&gt;=0),,O79/O5)</f>
        <v>1.0252000119123916E-3</v>
      </c>
      <c r="Q79" s="20">
        <f>IF(AND(O124=0,O79&gt;=0),,O79/O124)</f>
        <v>4.6439857335575556E-3</v>
      </c>
      <c r="R79" s="20">
        <f t="shared" si="20"/>
        <v>-0.6709871694160775</v>
      </c>
      <c r="S79" s="53">
        <f t="shared" si="21"/>
        <v>134.04</v>
      </c>
      <c r="T79" s="20">
        <f>IF(AND(S5=0,S79&gt;=0),,S79/S5)</f>
        <v>1.87829084501368E-3</v>
      </c>
      <c r="U79" s="37">
        <f>IF(AND(S124=0,S79&gt;=0),,S79/S124)</f>
        <v>6.5319982144701992E-3</v>
      </c>
      <c r="V79" s="62">
        <f>60*3</f>
        <v>180</v>
      </c>
      <c r="W79" s="20">
        <f>IF(AND(V5=0,V79&gt;=0),,V79/V5)</f>
        <v>3.1578947368421052E-3</v>
      </c>
      <c r="X79" s="37">
        <f t="shared" si="22"/>
        <v>-0.25533333333333336</v>
      </c>
      <c r="Y79" s="62">
        <v>99.9</v>
      </c>
      <c r="Z79" s="20">
        <f>IF(AND(Y5=0,Y79&gt;=0),,Y79/Y5)</f>
        <v>4.2759736507569637E-3</v>
      </c>
      <c r="AA79" s="20">
        <f>IF(AND(Y124=0,Y79&gt;=0),,Y79/Y124)</f>
        <v>1.4744168747675469E-2</v>
      </c>
      <c r="AB79" s="20">
        <f t="shared" si="17"/>
        <v>2.9753282928770397</v>
      </c>
      <c r="AC79" s="53">
        <f t="shared" si="23"/>
        <v>233.94</v>
      </c>
      <c r="AD79" s="20">
        <f>IF(AND(AC5=0,AC79&gt;=0),,AC79/AC5)</f>
        <v>2.4696532150410896E-3</v>
      </c>
      <c r="AE79" s="37">
        <f>IF(AND(AC124=0,AC79&gt;=0),,AC79/AC124)</f>
        <v>8.5704613995855813E-3</v>
      </c>
      <c r="AF79" s="62">
        <v>50.43</v>
      </c>
      <c r="AG79" s="20">
        <f>IF(AND(AF5=0,AF79&gt;=0),,AF79/AF5)</f>
        <v>1.5744068813100763E-3</v>
      </c>
      <c r="AH79" s="20">
        <f>IF(AND(AF124=0,AF79&gt;=0),,AF79/AF124)</f>
        <v>7.246439286822776E-3</v>
      </c>
      <c r="AI79" s="20">
        <f t="shared" si="28"/>
        <v>-0.71983333333333333</v>
      </c>
      <c r="AJ79" s="53">
        <f t="shared" si="29"/>
        <v>284.37</v>
      </c>
      <c r="AK79" s="20">
        <f>IF(AND(AJ5=0,AJ79&gt;=0),,AJ79/AJ5)</f>
        <v>2.2434271064878802E-3</v>
      </c>
      <c r="AL79" s="37">
        <f>IF(AND(AJ124=0,AJ79&gt;=0),,AJ79/AJ124)</f>
        <v>8.3014745721545474E-3</v>
      </c>
      <c r="AM79" s="62">
        <v>50.33</v>
      </c>
      <c r="AN79" s="20">
        <f>IF(AND(AM5=0,AM79&gt;=0),,AM79/AM5)</f>
        <v>1.3655234759884375E-3</v>
      </c>
      <c r="AO79" s="20">
        <f>IF(AND(AM124=0,AM79&gt;=0),,AM79/AM124)</f>
        <v>5.6363801292123065E-3</v>
      </c>
      <c r="AP79" s="20">
        <f t="shared" si="30"/>
        <v>-0.7848593656493118</v>
      </c>
      <c r="AQ79" s="53">
        <f t="shared" si="31"/>
        <v>334.7</v>
      </c>
      <c r="AR79" s="20">
        <f>IF(AND(AQ5=0,AQ79&gt;=0),,AQ79/AQ5)</f>
        <v>2.0456607117383518E-3</v>
      </c>
      <c r="AS79" s="37">
        <f>IF(AND(AQ124=0,AQ79&gt;=0),,AQ79/AQ124)</f>
        <v>7.7504032085326221E-3</v>
      </c>
      <c r="AT79" s="62">
        <f t="shared" si="24"/>
        <v>360</v>
      </c>
      <c r="AU79" s="20">
        <f>IF(AND(AT5=0,AT79&gt;=0),,AT79/AT5)</f>
        <v>3.1578947368421052E-3</v>
      </c>
      <c r="AV79" s="37">
        <f t="shared" si="25"/>
        <v>-7.0277777777777814E-2</v>
      </c>
      <c r="AW79" s="62">
        <f t="shared" si="32"/>
        <v>60</v>
      </c>
      <c r="AX79" s="20">
        <f>IF(AND(AW5=0,AW79&gt;=0),,AW79/AW5)</f>
        <v>2.0689655172413794E-3</v>
      </c>
      <c r="AY79" s="37">
        <f>IF(AND(AW124=0,AW79&gt;=0),,AW79/AW124)</f>
        <v>7.960483452543049E-3</v>
      </c>
      <c r="AZ79" s="62">
        <f t="shared" si="26"/>
        <v>60</v>
      </c>
      <c r="BA79" s="20">
        <f>IF(AND(AZ5=0,AZ79&gt;=0),,AZ79/AZ5)</f>
        <v>3.1578947368421052E-3</v>
      </c>
      <c r="BB79" s="37">
        <f t="shared" si="27"/>
        <v>0</v>
      </c>
    </row>
    <row r="80" spans="1:54" hidden="1" outlineLevel="1" x14ac:dyDescent="0.25">
      <c r="A80" s="19" t="s">
        <v>73</v>
      </c>
      <c r="B80" s="62">
        <v>92.5</v>
      </c>
      <c r="C80" s="20">
        <f>IF(AND(B5=0,B80&gt;=0),,B80/B5)</f>
        <v>3.4839721274696893E-4</v>
      </c>
      <c r="D80" s="37">
        <f>IF(AND(B124=0,B80&gt;=0),"Validar",B80/B124)</f>
        <v>1.2756238352175328E-3</v>
      </c>
      <c r="E80" s="62"/>
      <c r="F80" s="20">
        <f>IF(AND(E5=0,E80&gt;=0),,E80/E5)</f>
        <v>0</v>
      </c>
      <c r="G80" s="20">
        <f>IF(AND(E124=0,E80&gt;=0),"Validar",E80/E124)</f>
        <v>0</v>
      </c>
      <c r="I80" s="20">
        <f>IF(AND(H5=0,H80&gt;=0),,H80/H5)</f>
        <v>0</v>
      </c>
      <c r="J80" s="20">
        <f>IF(AND(H124=0,H80&gt;=0),,H80/H124)</f>
        <v>0</v>
      </c>
      <c r="K80" s="20">
        <f t="shared" si="18"/>
        <v>0</v>
      </c>
      <c r="L80" s="53">
        <f t="shared" si="19"/>
        <v>0</v>
      </c>
      <c r="M80" s="20">
        <f>IF(AND(L5=0,L80&gt;=0),,L80/L5)</f>
        <v>0</v>
      </c>
      <c r="N80" s="37">
        <f>IF(AND(L124=0,L80&gt;=0),,L80/L124)</f>
        <v>0</v>
      </c>
      <c r="O80" s="62"/>
      <c r="P80" s="20">
        <f>IF(AND(O5=0,O80&gt;=0),,O80/O5)</f>
        <v>0</v>
      </c>
      <c r="Q80" s="20">
        <f>IF(AND(O124=0,O80&gt;=0),,O80/O124)</f>
        <v>0</v>
      </c>
      <c r="R80" s="20">
        <f t="shared" si="20"/>
        <v>0</v>
      </c>
      <c r="S80" s="53">
        <f t="shared" si="21"/>
        <v>0</v>
      </c>
      <c r="T80" s="20">
        <f>IF(AND(S5=0,S80&gt;=0),,S80/S5)</f>
        <v>0</v>
      </c>
      <c r="U80" s="37">
        <f>IF(AND(S124=0,S80&gt;=0),,S80/S124)</f>
        <v>0</v>
      </c>
      <c r="V80" s="62">
        <f>15*3</f>
        <v>45</v>
      </c>
      <c r="W80" s="20">
        <f>IF(AND(V5=0,V80&gt;=0),,V80/V5)</f>
        <v>7.894736842105263E-4</v>
      </c>
      <c r="X80" s="37">
        <f t="shared" si="22"/>
        <v>-1</v>
      </c>
      <c r="Y80" s="62"/>
      <c r="Z80" s="20">
        <f>IF(AND(Y5=0,Y80&gt;=0),,Y80/Y5)</f>
        <v>0</v>
      </c>
      <c r="AA80" s="20">
        <f>IF(AND(Y124=0,Y80&gt;=0),,Y80/Y124)</f>
        <v>0</v>
      </c>
      <c r="AB80" s="20">
        <f t="shared" si="17"/>
        <v>0</v>
      </c>
      <c r="AC80" s="53">
        <f t="shared" si="23"/>
        <v>0</v>
      </c>
      <c r="AD80" s="20">
        <f>IF(AND(AC5=0,AC80&gt;=0),,AC80/AC5)</f>
        <v>0</v>
      </c>
      <c r="AE80" s="37">
        <f>IF(AND(AC124=0,AC80&gt;=0),,AC80/AC124)</f>
        <v>0</v>
      </c>
      <c r="AF80" s="62"/>
      <c r="AG80" s="20">
        <f>IF(AND(AF5=0,AF80&gt;=0),,AF80/AF5)</f>
        <v>0</v>
      </c>
      <c r="AH80" s="20">
        <f>IF(AND(AF124=0,AF80&gt;=0),,AF80/AF124)</f>
        <v>0</v>
      </c>
      <c r="AI80" s="20">
        <f t="shared" si="28"/>
        <v>-1</v>
      </c>
      <c r="AJ80" s="53">
        <f t="shared" si="29"/>
        <v>0</v>
      </c>
      <c r="AK80" s="20">
        <f>IF(AND(AJ5=0,AJ80&gt;=0),,AJ80/AJ5)</f>
        <v>0</v>
      </c>
      <c r="AL80" s="37">
        <f>IF(AND(AJ124=0,AJ80&gt;=0),,AJ80/AJ124)</f>
        <v>0</v>
      </c>
      <c r="AM80" s="62"/>
      <c r="AN80" s="20">
        <f>IF(AND(AM5=0,AM80&gt;=0),,AM80/AM5)</f>
        <v>0</v>
      </c>
      <c r="AO80" s="20">
        <f>IF(AND(AM124=0,AM80&gt;=0),,AM80/AM124)</f>
        <v>0</v>
      </c>
      <c r="AP80" s="20">
        <f t="shared" si="30"/>
        <v>0</v>
      </c>
      <c r="AQ80" s="53">
        <f t="shared" si="31"/>
        <v>0</v>
      </c>
      <c r="AR80" s="20">
        <f>IF(AND(AQ5=0,AQ80&gt;=0),,AQ80/AQ5)</f>
        <v>0</v>
      </c>
      <c r="AS80" s="37">
        <f>IF(AND(AQ124=0,AQ80&gt;=0),,AQ80/AQ124)</f>
        <v>0</v>
      </c>
      <c r="AT80" s="62">
        <f t="shared" si="24"/>
        <v>90</v>
      </c>
      <c r="AU80" s="20">
        <f>IF(AND(AT5=0,AT80&gt;=0),,AT80/AT5)</f>
        <v>7.894736842105263E-4</v>
      </c>
      <c r="AV80" s="37">
        <f t="shared" si="25"/>
        <v>-1</v>
      </c>
      <c r="AW80" s="62">
        <f t="shared" si="32"/>
        <v>15</v>
      </c>
      <c r="AX80" s="20">
        <f>IF(AND(AW5=0,AW80&gt;=0),,AW80/AW5)</f>
        <v>5.1724137931034484E-4</v>
      </c>
      <c r="AY80" s="37">
        <f>IF(AND(AW124=0,AW80&gt;=0),,AW80/AW124)</f>
        <v>1.9901208631357623E-3</v>
      </c>
      <c r="AZ80" s="62">
        <f t="shared" si="26"/>
        <v>15</v>
      </c>
      <c r="BA80" s="20">
        <f>IF(AND(AZ5=0,AZ80&gt;=0),,AZ80/AZ5)</f>
        <v>7.894736842105263E-4</v>
      </c>
      <c r="BB80" s="37">
        <f t="shared" si="27"/>
        <v>0</v>
      </c>
    </row>
    <row r="81" spans="1:54" hidden="1" outlineLevel="1" x14ac:dyDescent="0.25">
      <c r="A81" s="19" t="s">
        <v>74</v>
      </c>
      <c r="B81" s="62">
        <v>116.44</v>
      </c>
      <c r="C81" s="20">
        <f>IF(AND(B5=0,B81&gt;=0),,B81/B5)</f>
        <v>4.3856617786223849E-4</v>
      </c>
      <c r="D81" s="37">
        <f>IF(AND(B124=0,B81&gt;=0),"Validar",B81/B124)</f>
        <v>1.6057690742997785E-3</v>
      </c>
      <c r="E81" s="62">
        <v>15</v>
      </c>
      <c r="F81" s="20">
        <f>IF(AND(E5=0,E81&gt;=0),,E81/E5)</f>
        <v>6.573025879317492E-4</v>
      </c>
      <c r="G81" s="20">
        <f>IF(AND(E124=0,E81&gt;=0),"Validar",E81/E124)</f>
        <v>1.7197180579567913E-3</v>
      </c>
      <c r="H81" s="53">
        <v>15</v>
      </c>
      <c r="I81" s="20">
        <f>IF(AND(H5=0,H81&gt;=0),,H81/H5)</f>
        <v>6.2422180348498872E-4</v>
      </c>
      <c r="J81" s="20">
        <f>IF(AND(H124=0,H81&gt;=0),,H81/H124)</f>
        <v>2.3485719117062216E-3</v>
      </c>
      <c r="K81" s="20">
        <f t="shared" si="18"/>
        <v>0</v>
      </c>
      <c r="L81" s="53">
        <f t="shared" si="19"/>
        <v>30</v>
      </c>
      <c r="M81" s="20">
        <f>IF(AND(L5=0,L81&gt;=0),,L81/L5)</f>
        <v>6.4033522829871892E-4</v>
      </c>
      <c r="N81" s="37">
        <f>IF(AND(L124=0,L81&gt;=0),,L81/L124)</f>
        <v>1.9855426024639258E-3</v>
      </c>
      <c r="O81" s="62"/>
      <c r="P81" s="20">
        <f>IF(AND(O5=0,O81&gt;=0),,O81/O5)</f>
        <v>0</v>
      </c>
      <c r="Q81" s="20">
        <f>IF(AND(O124=0,O81&gt;=0),,O81/O124)</f>
        <v>0</v>
      </c>
      <c r="R81" s="20">
        <f t="shared" si="20"/>
        <v>-1</v>
      </c>
      <c r="S81" s="53">
        <f t="shared" si="21"/>
        <v>30</v>
      </c>
      <c r="T81" s="20">
        <f>IF(AND(S5=0,S81&gt;=0),,S81/S5)</f>
        <v>4.2038738697709938E-4</v>
      </c>
      <c r="U81" s="37">
        <f>IF(AND(S124=0,S81&gt;=0),,S81/S124)</f>
        <v>1.461951256595837E-3</v>
      </c>
      <c r="V81" s="62">
        <f>24.17*3</f>
        <v>72.510000000000005</v>
      </c>
      <c r="W81" s="20">
        <f>IF(AND(V5=0,V81&gt;=0),,V81/V5)</f>
        <v>1.2721052631578947E-3</v>
      </c>
      <c r="X81" s="37">
        <f t="shared" si="22"/>
        <v>-0.58626396359122879</v>
      </c>
      <c r="Y81" s="62"/>
      <c r="Z81" s="20">
        <f>IF(AND(Y5=0,Y81&gt;=0),,Y81/Y5)</f>
        <v>0</v>
      </c>
      <c r="AA81" s="20">
        <f>IF(AND(Y124=0,Y81&gt;=0),,Y81/Y124)</f>
        <v>0</v>
      </c>
      <c r="AB81" s="20">
        <f t="shared" si="17"/>
        <v>0</v>
      </c>
      <c r="AC81" s="53">
        <f t="shared" si="23"/>
        <v>30</v>
      </c>
      <c r="AD81" s="20">
        <f>IF(AND(AC5=0,AC81&gt;=0),,AC81/AC5)</f>
        <v>3.1670341305989862E-4</v>
      </c>
      <c r="AE81" s="37">
        <f>IF(AND(AC124=0,AC81&gt;=0),,AC81/AC124)</f>
        <v>1.0990589124885331E-3</v>
      </c>
      <c r="AF81" s="62">
        <v>15</v>
      </c>
      <c r="AG81" s="20">
        <f>IF(AND(AF5=0,AF81&gt;=0),,AF81/AF5)</f>
        <v>4.6829472971745282E-4</v>
      </c>
      <c r="AH81" s="20">
        <f>IF(AND(AF124=0,AF81&gt;=0),,AF81/AF124)</f>
        <v>2.1553953857295586E-3</v>
      </c>
      <c r="AI81" s="20">
        <f t="shared" si="28"/>
        <v>-0.79313198179561439</v>
      </c>
      <c r="AJ81" s="53">
        <f t="shared" si="29"/>
        <v>45</v>
      </c>
      <c r="AK81" s="20">
        <f>IF(AND(AJ5=0,AJ81&gt;=0),,AJ81/AJ5)</f>
        <v>3.5501009175354156E-4</v>
      </c>
      <c r="AL81" s="37">
        <f>IF(AND(AJ124=0,AJ81&gt;=0),,AJ81/AJ124)</f>
        <v>1.3136630296689336E-3</v>
      </c>
      <c r="AM81" s="62"/>
      <c r="AN81" s="20">
        <f>IF(AND(AM5=0,AM81&gt;=0),,AM81/AM5)</f>
        <v>0</v>
      </c>
      <c r="AO81" s="20">
        <f>IF(AND(AM124=0,AM81&gt;=0),,AM81/AM124)</f>
        <v>0</v>
      </c>
      <c r="AP81" s="20">
        <f t="shared" si="30"/>
        <v>-1</v>
      </c>
      <c r="AQ81" s="53">
        <f t="shared" si="31"/>
        <v>45</v>
      </c>
      <c r="AR81" s="20">
        <f>IF(AND(AQ5=0,AQ81&gt;=0),,AQ81/AQ5)</f>
        <v>2.7503654624507271E-4</v>
      </c>
      <c r="AS81" s="37">
        <f>IF(AND(AQ124=0,AQ81&gt;=0),,AQ81/AQ124)</f>
        <v>1.0420321015356081E-3</v>
      </c>
      <c r="AT81" s="62">
        <f t="shared" si="24"/>
        <v>145.02000000000001</v>
      </c>
      <c r="AU81" s="20">
        <f>IF(AND(AT5=0,AT81&gt;=0),,AT81/AT5)</f>
        <v>1.2721052631578947E-3</v>
      </c>
      <c r="AV81" s="37">
        <f t="shared" si="25"/>
        <v>-0.68969797269342159</v>
      </c>
      <c r="AW81" s="62">
        <f t="shared" si="32"/>
        <v>24.17</v>
      </c>
      <c r="AX81" s="20">
        <f>IF(AND(AW5=0,AW81&gt;=0),,AW81/AW5)</f>
        <v>8.3344827586206906E-4</v>
      </c>
      <c r="AY81" s="37">
        <f>IF(AND(AW124=0,AW81&gt;=0),,AW81/AW124)</f>
        <v>3.2067480841327582E-3</v>
      </c>
      <c r="AZ81" s="62">
        <f t="shared" si="26"/>
        <v>24.17</v>
      </c>
      <c r="BA81" s="20">
        <f>IF(AND(AZ5=0,AZ81&gt;=0),,AZ81/AZ5)</f>
        <v>1.2721052631578947E-3</v>
      </c>
      <c r="BB81" s="37">
        <f t="shared" si="27"/>
        <v>0</v>
      </c>
    </row>
    <row r="82" spans="1:54" hidden="1" outlineLevel="1" x14ac:dyDescent="0.25">
      <c r="A82" s="19" t="s">
        <v>27</v>
      </c>
      <c r="B82" s="62">
        <f>2364.43+100</f>
        <v>2464.4299999999998</v>
      </c>
      <c r="C82" s="20">
        <f>IF(AND(B5=0,B82&gt;=0),,B82/B5)</f>
        <v>9.2821680325406754E-3</v>
      </c>
      <c r="D82" s="37">
        <f>IF(AND(B124=0,B82&gt;=0),"Validar",B82/B124)</f>
        <v>3.3985790791623179E-2</v>
      </c>
      <c r="E82" s="62">
        <f>447.4+50</f>
        <v>497.4</v>
      </c>
      <c r="F82" s="20">
        <f>IF(AND(E5=0,E82&gt;=0),,E82/E5)</f>
        <v>2.1796153815816802E-2</v>
      </c>
      <c r="G82" s="20">
        <f>IF(AND(E124=0,E82&gt;=0),"Validar",E82/E124)</f>
        <v>5.7025850801847203E-2</v>
      </c>
      <c r="H82" s="53">
        <v>229.22</v>
      </c>
      <c r="I82" s="20">
        <f>IF(AND(H5=0,H82&gt;=0),,H82/H5)</f>
        <v>9.5389414529886089E-3</v>
      </c>
      <c r="J82" s="20">
        <f>IF(AND(H124=0,H82&gt;=0),,H82/H124)</f>
        <v>3.5889310240086673E-2</v>
      </c>
      <c r="K82" s="20">
        <f t="shared" si="18"/>
        <v>-0.53916365098512253</v>
      </c>
      <c r="L82" s="53">
        <f t="shared" si="19"/>
        <v>726.62</v>
      </c>
      <c r="M82" s="20">
        <f>IF(AND(L5=0,L82&gt;=0),,L82/L5)</f>
        <v>1.5509346119547173E-2</v>
      </c>
      <c r="N82" s="37">
        <f>IF(AND(L124=0,L82&gt;=0),,L82/L124)</f>
        <v>4.8091165526744591E-2</v>
      </c>
      <c r="O82" s="62">
        <v>63.78</v>
      </c>
      <c r="P82" s="20">
        <f>IF(AND(O5=0,O82&gt;=0),,O82/O5)</f>
        <v>2.6019600779853698E-3</v>
      </c>
      <c r="Q82" s="20">
        <f>IF(AND(O124=0,O82&gt;=0),,O82/O124)</f>
        <v>1.1786446879677713E-2</v>
      </c>
      <c r="R82" s="20">
        <f t="shared" si="20"/>
        <v>-0.72175202861879417</v>
      </c>
      <c r="S82" s="53">
        <f t="shared" si="21"/>
        <v>790.4</v>
      </c>
      <c r="T82" s="20">
        <f>IF(AND(S5=0,S82&gt;=0),,S82/S5)</f>
        <v>1.1075806355556645E-2</v>
      </c>
      <c r="U82" s="37">
        <f>IF(AND(S124=0,S82&gt;=0),,S82/S124)</f>
        <v>3.8517542440444981E-2</v>
      </c>
      <c r="V82" s="62">
        <f>211.4*3</f>
        <v>634.20000000000005</v>
      </c>
      <c r="W82" s="20">
        <f>IF(AND(V5=0,V82&gt;=0),,V82/V5)</f>
        <v>1.1126315789473686E-2</v>
      </c>
      <c r="X82" s="37">
        <f t="shared" si="22"/>
        <v>0.24629454430778921</v>
      </c>
      <c r="Y82" s="62">
        <v>364.77</v>
      </c>
      <c r="Z82" s="20">
        <f>IF(AND(Y5=0,Y82&gt;=0),,Y82/Y5)</f>
        <v>1.5613082168034208E-2</v>
      </c>
      <c r="AA82" s="20">
        <f>IF(AND(Y124=0,Y82&gt;=0),,Y82/Y124)</f>
        <v>5.3836140481377179E-2</v>
      </c>
      <c r="AB82" s="20">
        <f t="shared" si="17"/>
        <v>4.7191909689557852</v>
      </c>
      <c r="AC82" s="53">
        <f t="shared" si="23"/>
        <v>1155.17</v>
      </c>
      <c r="AD82" s="20">
        <f>IF(AND(AC5=0,AC82&gt;=0),,AC82/AC5)</f>
        <v>1.2194876055480103E-2</v>
      </c>
      <c r="AE82" s="37">
        <f>IF(AND(AC124=0,AC82&gt;=0),,AC82/AC124)</f>
        <v>4.2319996131312626E-2</v>
      </c>
      <c r="AF82" s="62">
        <v>137.74</v>
      </c>
      <c r="AG82" s="20">
        <f>IF(AND(AF5=0,AF82&gt;=0),,AF82/AF5)</f>
        <v>4.3001944047521305E-3</v>
      </c>
      <c r="AH82" s="20">
        <f>IF(AND(AF124=0,AF82&gt;=0),,AF82/AF124)</f>
        <v>1.9792277362025962E-2</v>
      </c>
      <c r="AI82" s="20">
        <f t="shared" si="28"/>
        <v>-0.78281299274676763</v>
      </c>
      <c r="AJ82" s="53">
        <f t="shared" si="29"/>
        <v>1292.9100000000001</v>
      </c>
      <c r="AK82" s="20">
        <f>IF(AND(AJ5=0,AJ82&gt;=0),,AJ82/AJ5)</f>
        <v>1.0199913282868255E-2</v>
      </c>
      <c r="AL82" s="37">
        <f>IF(AND(AJ124=0,AJ82&gt;=0),,AJ82/AJ124)</f>
        <v>3.7743290393094688E-2</v>
      </c>
      <c r="AM82" s="62">
        <v>165.48</v>
      </c>
      <c r="AN82" s="20">
        <f>IF(AND(AM5=0,AM82&gt;=0),,AM82/AM5)</f>
        <v>4.4897044467825673E-3</v>
      </c>
      <c r="AO82" s="20">
        <f>IF(AND(AM124=0,AM82&gt;=0),,AM82/AM124)</f>
        <v>1.8531853442917794E-2</v>
      </c>
      <c r="AP82" s="20">
        <f t="shared" si="30"/>
        <v>-0.8567483573846274</v>
      </c>
      <c r="AQ82" s="53">
        <f t="shared" si="31"/>
        <v>1458.39</v>
      </c>
      <c r="AR82" s="20">
        <f>IF(AND(AQ5=0,AQ82&gt;=0),,AQ82/AQ5)</f>
        <v>8.9135677484078139E-3</v>
      </c>
      <c r="AS82" s="37">
        <f>IF(AND(AQ124=0,AQ82&gt;=0),,AQ82/AQ124)</f>
        <v>3.3770871034633679E-2</v>
      </c>
      <c r="AT82" s="62">
        <f t="shared" si="24"/>
        <v>1268.4000000000001</v>
      </c>
      <c r="AU82" s="20">
        <f>IF(AND(AT5=0,AT82&gt;=0),,AT82/AT5)</f>
        <v>1.1126315789473686E-2</v>
      </c>
      <c r="AV82" s="37">
        <f t="shared" si="25"/>
        <v>0.14978713339640493</v>
      </c>
      <c r="AW82" s="62">
        <f t="shared" si="15"/>
        <v>243.06500000000003</v>
      </c>
      <c r="AX82" s="20">
        <f>IF(AND(AW5=0,AW82&gt;=0),,AW82/AW5)</f>
        <v>8.3815517241379311E-3</v>
      </c>
      <c r="AY82" s="37">
        <f>IF(AND(AW124=0,AW82&gt;=0),,AW82/AW124)</f>
        <v>3.224858183987294E-2</v>
      </c>
      <c r="AZ82" s="62">
        <f t="shared" si="26"/>
        <v>211.4</v>
      </c>
      <c r="BA82" s="20">
        <f>IF(AND(AZ5=0,AZ82&gt;=0),,AZ82/AZ5)</f>
        <v>1.1126315789473684E-2</v>
      </c>
      <c r="BB82" s="37">
        <f t="shared" si="27"/>
        <v>0.14978713339640501</v>
      </c>
    </row>
    <row r="83" spans="1:54" hidden="1" outlineLevel="1" x14ac:dyDescent="0.25">
      <c r="A83" s="19"/>
      <c r="B83" s="62"/>
      <c r="C83" s="13"/>
      <c r="D83" s="36"/>
      <c r="E83" s="62"/>
      <c r="F83" s="13"/>
      <c r="G83" s="13"/>
      <c r="I83" s="13"/>
      <c r="J83" s="13"/>
      <c r="K83" s="22">
        <f t="shared" si="18"/>
        <v>0</v>
      </c>
      <c r="M83" s="13"/>
      <c r="N83" s="36"/>
      <c r="O83" s="62"/>
      <c r="P83" s="13"/>
      <c r="Q83" s="13"/>
      <c r="R83" s="22">
        <f t="shared" si="20"/>
        <v>0</v>
      </c>
      <c r="T83" s="13"/>
      <c r="U83" s="36"/>
      <c r="V83" s="62"/>
      <c r="W83" s="13"/>
      <c r="X83" s="79">
        <f t="shared" si="22"/>
        <v>0</v>
      </c>
      <c r="Y83" s="62"/>
      <c r="Z83" s="13"/>
      <c r="AA83" s="13"/>
      <c r="AB83" s="22">
        <f t="shared" si="17"/>
        <v>0</v>
      </c>
      <c r="AD83" s="13"/>
      <c r="AE83" s="36"/>
      <c r="AF83" s="62"/>
      <c r="AG83" s="13"/>
      <c r="AH83" s="13"/>
      <c r="AI83" s="22">
        <f t="shared" si="28"/>
        <v>0</v>
      </c>
      <c r="AJ83" s="53">
        <f t="shared" si="29"/>
        <v>0</v>
      </c>
      <c r="AK83" s="13"/>
      <c r="AL83" s="36"/>
      <c r="AM83" s="62"/>
      <c r="AN83" s="13"/>
      <c r="AO83" s="13"/>
      <c r="AP83" s="22">
        <f t="shared" si="30"/>
        <v>0</v>
      </c>
      <c r="AQ83" s="53">
        <f t="shared" si="31"/>
        <v>0</v>
      </c>
      <c r="AR83" s="13"/>
      <c r="AS83" s="36"/>
      <c r="AT83" s="62">
        <f t="shared" si="24"/>
        <v>0</v>
      </c>
      <c r="AU83" s="13"/>
      <c r="AV83" s="79">
        <f t="shared" si="25"/>
        <v>0</v>
      </c>
      <c r="AW83" s="62">
        <f t="shared" si="15"/>
        <v>0</v>
      </c>
      <c r="AX83" s="13"/>
      <c r="AY83" s="36"/>
      <c r="AZ83" s="62">
        <f t="shared" si="26"/>
        <v>0</v>
      </c>
      <c r="BA83" s="13"/>
      <c r="BB83" s="79">
        <f t="shared" si="27"/>
        <v>0</v>
      </c>
    </row>
    <row r="84" spans="1:54" s="5" customFormat="1" collapsed="1" x14ac:dyDescent="0.25">
      <c r="A84" s="27" t="s">
        <v>75</v>
      </c>
      <c r="B84" s="61">
        <f>SUM(B85:B92)+B110+B111</f>
        <v>8140.19</v>
      </c>
      <c r="C84" s="28">
        <f>IF(AND(B5=0,B84&gt;=0),,B84/B5)</f>
        <v>3.0659670348440526E-2</v>
      </c>
      <c r="D84" s="33">
        <f>IF(AND(B124=0,B84&gt;=0),"Validar",B84/B124)</f>
        <v>0.11225751769945305</v>
      </c>
      <c r="E84" s="61">
        <f>SUM(E85:E92)+E110+E111</f>
        <v>2684.04</v>
      </c>
      <c r="F84" s="28">
        <f>IF(AND(E5=0,E84&gt;=0),,E84/E5)</f>
        <v>0.11761509587415547</v>
      </c>
      <c r="G84" s="29">
        <f>IF(AND(E124=0,E84&gt;=0),"Validar",E84/E124)</f>
        <v>0.30771947041855641</v>
      </c>
      <c r="H84" s="52">
        <f>SUM(H85:H92)+H110+H111</f>
        <v>704.1</v>
      </c>
      <c r="I84" s="28">
        <f>IF(AND(H5=0,H84&gt;=0),,H84/H5)</f>
        <v>2.9300971455585374E-2</v>
      </c>
      <c r="J84" s="29">
        <f>IF(AND(H124=0,H84&gt;=0),,H84/H124)</f>
        <v>0.11024196553549005</v>
      </c>
      <c r="K84" s="28">
        <f>IF(AND(E84=0,H84&gt;0),100%,IF(AND(E84&lt;0,H84&gt;=0),(E84-H84)/E84,IF(AND(E84&gt;0,H84&gt;0),(H84-E84)/E84,IF(AND(E84=0,H84&lt;=0),0,(H84-E84)/E84))))</f>
        <v>-0.73767156972325298</v>
      </c>
      <c r="L84" s="52">
        <f>SUM(L85:L92)+L110+L111</f>
        <v>3388.14</v>
      </c>
      <c r="M84" s="28">
        <f>IF(AND(L5=0,L84&gt;=0),,L84/L5)</f>
        <v>7.2318180013600714E-2</v>
      </c>
      <c r="N84" s="33">
        <f>IF(AND(L124=0,L84&gt;=0),,L84/L124)</f>
        <v>0.22424321043707085</v>
      </c>
      <c r="O84" s="61">
        <f>SUM(O85:O92)+O110+O111</f>
        <v>1335.77</v>
      </c>
      <c r="P84" s="28">
        <f>IF(AND(O5=0,O84&gt;=0),,O84/O5)</f>
        <v>5.4493888575893969E-2</v>
      </c>
      <c r="Q84" s="29">
        <f>IF(AND(O124=0,O84&gt;=0),,O84/O124)</f>
        <v>0.24684826197032139</v>
      </c>
      <c r="R84" s="28">
        <f>IF(AND(H84=0,O84&gt;0),100%,IF(AND(H84&lt;0,O84&gt;=0),(H84-O84)/H84,IF(AND(H84&gt;0,O84&gt;0),(O84-H84)/H84,IF(AND(H84=0,O84&lt;=0),0,(O84-H84)/H84))))</f>
        <v>0.8971310893339014</v>
      </c>
      <c r="S84" s="52">
        <f>SUM(S85:S92)+S110+S111</f>
        <v>4723.91</v>
      </c>
      <c r="T84" s="28">
        <f>IF(AND(S5=0,S84&gt;=0),,S84/S5)</f>
        <v>6.6195739373832982E-2</v>
      </c>
      <c r="U84" s="33">
        <f>IF(AND(S124=0,S84&gt;=0),,S84/S124)</f>
        <v>0.23020420535152133</v>
      </c>
      <c r="V84" s="61">
        <f>SUM(V85:V92)+V110+V111</f>
        <v>1803</v>
      </c>
      <c r="W84" s="28">
        <f>IF(AND(V5=0,V84&gt;=0),,V84/V5)</f>
        <v>3.163157894736842E-2</v>
      </c>
      <c r="X84" s="78">
        <f t="shared" si="22"/>
        <v>1.6200277315585134</v>
      </c>
      <c r="Y84" s="61">
        <f>SUM(Y85:Y92)+Y110+Y111</f>
        <v>749.43</v>
      </c>
      <c r="Z84" s="28">
        <f>IF(AND(Y5=0,Y84&gt;=0),,Y84/Y5)</f>
        <v>3.2077506837705612E-2</v>
      </c>
      <c r="AA84" s="29">
        <f>IF(AND(Y124=0,Y84&gt;=0),,Y84/Y124)</f>
        <v>0.11060783167738164</v>
      </c>
      <c r="AB84" s="28">
        <f t="shared" si="17"/>
        <v>-0.43895281373290312</v>
      </c>
      <c r="AC84" s="52">
        <f>SUM(AC85:AC92)+AC110+AC111</f>
        <v>5473.34</v>
      </c>
      <c r="AD84" s="28">
        <f>IF(AND(AC5=0,AC84&gt;=0),,AC84/AC5)</f>
        <v>5.7780848627908853E-2</v>
      </c>
      <c r="AE84" s="33">
        <f>IF(AND(AC124=0,AC84&gt;=0),,AC84/AC124)</f>
        <v>0.2005174369359996</v>
      </c>
      <c r="AF84" s="61">
        <f>SUM(AF85:AF92)+AF110+AF111</f>
        <v>734.93999999999994</v>
      </c>
      <c r="AG84" s="28">
        <f>IF(AND(AF5=0,AF84&gt;=0),,AF84/AF5)</f>
        <v>2.2944568577236316E-2</v>
      </c>
      <c r="AH84" s="29">
        <f>IF(AND(AF124=0,AF84&gt;=0),,AF84/AF124)</f>
        <v>0.10560575231920545</v>
      </c>
      <c r="AI84" s="28">
        <f t="shared" si="28"/>
        <v>-0.59237936772046584</v>
      </c>
      <c r="AJ84" s="52">
        <f t="shared" si="29"/>
        <v>6208.28</v>
      </c>
      <c r="AK84" s="28">
        <f>IF(AND(AJ5=0,AJ84&gt;=0),,AJ84/AJ5)</f>
        <v>4.8977823387370598E-2</v>
      </c>
      <c r="AL84" s="33">
        <f>IF(AND(AJ124=0,AJ84&gt;=0),,AJ84/AJ124)</f>
        <v>0.18123528697406771</v>
      </c>
      <c r="AM84" s="61">
        <f>SUM(AM85:AM92)+AM110+AM111</f>
        <v>1490.17</v>
      </c>
      <c r="AN84" s="28">
        <f>IF(AND(AM5=0,AM84&gt;=0),,AM84/AM5)</f>
        <v>4.043040171296821E-2</v>
      </c>
      <c r="AO84" s="29">
        <f>IF(AND(AM124=0,AM84&gt;=0),,AM84/AM124)</f>
        <v>0.16688187119309167</v>
      </c>
      <c r="AP84" s="28">
        <f t="shared" si="30"/>
        <v>-0.72774028289855919</v>
      </c>
      <c r="AQ84" s="52">
        <f t="shared" si="31"/>
        <v>7698.45</v>
      </c>
      <c r="AR84" s="28">
        <f>IF(AND(AQ5=0,AQ84&gt;=0),,AQ84/AQ5)</f>
        <v>4.7052335543119557E-2</v>
      </c>
      <c r="AS84" s="33">
        <f>IF(AND(AQ124=0,AQ84&gt;=0),,AQ84/AQ124)</f>
        <v>0.17826737849037336</v>
      </c>
      <c r="AT84" s="61">
        <f>SUM(AT85:AT92)+AT110+AT111</f>
        <v>3606</v>
      </c>
      <c r="AU84" s="28">
        <f>IF(AND(AT5=0,AT84&gt;=0),,AT84/AT5)</f>
        <v>3.163157894736842E-2</v>
      </c>
      <c r="AV84" s="78">
        <f t="shared" si="25"/>
        <v>1.134900166389351</v>
      </c>
      <c r="AW84" s="61">
        <f>SUM(AW85:AW92)+AW110+AW111</f>
        <v>1283.075</v>
      </c>
      <c r="AX84" s="28">
        <f>IF(AND(AW5=0,AW84&gt;=0),,AW84/AW5)</f>
        <v>4.4243965517241378E-2</v>
      </c>
      <c r="AY84" s="33">
        <f>IF(AND(AW124=0,AW84&gt;=0),,AW84/AW124)</f>
        <v>0.17023162176452789</v>
      </c>
      <c r="AZ84" s="61">
        <f>SUM(AZ85:AZ92)+AZ110+AZ111</f>
        <v>601</v>
      </c>
      <c r="BA84" s="28">
        <f>IF(AND(AZ5=0,AZ84&gt;=0),,AZ84/AZ5)</f>
        <v>3.163157894736842E-2</v>
      </c>
      <c r="BB84" s="78">
        <f t="shared" si="27"/>
        <v>1.1349001663893512</v>
      </c>
    </row>
    <row r="85" spans="1:54" hidden="1" outlineLevel="2" x14ac:dyDescent="0.25">
      <c r="A85" s="19" t="s">
        <v>76</v>
      </c>
      <c r="B85" s="62"/>
      <c r="C85" s="20">
        <f>IF(AND(B5=0,B85&gt;=0),,B85/B5)</f>
        <v>0</v>
      </c>
      <c r="D85" s="37">
        <f>IF(AND(B124=0,B85&gt;=0),"Validar",B85/B124)</f>
        <v>0</v>
      </c>
      <c r="E85" s="62"/>
      <c r="F85" s="20">
        <f>IF(AND(E5=0,E85&gt;=0),,E85/E5)</f>
        <v>0</v>
      </c>
      <c r="G85" s="20">
        <f>IF(AND(E124=0,E85&gt;=0),"Validar",E85/E124)</f>
        <v>0</v>
      </c>
      <c r="I85" s="20">
        <f>IF(AND(H5=0,H85&gt;=0),,H85/H5)</f>
        <v>0</v>
      </c>
      <c r="J85" s="20">
        <f>IF(AND(H124=0,H85&gt;=0),,H85/H124)</f>
        <v>0</v>
      </c>
      <c r="K85" s="20">
        <f t="shared" si="18"/>
        <v>0</v>
      </c>
      <c r="L85" s="53">
        <f t="shared" ref="L85:L91" si="33">+E85+H85</f>
        <v>0</v>
      </c>
      <c r="M85" s="20">
        <f>IF(AND(L5=0,L85&gt;=0),,L85/L5)</f>
        <v>0</v>
      </c>
      <c r="N85" s="37">
        <f>IF(AND(L124=0,L85&gt;=0),,L85/L124)</f>
        <v>0</v>
      </c>
      <c r="O85" s="62"/>
      <c r="P85" s="20">
        <f>IF(AND(O5=0,O85&gt;=0),,O85/O5)</f>
        <v>0</v>
      </c>
      <c r="Q85" s="20">
        <f>IF(AND(O124=0,O85&gt;=0),,O85/O124)</f>
        <v>0</v>
      </c>
      <c r="R85" s="20">
        <f t="shared" si="20"/>
        <v>0</v>
      </c>
      <c r="S85" s="53">
        <f t="shared" ref="S85:S91" si="34">+L85+O85</f>
        <v>0</v>
      </c>
      <c r="T85" s="20">
        <f>IF(AND(S5=0,S85&gt;=0),,S85/S5)</f>
        <v>0</v>
      </c>
      <c r="U85" s="37">
        <f>IF(AND(S124=0,S85&gt;=0),,S85/S124)</f>
        <v>0</v>
      </c>
      <c r="V85" s="62"/>
      <c r="W85" s="20">
        <f>IF(AND(V5=0,V85&gt;=0),,V85/V5)</f>
        <v>0</v>
      </c>
      <c r="X85" s="37">
        <f t="shared" si="22"/>
        <v>0</v>
      </c>
      <c r="Y85" s="62"/>
      <c r="Z85" s="20">
        <f>IF(AND(Y5=0,Y85&gt;=0),,Y85/Y5)</f>
        <v>0</v>
      </c>
      <c r="AA85" s="20">
        <f>IF(AND(Y124=0,Y85&gt;=0),,Y85/Y124)</f>
        <v>0</v>
      </c>
      <c r="AB85" s="20">
        <f t="shared" si="17"/>
        <v>0</v>
      </c>
      <c r="AC85" s="53">
        <f t="shared" ref="AC85:AC91" si="35">+S85+Y85</f>
        <v>0</v>
      </c>
      <c r="AD85" s="20">
        <f>IF(AND(AC5=0,AC85&gt;=0),,AC85/AC5)</f>
        <v>0</v>
      </c>
      <c r="AE85" s="37">
        <f>IF(AND(AC124=0,AC85&gt;=0),,AC85/AC124)</f>
        <v>0</v>
      </c>
      <c r="AF85" s="62"/>
      <c r="AG85" s="20">
        <f>IF(AND(AF5=0,AF85&gt;=0),,AF85/AF5)</f>
        <v>0</v>
      </c>
      <c r="AH85" s="20">
        <f>IF(AND(AF124=0,AF85&gt;=0),,AF85/AF124)</f>
        <v>0</v>
      </c>
      <c r="AI85" s="20">
        <f t="shared" si="28"/>
        <v>0</v>
      </c>
      <c r="AJ85" s="53">
        <f t="shared" si="29"/>
        <v>0</v>
      </c>
      <c r="AK85" s="20">
        <f>IF(AND(AJ5=0,AJ85&gt;=0),,AJ85/AJ5)</f>
        <v>0</v>
      </c>
      <c r="AL85" s="37">
        <f>IF(AND(AJ124=0,AJ85&gt;=0),,AJ85/AJ124)</f>
        <v>0</v>
      </c>
      <c r="AM85" s="62"/>
      <c r="AN85" s="20">
        <f>IF(AND(AM5=0,AM85&gt;=0),,AM85/AM5)</f>
        <v>0</v>
      </c>
      <c r="AO85" s="20">
        <f>IF(AND(AM124=0,AM85&gt;=0),,AM85/AM124)</f>
        <v>0</v>
      </c>
      <c r="AP85" s="20">
        <f t="shared" si="30"/>
        <v>0</v>
      </c>
      <c r="AQ85" s="53">
        <f t="shared" si="31"/>
        <v>0</v>
      </c>
      <c r="AR85" s="20">
        <f>IF(AND(AQ5=0,AQ85&gt;=0),,AQ85/AQ5)</f>
        <v>0</v>
      </c>
      <c r="AS85" s="37">
        <f>IF(AND(AQ124=0,AQ85&gt;=0),,AQ85/AQ124)</f>
        <v>0</v>
      </c>
      <c r="AT85" s="62">
        <f t="shared" ref="AT85:AT92" si="36">+V85*2</f>
        <v>0</v>
      </c>
      <c r="AU85" s="20">
        <f>IF(AND(AT5=0,AT85&gt;=0),,AT85/AT5)</f>
        <v>0</v>
      </c>
      <c r="AV85" s="37">
        <f t="shared" si="25"/>
        <v>0</v>
      </c>
      <c r="AW85" s="62">
        <f t="shared" si="15"/>
        <v>0</v>
      </c>
      <c r="AX85" s="20">
        <f>IF(AND(AW5=0,AW85&gt;=0),,AW85/AW5)</f>
        <v>0</v>
      </c>
      <c r="AY85" s="37">
        <f>IF(AND(AW124=0,AW85&gt;=0),,AW85/AW124)</f>
        <v>0</v>
      </c>
      <c r="AZ85" s="62">
        <f t="shared" ref="AZ85:AZ102" si="37">+AT85/6</f>
        <v>0</v>
      </c>
      <c r="BA85" s="20">
        <f>IF(AND(AZ5=0,AZ85&gt;=0),,AZ85/AZ5)</f>
        <v>0</v>
      </c>
      <c r="BB85" s="37">
        <f t="shared" si="27"/>
        <v>0</v>
      </c>
    </row>
    <row r="86" spans="1:54" hidden="1" outlineLevel="2" x14ac:dyDescent="0.25">
      <c r="A86" s="19" t="s">
        <v>77</v>
      </c>
      <c r="B86" s="62">
        <v>364.62</v>
      </c>
      <c r="C86" s="20">
        <f>IF(AND(B5=0,B86&gt;=0),,B86/B5)</f>
        <v>1.3733253158032411E-3</v>
      </c>
      <c r="D86" s="37">
        <f>IF(AND(B124=0,B86&gt;=0),"Validar",B86/B124)</f>
        <v>5.0283023005082894E-3</v>
      </c>
      <c r="E86" s="62"/>
      <c r="F86" s="20">
        <f>IF(AND(E5=0,E86&gt;=0),,E86/E5)</f>
        <v>0</v>
      </c>
      <c r="G86" s="20">
        <f>IF(AND(E124=0,E86&gt;=0),"Validar",E86/E124)</f>
        <v>0</v>
      </c>
      <c r="I86" s="20">
        <f>IF(AND(H5=0,H86&gt;=0),,H86/H5)</f>
        <v>0</v>
      </c>
      <c r="J86" s="20">
        <f>IF(AND(H124=0,H86&gt;=0),,H86/H124)</f>
        <v>0</v>
      </c>
      <c r="K86" s="20">
        <f t="shared" si="18"/>
        <v>0</v>
      </c>
      <c r="L86" s="53">
        <f t="shared" si="33"/>
        <v>0</v>
      </c>
      <c r="M86" s="20">
        <f>IF(AND(L5=0,L86&gt;=0),,L86/L5)</f>
        <v>0</v>
      </c>
      <c r="N86" s="37">
        <f>IF(AND(L124=0,L86&gt;=0),,L86/L124)</f>
        <v>0</v>
      </c>
      <c r="O86" s="62"/>
      <c r="P86" s="20">
        <f>IF(AND(O5=0,O86&gt;=0),,O86/O5)</f>
        <v>0</v>
      </c>
      <c r="Q86" s="20">
        <f>IF(AND(O124=0,O86&gt;=0),,O86/O124)</f>
        <v>0</v>
      </c>
      <c r="R86" s="20">
        <f t="shared" si="20"/>
        <v>0</v>
      </c>
      <c r="S86" s="53">
        <f t="shared" si="34"/>
        <v>0</v>
      </c>
      <c r="T86" s="20">
        <f>IF(AND(S5=0,S86&gt;=0),,S86/S5)</f>
        <v>0</v>
      </c>
      <c r="U86" s="37">
        <f>IF(AND(S124=0,S86&gt;=0),,S86/S124)</f>
        <v>0</v>
      </c>
      <c r="V86" s="62"/>
      <c r="W86" s="20">
        <f>IF(AND(V5=0,V86&gt;=0),,V86/V5)</f>
        <v>0</v>
      </c>
      <c r="X86" s="37">
        <f t="shared" si="22"/>
        <v>0</v>
      </c>
      <c r="Y86" s="62"/>
      <c r="Z86" s="20">
        <f>IF(AND(Y5=0,Y86&gt;=0),,Y86/Y5)</f>
        <v>0</v>
      </c>
      <c r="AA86" s="20">
        <f>IF(AND(Y124=0,Y86&gt;=0),,Y86/Y124)</f>
        <v>0</v>
      </c>
      <c r="AB86" s="20">
        <f t="shared" si="17"/>
        <v>0</v>
      </c>
      <c r="AC86" s="53">
        <f t="shared" si="35"/>
        <v>0</v>
      </c>
      <c r="AD86" s="20">
        <f>IF(AND(AC5=0,AC86&gt;=0),,AC86/AC5)</f>
        <v>0</v>
      </c>
      <c r="AE86" s="37">
        <f>IF(AND(AC124=0,AC86&gt;=0),,AC86/AC124)</f>
        <v>0</v>
      </c>
      <c r="AF86" s="62">
        <v>48.76</v>
      </c>
      <c r="AG86" s="20">
        <f>IF(AND(AF5=0,AF86&gt;=0),,AF86/AF5)</f>
        <v>1.5222700680681998E-3</v>
      </c>
      <c r="AH86" s="20">
        <f>IF(AND(AF124=0,AF86&gt;=0),,AF86/AF124)</f>
        <v>7.006471933878218E-3</v>
      </c>
      <c r="AI86" s="20">
        <f t="shared" si="28"/>
        <v>1</v>
      </c>
      <c r="AJ86" s="53">
        <f t="shared" si="29"/>
        <v>48.76</v>
      </c>
      <c r="AK86" s="20">
        <f>IF(AND(AJ5=0,AJ86&gt;=0),,AJ86/AJ5)</f>
        <v>3.8467315719783746E-4</v>
      </c>
      <c r="AL86" s="37">
        <f>IF(AND(AJ124=0,AJ86&gt;=0),,AJ86/AJ124)</f>
        <v>1.4234268739257154E-3</v>
      </c>
      <c r="AM86" s="62"/>
      <c r="AN86" s="20">
        <f>IF(AND(AM5=0,AM86&gt;=0),,AM86/AM5)</f>
        <v>0</v>
      </c>
      <c r="AO86" s="20">
        <f>IF(AND(AM124=0,AM86&gt;=0),,AM86/AM124)</f>
        <v>0</v>
      </c>
      <c r="AP86" s="20">
        <f t="shared" si="30"/>
        <v>0</v>
      </c>
      <c r="AQ86" s="53">
        <f t="shared" si="31"/>
        <v>48.76</v>
      </c>
      <c r="AR86" s="20">
        <f>IF(AND(AQ5=0,AQ86&gt;=0),,AQ86/AQ5)</f>
        <v>2.9801737766466102E-4</v>
      </c>
      <c r="AS86" s="37">
        <f>IF(AND(AQ124=0,AQ86&gt;=0),,AQ86/AQ124)</f>
        <v>1.1290996726861387E-3</v>
      </c>
      <c r="AT86" s="62">
        <f t="shared" si="36"/>
        <v>0</v>
      </c>
      <c r="AU86" s="20">
        <f>IF(AND(AT5=0,AT86&gt;=0),,AT86/AT5)</f>
        <v>0</v>
      </c>
      <c r="AV86" s="37">
        <f t="shared" si="25"/>
        <v>1</v>
      </c>
      <c r="AW86" s="62">
        <f t="shared" si="15"/>
        <v>8.1266666666666669</v>
      </c>
      <c r="AX86" s="20">
        <f>IF(AND(AW5=0,AW86&gt;=0),,AW86/AW5)</f>
        <v>2.8022988505747127E-4</v>
      </c>
      <c r="AY86" s="37">
        <f>IF(AND(AW124=0,AW86&gt;=0),,AW86/AW124)</f>
        <v>1.0782032587388862E-3</v>
      </c>
      <c r="AZ86" s="62">
        <f t="shared" si="37"/>
        <v>0</v>
      </c>
      <c r="BA86" s="20">
        <f>IF(AND(AZ5=0,AZ86&gt;=0),,AZ86/AZ5)</f>
        <v>0</v>
      </c>
      <c r="BB86" s="37">
        <f t="shared" si="27"/>
        <v>1</v>
      </c>
    </row>
    <row r="87" spans="1:54" hidden="1" outlineLevel="2" x14ac:dyDescent="0.25">
      <c r="A87" s="19" t="s">
        <v>1</v>
      </c>
      <c r="B87" s="62">
        <v>90</v>
      </c>
      <c r="C87" s="20">
        <f>IF(AND(B5=0,B87&gt;=0),,B87/B5)</f>
        <v>3.389810718619157E-4</v>
      </c>
      <c r="D87" s="37">
        <f>IF(AND(B124=0,B87&gt;=0),"Validar",B87/B124)</f>
        <v>1.2411475153467886E-3</v>
      </c>
      <c r="E87" s="62"/>
      <c r="F87" s="20">
        <f>IF(AND(E5=0,E87&gt;=0),,E87/E5)</f>
        <v>0</v>
      </c>
      <c r="G87" s="20">
        <f>IF(AND(E124=0,E87&gt;=0),"Validar",E87/E124)</f>
        <v>0</v>
      </c>
      <c r="I87" s="20">
        <f>IF(AND(H5=0,H87&gt;=0),,H87/H5)</f>
        <v>0</v>
      </c>
      <c r="J87" s="20">
        <f>IF(AND(H124=0,H87&gt;=0),,H87/H124)</f>
        <v>0</v>
      </c>
      <c r="K87" s="20">
        <f t="shared" si="18"/>
        <v>0</v>
      </c>
      <c r="L87" s="53">
        <f t="shared" si="33"/>
        <v>0</v>
      </c>
      <c r="M87" s="20">
        <f>IF(AND(L5=0,L87&gt;=0),,L87/L5)</f>
        <v>0</v>
      </c>
      <c r="N87" s="37">
        <f>IF(AND(L124=0,L87&gt;=0),,L87/L124)</f>
        <v>0</v>
      </c>
      <c r="O87" s="62">
        <v>650.14</v>
      </c>
      <c r="P87" s="20">
        <f>IF(AND(O5=0,O87&gt;=0),,O87/O5)</f>
        <v>2.6523021716861214E-2</v>
      </c>
      <c r="Q87" s="20">
        <f>IF(AND(O124=0,O87&gt;=0),,O87/O124)</f>
        <v>0.12014488200617228</v>
      </c>
      <c r="R87" s="20">
        <f t="shared" si="20"/>
        <v>1</v>
      </c>
      <c r="S87" s="53">
        <f t="shared" si="34"/>
        <v>650.14</v>
      </c>
      <c r="T87" s="20">
        <f>IF(AND(S5=0,S87&gt;=0),,S87/S5)</f>
        <v>9.1103551923097138E-3</v>
      </c>
      <c r="U87" s="37">
        <f>IF(AND(S124=0,S87&gt;=0),,S87/S124)</f>
        <v>3.1682432998773914E-2</v>
      </c>
      <c r="V87" s="62">
        <f>10*3</f>
        <v>30</v>
      </c>
      <c r="W87" s="20">
        <f>IF(AND(V5=0,V87&gt;=0),,V87/V5)</f>
        <v>5.263157894736842E-4</v>
      </c>
      <c r="X87" s="37">
        <f t="shared" si="22"/>
        <v>20.671333333333333</v>
      </c>
      <c r="Y87" s="62"/>
      <c r="Z87" s="20">
        <f>IF(AND(Y5=0,Y87&gt;=0),,Y87/Y5)</f>
        <v>0</v>
      </c>
      <c r="AA87" s="20">
        <f>IF(AND(Y124=0,Y87&gt;=0),,Y87/Y124)</f>
        <v>0</v>
      </c>
      <c r="AB87" s="20">
        <f t="shared" si="17"/>
        <v>-1</v>
      </c>
      <c r="AC87" s="53">
        <f t="shared" si="35"/>
        <v>650.14</v>
      </c>
      <c r="AD87" s="20">
        <f>IF(AND(AC5=0,AC87&gt;=0),,AC87/AC5)</f>
        <v>6.8633852322254165E-3</v>
      </c>
      <c r="AE87" s="37">
        <f>IF(AND(AC124=0,AC87&gt;=0),,AC87/AC124)</f>
        <v>2.3818072045509828E-2</v>
      </c>
      <c r="AF87" s="62"/>
      <c r="AG87" s="20">
        <f>IF(AND(AF5=0,AF87&gt;=0),,AF87/AF5)</f>
        <v>0</v>
      </c>
      <c r="AH87" s="20">
        <f>IF(AND(AF124=0,AF87&gt;=0),,AF87/AF124)</f>
        <v>0</v>
      </c>
      <c r="AI87" s="20">
        <f t="shared" si="28"/>
        <v>-1</v>
      </c>
      <c r="AJ87" s="53">
        <f t="shared" si="29"/>
        <v>650.14</v>
      </c>
      <c r="AK87" s="20">
        <f>IF(AND(AJ5=0,AJ87&gt;=0),,AJ87/AJ5)</f>
        <v>5.1290280233921666E-3</v>
      </c>
      <c r="AL87" s="37">
        <f>IF(AND(AJ124=0,AJ87&gt;=0),,AJ87/AJ124)</f>
        <v>1.8979219602421344E-2</v>
      </c>
      <c r="AM87" s="62"/>
      <c r="AN87" s="20">
        <f>IF(AND(AM5=0,AM87&gt;=0),,AM87/AM5)</f>
        <v>0</v>
      </c>
      <c r="AO87" s="20">
        <f>IF(AND(AM124=0,AM87&gt;=0),,AM87/AM124)</f>
        <v>0</v>
      </c>
      <c r="AP87" s="20">
        <f t="shared" si="30"/>
        <v>-1</v>
      </c>
      <c r="AQ87" s="53">
        <f t="shared" si="31"/>
        <v>650.14</v>
      </c>
      <c r="AR87" s="20">
        <f>IF(AND(AQ5=0,AQ87&gt;=0),,AQ87/AQ5)</f>
        <v>3.973605781683813E-3</v>
      </c>
      <c r="AS87" s="37">
        <f>IF(AND(AQ124=0,AQ87&gt;=0),,AQ87/AQ124)</f>
        <v>1.5054816677608003E-2</v>
      </c>
      <c r="AT87" s="62">
        <f t="shared" si="36"/>
        <v>60</v>
      </c>
      <c r="AU87" s="20">
        <f>IF(AND(AT5=0,AT87&gt;=0),,AT87/AT5)</f>
        <v>5.263157894736842E-4</v>
      </c>
      <c r="AV87" s="37">
        <f t="shared" si="25"/>
        <v>9.8356666666666666</v>
      </c>
      <c r="AW87" s="62">
        <f t="shared" si="15"/>
        <v>108.35666666666667</v>
      </c>
      <c r="AX87" s="20">
        <f>IF(AND(AW5=0,AW87&gt;=0),,AW87/AW5)</f>
        <v>3.7364367816091954E-3</v>
      </c>
      <c r="AY87" s="37">
        <f>IF(AND(AW124=0,AW87&gt;=0),,AW87/AW124)</f>
        <v>1.4376190866212049E-2</v>
      </c>
      <c r="AZ87" s="62">
        <f t="shared" si="37"/>
        <v>10</v>
      </c>
      <c r="BA87" s="20">
        <f>IF(AND(AZ5=0,AZ87&gt;=0),,AZ87/AZ5)</f>
        <v>5.263157894736842E-4</v>
      </c>
      <c r="BB87" s="37">
        <f t="shared" si="27"/>
        <v>9.8356666666666666</v>
      </c>
    </row>
    <row r="88" spans="1:54" hidden="1" outlineLevel="2" x14ac:dyDescent="0.25">
      <c r="A88" s="19" t="s">
        <v>78</v>
      </c>
      <c r="B88" s="62"/>
      <c r="C88" s="20">
        <f>IF(AND(B5=0,B88&gt;=0),,B88/B5)</f>
        <v>0</v>
      </c>
      <c r="D88" s="37">
        <f>IF(AND(B124=0,B88&gt;=0),"Validar",B88/B124)</f>
        <v>0</v>
      </c>
      <c r="E88" s="62"/>
      <c r="F88" s="20">
        <f>IF(AND(E5=0,E88&gt;=0),,E88/E5)</f>
        <v>0</v>
      </c>
      <c r="G88" s="20">
        <f>IF(AND(E124=0,E88&gt;=0),"Validar",E88/E124)</f>
        <v>0</v>
      </c>
      <c r="I88" s="20">
        <f>IF(AND(H5=0,H88&gt;=0),,H88/H5)</f>
        <v>0</v>
      </c>
      <c r="J88" s="20">
        <f>IF(AND(H124=0,H88&gt;=0),,H88/H124)</f>
        <v>0</v>
      </c>
      <c r="K88" s="20">
        <f t="shared" si="18"/>
        <v>0</v>
      </c>
      <c r="L88" s="53">
        <f t="shared" si="33"/>
        <v>0</v>
      </c>
      <c r="M88" s="20">
        <f>IF(AND(L5=0,L88&gt;=0),,L88/L5)</f>
        <v>0</v>
      </c>
      <c r="N88" s="37">
        <f>IF(AND(L124=0,L88&gt;=0),,L88/L124)</f>
        <v>0</v>
      </c>
      <c r="O88" s="62"/>
      <c r="P88" s="20">
        <f>IF(AND(O5=0,O88&gt;=0),,O88/O5)</f>
        <v>0</v>
      </c>
      <c r="Q88" s="20">
        <f>IF(AND(O124=0,O88&gt;=0),,O88/O124)</f>
        <v>0</v>
      </c>
      <c r="R88" s="20">
        <f t="shared" si="20"/>
        <v>0</v>
      </c>
      <c r="S88" s="53">
        <f t="shared" si="34"/>
        <v>0</v>
      </c>
      <c r="T88" s="20">
        <f>IF(AND(S5=0,S88&gt;=0),,S88/S5)</f>
        <v>0</v>
      </c>
      <c r="U88" s="37">
        <f>IF(AND(S124=0,S88&gt;=0),,S88/S124)</f>
        <v>0</v>
      </c>
      <c r="V88" s="62"/>
      <c r="W88" s="20">
        <f>IF(AND(V5=0,V88&gt;=0),,V88/V5)</f>
        <v>0</v>
      </c>
      <c r="X88" s="37">
        <f t="shared" si="22"/>
        <v>0</v>
      </c>
      <c r="Y88" s="62"/>
      <c r="Z88" s="20">
        <f>IF(AND(Y5=0,Y88&gt;=0),,Y88/Y5)</f>
        <v>0</v>
      </c>
      <c r="AA88" s="20">
        <f>IF(AND(Y124=0,Y88&gt;=0),,Y88/Y124)</f>
        <v>0</v>
      </c>
      <c r="AB88" s="20">
        <f t="shared" si="17"/>
        <v>0</v>
      </c>
      <c r="AC88" s="53">
        <f t="shared" si="35"/>
        <v>0</v>
      </c>
      <c r="AD88" s="20">
        <f>IF(AND(AC5=0,AC88&gt;=0),,AC88/AC5)</f>
        <v>0</v>
      </c>
      <c r="AE88" s="37">
        <f>IF(AND(AC124=0,AC88&gt;=0),,AC88/AC124)</f>
        <v>0</v>
      </c>
      <c r="AF88" s="62"/>
      <c r="AG88" s="20">
        <f>IF(AND(AF5=0,AF88&gt;=0),,AF88/AF5)</f>
        <v>0</v>
      </c>
      <c r="AH88" s="20">
        <f>IF(AND(AF124=0,AF88&gt;=0),,AF88/AF124)</f>
        <v>0</v>
      </c>
      <c r="AI88" s="20">
        <f t="shared" si="28"/>
        <v>0</v>
      </c>
      <c r="AJ88" s="53">
        <f t="shared" si="29"/>
        <v>0</v>
      </c>
      <c r="AK88" s="20">
        <f>IF(AND(AJ5=0,AJ88&gt;=0),,AJ88/AJ5)</f>
        <v>0</v>
      </c>
      <c r="AL88" s="37">
        <f>IF(AND(AJ124=0,AJ88&gt;=0),,AJ88/AJ124)</f>
        <v>0</v>
      </c>
      <c r="AM88" s="62"/>
      <c r="AN88" s="20">
        <f>IF(AND(AM5=0,AM88&gt;=0),,AM88/AM5)</f>
        <v>0</v>
      </c>
      <c r="AO88" s="20">
        <f>IF(AND(AM124=0,AM88&gt;=0),,AM88/AM124)</f>
        <v>0</v>
      </c>
      <c r="AP88" s="20">
        <f t="shared" si="30"/>
        <v>0</v>
      </c>
      <c r="AQ88" s="53">
        <f t="shared" si="31"/>
        <v>0</v>
      </c>
      <c r="AR88" s="20">
        <f>IF(AND(AQ5=0,AQ88&gt;=0),,AQ88/AQ5)</f>
        <v>0</v>
      </c>
      <c r="AS88" s="37">
        <f>IF(AND(AQ124=0,AQ88&gt;=0),,AQ88/AQ124)</f>
        <v>0</v>
      </c>
      <c r="AT88" s="62">
        <f t="shared" si="36"/>
        <v>0</v>
      </c>
      <c r="AU88" s="20">
        <f>IF(AND(AT5=0,AT88&gt;=0),,AT88/AT5)</f>
        <v>0</v>
      </c>
      <c r="AV88" s="37">
        <f t="shared" si="25"/>
        <v>0</v>
      </c>
      <c r="AW88" s="62">
        <f t="shared" si="15"/>
        <v>0</v>
      </c>
      <c r="AX88" s="20">
        <f>IF(AND(AW5=0,AW88&gt;=0),,AW88/AW5)</f>
        <v>0</v>
      </c>
      <c r="AY88" s="37">
        <f>IF(AND(AW124=0,AW88&gt;=0),,AW88/AW124)</f>
        <v>0</v>
      </c>
      <c r="AZ88" s="62">
        <f t="shared" si="37"/>
        <v>0</v>
      </c>
      <c r="BA88" s="20">
        <f>IF(AND(AZ5=0,AZ88&gt;=0),,AZ88/AZ5)</f>
        <v>0</v>
      </c>
      <c r="BB88" s="37">
        <f t="shared" si="27"/>
        <v>0</v>
      </c>
    </row>
    <row r="89" spans="1:54" hidden="1" outlineLevel="2" x14ac:dyDescent="0.25">
      <c r="A89" s="19" t="s">
        <v>80</v>
      </c>
      <c r="B89" s="62"/>
      <c r="C89" s="20">
        <f>IF(AND(B5=0,B89&gt;=0),,B89/B5)</f>
        <v>0</v>
      </c>
      <c r="D89" s="37">
        <f>IF(AND(B124=0,B89&gt;=0),"Validar",B89/B124)</f>
        <v>0</v>
      </c>
      <c r="E89" s="62"/>
      <c r="F89" s="20">
        <f>IF(AND(E5=0,E89&gt;=0),,E89/E5)</f>
        <v>0</v>
      </c>
      <c r="G89" s="20">
        <f>IF(AND(E124=0,E89&gt;=0),"Validar",E89/E124)</f>
        <v>0</v>
      </c>
      <c r="I89" s="20">
        <f>IF(AND(H5=0,H89&gt;=0),,H89/H5)</f>
        <v>0</v>
      </c>
      <c r="J89" s="20">
        <f>IF(AND(H124=0,H89&gt;=0),,H89/H124)</f>
        <v>0</v>
      </c>
      <c r="K89" s="20">
        <f t="shared" si="18"/>
        <v>0</v>
      </c>
      <c r="L89" s="53">
        <f t="shared" si="33"/>
        <v>0</v>
      </c>
      <c r="M89" s="20">
        <f>IF(AND(L5=0,L89&gt;=0),,L89/L5)</f>
        <v>0</v>
      </c>
      <c r="N89" s="37">
        <f>IF(AND(L124=0,L89&gt;=0),,L89/L124)</f>
        <v>0</v>
      </c>
      <c r="O89" s="62"/>
      <c r="P89" s="20">
        <f>IF(AND(O5=0,O89&gt;=0),,O89/O5)</f>
        <v>0</v>
      </c>
      <c r="Q89" s="20">
        <f>IF(AND(O124=0,O89&gt;=0),,O89/O124)</f>
        <v>0</v>
      </c>
      <c r="R89" s="20">
        <f t="shared" si="20"/>
        <v>0</v>
      </c>
      <c r="S89" s="53">
        <f t="shared" si="34"/>
        <v>0</v>
      </c>
      <c r="T89" s="20">
        <f>IF(AND(S5=0,S89&gt;=0),,S89/S5)</f>
        <v>0</v>
      </c>
      <c r="U89" s="37">
        <f>IF(AND(S124=0,S89&gt;=0),,S89/S124)</f>
        <v>0</v>
      </c>
      <c r="V89" s="62"/>
      <c r="W89" s="20">
        <f>IF(AND(V5=0,V89&gt;=0),,V89/V5)</f>
        <v>0</v>
      </c>
      <c r="X89" s="37">
        <f t="shared" si="22"/>
        <v>0</v>
      </c>
      <c r="Y89" s="62"/>
      <c r="Z89" s="20">
        <f>IF(AND(Y5=0,Y89&gt;=0),,Y89/Y5)</f>
        <v>0</v>
      </c>
      <c r="AA89" s="20">
        <f>IF(AND(Y124=0,Y89&gt;=0),,Y89/Y124)</f>
        <v>0</v>
      </c>
      <c r="AB89" s="20">
        <f t="shared" si="17"/>
        <v>0</v>
      </c>
      <c r="AC89" s="53">
        <f t="shared" si="35"/>
        <v>0</v>
      </c>
      <c r="AD89" s="20">
        <f>IF(AND(AC5=0,AC89&gt;=0),,AC89/AC5)</f>
        <v>0</v>
      </c>
      <c r="AE89" s="37">
        <f>IF(AND(AC124=0,AC89&gt;=0),,AC89/AC124)</f>
        <v>0</v>
      </c>
      <c r="AF89" s="62"/>
      <c r="AG89" s="20">
        <f>IF(AND(AF5=0,AF89&gt;=0),,AF89/AF5)</f>
        <v>0</v>
      </c>
      <c r="AH89" s="20">
        <f>IF(AND(AF124=0,AF89&gt;=0),,AF89/AF124)</f>
        <v>0</v>
      </c>
      <c r="AI89" s="20">
        <f t="shared" si="28"/>
        <v>0</v>
      </c>
      <c r="AJ89" s="53">
        <f t="shared" si="29"/>
        <v>0</v>
      </c>
      <c r="AK89" s="20">
        <f>IF(AND(AJ5=0,AJ89&gt;=0),,AJ89/AJ5)</f>
        <v>0</v>
      </c>
      <c r="AL89" s="37">
        <f>IF(AND(AJ124=0,AJ89&gt;=0),,AJ89/AJ124)</f>
        <v>0</v>
      </c>
      <c r="AM89" s="62"/>
      <c r="AN89" s="20">
        <f>IF(AND(AM5=0,AM89&gt;=0),,AM89/AM5)</f>
        <v>0</v>
      </c>
      <c r="AO89" s="20">
        <f>IF(AND(AM124=0,AM89&gt;=0),,AM89/AM124)</f>
        <v>0</v>
      </c>
      <c r="AP89" s="20">
        <f t="shared" si="30"/>
        <v>0</v>
      </c>
      <c r="AQ89" s="53">
        <f t="shared" si="31"/>
        <v>0</v>
      </c>
      <c r="AR89" s="20">
        <f>IF(AND(AQ5=0,AQ89&gt;=0),,AQ89/AQ5)</f>
        <v>0</v>
      </c>
      <c r="AS89" s="37">
        <f>IF(AND(AQ124=0,AQ89&gt;=0),,AQ89/AQ124)</f>
        <v>0</v>
      </c>
      <c r="AT89" s="62">
        <f t="shared" si="36"/>
        <v>0</v>
      </c>
      <c r="AU89" s="20">
        <f>IF(AND(AT5=0,AT89&gt;=0),,AT89/AT5)</f>
        <v>0</v>
      </c>
      <c r="AV89" s="37">
        <f t="shared" si="25"/>
        <v>0</v>
      </c>
      <c r="AW89" s="62">
        <f t="shared" si="15"/>
        <v>0</v>
      </c>
      <c r="AX89" s="20">
        <f>IF(AND(AW5=0,AW89&gt;=0),,AW89/AW5)</f>
        <v>0</v>
      </c>
      <c r="AY89" s="37">
        <f>IF(AND(AW124=0,AW89&gt;=0),,AW89/AW124)</f>
        <v>0</v>
      </c>
      <c r="AZ89" s="62">
        <f t="shared" si="37"/>
        <v>0</v>
      </c>
      <c r="BA89" s="20">
        <f>IF(AND(AZ5=0,AZ89&gt;=0),,AZ89/AZ5)</f>
        <v>0</v>
      </c>
      <c r="BB89" s="37">
        <f t="shared" si="27"/>
        <v>0</v>
      </c>
    </row>
    <row r="90" spans="1:54" hidden="1" outlineLevel="2" x14ac:dyDescent="0.25">
      <c r="A90" s="19" t="s">
        <v>79</v>
      </c>
      <c r="B90" s="62"/>
      <c r="C90" s="20">
        <f>IF(AND(B5=0,B90&gt;=0),,B90/B5)</f>
        <v>0</v>
      </c>
      <c r="D90" s="37">
        <f>IF(AND(B124=0,B90&gt;=0),"Validar",B90/B124)</f>
        <v>0</v>
      </c>
      <c r="E90" s="62"/>
      <c r="F90" s="20">
        <f>IF(AND(E5=0,E90&gt;=0),,E90/E5)</f>
        <v>0</v>
      </c>
      <c r="G90" s="20">
        <f>IF(AND(E124=0,E90&gt;=0),"Validar",E90/E124)</f>
        <v>0</v>
      </c>
      <c r="I90" s="20">
        <f>IF(AND(H5=0,H90&gt;=0),,H90/H5)</f>
        <v>0</v>
      </c>
      <c r="J90" s="20">
        <f>IF(AND(H124=0,H90&gt;=0),,H90/H124)</f>
        <v>0</v>
      </c>
      <c r="K90" s="20">
        <f t="shared" si="18"/>
        <v>0</v>
      </c>
      <c r="L90" s="53">
        <f t="shared" si="33"/>
        <v>0</v>
      </c>
      <c r="M90" s="20">
        <f>IF(AND(L5=0,L90&gt;=0),,L90/L5)</f>
        <v>0</v>
      </c>
      <c r="N90" s="37">
        <f>IF(AND(L124=0,L90&gt;=0),,L90/L124)</f>
        <v>0</v>
      </c>
      <c r="O90" s="62"/>
      <c r="P90" s="20">
        <f>IF(AND(O5=0,O90&gt;=0),,O90/O5)</f>
        <v>0</v>
      </c>
      <c r="Q90" s="20">
        <f>IF(AND(O124=0,O90&gt;=0),,O90/O124)</f>
        <v>0</v>
      </c>
      <c r="R90" s="20">
        <f t="shared" si="20"/>
        <v>0</v>
      </c>
      <c r="S90" s="53">
        <f t="shared" si="34"/>
        <v>0</v>
      </c>
      <c r="T90" s="20">
        <f>IF(AND(S5=0,S90&gt;=0),,S90/S5)</f>
        <v>0</v>
      </c>
      <c r="U90" s="37">
        <f>IF(AND(S124=0,S90&gt;=0),,S90/S124)</f>
        <v>0</v>
      </c>
      <c r="V90" s="62"/>
      <c r="W90" s="20">
        <f>IF(AND(V5=0,V90&gt;=0),,V90/V5)</f>
        <v>0</v>
      </c>
      <c r="X90" s="37">
        <f t="shared" si="22"/>
        <v>0</v>
      </c>
      <c r="Y90" s="62"/>
      <c r="Z90" s="20">
        <f>IF(AND(Y5=0,Y90&gt;=0),,Y90/Y5)</f>
        <v>0</v>
      </c>
      <c r="AA90" s="20">
        <f>IF(AND(Y124=0,Y90&gt;=0),,Y90/Y124)</f>
        <v>0</v>
      </c>
      <c r="AB90" s="20">
        <f t="shared" si="17"/>
        <v>0</v>
      </c>
      <c r="AC90" s="53">
        <f t="shared" si="35"/>
        <v>0</v>
      </c>
      <c r="AD90" s="20">
        <f>IF(AND(AC5=0,AC90&gt;=0),,AC90/AC5)</f>
        <v>0</v>
      </c>
      <c r="AE90" s="37">
        <f>IF(AND(AC124=0,AC90&gt;=0),,AC90/AC124)</f>
        <v>0</v>
      </c>
      <c r="AF90" s="62"/>
      <c r="AG90" s="20">
        <f>IF(AND(AF5=0,AF90&gt;=0),,AF90/AF5)</f>
        <v>0</v>
      </c>
      <c r="AH90" s="20">
        <f>IF(AND(AF124=0,AF90&gt;=0),,AF90/AF124)</f>
        <v>0</v>
      </c>
      <c r="AI90" s="20">
        <f t="shared" si="28"/>
        <v>0</v>
      </c>
      <c r="AJ90" s="53">
        <f t="shared" si="29"/>
        <v>0</v>
      </c>
      <c r="AK90" s="20">
        <f>IF(AND(AJ5=0,AJ90&gt;=0),,AJ90/AJ5)</f>
        <v>0</v>
      </c>
      <c r="AL90" s="37">
        <f>IF(AND(AJ124=0,AJ90&gt;=0),,AJ90/AJ124)</f>
        <v>0</v>
      </c>
      <c r="AM90" s="62"/>
      <c r="AN90" s="20">
        <f>IF(AND(AM5=0,AM90&gt;=0),,AM90/AM5)</f>
        <v>0</v>
      </c>
      <c r="AO90" s="20">
        <f>IF(AND(AM124=0,AM90&gt;=0),,AM90/AM124)</f>
        <v>0</v>
      </c>
      <c r="AP90" s="20">
        <f t="shared" si="30"/>
        <v>0</v>
      </c>
      <c r="AQ90" s="53">
        <f t="shared" si="31"/>
        <v>0</v>
      </c>
      <c r="AR90" s="20">
        <f>IF(AND(AQ5=0,AQ90&gt;=0),,AQ90/AQ5)</f>
        <v>0</v>
      </c>
      <c r="AS90" s="37">
        <f>IF(AND(AQ124=0,AQ90&gt;=0),,AQ90/AQ124)</f>
        <v>0</v>
      </c>
      <c r="AT90" s="62">
        <f t="shared" si="36"/>
        <v>0</v>
      </c>
      <c r="AU90" s="20">
        <f>IF(AND(AT5=0,AT90&gt;=0),,AT90/AT5)</f>
        <v>0</v>
      </c>
      <c r="AV90" s="37">
        <f t="shared" si="25"/>
        <v>0</v>
      </c>
      <c r="AW90" s="62">
        <f t="shared" si="15"/>
        <v>0</v>
      </c>
      <c r="AX90" s="20">
        <f>IF(AND(AW5=0,AW90&gt;=0),,AW90/AW5)</f>
        <v>0</v>
      </c>
      <c r="AY90" s="37">
        <f>IF(AND(AW124=0,AW90&gt;=0),,AW90/AW124)</f>
        <v>0</v>
      </c>
      <c r="AZ90" s="62">
        <f t="shared" si="37"/>
        <v>0</v>
      </c>
      <c r="BA90" s="20">
        <f>IF(AND(AZ5=0,AZ90&gt;=0),,AZ90/AZ5)</f>
        <v>0</v>
      </c>
      <c r="BB90" s="37">
        <f t="shared" si="27"/>
        <v>0</v>
      </c>
    </row>
    <row r="91" spans="1:54" hidden="1" outlineLevel="2" x14ac:dyDescent="0.25">
      <c r="A91" s="19" t="s">
        <v>81</v>
      </c>
      <c r="B91" s="62"/>
      <c r="C91" s="20">
        <f>IF(AND(B5=0,B91&gt;=0),,B91/B5)</f>
        <v>0</v>
      </c>
      <c r="D91" s="37">
        <f>IF(AND(B124=0,B91&gt;=0),"Validar",B91/B124)</f>
        <v>0</v>
      </c>
      <c r="E91" s="62"/>
      <c r="F91" s="20">
        <f>IF(AND(E5=0,E91&gt;=0),,E91/E5)</f>
        <v>0</v>
      </c>
      <c r="G91" s="20">
        <f>IF(AND(E124=0,E91&gt;=0),"Validar",E91/E124)</f>
        <v>0</v>
      </c>
      <c r="I91" s="20">
        <f>IF(AND(H5=0,H91&gt;=0),,H91/H5)</f>
        <v>0</v>
      </c>
      <c r="J91" s="20">
        <f>IF(AND(H124=0,H91&gt;=0),,H91/H124)</f>
        <v>0</v>
      </c>
      <c r="K91" s="20">
        <f t="shared" si="18"/>
        <v>0</v>
      </c>
      <c r="L91" s="53">
        <f t="shared" si="33"/>
        <v>0</v>
      </c>
      <c r="M91" s="20">
        <f>IF(AND(L5=0,L91&gt;=0),,L91/L5)</f>
        <v>0</v>
      </c>
      <c r="N91" s="37">
        <f>IF(AND(L124=0,L91&gt;=0),,L91/L124)</f>
        <v>0</v>
      </c>
      <c r="O91" s="62"/>
      <c r="P91" s="20">
        <f>IF(AND(O5=0,O91&gt;=0),,O91/O5)</f>
        <v>0</v>
      </c>
      <c r="Q91" s="20">
        <f>IF(AND(O124=0,O91&gt;=0),,O91/O124)</f>
        <v>0</v>
      </c>
      <c r="R91" s="20">
        <f t="shared" si="20"/>
        <v>0</v>
      </c>
      <c r="S91" s="53">
        <f t="shared" si="34"/>
        <v>0</v>
      </c>
      <c r="T91" s="20">
        <f>IF(AND(S5=0,S91&gt;=0),,S91/S5)</f>
        <v>0</v>
      </c>
      <c r="U91" s="37">
        <f>IF(AND(S124=0,S91&gt;=0),,S91/S124)</f>
        <v>0</v>
      </c>
      <c r="V91" s="62"/>
      <c r="W91" s="20">
        <f>IF(AND(V5=0,V91&gt;=0),,V91/V5)</f>
        <v>0</v>
      </c>
      <c r="X91" s="37">
        <f t="shared" si="22"/>
        <v>0</v>
      </c>
      <c r="Y91" s="62"/>
      <c r="Z91" s="20">
        <f>IF(AND(Y5=0,Y91&gt;=0),,Y91/Y5)</f>
        <v>0</v>
      </c>
      <c r="AA91" s="20">
        <f>IF(AND(Y124=0,Y91&gt;=0),,Y91/Y124)</f>
        <v>0</v>
      </c>
      <c r="AB91" s="20">
        <f t="shared" si="17"/>
        <v>0</v>
      </c>
      <c r="AC91" s="53">
        <f t="shared" si="35"/>
        <v>0</v>
      </c>
      <c r="AD91" s="20">
        <f>IF(AND(AC5=0,AC91&gt;=0),,AC91/AC5)</f>
        <v>0</v>
      </c>
      <c r="AE91" s="37">
        <f>IF(AND(AC124=0,AC91&gt;=0),,AC91/AC124)</f>
        <v>0</v>
      </c>
      <c r="AF91" s="62"/>
      <c r="AG91" s="20">
        <f>IF(AND(AF5=0,AF91&gt;=0),,AF91/AF5)</f>
        <v>0</v>
      </c>
      <c r="AH91" s="20">
        <f>IF(AND(AF124=0,AF91&gt;=0),,AF91/AF124)</f>
        <v>0</v>
      </c>
      <c r="AI91" s="20">
        <f t="shared" si="28"/>
        <v>0</v>
      </c>
      <c r="AJ91" s="53">
        <f t="shared" si="29"/>
        <v>0</v>
      </c>
      <c r="AK91" s="20">
        <f>IF(AND(AJ5=0,AJ91&gt;=0),,AJ91/AJ5)</f>
        <v>0</v>
      </c>
      <c r="AL91" s="37">
        <f>IF(AND(AJ124=0,AJ91&gt;=0),,AJ91/AJ124)</f>
        <v>0</v>
      </c>
      <c r="AM91" s="62"/>
      <c r="AN91" s="20">
        <f>IF(AND(AM5=0,AM91&gt;=0),,AM91/AM5)</f>
        <v>0</v>
      </c>
      <c r="AO91" s="20">
        <f>IF(AND(AM124=0,AM91&gt;=0),,AM91/AM124)</f>
        <v>0</v>
      </c>
      <c r="AP91" s="20">
        <f t="shared" si="30"/>
        <v>0</v>
      </c>
      <c r="AQ91" s="53">
        <f t="shared" si="31"/>
        <v>0</v>
      </c>
      <c r="AR91" s="20">
        <f>IF(AND(AQ5=0,AQ91&gt;=0),,AQ91/AQ5)</f>
        <v>0</v>
      </c>
      <c r="AS91" s="37">
        <f>IF(AND(AQ124=0,AQ91&gt;=0),,AQ91/AQ124)</f>
        <v>0</v>
      </c>
      <c r="AT91" s="62">
        <f t="shared" si="36"/>
        <v>0</v>
      </c>
      <c r="AU91" s="20">
        <f>IF(AND(AT5=0,AT91&gt;=0),,AT91/AT5)</f>
        <v>0</v>
      </c>
      <c r="AV91" s="37">
        <f t="shared" si="25"/>
        <v>0</v>
      </c>
      <c r="AW91" s="62">
        <f t="shared" si="15"/>
        <v>0</v>
      </c>
      <c r="AX91" s="20">
        <f>IF(AND(AW5=0,AW91&gt;=0),,AW91/AW5)</f>
        <v>0</v>
      </c>
      <c r="AY91" s="37">
        <f>IF(AND(AW124=0,AW91&gt;=0),,AW91/AW124)</f>
        <v>0</v>
      </c>
      <c r="AZ91" s="62">
        <f t="shared" si="37"/>
        <v>0</v>
      </c>
      <c r="BA91" s="20">
        <f>IF(AND(AZ5=0,AZ91&gt;=0),,AZ91/AZ5)</f>
        <v>0</v>
      </c>
      <c r="BB91" s="37">
        <f t="shared" si="27"/>
        <v>0</v>
      </c>
    </row>
    <row r="92" spans="1:54" hidden="1" outlineLevel="2" x14ac:dyDescent="0.25">
      <c r="A92" s="19"/>
      <c r="B92" s="62"/>
      <c r="C92" s="13"/>
      <c r="D92" s="36"/>
      <c r="E92" s="62"/>
      <c r="F92" s="13"/>
      <c r="G92" s="13"/>
      <c r="I92" s="13"/>
      <c r="J92" s="13"/>
      <c r="K92" s="22">
        <f t="shared" si="18"/>
        <v>0</v>
      </c>
      <c r="M92" s="13"/>
      <c r="N92" s="36"/>
      <c r="O92" s="62"/>
      <c r="P92" s="13"/>
      <c r="Q92" s="13"/>
      <c r="R92" s="22">
        <f t="shared" si="20"/>
        <v>0</v>
      </c>
      <c r="T92" s="13"/>
      <c r="U92" s="36"/>
      <c r="V92" s="62"/>
      <c r="W92" s="13"/>
      <c r="X92" s="79">
        <f t="shared" si="22"/>
        <v>0</v>
      </c>
      <c r="Y92" s="62"/>
      <c r="Z92" s="13"/>
      <c r="AA92" s="13"/>
      <c r="AB92" s="22">
        <f t="shared" si="17"/>
        <v>0</v>
      </c>
      <c r="AD92" s="13"/>
      <c r="AE92" s="36"/>
      <c r="AF92" s="62"/>
      <c r="AG92" s="13"/>
      <c r="AH92" s="13"/>
      <c r="AI92" s="22">
        <f t="shared" si="28"/>
        <v>0</v>
      </c>
      <c r="AJ92" s="53">
        <f t="shared" si="29"/>
        <v>0</v>
      </c>
      <c r="AK92" s="13"/>
      <c r="AL92" s="36"/>
      <c r="AM92" s="62"/>
      <c r="AN92" s="13"/>
      <c r="AO92" s="13"/>
      <c r="AP92" s="22">
        <f t="shared" si="30"/>
        <v>0</v>
      </c>
      <c r="AQ92" s="53">
        <f t="shared" si="31"/>
        <v>0</v>
      </c>
      <c r="AR92" s="13"/>
      <c r="AS92" s="36"/>
      <c r="AT92" s="62">
        <f t="shared" si="36"/>
        <v>0</v>
      </c>
      <c r="AU92" s="13"/>
      <c r="AV92" s="79">
        <f t="shared" si="25"/>
        <v>0</v>
      </c>
      <c r="AW92" s="62">
        <f t="shared" si="15"/>
        <v>0</v>
      </c>
      <c r="AX92" s="13"/>
      <c r="AY92" s="36"/>
      <c r="AZ92" s="62">
        <f t="shared" si="37"/>
        <v>0</v>
      </c>
      <c r="BA92" s="13"/>
      <c r="BB92" s="79">
        <f t="shared" si="27"/>
        <v>0</v>
      </c>
    </row>
    <row r="93" spans="1:54" s="5" customFormat="1" collapsed="1" x14ac:dyDescent="0.25">
      <c r="A93" s="27" t="s">
        <v>82</v>
      </c>
      <c r="B93" s="61">
        <f>SUM(B94:B103)</f>
        <v>172.10000000000002</v>
      </c>
      <c r="C93" s="28">
        <f>IF(AND(B5=0,B93&gt;=0),,B93/B5)</f>
        <v>6.4820713852706334E-4</v>
      </c>
      <c r="D93" s="33">
        <f>IF(AND(B124=0,B93&gt;=0),"Validar",B93/B124)</f>
        <v>2.3733498599020262E-3</v>
      </c>
      <c r="E93" s="61">
        <f>SUM(E94:E103)</f>
        <v>0</v>
      </c>
      <c r="F93" s="28">
        <f>IF(AND(E5=0,E93&gt;=0),,E93/E5)</f>
        <v>0</v>
      </c>
      <c r="G93" s="29">
        <f>IF(AND(E124=0,E93&gt;=0),"Validar",E93/E124)</f>
        <v>0</v>
      </c>
      <c r="H93" s="52">
        <f>SUM(H94:H103)</f>
        <v>75</v>
      </c>
      <c r="I93" s="28">
        <f>IF(AND(H5=0,H93&gt;=0),,H93/H5)</f>
        <v>3.1211090174249438E-3</v>
      </c>
      <c r="J93" s="29">
        <f>IF(AND(H124=0,H93&gt;=0),,H93/H124)</f>
        <v>1.1742859558531108E-2</v>
      </c>
      <c r="K93" s="28">
        <f t="shared" si="18"/>
        <v>1</v>
      </c>
      <c r="L93" s="52">
        <f>SUM(L94:L103)</f>
        <v>75</v>
      </c>
      <c r="M93" s="28">
        <f>IF(AND(L5=0,L93&gt;=0),,L93/L5)</f>
        <v>1.6008380707467974E-3</v>
      </c>
      <c r="N93" s="33">
        <f>IF(AND(L124=0,L93&gt;=0),,L93/L124)</f>
        <v>4.9638565061598146E-3</v>
      </c>
      <c r="O93" s="61">
        <f>SUM(O94:O103)</f>
        <v>75</v>
      </c>
      <c r="P93" s="28">
        <f>IF(AND(O5=0,O93&gt;=0),,O93/O5)</f>
        <v>3.0596896495594657E-3</v>
      </c>
      <c r="Q93" s="29">
        <f>IF(AND(O124=0,O93&gt;=0),,O93/O124)</f>
        <v>1.3859885794541055E-2</v>
      </c>
      <c r="R93" s="28">
        <f t="shared" si="20"/>
        <v>0</v>
      </c>
      <c r="S93" s="52">
        <f>SUM(S94:S103)</f>
        <v>150</v>
      </c>
      <c r="T93" s="28">
        <f>IF(AND(S5=0,S93&gt;=0),,S93/S5)</f>
        <v>2.1019369348854971E-3</v>
      </c>
      <c r="U93" s="33">
        <f>IF(AND(S124=0,S93&gt;=0),,S93/S124)</f>
        <v>7.3097562829791849E-3</v>
      </c>
      <c r="V93" s="61">
        <f>SUM(V94:V103)</f>
        <v>60</v>
      </c>
      <c r="W93" s="28">
        <f>IF(AND(V5=0,V93&gt;=0),,V93/V5)</f>
        <v>1.0526315789473684E-3</v>
      </c>
      <c r="X93" s="78">
        <f t="shared" si="22"/>
        <v>1.5</v>
      </c>
      <c r="Y93" s="61">
        <f>SUM(Y94:Y103)</f>
        <v>75</v>
      </c>
      <c r="Z93" s="28">
        <f>IF(AND(Y5=0,Y93&gt;=0),,Y93/Y5)</f>
        <v>3.2101904284962185E-3</v>
      </c>
      <c r="AA93" s="29">
        <f>IF(AND(Y124=0,Y93&gt;=0),,Y93/Y124)</f>
        <v>1.1069195756513115E-2</v>
      </c>
      <c r="AB93" s="28">
        <f t="shared" si="17"/>
        <v>0</v>
      </c>
      <c r="AC93" s="52">
        <f>SUM(AC94:AC103)</f>
        <v>225</v>
      </c>
      <c r="AD93" s="28">
        <f>IF(AND(AC5=0,AC93&gt;=0),,AC93/AC5)</f>
        <v>2.3752755979492396E-3</v>
      </c>
      <c r="AE93" s="33">
        <f>IF(AND(AC124=0,AC93&gt;=0),,AC93/AC124)</f>
        <v>8.2429418436639982E-3</v>
      </c>
      <c r="AF93" s="61">
        <f>SUM(AF94:AF103)</f>
        <v>119.29</v>
      </c>
      <c r="AG93" s="28">
        <f>IF(AND(AF5=0,AF93&gt;=0),,AF93/AF5)</f>
        <v>3.7241918871996631E-3</v>
      </c>
      <c r="AH93" s="29">
        <f>IF(AND(AF124=0,AF93&gt;=0),,AF93/AF124)</f>
        <v>1.7141141037578606E-2</v>
      </c>
      <c r="AI93" s="28">
        <f t="shared" si="28"/>
        <v>0.98816666666666675</v>
      </c>
      <c r="AJ93" s="52">
        <f t="shared" si="29"/>
        <v>344.29</v>
      </c>
      <c r="AK93" s="28">
        <f>IF(AND(AJ5=0,AJ93&gt;=0),,AJ93/AJ5)</f>
        <v>2.7161427664405963E-3</v>
      </c>
      <c r="AL93" s="33">
        <f>IF(AND(AJ124=0,AJ93&gt;=0),,AJ93/AJ124)</f>
        <v>1.0050689877438158E-2</v>
      </c>
      <c r="AM93" s="61">
        <f>SUM(AM94:AM103)</f>
        <v>150.02000000000001</v>
      </c>
      <c r="AN93" s="28">
        <f>IF(AND(AM5=0,AM93&gt;=0),,AM93/AM5)</f>
        <v>4.0702529677684365E-3</v>
      </c>
      <c r="AO93" s="29">
        <f>IF(AND(AM124=0,AM93&gt;=0),,AM93/AM124)</f>
        <v>1.6800511563370361E-2</v>
      </c>
      <c r="AP93" s="28">
        <f t="shared" si="30"/>
        <v>-0.3332444444444444</v>
      </c>
      <c r="AQ93" s="52">
        <f t="shared" si="31"/>
        <v>494.31000000000006</v>
      </c>
      <c r="AR93" s="28">
        <f>IF(AND(AQ5=0,AQ93&gt;=0),,AQ93/AQ5)</f>
        <v>3.0211847816533758E-3</v>
      </c>
      <c r="AS93" s="33">
        <f>IF(AND(AQ124=0,AQ93&gt;=0),,AQ93/AQ124)</f>
        <v>1.144637529133481E-2</v>
      </c>
      <c r="AT93" s="61">
        <f>SUM(AT94:AT103)</f>
        <v>120</v>
      </c>
      <c r="AU93" s="28">
        <f>IF(AND(AT5=0,AT93&gt;=0),,AT93/AT5)</f>
        <v>1.0526315789473684E-3</v>
      </c>
      <c r="AV93" s="78">
        <f t="shared" si="25"/>
        <v>3.1192500000000005</v>
      </c>
      <c r="AW93" s="61">
        <f>SUM(AW94:AW103)</f>
        <v>82.385000000000005</v>
      </c>
      <c r="AX93" s="28">
        <f>IF(AND(AW5=0,AW93&gt;=0),,AW93/AW5)</f>
        <v>2.8408620689655173E-3</v>
      </c>
      <c r="AY93" s="33">
        <f>IF(AND(AW124=0,AW93&gt;=0),,AW93/AW124)</f>
        <v>1.0930407153962651E-2</v>
      </c>
      <c r="AZ93" s="61">
        <f>SUM(AZ94:AZ103)</f>
        <v>20</v>
      </c>
      <c r="BA93" s="28">
        <f>IF(AND(AZ5=0,AZ93&gt;=0),,AZ93/AZ5)</f>
        <v>1.0526315789473684E-3</v>
      </c>
      <c r="BB93" s="78">
        <f t="shared" si="27"/>
        <v>3.1192500000000001</v>
      </c>
    </row>
    <row r="94" spans="1:54" hidden="1" outlineLevel="1" x14ac:dyDescent="0.25">
      <c r="A94" s="19" t="s">
        <v>83</v>
      </c>
      <c r="B94" s="62"/>
      <c r="C94" s="20">
        <f>IF(AND(B5=0,B94&gt;=0),,B94/B5)</f>
        <v>0</v>
      </c>
      <c r="D94" s="37">
        <f>IF(AND(B124=0,B94&gt;=0),"Validar",B94/B124)</f>
        <v>0</v>
      </c>
      <c r="E94" s="62"/>
      <c r="F94" s="20">
        <f>IF(AND(E5=0,E94&gt;=0),,E94/E5)</f>
        <v>0</v>
      </c>
      <c r="G94" s="20">
        <f>IF(AND(E124=0,E94&gt;=0),"Validar",E94/E124)</f>
        <v>0</v>
      </c>
      <c r="I94" s="20">
        <f>IF(AND(H5=0,H94&gt;=0),,H94/H5)</f>
        <v>0</v>
      </c>
      <c r="J94" s="20">
        <f>IF(AND(H124=0,H94&gt;=0),,H94/H124)</f>
        <v>0</v>
      </c>
      <c r="K94" s="20">
        <f t="shared" si="18"/>
        <v>0</v>
      </c>
      <c r="L94" s="53">
        <f t="shared" ref="L94:L102" si="38">+E94+H94</f>
        <v>0</v>
      </c>
      <c r="M94" s="20">
        <f>IF(AND(L5=0,L94&gt;=0),,L94/L5)</f>
        <v>0</v>
      </c>
      <c r="N94" s="37">
        <f>IF(AND(L124=0,L94&gt;=0),,L94/L124)</f>
        <v>0</v>
      </c>
      <c r="O94" s="62"/>
      <c r="P94" s="20">
        <f>IF(AND(O5=0,O94&gt;=0),,O94/O5)</f>
        <v>0</v>
      </c>
      <c r="Q94" s="20">
        <f>IF(AND(O124=0,O94&gt;=0),,O94/O124)</f>
        <v>0</v>
      </c>
      <c r="R94" s="20">
        <f t="shared" si="20"/>
        <v>0</v>
      </c>
      <c r="S94" s="53">
        <f t="shared" ref="S94:S102" si="39">+L94+O94</f>
        <v>0</v>
      </c>
      <c r="T94" s="20">
        <f>IF(AND(S5=0,S94&gt;=0),,S94/S5)</f>
        <v>0</v>
      </c>
      <c r="U94" s="37">
        <f>IF(AND(S124=0,S94&gt;=0),,S94/S124)</f>
        <v>0</v>
      </c>
      <c r="V94" s="62"/>
      <c r="W94" s="20">
        <f>IF(AND(V5=0,V94&gt;=0),,V94/V5)</f>
        <v>0</v>
      </c>
      <c r="X94" s="37">
        <f t="shared" si="22"/>
        <v>0</v>
      </c>
      <c r="Y94" s="62"/>
      <c r="Z94" s="20">
        <f>IF(AND(Y5=0,Y94&gt;=0),,Y94/Y5)</f>
        <v>0</v>
      </c>
      <c r="AA94" s="20">
        <f>IF(AND(Y124=0,Y94&gt;=0),,Y94/Y124)</f>
        <v>0</v>
      </c>
      <c r="AB94" s="20">
        <f t="shared" si="17"/>
        <v>0</v>
      </c>
      <c r="AC94" s="53">
        <f t="shared" ref="AC94:AC103" si="40">+S94+Y94</f>
        <v>0</v>
      </c>
      <c r="AD94" s="20">
        <f>IF(AND(AC5=0,AC94&gt;=0),,AC94/AC5)</f>
        <v>0</v>
      </c>
      <c r="AE94" s="37">
        <f>IF(AND(AC124=0,AC94&gt;=0),,AC94/AC124)</f>
        <v>0</v>
      </c>
      <c r="AF94" s="62"/>
      <c r="AG94" s="20">
        <f>IF(AND(AF5=0,AF94&gt;=0),,AF94/AF5)</f>
        <v>0</v>
      </c>
      <c r="AH94" s="20">
        <f>IF(AND(AF124=0,AF94&gt;=0),,AF94/AF124)</f>
        <v>0</v>
      </c>
      <c r="AI94" s="20">
        <f t="shared" si="28"/>
        <v>0</v>
      </c>
      <c r="AJ94" s="53">
        <f t="shared" si="29"/>
        <v>0</v>
      </c>
      <c r="AK94" s="20">
        <f>IF(AND(AJ5=0,AJ94&gt;=0),,AJ94/AJ5)</f>
        <v>0</v>
      </c>
      <c r="AL94" s="37">
        <f>IF(AND(AJ124=0,AJ94&gt;=0),,AJ94/AJ124)</f>
        <v>0</v>
      </c>
      <c r="AM94" s="62"/>
      <c r="AN94" s="20">
        <f>IF(AND(AM5=0,AM94&gt;=0),,AM94/AM5)</f>
        <v>0</v>
      </c>
      <c r="AO94" s="20">
        <f>IF(AND(AM124=0,AM94&gt;=0),,AM94/AM124)</f>
        <v>0</v>
      </c>
      <c r="AP94" s="20">
        <f t="shared" si="30"/>
        <v>0</v>
      </c>
      <c r="AQ94" s="53">
        <f t="shared" si="31"/>
        <v>0</v>
      </c>
      <c r="AR94" s="20">
        <f>IF(AND(AQ5=0,AQ94&gt;=0),,AQ94/AQ5)</f>
        <v>0</v>
      </c>
      <c r="AS94" s="37">
        <f>IF(AND(AQ124=0,AQ94&gt;=0),,AQ94/AQ124)</f>
        <v>0</v>
      </c>
      <c r="AT94" s="62">
        <f t="shared" ref="AT94:AT102" si="41">+V94*2</f>
        <v>0</v>
      </c>
      <c r="AU94" s="20">
        <f>IF(AND(AT5=0,AT94&gt;=0),,AT94/AT5)</f>
        <v>0</v>
      </c>
      <c r="AV94" s="37">
        <f t="shared" si="25"/>
        <v>0</v>
      </c>
      <c r="AW94" s="62">
        <f t="shared" si="15"/>
        <v>0</v>
      </c>
      <c r="AX94" s="20">
        <f>IF(AND(AW5=0,AW94&gt;=0),,AW94/AW5)</f>
        <v>0</v>
      </c>
      <c r="AY94" s="37">
        <f>IF(AND(AW124=0,AW94&gt;=0),,AW94/AW124)</f>
        <v>0</v>
      </c>
      <c r="AZ94" s="62">
        <f t="shared" si="37"/>
        <v>0</v>
      </c>
      <c r="BA94" s="20">
        <f>IF(AND(AZ5=0,AZ94&gt;=0),,AZ94/AZ5)</f>
        <v>0</v>
      </c>
      <c r="BB94" s="37">
        <f t="shared" si="27"/>
        <v>0</v>
      </c>
    </row>
    <row r="95" spans="1:54" hidden="1" outlineLevel="1" x14ac:dyDescent="0.25">
      <c r="A95" s="19" t="s">
        <v>84</v>
      </c>
      <c r="B95" s="62">
        <v>77.48</v>
      </c>
      <c r="C95" s="20">
        <f>IF(AND(B5=0,B95&gt;=0),,B95/B5)</f>
        <v>2.9182503830956923E-4</v>
      </c>
      <c r="D95" s="37">
        <f>IF(AND(B124=0,B95&gt;=0),"Validar",B95/B124)</f>
        <v>1.0684901054341021E-3</v>
      </c>
      <c r="E95" s="62"/>
      <c r="F95" s="20">
        <f>IF(AND(E5=0,E95&gt;=0),,E95/E5)</f>
        <v>0</v>
      </c>
      <c r="G95" s="20">
        <f>IF(AND(E124=0,E95&gt;=0),"Validar",E95/E124)</f>
        <v>0</v>
      </c>
      <c r="H95" s="53">
        <v>75</v>
      </c>
      <c r="I95" s="20">
        <f>IF(AND(H5=0,H95&gt;=0),,H95/H5)</f>
        <v>3.1211090174249438E-3</v>
      </c>
      <c r="J95" s="20">
        <f>IF(AND(H124=0,H95&gt;=0),,H95/H124)</f>
        <v>1.1742859558531108E-2</v>
      </c>
      <c r="K95" s="20">
        <f t="shared" si="18"/>
        <v>1</v>
      </c>
      <c r="L95" s="53">
        <f t="shared" si="38"/>
        <v>75</v>
      </c>
      <c r="M95" s="20">
        <f>IF(AND(L5=0,L95&gt;=0),,L95/L5)</f>
        <v>1.6008380707467974E-3</v>
      </c>
      <c r="N95" s="37">
        <f>IF(AND(L124=0,L95&gt;=0),,L95/L124)</f>
        <v>4.9638565061598146E-3</v>
      </c>
      <c r="O95" s="62">
        <v>75</v>
      </c>
      <c r="P95" s="20">
        <f>IF(AND(O5=0,O95&gt;=0),,O95/O5)</f>
        <v>3.0596896495594657E-3</v>
      </c>
      <c r="Q95" s="20">
        <f>IF(AND(O124=0,O95&gt;=0),,O95/O124)</f>
        <v>1.3859885794541055E-2</v>
      </c>
      <c r="R95" s="20">
        <f t="shared" si="20"/>
        <v>0</v>
      </c>
      <c r="S95" s="53">
        <f t="shared" si="39"/>
        <v>150</v>
      </c>
      <c r="T95" s="20">
        <f>IF(AND(S5=0,S95&gt;=0),,S95/S5)</f>
        <v>2.1019369348854971E-3</v>
      </c>
      <c r="U95" s="37">
        <f>IF(AND(S124=0,S95&gt;=0),,S95/S124)</f>
        <v>7.3097562829791849E-3</v>
      </c>
      <c r="V95" s="62">
        <f>20*3</f>
        <v>60</v>
      </c>
      <c r="W95" s="20">
        <f>IF(AND(V5=0,V95&gt;=0),,V95/V5)</f>
        <v>1.0526315789473684E-3</v>
      </c>
      <c r="X95" s="37">
        <f t="shared" si="22"/>
        <v>1.5</v>
      </c>
      <c r="Y95" s="62">
        <v>75</v>
      </c>
      <c r="Z95" s="20">
        <f>IF(AND(Y5=0,Y95&gt;=0),,Y95/Y5)</f>
        <v>3.2101904284962185E-3</v>
      </c>
      <c r="AA95" s="20">
        <f>IF(AND(Y124=0,Y95&gt;=0),,Y95/Y124)</f>
        <v>1.1069195756513115E-2</v>
      </c>
      <c r="AB95" s="20">
        <f t="shared" si="17"/>
        <v>0</v>
      </c>
      <c r="AC95" s="53">
        <f t="shared" si="40"/>
        <v>225</v>
      </c>
      <c r="AD95" s="20">
        <f>IF(AND(AC5=0,AC95&gt;=0),,AC95/AC5)</f>
        <v>2.3752755979492396E-3</v>
      </c>
      <c r="AE95" s="37">
        <f>IF(AND(AC124=0,AC95&gt;=0),,AC95/AC124)</f>
        <v>8.2429418436639982E-3</v>
      </c>
      <c r="AF95" s="62"/>
      <c r="AG95" s="20">
        <f>IF(AND(AF5=0,AF95&gt;=0),,AF95/AF5)</f>
        <v>0</v>
      </c>
      <c r="AH95" s="20">
        <f>IF(AND(AF124=0,AF95&gt;=0),,AF95/AF124)</f>
        <v>0</v>
      </c>
      <c r="AI95" s="20">
        <f t="shared" si="28"/>
        <v>-1</v>
      </c>
      <c r="AJ95" s="53">
        <f t="shared" si="29"/>
        <v>225</v>
      </c>
      <c r="AK95" s="20">
        <f>IF(AND(AJ5=0,AJ95&gt;=0),,AJ95/AJ5)</f>
        <v>1.7750504587677079E-3</v>
      </c>
      <c r="AL95" s="37">
        <f>IF(AND(AJ124=0,AJ95&gt;=0),,AJ95/AJ124)</f>
        <v>6.5683151483446681E-3</v>
      </c>
      <c r="AM95" s="62">
        <v>150.02000000000001</v>
      </c>
      <c r="AN95" s="20">
        <f>IF(AND(AM5=0,AM95&gt;=0),,AM95/AM5)</f>
        <v>4.0702529677684365E-3</v>
      </c>
      <c r="AO95" s="20">
        <f>IF(AND(AM124=0,AM95&gt;=0),,AM95/AM124)</f>
        <v>1.6800511563370361E-2</v>
      </c>
      <c r="AP95" s="20">
        <f t="shared" si="30"/>
        <v>-0.3332444444444444</v>
      </c>
      <c r="AQ95" s="53">
        <f t="shared" si="31"/>
        <v>375.02</v>
      </c>
      <c r="AR95" s="20">
        <f>IF(AND(AQ5=0,AQ95&gt;=0),,AQ95/AQ5)</f>
        <v>2.292093457173937E-3</v>
      </c>
      <c r="AS95" s="37">
        <f>IF(AND(AQ124=0,AQ95&gt;=0),,AQ95/AQ124)</f>
        <v>8.6840639715085269E-3</v>
      </c>
      <c r="AT95" s="62">
        <f t="shared" si="41"/>
        <v>120</v>
      </c>
      <c r="AU95" s="20">
        <f>IF(AND(AT5=0,AT95&gt;=0),,AT95/AT5)</f>
        <v>1.0526315789473684E-3</v>
      </c>
      <c r="AV95" s="37">
        <f t="shared" si="25"/>
        <v>2.1251666666666664</v>
      </c>
      <c r="AW95" s="62">
        <f t="shared" si="15"/>
        <v>62.50333333333333</v>
      </c>
      <c r="AX95" s="20">
        <f>IF(AND(AW5=0,AW95&gt;=0),,AW95/AW5)</f>
        <v>2.1552873563218389E-3</v>
      </c>
      <c r="AY95" s="37">
        <f>IF(AND(AW124=0,AW95&gt;=0),,AW95/AW124)</f>
        <v>8.2926125121463717E-3</v>
      </c>
      <c r="AZ95" s="62">
        <f t="shared" si="37"/>
        <v>20</v>
      </c>
      <c r="BA95" s="20">
        <f>IF(AND(AZ5=0,AZ95&gt;=0),,AZ95/AZ5)</f>
        <v>1.0526315789473684E-3</v>
      </c>
      <c r="BB95" s="37">
        <f t="shared" si="27"/>
        <v>2.1251666666666664</v>
      </c>
    </row>
    <row r="96" spans="1:54" hidden="1" outlineLevel="1" x14ac:dyDescent="0.25">
      <c r="A96" s="19" t="s">
        <v>2</v>
      </c>
      <c r="B96" s="62">
        <f>90+4.62</f>
        <v>94.62</v>
      </c>
      <c r="C96" s="20">
        <f>IF(AND(B5=0,B96&gt;=0),,B96/B5)</f>
        <v>3.5638210021749406E-4</v>
      </c>
      <c r="D96" s="37">
        <f>IF(AND(B124=0,B96&gt;=0),"Validar",B96/B124)</f>
        <v>1.3048597544679239E-3</v>
      </c>
      <c r="E96" s="62"/>
      <c r="F96" s="20">
        <f>IF(AND(E5=0,E96&gt;=0),,E96/E5)</f>
        <v>0</v>
      </c>
      <c r="G96" s="20">
        <f>IF(AND(E124=0,E96&gt;=0),"Validar",E96/E124)</f>
        <v>0</v>
      </c>
      <c r="I96" s="20">
        <f>IF(AND(H5=0,H96&gt;=0),,H96/H5)</f>
        <v>0</v>
      </c>
      <c r="J96" s="20">
        <f>IF(AND(H124=0,H96&gt;=0),,H96/H124)</f>
        <v>0</v>
      </c>
      <c r="K96" s="20">
        <f t="shared" si="18"/>
        <v>0</v>
      </c>
      <c r="L96" s="53">
        <f t="shared" si="38"/>
        <v>0</v>
      </c>
      <c r="M96" s="20">
        <f>IF(AND(L5=0,L96&gt;=0),,L96/L5)</f>
        <v>0</v>
      </c>
      <c r="N96" s="37">
        <f>IF(AND(L124=0,L96&gt;=0),,L96/L124)</f>
        <v>0</v>
      </c>
      <c r="O96" s="62"/>
      <c r="P96" s="20">
        <f>IF(AND(O5=0,O96&gt;=0),,O96/O5)</f>
        <v>0</v>
      </c>
      <c r="Q96" s="20">
        <f>IF(AND(O124=0,O96&gt;=0),,O96/O124)</f>
        <v>0</v>
      </c>
      <c r="R96" s="20">
        <f t="shared" si="20"/>
        <v>0</v>
      </c>
      <c r="S96" s="53">
        <f t="shared" si="39"/>
        <v>0</v>
      </c>
      <c r="T96" s="20">
        <f>IF(AND(S5=0,S96&gt;=0),,S96/S5)</f>
        <v>0</v>
      </c>
      <c r="U96" s="37">
        <f>IF(AND(S124=0,S96&gt;=0),,S96/S124)</f>
        <v>0</v>
      </c>
      <c r="V96" s="62"/>
      <c r="W96" s="20">
        <f>IF(AND(V5=0,V96&gt;=0),,V96/V5)</f>
        <v>0</v>
      </c>
      <c r="X96" s="37">
        <f t="shared" si="22"/>
        <v>0</v>
      </c>
      <c r="Y96" s="62"/>
      <c r="Z96" s="20">
        <f>IF(AND(Y5=0,Y96&gt;=0),,Y96/Y5)</f>
        <v>0</v>
      </c>
      <c r="AA96" s="20">
        <f>IF(AND(Y124=0,Y96&gt;=0),,Y96/Y124)</f>
        <v>0</v>
      </c>
      <c r="AB96" s="20">
        <f t="shared" si="17"/>
        <v>0</v>
      </c>
      <c r="AC96" s="53">
        <f t="shared" si="40"/>
        <v>0</v>
      </c>
      <c r="AD96" s="20">
        <f>IF(AND(AC5=0,AC96&gt;=0),,AC96/AC5)</f>
        <v>0</v>
      </c>
      <c r="AE96" s="37">
        <f>IF(AND(AC124=0,AC96&gt;=0),,AC96/AC124)</f>
        <v>0</v>
      </c>
      <c r="AF96" s="62">
        <v>19.95</v>
      </c>
      <c r="AG96" s="20">
        <f>IF(AND(AF5=0,AF96&gt;=0),,AF96/AF5)</f>
        <v>6.2283199052421225E-4</v>
      </c>
      <c r="AH96" s="20">
        <f>IF(AND(AF124=0,AF96&gt;=0),,AF96/AF124)</f>
        <v>2.8666758630203127E-3</v>
      </c>
      <c r="AI96" s="20">
        <f t="shared" si="28"/>
        <v>1</v>
      </c>
      <c r="AJ96" s="53">
        <f t="shared" si="29"/>
        <v>19.95</v>
      </c>
      <c r="AK96" s="20">
        <f>IF(AND(AJ5=0,AJ96&gt;=0),,AJ96/AJ5)</f>
        <v>1.5738780734407009E-4</v>
      </c>
      <c r="AL96" s="37">
        <f>IF(AND(AJ124=0,AJ96&gt;=0),,AJ96/AJ124)</f>
        <v>5.8239060981989381E-4</v>
      </c>
      <c r="AM96" s="62"/>
      <c r="AN96" s="20">
        <f>IF(AND(AM5=0,AM96&gt;=0),,AM96/AM5)</f>
        <v>0</v>
      </c>
      <c r="AO96" s="20">
        <f>IF(AND(AM124=0,AM96&gt;=0),,AM96/AM124)</f>
        <v>0</v>
      </c>
      <c r="AP96" s="20">
        <f t="shared" si="30"/>
        <v>0</v>
      </c>
      <c r="AQ96" s="53">
        <f t="shared" si="31"/>
        <v>19.95</v>
      </c>
      <c r="AR96" s="20">
        <f>IF(AND(AQ5=0,AQ96&gt;=0),,AQ96/AQ5)</f>
        <v>1.2193286883531557E-4</v>
      </c>
      <c r="AS96" s="37">
        <f>IF(AND(AQ124=0,AQ96&gt;=0),,AQ96/AQ124)</f>
        <v>4.6196756501411956E-4</v>
      </c>
      <c r="AT96" s="62">
        <f t="shared" si="41"/>
        <v>0</v>
      </c>
      <c r="AU96" s="20">
        <f>IF(AND(AT5=0,AT96&gt;=0),,AT96/AT5)</f>
        <v>0</v>
      </c>
      <c r="AV96" s="37">
        <f t="shared" si="25"/>
        <v>1</v>
      </c>
      <c r="AW96" s="62">
        <f t="shared" si="15"/>
        <v>3.3249999999999997</v>
      </c>
      <c r="AX96" s="20">
        <f>IF(AND(AW5=0,AW96&gt;=0),,AW96/AW5)</f>
        <v>1.146551724137931E-4</v>
      </c>
      <c r="AY96" s="37">
        <f>IF(AND(AW124=0,AW96&gt;=0),,AW96/AW124)</f>
        <v>4.411434579950939E-4</v>
      </c>
      <c r="AZ96" s="62">
        <f t="shared" si="37"/>
        <v>0</v>
      </c>
      <c r="BA96" s="20">
        <f>IF(AND(AZ5=0,AZ96&gt;=0),,AZ96/AZ5)</f>
        <v>0</v>
      </c>
      <c r="BB96" s="37">
        <f t="shared" si="27"/>
        <v>1</v>
      </c>
    </row>
    <row r="97" spans="1:220" hidden="1" outlineLevel="1" x14ac:dyDescent="0.25">
      <c r="A97" s="19" t="s">
        <v>85</v>
      </c>
      <c r="B97" s="62"/>
      <c r="C97" s="20">
        <f>IF(AND(B5=0,B97&gt;=0),,B97/B5)</f>
        <v>0</v>
      </c>
      <c r="D97" s="37">
        <f>IF(AND(B124=0,B97&gt;=0),"Validar",B97/B124)</f>
        <v>0</v>
      </c>
      <c r="E97" s="62"/>
      <c r="F97" s="20">
        <f>IF(AND(E5=0,E97&gt;=0),,E97/E5)</f>
        <v>0</v>
      </c>
      <c r="G97" s="20">
        <f>IF(AND(E124=0,E97&gt;=0),"Validar",E97/E124)</f>
        <v>0</v>
      </c>
      <c r="I97" s="20">
        <f>IF(AND(H5=0,H97&gt;=0),,H97/H5)</f>
        <v>0</v>
      </c>
      <c r="J97" s="20">
        <f>IF(AND(H124=0,H97&gt;=0),,H97/H124)</f>
        <v>0</v>
      </c>
      <c r="K97" s="20">
        <f t="shared" si="18"/>
        <v>0</v>
      </c>
      <c r="L97" s="53">
        <f t="shared" si="38"/>
        <v>0</v>
      </c>
      <c r="M97" s="20">
        <f>IF(AND(L5=0,L97&gt;=0),,L97/L5)</f>
        <v>0</v>
      </c>
      <c r="N97" s="37">
        <f>IF(AND(L124=0,L97&gt;=0),,L97/L124)</f>
        <v>0</v>
      </c>
      <c r="O97" s="62"/>
      <c r="P97" s="20">
        <f>IF(AND(O5=0,O97&gt;=0),,O97/O5)</f>
        <v>0</v>
      </c>
      <c r="Q97" s="20">
        <f>IF(AND(O124=0,O97&gt;=0),,O97/O124)</f>
        <v>0</v>
      </c>
      <c r="R97" s="20">
        <f t="shared" si="20"/>
        <v>0</v>
      </c>
      <c r="S97" s="53">
        <f t="shared" si="39"/>
        <v>0</v>
      </c>
      <c r="T97" s="20">
        <f>IF(AND(S5=0,S97&gt;=0),,S97/S5)</f>
        <v>0</v>
      </c>
      <c r="U97" s="37">
        <f>IF(AND(S124=0,S97&gt;=0),,S97/S124)</f>
        <v>0</v>
      </c>
      <c r="V97" s="62"/>
      <c r="W97" s="20">
        <f>IF(AND(V5=0,V97&gt;=0),,V97/V5)</f>
        <v>0</v>
      </c>
      <c r="X97" s="37">
        <f t="shared" si="22"/>
        <v>0</v>
      </c>
      <c r="Y97" s="62"/>
      <c r="Z97" s="20">
        <f>IF(AND(Y5=0,Y97&gt;=0),,Y97/Y5)</f>
        <v>0</v>
      </c>
      <c r="AA97" s="20">
        <f>IF(AND(Y124=0,Y97&gt;=0),,Y97/Y124)</f>
        <v>0</v>
      </c>
      <c r="AB97" s="20">
        <f t="shared" si="17"/>
        <v>0</v>
      </c>
      <c r="AC97" s="53">
        <f t="shared" si="40"/>
        <v>0</v>
      </c>
      <c r="AD97" s="20">
        <f>IF(AND(AC5=0,AC97&gt;=0),,AC97/AC5)</f>
        <v>0</v>
      </c>
      <c r="AE97" s="37">
        <f>IF(AND(AC124=0,AC97&gt;=0),,AC97/AC124)</f>
        <v>0</v>
      </c>
      <c r="AF97" s="62">
        <v>50</v>
      </c>
      <c r="AG97" s="20">
        <f>IF(AND(AF5=0,AF97&gt;=0),,AF97/AF5)</f>
        <v>1.5609824323915094E-3</v>
      </c>
      <c r="AH97" s="20">
        <f>IF(AND(AF124=0,AF97&gt;=0),,AF97/AF124)</f>
        <v>7.1846512857651956E-3</v>
      </c>
      <c r="AI97" s="20">
        <f t="shared" si="28"/>
        <v>1</v>
      </c>
      <c r="AJ97" s="53">
        <f t="shared" si="29"/>
        <v>50</v>
      </c>
      <c r="AK97" s="20">
        <f>IF(AND(AJ5=0,AJ97&gt;=0),,AJ97/AJ5)</f>
        <v>3.9445565750393508E-4</v>
      </c>
      <c r="AL97" s="37">
        <f>IF(AND(AJ124=0,AJ97&gt;=0),,AJ97/AJ124)</f>
        <v>1.4596255885210372E-3</v>
      </c>
      <c r="AM97" s="62"/>
      <c r="AN97" s="20">
        <f>IF(AND(AM5=0,AM97&gt;=0),,AM97/AM5)</f>
        <v>0</v>
      </c>
      <c r="AO97" s="20">
        <f>IF(AND(AM124=0,AM97&gt;=0),,AM97/AM124)</f>
        <v>0</v>
      </c>
      <c r="AP97" s="20">
        <f t="shared" si="30"/>
        <v>0</v>
      </c>
      <c r="AQ97" s="53">
        <f t="shared" si="31"/>
        <v>50</v>
      </c>
      <c r="AR97" s="20">
        <f>IF(AND(AQ5=0,AQ97&gt;=0),,AQ97/AQ5)</f>
        <v>3.0559616249452526E-4</v>
      </c>
      <c r="AS97" s="37">
        <f>IF(AND(AQ124=0,AQ97&gt;=0),,AQ97/AQ124)</f>
        <v>1.1578134461506756E-3</v>
      </c>
      <c r="AT97" s="62">
        <f t="shared" si="41"/>
        <v>0</v>
      </c>
      <c r="AU97" s="20">
        <f>IF(AND(AT5=0,AT97&gt;=0),,AT97/AT5)</f>
        <v>0</v>
      </c>
      <c r="AV97" s="37">
        <f t="shared" si="25"/>
        <v>1</v>
      </c>
      <c r="AW97" s="62">
        <f t="shared" si="15"/>
        <v>8.3333333333333339</v>
      </c>
      <c r="AX97" s="20">
        <f>IF(AND(AW5=0,AW97&gt;=0),,AW97/AW5)</f>
        <v>2.8735632183908046E-4</v>
      </c>
      <c r="AY97" s="37">
        <f>IF(AND(AW124=0,AW97&gt;=0),,AW97/AW124)</f>
        <v>1.1056227017420901E-3</v>
      </c>
      <c r="AZ97" s="62">
        <f t="shared" si="37"/>
        <v>0</v>
      </c>
      <c r="BA97" s="20">
        <f>IF(AND(AZ5=0,AZ97&gt;=0),,AZ97/AZ5)</f>
        <v>0</v>
      </c>
      <c r="BB97" s="37">
        <f t="shared" si="27"/>
        <v>1</v>
      </c>
    </row>
    <row r="98" spans="1:220" hidden="1" outlineLevel="1" x14ac:dyDescent="0.25">
      <c r="A98" s="19" t="s">
        <v>86</v>
      </c>
      <c r="B98" s="62"/>
      <c r="C98" s="20">
        <f>IF(AND(B5=0,B98&gt;=0),,B98/B5)</f>
        <v>0</v>
      </c>
      <c r="D98" s="37">
        <f>IF(AND(B124=0,B98&gt;=0),"Validar",B98/B124)</f>
        <v>0</v>
      </c>
      <c r="E98" s="62"/>
      <c r="F98" s="20">
        <f>IF(AND(E5=0,E98&gt;=0),,E98/E5)</f>
        <v>0</v>
      </c>
      <c r="G98" s="20">
        <f>IF(AND(E124=0,E98&gt;=0),"Validar",E98/E124)</f>
        <v>0</v>
      </c>
      <c r="I98" s="20">
        <f>IF(AND(H5=0,H98&gt;=0),,H98/H5)</f>
        <v>0</v>
      </c>
      <c r="J98" s="20">
        <f>IF(AND(H124=0,H98&gt;=0),,H98/H124)</f>
        <v>0</v>
      </c>
      <c r="K98" s="20">
        <f t="shared" si="18"/>
        <v>0</v>
      </c>
      <c r="L98" s="53">
        <f t="shared" si="38"/>
        <v>0</v>
      </c>
      <c r="M98" s="20">
        <f>IF(AND(L5=0,L98&gt;=0),,L98/L5)</f>
        <v>0</v>
      </c>
      <c r="N98" s="37">
        <f>IF(AND(L124=0,L98&gt;=0),,L98/L124)</f>
        <v>0</v>
      </c>
      <c r="O98" s="62"/>
      <c r="P98" s="20">
        <f>IF(AND(O5=0,O98&gt;=0),,O98/O5)</f>
        <v>0</v>
      </c>
      <c r="Q98" s="20">
        <f>IF(AND(O124=0,O98&gt;=0),,O98/O124)</f>
        <v>0</v>
      </c>
      <c r="R98" s="20">
        <f t="shared" si="20"/>
        <v>0</v>
      </c>
      <c r="S98" s="53">
        <f t="shared" si="39"/>
        <v>0</v>
      </c>
      <c r="T98" s="20">
        <f>IF(AND(S5=0,S98&gt;=0),,S98/S5)</f>
        <v>0</v>
      </c>
      <c r="U98" s="37">
        <f>IF(AND(S124=0,S98&gt;=0),,S98/S124)</f>
        <v>0</v>
      </c>
      <c r="V98" s="62"/>
      <c r="W98" s="20">
        <f>IF(AND(V5=0,V98&gt;=0),,V98/V5)</f>
        <v>0</v>
      </c>
      <c r="X98" s="37">
        <f t="shared" si="22"/>
        <v>0</v>
      </c>
      <c r="Y98" s="62"/>
      <c r="Z98" s="20">
        <f>IF(AND(Y5=0,Y98&gt;=0),,Y98/Y5)</f>
        <v>0</v>
      </c>
      <c r="AA98" s="20">
        <f>IF(AND(Y124=0,Y98&gt;=0),,Y98/Y124)</f>
        <v>0</v>
      </c>
      <c r="AB98" s="20">
        <f t="shared" si="17"/>
        <v>0</v>
      </c>
      <c r="AC98" s="53">
        <f t="shared" si="40"/>
        <v>0</v>
      </c>
      <c r="AD98" s="20">
        <f>IF(AND(AC5=0,AC98&gt;=0),,AC98/AC5)</f>
        <v>0</v>
      </c>
      <c r="AE98" s="37">
        <f>IF(AND(AC124=0,AC98&gt;=0),,AC98/AC124)</f>
        <v>0</v>
      </c>
      <c r="AF98" s="62"/>
      <c r="AG98" s="20">
        <f>IF(AND(AF5=0,AF98&gt;=0),,AF98/AF5)</f>
        <v>0</v>
      </c>
      <c r="AH98" s="20">
        <f>IF(AND(AF124=0,AF98&gt;=0),,AF98/AF124)</f>
        <v>0</v>
      </c>
      <c r="AI98" s="20">
        <f t="shared" si="28"/>
        <v>0</v>
      </c>
      <c r="AJ98" s="53">
        <f t="shared" si="29"/>
        <v>0</v>
      </c>
      <c r="AK98" s="20">
        <f>IF(AND(AJ5=0,AJ98&gt;=0),,AJ98/AJ5)</f>
        <v>0</v>
      </c>
      <c r="AL98" s="37">
        <f>IF(AND(AJ124=0,AJ98&gt;=0),,AJ98/AJ124)</f>
        <v>0</v>
      </c>
      <c r="AM98" s="62"/>
      <c r="AN98" s="20">
        <f>IF(AND(AM5=0,AM98&gt;=0),,AM98/AM5)</f>
        <v>0</v>
      </c>
      <c r="AO98" s="20">
        <f>IF(AND(AM124=0,AM98&gt;=0),,AM98/AM124)</f>
        <v>0</v>
      </c>
      <c r="AP98" s="20">
        <f t="shared" si="30"/>
        <v>0</v>
      </c>
      <c r="AQ98" s="53">
        <f t="shared" si="31"/>
        <v>0</v>
      </c>
      <c r="AR98" s="20">
        <f>IF(AND(AQ5=0,AQ98&gt;=0),,AQ98/AQ5)</f>
        <v>0</v>
      </c>
      <c r="AS98" s="37">
        <f>IF(AND(AQ124=0,AQ98&gt;=0),,AQ98/AQ124)</f>
        <v>0</v>
      </c>
      <c r="AT98" s="62">
        <f t="shared" si="41"/>
        <v>0</v>
      </c>
      <c r="AU98" s="20">
        <f>IF(AND(AT5=0,AT98&gt;=0),,AT98/AT5)</f>
        <v>0</v>
      </c>
      <c r="AV98" s="37">
        <f t="shared" si="25"/>
        <v>0</v>
      </c>
      <c r="AW98" s="62">
        <f t="shared" si="15"/>
        <v>0</v>
      </c>
      <c r="AX98" s="20">
        <f>IF(AND(AW5=0,AW98&gt;=0),,AW98/AW5)</f>
        <v>0</v>
      </c>
      <c r="AY98" s="37">
        <f>IF(AND(AW124=0,AW98&gt;=0),,AW98/AW124)</f>
        <v>0</v>
      </c>
      <c r="AZ98" s="62">
        <f t="shared" si="37"/>
        <v>0</v>
      </c>
      <c r="BA98" s="20">
        <f>IF(AND(AZ5=0,AZ98&gt;=0),,AZ98/AZ5)</f>
        <v>0</v>
      </c>
      <c r="BB98" s="37">
        <f t="shared" si="27"/>
        <v>0</v>
      </c>
    </row>
    <row r="99" spans="1:220" hidden="1" outlineLevel="1" x14ac:dyDescent="0.25">
      <c r="A99" s="19" t="s">
        <v>87</v>
      </c>
      <c r="B99" s="62"/>
      <c r="C99" s="20">
        <f>IF(AND(B5=0,B99&gt;=0),,B99/B5)</f>
        <v>0</v>
      </c>
      <c r="D99" s="37">
        <f>IF(AND(B124=0,B99&gt;=0),"Validar",B99/B124)</f>
        <v>0</v>
      </c>
      <c r="E99" s="62"/>
      <c r="F99" s="20">
        <f>IF(AND(E5=0,E99&gt;=0),,E99/E5)</f>
        <v>0</v>
      </c>
      <c r="G99" s="20">
        <f>IF(AND(E124=0,E99&gt;=0),"Validar",E99/E124)</f>
        <v>0</v>
      </c>
      <c r="I99" s="20">
        <f>IF(AND(H5=0,H99&gt;=0),,H99/H5)</f>
        <v>0</v>
      </c>
      <c r="J99" s="20">
        <f>IF(AND(H124=0,H99&gt;=0),,H99/H124)</f>
        <v>0</v>
      </c>
      <c r="K99" s="20">
        <f t="shared" si="18"/>
        <v>0</v>
      </c>
      <c r="L99" s="53">
        <f t="shared" si="38"/>
        <v>0</v>
      </c>
      <c r="M99" s="20">
        <f>IF(AND(L5=0,L99&gt;=0),,L99/L5)</f>
        <v>0</v>
      </c>
      <c r="N99" s="37">
        <f>IF(AND(L124=0,L99&gt;=0),,L99/L124)</f>
        <v>0</v>
      </c>
      <c r="O99" s="62"/>
      <c r="P99" s="20">
        <f>IF(AND(O5=0,O99&gt;=0),,O99/O5)</f>
        <v>0</v>
      </c>
      <c r="Q99" s="20">
        <f>IF(AND(O124=0,O99&gt;=0),,O99/O124)</f>
        <v>0</v>
      </c>
      <c r="R99" s="20">
        <f t="shared" si="20"/>
        <v>0</v>
      </c>
      <c r="S99" s="53">
        <f t="shared" si="39"/>
        <v>0</v>
      </c>
      <c r="T99" s="20">
        <f>IF(AND(S5=0,S99&gt;=0),,S99/S5)</f>
        <v>0</v>
      </c>
      <c r="U99" s="37">
        <f>IF(AND(S124=0,S99&gt;=0),,S99/S124)</f>
        <v>0</v>
      </c>
      <c r="V99" s="62"/>
      <c r="W99" s="20">
        <f>IF(AND(V5=0,V99&gt;=0),,V99/V5)</f>
        <v>0</v>
      </c>
      <c r="X99" s="37">
        <f t="shared" si="22"/>
        <v>0</v>
      </c>
      <c r="Y99" s="62"/>
      <c r="Z99" s="20">
        <f>IF(AND(Y5=0,Y99&gt;=0),,Y99/Y5)</f>
        <v>0</v>
      </c>
      <c r="AA99" s="20">
        <f>IF(AND(Y124=0,Y99&gt;=0),,Y99/Y124)</f>
        <v>0</v>
      </c>
      <c r="AB99" s="20">
        <f t="shared" si="17"/>
        <v>0</v>
      </c>
      <c r="AC99" s="53">
        <f t="shared" si="40"/>
        <v>0</v>
      </c>
      <c r="AD99" s="20">
        <f>IF(AND(AC5=0,AC99&gt;=0),,AC99/AC5)</f>
        <v>0</v>
      </c>
      <c r="AE99" s="37">
        <f>IF(AND(AC124=0,AC99&gt;=0),,AC99/AC124)</f>
        <v>0</v>
      </c>
      <c r="AF99" s="62">
        <v>24.34</v>
      </c>
      <c r="AG99" s="20">
        <f>IF(AND(AF5=0,AF99&gt;=0),,AF99/AF5)</f>
        <v>7.5988624808818669E-4</v>
      </c>
      <c r="AH99" s="20">
        <f>IF(AND(AF124=0,AF99&gt;=0),,AF99/AF124)</f>
        <v>3.4974882459104972E-3</v>
      </c>
      <c r="AI99" s="20">
        <f t="shared" si="28"/>
        <v>1</v>
      </c>
      <c r="AJ99" s="53">
        <f t="shared" si="29"/>
        <v>24.34</v>
      </c>
      <c r="AK99" s="20">
        <f>IF(AND(AJ5=0,AJ99&gt;=0),,AJ99/AJ5)</f>
        <v>1.9202101407291559E-4</v>
      </c>
      <c r="AL99" s="37">
        <f>IF(AND(AJ124=0,AJ99&gt;=0),,AJ99/AJ124)</f>
        <v>7.1054573649204089E-4</v>
      </c>
      <c r="AM99" s="62"/>
      <c r="AN99" s="20">
        <f>IF(AND(AM5=0,AM99&gt;=0),,AM99/AM5)</f>
        <v>0</v>
      </c>
      <c r="AO99" s="20">
        <f>IF(AND(AM124=0,AM99&gt;=0),,AM99/AM124)</f>
        <v>0</v>
      </c>
      <c r="AP99" s="20">
        <f t="shared" si="30"/>
        <v>0</v>
      </c>
      <c r="AQ99" s="53">
        <f t="shared" si="31"/>
        <v>24.34</v>
      </c>
      <c r="AR99" s="20">
        <f>IF(AND(AQ5=0,AQ99&gt;=0),,AQ99/AQ5)</f>
        <v>1.4876421190233489E-4</v>
      </c>
      <c r="AS99" s="37">
        <f>IF(AND(AQ124=0,AQ99&gt;=0),,AQ99/AQ124)</f>
        <v>5.6362358558614887E-4</v>
      </c>
      <c r="AT99" s="62">
        <f t="shared" si="41"/>
        <v>0</v>
      </c>
      <c r="AU99" s="20">
        <f>IF(AND(AT5=0,AT99&gt;=0),,AT99/AT5)</f>
        <v>0</v>
      </c>
      <c r="AV99" s="37">
        <f t="shared" si="25"/>
        <v>1</v>
      </c>
      <c r="AW99" s="62">
        <f t="shared" si="15"/>
        <v>4.0566666666666666</v>
      </c>
      <c r="AX99" s="20">
        <f>IF(AND(AW5=0,AW99&gt;=0),,AW99/AW5)</f>
        <v>1.3988505747126437E-4</v>
      </c>
      <c r="AY99" s="37">
        <f>IF(AND(AW124=0,AW99&gt;=0),,AW99/AW124)</f>
        <v>5.3821713120804943E-4</v>
      </c>
      <c r="AZ99" s="62">
        <f t="shared" si="37"/>
        <v>0</v>
      </c>
      <c r="BA99" s="20">
        <f>IF(AND(AZ5=0,AZ99&gt;=0),,AZ99/AZ5)</f>
        <v>0</v>
      </c>
      <c r="BB99" s="37">
        <f t="shared" si="27"/>
        <v>1</v>
      </c>
    </row>
    <row r="100" spans="1:220" hidden="1" outlineLevel="1" x14ac:dyDescent="0.25">
      <c r="A100" s="19" t="s">
        <v>88</v>
      </c>
      <c r="B100" s="62"/>
      <c r="C100" s="20">
        <f>IF(AND(B5=0,B100&gt;=0),,B100/B5)</f>
        <v>0</v>
      </c>
      <c r="D100" s="37">
        <f>IF(AND(B124=0,B100&gt;=0),"Validar",B100/B124)</f>
        <v>0</v>
      </c>
      <c r="E100" s="62"/>
      <c r="F100" s="20">
        <f>IF(AND(E5=0,E100&gt;=0),,E100/E5)</f>
        <v>0</v>
      </c>
      <c r="G100" s="20">
        <f>IF(AND(E124=0,E100&gt;=0),"Validar",E100/E124)</f>
        <v>0</v>
      </c>
      <c r="I100" s="20">
        <f>IF(AND(H5=0,H100&gt;=0),,H100/H5)</f>
        <v>0</v>
      </c>
      <c r="J100" s="20">
        <f>IF(AND(H124=0,H100&gt;=0),,H100/H124)</f>
        <v>0</v>
      </c>
      <c r="K100" s="20">
        <f t="shared" si="18"/>
        <v>0</v>
      </c>
      <c r="L100" s="53">
        <f t="shared" si="38"/>
        <v>0</v>
      </c>
      <c r="M100" s="20">
        <f>IF(AND(L5=0,L100&gt;=0),,L100/L5)</f>
        <v>0</v>
      </c>
      <c r="N100" s="37">
        <f>IF(AND(L124=0,L100&gt;=0),,L100/L124)</f>
        <v>0</v>
      </c>
      <c r="O100" s="62"/>
      <c r="P100" s="20">
        <f>IF(AND(O5=0,O100&gt;=0),,O100/O5)</f>
        <v>0</v>
      </c>
      <c r="Q100" s="20">
        <f>IF(AND(O124=0,O100&gt;=0),,O100/O124)</f>
        <v>0</v>
      </c>
      <c r="R100" s="20">
        <f t="shared" si="20"/>
        <v>0</v>
      </c>
      <c r="S100" s="53">
        <f t="shared" si="39"/>
        <v>0</v>
      </c>
      <c r="T100" s="20">
        <f>IF(AND(S5=0,S100&gt;=0),,S100/S5)</f>
        <v>0</v>
      </c>
      <c r="U100" s="37">
        <f>IF(AND(S124=0,S100&gt;=0),,S100/S124)</f>
        <v>0</v>
      </c>
      <c r="V100" s="62"/>
      <c r="W100" s="20">
        <f>IF(AND(V5=0,V100&gt;=0),,V100/V5)</f>
        <v>0</v>
      </c>
      <c r="X100" s="37">
        <f t="shared" si="22"/>
        <v>0</v>
      </c>
      <c r="Y100" s="62"/>
      <c r="Z100" s="20">
        <f>IF(AND(Y5=0,Y100&gt;=0),,Y100/Y5)</f>
        <v>0</v>
      </c>
      <c r="AA100" s="20">
        <f>IF(AND(Y124=0,Y100&gt;=0),,Y100/Y124)</f>
        <v>0</v>
      </c>
      <c r="AB100" s="20">
        <f t="shared" si="17"/>
        <v>0</v>
      </c>
      <c r="AC100" s="53">
        <f t="shared" si="40"/>
        <v>0</v>
      </c>
      <c r="AD100" s="20">
        <f>IF(AND(AC5=0,AC100&gt;=0),,AC100/AC5)</f>
        <v>0</v>
      </c>
      <c r="AE100" s="37">
        <f>IF(AND(AC124=0,AC100&gt;=0),,AC100/AC124)</f>
        <v>0</v>
      </c>
      <c r="AF100" s="62"/>
      <c r="AG100" s="20">
        <f>IF(AND(AF5=0,AF100&gt;=0),,AF100/AF5)</f>
        <v>0</v>
      </c>
      <c r="AH100" s="20">
        <f>IF(AND(AF124=0,AF100&gt;=0),,AF100/AF124)</f>
        <v>0</v>
      </c>
      <c r="AI100" s="20">
        <f t="shared" si="28"/>
        <v>0</v>
      </c>
      <c r="AJ100" s="53">
        <f t="shared" si="29"/>
        <v>0</v>
      </c>
      <c r="AK100" s="20">
        <f>IF(AND(AJ5=0,AJ100&gt;=0),,AJ100/AJ5)</f>
        <v>0</v>
      </c>
      <c r="AL100" s="37">
        <f>IF(AND(AJ124=0,AJ100&gt;=0),,AJ100/AJ124)</f>
        <v>0</v>
      </c>
      <c r="AM100" s="62"/>
      <c r="AN100" s="20">
        <f>IF(AND(AM5=0,AM100&gt;=0),,AM100/AM5)</f>
        <v>0</v>
      </c>
      <c r="AO100" s="20">
        <f>IF(AND(AM124=0,AM100&gt;=0),,AM100/AM124)</f>
        <v>0</v>
      </c>
      <c r="AP100" s="20">
        <f t="shared" si="30"/>
        <v>0</v>
      </c>
      <c r="AQ100" s="53">
        <f t="shared" si="31"/>
        <v>0</v>
      </c>
      <c r="AR100" s="20">
        <f>IF(AND(AQ5=0,AQ100&gt;=0),,AQ100/AQ5)</f>
        <v>0</v>
      </c>
      <c r="AS100" s="37">
        <f>IF(AND(AQ124=0,AQ100&gt;=0),,AQ100/AQ124)</f>
        <v>0</v>
      </c>
      <c r="AT100" s="62">
        <f t="shared" si="41"/>
        <v>0</v>
      </c>
      <c r="AU100" s="20">
        <f>IF(AND(AT5=0,AT100&gt;=0),,AT100/AT5)</f>
        <v>0</v>
      </c>
      <c r="AV100" s="37">
        <f t="shared" si="25"/>
        <v>0</v>
      </c>
      <c r="AW100" s="62">
        <f t="shared" si="15"/>
        <v>0</v>
      </c>
      <c r="AX100" s="20">
        <f>IF(AND(AW5=0,AW100&gt;=0),,AW100/AW5)</f>
        <v>0</v>
      </c>
      <c r="AY100" s="37">
        <f>IF(AND(AW124=0,AW100&gt;=0),,AW100/AW124)</f>
        <v>0</v>
      </c>
      <c r="AZ100" s="62">
        <f t="shared" si="37"/>
        <v>0</v>
      </c>
      <c r="BA100" s="20">
        <f>IF(AND(AZ5=0,AZ100&gt;=0),,AZ100/AZ5)</f>
        <v>0</v>
      </c>
      <c r="BB100" s="37">
        <f t="shared" si="27"/>
        <v>0</v>
      </c>
    </row>
    <row r="101" spans="1:220" hidden="1" outlineLevel="1" x14ac:dyDescent="0.25">
      <c r="A101" s="19" t="s">
        <v>89</v>
      </c>
      <c r="B101" s="62"/>
      <c r="C101" s="20">
        <f>IF(AND(B5=0,B101&gt;=0),,B101/B5)</f>
        <v>0</v>
      </c>
      <c r="D101" s="37">
        <f>IF(AND(B124=0,B101&gt;=0),"Validar",B101/B124)</f>
        <v>0</v>
      </c>
      <c r="E101" s="62"/>
      <c r="F101" s="20">
        <f>IF(AND(E5=0,E101&gt;=0),,E101/E5)</f>
        <v>0</v>
      </c>
      <c r="G101" s="20">
        <f>IF(AND(E124=0,E101&gt;=0),"Validar",E101/E124)</f>
        <v>0</v>
      </c>
      <c r="I101" s="20">
        <f>IF(AND(H5=0,H101&gt;=0),,H101/H5)</f>
        <v>0</v>
      </c>
      <c r="J101" s="20">
        <f>IF(AND(H124=0,H101&gt;=0),,H101/H124)</f>
        <v>0</v>
      </c>
      <c r="K101" s="20">
        <f t="shared" si="18"/>
        <v>0</v>
      </c>
      <c r="L101" s="53">
        <f t="shared" si="38"/>
        <v>0</v>
      </c>
      <c r="M101" s="20">
        <f>IF(AND(L5=0,L101&gt;=0),,L101/L5)</f>
        <v>0</v>
      </c>
      <c r="N101" s="37">
        <f>IF(AND(L124=0,L101&gt;=0),,L101/L124)</f>
        <v>0</v>
      </c>
      <c r="O101" s="62"/>
      <c r="P101" s="20">
        <f>IF(AND(O5=0,O101&gt;=0),,O101/O5)</f>
        <v>0</v>
      </c>
      <c r="Q101" s="20">
        <f>IF(AND(O124=0,O101&gt;=0),,O101/O124)</f>
        <v>0</v>
      </c>
      <c r="R101" s="20">
        <f t="shared" si="20"/>
        <v>0</v>
      </c>
      <c r="S101" s="53">
        <f t="shared" si="39"/>
        <v>0</v>
      </c>
      <c r="T101" s="20">
        <f>IF(AND(S5=0,S101&gt;=0),,S101/S5)</f>
        <v>0</v>
      </c>
      <c r="U101" s="37">
        <f>IF(AND(S124=0,S101&gt;=0),,S101/S124)</f>
        <v>0</v>
      </c>
      <c r="V101" s="62"/>
      <c r="W101" s="20">
        <f>IF(AND(V5=0,V101&gt;=0),,V101/V5)</f>
        <v>0</v>
      </c>
      <c r="X101" s="37">
        <f t="shared" si="22"/>
        <v>0</v>
      </c>
      <c r="Y101" s="62"/>
      <c r="Z101" s="20">
        <f>IF(AND(Y5=0,Y101&gt;=0),,Y101/Y5)</f>
        <v>0</v>
      </c>
      <c r="AA101" s="20">
        <f>IF(AND(Y124=0,Y101&gt;=0),,Y101/Y124)</f>
        <v>0</v>
      </c>
      <c r="AB101" s="20">
        <f t="shared" si="17"/>
        <v>0</v>
      </c>
      <c r="AC101" s="53">
        <f t="shared" si="40"/>
        <v>0</v>
      </c>
      <c r="AD101" s="20">
        <f>IF(AND(AC5=0,AC101&gt;=0),,AC101/AC5)</f>
        <v>0</v>
      </c>
      <c r="AE101" s="37">
        <f>IF(AND(AC124=0,AC101&gt;=0),,AC101/AC124)</f>
        <v>0</v>
      </c>
      <c r="AF101" s="62">
        <v>25</v>
      </c>
      <c r="AG101" s="20">
        <f>IF(AND(AF5=0,AF101&gt;=0),,AF101/AF5)</f>
        <v>7.8049121619575468E-4</v>
      </c>
      <c r="AH101" s="20">
        <f>IF(AND(AF124=0,AF101&gt;=0),,AF101/AF124)</f>
        <v>3.5923256428825978E-3</v>
      </c>
      <c r="AI101" s="20">
        <f t="shared" si="28"/>
        <v>1</v>
      </c>
      <c r="AJ101" s="53">
        <f t="shared" si="29"/>
        <v>25</v>
      </c>
      <c r="AK101" s="20">
        <f>IF(AND(AJ5=0,AJ101&gt;=0),,AJ101/AJ5)</f>
        <v>1.9722782875196754E-4</v>
      </c>
      <c r="AL101" s="37">
        <f>IF(AND(AJ124=0,AJ101&gt;=0),,AJ101/AJ124)</f>
        <v>7.2981279426051861E-4</v>
      </c>
      <c r="AM101" s="62"/>
      <c r="AN101" s="20">
        <f>IF(AND(AM5=0,AM101&gt;=0),,AM101/AM5)</f>
        <v>0</v>
      </c>
      <c r="AO101" s="20">
        <f>IF(AND(AM124=0,AM101&gt;=0),,AM101/AM124)</f>
        <v>0</v>
      </c>
      <c r="AP101" s="20">
        <f t="shared" si="30"/>
        <v>0</v>
      </c>
      <c r="AQ101" s="53">
        <f t="shared" si="31"/>
        <v>25</v>
      </c>
      <c r="AR101" s="20">
        <f>IF(AND(AQ5=0,AQ101&gt;=0),,AQ101/AQ5)</f>
        <v>1.5279808124726263E-4</v>
      </c>
      <c r="AS101" s="37">
        <f>IF(AND(AQ124=0,AQ101&gt;=0),,AQ101/AQ124)</f>
        <v>5.7890672307533779E-4</v>
      </c>
      <c r="AT101" s="62">
        <f t="shared" si="41"/>
        <v>0</v>
      </c>
      <c r="AU101" s="20">
        <f>IF(AND(AT5=0,AT101&gt;=0),,AT101/AT5)</f>
        <v>0</v>
      </c>
      <c r="AV101" s="37">
        <f t="shared" si="25"/>
        <v>1</v>
      </c>
      <c r="AW101" s="62">
        <f t="shared" si="15"/>
        <v>4.166666666666667</v>
      </c>
      <c r="AX101" s="20">
        <f>IF(AND(AW5=0,AW101&gt;=0),,AW101/AW5)</f>
        <v>1.4367816091954023E-4</v>
      </c>
      <c r="AY101" s="37">
        <f>IF(AND(AW124=0,AW101&gt;=0),,AW101/AW124)</f>
        <v>5.5281135087104506E-4</v>
      </c>
      <c r="AZ101" s="62">
        <f t="shared" si="37"/>
        <v>0</v>
      </c>
      <c r="BA101" s="20">
        <f>IF(AND(AZ5=0,AZ101&gt;=0),,AZ101/AZ5)</f>
        <v>0</v>
      </c>
      <c r="BB101" s="37">
        <f t="shared" si="27"/>
        <v>1</v>
      </c>
    </row>
    <row r="102" spans="1:220" hidden="1" outlineLevel="1" x14ac:dyDescent="0.25">
      <c r="A102" s="19" t="s">
        <v>90</v>
      </c>
      <c r="B102" s="62"/>
      <c r="C102" s="20">
        <f>IF(AND(B5=0,B102&gt;=0),,B102/B5)</f>
        <v>0</v>
      </c>
      <c r="D102" s="37">
        <f>IF(AND(B124=0,B102&gt;=0),"Validar",B102/B124)</f>
        <v>0</v>
      </c>
      <c r="E102" s="62"/>
      <c r="F102" s="20">
        <f>IF(AND(E5=0,E102&gt;=0),,E102/E5)</f>
        <v>0</v>
      </c>
      <c r="G102" s="20">
        <f>IF(AND(E124=0,E102&gt;=0),"Validar",E102/E124)</f>
        <v>0</v>
      </c>
      <c r="I102" s="20">
        <f>IF(AND(H5=0,H102&gt;=0),,H102/H5)</f>
        <v>0</v>
      </c>
      <c r="J102" s="20">
        <f>IF(AND(H124=0,H102&gt;=0),,H102/H124)</f>
        <v>0</v>
      </c>
      <c r="K102" s="20">
        <f t="shared" si="18"/>
        <v>0</v>
      </c>
      <c r="L102" s="53">
        <f t="shared" si="38"/>
        <v>0</v>
      </c>
      <c r="M102" s="20">
        <f>IF(AND(L5=0,L102&gt;=0),,L102/L5)</f>
        <v>0</v>
      </c>
      <c r="N102" s="37">
        <f>IF(AND(L124=0,L102&gt;=0),,L102/L124)</f>
        <v>0</v>
      </c>
      <c r="O102" s="62"/>
      <c r="P102" s="20">
        <f>IF(AND(O5=0,O102&gt;=0),,O102/O5)</f>
        <v>0</v>
      </c>
      <c r="Q102" s="20">
        <f>IF(AND(O124=0,O102&gt;=0),,O102/O124)</f>
        <v>0</v>
      </c>
      <c r="R102" s="20">
        <f t="shared" si="20"/>
        <v>0</v>
      </c>
      <c r="S102" s="53">
        <f t="shared" si="39"/>
        <v>0</v>
      </c>
      <c r="T102" s="20">
        <f>IF(AND(S5=0,S102&gt;=0),,S102/S5)</f>
        <v>0</v>
      </c>
      <c r="U102" s="37">
        <f>IF(AND(S124=0,S102&gt;=0),,S102/S124)</f>
        <v>0</v>
      </c>
      <c r="V102" s="62"/>
      <c r="W102" s="20">
        <f>IF(AND(V5=0,V102&gt;=0),,V102/V5)</f>
        <v>0</v>
      </c>
      <c r="X102" s="37">
        <f t="shared" si="22"/>
        <v>0</v>
      </c>
      <c r="Y102" s="62"/>
      <c r="Z102" s="20">
        <f>IF(AND(Y5=0,Y102&gt;=0),,Y102/Y5)</f>
        <v>0</v>
      </c>
      <c r="AA102" s="20">
        <f>IF(AND(Y124=0,Y102&gt;=0),,Y102/Y124)</f>
        <v>0</v>
      </c>
      <c r="AB102" s="20">
        <f t="shared" si="17"/>
        <v>0</v>
      </c>
      <c r="AC102" s="53">
        <f t="shared" si="40"/>
        <v>0</v>
      </c>
      <c r="AD102" s="20">
        <f>IF(AND(AC5=0,AC102&gt;=0),,AC102/AC5)</f>
        <v>0</v>
      </c>
      <c r="AE102" s="37">
        <f>IF(AND(AC124=0,AC102&gt;=0),,AC102/AC124)</f>
        <v>0</v>
      </c>
      <c r="AF102" s="62"/>
      <c r="AG102" s="20">
        <f>IF(AND(AF5=0,AF102&gt;=0),,AF102/AF5)</f>
        <v>0</v>
      </c>
      <c r="AH102" s="20">
        <f>IF(AND(AF124=0,AF102&gt;=0),,AF102/AF124)</f>
        <v>0</v>
      </c>
      <c r="AI102" s="20">
        <f t="shared" si="28"/>
        <v>0</v>
      </c>
      <c r="AJ102" s="53">
        <f t="shared" si="29"/>
        <v>0</v>
      </c>
      <c r="AK102" s="20">
        <f>IF(AND(AJ5=0,AJ102&gt;=0),,AJ102/AJ5)</f>
        <v>0</v>
      </c>
      <c r="AL102" s="37">
        <f>IF(AND(AJ124=0,AJ102&gt;=0),,AJ102/AJ124)</f>
        <v>0</v>
      </c>
      <c r="AM102" s="62"/>
      <c r="AN102" s="20">
        <f>IF(AND(AM5=0,AM102&gt;=0),,AM102/AM5)</f>
        <v>0</v>
      </c>
      <c r="AO102" s="20">
        <f>IF(AND(AM124=0,AM102&gt;=0),,AM102/AM124)</f>
        <v>0</v>
      </c>
      <c r="AP102" s="20">
        <f t="shared" si="30"/>
        <v>0</v>
      </c>
      <c r="AQ102" s="53">
        <f t="shared" si="31"/>
        <v>0</v>
      </c>
      <c r="AR102" s="20">
        <f>IF(AND(AQ5=0,AQ102&gt;=0),,AQ102/AQ5)</f>
        <v>0</v>
      </c>
      <c r="AS102" s="37">
        <f>IF(AND(AQ124=0,AQ102&gt;=0),,AQ102/AQ124)</f>
        <v>0</v>
      </c>
      <c r="AT102" s="62">
        <f t="shared" si="41"/>
        <v>0</v>
      </c>
      <c r="AU102" s="20">
        <f>IF(AND(AT5=0,AT102&gt;=0),,AT102/AT5)</f>
        <v>0</v>
      </c>
      <c r="AV102" s="37">
        <f t="shared" si="25"/>
        <v>0</v>
      </c>
      <c r="AW102" s="62">
        <f t="shared" si="15"/>
        <v>0</v>
      </c>
      <c r="AX102" s="20">
        <f>IF(AND(AW5=0,AW102&gt;=0),,AW102/AW5)</f>
        <v>0</v>
      </c>
      <c r="AY102" s="37">
        <f>IF(AND(AW124=0,AW102&gt;=0),,AW102/AW124)</f>
        <v>0</v>
      </c>
      <c r="AZ102" s="62">
        <f t="shared" si="37"/>
        <v>0</v>
      </c>
      <c r="BA102" s="20">
        <f>IF(AND(AZ5=0,AZ102&gt;=0),,AZ102/AZ5)</f>
        <v>0</v>
      </c>
      <c r="BB102" s="37">
        <f t="shared" si="27"/>
        <v>0</v>
      </c>
    </row>
    <row r="103" spans="1:220" hidden="1" outlineLevel="1" x14ac:dyDescent="0.25">
      <c r="A103" s="19"/>
      <c r="B103" s="62"/>
      <c r="C103" s="13"/>
      <c r="D103" s="36"/>
      <c r="E103" s="62"/>
      <c r="F103" s="13"/>
      <c r="G103" s="13"/>
      <c r="I103" s="13"/>
      <c r="J103" s="13"/>
      <c r="K103" s="22">
        <f t="shared" si="18"/>
        <v>0</v>
      </c>
      <c r="M103" s="13"/>
      <c r="N103" s="36"/>
      <c r="O103" s="62"/>
      <c r="P103" s="13"/>
      <c r="Q103" s="13"/>
      <c r="R103" s="22">
        <f t="shared" si="20"/>
        <v>0</v>
      </c>
      <c r="T103" s="13"/>
      <c r="U103" s="36"/>
      <c r="V103" s="62"/>
      <c r="W103" s="13"/>
      <c r="X103" s="79">
        <f t="shared" si="22"/>
        <v>0</v>
      </c>
      <c r="Y103" s="62"/>
      <c r="Z103" s="13"/>
      <c r="AA103" s="13"/>
      <c r="AB103" s="22">
        <f t="shared" si="17"/>
        <v>0</v>
      </c>
      <c r="AC103" s="53">
        <f t="shared" si="40"/>
        <v>0</v>
      </c>
      <c r="AD103" s="13"/>
      <c r="AE103" s="36"/>
      <c r="AF103" s="62"/>
      <c r="AG103" s="13"/>
      <c r="AH103" s="13"/>
      <c r="AI103" s="22">
        <f t="shared" si="28"/>
        <v>0</v>
      </c>
      <c r="AJ103" s="53">
        <f t="shared" si="29"/>
        <v>0</v>
      </c>
      <c r="AK103" s="13"/>
      <c r="AL103" s="36"/>
      <c r="AM103" s="62"/>
      <c r="AN103" s="13"/>
      <c r="AO103" s="13"/>
      <c r="AP103" s="22">
        <f t="shared" si="30"/>
        <v>0</v>
      </c>
      <c r="AQ103" s="53">
        <f t="shared" si="31"/>
        <v>0</v>
      </c>
      <c r="AR103" s="13"/>
      <c r="AS103" s="36"/>
      <c r="AT103" s="62"/>
      <c r="AU103" s="13"/>
      <c r="AV103" s="79">
        <f t="shared" si="25"/>
        <v>0</v>
      </c>
      <c r="AW103" s="62"/>
      <c r="AX103" s="13"/>
      <c r="AY103" s="36"/>
      <c r="AZ103" s="62"/>
      <c r="BA103" s="13"/>
      <c r="BB103" s="79">
        <f t="shared" si="27"/>
        <v>0</v>
      </c>
    </row>
    <row r="104" spans="1:220" s="5" customFormat="1" collapsed="1" x14ac:dyDescent="0.25">
      <c r="A104" s="27" t="s">
        <v>35</v>
      </c>
      <c r="B104" s="61">
        <f>SUM(B105:B107)</f>
        <v>0</v>
      </c>
      <c r="C104" s="28">
        <f>IF(AND(B5=0,B104&gt;=0),,B104/B5)</f>
        <v>0</v>
      </c>
      <c r="D104" s="33">
        <f>IF(AND(B124=0,B104&gt;=0),"Validar",B104/B124)</f>
        <v>0</v>
      </c>
      <c r="E104" s="61">
        <f>SUM(E105:E107)</f>
        <v>0</v>
      </c>
      <c r="F104" s="28">
        <f>IF(AND(E5=0,E104&gt;=0),,E104/E5)</f>
        <v>0</v>
      </c>
      <c r="G104" s="29">
        <f>IF(AND(E124=0,E104&gt;=0),"Validar",E104/E124)</f>
        <v>0</v>
      </c>
      <c r="H104" s="52">
        <f>SUM(H105:H107)</f>
        <v>0</v>
      </c>
      <c r="I104" s="28">
        <f>IF(AND(H5=0,H104&gt;=0),,H104/H5)</f>
        <v>0</v>
      </c>
      <c r="J104" s="29">
        <f>IF(AND(H124=0,H104&gt;=0),,H104/H124)</f>
        <v>0</v>
      </c>
      <c r="K104" s="28">
        <f t="shared" si="18"/>
        <v>0</v>
      </c>
      <c r="L104" s="52">
        <f>SUM(L105:L107)</f>
        <v>0</v>
      </c>
      <c r="M104" s="28">
        <f>IF(AND(L5=0,L104&gt;=0),,L104/L5)</f>
        <v>0</v>
      </c>
      <c r="N104" s="33">
        <f>IF(AND(L124=0,L104&gt;=0),,L104/L124)</f>
        <v>0</v>
      </c>
      <c r="O104" s="61">
        <f>SUM(O105:O107)</f>
        <v>0</v>
      </c>
      <c r="P104" s="28">
        <f>IF(AND(O5=0,O104&gt;=0),,O104/O5)</f>
        <v>0</v>
      </c>
      <c r="Q104" s="29">
        <f>IF(AND(O124=0,O104&gt;=0),,O104/O124)</f>
        <v>0</v>
      </c>
      <c r="R104" s="28">
        <f t="shared" si="20"/>
        <v>0</v>
      </c>
      <c r="S104" s="52">
        <f>SUM(S105:S107)</f>
        <v>0</v>
      </c>
      <c r="T104" s="28">
        <f>IF(AND(S5=0,S104&gt;=0),,S104/S5)</f>
        <v>0</v>
      </c>
      <c r="U104" s="33">
        <f>IF(AND(S124=0,S104&gt;=0),,S104/S124)</f>
        <v>0</v>
      </c>
      <c r="V104" s="61">
        <f>SUM(V105:V107)</f>
        <v>0</v>
      </c>
      <c r="W104" s="28">
        <f>IF(AND(V5=0,V104&gt;=0),,V104/V5)</f>
        <v>0</v>
      </c>
      <c r="X104" s="78">
        <f t="shared" si="22"/>
        <v>0</v>
      </c>
      <c r="Y104" s="61">
        <f>SUM(Y105:Y107)</f>
        <v>0</v>
      </c>
      <c r="Z104" s="28">
        <f>IF(AND(Y5=0,Y104&gt;=0),,Y104/Y5)</f>
        <v>0</v>
      </c>
      <c r="AA104" s="29">
        <f>IF(AND(Y124=0,Y104&gt;=0),,Y104/Y124)</f>
        <v>0</v>
      </c>
      <c r="AB104" s="28">
        <f t="shared" si="17"/>
        <v>0</v>
      </c>
      <c r="AC104" s="52">
        <f>SUM(AC105:AC107)</f>
        <v>0</v>
      </c>
      <c r="AD104" s="28">
        <f>IF(AND(AC5=0,AC104&gt;=0),,AC104/AC5)</f>
        <v>0</v>
      </c>
      <c r="AE104" s="33">
        <f>IF(AND(AC124=0,AC104&gt;=0),,AC104/AC124)</f>
        <v>0</v>
      </c>
      <c r="AF104" s="61">
        <f>SUM(AF105:AF107)</f>
        <v>0</v>
      </c>
      <c r="AG104" s="28">
        <f>IF(AND(AF5=0,AF104&gt;=0),,AF104/AF5)</f>
        <v>0</v>
      </c>
      <c r="AH104" s="29">
        <f>IF(AND(AF124=0,AF104&gt;=0),,AF104/AF124)</f>
        <v>0</v>
      </c>
      <c r="AI104" s="28">
        <f t="shared" si="28"/>
        <v>0</v>
      </c>
      <c r="AJ104" s="52">
        <f t="shared" si="29"/>
        <v>0</v>
      </c>
      <c r="AK104" s="28">
        <f>IF(AND(AJ5=0,AJ104&gt;=0),,AJ104/AJ5)</f>
        <v>0</v>
      </c>
      <c r="AL104" s="33">
        <f>IF(AND(AJ124=0,AJ104&gt;=0),,AJ104/AJ124)</f>
        <v>0</v>
      </c>
      <c r="AM104" s="61">
        <f>SUM(AM105:AM107)</f>
        <v>0</v>
      </c>
      <c r="AN104" s="28">
        <f>IF(AND(AM5=0,AM104&gt;=0),,AM104/AM5)</f>
        <v>0</v>
      </c>
      <c r="AO104" s="29">
        <f>IF(AND(AM124=0,AM104&gt;=0),,AM104/AM124)</f>
        <v>0</v>
      </c>
      <c r="AP104" s="28">
        <f t="shared" si="30"/>
        <v>0</v>
      </c>
      <c r="AQ104" s="52">
        <f t="shared" si="31"/>
        <v>0</v>
      </c>
      <c r="AR104" s="28">
        <f>IF(AND(AQ5=0,AQ104&gt;=0),,AQ104/AQ5)</f>
        <v>0</v>
      </c>
      <c r="AS104" s="33">
        <f>IF(AND(AQ124=0,AQ104&gt;=0),,AQ104/AQ124)</f>
        <v>0</v>
      </c>
      <c r="AT104" s="61">
        <f>SUM(AT105:AT107)</f>
        <v>0</v>
      </c>
      <c r="AU104" s="28">
        <f>IF(AND(AT5=0,AT104&gt;=0),,AT104/AT5)</f>
        <v>0</v>
      </c>
      <c r="AV104" s="78">
        <f t="shared" si="25"/>
        <v>0</v>
      </c>
      <c r="AW104" s="61">
        <f>SUM(AW105:AW107)</f>
        <v>0</v>
      </c>
      <c r="AX104" s="28">
        <f>IF(AND(AW5=0,AW104&gt;=0),,AW104/AW5)</f>
        <v>0</v>
      </c>
      <c r="AY104" s="33">
        <f>IF(AND(AW124=0,AW104&gt;=0),,AW104/AW124)</f>
        <v>0</v>
      </c>
      <c r="AZ104" s="61">
        <f>SUM(AZ105:AZ107)</f>
        <v>0</v>
      </c>
      <c r="BA104" s="28">
        <f>IF(AND(AZ5=0,AZ104&gt;=0),,AZ104/AZ5)</f>
        <v>0</v>
      </c>
      <c r="BB104" s="78">
        <f t="shared" si="27"/>
        <v>0</v>
      </c>
    </row>
    <row r="105" spans="1:220" hidden="1" outlineLevel="1" x14ac:dyDescent="0.25">
      <c r="A105" s="19" t="s">
        <v>91</v>
      </c>
      <c r="B105" s="62"/>
      <c r="C105" s="20">
        <f>IF(AND(B5=0,B105&gt;=0),,B105/B5)</f>
        <v>0</v>
      </c>
      <c r="D105" s="37">
        <f>IF(AND(B124=0,B105&gt;=0),"Validar",B105/B124)</f>
        <v>0</v>
      </c>
      <c r="E105" s="62"/>
      <c r="F105" s="20">
        <f>IF(AND(E5=0,E105&gt;=0),,E105/E5)</f>
        <v>0</v>
      </c>
      <c r="G105" s="20">
        <f>IF(AND(E124=0,E105&gt;=0),"Validar",E105/E124)</f>
        <v>0</v>
      </c>
      <c r="I105" s="20">
        <f>IF(AND(H5=0,H105&gt;=0),,H105/H5)</f>
        <v>0</v>
      </c>
      <c r="J105" s="20">
        <f>IF(AND(H124=0,H105&gt;=0),,H105/H124)</f>
        <v>0</v>
      </c>
      <c r="K105" s="20">
        <f t="shared" si="18"/>
        <v>0</v>
      </c>
      <c r="L105" s="53">
        <f>+E105+H105</f>
        <v>0</v>
      </c>
      <c r="M105" s="20">
        <f>IF(AND(L5=0,L105&gt;=0),,L105/L5)</f>
        <v>0</v>
      </c>
      <c r="N105" s="37">
        <f>IF(AND(L124=0,L105&gt;=0),,L105/L124)</f>
        <v>0</v>
      </c>
      <c r="O105" s="62"/>
      <c r="P105" s="20">
        <f>IF(AND(O5=0,O105&gt;=0),,O105/O5)</f>
        <v>0</v>
      </c>
      <c r="Q105" s="20">
        <f>IF(AND(O124=0,O105&gt;=0),,O105/O124)</f>
        <v>0</v>
      </c>
      <c r="R105" s="20">
        <f t="shared" si="20"/>
        <v>0</v>
      </c>
      <c r="S105" s="53">
        <f>+L105+O105</f>
        <v>0</v>
      </c>
      <c r="T105" s="20">
        <f>IF(AND(S5=0,S105&gt;=0),,S105/S5)</f>
        <v>0</v>
      </c>
      <c r="U105" s="37">
        <f>IF(AND(S124=0,S105&gt;=0),,S105/S124)</f>
        <v>0</v>
      </c>
      <c r="V105" s="62"/>
      <c r="W105" s="20">
        <f>IF(AND(V5=0,V105&gt;=0),,V105/V5)</f>
        <v>0</v>
      </c>
      <c r="X105" s="37">
        <f t="shared" si="22"/>
        <v>0</v>
      </c>
      <c r="Y105" s="62"/>
      <c r="Z105" s="20">
        <f>IF(AND(Y5=0,Y105&gt;=0),,Y105/Y5)</f>
        <v>0</v>
      </c>
      <c r="AA105" s="20">
        <f>IF(AND(Y124=0,Y105&gt;=0),,Y105/Y124)</f>
        <v>0</v>
      </c>
      <c r="AB105" s="20">
        <f t="shared" si="17"/>
        <v>0</v>
      </c>
      <c r="AC105" s="53">
        <f>+S105+Y105</f>
        <v>0</v>
      </c>
      <c r="AD105" s="20">
        <f>IF(AND(AC5=0,AC105&gt;=0),,AC105/AC5)</f>
        <v>0</v>
      </c>
      <c r="AE105" s="37">
        <f>IF(AND(AC124=0,AC105&gt;=0),,AC105/AC124)</f>
        <v>0</v>
      </c>
      <c r="AF105" s="62"/>
      <c r="AG105" s="20">
        <f>IF(AND(AF5=0,AF105&gt;=0),,AF105/AF5)</f>
        <v>0</v>
      </c>
      <c r="AH105" s="20">
        <f>IF(AND(AF124=0,AF105&gt;=0),,AF105/AF124)</f>
        <v>0</v>
      </c>
      <c r="AI105" s="20">
        <f t="shared" si="28"/>
        <v>0</v>
      </c>
      <c r="AJ105" s="53">
        <f t="shared" si="29"/>
        <v>0</v>
      </c>
      <c r="AK105" s="20">
        <f>IF(AND(AJ5=0,AJ105&gt;=0),,AJ105/AJ5)</f>
        <v>0</v>
      </c>
      <c r="AL105" s="37">
        <f>IF(AND(AJ124=0,AJ105&gt;=0),,AJ105/AJ124)</f>
        <v>0</v>
      </c>
      <c r="AM105" s="62"/>
      <c r="AN105" s="20">
        <f>IF(AND(AM5=0,AM105&gt;=0),,AM105/AM5)</f>
        <v>0</v>
      </c>
      <c r="AO105" s="20">
        <f>IF(AND(AM124=0,AM105&gt;=0),,AM105/AM124)</f>
        <v>0</v>
      </c>
      <c r="AP105" s="20">
        <f t="shared" si="30"/>
        <v>0</v>
      </c>
      <c r="AQ105" s="53">
        <f t="shared" si="31"/>
        <v>0</v>
      </c>
      <c r="AR105" s="20">
        <f>IF(AND(AQ5=0,AQ105&gt;=0),,AQ105/AQ5)</f>
        <v>0</v>
      </c>
      <c r="AS105" s="37">
        <f>IF(AND(AQ124=0,AQ105&gt;=0),,AQ105/AQ124)</f>
        <v>0</v>
      </c>
      <c r="AT105" s="62">
        <f>+V105*2</f>
        <v>0</v>
      </c>
      <c r="AU105" s="20">
        <f>IF(AND(AT5=0,AT105&gt;=0),,AT105/AT5)</f>
        <v>0</v>
      </c>
      <c r="AV105" s="37">
        <f t="shared" si="25"/>
        <v>0</v>
      </c>
      <c r="AW105" s="62">
        <f>+AQ105/6</f>
        <v>0</v>
      </c>
      <c r="AX105" s="20">
        <f>IF(AND(AW5=0,AW105&gt;=0),,AW105/AW5)</f>
        <v>0</v>
      </c>
      <c r="AY105" s="37">
        <f>IF(AND(AW124=0,AW105&gt;=0),,AW105/AW124)</f>
        <v>0</v>
      </c>
      <c r="AZ105" s="62">
        <f>+AT105/6</f>
        <v>0</v>
      </c>
      <c r="BA105" s="20">
        <f>IF(AND(AZ5=0,AZ105&gt;=0),,AZ105/AZ5)</f>
        <v>0</v>
      </c>
      <c r="BB105" s="37">
        <f t="shared" si="27"/>
        <v>0</v>
      </c>
    </row>
    <row r="106" spans="1:220" hidden="1" outlineLevel="1" x14ac:dyDescent="0.25">
      <c r="A106" s="19" t="s">
        <v>92</v>
      </c>
      <c r="B106" s="62"/>
      <c r="C106" s="20">
        <f>IF(AND(B5=0,B106&gt;=0),,B106/B5)</f>
        <v>0</v>
      </c>
      <c r="D106" s="37">
        <f>IF(AND(B124=0,B106&gt;=0),"Validar",B106/B124)</f>
        <v>0</v>
      </c>
      <c r="E106" s="62"/>
      <c r="F106" s="20">
        <f>IF(AND(E5=0,E106&gt;=0),,E106/E5)</f>
        <v>0</v>
      </c>
      <c r="G106" s="20">
        <f>IF(AND(E124=0,E106&gt;=0),"Validar",E106/E124)</f>
        <v>0</v>
      </c>
      <c r="I106" s="20">
        <f>IF(AND(H5=0,H106&gt;=0),,H106/H5)</f>
        <v>0</v>
      </c>
      <c r="J106" s="20">
        <f>IF(AND(H124=0,H106&gt;=0),,H106/H124)</f>
        <v>0</v>
      </c>
      <c r="K106" s="20">
        <f t="shared" si="18"/>
        <v>0</v>
      </c>
      <c r="L106" s="53">
        <f>+E106+H106</f>
        <v>0</v>
      </c>
      <c r="M106" s="20">
        <f>IF(AND(L5=0,L106&gt;=0),,L106/L5)</f>
        <v>0</v>
      </c>
      <c r="N106" s="37">
        <f>IF(AND(L124=0,L106&gt;=0),,L106/L124)</f>
        <v>0</v>
      </c>
      <c r="O106" s="62"/>
      <c r="P106" s="20">
        <f>IF(AND(O5=0,O106&gt;=0),,O106/O5)</f>
        <v>0</v>
      </c>
      <c r="Q106" s="20">
        <f>IF(AND(O124=0,O106&gt;=0),,O106/O124)</f>
        <v>0</v>
      </c>
      <c r="R106" s="20">
        <f t="shared" si="20"/>
        <v>0</v>
      </c>
      <c r="S106" s="53">
        <f>+L106+O106</f>
        <v>0</v>
      </c>
      <c r="T106" s="20">
        <f>IF(AND(S5=0,S106&gt;=0),,S106/S5)</f>
        <v>0</v>
      </c>
      <c r="U106" s="37">
        <f>IF(AND(S124=0,S106&gt;=0),,S106/S124)</f>
        <v>0</v>
      </c>
      <c r="V106" s="62"/>
      <c r="W106" s="20">
        <f>IF(AND(V5=0,V106&gt;=0),,V106/V5)</f>
        <v>0</v>
      </c>
      <c r="X106" s="37">
        <f t="shared" si="22"/>
        <v>0</v>
      </c>
      <c r="Y106" s="62"/>
      <c r="Z106" s="20">
        <f>IF(AND(Y5=0,Y106&gt;=0),,Y106/Y5)</f>
        <v>0</v>
      </c>
      <c r="AA106" s="20">
        <f>IF(AND(Y124=0,Y106&gt;=0),,Y106/Y124)</f>
        <v>0</v>
      </c>
      <c r="AB106" s="20">
        <f t="shared" si="17"/>
        <v>0</v>
      </c>
      <c r="AC106" s="53">
        <f>+S106+Y106</f>
        <v>0</v>
      </c>
      <c r="AD106" s="20">
        <f>IF(AND(AC5=0,AC106&gt;=0),,AC106/AC5)</f>
        <v>0</v>
      </c>
      <c r="AE106" s="37">
        <f>IF(AND(AC124=0,AC106&gt;=0),,AC106/AC124)</f>
        <v>0</v>
      </c>
      <c r="AF106" s="62"/>
      <c r="AG106" s="20">
        <f>IF(AND(AF5=0,AF106&gt;=0),,AF106/AF5)</f>
        <v>0</v>
      </c>
      <c r="AH106" s="20">
        <f>IF(AND(AF124=0,AF106&gt;=0),,AF106/AF124)</f>
        <v>0</v>
      </c>
      <c r="AI106" s="20">
        <f t="shared" si="28"/>
        <v>0</v>
      </c>
      <c r="AJ106" s="53">
        <f t="shared" si="29"/>
        <v>0</v>
      </c>
      <c r="AK106" s="20">
        <f>IF(AND(AJ5=0,AJ106&gt;=0),,AJ106/AJ5)</f>
        <v>0</v>
      </c>
      <c r="AL106" s="37">
        <f>IF(AND(AJ124=0,AJ106&gt;=0),,AJ106/AJ124)</f>
        <v>0</v>
      </c>
      <c r="AM106" s="62"/>
      <c r="AN106" s="20">
        <f>IF(AND(AM5=0,AM106&gt;=0),,AM106/AM5)</f>
        <v>0</v>
      </c>
      <c r="AO106" s="20">
        <f>IF(AND(AM124=0,AM106&gt;=0),,AM106/AM124)</f>
        <v>0</v>
      </c>
      <c r="AP106" s="20">
        <f t="shared" si="30"/>
        <v>0</v>
      </c>
      <c r="AQ106" s="53">
        <f t="shared" si="31"/>
        <v>0</v>
      </c>
      <c r="AR106" s="20">
        <f>IF(AND(AQ5=0,AQ106&gt;=0),,AQ106/AQ5)</f>
        <v>0</v>
      </c>
      <c r="AS106" s="37">
        <f>IF(AND(AQ124=0,AQ106&gt;=0),,AQ106/AQ124)</f>
        <v>0</v>
      </c>
      <c r="AT106" s="62">
        <f>+V106*2</f>
        <v>0</v>
      </c>
      <c r="AU106" s="20">
        <f>IF(AND(AT5=0,AT106&gt;=0),,AT106/AT5)</f>
        <v>0</v>
      </c>
      <c r="AV106" s="37">
        <f t="shared" si="25"/>
        <v>0</v>
      </c>
      <c r="AW106" s="62">
        <f>+AQ106/6</f>
        <v>0</v>
      </c>
      <c r="AX106" s="20">
        <f>IF(AND(AW5=0,AW106&gt;=0),,AW106/AW5)</f>
        <v>0</v>
      </c>
      <c r="AY106" s="37">
        <f>IF(AND(AW124=0,AW106&gt;=0),,AW106/AW124)</f>
        <v>0</v>
      </c>
      <c r="AZ106" s="62">
        <f>+AT106/6</f>
        <v>0</v>
      </c>
      <c r="BA106" s="20">
        <f>IF(AND(AZ5=0,AZ106&gt;=0),,AZ106/AZ5)</f>
        <v>0</v>
      </c>
      <c r="BB106" s="37">
        <f t="shared" si="27"/>
        <v>0</v>
      </c>
    </row>
    <row r="107" spans="1:220" hidden="1" outlineLevel="1" x14ac:dyDescent="0.25">
      <c r="A107" s="19"/>
      <c r="B107" s="62"/>
      <c r="C107" s="13"/>
      <c r="D107" s="36"/>
      <c r="E107" s="62"/>
      <c r="F107" s="13"/>
      <c r="G107" s="13"/>
      <c r="I107" s="13"/>
      <c r="J107" s="13"/>
      <c r="K107" s="22">
        <f t="shared" si="18"/>
        <v>0</v>
      </c>
      <c r="M107" s="13"/>
      <c r="N107" s="36"/>
      <c r="O107" s="62"/>
      <c r="P107" s="13"/>
      <c r="Q107" s="13"/>
      <c r="R107" s="22">
        <f t="shared" si="20"/>
        <v>0</v>
      </c>
      <c r="T107" s="13"/>
      <c r="U107" s="36"/>
      <c r="V107" s="62"/>
      <c r="W107" s="13"/>
      <c r="X107" s="79">
        <f t="shared" si="22"/>
        <v>0</v>
      </c>
      <c r="Y107" s="62"/>
      <c r="Z107" s="13"/>
      <c r="AA107" s="13"/>
      <c r="AB107" s="22">
        <f t="shared" si="17"/>
        <v>0</v>
      </c>
      <c r="AD107" s="13"/>
      <c r="AE107" s="36"/>
      <c r="AF107" s="62"/>
      <c r="AG107" s="13"/>
      <c r="AH107" s="13"/>
      <c r="AI107" s="22">
        <f t="shared" si="28"/>
        <v>0</v>
      </c>
      <c r="AJ107" s="53">
        <f t="shared" si="29"/>
        <v>0</v>
      </c>
      <c r="AK107" s="13"/>
      <c r="AL107" s="36"/>
      <c r="AM107" s="62"/>
      <c r="AN107" s="13"/>
      <c r="AO107" s="13"/>
      <c r="AP107" s="22">
        <f t="shared" si="30"/>
        <v>0</v>
      </c>
      <c r="AQ107" s="53">
        <f t="shared" si="31"/>
        <v>0</v>
      </c>
      <c r="AR107" s="13"/>
      <c r="AS107" s="36"/>
      <c r="AT107" s="62">
        <f>+V107*2</f>
        <v>0</v>
      </c>
      <c r="AU107" s="13"/>
      <c r="AV107" s="79">
        <f t="shared" si="25"/>
        <v>0</v>
      </c>
      <c r="AW107" s="62">
        <f>+AQ107/6</f>
        <v>0</v>
      </c>
      <c r="AX107" s="13"/>
      <c r="AY107" s="36"/>
      <c r="AZ107" s="62">
        <f>+AT107/6</f>
        <v>0</v>
      </c>
      <c r="BA107" s="13"/>
      <c r="BB107" s="79">
        <f t="shared" si="27"/>
        <v>0</v>
      </c>
    </row>
    <row r="108" spans="1:220" s="2" customFormat="1" hidden="1" outlineLevel="1" x14ac:dyDescent="0.25">
      <c r="B108" s="63"/>
      <c r="C108" s="13"/>
      <c r="D108" s="36"/>
      <c r="E108" s="63"/>
      <c r="F108" s="13"/>
      <c r="G108" s="13"/>
      <c r="H108" s="49"/>
      <c r="I108" s="13"/>
      <c r="J108" s="13"/>
      <c r="K108" s="13">
        <f t="shared" si="18"/>
        <v>0</v>
      </c>
      <c r="L108" s="49"/>
      <c r="M108" s="13"/>
      <c r="N108" s="36"/>
      <c r="O108" s="63"/>
      <c r="P108" s="13"/>
      <c r="Q108" s="13"/>
      <c r="R108" s="13">
        <f t="shared" si="20"/>
        <v>0</v>
      </c>
      <c r="S108" s="49"/>
      <c r="T108" s="13"/>
      <c r="U108" s="36"/>
      <c r="V108" s="63"/>
      <c r="W108" s="13"/>
      <c r="X108" s="36">
        <f t="shared" si="22"/>
        <v>0</v>
      </c>
      <c r="Y108" s="63"/>
      <c r="Z108" s="13"/>
      <c r="AA108" s="13"/>
      <c r="AB108" s="13">
        <f t="shared" si="17"/>
        <v>0</v>
      </c>
      <c r="AC108" s="49"/>
      <c r="AD108" s="13"/>
      <c r="AE108" s="36"/>
      <c r="AF108" s="63"/>
      <c r="AG108" s="13"/>
      <c r="AH108" s="13"/>
      <c r="AI108" s="13">
        <f t="shared" si="28"/>
        <v>0</v>
      </c>
      <c r="AJ108" s="49">
        <f t="shared" si="29"/>
        <v>0</v>
      </c>
      <c r="AK108" s="13"/>
      <c r="AL108" s="36"/>
      <c r="AM108" s="63"/>
      <c r="AN108" s="13"/>
      <c r="AO108" s="13"/>
      <c r="AP108" s="13">
        <f t="shared" si="30"/>
        <v>0</v>
      </c>
      <c r="AQ108" s="49">
        <f t="shared" si="31"/>
        <v>0</v>
      </c>
      <c r="AR108" s="13"/>
      <c r="AS108" s="36"/>
      <c r="AT108" s="62">
        <f>+V108*2</f>
        <v>0</v>
      </c>
      <c r="AU108" s="13"/>
      <c r="AV108" s="36">
        <f t="shared" si="25"/>
        <v>0</v>
      </c>
      <c r="AW108" s="63"/>
      <c r="AX108" s="13"/>
      <c r="AY108" s="36"/>
      <c r="AZ108" s="62">
        <f>+AT108/6</f>
        <v>0</v>
      </c>
      <c r="BA108" s="13"/>
      <c r="BB108" s="36">
        <f t="shared" si="27"/>
        <v>0</v>
      </c>
    </row>
    <row r="109" spans="1:220" s="31" customFormat="1" ht="16.5" collapsed="1" thickBot="1" x14ac:dyDescent="0.3">
      <c r="A109" s="46" t="s">
        <v>117</v>
      </c>
      <c r="B109" s="67">
        <f>+B37-B39+B110+B111</f>
        <v>24193.149999999972</v>
      </c>
      <c r="C109" s="47">
        <f>IF(AND(B5=0,B109&lt;=0),,B109/B5)</f>
        <v>9.1122443541289955E-2</v>
      </c>
      <c r="D109" s="48"/>
      <c r="E109" s="67">
        <f>+E37-E39+E110+E111</f>
        <v>2139.29</v>
      </c>
      <c r="F109" s="47">
        <f>IF(AND(E5=0,E109&lt;=0),,E109/E5)</f>
        <v>9.3744056889100785E-2</v>
      </c>
      <c r="G109" s="47"/>
      <c r="H109" s="57">
        <f>+H37-H39+H110+H111</f>
        <v>1989.9299999999962</v>
      </c>
      <c r="I109" s="47">
        <f>IF(AND(H5=0,H109&lt;=0),,H109/H5)</f>
        <v>8.2810512893925423E-2</v>
      </c>
      <c r="J109" s="47"/>
      <c r="K109" s="47">
        <f>IF(AND(E109=0,H109&gt;0),100%,IF(AND(E109&lt;0,H109&gt;=0),(E109-H109)/E109,IF(AND(E109&gt;0,H109&gt;0),(H109-E109)/E109,IF(AND(E109=0,H109&lt;=0),0,(H109-E109)/E109))))</f>
        <v>-6.9817556292042574E-2</v>
      </c>
      <c r="L109" s="57">
        <f>+L37-L39+L110+L111</f>
        <v>4129.2199999999939</v>
      </c>
      <c r="M109" s="47">
        <f>IF(AND(L5=0,L109&lt;=0),,L109/L5)</f>
        <v>8.8136167713187746E-2</v>
      </c>
      <c r="N109" s="48"/>
      <c r="O109" s="67">
        <f>+O37-O39+O110+O111</f>
        <v>4039.8200000000024</v>
      </c>
      <c r="P109" s="47">
        <f>IF(AND(O5=0,O109&lt;=0),,O109/O5)</f>
        <v>0.16480793920111106</v>
      </c>
      <c r="Q109" s="47"/>
      <c r="R109" s="47">
        <f>IF(AND(H109=0,O109&gt;0),100%,IF(AND(H109&lt;0,O109&gt;=0),(H109-O109)/H109,IF(AND(H109&gt;0,O109&gt;0),(O109-H109)/H109,IF(AND(H109=0,O109&lt;=0),0,(O109-H109)/H109))))</f>
        <v>1.0301317131758454</v>
      </c>
      <c r="S109" s="57">
        <f>+S37-S39+S110+S111</f>
        <v>8169.0399999999972</v>
      </c>
      <c r="T109" s="47">
        <f>IF(AND(S5=0,S109&lt;=0),,S109/S5)</f>
        <v>0.11447204599038009</v>
      </c>
      <c r="U109" s="48"/>
      <c r="V109" s="67">
        <f>+V37-V39+V110+V111</f>
        <v>2702.9100000000035</v>
      </c>
      <c r="W109" s="47">
        <f>IF(AND(V5=0,V109&lt;=0),,V109/V5)</f>
        <v>4.7419473684210588E-2</v>
      </c>
      <c r="X109" s="48">
        <f t="shared" si="22"/>
        <v>2.0223129885937698</v>
      </c>
      <c r="Y109" s="67">
        <f>+Y37-Y39+Y110+Y111</f>
        <v>2566.7899999999977</v>
      </c>
      <c r="Z109" s="47">
        <f>IF(AND(Y5=0,Y109&lt;=0),,Y109/Y5)</f>
        <v>0.10986512919946402</v>
      </c>
      <c r="AA109" s="47"/>
      <c r="AB109" s="47">
        <f t="shared" si="17"/>
        <v>-0.36462763192419562</v>
      </c>
      <c r="AC109" s="57">
        <f>+AC37-AC39+AC110+AC111</f>
        <v>10735.830000000002</v>
      </c>
      <c r="AD109" s="47">
        <f>IF(AND(AC5=0,AC109&lt;=0),,AC109/AC5)</f>
        <v>0.11333580010102839</v>
      </c>
      <c r="AE109" s="48"/>
      <c r="AF109" s="67">
        <f>+AF37-AF39+AF110+AF111</f>
        <v>5533.2400000000007</v>
      </c>
      <c r="AG109" s="47">
        <f>IF(AND(AF5=0,AF109&lt;=0),,AF109/AF5)</f>
        <v>0.17274580868411993</v>
      </c>
      <c r="AH109" s="47"/>
      <c r="AI109" s="47">
        <f t="shared" si="28"/>
        <v>1.0471417842251476</v>
      </c>
      <c r="AJ109" s="57">
        <f t="shared" si="29"/>
        <v>16269.070000000003</v>
      </c>
      <c r="AK109" s="47">
        <f>IF(AND(AJ5=0,AJ109&lt;=0),,AJ109/AJ5)</f>
        <v>0.12834853407655092</v>
      </c>
      <c r="AL109" s="48"/>
      <c r="AM109" s="67">
        <f>+AM37-AM39+AM110+AM111</f>
        <v>5464.6900000000023</v>
      </c>
      <c r="AN109" s="47">
        <f>IF(AND(AM5=0,AM109&lt;=0),,AM109/AM5)</f>
        <v>0.14826470264254438</v>
      </c>
      <c r="AO109" s="47"/>
      <c r="AP109" s="47">
        <f t="shared" si="30"/>
        <v>-0.49098579243523777</v>
      </c>
      <c r="AQ109" s="57">
        <f t="shared" si="31"/>
        <v>21733.760000000006</v>
      </c>
      <c r="AR109" s="47">
        <f>IF(AND(AQ5=0,AQ109&lt;=0),,AQ109/AQ5)</f>
        <v>0.1328350730515403</v>
      </c>
      <c r="AS109" s="48"/>
      <c r="AT109" s="67">
        <f>+AT37-AT39+AT110+AT111</f>
        <v>5405.820000000007</v>
      </c>
      <c r="AU109" s="47">
        <f>IF(AND(AT5=0,AT109&lt;=0),,AT109/AT5)</f>
        <v>4.7419473684210588E-2</v>
      </c>
      <c r="AV109" s="48">
        <f t="shared" si="25"/>
        <v>3.0204372324642659</v>
      </c>
      <c r="AW109" s="67">
        <f>+AW37-AW39+AW110+AW111</f>
        <v>3556.201000000005</v>
      </c>
      <c r="AX109" s="47">
        <f>IF(AND(AW5=0,AW109&lt;=0),,AW109/AW5)</f>
        <v>0.12262762068965534</v>
      </c>
      <c r="AY109" s="48"/>
      <c r="AZ109" s="67">
        <f>+AZ37-AZ39+AZ110+AZ111</f>
        <v>900.97000000000025</v>
      </c>
      <c r="BA109" s="47">
        <f>IF(AND(AZ5=0,AZ109&lt;=0),,AZ109/AZ5)</f>
        <v>4.7419473684210539E-2</v>
      </c>
      <c r="BB109" s="48">
        <f t="shared" si="27"/>
        <v>2.947080368935707</v>
      </c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</row>
    <row r="110" spans="1:220" s="2" customFormat="1" ht="15.75" thickTop="1" x14ac:dyDescent="0.25">
      <c r="A110" s="19" t="s">
        <v>115</v>
      </c>
      <c r="B110" s="62">
        <v>7685.57</v>
      </c>
      <c r="C110" s="20">
        <f>IF(AND(B5=0,B110&gt;=0),,B110/B5)</f>
        <v>2.8947363960775369E-2</v>
      </c>
      <c r="D110" s="37">
        <f>IF(AND(B124=0,B110&gt;=0),"Validar",B110/B124)</f>
        <v>0.10598806788359798</v>
      </c>
      <c r="E110" s="62">
        <v>2684.04</v>
      </c>
      <c r="F110" s="20">
        <f>IF(AND(E5=0,E110&gt;=0),,E110/E5)</f>
        <v>0.11761509587415547</v>
      </c>
      <c r="G110" s="20">
        <f>IF(AND(E124=0,E110&gt;=0),"Validar",E110/E124)</f>
        <v>0.30771947041855641</v>
      </c>
      <c r="H110" s="53">
        <v>704.1</v>
      </c>
      <c r="I110" s="20">
        <f>IF(AND(H5=0,H110&gt;=0),,H110/H5)</f>
        <v>2.9300971455585374E-2</v>
      </c>
      <c r="J110" s="20">
        <f>IF(AND(H124=0,H110&gt;=0),,H110/H124)</f>
        <v>0.11024196553549005</v>
      </c>
      <c r="K110" s="20">
        <f t="shared" si="18"/>
        <v>-0.73767156972325298</v>
      </c>
      <c r="L110" s="53">
        <f>+E110+H110</f>
        <v>3388.14</v>
      </c>
      <c r="M110" s="20">
        <f>IF(AND(L5=0,L110&gt;=0),,L110/L5)</f>
        <v>7.2318180013600714E-2</v>
      </c>
      <c r="N110" s="37">
        <f>IF(AND(L124=0,L110&gt;=0),,L110/L124)</f>
        <v>0.22424321043707085</v>
      </c>
      <c r="O110" s="62">
        <v>685.63</v>
      </c>
      <c r="P110" s="20">
        <f>IF(AND(O5=0,O110&gt;=0),,O110/O5)</f>
        <v>2.7970866859032755E-2</v>
      </c>
      <c r="Q110" s="20">
        <f>IF(AND(O124=0,O110&gt;=0),,O110/O124)</f>
        <v>0.1267033799641491</v>
      </c>
      <c r="R110" s="20">
        <f t="shared" si="20"/>
        <v>-2.6232069308336922E-2</v>
      </c>
      <c r="S110" s="53">
        <f>+L110+O110</f>
        <v>4073.77</v>
      </c>
      <c r="T110" s="20">
        <f>IF(AND(S5=0,S110&gt;=0),,S110/S5)</f>
        <v>5.7085384181523272E-2</v>
      </c>
      <c r="U110" s="37">
        <f>IF(AND(S124=0,S110&gt;=0),,S110/S124)</f>
        <v>0.19852177235274743</v>
      </c>
      <c r="V110" s="62">
        <f>591*3</f>
        <v>1773</v>
      </c>
      <c r="W110" s="20">
        <f>IF(AND(V5=0,V110&gt;=0),,V110/V5)</f>
        <v>3.1105263157894737E-2</v>
      </c>
      <c r="X110" s="37">
        <f t="shared" si="22"/>
        <v>1.2976706147772137</v>
      </c>
      <c r="Y110" s="62">
        <v>749.43</v>
      </c>
      <c r="Z110" s="20">
        <f>IF(AND(Y5=0,Y110&gt;=0),,Y110/Y5)</f>
        <v>3.2077506837705612E-2</v>
      </c>
      <c r="AA110" s="20">
        <f>IF(AND(Y124=0,Y110&gt;=0),,Y110/Y124)</f>
        <v>0.11060783167738164</v>
      </c>
      <c r="AB110" s="20">
        <f t="shared" si="17"/>
        <v>9.3053104444087847E-2</v>
      </c>
      <c r="AC110" s="53">
        <f>+S110+Y110</f>
        <v>4823.2</v>
      </c>
      <c r="AD110" s="20">
        <f>IF(AND(AC5=0,AC110&gt;=0),,AC110/AC5)</f>
        <v>5.0917463395683434E-2</v>
      </c>
      <c r="AE110" s="37">
        <f>IF(AND(AC124=0,AC110&gt;=0),,AC110/AC124)</f>
        <v>0.17669936489048976</v>
      </c>
      <c r="AF110" s="62">
        <v>686.18</v>
      </c>
      <c r="AG110" s="20">
        <f>IF(AND(AF5=0,AF110&gt;=0),,AF110/AF5)</f>
        <v>2.1422298509168117E-2</v>
      </c>
      <c r="AH110" s="20">
        <f>IF(AND(AF124=0,AF110&gt;=0),,AF110/AF124)</f>
        <v>9.8599280385327226E-2</v>
      </c>
      <c r="AI110" s="20">
        <f t="shared" si="28"/>
        <v>-0.61298364354201929</v>
      </c>
      <c r="AJ110" s="53">
        <f t="shared" si="29"/>
        <v>5509.38</v>
      </c>
      <c r="AK110" s="20">
        <f>IF(AND(AJ5=0,AJ110&gt;=0),,AJ110/AJ5)</f>
        <v>4.3464122206780594E-2</v>
      </c>
      <c r="AL110" s="37">
        <f>IF(AND(AJ124=0,AJ110&gt;=0),,AJ110/AJ124)</f>
        <v>0.16083264049772064</v>
      </c>
      <c r="AM110" s="62">
        <v>1490.17</v>
      </c>
      <c r="AN110" s="20">
        <f>IF(AND(AM5=0,AM110&gt;=0),,AM110/AM5)</f>
        <v>4.043040171296821E-2</v>
      </c>
      <c r="AO110" s="20">
        <f>IF(AND(AM124=0,AM110&gt;=0),,AM110/AM124)</f>
        <v>0.16688187119309167</v>
      </c>
      <c r="AP110" s="20">
        <f t="shared" si="30"/>
        <v>-0.69104121744899649</v>
      </c>
      <c r="AQ110" s="53">
        <f t="shared" si="31"/>
        <v>6999.55</v>
      </c>
      <c r="AR110" s="20">
        <f>IF(AND(AQ5=0,AQ110&gt;=0),,AQ110/AQ5)</f>
        <v>4.2780712383771083E-2</v>
      </c>
      <c r="AS110" s="37">
        <f>IF(AND(AQ124=0,AQ110&gt;=0),,AQ110/AQ124)</f>
        <v>0.16208346214007924</v>
      </c>
      <c r="AT110" s="62">
        <f>+V110*2</f>
        <v>3546</v>
      </c>
      <c r="AU110" s="20">
        <f>IF(AND(AT5=0,AT110&gt;=0),,AT110/AT5)</f>
        <v>3.1105263157894737E-2</v>
      </c>
      <c r="AV110" s="37">
        <f t="shared" si="25"/>
        <v>0.97392836999435994</v>
      </c>
      <c r="AW110" s="62">
        <f>+AQ110/6</f>
        <v>1166.5916666666667</v>
      </c>
      <c r="AX110" s="20">
        <f>IF(AND(AW5=0,AW110&gt;=0),,AW110/AW5)</f>
        <v>4.0227298850574716E-2</v>
      </c>
      <c r="AY110" s="37">
        <f>IF(AND(AW124=0,AW110&gt;=0),,AW110/AW124)</f>
        <v>0.15477722763957694</v>
      </c>
      <c r="AZ110" s="62">
        <f>+AT110/6</f>
        <v>591</v>
      </c>
      <c r="BA110" s="20">
        <f>IF(AND(AZ5=0,AZ110&gt;=0),,AZ110/AZ5)</f>
        <v>3.1105263157894737E-2</v>
      </c>
      <c r="BB110" s="37">
        <f t="shared" si="27"/>
        <v>0.97392836999435994</v>
      </c>
    </row>
    <row r="111" spans="1:220" s="2" customFormat="1" x14ac:dyDescent="0.25">
      <c r="A111" s="19" t="s">
        <v>126</v>
      </c>
      <c r="B111" s="62"/>
      <c r="C111" s="20">
        <f>IF(AND(B5=0,B111&gt;=0),,B111/B5)</f>
        <v>0</v>
      </c>
      <c r="D111" s="37">
        <f>IF(AND(B124=0,B111&gt;=0),"Validar",B111/B124)</f>
        <v>0</v>
      </c>
      <c r="E111" s="62"/>
      <c r="F111" s="20">
        <f>IF(AND(E5=0,E111&gt;=0),,E111/E5)</f>
        <v>0</v>
      </c>
      <c r="G111" s="20">
        <f>IF(AND(E124=0,E111&gt;=0),"Validar",E111/E124)</f>
        <v>0</v>
      </c>
      <c r="H111" s="53"/>
      <c r="I111" s="20">
        <f>IF(AND(H5=0,H111&gt;=0),,H111/H5)</f>
        <v>0</v>
      </c>
      <c r="J111" s="20">
        <f>IF(AND(H124=0,H111&gt;=0),"Validar",H111/H124)</f>
        <v>0</v>
      </c>
      <c r="K111" s="20">
        <f>IF(AND(E111=0,H111&gt;0),100%,IF(AND(E111&lt;0,H111&gt;=0),(E111-H111)/E111,IF(AND(E111&gt;0,H111&gt;0),(H111-E111)/E111,IF(AND(E111=0,H111&lt;=0),0,(H111-E111)/E111))))</f>
        <v>0</v>
      </c>
      <c r="L111" s="53">
        <f>+E111+H111</f>
        <v>0</v>
      </c>
      <c r="M111" s="20">
        <f>IF(AND(L5=0,L111&gt;=0),,L111/L5)</f>
        <v>0</v>
      </c>
      <c r="N111" s="37">
        <f>IF(AND(L124=0,L111&gt;=0),"Validar",L111/L124)</f>
        <v>0</v>
      </c>
      <c r="O111" s="62"/>
      <c r="P111" s="20">
        <f>IF(AND(O5=0,O111&gt;=0),,O111/O5)</f>
        <v>0</v>
      </c>
      <c r="Q111" s="20">
        <f>IF(AND(O124=0,O111&gt;=0),"Validar",O111/O124)</f>
        <v>0</v>
      </c>
      <c r="R111" s="20">
        <f>IF(AND(H111=0,O111&gt;0),100%,IF(AND(H111&lt;0,O111&gt;=0),(H111-O111)/H111,IF(AND(H111&gt;0,O111&gt;0),(O111-H111)/H111,IF(AND(H111=0,O111&lt;=0),0,(O111-H111)/H111))))</f>
        <v>0</v>
      </c>
      <c r="S111" s="53">
        <f>+L111+O111</f>
        <v>0</v>
      </c>
      <c r="T111" s="20">
        <f>IF(AND(S5=0,S111&gt;=0),,S111/S5)</f>
        <v>0</v>
      </c>
      <c r="U111" s="37">
        <f>IF(AND(S124=0,S111&gt;=0),"Validar",S111/S124)</f>
        <v>0</v>
      </c>
      <c r="V111" s="62"/>
      <c r="W111" s="20">
        <f>IF(AND(V5=0,V111&gt;=0),,V111/V5)</f>
        <v>0</v>
      </c>
      <c r="X111" s="37">
        <f t="shared" si="22"/>
        <v>0</v>
      </c>
      <c r="Y111" s="62"/>
      <c r="Z111" s="20">
        <f>IF(AND(Y5=0,Y111&gt;=0),,Y111/Y5)</f>
        <v>0</v>
      </c>
      <c r="AA111" s="20">
        <f>IF(AND(Y124=0,Y111&gt;=0),"Validar",Y111/Y124)</f>
        <v>0</v>
      </c>
      <c r="AB111" s="20">
        <f t="shared" si="17"/>
        <v>0</v>
      </c>
      <c r="AC111" s="53">
        <f>+S111+Y111</f>
        <v>0</v>
      </c>
      <c r="AD111" s="20">
        <f>IF(AND(AC5=0,AC111&gt;=0),,AC111/AC5)</f>
        <v>0</v>
      </c>
      <c r="AE111" s="37">
        <f>IF(AND(AC124=0,AC111&gt;=0),"Validar",AC111/AC124)</f>
        <v>0</v>
      </c>
      <c r="AF111" s="62"/>
      <c r="AG111" s="20">
        <f>IF(AND(AF5=0,AF111&gt;=0),,AF111/AF5)</f>
        <v>0</v>
      </c>
      <c r="AH111" s="20">
        <f>IF(AND(AF124=0,AF111&gt;=0),"Validar",AF111/AF124)</f>
        <v>0</v>
      </c>
      <c r="AI111" s="20">
        <f t="shared" si="28"/>
        <v>0</v>
      </c>
      <c r="AJ111" s="53">
        <f t="shared" si="29"/>
        <v>0</v>
      </c>
      <c r="AK111" s="20">
        <f>IF(AND(AJ5=0,AJ111&gt;=0),,AJ111/AJ5)</f>
        <v>0</v>
      </c>
      <c r="AL111" s="37">
        <f>IF(AND(AJ124=0,AJ111&gt;=0),"Validar",AJ111/AJ124)</f>
        <v>0</v>
      </c>
      <c r="AM111" s="62"/>
      <c r="AN111" s="20">
        <f>IF(AND(AM5=0,AM111&gt;=0),,AM111/AM5)</f>
        <v>0</v>
      </c>
      <c r="AO111" s="20">
        <f>IF(AND(AM124=0,AM111&gt;=0),"Validar",AM111/AM124)</f>
        <v>0</v>
      </c>
      <c r="AP111" s="20">
        <f t="shared" si="30"/>
        <v>0</v>
      </c>
      <c r="AQ111" s="53">
        <f t="shared" si="31"/>
        <v>0</v>
      </c>
      <c r="AR111" s="20">
        <f>IF(AND(AQ5=0,AQ111&gt;=0),,AQ111/AQ5)</f>
        <v>0</v>
      </c>
      <c r="AS111" s="37">
        <f>IF(AND(AQ124=0,AQ111&gt;=0),"Validar",AQ111/AQ124)</f>
        <v>0</v>
      </c>
      <c r="AT111" s="62">
        <f>+V111*2</f>
        <v>0</v>
      </c>
      <c r="AU111" s="20">
        <f>IF(AND(AT5=0,AT111&gt;=0),,AT111/AT5)</f>
        <v>0</v>
      </c>
      <c r="AV111" s="37">
        <f t="shared" si="25"/>
        <v>0</v>
      </c>
      <c r="AW111" s="62">
        <f>+AQ111/6</f>
        <v>0</v>
      </c>
      <c r="AX111" s="20">
        <f>IF(AND(AW5=0,AW111&gt;=0),,AW111/AW5)</f>
        <v>0</v>
      </c>
      <c r="AY111" s="37">
        <f>IF(AND(AW124=0,AW111&gt;=0),"Validar",AW111/AW124)</f>
        <v>0</v>
      </c>
      <c r="AZ111" s="62">
        <f>+AT111/6</f>
        <v>0</v>
      </c>
      <c r="BA111" s="20">
        <f>IF(AND(AZ5=0,AZ111&gt;=0),,AZ111/AZ5)</f>
        <v>0</v>
      </c>
      <c r="BB111" s="37">
        <f t="shared" si="27"/>
        <v>0</v>
      </c>
    </row>
    <row r="112" spans="1:220" s="24" customFormat="1" ht="15.75" x14ac:dyDescent="0.25">
      <c r="A112" s="40" t="s">
        <v>118</v>
      </c>
      <c r="B112" s="65">
        <f>+B109-B110-B111</f>
        <v>16507.579999999973</v>
      </c>
      <c r="C112" s="41">
        <f>IF(AND(B5=0,B112&lt;=0),,B112/B5)</f>
        <v>6.2175079580514589E-2</v>
      </c>
      <c r="D112" s="42"/>
      <c r="E112" s="65">
        <f>+E109-E110-E111</f>
        <v>-544.75</v>
      </c>
      <c r="F112" s="41">
        <f>IF(AND(E5=0,E112&lt;=0),,E112/E5)</f>
        <v>-2.3871038985054691E-2</v>
      </c>
      <c r="G112" s="41"/>
      <c r="H112" s="55">
        <f>+H109-H110-H111</f>
        <v>1285.8299999999963</v>
      </c>
      <c r="I112" s="41">
        <f>IF(AND(H5=0,H112&lt;=0),,H112/H5)</f>
        <v>5.3509541438340052E-2</v>
      </c>
      <c r="J112" s="41"/>
      <c r="K112" s="41">
        <f>IF(AND(E112=0,H112&gt;0),100%,IF(AND(E112&lt;0,H112&gt;=0),(E112-H112)/E112,IF(AND(E112&gt;0,H112&gt;0),(H112-E112)/E112,IF(AND(E112=0,H112&lt;=0),0,(H112-E112)/E112))))</f>
        <v>3.3604038549793414</v>
      </c>
      <c r="L112" s="55">
        <f>+L109-L110-L111</f>
        <v>741.07999999999402</v>
      </c>
      <c r="M112" s="41">
        <f>IF(AND(L5=0,L112&lt;=0),,L112/L5)</f>
        <v>1.5817987699587026E-2</v>
      </c>
      <c r="N112" s="42"/>
      <c r="O112" s="65">
        <f>+O109-O110-O111</f>
        <v>3354.1900000000023</v>
      </c>
      <c r="P112" s="41">
        <f>IF(AND(O5=0,O112&lt;=0),,O112/O5)</f>
        <v>0.13683707234207829</v>
      </c>
      <c r="Q112" s="41"/>
      <c r="R112" s="41">
        <f>IF(AND(H112=0,O112&gt;0),100%,IF(AND(H112&lt;0,O112&gt;=0),(H112-O112)/H112,IF(AND(H112&gt;0,O112&gt;0),(O112-H112)/H112,IF(AND(H112=0,O112&lt;=0),0,(O112-H112)/H112))))</f>
        <v>1.6085796722739492</v>
      </c>
      <c r="S112" s="55">
        <f>+S109-S110-S111</f>
        <v>4095.2699999999973</v>
      </c>
      <c r="T112" s="41">
        <f>IF(AND(S5=0,S112&lt;=0),,S112/S5)</f>
        <v>5.738666180885682E-2</v>
      </c>
      <c r="U112" s="42"/>
      <c r="V112" s="65">
        <f>+V109-V110-V111</f>
        <v>929.91000000000349</v>
      </c>
      <c r="W112" s="41">
        <f>IF(AND(V5=0,V112&lt;=0),,V112/V5)</f>
        <v>1.6314210526315851E-2</v>
      </c>
      <c r="X112" s="42">
        <f t="shared" si="22"/>
        <v>3.4039423169983998</v>
      </c>
      <c r="Y112" s="65">
        <f>+Y109-Y110-Y111</f>
        <v>1817.3599999999979</v>
      </c>
      <c r="Z112" s="41">
        <f>IF(AND(Y5=0,Y112&lt;=0),,Y112/Y5)</f>
        <v>7.7787622361758416E-2</v>
      </c>
      <c r="AA112" s="41"/>
      <c r="AB112" s="41">
        <f t="shared" si="17"/>
        <v>-0.45818215426079123</v>
      </c>
      <c r="AC112" s="55">
        <f>+AC109-AC110-AC111</f>
        <v>5912.6300000000019</v>
      </c>
      <c r="AD112" s="41">
        <f>IF(AND(AC5=0,AC112&lt;=0),,AC112/AC5)</f>
        <v>6.2418336705344968E-2</v>
      </c>
      <c r="AE112" s="42"/>
      <c r="AF112" s="65">
        <f>+AF109-AF110-AF111</f>
        <v>4847.0600000000004</v>
      </c>
      <c r="AG112" s="41">
        <f>IF(AND(AF5=0,AF112&lt;=0),,AF112/AF5)</f>
        <v>0.1513235101749518</v>
      </c>
      <c r="AH112" s="41"/>
      <c r="AI112" s="41">
        <f t="shared" si="28"/>
        <v>4.2123968986245792</v>
      </c>
      <c r="AJ112" s="55">
        <f t="shared" si="29"/>
        <v>10759.690000000002</v>
      </c>
      <c r="AK112" s="41">
        <f>IF(AND(AJ5=0,AJ112&lt;=0),,AJ112/AJ5)</f>
        <v>8.4884411869770318E-2</v>
      </c>
      <c r="AL112" s="42"/>
      <c r="AM112" s="65">
        <f>+AM109-AM110-AM111</f>
        <v>3974.5200000000023</v>
      </c>
      <c r="AN112" s="41">
        <f>IF(AND(AM5=0,AM112&lt;=0),,AM112/AM5)</f>
        <v>0.10783430092957616</v>
      </c>
      <c r="AO112" s="41"/>
      <c r="AP112" s="41">
        <f t="shared" si="30"/>
        <v>-0.32779152424555552</v>
      </c>
      <c r="AQ112" s="55">
        <f t="shared" si="31"/>
        <v>14734.210000000005</v>
      </c>
      <c r="AR112" s="41">
        <f>IF(AND(AQ5=0,AQ112&lt;=0),,AQ112/AQ5)</f>
        <v>9.0054360667769201E-2</v>
      </c>
      <c r="AS112" s="42"/>
      <c r="AT112" s="65">
        <f>+AT109-AT110-AT111</f>
        <v>1859.820000000007</v>
      </c>
      <c r="AU112" s="41">
        <f>IF(AND(AT5=0,AT112&lt;=0),,AT112/AT5)</f>
        <v>1.6314210526315851E-2</v>
      </c>
      <c r="AV112" s="42">
        <f t="shared" si="25"/>
        <v>6.9223849619855411</v>
      </c>
      <c r="AW112" s="65">
        <f>+AW109-AW110-AW111</f>
        <v>2389.6093333333383</v>
      </c>
      <c r="AX112" s="41">
        <f>IF(AND(AW5=0,AW112&lt;=0),,AW112/AW5)</f>
        <v>8.2400321839080637E-2</v>
      </c>
      <c r="AY112" s="42"/>
      <c r="AZ112" s="65">
        <f>+AZ109-AZ110-AZ111</f>
        <v>309.97000000000025</v>
      </c>
      <c r="BA112" s="41">
        <f>IF(AND(AZ5=0,AZ112&lt;=0),,AZ112/AZ5)</f>
        <v>1.6314210526315803E-2</v>
      </c>
      <c r="BB112" s="42">
        <f t="shared" si="27"/>
        <v>6.7091632523577651</v>
      </c>
    </row>
    <row r="113" spans="1:54" s="24" customFormat="1" ht="31.5" x14ac:dyDescent="0.25">
      <c r="A113" s="40" t="s">
        <v>93</v>
      </c>
      <c r="B113" s="65">
        <f>+B37-B39+B67+B64+B65</f>
        <v>17890.569999999974</v>
      </c>
      <c r="C113" s="41">
        <f>IF(AND(B5=0,B113&lt;=0),,B113/B5)</f>
        <v>6.7384051053562488E-2</v>
      </c>
      <c r="D113" s="42"/>
      <c r="E113" s="65">
        <f>+E37-E39+E67+E64+E65</f>
        <v>-544.75</v>
      </c>
      <c r="F113" s="41">
        <f>IF(AND(E5=0,E113&lt;=0),,E113/E5)</f>
        <v>-2.3871038985054691E-2</v>
      </c>
      <c r="G113" s="41"/>
      <c r="H113" s="55">
        <f>+H37-H39+H67+H64+H65</f>
        <v>1285.8299999999963</v>
      </c>
      <c r="I113" s="41">
        <f>IF(AND(H5=0,H113&lt;=0),,H113/H5)</f>
        <v>5.3509541438340052E-2</v>
      </c>
      <c r="J113" s="41"/>
      <c r="K113" s="41">
        <f t="shared" si="18"/>
        <v>-3.3604038549793414</v>
      </c>
      <c r="L113" s="55">
        <f>+L37-L39+L67+L64+L65</f>
        <v>741.07999999999447</v>
      </c>
      <c r="M113" s="41">
        <f>IF(AND(L5=0,L113&lt;=0),,L113/L5)</f>
        <v>1.5817987699587036E-2</v>
      </c>
      <c r="N113" s="42"/>
      <c r="O113" s="65">
        <f>+O37-O39+O67+O64+O65</f>
        <v>3354.1900000000023</v>
      </c>
      <c r="P113" s="41">
        <f>IF(AND(O5=0,O113&lt;=0),,O113/O5)</f>
        <v>0.13683707234207829</v>
      </c>
      <c r="Q113" s="41"/>
      <c r="R113" s="41">
        <f t="shared" si="20"/>
        <v>1.6085796722739492</v>
      </c>
      <c r="S113" s="55">
        <f>+S37-S39+S67+S64+S65</f>
        <v>4095.2699999999968</v>
      </c>
      <c r="T113" s="41">
        <f>IF(AND(S5=0,S113&lt;=0),,S113/S5)</f>
        <v>5.7386661808856813E-2</v>
      </c>
      <c r="U113" s="42"/>
      <c r="V113" s="65">
        <f>+V37-V39+V67+V64+V65</f>
        <v>1319.9100000000035</v>
      </c>
      <c r="W113" s="41">
        <f>IF(AND(V5=0,V113&lt;=0),,V113/V5)</f>
        <v>2.3156315789473747E-2</v>
      </c>
      <c r="X113" s="42">
        <f t="shared" si="22"/>
        <v>2.1026888196922413</v>
      </c>
      <c r="Y113" s="65">
        <f>+Y37-Y39+Y67+Y64+Y65</f>
        <v>1817.3599999999979</v>
      </c>
      <c r="Z113" s="41">
        <f>IF(AND(Y5=0,Y113&lt;=0),,Y113/Y5)</f>
        <v>7.7787622361758416E-2</v>
      </c>
      <c r="AA113" s="41"/>
      <c r="AB113" s="41">
        <f t="shared" si="17"/>
        <v>-0.45818215426079123</v>
      </c>
      <c r="AC113" s="55">
        <f>+AC37-AC39+AC67+AC64+AC65</f>
        <v>5912.630000000001</v>
      </c>
      <c r="AD113" s="41">
        <f>IF(AND(AC5=0,AC113&lt;=0),,AC113/AC5)</f>
        <v>6.2418336705344961E-2</v>
      </c>
      <c r="AE113" s="42"/>
      <c r="AF113" s="65">
        <f>+AF37-AF39+AF67+AF64+AF65</f>
        <v>4847.0600000000004</v>
      </c>
      <c r="AG113" s="41">
        <f>IF(AND(AF5=0,AF113&lt;=0),,AF113/AF5)</f>
        <v>0.1513235101749518</v>
      </c>
      <c r="AH113" s="41"/>
      <c r="AI113" s="41">
        <f t="shared" si="28"/>
        <v>2.6722655332560459</v>
      </c>
      <c r="AJ113" s="55">
        <f t="shared" si="29"/>
        <v>10759.690000000002</v>
      </c>
      <c r="AK113" s="41">
        <f>IF(AND(AJ5=0,AJ113&lt;=0),,AJ113/AJ5)</f>
        <v>8.4884411869770318E-2</v>
      </c>
      <c r="AL113" s="42"/>
      <c r="AM113" s="65">
        <f>+AM37-AM39+AM67+AM64+AM65</f>
        <v>5130.0700000000024</v>
      </c>
      <c r="AN113" s="41">
        <f>IF(AND(AM5=0,AM113&lt;=0),,AM113/AM5)</f>
        <v>0.13918599281669</v>
      </c>
      <c r="AO113" s="41"/>
      <c r="AP113" s="41">
        <f t="shared" si="30"/>
        <v>-0.13235396092770874</v>
      </c>
      <c r="AQ113" s="55">
        <f t="shared" si="31"/>
        <v>15889.760000000006</v>
      </c>
      <c r="AR113" s="41">
        <f>IF(AND(AQ5=0,AQ113&lt;=0),,AQ113/AQ5)</f>
        <v>9.7116993579180189E-2</v>
      </c>
      <c r="AS113" s="42"/>
      <c r="AT113" s="65">
        <f>+AT37-AT39+AT67+AT64+AT65</f>
        <v>2639.820000000007</v>
      </c>
      <c r="AU113" s="41">
        <f>IF(AND(AT5=0,AT113&lt;=0),,AT113/AT5)</f>
        <v>2.3156315789473747E-2</v>
      </c>
      <c r="AV113" s="42">
        <f t="shared" si="25"/>
        <v>5.0192588888636207</v>
      </c>
      <c r="AW113" s="65">
        <f>+AW37-AW39+AW67+AW64+AW65</f>
        <v>2582.201000000005</v>
      </c>
      <c r="AX113" s="41">
        <f>IF(AND(AW5=0,AW113&lt;=0),,AW113/AW5)</f>
        <v>8.9041413793103624E-2</v>
      </c>
      <c r="AY113" s="42"/>
      <c r="AZ113" s="65">
        <f>+AZ37-AZ39+AZ67+AZ64+AZ65</f>
        <v>439.97000000000025</v>
      </c>
      <c r="BA113" s="41">
        <f>IF(AND(AZ5=0,AZ113&lt;=0),,AZ113/AZ5)</f>
        <v>2.3156315789473698E-2</v>
      </c>
      <c r="BB113" s="42">
        <f t="shared" si="27"/>
        <v>4.8690387980998784</v>
      </c>
    </row>
    <row r="114" spans="1:54" s="24" customFormat="1" ht="16.5" thickBot="1" x14ac:dyDescent="0.3">
      <c r="A114" s="46" t="s">
        <v>94</v>
      </c>
      <c r="B114" s="67">
        <f>+B37-B39+B67+B64</f>
        <v>17890.569999999974</v>
      </c>
      <c r="C114" s="47">
        <f>IF(AND(B5=0,B114&lt;=0),,B114/B5)</f>
        <v>6.7384051053562488E-2</v>
      </c>
      <c r="D114" s="48"/>
      <c r="E114" s="67">
        <f>+E37-E39+E67+E64</f>
        <v>-544.75</v>
      </c>
      <c r="F114" s="47">
        <f>IF(AND(E5=0,E114&lt;=0),,E114/E5)</f>
        <v>-2.3871038985054691E-2</v>
      </c>
      <c r="G114" s="47"/>
      <c r="H114" s="57">
        <f>+H37-H39+H67+H64</f>
        <v>1285.8299999999963</v>
      </c>
      <c r="I114" s="47">
        <f>IF(AND(H5=0,H114&lt;=0),,H114/H5)</f>
        <v>5.3509541438340052E-2</v>
      </c>
      <c r="J114" s="47"/>
      <c r="K114" s="47">
        <f t="shared" si="18"/>
        <v>-3.3604038549793414</v>
      </c>
      <c r="L114" s="57">
        <f>+L37-L39+L67+L64</f>
        <v>741.07999999999447</v>
      </c>
      <c r="M114" s="47">
        <f>IF(AND(L5=0,L114&lt;=0),,L114/L5)</f>
        <v>1.5817987699587036E-2</v>
      </c>
      <c r="N114" s="48"/>
      <c r="O114" s="67">
        <f>+O37-O39+O67+O64</f>
        <v>3354.1900000000023</v>
      </c>
      <c r="P114" s="47">
        <f>IF(AND(O5=0,O114&lt;=0),,O114/O5)</f>
        <v>0.13683707234207829</v>
      </c>
      <c r="Q114" s="47"/>
      <c r="R114" s="47">
        <f t="shared" si="20"/>
        <v>1.6085796722739492</v>
      </c>
      <c r="S114" s="57">
        <f>+S37-S39+S67+S64</f>
        <v>4095.2699999999968</v>
      </c>
      <c r="T114" s="47">
        <f>IF(AND(S5=0,S114&lt;=0),,S114/S5)</f>
        <v>5.7386661808856813E-2</v>
      </c>
      <c r="U114" s="48"/>
      <c r="V114" s="67">
        <f>+V37-V39+V67+V64</f>
        <v>1319.9100000000035</v>
      </c>
      <c r="W114" s="47">
        <f>IF(AND(V5=0,V114&lt;=0),,V114/V5)</f>
        <v>2.3156315789473747E-2</v>
      </c>
      <c r="X114" s="48">
        <f t="shared" si="22"/>
        <v>2.1026888196922413</v>
      </c>
      <c r="Y114" s="67">
        <f>+Y37-Y39+Y67+Y64</f>
        <v>1817.3599999999979</v>
      </c>
      <c r="Z114" s="47">
        <f>IF(AND(Y5=0,Y114&lt;=0),,Y114/Y5)</f>
        <v>7.7787622361758416E-2</v>
      </c>
      <c r="AA114" s="47"/>
      <c r="AB114" s="47">
        <f t="shared" si="17"/>
        <v>-0.45818215426079123</v>
      </c>
      <c r="AC114" s="57">
        <f>+AC37-AC39+AC67+AC64</f>
        <v>5912.630000000001</v>
      </c>
      <c r="AD114" s="47">
        <f>IF(AND(AC5=0,AC114&lt;=0),,AC114/AC5)</f>
        <v>6.2418336705344961E-2</v>
      </c>
      <c r="AE114" s="48"/>
      <c r="AF114" s="67">
        <f>+AF37-AF39+AF67+AF64</f>
        <v>4847.0600000000004</v>
      </c>
      <c r="AG114" s="47">
        <f>IF(AND(AF5=0,AF114&lt;=0),,AF114/AF5)</f>
        <v>0.1513235101749518</v>
      </c>
      <c r="AH114" s="47"/>
      <c r="AI114" s="47">
        <f t="shared" si="28"/>
        <v>2.6722655332560459</v>
      </c>
      <c r="AJ114" s="57">
        <f t="shared" si="29"/>
        <v>10759.690000000002</v>
      </c>
      <c r="AK114" s="47">
        <f>IF(AND(AJ5=0,AJ114&lt;=0),,AJ114/AJ5)</f>
        <v>8.4884411869770318E-2</v>
      </c>
      <c r="AL114" s="48"/>
      <c r="AM114" s="67">
        <f>+AM37-AM39+AM67+AM64</f>
        <v>5130.0700000000024</v>
      </c>
      <c r="AN114" s="47">
        <f>IF(AND(AM5=0,AM114&lt;=0),,AM114/AM5)</f>
        <v>0.13918599281669</v>
      </c>
      <c r="AO114" s="47"/>
      <c r="AP114" s="47">
        <f t="shared" si="30"/>
        <v>-0.13235396092770874</v>
      </c>
      <c r="AQ114" s="57">
        <f t="shared" si="31"/>
        <v>15889.760000000006</v>
      </c>
      <c r="AR114" s="47">
        <f>IF(AND(AQ5=0,AQ114&lt;=0),,AQ114/AQ5)</f>
        <v>9.7116993579180189E-2</v>
      </c>
      <c r="AS114" s="48"/>
      <c r="AT114" s="67">
        <f>+AT37-AT39+AT67+AT64</f>
        <v>2639.820000000007</v>
      </c>
      <c r="AU114" s="47">
        <f>IF(AND(AT5=0,AT114&lt;=0),,AT114/AT5)</f>
        <v>2.3156315789473747E-2</v>
      </c>
      <c r="AV114" s="48">
        <f t="shared" si="25"/>
        <v>5.0192588888636207</v>
      </c>
      <c r="AW114" s="67">
        <f>+AW37-AW39+AW67+AW64</f>
        <v>2582.201000000005</v>
      </c>
      <c r="AX114" s="47">
        <f>IF(AND(AW5=0,AW114&lt;=0),,AW114/AW5)</f>
        <v>8.9041413793103624E-2</v>
      </c>
      <c r="AY114" s="48"/>
      <c r="AZ114" s="67">
        <f>+AZ37-AZ39+AZ67+AZ64</f>
        <v>439.97000000000025</v>
      </c>
      <c r="BA114" s="47">
        <f>IF(AND(AZ5=0,AZ114&lt;=0),,AZ114/AZ5)</f>
        <v>2.3156315789473698E-2</v>
      </c>
      <c r="BB114" s="48">
        <f t="shared" si="27"/>
        <v>4.8690387980998784</v>
      </c>
    </row>
    <row r="115" spans="1:54" s="2" customFormat="1" ht="16.5" thickTop="1" x14ac:dyDescent="0.25">
      <c r="A115" s="9"/>
      <c r="B115" s="68"/>
      <c r="C115" s="6"/>
      <c r="D115" s="38"/>
      <c r="E115" s="68"/>
      <c r="F115" s="6"/>
      <c r="G115" s="10"/>
      <c r="H115" s="58"/>
      <c r="I115" s="6"/>
      <c r="J115" s="10"/>
      <c r="K115" s="25"/>
      <c r="L115" s="58"/>
      <c r="M115" s="6"/>
      <c r="N115" s="38"/>
      <c r="O115" s="68"/>
      <c r="P115" s="6"/>
      <c r="Q115" s="10"/>
      <c r="R115" s="25"/>
      <c r="S115" s="58"/>
      <c r="T115" s="6"/>
      <c r="U115" s="38"/>
      <c r="V115" s="68"/>
      <c r="W115" s="6"/>
      <c r="X115" s="81">
        <f t="shared" si="22"/>
        <v>0</v>
      </c>
      <c r="Y115" s="68"/>
      <c r="Z115" s="6"/>
      <c r="AA115" s="10"/>
      <c r="AB115" s="25">
        <f t="shared" si="17"/>
        <v>0</v>
      </c>
      <c r="AC115" s="58"/>
      <c r="AD115" s="6"/>
      <c r="AE115" s="38"/>
      <c r="AF115" s="68"/>
      <c r="AG115" s="6"/>
      <c r="AH115" s="10"/>
      <c r="AI115" s="25">
        <f t="shared" si="28"/>
        <v>0</v>
      </c>
      <c r="AJ115" s="58">
        <f t="shared" si="29"/>
        <v>0</v>
      </c>
      <c r="AK115" s="6"/>
      <c r="AL115" s="38"/>
      <c r="AM115" s="68"/>
      <c r="AN115" s="6"/>
      <c r="AO115" s="10"/>
      <c r="AP115" s="25">
        <f t="shared" si="30"/>
        <v>0</v>
      </c>
      <c r="AQ115" s="58">
        <f t="shared" si="31"/>
        <v>0</v>
      </c>
      <c r="AR115" s="6"/>
      <c r="AS115" s="38"/>
      <c r="AT115" s="68"/>
      <c r="AU115" s="6"/>
      <c r="AV115" s="81">
        <f t="shared" si="25"/>
        <v>0</v>
      </c>
      <c r="AW115" s="68"/>
      <c r="AX115" s="6"/>
      <c r="AY115" s="38"/>
      <c r="AZ115" s="68"/>
      <c r="BA115" s="6"/>
      <c r="BB115" s="81">
        <f t="shared" si="27"/>
        <v>0</v>
      </c>
    </row>
    <row r="116" spans="1:54" s="18" customFormat="1" ht="18" customHeight="1" x14ac:dyDescent="0.25">
      <c r="A116" s="15" t="s">
        <v>102</v>
      </c>
      <c r="B116" s="60">
        <f>SUM(B117:B123)</f>
        <v>639.94000000000005</v>
      </c>
      <c r="C116" s="26">
        <f>IF(AND(B5=0,B116&gt;=0),,B116/B5)</f>
        <v>2.4103060791923815E-3</v>
      </c>
      <c r="D116" s="32">
        <f>IF(AND(B124=0,B116&gt;=0),"Validar",B116/B124)</f>
        <v>8.8251104552335997E-3</v>
      </c>
      <c r="E116" s="60">
        <f>SUM(E117:E123)</f>
        <v>13.440000000000001</v>
      </c>
      <c r="F116" s="26">
        <f>IF(AND(E5=0,E116&gt;=0),,E116/E5)</f>
        <v>5.889431187868473E-4</v>
      </c>
      <c r="G116" s="26">
        <f>IF(AND(E124=0,E116&gt;=0),"Validar",E116/E124)</f>
        <v>1.5408673799292853E-3</v>
      </c>
      <c r="H116" s="51">
        <f>SUM(H117:H123)</f>
        <v>81.100000000000009</v>
      </c>
      <c r="I116" s="26">
        <f>IF(AND(H5=0,H116&gt;=0),,H116/H5)</f>
        <v>3.3749592175088398E-3</v>
      </c>
      <c r="J116" s="26">
        <f>IF(AND(H124=0,H116&gt;=0),,H116/H124)</f>
        <v>1.2697945469291639E-2</v>
      </c>
      <c r="K116" s="26">
        <f t="shared" si="18"/>
        <v>5.0342261904761907</v>
      </c>
      <c r="L116" s="51">
        <f>SUM(L117:L123)</f>
        <v>94.539999999999992</v>
      </c>
      <c r="M116" s="26">
        <f>IF(AND(L5=0,L116&gt;=0),,L116/L5)</f>
        <v>2.017909749445363E-3</v>
      </c>
      <c r="N116" s="32">
        <f>IF(AND(L124=0,L116&gt;=0),,L116/L124)</f>
        <v>6.2571065878979848E-3</v>
      </c>
      <c r="O116" s="60">
        <f>SUM(O117:O123)</f>
        <v>13.17</v>
      </c>
      <c r="P116" s="26">
        <f>IF(AND(O5=0,O116&gt;=0),,O116/O5)</f>
        <v>5.3728150246264215E-4</v>
      </c>
      <c r="Q116" s="26">
        <f>IF(AND(O124=0,O116&gt;=0),,O116/O124)</f>
        <v>2.4337959455214093E-3</v>
      </c>
      <c r="R116" s="26">
        <f t="shared" si="20"/>
        <v>-0.83760789149198522</v>
      </c>
      <c r="S116" s="51">
        <f>SUM(S117:S123)</f>
        <v>107.71000000000001</v>
      </c>
      <c r="T116" s="26">
        <f>IF(AND(S5=0,S116&gt;=0),,S116/S5)</f>
        <v>1.5093308483767793E-3</v>
      </c>
      <c r="U116" s="32">
        <f>IF(AND(S124=0,S116&gt;=0),,S116/S124)</f>
        <v>5.2488923282645872E-3</v>
      </c>
      <c r="V116" s="60">
        <f>SUM(V117:V123)</f>
        <v>165</v>
      </c>
      <c r="W116" s="26">
        <f>IF(AND(V5=0,V116&gt;=0),,V116/V5)</f>
        <v>2.8947368421052633E-3</v>
      </c>
      <c r="X116" s="32">
        <f t="shared" si="22"/>
        <v>-0.34721212121212114</v>
      </c>
      <c r="Y116" s="60">
        <f>SUM(Y117:Y123)</f>
        <v>19.239999999999998</v>
      </c>
      <c r="Z116" s="26">
        <f>IF(AND(Y5=0,Y116&gt;=0),,Y116/Y5)</f>
        <v>8.2352085125689657E-4</v>
      </c>
      <c r="AA116" s="26">
        <f>IF(AND(Y124=0,Y116&gt;=0),,Y116/Y124)</f>
        <v>2.8396176847374972E-3</v>
      </c>
      <c r="AB116" s="26">
        <f>IF(AND(O116=0,Y116&gt;0),100%,IF(AND(O116&lt;0,Y116=0),(O116-Y116)/O116,IF(AND(O116&gt;0,Y116&gt;0),(Y116-O116)/O116,IF(AND(O116=0,Y116=0),0,(Y116-O116)/O116))))</f>
        <v>0.46089597570235374</v>
      </c>
      <c r="AC116" s="51">
        <f>SUM(AC117:AC123)</f>
        <v>126.95</v>
      </c>
      <c r="AD116" s="26">
        <f>IF(AND(AC5=0,AC116&gt;=0),,AC116/AC5)</f>
        <v>1.3401832762651377E-3</v>
      </c>
      <c r="AE116" s="32">
        <f>IF(AND(AC124=0,AC116&gt;=0),,AC116/AC124)</f>
        <v>4.6508509646806424E-3</v>
      </c>
      <c r="AF116" s="60">
        <f>SUM(AF117:AF123)</f>
        <v>24.609999999999996</v>
      </c>
      <c r="AG116" s="26">
        <f>IF(AND(AF5=0,AF116&gt;=0),,AF116/AF5)</f>
        <v>7.6831555322310079E-4</v>
      </c>
      <c r="AH116" s="26">
        <f>IF(AND(AF124=0,AF116&gt;=0),,AF116/AF124)</f>
        <v>3.5362853628536283E-3</v>
      </c>
      <c r="AI116" s="26">
        <f>IF(AND(V116=0,AF116&gt;0),100%,IF(AND(V116&lt;0,AF116=0),(V116-AF116)/V116,IF(AND(V116&gt;0,AF116&gt;0),(AF116-V116)/V116,IF(AND(V116=0,AF116=0),0,(AF116-V116)/V116))))</f>
        <v>-0.85084848484848496</v>
      </c>
      <c r="AJ116" s="51">
        <f t="shared" si="29"/>
        <v>151.56</v>
      </c>
      <c r="AK116" s="26">
        <f>IF(AND(AJ5=0,AJ116&gt;=0),,AJ116/AJ5)</f>
        <v>1.195673989025928E-3</v>
      </c>
      <c r="AL116" s="32">
        <f>IF(AND(AJ124=0,AJ116&gt;=0),,AJ116/AJ124)</f>
        <v>4.4244170839249685E-3</v>
      </c>
      <c r="AM116" s="60">
        <f>SUM(AM117:AM123)</f>
        <v>86.14</v>
      </c>
      <c r="AN116" s="26">
        <f>IF(AND(AM5=0,AM116&gt;=0),,AM116/AM5)</f>
        <v>2.337098991091675E-3</v>
      </c>
      <c r="AO116" s="26">
        <f>IF(AND(AM124=0,AM116&gt;=0),,AM116/AM124)</f>
        <v>9.646687548784982E-3</v>
      </c>
      <c r="AP116" s="26">
        <f>IF(AND(AC116=0,AM116&gt;0),100%,IF(AND(AC116&lt;0,AM116=0),(AC116-AM116)/AC116,IF(AND(AC116&gt;0,AM116&gt;0),(AM116-AC116)/AC116,IF(AND(AC116=0,AM116=0),0,(AM116-AC116)/AC116))))</f>
        <v>-0.32146514375738483</v>
      </c>
      <c r="AQ116" s="51">
        <f t="shared" si="31"/>
        <v>237.7</v>
      </c>
      <c r="AR116" s="26">
        <f>IF(AND(AQ5=0,AQ116&gt;=0),,AQ116/AQ5)</f>
        <v>1.4528041564989729E-3</v>
      </c>
      <c r="AS116" s="32">
        <f>IF(AND(AQ124=0,AQ116&gt;=0),,AQ116/AQ124)</f>
        <v>5.5042451230003109E-3</v>
      </c>
      <c r="AT116" s="60">
        <f>SUM(AT117:AT123)</f>
        <v>330</v>
      </c>
      <c r="AU116" s="26">
        <f>IF(AND(AT5=0,AT116&gt;=0),,AT116/AT5)</f>
        <v>2.8947368421052633E-3</v>
      </c>
      <c r="AV116" s="32">
        <f t="shared" si="25"/>
        <v>-0.27969696969696972</v>
      </c>
      <c r="AW116" s="60">
        <f>SUM(AW117:AW123)</f>
        <v>66.839999999999989</v>
      </c>
      <c r="AX116" s="26">
        <f>IF(AND(AW5=0,AW116&gt;=0),,AW116/AW5)</f>
        <v>2.3048275862068961E-3</v>
      </c>
      <c r="AY116" s="32">
        <f>IF(AND(AW124=0,AW116&gt;=0),,AW116/AW124)</f>
        <v>8.8679785661329551E-3</v>
      </c>
      <c r="AZ116" s="60">
        <f>SUM(AZ117:AZ123)</f>
        <v>55</v>
      </c>
      <c r="BA116" s="26">
        <f>IF(AND(AZ5=0,AZ116&gt;=0),,AZ116/AZ5)</f>
        <v>2.8947368421052633E-3</v>
      </c>
      <c r="BB116" s="32">
        <f t="shared" si="27"/>
        <v>0.21527272727272709</v>
      </c>
    </row>
    <row r="117" spans="1:54" hidden="1" outlineLevel="1" x14ac:dyDescent="0.25">
      <c r="A117" s="19" t="s">
        <v>95</v>
      </c>
      <c r="B117" s="62">
        <v>55.51</v>
      </c>
      <c r="C117" s="20">
        <f>IF(AND(B5=0,B117&gt;=0),,B117/B5)</f>
        <v>2.0907599221172156E-4</v>
      </c>
      <c r="D117" s="37">
        <f>IF(AND(B124=0,B117&gt;=0),"Validar",B117/B124)</f>
        <v>7.6551220641000257E-4</v>
      </c>
      <c r="E117" s="62">
        <v>1.23</v>
      </c>
      <c r="F117" s="20">
        <f>IF(AND(E5=0,E117&gt;=0),,E117/E5)</f>
        <v>5.3898812210403431E-5</v>
      </c>
      <c r="G117" s="20">
        <f>IF(AND(E124=0,E117&gt;=0),"Validar",E117/E124)</f>
        <v>1.4101688075245688E-4</v>
      </c>
      <c r="H117" s="53">
        <v>69.75</v>
      </c>
      <c r="I117" s="20">
        <f>IF(AND(H5=0,H117&gt;=0),,H117/H5)</f>
        <v>2.9026313862051977E-3</v>
      </c>
      <c r="J117" s="20">
        <f>IF(AND(H124=0,H117&gt;=0),,H117/H124)</f>
        <v>1.0920859389433931E-2</v>
      </c>
      <c r="K117" s="20">
        <f t="shared" si="18"/>
        <v>55.707317073170728</v>
      </c>
      <c r="L117" s="53">
        <f t="shared" ref="L117:L123" si="42">+E117+H117</f>
        <v>70.98</v>
      </c>
      <c r="M117" s="20">
        <f>IF(AND(L5=0,L117&gt;=0),,L117/L5)</f>
        <v>1.5150331501547691E-3</v>
      </c>
      <c r="N117" s="37">
        <f>IF(AND(L124=0,L117&gt;=0),,L117/L124)</f>
        <v>4.6977937974296488E-3</v>
      </c>
      <c r="O117" s="62">
        <v>0.09</v>
      </c>
      <c r="P117" s="20">
        <f>IF(AND(O5=0,O117&gt;=0),,O117/O5)</f>
        <v>3.6716275794713589E-6</v>
      </c>
      <c r="Q117" s="20">
        <f>IF(AND(O124=0,O117&gt;=0),,O117/O124)</f>
        <v>1.6631862953449266E-5</v>
      </c>
      <c r="R117" s="20">
        <f t="shared" si="20"/>
        <v>-0.99870967741935479</v>
      </c>
      <c r="S117" s="53">
        <f t="shared" ref="S117:S123" si="43">+L117+O117</f>
        <v>71.070000000000007</v>
      </c>
      <c r="T117" s="20">
        <f>IF(AND(S5=0,S117&gt;=0),,S117/S5)</f>
        <v>9.9589771974874859E-4</v>
      </c>
      <c r="U117" s="37">
        <f>IF(AND(S124=0,S117&gt;=0),,S117/S124)</f>
        <v>3.4633625268755382E-3</v>
      </c>
      <c r="V117" s="62">
        <f>5*3</f>
        <v>15</v>
      </c>
      <c r="W117" s="20">
        <f>IF(AND(V5=0,V117&gt;=0),,V117/V5)</f>
        <v>2.631578947368421E-4</v>
      </c>
      <c r="X117" s="37">
        <f t="shared" si="22"/>
        <v>3.7380000000000004</v>
      </c>
      <c r="Y117" s="62">
        <f>2.74+0.08</f>
        <v>2.8200000000000003</v>
      </c>
      <c r="Z117" s="20">
        <f>IF(AND(Y5=0,Y117&gt;=0),,Y117/Y5)</f>
        <v>1.2070316011145784E-4</v>
      </c>
      <c r="AA117" s="20">
        <f>IF(AND(Y124=0,Y117&gt;=0),,Y117/Y124)</f>
        <v>4.1620176044489314E-4</v>
      </c>
      <c r="AB117" s="20">
        <f t="shared" si="17"/>
        <v>30.333333333333339</v>
      </c>
      <c r="AC117" s="53">
        <f t="shared" ref="AC117:AC123" si="44">+S117+Y117</f>
        <v>73.890000000000015</v>
      </c>
      <c r="AD117" s="20">
        <f>IF(AND(AC5=0,AC117&gt;=0),,AC117/AC5)</f>
        <v>7.8004050636653049E-4</v>
      </c>
      <c r="AE117" s="37">
        <f>IF(AND(AC124=0,AC117&gt;=0),,AC117/AC124)</f>
        <v>2.7069821014592574E-3</v>
      </c>
      <c r="AF117" s="62">
        <v>2.2200000000000002</v>
      </c>
      <c r="AG117" s="20">
        <f>IF(AND(AF5=0,AF117&gt;=0),,AF117/AF5)</f>
        <v>6.9307619998183021E-5</v>
      </c>
      <c r="AH117" s="20">
        <f>IF(AND(AF124=0,AF117&gt;=0),,AF117/AF124)</f>
        <v>3.1899851708797468E-4</v>
      </c>
      <c r="AI117" s="20">
        <f t="shared" ref="AI117:AI139" si="45">IF(AND(V117=0,AF117&gt;0),100%,IF(AND(V117&lt;0,AF117=0),(V117-AF117)/V117,IF(AND(V117&gt;0,AF117&gt;0),(AF117-V117)/V117,IF(AND(V117=0,AF117=0),0,(AF117-V117)/V117))))</f>
        <v>-0.85199999999999998</v>
      </c>
      <c r="AJ117" s="53">
        <f t="shared" si="29"/>
        <v>76.110000000000014</v>
      </c>
      <c r="AK117" s="20">
        <f>IF(AND(AJ5=0,AJ117&gt;=0),,AJ117/AJ5)</f>
        <v>6.0044040185249002E-4</v>
      </c>
      <c r="AL117" s="37">
        <f>IF(AND(AJ124=0,AJ117&gt;=0),,AJ117/AJ124)</f>
        <v>2.2218420708467234E-3</v>
      </c>
      <c r="AM117" s="62">
        <v>6.63</v>
      </c>
      <c r="AN117" s="20">
        <f>IF(AND(AM5=0,AM117&gt;=0),,AM117/AM5)</f>
        <v>1.7988119701576279E-4</v>
      </c>
      <c r="AO117" s="20">
        <f>IF(AND(AM124=0,AM117&gt;=0),,AM117/AM124)</f>
        <v>7.4248361328586518E-4</v>
      </c>
      <c r="AP117" s="20">
        <f t="shared" ref="AP117:AP139" si="46">IF(AND(AC117=0,AM117&gt;0),100%,IF(AND(AC117&lt;0,AM117=0),(AC117-AM117)/AC117,IF(AND(AC117&gt;0,AM117&gt;0),(AM117-AC117)/AC117,IF(AND(AC117=0,AM117=0),0,(AM117-AC117)/AC117))))</f>
        <v>-0.91027202598457169</v>
      </c>
      <c r="AQ117" s="53">
        <f t="shared" si="31"/>
        <v>82.740000000000009</v>
      </c>
      <c r="AR117" s="20">
        <f>IF(AND(AQ5=0,AQ117&gt;=0),,AQ117/AQ5)</f>
        <v>5.0570052969594042E-4</v>
      </c>
      <c r="AS117" s="37">
        <f>IF(AND(AQ124=0,AQ117&gt;=0),,AQ117/AQ124)</f>
        <v>1.9159496906901382E-3</v>
      </c>
      <c r="AT117" s="62">
        <f t="shared" ref="AT117:AT123" si="47">+V117*2</f>
        <v>30</v>
      </c>
      <c r="AU117" s="20">
        <f>IF(AND(AT5=0,AT117&gt;=0),,AT117/AT5)</f>
        <v>2.631578947368421E-4</v>
      </c>
      <c r="AV117" s="37">
        <f t="shared" si="25"/>
        <v>1.7580000000000002</v>
      </c>
      <c r="AW117" s="62">
        <f>+AQ117/6</f>
        <v>13.790000000000001</v>
      </c>
      <c r="AX117" s="20">
        <f>IF(AND(AW5=0,AW117&gt;=0),,AW117/AW5)</f>
        <v>4.7551724137931037E-4</v>
      </c>
      <c r="AY117" s="37">
        <f>IF(AND(AW124=0,AW117&gt;=0),,AW117/AW124)</f>
        <v>1.8295844468428108E-3</v>
      </c>
      <c r="AZ117" s="62">
        <f t="shared" ref="AZ117:AZ123" si="48">+AT117/6</f>
        <v>5</v>
      </c>
      <c r="BA117" s="20">
        <f>IF(AND(AZ5=0,AZ117&gt;=0),,AZ117/AZ5)</f>
        <v>2.631578947368421E-4</v>
      </c>
      <c r="BB117" s="37">
        <f t="shared" si="27"/>
        <v>1.7580000000000002</v>
      </c>
    </row>
    <row r="118" spans="1:54" hidden="1" outlineLevel="1" x14ac:dyDescent="0.25">
      <c r="A118" s="19" t="s">
        <v>96</v>
      </c>
      <c r="B118" s="62"/>
      <c r="C118" s="20">
        <f>IF(AND(B5=0,B118&gt;=0),,B118/B5)</f>
        <v>0</v>
      </c>
      <c r="D118" s="37">
        <f>IF(AND(B124=0,B118&gt;=0),"Validar",B118/B124)</f>
        <v>0</v>
      </c>
      <c r="E118" s="62"/>
      <c r="F118" s="20">
        <f>IF(AND(E5=0,E118&gt;=0),,E118/E5)</f>
        <v>0</v>
      </c>
      <c r="G118" s="20">
        <f>IF(AND(E124=0,E118&gt;=0),"Validar",E118/E124)</f>
        <v>0</v>
      </c>
      <c r="I118" s="20">
        <f>IF(AND(H5=0,H118&gt;=0),,H118/H5)</f>
        <v>0</v>
      </c>
      <c r="J118" s="20">
        <f>IF(AND(H124=0,H118&gt;=0),,H118/H124)</f>
        <v>0</v>
      </c>
      <c r="K118" s="20">
        <f t="shared" si="18"/>
        <v>0</v>
      </c>
      <c r="L118" s="53">
        <f t="shared" si="42"/>
        <v>0</v>
      </c>
      <c r="M118" s="20">
        <f>IF(AND(L5=0,L118&gt;=0),,L118/L5)</f>
        <v>0</v>
      </c>
      <c r="N118" s="37">
        <f>IF(AND(L124=0,L118&gt;=0),,L118/L124)</f>
        <v>0</v>
      </c>
      <c r="O118" s="62"/>
      <c r="P118" s="20">
        <f>IF(AND(O5=0,O118&gt;=0),,O118/O5)</f>
        <v>0</v>
      </c>
      <c r="Q118" s="20">
        <f>IF(AND(O124=0,O118&gt;=0),,O118/O124)</f>
        <v>0</v>
      </c>
      <c r="R118" s="20">
        <f t="shared" si="20"/>
        <v>0</v>
      </c>
      <c r="S118" s="53">
        <f t="shared" si="43"/>
        <v>0</v>
      </c>
      <c r="T118" s="20">
        <f>IF(AND(S5=0,S118&gt;=0),,S118/S5)</f>
        <v>0</v>
      </c>
      <c r="U118" s="37">
        <f>IF(AND(S124=0,S118&gt;=0),,S118/S124)</f>
        <v>0</v>
      </c>
      <c r="V118" s="62"/>
      <c r="W118" s="20">
        <f>IF(AND(V5=0,V118&gt;=0),,V118/V5)</f>
        <v>0</v>
      </c>
      <c r="X118" s="37">
        <f t="shared" si="22"/>
        <v>0</v>
      </c>
      <c r="Y118" s="62"/>
      <c r="Z118" s="20">
        <f>IF(AND(Y5=0,Y118&gt;=0),,Y118/Y5)</f>
        <v>0</v>
      </c>
      <c r="AA118" s="20">
        <f>IF(AND(Y124=0,Y118&gt;=0),,Y118/Y124)</f>
        <v>0</v>
      </c>
      <c r="AB118" s="20">
        <f t="shared" si="17"/>
        <v>0</v>
      </c>
      <c r="AC118" s="53">
        <f t="shared" si="44"/>
        <v>0</v>
      </c>
      <c r="AD118" s="20">
        <f>IF(AND(AC5=0,AC118&gt;=0),,AC118/AC5)</f>
        <v>0</v>
      </c>
      <c r="AE118" s="37">
        <f>IF(AND(AC124=0,AC118&gt;=0),,AC118/AC124)</f>
        <v>0</v>
      </c>
      <c r="AF118" s="62"/>
      <c r="AG118" s="20">
        <f>IF(AND(AF5=0,AF118&gt;=0),,AF118/AF5)</f>
        <v>0</v>
      </c>
      <c r="AH118" s="20">
        <f>IF(AND(AF124=0,AF118&gt;=0),,AF118/AF124)</f>
        <v>0</v>
      </c>
      <c r="AI118" s="20">
        <f t="shared" si="45"/>
        <v>0</v>
      </c>
      <c r="AJ118" s="53">
        <f t="shared" si="29"/>
        <v>0</v>
      </c>
      <c r="AK118" s="20">
        <f>IF(AND(AJ5=0,AJ118&gt;=0),,AJ118/AJ5)</f>
        <v>0</v>
      </c>
      <c r="AL118" s="37">
        <f>IF(AND(AJ124=0,AJ118&gt;=0),,AJ118/AJ124)</f>
        <v>0</v>
      </c>
      <c r="AM118" s="62"/>
      <c r="AN118" s="20">
        <f>IF(AND(AM5=0,AM118&gt;=0),,AM118/AM5)</f>
        <v>0</v>
      </c>
      <c r="AO118" s="20">
        <f>IF(AND(AM124=0,AM118&gt;=0),,AM118/AM124)</f>
        <v>0</v>
      </c>
      <c r="AP118" s="20">
        <f t="shared" si="46"/>
        <v>0</v>
      </c>
      <c r="AQ118" s="53">
        <f t="shared" si="31"/>
        <v>0</v>
      </c>
      <c r="AR118" s="20">
        <f>IF(AND(AQ5=0,AQ118&gt;=0),,AQ118/AQ5)</f>
        <v>0</v>
      </c>
      <c r="AS118" s="37">
        <f>IF(AND(AQ124=0,AQ118&gt;=0),,AQ118/AQ124)</f>
        <v>0</v>
      </c>
      <c r="AT118" s="62">
        <f t="shared" si="47"/>
        <v>0</v>
      </c>
      <c r="AU118" s="20">
        <f>IF(AND(AT5=0,AT118&gt;=0),,AT118/AT5)</f>
        <v>0</v>
      </c>
      <c r="AV118" s="37">
        <f t="shared" si="25"/>
        <v>0</v>
      </c>
      <c r="AW118" s="62">
        <f t="shared" ref="AW118:AW123" si="49">+AQ118/6</f>
        <v>0</v>
      </c>
      <c r="AX118" s="20">
        <f>IF(AND(AW5=0,AW118&gt;=0),,AW118/AW5)</f>
        <v>0</v>
      </c>
      <c r="AY118" s="37">
        <f>IF(AND(AW124=0,AW118&gt;=0),,AW118/AW124)</f>
        <v>0</v>
      </c>
      <c r="AZ118" s="62">
        <f t="shared" si="48"/>
        <v>0</v>
      </c>
      <c r="BA118" s="20">
        <f>IF(AND(AZ5=0,AZ118&gt;=0),,AZ118/AZ5)</f>
        <v>0</v>
      </c>
      <c r="BB118" s="37">
        <f t="shared" si="27"/>
        <v>0</v>
      </c>
    </row>
    <row r="119" spans="1:54" hidden="1" outlineLevel="1" x14ac:dyDescent="0.25">
      <c r="A119" s="19" t="s">
        <v>97</v>
      </c>
      <c r="B119" s="62"/>
      <c r="C119" s="20">
        <f>IF(AND(B5=0,B119&gt;=0),,B119/B5)</f>
        <v>0</v>
      </c>
      <c r="D119" s="37">
        <f>IF(AND(B124=0,B119&gt;=0),"Validar",B119/B124)</f>
        <v>0</v>
      </c>
      <c r="E119" s="62"/>
      <c r="F119" s="20">
        <f>IF(AND(E5=0,E119&gt;=0),,E119/E5)</f>
        <v>0</v>
      </c>
      <c r="G119" s="20">
        <f>IF(AND(E124=0,E119&gt;=0),"Validar",E119/E124)</f>
        <v>0</v>
      </c>
      <c r="I119" s="20">
        <f>IF(AND(H5=0,H119&gt;=0),,H119/H5)</f>
        <v>0</v>
      </c>
      <c r="J119" s="20">
        <f>IF(AND(H124=0,H119&gt;=0),,H119/H124)</f>
        <v>0</v>
      </c>
      <c r="K119" s="20">
        <f t="shared" si="18"/>
        <v>0</v>
      </c>
      <c r="L119" s="53">
        <f t="shared" si="42"/>
        <v>0</v>
      </c>
      <c r="M119" s="20">
        <f>IF(AND(L5=0,L119&gt;=0),,L119/L5)</f>
        <v>0</v>
      </c>
      <c r="N119" s="37">
        <f>IF(AND(L124=0,L119&gt;=0),,L119/L124)</f>
        <v>0</v>
      </c>
      <c r="O119" s="62"/>
      <c r="P119" s="20">
        <f>IF(AND(O5=0,O119&gt;=0),,O119/O5)</f>
        <v>0</v>
      </c>
      <c r="Q119" s="20">
        <f>IF(AND(O124=0,O119&gt;=0),,O119/O124)</f>
        <v>0</v>
      </c>
      <c r="R119" s="20">
        <f t="shared" si="20"/>
        <v>0</v>
      </c>
      <c r="S119" s="53">
        <f t="shared" si="43"/>
        <v>0</v>
      </c>
      <c r="T119" s="20">
        <f>IF(AND(S5=0,S119&gt;=0),,S119/S5)</f>
        <v>0</v>
      </c>
      <c r="U119" s="37">
        <f>IF(AND(S124=0,S119&gt;=0),,S119/S124)</f>
        <v>0</v>
      </c>
      <c r="V119" s="62"/>
      <c r="W119" s="20">
        <f>IF(AND(V5=0,V119&gt;=0),,V119/V5)</f>
        <v>0</v>
      </c>
      <c r="X119" s="37">
        <f t="shared" si="22"/>
        <v>0</v>
      </c>
      <c r="Y119" s="62"/>
      <c r="Z119" s="20">
        <f>IF(AND(Y5=0,Y119&gt;=0),,Y119/Y5)</f>
        <v>0</v>
      </c>
      <c r="AA119" s="20">
        <f>IF(AND(Y124=0,Y119&gt;=0),,Y119/Y124)</f>
        <v>0</v>
      </c>
      <c r="AB119" s="20">
        <f t="shared" si="17"/>
        <v>0</v>
      </c>
      <c r="AC119" s="53">
        <f t="shared" si="44"/>
        <v>0</v>
      </c>
      <c r="AD119" s="20">
        <f>IF(AND(AC5=0,AC119&gt;=0),,AC119/AC5)</f>
        <v>0</v>
      </c>
      <c r="AE119" s="37">
        <f>IF(AND(AC124=0,AC119&gt;=0),,AC119/AC124)</f>
        <v>0</v>
      </c>
      <c r="AF119" s="62"/>
      <c r="AG119" s="20">
        <f>IF(AND(AF5=0,AF119&gt;=0),,AF119/AF5)</f>
        <v>0</v>
      </c>
      <c r="AH119" s="20">
        <f>IF(AND(AF124=0,AF119&gt;=0),,AF119/AF124)</f>
        <v>0</v>
      </c>
      <c r="AI119" s="20">
        <f t="shared" si="45"/>
        <v>0</v>
      </c>
      <c r="AJ119" s="53">
        <f t="shared" si="29"/>
        <v>0</v>
      </c>
      <c r="AK119" s="20">
        <f>IF(AND(AJ5=0,AJ119&gt;=0),,AJ119/AJ5)</f>
        <v>0</v>
      </c>
      <c r="AL119" s="37">
        <f>IF(AND(AJ124=0,AJ119&gt;=0),,AJ119/AJ124)</f>
        <v>0</v>
      </c>
      <c r="AM119" s="62"/>
      <c r="AN119" s="20">
        <f>IF(AND(AM5=0,AM119&gt;=0),,AM119/AM5)</f>
        <v>0</v>
      </c>
      <c r="AO119" s="20">
        <f>IF(AND(AM124=0,AM119&gt;=0),,AM119/AM124)</f>
        <v>0</v>
      </c>
      <c r="AP119" s="20">
        <f t="shared" si="46"/>
        <v>0</v>
      </c>
      <c r="AQ119" s="53">
        <f t="shared" si="31"/>
        <v>0</v>
      </c>
      <c r="AR119" s="20">
        <f>IF(AND(AQ5=0,AQ119&gt;=0),,AQ119/AQ5)</f>
        <v>0</v>
      </c>
      <c r="AS119" s="37">
        <f>IF(AND(AQ124=0,AQ119&gt;=0),,AQ119/AQ124)</f>
        <v>0</v>
      </c>
      <c r="AT119" s="62">
        <f t="shared" si="47"/>
        <v>0</v>
      </c>
      <c r="AU119" s="20">
        <f>IF(AND(AT5=0,AT119&gt;=0),,AT119/AT5)</f>
        <v>0</v>
      </c>
      <c r="AV119" s="37">
        <f t="shared" si="25"/>
        <v>0</v>
      </c>
      <c r="AW119" s="62">
        <f t="shared" si="49"/>
        <v>0</v>
      </c>
      <c r="AX119" s="20">
        <f>IF(AND(AW5=0,AW119&gt;=0),,AW119/AW5)</f>
        <v>0</v>
      </c>
      <c r="AY119" s="37">
        <f>IF(AND(AW124=0,AW119&gt;=0),,AW119/AW124)</f>
        <v>0</v>
      </c>
      <c r="AZ119" s="62">
        <f t="shared" si="48"/>
        <v>0</v>
      </c>
      <c r="BA119" s="20">
        <f>IF(AND(AZ5=0,AZ119&gt;=0),,AZ119/AZ5)</f>
        <v>0</v>
      </c>
      <c r="BB119" s="37">
        <f t="shared" si="27"/>
        <v>0</v>
      </c>
    </row>
    <row r="120" spans="1:54" hidden="1" outlineLevel="1" x14ac:dyDescent="0.25">
      <c r="A120" s="19" t="s">
        <v>31</v>
      </c>
      <c r="B120" s="62">
        <v>569.02</v>
      </c>
      <c r="C120" s="20">
        <f>IF(AND(B5=0,B120&gt;=0),,B120/B5)</f>
        <v>2.1431889945651918E-3</v>
      </c>
      <c r="D120" s="37">
        <f>IF(AND(B124=0,B120&gt;=0),"Validar",B120/B124)</f>
        <v>7.8470862131403297E-3</v>
      </c>
      <c r="E120" s="62">
        <v>10.68</v>
      </c>
      <c r="F120" s="20">
        <f>IF(AND(E5=0,E120&gt;=0),,E120/E5)</f>
        <v>4.679994426074054E-4</v>
      </c>
      <c r="G120" s="20">
        <f>IF(AND(E124=0,E120&gt;=0),"Validar",E120/E124)</f>
        <v>1.2244392572652355E-3</v>
      </c>
      <c r="H120" s="53">
        <v>10.65</v>
      </c>
      <c r="I120" s="20">
        <f>IF(AND(H5=0,H120&gt;=0),,H120/H5)</f>
        <v>4.4319748047434205E-4</v>
      </c>
      <c r="J120" s="20">
        <f>IF(AND(H124=0,H120&gt;=0),,H120/H124)</f>
        <v>1.6674860573114175E-3</v>
      </c>
      <c r="K120" s="20">
        <f t="shared" si="18"/>
        <v>-2.8089887640448839E-3</v>
      </c>
      <c r="L120" s="53">
        <f t="shared" si="42"/>
        <v>21.33</v>
      </c>
      <c r="M120" s="20">
        <f>IF(AND(L5=0,L120&gt;=0),,L120/L5)</f>
        <v>4.5527834732038912E-4</v>
      </c>
      <c r="N120" s="37">
        <f>IF(AND(L124=0,L120&gt;=0),,L120/L124)</f>
        <v>1.4117207903518512E-3</v>
      </c>
      <c r="O120" s="62">
        <v>11.97</v>
      </c>
      <c r="P120" s="20">
        <f>IF(AND(O5=0,O120&gt;=0),,O120/O5)</f>
        <v>4.8832646806969073E-4</v>
      </c>
      <c r="Q120" s="20">
        <f>IF(AND(O124=0,O120&gt;=0),,O120/O124)</f>
        <v>2.2120377728087524E-3</v>
      </c>
      <c r="R120" s="20">
        <f t="shared" si="20"/>
        <v>0.12394366197183102</v>
      </c>
      <c r="S120" s="53">
        <f t="shared" si="43"/>
        <v>33.299999999999997</v>
      </c>
      <c r="T120" s="20">
        <f>IF(AND(S5=0,S120&gt;=0),,S120/S5)</f>
        <v>4.6662999954458028E-4</v>
      </c>
      <c r="U120" s="37">
        <f>IF(AND(S124=0,S120&gt;=0),,S120/S124)</f>
        <v>1.6227658948213789E-3</v>
      </c>
      <c r="V120" s="62">
        <f>50*3</f>
        <v>150</v>
      </c>
      <c r="W120" s="20">
        <f>IF(AND(V5=0,V120&gt;=0),,V120/V5)</f>
        <v>2.631578947368421E-3</v>
      </c>
      <c r="X120" s="37">
        <f t="shared" si="22"/>
        <v>-0.77800000000000002</v>
      </c>
      <c r="Y120" s="62">
        <v>13.69</v>
      </c>
      <c r="Z120" s="20">
        <f>IF(AND(Y5=0,Y120&gt;=0),,Y120/Y5)</f>
        <v>5.8596675954817646E-4</v>
      </c>
      <c r="AA120" s="20">
        <f>IF(AND(Y124=0,Y120&gt;=0),,Y120/Y124)</f>
        <v>2.0204971987555272E-3</v>
      </c>
      <c r="AB120" s="20">
        <f t="shared" si="17"/>
        <v>0.14369256474519623</v>
      </c>
      <c r="AC120" s="53">
        <f t="shared" si="44"/>
        <v>46.989999999999995</v>
      </c>
      <c r="AD120" s="20">
        <f>IF(AND(AC5=0,AC120&gt;=0),,AC120/AC5)</f>
        <v>4.9606311265615452E-4</v>
      </c>
      <c r="AE120" s="37">
        <f>IF(AND(AC124=0,AC120&gt;=0),,AC120/AC124)</f>
        <v>1.7214926099278721E-3</v>
      </c>
      <c r="AF120" s="62">
        <v>20.239999999999998</v>
      </c>
      <c r="AG120" s="20">
        <f>IF(AND(AF5=0,AF120&gt;=0),,AF120/AF5)</f>
        <v>6.3188568863208289E-4</v>
      </c>
      <c r="AH120" s="20">
        <f>IF(AND(AF124=0,AF120&gt;=0),,AF120/AF124)</f>
        <v>2.9083468404777508E-3</v>
      </c>
      <c r="AI120" s="20">
        <f t="shared" si="45"/>
        <v>-0.86506666666666665</v>
      </c>
      <c r="AJ120" s="53">
        <f t="shared" si="29"/>
        <v>67.22999999999999</v>
      </c>
      <c r="AK120" s="20">
        <f>IF(AND(AJ5=0,AJ120&gt;=0),,AJ120/AJ5)</f>
        <v>5.3038507707979098E-4</v>
      </c>
      <c r="AL120" s="37">
        <f>IF(AND(AJ124=0,AJ120&gt;=0),,AJ120/AJ124)</f>
        <v>1.9626125663253866E-3</v>
      </c>
      <c r="AM120" s="62">
        <v>69.430000000000007</v>
      </c>
      <c r="AN120" s="20">
        <f>IF(AND(AM5=0,AM120&gt;=0),,AM120/AM5)</f>
        <v>1.8837332592465175E-3</v>
      </c>
      <c r="AO120" s="20">
        <f>IF(AND(AM124=0,AM120&gt;=0),,AM120/AM124)</f>
        <v>7.7753600709559011E-3</v>
      </c>
      <c r="AP120" s="20">
        <f t="shared" si="46"/>
        <v>0.47754841455628888</v>
      </c>
      <c r="AQ120" s="53">
        <f t="shared" si="31"/>
        <v>136.66</v>
      </c>
      <c r="AR120" s="20">
        <f>IF(AND(AQ5=0,AQ120&gt;=0),,AQ120/AQ5)</f>
        <v>8.3525543133003638E-4</v>
      </c>
      <c r="AS120" s="37">
        <f>IF(AND(AQ124=0,AQ120&gt;=0),,AQ120/AQ124)</f>
        <v>3.1645357110190262E-3</v>
      </c>
      <c r="AT120" s="62">
        <f t="shared" si="47"/>
        <v>300</v>
      </c>
      <c r="AU120" s="20">
        <f>IF(AND(AT5=0,AT120&gt;=0),,AT120/AT5)</f>
        <v>2.631578947368421E-3</v>
      </c>
      <c r="AV120" s="37">
        <f t="shared" si="25"/>
        <v>-0.54446666666666665</v>
      </c>
      <c r="AW120" s="62">
        <f>+AZ120</f>
        <v>50</v>
      </c>
      <c r="AX120" s="20">
        <f>IF(AND(AW5=0,AW120&gt;=0),,AW120/AW5)</f>
        <v>1.7241379310344827E-3</v>
      </c>
      <c r="AY120" s="37">
        <f>IF(AND(AW124=0,AW120&gt;=0),,AW120/AW124)</f>
        <v>6.6337362104525403E-3</v>
      </c>
      <c r="AZ120" s="62">
        <f t="shared" si="48"/>
        <v>50</v>
      </c>
      <c r="BA120" s="20">
        <f>IF(AND(AZ5=0,AZ120&gt;=0),,AZ120/AZ5)</f>
        <v>2.631578947368421E-3</v>
      </c>
      <c r="BB120" s="37">
        <f t="shared" si="27"/>
        <v>0</v>
      </c>
    </row>
    <row r="121" spans="1:54" hidden="1" outlineLevel="1" x14ac:dyDescent="0.25">
      <c r="A121" s="19" t="s">
        <v>98</v>
      </c>
      <c r="B121" s="62">
        <v>14.34</v>
      </c>
      <c r="C121" s="20">
        <f>IF(AND(B5=0,B121&gt;=0),,B121/B5)</f>
        <v>5.4010984116665234E-5</v>
      </c>
      <c r="D121" s="37">
        <f>IF(AND(B124=0,B121&gt;=0),"Validar",B121/B124)</f>
        <v>1.9775617077858831E-4</v>
      </c>
      <c r="E121" s="62">
        <v>1.1200000000000001</v>
      </c>
      <c r="F121" s="20">
        <f>IF(AND(E5=0,E121&gt;=0),,E121/E5)</f>
        <v>4.907859323223728E-5</v>
      </c>
      <c r="G121" s="20">
        <f>IF(AND(E124=0,E121&gt;=0),"Validar",E121/E124)</f>
        <v>1.284056149941071E-4</v>
      </c>
      <c r="H121" s="53">
        <v>0.7</v>
      </c>
      <c r="I121" s="20">
        <f>IF(AND(H5=0,H121&gt;=0),,H121/H5)</f>
        <v>2.9130350829299474E-5</v>
      </c>
      <c r="J121" s="20">
        <f>IF(AND(H124=0,H121&gt;=0),,H121/H124)</f>
        <v>1.0960002254629034E-4</v>
      </c>
      <c r="K121" s="20">
        <f t="shared" si="18"/>
        <v>-0.37500000000000011</v>
      </c>
      <c r="L121" s="53">
        <f t="shared" si="42"/>
        <v>1.82</v>
      </c>
      <c r="M121" s="20">
        <f>IF(AND(L5=0,L121&gt;=0),,L121/L5)</f>
        <v>3.8847003850122284E-5</v>
      </c>
      <c r="N121" s="37">
        <f>IF(AND(L124=0,L121&gt;=0),,L121/L124)</f>
        <v>1.2045625121614484E-4</v>
      </c>
      <c r="O121" s="62">
        <v>1.1100000000000001</v>
      </c>
      <c r="P121" s="20">
        <f>IF(AND(O5=0,O121&gt;=0),,O121/O5)</f>
        <v>4.5283406813480099E-5</v>
      </c>
      <c r="Q121" s="20">
        <f>IF(AND(O124=0,O121&gt;=0),,O121/O124)</f>
        <v>2.0512630975920762E-4</v>
      </c>
      <c r="R121" s="20">
        <f t="shared" si="20"/>
        <v>0.58571428571428596</v>
      </c>
      <c r="S121" s="53">
        <f t="shared" si="43"/>
        <v>2.93</v>
      </c>
      <c r="T121" s="20">
        <f>IF(AND(S5=0,S121&gt;=0),,S121/S5)</f>
        <v>4.1057834794763376E-5</v>
      </c>
      <c r="U121" s="37">
        <f>IF(AND(S124=0,S121&gt;=0),,S121/S124)</f>
        <v>1.4278390606086008E-4</v>
      </c>
      <c r="V121" s="62"/>
      <c r="W121" s="20">
        <f>IF(AND(V5=0,V121&gt;=0),,V121/V5)</f>
        <v>0</v>
      </c>
      <c r="X121" s="37">
        <f t="shared" si="22"/>
        <v>1</v>
      </c>
      <c r="Y121" s="62">
        <v>2.73</v>
      </c>
      <c r="Z121" s="20">
        <f>IF(AND(Y5=0,Y121&gt;=0),,Y121/Y5)</f>
        <v>1.1685093159726235E-4</v>
      </c>
      <c r="AA121" s="20">
        <f>IF(AND(Y124=0,Y121&gt;=0),,Y121/Y124)</f>
        <v>4.0291872553707735E-4</v>
      </c>
      <c r="AB121" s="20">
        <f t="shared" si="17"/>
        <v>1.4594594594594592</v>
      </c>
      <c r="AC121" s="53">
        <f t="shared" si="44"/>
        <v>5.66</v>
      </c>
      <c r="AD121" s="20">
        <f>IF(AND(AC5=0,AC121&gt;=0),,AC121/AC5)</f>
        <v>5.9751377263967541E-5</v>
      </c>
      <c r="AE121" s="37">
        <f>IF(AND(AC124=0,AC121&gt;=0),,AC121/AC124)</f>
        <v>2.0735578148950326E-4</v>
      </c>
      <c r="AF121" s="62">
        <v>1.77</v>
      </c>
      <c r="AG121" s="20">
        <f>IF(AND(AF5=0,AF121&gt;=0),,AF121/AF5)</f>
        <v>5.5258778106659432E-5</v>
      </c>
      <c r="AH121" s="20">
        <f>IF(AND(AF124=0,AF121&gt;=0),,AF121/AF124)</f>
        <v>2.5433665551608794E-4</v>
      </c>
      <c r="AI121" s="20">
        <f t="shared" si="45"/>
        <v>1</v>
      </c>
      <c r="AJ121" s="53">
        <f t="shared" si="29"/>
        <v>7.43</v>
      </c>
      <c r="AK121" s="20">
        <f>IF(AND(AJ5=0,AJ121&gt;=0),,AJ121/AJ5)</f>
        <v>5.861611070508475E-5</v>
      </c>
      <c r="AL121" s="37">
        <f>IF(AND(AJ124=0,AJ121&gt;=0),,AJ121/AJ124)</f>
        <v>2.1690036245422612E-4</v>
      </c>
      <c r="AM121" s="62">
        <v>10.08</v>
      </c>
      <c r="AN121" s="20">
        <f>IF(AND(AM5=0,AM121&gt;=0),,AM121/AM5)</f>
        <v>2.7348453482939502E-4</v>
      </c>
      <c r="AO121" s="20">
        <f>IF(AND(AM124=0,AM121&gt;=0),,AM121/AM124)</f>
        <v>1.1288438645432159E-3</v>
      </c>
      <c r="AP121" s="20">
        <f t="shared" si="46"/>
        <v>0.78091872791519434</v>
      </c>
      <c r="AQ121" s="53">
        <f t="shared" si="31"/>
        <v>17.509999999999998</v>
      </c>
      <c r="AR121" s="20">
        <f>IF(AND(AQ5=0,AQ121&gt;=0),,AQ121/AQ5)</f>
        <v>1.0701977610558273E-4</v>
      </c>
      <c r="AS121" s="37">
        <f>IF(AND(AQ124=0,AQ121&gt;=0),,AQ121/AQ124)</f>
        <v>4.0546626884196654E-4</v>
      </c>
      <c r="AT121" s="62">
        <f t="shared" si="47"/>
        <v>0</v>
      </c>
      <c r="AU121" s="20">
        <f>IF(AND(AT5=0,AT121&gt;=0),,AT121/AT5)</f>
        <v>0</v>
      </c>
      <c r="AV121" s="37">
        <f t="shared" si="25"/>
        <v>1</v>
      </c>
      <c r="AW121" s="62">
        <f t="shared" si="49"/>
        <v>2.918333333333333</v>
      </c>
      <c r="AX121" s="20">
        <f>IF(AND(AW5=0,AW121&gt;=0),,AW121/AW5)</f>
        <v>1.0063218390804596E-4</v>
      </c>
      <c r="AY121" s="37">
        <f>IF(AND(AW124=0,AW121&gt;=0),,AW121/AW124)</f>
        <v>3.8718907015007989E-4</v>
      </c>
      <c r="AZ121" s="62">
        <f t="shared" si="48"/>
        <v>0</v>
      </c>
      <c r="BA121" s="20">
        <f>IF(AND(AZ5=0,AZ121&gt;=0),,AZ121/AZ5)</f>
        <v>0</v>
      </c>
      <c r="BB121" s="37">
        <f t="shared" si="27"/>
        <v>1</v>
      </c>
    </row>
    <row r="122" spans="1:54" hidden="1" outlineLevel="1" x14ac:dyDescent="0.25">
      <c r="A122" s="19" t="s">
        <v>32</v>
      </c>
      <c r="B122" s="62">
        <v>1.07</v>
      </c>
      <c r="C122" s="20">
        <f>IF(AND(B5=0,B122&gt;=0),,B122/B5)</f>
        <v>4.0301082988027755E-6</v>
      </c>
      <c r="D122" s="37">
        <f>IF(AND(B124=0,B122&gt;=0),"Validar",B122/B124)</f>
        <v>1.4755864904678488E-5</v>
      </c>
      <c r="E122" s="62">
        <v>0.41</v>
      </c>
      <c r="F122" s="20">
        <f>IF(AND(E5=0,E122&gt;=0),,E122/E5)</f>
        <v>1.7966270736801142E-5</v>
      </c>
      <c r="G122" s="20">
        <f>IF(AND(E124=0,E122&gt;=0),"Validar",E122/E124)</f>
        <v>4.7005626917485631E-5</v>
      </c>
      <c r="I122" s="20">
        <f>IF(AND(H5=0,H122&gt;=0),,H122/H5)</f>
        <v>0</v>
      </c>
      <c r="J122" s="20">
        <f>IF(AND(H124=0,H122&gt;=0),,H122/H124)</f>
        <v>0</v>
      </c>
      <c r="K122" s="20">
        <f t="shared" si="18"/>
        <v>-1</v>
      </c>
      <c r="L122" s="53">
        <f t="shared" si="42"/>
        <v>0.41</v>
      </c>
      <c r="M122" s="20">
        <f>IF(AND(L5=0,L122&gt;=0),,L122/L5)</f>
        <v>8.7512481200824919E-6</v>
      </c>
      <c r="N122" s="37">
        <f>IF(AND(L124=0,L122&gt;=0),,L122/L124)</f>
        <v>2.7135748900340318E-5</v>
      </c>
      <c r="O122" s="62"/>
      <c r="P122" s="20">
        <f>IF(AND(O5=0,O122&gt;=0),,O122/O5)</f>
        <v>0</v>
      </c>
      <c r="Q122" s="20">
        <f>IF(AND(O124=0,O122&gt;=0),,O122/O124)</f>
        <v>0</v>
      </c>
      <c r="R122" s="20">
        <f t="shared" si="20"/>
        <v>0</v>
      </c>
      <c r="S122" s="53">
        <f t="shared" si="43"/>
        <v>0.41</v>
      </c>
      <c r="T122" s="20">
        <f>IF(AND(S5=0,S122&gt;=0),,S122/S5)</f>
        <v>5.7452942886870245E-6</v>
      </c>
      <c r="U122" s="37">
        <f>IF(AND(S124=0,S122&gt;=0),,S122/S124)</f>
        <v>1.9980000506809772E-5</v>
      </c>
      <c r="V122" s="62"/>
      <c r="W122" s="20">
        <f>IF(AND(V5=0,V122&gt;=0),,V122/V5)</f>
        <v>0</v>
      </c>
      <c r="X122" s="37">
        <f t="shared" si="22"/>
        <v>1</v>
      </c>
      <c r="Y122" s="62"/>
      <c r="Z122" s="20">
        <f>IF(AND(Y5=0,Y122&gt;=0),,Y122/Y5)</f>
        <v>0</v>
      </c>
      <c r="AA122" s="20">
        <f>IF(AND(Y124=0,Y122&gt;=0),,Y122/Y124)</f>
        <v>0</v>
      </c>
      <c r="AB122" s="20">
        <f t="shared" si="17"/>
        <v>0</v>
      </c>
      <c r="AC122" s="53">
        <f t="shared" si="44"/>
        <v>0.41</v>
      </c>
      <c r="AD122" s="20">
        <f>IF(AND(AC5=0,AC122&gt;=0),,AC122/AC5)</f>
        <v>4.328279978485281E-6</v>
      </c>
      <c r="AE122" s="37">
        <f>IF(AND(AC124=0,AC122&gt;=0),,AC122/AC124)</f>
        <v>1.5020471804009952E-5</v>
      </c>
      <c r="AF122" s="62">
        <v>0.38</v>
      </c>
      <c r="AG122" s="20">
        <f>IF(AND(AF5=0,AF122&gt;=0),,AF122/AF5)</f>
        <v>1.1863466486175471E-5</v>
      </c>
      <c r="AH122" s="20">
        <f>IF(AND(AF124=0,AF122&gt;=0),,AF122/AF124)</f>
        <v>5.4603349771815487E-5</v>
      </c>
      <c r="AI122" s="20">
        <f t="shared" si="45"/>
        <v>1</v>
      </c>
      <c r="AJ122" s="53">
        <f t="shared" si="29"/>
        <v>0.79</v>
      </c>
      <c r="AK122" s="20">
        <f>IF(AND(AJ5=0,AJ122&gt;=0),,AJ122/AJ5)</f>
        <v>6.2323993885621746E-6</v>
      </c>
      <c r="AL122" s="37">
        <f>IF(AND(AJ124=0,AJ122&gt;=0),,AJ122/AJ124)</f>
        <v>2.3062084298632389E-5</v>
      </c>
      <c r="AM122" s="62"/>
      <c r="AN122" s="20">
        <f>IF(AND(AM5=0,AM122&gt;=0),,AM122/AM5)</f>
        <v>0</v>
      </c>
      <c r="AO122" s="20">
        <f>IF(AND(AM124=0,AM122&gt;=0),,AM122/AM124)</f>
        <v>0</v>
      </c>
      <c r="AP122" s="20">
        <f t="shared" si="46"/>
        <v>-1</v>
      </c>
      <c r="AQ122" s="53">
        <f t="shared" si="31"/>
        <v>0.79</v>
      </c>
      <c r="AR122" s="20">
        <f>IF(AND(AQ5=0,AQ122&gt;=0),,AQ122/AQ5)</f>
        <v>4.8284193674134993E-6</v>
      </c>
      <c r="AS122" s="37">
        <f>IF(AND(AQ124=0,AQ122&gt;=0),,AQ122/AQ124)</f>
        <v>1.8293452449180676E-5</v>
      </c>
      <c r="AT122" s="62">
        <f t="shared" si="47"/>
        <v>0</v>
      </c>
      <c r="AU122" s="20">
        <f>IF(AND(AT5=0,AT122&gt;=0),,AT122/AT5)</f>
        <v>0</v>
      </c>
      <c r="AV122" s="37">
        <f t="shared" si="25"/>
        <v>1</v>
      </c>
      <c r="AW122" s="62">
        <f t="shared" si="49"/>
        <v>0.13166666666666668</v>
      </c>
      <c r="AX122" s="20">
        <f>IF(AND(AW5=0,AW122&gt;=0),,AW122/AW5)</f>
        <v>4.5402298850574721E-6</v>
      </c>
      <c r="AY122" s="37">
        <f>IF(AND(AW124=0,AW122&gt;=0),,AW122/AW124)</f>
        <v>1.7468838687525024E-5</v>
      </c>
      <c r="AZ122" s="62">
        <f t="shared" si="48"/>
        <v>0</v>
      </c>
      <c r="BA122" s="20">
        <f>IF(AND(AZ5=0,AZ122&gt;=0),,AZ122/AZ5)</f>
        <v>0</v>
      </c>
      <c r="BB122" s="37">
        <f t="shared" si="27"/>
        <v>1</v>
      </c>
    </row>
    <row r="123" spans="1:54" hidden="1" outlineLevel="1" x14ac:dyDescent="0.25">
      <c r="A123" s="19" t="s">
        <v>99</v>
      </c>
      <c r="B123" s="62"/>
      <c r="C123" s="20">
        <f>IF(AND(B5=0,B123&gt;=0),,B123/B5)</f>
        <v>0</v>
      </c>
      <c r="D123" s="37">
        <f>IF(AND(B124=0,B123&gt;=0),"Validar",B123/B124)</f>
        <v>0</v>
      </c>
      <c r="E123" s="62"/>
      <c r="F123" s="20">
        <f>IF(AND(E5=0,E123&gt;=0),,E123/E5)</f>
        <v>0</v>
      </c>
      <c r="G123" s="20">
        <f>IF(AND(E124=0,E123&gt;=0),"Validar",E123/E124)</f>
        <v>0</v>
      </c>
      <c r="I123" s="20">
        <f>IF(AND(H5=0,H123&gt;=0),,H123/H5)</f>
        <v>0</v>
      </c>
      <c r="J123" s="20">
        <f>IF(AND(H124=0,H123&gt;=0),,H123/H124)</f>
        <v>0</v>
      </c>
      <c r="K123" s="20">
        <f t="shared" si="18"/>
        <v>0</v>
      </c>
      <c r="L123" s="53">
        <f t="shared" si="42"/>
        <v>0</v>
      </c>
      <c r="M123" s="20">
        <f>IF(AND(L5=0,L123&gt;=0),,L123/L5)</f>
        <v>0</v>
      </c>
      <c r="N123" s="37">
        <f>IF(AND(L124=0,L123&gt;=0),,L123/L124)</f>
        <v>0</v>
      </c>
      <c r="O123" s="62"/>
      <c r="P123" s="20">
        <f>IF(AND(O5=0,O123&gt;=0),,O123/O5)</f>
        <v>0</v>
      </c>
      <c r="Q123" s="20">
        <f>IF(AND(O124=0,O123&gt;=0),,O123/O124)</f>
        <v>0</v>
      </c>
      <c r="R123" s="20">
        <f t="shared" si="20"/>
        <v>0</v>
      </c>
      <c r="S123" s="53">
        <f t="shared" si="43"/>
        <v>0</v>
      </c>
      <c r="T123" s="20">
        <f>IF(AND(S5=0,S123&gt;=0),,S123/S5)</f>
        <v>0</v>
      </c>
      <c r="U123" s="37">
        <f>IF(AND(S124=0,S123&gt;=0),,S123/S124)</f>
        <v>0</v>
      </c>
      <c r="V123" s="62"/>
      <c r="W123" s="20">
        <f>IF(AND(V5=0,V123&gt;=0),,V123/V5)</f>
        <v>0</v>
      </c>
      <c r="X123" s="37">
        <f t="shared" si="22"/>
        <v>0</v>
      </c>
      <c r="Y123" s="62"/>
      <c r="Z123" s="20">
        <f>IF(AND(Y5=0,Y123&gt;=0),,Y123/Y5)</f>
        <v>0</v>
      </c>
      <c r="AA123" s="20">
        <f>IF(AND(Y124=0,Y123&gt;=0),,Y123/Y124)</f>
        <v>0</v>
      </c>
      <c r="AB123" s="20">
        <f t="shared" si="17"/>
        <v>0</v>
      </c>
      <c r="AC123" s="53">
        <f t="shared" si="44"/>
        <v>0</v>
      </c>
      <c r="AD123" s="20">
        <f>IF(AND(AC5=0,AC123&gt;=0),,AC123/AC5)</f>
        <v>0</v>
      </c>
      <c r="AE123" s="37">
        <f>IF(AND(AC124=0,AC123&gt;=0),,AC123/AC124)</f>
        <v>0</v>
      </c>
      <c r="AF123" s="62"/>
      <c r="AG123" s="20">
        <f>IF(AND(AF5=0,AF123&gt;=0),,AF123/AF5)</f>
        <v>0</v>
      </c>
      <c r="AH123" s="20">
        <f>IF(AND(AF124=0,AF123&gt;=0),,AF123/AF124)</f>
        <v>0</v>
      </c>
      <c r="AI123" s="20">
        <f t="shared" si="45"/>
        <v>0</v>
      </c>
      <c r="AJ123" s="53">
        <f t="shared" si="29"/>
        <v>0</v>
      </c>
      <c r="AK123" s="20">
        <f>IF(AND(AJ5=0,AJ123&gt;=0),,AJ123/AJ5)</f>
        <v>0</v>
      </c>
      <c r="AL123" s="37">
        <f>IF(AND(AJ124=0,AJ123&gt;=0),,AJ123/AJ124)</f>
        <v>0</v>
      </c>
      <c r="AM123" s="62"/>
      <c r="AN123" s="20">
        <f>IF(AND(AM5=0,AM123&gt;=0),,AM123/AM5)</f>
        <v>0</v>
      </c>
      <c r="AO123" s="20">
        <f>IF(AND(AM124=0,AM123&gt;=0),,AM123/AM124)</f>
        <v>0</v>
      </c>
      <c r="AP123" s="20">
        <f t="shared" si="46"/>
        <v>0</v>
      </c>
      <c r="AQ123" s="53">
        <f t="shared" si="31"/>
        <v>0</v>
      </c>
      <c r="AR123" s="20">
        <f>IF(AND(AQ5=0,AQ123&gt;=0),,AQ123/AQ5)</f>
        <v>0</v>
      </c>
      <c r="AS123" s="37">
        <f>IF(AND(AQ124=0,AQ123&gt;=0),,AQ123/AQ124)</f>
        <v>0</v>
      </c>
      <c r="AT123" s="62">
        <f t="shared" si="47"/>
        <v>0</v>
      </c>
      <c r="AU123" s="20">
        <f>IF(AND(AT5=0,AT123&gt;=0),,AT123/AT5)</f>
        <v>0</v>
      </c>
      <c r="AV123" s="37">
        <f t="shared" si="25"/>
        <v>0</v>
      </c>
      <c r="AW123" s="62">
        <f t="shared" si="49"/>
        <v>0</v>
      </c>
      <c r="AX123" s="20">
        <f>IF(AND(AW5=0,AW123&gt;=0),,AW123/AW5)</f>
        <v>0</v>
      </c>
      <c r="AY123" s="37">
        <f>IF(AND(AW124=0,AW123&gt;=0),,AW123/AW124)</f>
        <v>0</v>
      </c>
      <c r="AZ123" s="62">
        <f t="shared" si="48"/>
        <v>0</v>
      </c>
      <c r="BA123" s="20">
        <f>IF(AND(AZ5=0,AZ123&gt;=0),,AZ123/AZ5)</f>
        <v>0</v>
      </c>
      <c r="BB123" s="37">
        <f t="shared" si="27"/>
        <v>0</v>
      </c>
    </row>
    <row r="124" spans="1:54" s="18" customFormat="1" ht="18" customHeight="1" collapsed="1" x14ac:dyDescent="0.25">
      <c r="A124" s="15" t="s">
        <v>103</v>
      </c>
      <c r="B124" s="60">
        <f>+B39+B116</f>
        <v>72513.540000000023</v>
      </c>
      <c r="C124" s="26">
        <f>IF(AND(B5=0,B124&gt;=0),,B124/B5)</f>
        <v>0.27311908348557673</v>
      </c>
      <c r="D124" s="32">
        <f>IF(AND(B124=0,B124&gt;=0),"Validar",B124/B124)</f>
        <v>1</v>
      </c>
      <c r="E124" s="60">
        <f>+E39+E116</f>
        <v>8722.36</v>
      </c>
      <c r="F124" s="26">
        <f>IF(AND(E5=0,E124&gt;=0),,E124/E5)</f>
        <v>0.38221532005815817</v>
      </c>
      <c r="G124" s="26">
        <f>IF(AND(E124=0,E124&gt;=0),"Validar",E124/E124)</f>
        <v>1</v>
      </c>
      <c r="H124" s="51">
        <f>+H39+H116</f>
        <v>6386.8600000000006</v>
      </c>
      <c r="I124" s="26">
        <f>IF(AND(H5=0,H124&gt;=0),,H124/H5)</f>
        <v>0.26578781785374239</v>
      </c>
      <c r="J124" s="26">
        <f>IF(AND(H124=0,H124&gt;=0),,H124/H124)</f>
        <v>1</v>
      </c>
      <c r="K124" s="26">
        <f t="shared" si="18"/>
        <v>-0.26776010162387243</v>
      </c>
      <c r="L124" s="51">
        <f>+L39+L116</f>
        <v>15109.220000000001</v>
      </c>
      <c r="M124" s="26">
        <f>IF(AND(L5=0,L124&gt;=0),,L124/L5)</f>
        <v>0.32249886127051902</v>
      </c>
      <c r="N124" s="32">
        <f>IF(AND(L124=0,L124&gt;=0),,L124/L124)</f>
        <v>1</v>
      </c>
      <c r="O124" s="60">
        <f>+O39+O116</f>
        <v>5411.2999999999993</v>
      </c>
      <c r="P124" s="26">
        <f>IF(AND(O5=0,O124&gt;=0),,O124/O5)</f>
        <v>0.22075864800881514</v>
      </c>
      <c r="Q124" s="26">
        <f>IF(AND(O124=0,O124&gt;=0),,O124/O124)</f>
        <v>1</v>
      </c>
      <c r="R124" s="26">
        <f t="shared" si="20"/>
        <v>-0.15274485427894163</v>
      </c>
      <c r="S124" s="51">
        <f>+S39+S116</f>
        <v>20520.519999999997</v>
      </c>
      <c r="T124" s="26">
        <f>IF(AND(S5=0,S124&gt;=0),,S124/S5)</f>
        <v>0.28755225940704354</v>
      </c>
      <c r="U124" s="32">
        <f>IF(AND(S124=0,S124&gt;=0),,S124/S124)</f>
        <v>1</v>
      </c>
      <c r="V124" s="60">
        <f>+V39+V116</f>
        <v>18210.39</v>
      </c>
      <c r="W124" s="26">
        <f>IF(AND(V5=0,V124&gt;=0),,V124/V5)</f>
        <v>0.31948052631578944</v>
      </c>
      <c r="X124" s="32">
        <f t="shared" si="22"/>
        <v>0.12685779931127217</v>
      </c>
      <c r="Y124" s="60">
        <f>+Y39+Y116</f>
        <v>6775.56</v>
      </c>
      <c r="Z124" s="26">
        <f>IF(AND(Y5=0,Y124&gt;=0),,Y124/Y5)</f>
        <v>0.29001117146269118</v>
      </c>
      <c r="AA124" s="26">
        <f>IF(AND(Y124=0,Y124&gt;=0),,Y124/Y124)</f>
        <v>1</v>
      </c>
      <c r="AB124" s="26">
        <f t="shared" si="17"/>
        <v>0.25211317058747462</v>
      </c>
      <c r="AC124" s="51">
        <f>+AC39+AC116</f>
        <v>27296.080000000002</v>
      </c>
      <c r="AD124" s="26">
        <f>IF(AND(AC5=0,AC124&gt;=0),,AC124/AC5)</f>
        <v>0.28815872330520126</v>
      </c>
      <c r="AE124" s="32">
        <f>IF(AND(AC124=0,AC124&gt;=0),,AC124/AC124)</f>
        <v>1</v>
      </c>
      <c r="AF124" s="60">
        <f>+AF39+AF116</f>
        <v>6959.2799999999988</v>
      </c>
      <c r="AG124" s="26">
        <f>IF(AND(AF5=0,AF124&gt;=0),,AF124/AF5)</f>
        <v>0.21726627644187163</v>
      </c>
      <c r="AH124" s="26">
        <f>IF(AND(AF124=0,AF124&gt;=0),,AF124/AF124)</f>
        <v>1</v>
      </c>
      <c r="AI124" s="26">
        <f t="shared" si="45"/>
        <v>-0.61784014510397645</v>
      </c>
      <c r="AJ124" s="51">
        <f t="shared" si="29"/>
        <v>34255.360000000001</v>
      </c>
      <c r="AK124" s="26">
        <f>IF(AND(AJ5=0,AJ124&gt;=0),,AJ124/AJ5)</f>
        <v>0.27024441103667995</v>
      </c>
      <c r="AL124" s="32">
        <f>IF(AND(AJ124=0,AJ124&gt;=0),,AJ124/AJ124)</f>
        <v>1</v>
      </c>
      <c r="AM124" s="60">
        <f>+AM39+AM116</f>
        <v>8929.49</v>
      </c>
      <c r="AN124" s="26">
        <f>IF(AND(AM5=0,AM124&gt;=0),,AM124/AM5)</f>
        <v>0.24226958520969585</v>
      </c>
      <c r="AO124" s="26">
        <f>IF(AND(AM124=0,AM124&gt;=0),,AM124/AM124)</f>
        <v>1</v>
      </c>
      <c r="AP124" s="26">
        <f t="shared" si="46"/>
        <v>-0.67286548105075905</v>
      </c>
      <c r="AQ124" s="51">
        <f t="shared" si="31"/>
        <v>43184.85</v>
      </c>
      <c r="AR124" s="26">
        <f>IF(AND(AQ5=0,AQ124&gt;=0),,AQ124/AQ5)</f>
        <v>0.26394248875803394</v>
      </c>
      <c r="AS124" s="32">
        <f>IF(AND(AQ124=0,AQ124&gt;=0),,AQ124/AQ124)</f>
        <v>1</v>
      </c>
      <c r="AT124" s="60">
        <f>+AT39+AT116</f>
        <v>36420.78</v>
      </c>
      <c r="AU124" s="26">
        <f>IF(AND(AT5=0,AT124&gt;=0),,AT124/AT5)</f>
        <v>0.31948052631578944</v>
      </c>
      <c r="AV124" s="32">
        <f t="shared" si="25"/>
        <v>0.18572007518784606</v>
      </c>
      <c r="AW124" s="60">
        <f>+AW39+AW116</f>
        <v>7537.2306666666655</v>
      </c>
      <c r="AX124" s="26">
        <f>IF(AND(AW5=0,AW124&gt;=0),,AW124/AW5)</f>
        <v>0.25990450574712637</v>
      </c>
      <c r="AY124" s="32">
        <f>IF(AND(AW124=0,AW124&gt;=0),,AW124/AW124)</f>
        <v>1</v>
      </c>
      <c r="AZ124" s="60">
        <f>+AZ39+AZ116</f>
        <v>6070.13</v>
      </c>
      <c r="BA124" s="26">
        <f>IF(AND(AZ5=0,AZ124&gt;=0),,AZ124/AZ5)</f>
        <v>0.31948052631578949</v>
      </c>
      <c r="BB124" s="32">
        <f t="shared" si="27"/>
        <v>0.24169180341552246</v>
      </c>
    </row>
    <row r="125" spans="1:54" s="5" customFormat="1" x14ac:dyDescent="0.25">
      <c r="A125" s="27" t="s">
        <v>100</v>
      </c>
      <c r="B125" s="61">
        <f>SUM(B126:B135)</f>
        <v>1146.5899999999999</v>
      </c>
      <c r="C125" s="28">
        <f>IF(AND(B5=0,B125&gt;=0),,B125/B5)</f>
        <v>4.3185811909572658E-3</v>
      </c>
      <c r="D125" s="33"/>
      <c r="E125" s="61">
        <f>SUM(E126:E135)</f>
        <v>37.950000000000003</v>
      </c>
      <c r="F125" s="28">
        <f>IF(AND(E5=0,E125&gt;=0),,E125/E5)</f>
        <v>1.6629755474673255E-3</v>
      </c>
      <c r="G125" s="29"/>
      <c r="H125" s="52">
        <f>SUM(H126:H135)</f>
        <v>3.9000000000000004</v>
      </c>
      <c r="I125" s="28">
        <f>IF(AND(H5=0,H125&gt;=0),,H125/H5)</f>
        <v>1.6229766890609709E-4</v>
      </c>
      <c r="J125" s="29"/>
      <c r="K125" s="28">
        <f t="shared" si="18"/>
        <v>-0.89723320158102771</v>
      </c>
      <c r="L125" s="52">
        <f>SUM(L126:L135)</f>
        <v>41.850000000000009</v>
      </c>
      <c r="M125" s="28">
        <f>IF(AND(L5=0,L125&gt;=0),,L125/L5)</f>
        <v>8.932676434767131E-4</v>
      </c>
      <c r="N125" s="33"/>
      <c r="O125" s="61">
        <f>SUM(O126:O135)</f>
        <v>14.459999999999999</v>
      </c>
      <c r="P125" s="28">
        <f>IF(AND(O5=0,O125&gt;=0),,O125/O5)</f>
        <v>5.8990816443506495E-4</v>
      </c>
      <c r="Q125" s="29"/>
      <c r="R125" s="28">
        <f t="shared" si="20"/>
        <v>2.707692307692307</v>
      </c>
      <c r="S125" s="52">
        <f>SUM(S126:S135)</f>
        <v>56.31</v>
      </c>
      <c r="T125" s="28">
        <f>IF(AND(S5=0,S125&gt;=0),,S125/S5)</f>
        <v>7.8906712535601557E-4</v>
      </c>
      <c r="U125" s="33"/>
      <c r="V125" s="61">
        <f>SUM(V126:V135)</f>
        <v>0</v>
      </c>
      <c r="W125" s="28">
        <f>IF(AND(V5=0,V125&gt;=0),,V125/V5)</f>
        <v>0</v>
      </c>
      <c r="X125" s="78">
        <f t="shared" si="22"/>
        <v>1</v>
      </c>
      <c r="Y125" s="61">
        <f>SUM(Y126:Y135)</f>
        <v>12.709999999999999</v>
      </c>
      <c r="Z125" s="28">
        <f>IF(AND(Y5=0,Y125&gt;=0),,Y125/Y5)</f>
        <v>5.4402027128249244E-4</v>
      </c>
      <c r="AA125" s="29"/>
      <c r="AB125" s="28">
        <f t="shared" si="17"/>
        <v>-0.12102351313969573</v>
      </c>
      <c r="AC125" s="52">
        <f>SUM(AC126:AC135)</f>
        <v>69.02000000000001</v>
      </c>
      <c r="AD125" s="28">
        <f>IF(AND(AC5=0,AC125&gt;=0),,AC125/AC5)</f>
        <v>7.2862898564647356E-4</v>
      </c>
      <c r="AE125" s="33"/>
      <c r="AF125" s="61">
        <f>SUM(AF126:AF135)</f>
        <v>49.44</v>
      </c>
      <c r="AG125" s="28">
        <f>IF(AND(AF5=0,AF125&gt;=0),,AF125/AF5)</f>
        <v>1.5434994291487244E-3</v>
      </c>
      <c r="AH125" s="29"/>
      <c r="AI125" s="28">
        <f t="shared" si="45"/>
        <v>1</v>
      </c>
      <c r="AJ125" s="52">
        <f t="shared" si="29"/>
        <v>118.46000000000001</v>
      </c>
      <c r="AK125" s="28">
        <f>IF(AND(AJ5=0,AJ125&gt;=0),,AJ125/AJ5)</f>
        <v>9.3454434375832307E-4</v>
      </c>
      <c r="AL125" s="33"/>
      <c r="AM125" s="61">
        <f>SUM(AM126:AM135)</f>
        <v>46.050000000000004</v>
      </c>
      <c r="AN125" s="28">
        <f>IF(AND(AM5=0,AM125&gt;=0),,AM125/AM5)</f>
        <v>1.249401074295004E-3</v>
      </c>
      <c r="AO125" s="29"/>
      <c r="AP125" s="28">
        <f t="shared" si="46"/>
        <v>-0.33280208635178216</v>
      </c>
      <c r="AQ125" s="52">
        <f t="shared" si="31"/>
        <v>164.51000000000002</v>
      </c>
      <c r="AR125" s="28">
        <f>IF(AND(AQ5=0,AQ125&gt;=0),,AQ125/AQ5)</f>
        <v>1.0054724938394872E-3</v>
      </c>
      <c r="AS125" s="33"/>
      <c r="AT125" s="61">
        <f>SUM(AT126:AT135)</f>
        <v>0</v>
      </c>
      <c r="AU125" s="28">
        <f>IF(AND(AT5=0,AT125&gt;=0),,AT125/AT5)</f>
        <v>0</v>
      </c>
      <c r="AV125" s="78">
        <f t="shared" si="25"/>
        <v>1</v>
      </c>
      <c r="AW125" s="61">
        <f>SUM(AW126:AW135)</f>
        <v>27.418333333333329</v>
      </c>
      <c r="AX125" s="28">
        <f>IF(AND(AW5=0,AW125&gt;=0),,AW125/AW5)</f>
        <v>9.4545977011494236E-4</v>
      </c>
      <c r="AY125" s="33"/>
      <c r="AZ125" s="61">
        <f>SUM(AZ126:AZ135)</f>
        <v>0</v>
      </c>
      <c r="BA125" s="28">
        <f>IF(AND(AZ5=0,AZ125&gt;=0),,AZ125/AZ5)</f>
        <v>0</v>
      </c>
      <c r="BB125" s="78">
        <f t="shared" si="27"/>
        <v>1</v>
      </c>
    </row>
    <row r="126" spans="1:54" s="5" customFormat="1" hidden="1" outlineLevel="1" x14ac:dyDescent="0.25">
      <c r="A126" s="19" t="s">
        <v>104</v>
      </c>
      <c r="B126" s="62"/>
      <c r="C126" s="20">
        <f>IF(AND(B5=0,B126&gt;=0),,B126/B5)</f>
        <v>0</v>
      </c>
      <c r="D126" s="36"/>
      <c r="E126" s="62"/>
      <c r="F126" s="20">
        <f>IF(AND(E5=0,E126&gt;=0),,E126/E5)</f>
        <v>0</v>
      </c>
      <c r="G126" s="13"/>
      <c r="H126" s="53"/>
      <c r="I126" s="20">
        <f>IF(AND(H5=0,H126&gt;=0),,H126/H5)</f>
        <v>0</v>
      </c>
      <c r="J126" s="13"/>
      <c r="K126" s="20">
        <f t="shared" si="18"/>
        <v>0</v>
      </c>
      <c r="L126" s="53">
        <f t="shared" ref="L126:L134" si="50">+E126+H126</f>
        <v>0</v>
      </c>
      <c r="M126" s="20">
        <f>IF(AND(L5=0,L126&gt;=0),,L126/L5)</f>
        <v>0</v>
      </c>
      <c r="N126" s="36"/>
      <c r="O126" s="62"/>
      <c r="P126" s="20">
        <f>IF(AND(O5=0,O126&gt;=0),,O126/O5)</f>
        <v>0</v>
      </c>
      <c r="Q126" s="13"/>
      <c r="R126" s="20">
        <f t="shared" si="20"/>
        <v>0</v>
      </c>
      <c r="S126" s="53">
        <f t="shared" ref="S126:S134" si="51">+L126+O126</f>
        <v>0</v>
      </c>
      <c r="T126" s="20">
        <f>IF(AND(S5=0,S126&gt;=0),,S126/S5)</f>
        <v>0</v>
      </c>
      <c r="U126" s="36"/>
      <c r="V126" s="62"/>
      <c r="W126" s="20">
        <f>IF(AND(V5=0,V126&gt;=0),,V126/V5)</f>
        <v>0</v>
      </c>
      <c r="X126" s="37">
        <f t="shared" si="22"/>
        <v>0</v>
      </c>
      <c r="Y126" s="62"/>
      <c r="Z126" s="20">
        <f>IF(AND(Y5=0,Y126&gt;=0),,Y126/Y5)</f>
        <v>0</v>
      </c>
      <c r="AA126" s="13"/>
      <c r="AB126" s="20">
        <f t="shared" si="17"/>
        <v>0</v>
      </c>
      <c r="AC126" s="53">
        <f t="shared" ref="AC126:AC134" si="52">+S126+Y126</f>
        <v>0</v>
      </c>
      <c r="AD126" s="20">
        <f>IF(AND(AC5=0,AC126&gt;=0),,AC126/AC5)</f>
        <v>0</v>
      </c>
      <c r="AE126" s="36"/>
      <c r="AF126" s="62"/>
      <c r="AG126" s="20">
        <f>IF(AND(AF5=0,AF126&gt;=0),,AF126/AF5)</f>
        <v>0</v>
      </c>
      <c r="AH126" s="13"/>
      <c r="AI126" s="20">
        <f t="shared" si="45"/>
        <v>0</v>
      </c>
      <c r="AJ126" s="53">
        <f t="shared" si="29"/>
        <v>0</v>
      </c>
      <c r="AK126" s="20">
        <f>IF(AND(AJ5=0,AJ126&gt;=0),,AJ126/AJ5)</f>
        <v>0</v>
      </c>
      <c r="AL126" s="36"/>
      <c r="AM126" s="62"/>
      <c r="AN126" s="20">
        <f>IF(AND(AM5=0,AM126&gt;=0),,AM126/AM5)</f>
        <v>0</v>
      </c>
      <c r="AO126" s="13"/>
      <c r="AP126" s="20">
        <f t="shared" si="46"/>
        <v>0</v>
      </c>
      <c r="AQ126" s="53">
        <f>+AJ126+AM126</f>
        <v>0</v>
      </c>
      <c r="AR126" s="20">
        <f>IF(AND(AQ5=0,AQ126&gt;=0),,AQ126/AQ5)</f>
        <v>0</v>
      </c>
      <c r="AS126" s="36"/>
      <c r="AT126" s="62">
        <f t="shared" ref="AT126:AT136" si="53">+V126*2</f>
        <v>0</v>
      </c>
      <c r="AU126" s="20">
        <f>IF(AND(AT5=0,AT126&gt;=0),,AT126/AT5)</f>
        <v>0</v>
      </c>
      <c r="AV126" s="37">
        <f t="shared" si="25"/>
        <v>0</v>
      </c>
      <c r="AW126" s="62">
        <f>+AQ126/6</f>
        <v>0</v>
      </c>
      <c r="AX126" s="20">
        <f>IF(AND(AW5=0,AW126&gt;=0),,AW126/AW5)</f>
        <v>0</v>
      </c>
      <c r="AY126" s="36"/>
      <c r="AZ126" s="62">
        <f t="shared" ref="AZ126:AZ136" si="54">+AT126/6</f>
        <v>0</v>
      </c>
      <c r="BA126" s="20">
        <f>IF(AND(AZ5=0,AZ126&gt;=0),,AZ126/AZ5)</f>
        <v>0</v>
      </c>
      <c r="BB126" s="37">
        <f t="shared" si="27"/>
        <v>0</v>
      </c>
    </row>
    <row r="127" spans="1:54" s="5" customFormat="1" hidden="1" outlineLevel="1" x14ac:dyDescent="0.25">
      <c r="A127" s="19" t="s">
        <v>105</v>
      </c>
      <c r="B127" s="62">
        <v>0.03</v>
      </c>
      <c r="C127" s="20">
        <f>IF(AND(B5=0,B127&gt;=0),,B127/B5)</f>
        <v>1.1299369062063856E-7</v>
      </c>
      <c r="D127" s="36"/>
      <c r="E127" s="62">
        <v>0.01</v>
      </c>
      <c r="F127" s="20">
        <f>IF(AND(E5=0,E127&gt;=0),,E127/E5)</f>
        <v>4.3820172528783281E-7</v>
      </c>
      <c r="G127" s="13"/>
      <c r="H127" s="53">
        <v>0.01</v>
      </c>
      <c r="I127" s="20">
        <f>IF(AND(H5=0,H127&gt;=0),,H127/H5)</f>
        <v>4.1614786898999249E-7</v>
      </c>
      <c r="J127" s="13"/>
      <c r="K127" s="20">
        <f t="shared" si="18"/>
        <v>0</v>
      </c>
      <c r="L127" s="53">
        <f t="shared" si="50"/>
        <v>0.02</v>
      </c>
      <c r="M127" s="20">
        <f>IF(AND(L5=0,L127&gt;=0),,L127/L5)</f>
        <v>4.2689015219914597E-7</v>
      </c>
      <c r="N127" s="36"/>
      <c r="O127" s="62">
        <v>0.01</v>
      </c>
      <c r="P127" s="20">
        <f>IF(AND(O5=0,O127&gt;=0),,O127/O5)</f>
        <v>4.0795861994126211E-7</v>
      </c>
      <c r="Q127" s="13"/>
      <c r="R127" s="20">
        <f t="shared" si="20"/>
        <v>0</v>
      </c>
      <c r="S127" s="53">
        <f t="shared" si="51"/>
        <v>0.03</v>
      </c>
      <c r="T127" s="20">
        <f>IF(AND(S5=0,S127&gt;=0),,S127/S5)</f>
        <v>4.2038738697709937E-7</v>
      </c>
      <c r="U127" s="36"/>
      <c r="V127" s="62"/>
      <c r="W127" s="20">
        <f>IF(AND(V5=0,V127&gt;=0),,V127/V5)</f>
        <v>0</v>
      </c>
      <c r="X127" s="37">
        <f t="shared" si="22"/>
        <v>1</v>
      </c>
      <c r="Y127" s="62">
        <v>0.02</v>
      </c>
      <c r="Z127" s="20">
        <f>IF(AND(Y5=0,Y127&gt;=0),,Y127/Y5)</f>
        <v>8.5605078093232495E-7</v>
      </c>
      <c r="AA127" s="13"/>
      <c r="AB127" s="20">
        <f t="shared" si="17"/>
        <v>1</v>
      </c>
      <c r="AC127" s="53">
        <f t="shared" si="52"/>
        <v>0.05</v>
      </c>
      <c r="AD127" s="20">
        <f>IF(AND(AC5=0,AC127&gt;=0),,AC127/AC5)</f>
        <v>5.2783902176649773E-7</v>
      </c>
      <c r="AE127" s="36"/>
      <c r="AF127" s="62">
        <v>0.01</v>
      </c>
      <c r="AG127" s="20">
        <f>IF(AND(AF5=0,AF127&gt;=0),,AF127/AF5)</f>
        <v>3.1219648647830189E-7</v>
      </c>
      <c r="AH127" s="13"/>
      <c r="AI127" s="20">
        <f t="shared" si="45"/>
        <v>1</v>
      </c>
      <c r="AJ127" s="53">
        <f t="shared" si="29"/>
        <v>6.0000000000000005E-2</v>
      </c>
      <c r="AK127" s="20">
        <f>IF(AND(AJ5=0,AJ127&gt;=0),,AJ127/AJ5)</f>
        <v>4.7334678900472214E-7</v>
      </c>
      <c r="AL127" s="36"/>
      <c r="AM127" s="62">
        <v>0.02</v>
      </c>
      <c r="AN127" s="20">
        <f>IF(AND(AM5=0,AM127&gt;=0),,AM127/AM5)</f>
        <v>5.4262804529641864E-7</v>
      </c>
      <c r="AO127" s="13"/>
      <c r="AP127" s="20">
        <f t="shared" si="46"/>
        <v>-0.6</v>
      </c>
      <c r="AQ127" s="53">
        <f t="shared" si="31"/>
        <v>0.08</v>
      </c>
      <c r="AR127" s="20">
        <f>IF(AND(AQ5=0,AQ127&gt;=0),,AQ127/AQ5)</f>
        <v>4.8895385999124043E-7</v>
      </c>
      <c r="AS127" s="36"/>
      <c r="AT127" s="62">
        <f t="shared" si="53"/>
        <v>0</v>
      </c>
      <c r="AU127" s="20">
        <f>IF(AND(AT5=0,AT127&gt;=0),,AT127/AT5)</f>
        <v>0</v>
      </c>
      <c r="AV127" s="37">
        <f t="shared" si="25"/>
        <v>1</v>
      </c>
      <c r="AW127" s="62">
        <f t="shared" ref="AW127:AW134" si="55">+AQ127/6</f>
        <v>1.3333333333333334E-2</v>
      </c>
      <c r="AX127" s="20">
        <f>IF(AND(AW5=0,AW127&gt;=0),,AW127/AW5)</f>
        <v>4.5977011494252875E-7</v>
      </c>
      <c r="AY127" s="36"/>
      <c r="AZ127" s="62">
        <f t="shared" si="54"/>
        <v>0</v>
      </c>
      <c r="BA127" s="20">
        <f>IF(AND(AZ5=0,AZ127&gt;=0),,AZ127/AZ5)</f>
        <v>0</v>
      </c>
      <c r="BB127" s="37">
        <f t="shared" si="27"/>
        <v>1</v>
      </c>
    </row>
    <row r="128" spans="1:54" s="5" customFormat="1" hidden="1" outlineLevel="1" x14ac:dyDescent="0.25">
      <c r="A128" s="19" t="s">
        <v>106</v>
      </c>
      <c r="B128" s="62"/>
      <c r="C128" s="20">
        <f>IF(AND(B5=0,B128&gt;=0),,B128/B5)</f>
        <v>0</v>
      </c>
      <c r="D128" s="36"/>
      <c r="E128" s="62"/>
      <c r="F128" s="20">
        <f>IF(AND(E5=0,E128&gt;=0),,E128/E5)</f>
        <v>0</v>
      </c>
      <c r="G128" s="13"/>
      <c r="H128" s="53"/>
      <c r="I128" s="20">
        <f>IF(AND(H5=0,H128&gt;=0),,H128/H5)</f>
        <v>0</v>
      </c>
      <c r="J128" s="13"/>
      <c r="K128" s="20">
        <f t="shared" si="18"/>
        <v>0</v>
      </c>
      <c r="L128" s="53">
        <f t="shared" si="50"/>
        <v>0</v>
      </c>
      <c r="M128" s="20">
        <f>IF(AND(L5=0,L128&gt;=0),,L128/L5)</f>
        <v>0</v>
      </c>
      <c r="N128" s="36"/>
      <c r="O128" s="62"/>
      <c r="P128" s="20">
        <f>IF(AND(O5=0,O128&gt;=0),,O128/O5)</f>
        <v>0</v>
      </c>
      <c r="Q128" s="13"/>
      <c r="R128" s="20">
        <f t="shared" si="20"/>
        <v>0</v>
      </c>
      <c r="S128" s="53">
        <f t="shared" si="51"/>
        <v>0</v>
      </c>
      <c r="T128" s="20">
        <f>IF(AND(S5=0,S128&gt;=0),,S128/S5)</f>
        <v>0</v>
      </c>
      <c r="U128" s="36"/>
      <c r="V128" s="62"/>
      <c r="W128" s="20">
        <f>IF(AND(V5=0,V128&gt;=0),,V128/V5)</f>
        <v>0</v>
      </c>
      <c r="X128" s="37">
        <f t="shared" si="22"/>
        <v>0</v>
      </c>
      <c r="Y128" s="62"/>
      <c r="Z128" s="20">
        <f>IF(AND(Y5=0,Y128&gt;=0),,Y128/Y5)</f>
        <v>0</v>
      </c>
      <c r="AA128" s="13"/>
      <c r="AB128" s="20">
        <f t="shared" si="17"/>
        <v>0</v>
      </c>
      <c r="AC128" s="53">
        <f t="shared" si="52"/>
        <v>0</v>
      </c>
      <c r="AD128" s="20">
        <f>IF(AND(AC5=0,AC128&gt;=0),,AC128/AC5)</f>
        <v>0</v>
      </c>
      <c r="AE128" s="36"/>
      <c r="AF128" s="62"/>
      <c r="AG128" s="20">
        <f>IF(AND(AF5=0,AF128&gt;=0),,AF128/AF5)</f>
        <v>0</v>
      </c>
      <c r="AH128" s="13"/>
      <c r="AI128" s="20">
        <f t="shared" si="45"/>
        <v>0</v>
      </c>
      <c r="AJ128" s="53">
        <f t="shared" si="29"/>
        <v>0</v>
      </c>
      <c r="AK128" s="20">
        <f>IF(AND(AJ5=0,AJ128&gt;=0),,AJ128/AJ5)</f>
        <v>0</v>
      </c>
      <c r="AL128" s="36"/>
      <c r="AM128" s="62"/>
      <c r="AN128" s="20">
        <f>IF(AND(AM5=0,AM128&gt;=0),,AM128/AM5)</f>
        <v>0</v>
      </c>
      <c r="AO128" s="13"/>
      <c r="AP128" s="20">
        <f t="shared" si="46"/>
        <v>0</v>
      </c>
      <c r="AQ128" s="53">
        <f t="shared" si="31"/>
        <v>0</v>
      </c>
      <c r="AR128" s="20">
        <f>IF(AND(AQ5=0,AQ128&gt;=0),,AQ128/AQ5)</f>
        <v>0</v>
      </c>
      <c r="AS128" s="36"/>
      <c r="AT128" s="62">
        <f t="shared" si="53"/>
        <v>0</v>
      </c>
      <c r="AU128" s="20">
        <f>IF(AND(AT5=0,AT128&gt;=0),,AT128/AT5)</f>
        <v>0</v>
      </c>
      <c r="AV128" s="37">
        <f t="shared" si="25"/>
        <v>0</v>
      </c>
      <c r="AW128" s="62">
        <f t="shared" si="55"/>
        <v>0</v>
      </c>
      <c r="AX128" s="20">
        <f>IF(AND(AW5=0,AW128&gt;=0),,AW128/AW5)</f>
        <v>0</v>
      </c>
      <c r="AY128" s="36"/>
      <c r="AZ128" s="62">
        <f t="shared" si="54"/>
        <v>0</v>
      </c>
      <c r="BA128" s="20">
        <f>IF(AND(AZ5=0,AZ128&gt;=0),,AZ128/AZ5)</f>
        <v>0</v>
      </c>
      <c r="BB128" s="37">
        <f t="shared" si="27"/>
        <v>0</v>
      </c>
    </row>
    <row r="129" spans="1:220" s="5" customFormat="1" hidden="1" outlineLevel="1" x14ac:dyDescent="0.25">
      <c r="A129" s="19" t="s">
        <v>107</v>
      </c>
      <c r="B129" s="62"/>
      <c r="C129" s="20">
        <f>IF(AND(B5=0,B129&gt;=0),,B129/B5)</f>
        <v>0</v>
      </c>
      <c r="D129" s="36"/>
      <c r="E129" s="62"/>
      <c r="F129" s="20">
        <f>IF(AND(E5=0,E129&gt;=0),,E129/E5)</f>
        <v>0</v>
      </c>
      <c r="G129" s="13"/>
      <c r="H129" s="53"/>
      <c r="I129" s="20">
        <f>IF(AND(H5=0,H129&gt;=0),,H129/H5)</f>
        <v>0</v>
      </c>
      <c r="J129" s="13"/>
      <c r="K129" s="20">
        <f t="shared" si="18"/>
        <v>0</v>
      </c>
      <c r="L129" s="53">
        <f t="shared" si="50"/>
        <v>0</v>
      </c>
      <c r="M129" s="20">
        <f>IF(AND(L5=0,L129&gt;=0),,L129/L5)</f>
        <v>0</v>
      </c>
      <c r="N129" s="36"/>
      <c r="O129" s="62"/>
      <c r="P129" s="20">
        <f>IF(AND(O5=0,O129&gt;=0),,O129/O5)</f>
        <v>0</v>
      </c>
      <c r="Q129" s="13"/>
      <c r="R129" s="20">
        <f t="shared" si="20"/>
        <v>0</v>
      </c>
      <c r="S129" s="53">
        <f t="shared" si="51"/>
        <v>0</v>
      </c>
      <c r="T129" s="20">
        <f>IF(AND(S5=0,S129&gt;=0),,S129/S5)</f>
        <v>0</v>
      </c>
      <c r="U129" s="36"/>
      <c r="V129" s="62"/>
      <c r="W129" s="20">
        <f>IF(AND(V5=0,V129&gt;=0),,V129/V5)</f>
        <v>0</v>
      </c>
      <c r="X129" s="37">
        <f t="shared" si="22"/>
        <v>0</v>
      </c>
      <c r="Y129" s="62"/>
      <c r="Z129" s="20">
        <f>IF(AND(Y5=0,Y129&gt;=0),,Y129/Y5)</f>
        <v>0</v>
      </c>
      <c r="AA129" s="13"/>
      <c r="AB129" s="20">
        <f t="shared" si="17"/>
        <v>0</v>
      </c>
      <c r="AC129" s="53">
        <f t="shared" si="52"/>
        <v>0</v>
      </c>
      <c r="AD129" s="20">
        <f>IF(AND(AC5=0,AC129&gt;=0),,AC129/AC5)</f>
        <v>0</v>
      </c>
      <c r="AE129" s="36"/>
      <c r="AF129" s="62"/>
      <c r="AG129" s="20">
        <f>IF(AND(AF5=0,AF129&gt;=0),,AF129/AF5)</f>
        <v>0</v>
      </c>
      <c r="AH129" s="13"/>
      <c r="AI129" s="20">
        <f t="shared" si="45"/>
        <v>0</v>
      </c>
      <c r="AJ129" s="53">
        <f t="shared" si="29"/>
        <v>0</v>
      </c>
      <c r="AK129" s="20">
        <f>IF(AND(AJ5=0,AJ129&gt;=0),,AJ129/AJ5)</f>
        <v>0</v>
      </c>
      <c r="AL129" s="36"/>
      <c r="AM129" s="62"/>
      <c r="AN129" s="20">
        <f>IF(AND(AM5=0,AM129&gt;=0),,AM129/AM5)</f>
        <v>0</v>
      </c>
      <c r="AO129" s="13"/>
      <c r="AP129" s="20">
        <f t="shared" si="46"/>
        <v>0</v>
      </c>
      <c r="AQ129" s="53">
        <f t="shared" si="31"/>
        <v>0</v>
      </c>
      <c r="AR129" s="20">
        <f>IF(AND(AQ5=0,AQ129&gt;=0),,AQ129/AQ5)</f>
        <v>0</v>
      </c>
      <c r="AS129" s="36"/>
      <c r="AT129" s="62">
        <f t="shared" si="53"/>
        <v>0</v>
      </c>
      <c r="AU129" s="20">
        <f>IF(AND(AT5=0,AT129&gt;=0),,AT129/AT5)</f>
        <v>0</v>
      </c>
      <c r="AV129" s="37">
        <f t="shared" si="25"/>
        <v>0</v>
      </c>
      <c r="AW129" s="62">
        <f t="shared" si="55"/>
        <v>0</v>
      </c>
      <c r="AX129" s="20">
        <f>IF(AND(AW5=0,AW129&gt;=0),,AW129/AW5)</f>
        <v>0</v>
      </c>
      <c r="AY129" s="36"/>
      <c r="AZ129" s="62">
        <f t="shared" si="54"/>
        <v>0</v>
      </c>
      <c r="BA129" s="20">
        <f>IF(AND(AZ5=0,AZ129&gt;=0),,AZ129/AZ5)</f>
        <v>0</v>
      </c>
      <c r="BB129" s="37">
        <f t="shared" si="27"/>
        <v>0</v>
      </c>
    </row>
    <row r="130" spans="1:220" s="5" customFormat="1" hidden="1" outlineLevel="1" x14ac:dyDescent="0.25">
      <c r="A130" s="19" t="s">
        <v>108</v>
      </c>
      <c r="B130" s="62">
        <v>34.56</v>
      </c>
      <c r="C130" s="20">
        <f>IF(AND(B5=0,B130&gt;=0),,B130/B5)</f>
        <v>1.3016873159497563E-4</v>
      </c>
      <c r="D130" s="36"/>
      <c r="E130" s="62">
        <v>2.48</v>
      </c>
      <c r="F130" s="20">
        <f>IF(AND(E5=0,E130&gt;=0),,E130/E5)</f>
        <v>1.0867402787138253E-4</v>
      </c>
      <c r="G130" s="13"/>
      <c r="H130" s="53">
        <v>0.28000000000000003</v>
      </c>
      <c r="I130" s="20">
        <f>IF(AND(H5=0,H130&gt;=0),,H130/H5)</f>
        <v>1.165214033171979E-5</v>
      </c>
      <c r="J130" s="13"/>
      <c r="K130" s="20">
        <f t="shared" si="18"/>
        <v>-0.88709677419354849</v>
      </c>
      <c r="L130" s="53">
        <f t="shared" si="50"/>
        <v>2.76</v>
      </c>
      <c r="M130" s="20">
        <f>IF(AND(L5=0,L130&gt;=0),,L130/L5)</f>
        <v>5.8910841003482136E-5</v>
      </c>
      <c r="N130" s="36"/>
      <c r="O130" s="62">
        <v>1.51</v>
      </c>
      <c r="P130" s="20">
        <f>IF(AND(O5=0,O130&gt;=0),,O130/O5)</f>
        <v>6.1601751611130575E-5</v>
      </c>
      <c r="Q130" s="13"/>
      <c r="R130" s="20">
        <f t="shared" si="20"/>
        <v>4.3928571428571423</v>
      </c>
      <c r="S130" s="53">
        <f t="shared" si="51"/>
        <v>4.2699999999999996</v>
      </c>
      <c r="T130" s="20">
        <f>IF(AND(S5=0,S130&gt;=0),,S130/S5)</f>
        <v>5.9835138079740478E-5</v>
      </c>
      <c r="U130" s="36"/>
      <c r="V130" s="62"/>
      <c r="W130" s="20">
        <f>IF(AND(V5=0,V130&gt;=0),,V130/V5)</f>
        <v>0</v>
      </c>
      <c r="X130" s="37">
        <f t="shared" si="22"/>
        <v>1</v>
      </c>
      <c r="Y130" s="62">
        <v>11.86</v>
      </c>
      <c r="Z130" s="20">
        <f>IF(AND(Y5=0,Y130&gt;=0),,Y130/Y5)</f>
        <v>5.0763811309286865E-4</v>
      </c>
      <c r="AA130" s="13"/>
      <c r="AB130" s="20">
        <f t="shared" si="17"/>
        <v>6.8543046357615891</v>
      </c>
      <c r="AC130" s="53">
        <f t="shared" si="52"/>
        <v>16.13</v>
      </c>
      <c r="AD130" s="20">
        <f>IF(AND(AC5=0,AC130&gt;=0),,AC130/AC5)</f>
        <v>1.7028086842187215E-4</v>
      </c>
      <c r="AE130" s="36"/>
      <c r="AF130" s="62">
        <v>11.16</v>
      </c>
      <c r="AG130" s="20">
        <f>IF(AND(AF5=0,AF130&gt;=0),,AF130/AF5)</f>
        <v>3.4841127890978488E-4</v>
      </c>
      <c r="AH130" s="13"/>
      <c r="AI130" s="20">
        <f t="shared" si="45"/>
        <v>1</v>
      </c>
      <c r="AJ130" s="53">
        <f t="shared" si="29"/>
        <v>27.29</v>
      </c>
      <c r="AK130" s="20">
        <f>IF(AND(AJ5=0,AJ130&gt;=0),,AJ130/AJ5)</f>
        <v>2.1529389786564774E-4</v>
      </c>
      <c r="AL130" s="36"/>
      <c r="AM130" s="62">
        <v>5.53</v>
      </c>
      <c r="AN130" s="20">
        <f>IF(AND(AM5=0,AM130&gt;=0),,AM130/AM5)</f>
        <v>1.5003665452445976E-4</v>
      </c>
      <c r="AO130" s="13"/>
      <c r="AP130" s="20">
        <f t="shared" si="46"/>
        <v>-0.65716057036577791</v>
      </c>
      <c r="AQ130" s="53">
        <f t="shared" si="31"/>
        <v>32.82</v>
      </c>
      <c r="AR130" s="20">
        <f>IF(AND(AQ5=0,AQ130&gt;=0),,AQ130/AQ5)</f>
        <v>2.0059332106140638E-4</v>
      </c>
      <c r="AS130" s="36"/>
      <c r="AT130" s="62">
        <f t="shared" si="53"/>
        <v>0</v>
      </c>
      <c r="AU130" s="20">
        <f>IF(AND(AT5=0,AT130&gt;=0),,AT130/AT5)</f>
        <v>0</v>
      </c>
      <c r="AV130" s="37">
        <f t="shared" si="25"/>
        <v>1</v>
      </c>
      <c r="AW130" s="62">
        <f t="shared" si="55"/>
        <v>5.47</v>
      </c>
      <c r="AX130" s="20">
        <f>IF(AND(AW5=0,AW130&gt;=0),,AW130/AW5)</f>
        <v>1.886206896551724E-4</v>
      </c>
      <c r="AY130" s="36"/>
      <c r="AZ130" s="62">
        <f t="shared" si="54"/>
        <v>0</v>
      </c>
      <c r="BA130" s="20">
        <f>IF(AND(AZ5=0,AZ130&gt;=0),,AZ130/AZ5)</f>
        <v>0</v>
      </c>
      <c r="BB130" s="37">
        <f t="shared" si="27"/>
        <v>1</v>
      </c>
    </row>
    <row r="131" spans="1:220" s="5" customFormat="1" hidden="1" outlineLevel="1" x14ac:dyDescent="0.25">
      <c r="A131" s="19" t="s">
        <v>109</v>
      </c>
      <c r="B131" s="62">
        <v>53.5</v>
      </c>
      <c r="C131" s="20">
        <f>IF(AND(B5=0,B131&gt;=0),,B131/B5)</f>
        <v>2.0150541494013877E-4</v>
      </c>
      <c r="D131" s="36"/>
      <c r="E131" s="62">
        <v>28.8</v>
      </c>
      <c r="F131" s="20">
        <f>IF(AND(E5=0,E131&gt;=0),,E131/E5)</f>
        <v>1.2620209688289584E-3</v>
      </c>
      <c r="G131" s="13"/>
      <c r="H131" s="53"/>
      <c r="I131" s="20">
        <f>IF(AND(H5=0,H131&gt;=0),,H131/H5)</f>
        <v>0</v>
      </c>
      <c r="J131" s="13"/>
      <c r="K131" s="20">
        <f t="shared" si="18"/>
        <v>-1</v>
      </c>
      <c r="L131" s="53">
        <f t="shared" si="50"/>
        <v>28.8</v>
      </c>
      <c r="M131" s="20">
        <f>IF(AND(L5=0,L131&gt;=0),,L131/L5)</f>
        <v>6.1472181916677026E-4</v>
      </c>
      <c r="N131" s="36"/>
      <c r="O131" s="62"/>
      <c r="P131" s="20">
        <f>IF(AND(O5=0,O131&gt;=0),,O131/O5)</f>
        <v>0</v>
      </c>
      <c r="Q131" s="13"/>
      <c r="R131" s="20">
        <f t="shared" si="20"/>
        <v>0</v>
      </c>
      <c r="S131" s="53">
        <f t="shared" si="51"/>
        <v>28.8</v>
      </c>
      <c r="T131" s="20">
        <f>IF(AND(S5=0,S131&gt;=0),,S131/S5)</f>
        <v>4.0357189149801541E-4</v>
      </c>
      <c r="U131" s="36"/>
      <c r="V131" s="62"/>
      <c r="W131" s="20">
        <f>IF(AND(V5=0,V131&gt;=0),,V131/V5)</f>
        <v>0</v>
      </c>
      <c r="X131" s="37">
        <f t="shared" si="22"/>
        <v>1</v>
      </c>
      <c r="Y131" s="62"/>
      <c r="Z131" s="20">
        <f>IF(AND(Y5=0,Y131&gt;=0),,Y131/Y5)</f>
        <v>0</v>
      </c>
      <c r="AA131" s="13"/>
      <c r="AB131" s="20">
        <f t="shared" si="17"/>
        <v>0</v>
      </c>
      <c r="AC131" s="53">
        <f t="shared" si="52"/>
        <v>28.8</v>
      </c>
      <c r="AD131" s="20">
        <f>IF(AND(AC5=0,AC131&gt;=0),,AC131/AC5)</f>
        <v>3.0403527653750267E-4</v>
      </c>
      <c r="AE131" s="36"/>
      <c r="AF131" s="62"/>
      <c r="AG131" s="20">
        <f>IF(AND(AF5=0,AF131&gt;=0),,AF131/AF5)</f>
        <v>0</v>
      </c>
      <c r="AH131" s="13"/>
      <c r="AI131" s="20">
        <f t="shared" si="45"/>
        <v>0</v>
      </c>
      <c r="AJ131" s="53">
        <f t="shared" si="29"/>
        <v>28.8</v>
      </c>
      <c r="AK131" s="20">
        <f>IF(AND(AJ5=0,AJ131&gt;=0),,AJ131/AJ5)</f>
        <v>2.2720645872226661E-4</v>
      </c>
      <c r="AL131" s="36"/>
      <c r="AM131" s="62">
        <v>36.200000000000003</v>
      </c>
      <c r="AN131" s="20">
        <f>IF(AND(AM5=0,AM131&gt;=0),,AM131/AM5)</f>
        <v>9.8215676198651781E-4</v>
      </c>
      <c r="AO131" s="13"/>
      <c r="AP131" s="20">
        <f t="shared" si="46"/>
        <v>0.25694444444444453</v>
      </c>
      <c r="AQ131" s="53">
        <f t="shared" si="31"/>
        <v>65</v>
      </c>
      <c r="AR131" s="20">
        <f>IF(AND(AQ5=0,AQ131&gt;=0),,AQ131/AQ5)</f>
        <v>3.9727501124288281E-4</v>
      </c>
      <c r="AS131" s="36"/>
      <c r="AT131" s="62">
        <f t="shared" si="53"/>
        <v>0</v>
      </c>
      <c r="AU131" s="20">
        <f>IF(AND(AT5=0,AT131&gt;=0),,AT131/AT5)</f>
        <v>0</v>
      </c>
      <c r="AV131" s="37">
        <f t="shared" si="25"/>
        <v>1</v>
      </c>
      <c r="AW131" s="62">
        <f t="shared" si="55"/>
        <v>10.833333333333334</v>
      </c>
      <c r="AX131" s="20">
        <f>IF(AND(AW5=0,AW131&gt;=0),,AW131/AW5)</f>
        <v>3.7356321839080461E-4</v>
      </c>
      <c r="AY131" s="36"/>
      <c r="AZ131" s="62">
        <f t="shared" si="54"/>
        <v>0</v>
      </c>
      <c r="BA131" s="20">
        <f>IF(AND(AZ5=0,AZ131&gt;=0),,AZ131/AZ5)</f>
        <v>0</v>
      </c>
      <c r="BB131" s="37">
        <f t="shared" si="27"/>
        <v>1</v>
      </c>
    </row>
    <row r="132" spans="1:220" s="5" customFormat="1" hidden="1" outlineLevel="1" x14ac:dyDescent="0.25">
      <c r="A132" s="19" t="s">
        <v>110</v>
      </c>
      <c r="B132" s="62"/>
      <c r="C132" s="20">
        <f>IF(AND(B5=0,B132&gt;=0),,B132/B5)</f>
        <v>0</v>
      </c>
      <c r="D132" s="36"/>
      <c r="E132" s="62"/>
      <c r="F132" s="20">
        <f>IF(AND(E5=0,E132&gt;=0),,E132/E5)</f>
        <v>0</v>
      </c>
      <c r="G132" s="13"/>
      <c r="H132" s="53"/>
      <c r="I132" s="20">
        <f>IF(AND(H5=0,H132&gt;=0),,H132/H5)</f>
        <v>0</v>
      </c>
      <c r="J132" s="13"/>
      <c r="K132" s="20">
        <f t="shared" si="18"/>
        <v>0</v>
      </c>
      <c r="L132" s="53">
        <f t="shared" si="50"/>
        <v>0</v>
      </c>
      <c r="M132" s="20">
        <f>IF(AND(L5=0,L132&gt;=0),,L132/L5)</f>
        <v>0</v>
      </c>
      <c r="N132" s="36"/>
      <c r="O132" s="62"/>
      <c r="P132" s="20">
        <f>IF(AND(O5=0,O132&gt;=0),,O132/O5)</f>
        <v>0</v>
      </c>
      <c r="Q132" s="13"/>
      <c r="R132" s="20">
        <f t="shared" si="20"/>
        <v>0</v>
      </c>
      <c r="S132" s="53">
        <f>+L132+O132</f>
        <v>0</v>
      </c>
      <c r="T132" s="20">
        <f>IF(AND(S5=0,S132&gt;=0),,S132/S5)</f>
        <v>0</v>
      </c>
      <c r="U132" s="36"/>
      <c r="V132" s="62"/>
      <c r="W132" s="20">
        <f>IF(AND(V5=0,V132&gt;=0),,V132/V5)</f>
        <v>0</v>
      </c>
      <c r="X132" s="37">
        <f t="shared" si="22"/>
        <v>0</v>
      </c>
      <c r="Y132" s="62"/>
      <c r="Z132" s="20">
        <f>IF(AND(Y5=0,Y132&gt;=0),,Y132/Y5)</f>
        <v>0</v>
      </c>
      <c r="AA132" s="13"/>
      <c r="AB132" s="20">
        <f t="shared" si="17"/>
        <v>0</v>
      </c>
      <c r="AC132" s="53">
        <f t="shared" si="52"/>
        <v>0</v>
      </c>
      <c r="AD132" s="20">
        <f>IF(AND(AC5=0,AC132&gt;=0),,AC132/AC5)</f>
        <v>0</v>
      </c>
      <c r="AE132" s="36"/>
      <c r="AF132" s="62"/>
      <c r="AG132" s="20">
        <f>IF(AND(AF5=0,AF132&gt;=0),,AF132/AF5)</f>
        <v>0</v>
      </c>
      <c r="AH132" s="13"/>
      <c r="AI132" s="20">
        <f t="shared" si="45"/>
        <v>0</v>
      </c>
      <c r="AJ132" s="53">
        <f t="shared" si="29"/>
        <v>0</v>
      </c>
      <c r="AK132" s="20">
        <f>IF(AND(AJ5=0,AJ132&gt;=0),,AJ132/AJ5)</f>
        <v>0</v>
      </c>
      <c r="AL132" s="36"/>
      <c r="AM132" s="62"/>
      <c r="AN132" s="20">
        <f>IF(AND(AM5=0,AM132&gt;=0),,AM132/AM5)</f>
        <v>0</v>
      </c>
      <c r="AO132" s="13"/>
      <c r="AP132" s="20">
        <f t="shared" si="46"/>
        <v>0</v>
      </c>
      <c r="AQ132" s="53">
        <f t="shared" si="31"/>
        <v>0</v>
      </c>
      <c r="AR132" s="20">
        <f>IF(AND(AQ5=0,AQ132&gt;=0),,AQ132/AQ5)</f>
        <v>0</v>
      </c>
      <c r="AS132" s="36"/>
      <c r="AT132" s="62">
        <f t="shared" si="53"/>
        <v>0</v>
      </c>
      <c r="AU132" s="20">
        <f>IF(AND(AT5=0,AT132&gt;=0),,AT132/AT5)</f>
        <v>0</v>
      </c>
      <c r="AV132" s="37">
        <f t="shared" si="25"/>
        <v>0</v>
      </c>
      <c r="AW132" s="62">
        <f t="shared" si="55"/>
        <v>0</v>
      </c>
      <c r="AX132" s="20">
        <f>IF(AND(AW5=0,AW132&gt;=0),,AW132/AW5)</f>
        <v>0</v>
      </c>
      <c r="AY132" s="36"/>
      <c r="AZ132" s="62">
        <f t="shared" si="54"/>
        <v>0</v>
      </c>
      <c r="BA132" s="20">
        <f>IF(AND(AZ5=0,AZ132&gt;=0),,AZ132/AZ5)</f>
        <v>0</v>
      </c>
      <c r="BB132" s="37">
        <f t="shared" si="27"/>
        <v>0</v>
      </c>
    </row>
    <row r="133" spans="1:220" s="5" customFormat="1" hidden="1" outlineLevel="1" x14ac:dyDescent="0.25">
      <c r="A133" s="19" t="s">
        <v>111</v>
      </c>
      <c r="B133" s="62">
        <v>1011.05</v>
      </c>
      <c r="C133" s="20">
        <f>IF(AND(B5=0,B133&gt;=0),,B133/B5)</f>
        <v>3.8080756967332208E-3</v>
      </c>
      <c r="D133" s="36"/>
      <c r="E133" s="62">
        <v>6.52</v>
      </c>
      <c r="F133" s="20">
        <f>IF(AND(E5=0,E133&gt;=0),,E133/E5)</f>
        <v>2.8570752488766698E-4</v>
      </c>
      <c r="G133" s="13"/>
      <c r="H133" s="53">
        <v>3.41</v>
      </c>
      <c r="I133" s="20">
        <f>IF(AND(H5=0,H133&gt;=0),,H133/H5)</f>
        <v>1.4190642332558744E-4</v>
      </c>
      <c r="J133" s="13"/>
      <c r="K133" s="20">
        <f t="shared" si="18"/>
        <v>-0.47699386503067481</v>
      </c>
      <c r="L133" s="53">
        <f t="shared" si="50"/>
        <v>9.93</v>
      </c>
      <c r="M133" s="20">
        <f>IF(AND(L5=0,L133&gt;=0),,L133/L5)</f>
        <v>2.1195096056687596E-4</v>
      </c>
      <c r="N133" s="36"/>
      <c r="O133" s="62">
        <v>12.93</v>
      </c>
      <c r="P133" s="20">
        <f>IF(AND(O5=0,O133&gt;=0),,O133/O5)</f>
        <v>5.2749049558405191E-4</v>
      </c>
      <c r="Q133" s="13"/>
      <c r="R133" s="20">
        <f t="shared" si="20"/>
        <v>2.7917888563049851</v>
      </c>
      <c r="S133" s="53">
        <f t="shared" si="51"/>
        <v>22.86</v>
      </c>
      <c r="T133" s="20">
        <f>IF(AND(S5=0,S133&gt;=0),,S133/S5)</f>
        <v>3.2033518887654975E-4</v>
      </c>
      <c r="U133" s="36"/>
      <c r="V133" s="62"/>
      <c r="W133" s="20">
        <f>IF(AND(V5=0,V133&gt;=0),,V133/V5)</f>
        <v>0</v>
      </c>
      <c r="X133" s="37">
        <f t="shared" si="22"/>
        <v>1</v>
      </c>
      <c r="Y133" s="62">
        <v>0.43</v>
      </c>
      <c r="Z133" s="20">
        <f>IF(AND(Y5=0,Y133&gt;=0),,Y133/Y5)</f>
        <v>1.8405091790044987E-5</v>
      </c>
      <c r="AA133" s="13"/>
      <c r="AB133" s="20">
        <f t="shared" ref="AB133:AB139" si="56">IF(AND(O133=0,Y133&gt;0),100%,IF(AND(O133&lt;0,Y133=0),(O133-Y133)/O133,IF(AND(O133&gt;0,Y133&gt;0),(Y133-O133)/O133,IF(AND(O133=0,Y133=0),0,(Y133-O133)/O133))))</f>
        <v>-0.96674400618716161</v>
      </c>
      <c r="AC133" s="53">
        <f t="shared" si="52"/>
        <v>23.29</v>
      </c>
      <c r="AD133" s="20">
        <f>IF(AND(AC5=0,AC133&gt;=0),,AC133/AC5)</f>
        <v>2.4586741633883465E-4</v>
      </c>
      <c r="AE133" s="36"/>
      <c r="AF133" s="62">
        <v>7.32</v>
      </c>
      <c r="AG133" s="20">
        <f>IF(AND(AF5=0,AF133&gt;=0),,AF133/AF5)</f>
        <v>2.2852782810211698E-4</v>
      </c>
      <c r="AH133" s="13"/>
      <c r="AI133" s="20">
        <f t="shared" si="45"/>
        <v>1</v>
      </c>
      <c r="AJ133" s="53">
        <f t="shared" si="29"/>
        <v>30.61</v>
      </c>
      <c r="AK133" s="20">
        <f>IF(AND(AJ5=0,AJ133&gt;=0),,AJ133/AJ5)</f>
        <v>2.4148575352390904E-4</v>
      </c>
      <c r="AL133" s="36"/>
      <c r="AM133" s="62">
        <v>0.13</v>
      </c>
      <c r="AN133" s="20">
        <f>IF(AND(AM5=0,AM133&gt;=0),,AM133/AM5)</f>
        <v>3.5270822944267212E-6</v>
      </c>
      <c r="AO133" s="13"/>
      <c r="AP133" s="20">
        <f t="shared" si="46"/>
        <v>-0.99441820523829971</v>
      </c>
      <c r="AQ133" s="53">
        <f t="shared" si="31"/>
        <v>30.74</v>
      </c>
      <c r="AR133" s="20">
        <f>IF(AND(AQ5=0,AQ133&gt;=0),,AQ133/AQ5)</f>
        <v>1.8788052070163412E-4</v>
      </c>
      <c r="AS133" s="36"/>
      <c r="AT133" s="62">
        <f t="shared" si="53"/>
        <v>0</v>
      </c>
      <c r="AU133" s="20">
        <f>IF(AND(AT5=0,AT133&gt;=0),,AT133/AT5)</f>
        <v>0</v>
      </c>
      <c r="AV133" s="37">
        <f t="shared" si="25"/>
        <v>1</v>
      </c>
      <c r="AW133" s="62">
        <f t="shared" si="55"/>
        <v>5.1233333333333331</v>
      </c>
      <c r="AX133" s="20">
        <f>IF(AND(AW5=0,AW133&gt;=0),,AW133/AW5)</f>
        <v>1.7666666666666666E-4</v>
      </c>
      <c r="AY133" s="36"/>
      <c r="AZ133" s="62">
        <f t="shared" si="54"/>
        <v>0</v>
      </c>
      <c r="BA133" s="20">
        <f>IF(AND(AZ5=0,AZ133&gt;=0),,AZ133/AZ5)</f>
        <v>0</v>
      </c>
      <c r="BB133" s="37">
        <f t="shared" si="27"/>
        <v>1</v>
      </c>
    </row>
    <row r="134" spans="1:220" s="5" customFormat="1" hidden="1" outlineLevel="1" x14ac:dyDescent="0.25">
      <c r="A134" s="19" t="s">
        <v>112</v>
      </c>
      <c r="B134" s="62">
        <v>47.45</v>
      </c>
      <c r="C134" s="20">
        <f>IF(AND(B5=0,B134&gt;=0),,B134/B5)</f>
        <v>1.7871835399831001E-4</v>
      </c>
      <c r="D134" s="36"/>
      <c r="E134" s="62">
        <v>0.14000000000000001</v>
      </c>
      <c r="F134" s="20">
        <f>IF(AND(E5=0,E134&gt;=0),,E134/E5)</f>
        <v>6.13482415402966E-6</v>
      </c>
      <c r="G134" s="13"/>
      <c r="H134" s="53">
        <v>0.2</v>
      </c>
      <c r="I134" s="20">
        <f>IF(AND(H5=0,H134&gt;=0),,H134/H5)</f>
        <v>8.3229573797998501E-6</v>
      </c>
      <c r="J134" s="13"/>
      <c r="K134" s="20">
        <f t="shared" si="18"/>
        <v>0.42857142857142849</v>
      </c>
      <c r="L134" s="53">
        <f t="shared" si="50"/>
        <v>0.34</v>
      </c>
      <c r="M134" s="20">
        <f>IF(AND(L5=0,L134&gt;=0),,L134/L5)</f>
        <v>7.2571325873854822E-6</v>
      </c>
      <c r="N134" s="36"/>
      <c r="O134" s="62">
        <v>0.01</v>
      </c>
      <c r="P134" s="20">
        <f>IF(AND(O5=0,O134&gt;=0),,O134/O5)</f>
        <v>4.0795861994126211E-7</v>
      </c>
      <c r="Q134" s="13"/>
      <c r="R134" s="20">
        <f t="shared" si="20"/>
        <v>-0.95</v>
      </c>
      <c r="S134" s="53">
        <f t="shared" si="51"/>
        <v>0.35000000000000003</v>
      </c>
      <c r="T134" s="20">
        <f>IF(AND(S5=0,S134&gt;=0),,S134/S5)</f>
        <v>4.9045195147328271E-6</v>
      </c>
      <c r="U134" s="36"/>
      <c r="V134" s="62"/>
      <c r="W134" s="20">
        <f>IF(AND(V5=0,V134&gt;=0),,V134/V5)</f>
        <v>0</v>
      </c>
      <c r="X134" s="37">
        <f t="shared" ref="X134:X139" si="57">IF(AND(V134=0,S134&gt;0),100%,IF(AND(V134&lt;0,S134=0),(V134-S134)/V134,IF(AND(V134&gt;0,S134&gt;0),(S134-V134)/V134,IF(AND(V134=0,S134=0),0,(S134-V134)/V134))))</f>
        <v>1</v>
      </c>
      <c r="Y134" s="62">
        <v>0.4</v>
      </c>
      <c r="Z134" s="20">
        <f>IF(AND(Y5=0,Y134&gt;=0),,Y134/Y5)</f>
        <v>1.71210156186465E-5</v>
      </c>
      <c r="AA134" s="13"/>
      <c r="AB134" s="20">
        <f t="shared" si="56"/>
        <v>39</v>
      </c>
      <c r="AC134" s="53">
        <f t="shared" si="52"/>
        <v>0.75</v>
      </c>
      <c r="AD134" s="20">
        <f>IF(AND(AC5=0,AC134&gt;=0),,AC134/AC5)</f>
        <v>7.9175853264974664E-6</v>
      </c>
      <c r="AE134" s="36"/>
      <c r="AF134" s="62">
        <v>30.95</v>
      </c>
      <c r="AG134" s="20">
        <f>IF(AND(AF5=0,AF134&gt;=0),,AF134/AF5)</f>
        <v>9.6624812565034425E-4</v>
      </c>
      <c r="AH134" s="13"/>
      <c r="AI134" s="20">
        <f t="shared" si="45"/>
        <v>1</v>
      </c>
      <c r="AJ134" s="53">
        <f t="shared" si="29"/>
        <v>31.7</v>
      </c>
      <c r="AK134" s="20">
        <f>IF(AND(AJ5=0,AJ134&gt;=0),,AJ134/AJ5)</f>
        <v>2.500848868574948E-4</v>
      </c>
      <c r="AL134" s="36"/>
      <c r="AM134" s="62">
        <v>4.17</v>
      </c>
      <c r="AN134" s="20">
        <f>IF(AND(AM5=0,AM134&gt;=0),,AM134/AM5)</f>
        <v>1.1313794744430329E-4</v>
      </c>
      <c r="AO134" s="13"/>
      <c r="AP134" s="20">
        <f t="shared" si="46"/>
        <v>4.5599999999999996</v>
      </c>
      <c r="AQ134" s="53">
        <f t="shared" si="31"/>
        <v>35.869999999999997</v>
      </c>
      <c r="AR134" s="20">
        <f>IF(AND(AQ5=0,AQ134&gt;=0),,AQ134/AQ5)</f>
        <v>2.1923468697357241E-4</v>
      </c>
      <c r="AS134" s="36"/>
      <c r="AT134" s="62">
        <f t="shared" si="53"/>
        <v>0</v>
      </c>
      <c r="AU134" s="20">
        <f>IF(AND(AT5=0,AT134&gt;=0),,AT134/AT5)</f>
        <v>0</v>
      </c>
      <c r="AV134" s="37">
        <f t="shared" ref="AV134:AV139" si="58">IF(AND(AT134=0,AQ134&gt;0),100%,IF(AND(AT134&lt;0,AQ134=0),(AT134-AQ134)/AT134,IF(AND(AT134&gt;0,AQ134&gt;0),(AQ134-AT134)/AT134,IF(AND(AT134=0,AQ134=0),0,(AQ134-AT134)/AT134))))</f>
        <v>1</v>
      </c>
      <c r="AW134" s="62">
        <f t="shared" si="55"/>
        <v>5.9783333333333326</v>
      </c>
      <c r="AX134" s="20">
        <f>IF(AND(AW5=0,AW134&gt;=0),,AW134/AW5)</f>
        <v>2.0614942528735631E-4</v>
      </c>
      <c r="AY134" s="36"/>
      <c r="AZ134" s="62">
        <f t="shared" si="54"/>
        <v>0</v>
      </c>
      <c r="BA134" s="20">
        <f>IF(AND(AZ5=0,AZ134&gt;=0),,AZ134/AZ5)</f>
        <v>0</v>
      </c>
      <c r="BB134" s="37">
        <f t="shared" ref="BB134:BB139" si="59">IF(AND(AZ134=0,AW134&gt;0),100%,IF(AND(AZ134&lt;0,AW134=0),(AZ134-AW134)/AZ134,IF(AND(AZ134&gt;0,AW134&gt;0),(AW134-AZ134)/AZ134,IF(AND(AZ134=0,AW134=0),0,(AW134-AZ134)/AZ134))))</f>
        <v>1</v>
      </c>
    </row>
    <row r="135" spans="1:220" s="5" customFormat="1" hidden="1" outlineLevel="1" x14ac:dyDescent="0.25">
      <c r="A135" s="19"/>
      <c r="B135" s="62"/>
      <c r="C135" s="13"/>
      <c r="D135" s="36"/>
      <c r="E135" s="62"/>
      <c r="F135" s="13"/>
      <c r="G135" s="13"/>
      <c r="H135" s="53"/>
      <c r="I135" s="13"/>
      <c r="J135" s="13"/>
      <c r="K135" s="22">
        <f>IF(AND(E135=0,H135&gt;0),100%,IF(AND(E135&lt;0,H135=0),(E135-H135)/E135,IF(AND(E135&gt;0,H135&gt;0),(H135-E135)/E135,IF(AND(E135=0,H135=0),0,(H135-E135)/E135))))</f>
        <v>0</v>
      </c>
      <c r="L135" s="53"/>
      <c r="M135" s="13"/>
      <c r="N135" s="36"/>
      <c r="O135" s="62"/>
      <c r="P135" s="13"/>
      <c r="Q135" s="13"/>
      <c r="R135" s="22">
        <f>IF(AND(H135=0,O135&gt;0),100%,IF(AND(H135&lt;0,O135=0),(H135-O135)/H135,IF(AND(H135&gt;0,O135&gt;0),(O135-H135)/H135,IF(AND(H135=0,O135=0),0,(O135-H135)/H135))))</f>
        <v>0</v>
      </c>
      <c r="S135" s="53"/>
      <c r="T135" s="13"/>
      <c r="U135" s="36"/>
      <c r="V135" s="62"/>
      <c r="W135" s="13"/>
      <c r="X135" s="79">
        <f t="shared" si="57"/>
        <v>0</v>
      </c>
      <c r="Y135" s="62"/>
      <c r="Z135" s="13"/>
      <c r="AA135" s="13"/>
      <c r="AB135" s="22">
        <f t="shared" si="56"/>
        <v>0</v>
      </c>
      <c r="AC135" s="53"/>
      <c r="AD135" s="13"/>
      <c r="AE135" s="36"/>
      <c r="AF135" s="62"/>
      <c r="AG135" s="13"/>
      <c r="AH135" s="13"/>
      <c r="AI135" s="22">
        <f t="shared" si="45"/>
        <v>0</v>
      </c>
      <c r="AJ135" s="53">
        <f t="shared" si="29"/>
        <v>0</v>
      </c>
      <c r="AK135" s="13"/>
      <c r="AL135" s="36"/>
      <c r="AM135" s="62"/>
      <c r="AN135" s="13"/>
      <c r="AO135" s="13"/>
      <c r="AP135" s="22">
        <f t="shared" si="46"/>
        <v>0</v>
      </c>
      <c r="AQ135" s="53">
        <f t="shared" si="31"/>
        <v>0</v>
      </c>
      <c r="AR135" s="13"/>
      <c r="AS135" s="36"/>
      <c r="AT135" s="62">
        <f t="shared" si="53"/>
        <v>0</v>
      </c>
      <c r="AU135" s="13"/>
      <c r="AV135" s="79">
        <f t="shared" si="58"/>
        <v>0</v>
      </c>
      <c r="AW135" s="62"/>
      <c r="AX135" s="13"/>
      <c r="AY135" s="36"/>
      <c r="AZ135" s="62">
        <f t="shared" si="54"/>
        <v>0</v>
      </c>
      <c r="BA135" s="13"/>
      <c r="BB135" s="79">
        <f t="shared" si="59"/>
        <v>0</v>
      </c>
    </row>
    <row r="136" spans="1:220" s="2" customFormat="1" hidden="1" outlineLevel="1" x14ac:dyDescent="0.25">
      <c r="B136" s="63"/>
      <c r="C136" s="13"/>
      <c r="D136" s="36"/>
      <c r="E136" s="63"/>
      <c r="F136" s="13"/>
      <c r="G136" s="13"/>
      <c r="H136" s="49"/>
      <c r="I136" s="13"/>
      <c r="J136" s="13"/>
      <c r="K136" s="13">
        <f>IF(AND(E136=0,H136&gt;0),100%,IF(AND(E136&lt;0,H136=0),(E136-H136)/E136,IF(AND(E136&gt;0,H136&gt;0),(H136-E136)/E136,IF(AND(E136=0,H136=0),0,(H136-E136)/E136))))</f>
        <v>0</v>
      </c>
      <c r="L136" s="49"/>
      <c r="M136" s="13"/>
      <c r="N136" s="36"/>
      <c r="O136" s="63"/>
      <c r="P136" s="13"/>
      <c r="Q136" s="13"/>
      <c r="R136" s="13">
        <f>IF(AND(H136=0,O136&gt;0),100%,IF(AND(H136&lt;0,O136=0),(H136-O136)/H136,IF(AND(H136&gt;0,O136&gt;0),(O136-H136)/H136,IF(AND(H136=0,O136=0),0,(O136-H136)/H136))))</f>
        <v>0</v>
      </c>
      <c r="S136" s="49"/>
      <c r="T136" s="13"/>
      <c r="U136" s="36"/>
      <c r="V136" s="63"/>
      <c r="W136" s="13"/>
      <c r="X136" s="36">
        <f t="shared" si="57"/>
        <v>0</v>
      </c>
      <c r="Y136" s="63"/>
      <c r="Z136" s="13"/>
      <c r="AA136" s="13"/>
      <c r="AB136" s="13">
        <f t="shared" si="56"/>
        <v>0</v>
      </c>
      <c r="AC136" s="49"/>
      <c r="AD136" s="13"/>
      <c r="AE136" s="36"/>
      <c r="AF136" s="63"/>
      <c r="AG136" s="13"/>
      <c r="AH136" s="13"/>
      <c r="AI136" s="13">
        <f t="shared" si="45"/>
        <v>0</v>
      </c>
      <c r="AJ136" s="49">
        <f>+AC136+AF136</f>
        <v>0</v>
      </c>
      <c r="AK136" s="13"/>
      <c r="AL136" s="36"/>
      <c r="AM136" s="63"/>
      <c r="AN136" s="13"/>
      <c r="AO136" s="13"/>
      <c r="AP136" s="13">
        <f t="shared" si="46"/>
        <v>0</v>
      </c>
      <c r="AQ136" s="49">
        <f>+AJ136+AM136</f>
        <v>0</v>
      </c>
      <c r="AR136" s="13"/>
      <c r="AS136" s="36"/>
      <c r="AT136" s="62">
        <f t="shared" si="53"/>
        <v>0</v>
      </c>
      <c r="AU136" s="13"/>
      <c r="AV136" s="36">
        <f t="shared" si="58"/>
        <v>0</v>
      </c>
      <c r="AW136" s="62"/>
      <c r="AX136" s="13"/>
      <c r="AY136" s="36"/>
      <c r="AZ136" s="62">
        <f t="shared" si="54"/>
        <v>0</v>
      </c>
      <c r="BA136" s="13"/>
      <c r="BB136" s="36">
        <f t="shared" si="59"/>
        <v>0</v>
      </c>
    </row>
    <row r="137" spans="1:220" s="31" customFormat="1" ht="16.5" collapsed="1" thickBot="1" x14ac:dyDescent="0.3">
      <c r="A137" s="46" t="s">
        <v>113</v>
      </c>
      <c r="B137" s="67">
        <f>+B112-B116+B125</f>
        <v>17014.22999999997</v>
      </c>
      <c r="C137" s="47">
        <f>IF(AND(B5=0,B137&lt;=0),,B137/B5)</f>
        <v>6.4083354692279465E-2</v>
      </c>
      <c r="D137" s="48"/>
      <c r="E137" s="67">
        <f>+E112-E116+E125</f>
        <v>-520.24</v>
      </c>
      <c r="F137" s="47">
        <f>IF(AND(E5=0,E137&lt;=0),,E137/E5)</f>
        <v>-2.2797006556374212E-2</v>
      </c>
      <c r="G137" s="47"/>
      <c r="H137" s="57">
        <f>+H112-H116+H125</f>
        <v>1208.6299999999965</v>
      </c>
      <c r="I137" s="47">
        <f>IF(AND(H5=0,H137&lt;=0),,H137/H5)</f>
        <v>5.0296879889737314E-2</v>
      </c>
      <c r="J137" s="47"/>
      <c r="K137" s="47">
        <f>IF(AND(E137=0,H137&gt;0),100%,IF(AND(E137&lt;0,H137=0),(E137-H137)/E137,IF(AND(E137&gt;0,H137&gt;0),(H137-E137)/E137,IF(AND(E137=0,H137=0),0,(H137-E137)/E137))))</f>
        <v>-3.3232162079040375</v>
      </c>
      <c r="L137" s="57">
        <f>+L112-L116+L125</f>
        <v>688.38999999999407</v>
      </c>
      <c r="M137" s="47">
        <f>IF(AND(L5=0,L137&lt;=0),,L137/L5)</f>
        <v>1.4693345593618378E-2</v>
      </c>
      <c r="N137" s="48"/>
      <c r="O137" s="67">
        <f>+O112-O116+O125</f>
        <v>3355.4800000000023</v>
      </c>
      <c r="P137" s="47">
        <f>IF(AND(O5=0,O137&lt;=0),,O137/O5)</f>
        <v>0.13688969900405071</v>
      </c>
      <c r="Q137" s="47"/>
      <c r="R137" s="47">
        <f>IF(AND(H137=0,O137&gt;0),100%,IF(AND(H137&lt;0,O137=0),(H137-O137)/H137,IF(AND(H137&gt;0,O137&gt;0),(O137-H137)/H137,IF(AND(H137=0,O137=0),0,(O137-H137)/H137))))</f>
        <v>1.7762673440176167</v>
      </c>
      <c r="S137" s="57">
        <f>+S112-S116+S125</f>
        <v>4043.8699999999972</v>
      </c>
      <c r="T137" s="47">
        <f>IF(AND(S5=0,S137&lt;=0),,S137/S5)</f>
        <v>5.666639808583606E-2</v>
      </c>
      <c r="U137" s="48"/>
      <c r="V137" s="67">
        <f>+V112-V116+V125</f>
        <v>764.91000000000349</v>
      </c>
      <c r="W137" s="47">
        <f>IF(AND(V5=0,V137&lt;=0),,V137/V5)</f>
        <v>1.3419473684210587E-2</v>
      </c>
      <c r="X137" s="48">
        <f t="shared" si="57"/>
        <v>4.2867265429919579</v>
      </c>
      <c r="Y137" s="67">
        <f>+Y112-Y116+Y125</f>
        <v>1810.8299999999979</v>
      </c>
      <c r="Z137" s="47">
        <f>IF(AND(Y5=0,Y137&lt;=0),,Y137/Y5)</f>
        <v>7.7508121781784012E-2</v>
      </c>
      <c r="AA137" s="47"/>
      <c r="AB137" s="47">
        <f t="shared" si="56"/>
        <v>-0.460336524133657</v>
      </c>
      <c r="AC137" s="57">
        <f>+AC112-AC116+AC125</f>
        <v>5854.7000000000025</v>
      </c>
      <c r="AD137" s="47">
        <f>IF(AND(AC5=0,AC137&lt;=0),,AC137/AC5)</f>
        <v>6.1806782414726306E-2</v>
      </c>
      <c r="AE137" s="48"/>
      <c r="AF137" s="67">
        <f>+AF112-AF116+AF125</f>
        <v>4871.8900000000003</v>
      </c>
      <c r="AG137" s="47">
        <f>IF(AND(AF5=0,AF137&lt;=0),,AF137/AF5)</f>
        <v>0.15209869405087742</v>
      </c>
      <c r="AH137" s="47"/>
      <c r="AI137" s="47">
        <f t="shared" si="45"/>
        <v>5.3692329816579445</v>
      </c>
      <c r="AJ137" s="57">
        <f>+AC137+AF137</f>
        <v>10726.590000000004</v>
      </c>
      <c r="AK137" s="47">
        <f>IF(AND(AJ5=0,AJ137&lt;=0),,AJ137/AJ5)</f>
        <v>8.462328222450273E-2</v>
      </c>
      <c r="AL137" s="48"/>
      <c r="AM137" s="67">
        <f>+AM112-AM116+AM125</f>
        <v>3934.4300000000026</v>
      </c>
      <c r="AN137" s="47">
        <f>IF(AND(AM5=0,AM137&lt;=0),,AM137/AM5)</f>
        <v>0.1067466030127795</v>
      </c>
      <c r="AO137" s="47"/>
      <c r="AP137" s="47">
        <f t="shared" si="46"/>
        <v>-0.32798777050916345</v>
      </c>
      <c r="AQ137" s="57">
        <f>+AJ137+AM137</f>
        <v>14661.020000000006</v>
      </c>
      <c r="AR137" s="47">
        <f>IF(AND(AQ5=0,AQ137&lt;=0),,AQ137/AQ5)</f>
        <v>8.9607029005109723E-2</v>
      </c>
      <c r="AS137" s="48"/>
      <c r="AT137" s="67">
        <f>+AT112-AT116+AT125</f>
        <v>1529.820000000007</v>
      </c>
      <c r="AU137" s="47">
        <f>IF(AND(AT5=0,AT137&lt;=0),,AT137/AT5)</f>
        <v>1.3419473684210587E-2</v>
      </c>
      <c r="AV137" s="48">
        <f t="shared" si="58"/>
        <v>8.5834934828933722</v>
      </c>
      <c r="AW137" s="67">
        <f>+AW112-AW116+AW125</f>
        <v>2350.1876666666717</v>
      </c>
      <c r="AX137" s="47">
        <f>IF(AND(AW5=0,AW137&lt;=0),,AW137/AW5)</f>
        <v>8.1040954022988679E-2</v>
      </c>
      <c r="AY137" s="48"/>
      <c r="AZ137" s="67">
        <f>+AZ112-AZ116+AZ125</f>
        <v>254.97000000000025</v>
      </c>
      <c r="BA137" s="47">
        <f>IF(AND(AZ5=0,AZ137&lt;=0),,AZ137/AZ5)</f>
        <v>1.341947368421054E-2</v>
      </c>
      <c r="BB137" s="48">
        <f t="shared" si="59"/>
        <v>8.2175066347674992</v>
      </c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</row>
    <row r="138" spans="1:220" s="7" customFormat="1" ht="18" customHeight="1" collapsed="1" thickTop="1" x14ac:dyDescent="0.25">
      <c r="A138" s="16" t="s">
        <v>28</v>
      </c>
      <c r="B138" s="69">
        <v>2262.08</v>
      </c>
      <c r="C138" s="17">
        <f>IF(AND(B5=0,B138&gt;=0),,B138/B5)</f>
        <v>8.5200255893044686E-3</v>
      </c>
      <c r="D138" s="39">
        <f>IF(AND(B124=0,B138&gt;=0),"Validar",B138/B124)</f>
        <v>3.1195277461285149E-2</v>
      </c>
      <c r="E138" s="69"/>
      <c r="F138" s="17">
        <f>IF(AND(E5=0,E138&gt;=0),,E138/E5)</f>
        <v>0</v>
      </c>
      <c r="G138" s="26">
        <f>IF(AND(E124=0,E138&gt;=0),"Validar",E138/E124)</f>
        <v>0</v>
      </c>
      <c r="H138" s="51"/>
      <c r="I138" s="17">
        <f>IF(AND(H5=0,H138&gt;=0),,H138/H5)</f>
        <v>0</v>
      </c>
      <c r="J138" s="17">
        <f>IF(AND(H124=0,H138&gt;=0),,H138/H124)</f>
        <v>0</v>
      </c>
      <c r="K138" s="17">
        <f>IF(AND(E138=0,H138&gt;0),100%,IF(AND(E138&lt;0,H138=0),(E138-H138)/E138,IF(AND(E138&gt;0,H138&gt;0),(H138-E138)/E138,IF(AND(E138=0,H138=0),0,(H138-E138)/E138))))</f>
        <v>0</v>
      </c>
      <c r="L138" s="59">
        <f>+E138+H138</f>
        <v>0</v>
      </c>
      <c r="M138" s="17">
        <f>IF(AND(L5=0,L138&gt;=0),,L138/L5)</f>
        <v>0</v>
      </c>
      <c r="N138" s="39">
        <f>IF(AND(L124=0,L138&gt;=0),,L138/L124)</f>
        <v>0</v>
      </c>
      <c r="O138" s="69"/>
      <c r="P138" s="17">
        <f>IF(AND(O5=0,O138&gt;=0),,O138/O5)</f>
        <v>0</v>
      </c>
      <c r="Q138" s="17">
        <f>IF(AND(O124=0,O138&gt;=0),,O138/O124)</f>
        <v>0</v>
      </c>
      <c r="R138" s="17">
        <f>IF(AND(H138=0,O138&gt;0),100%,IF(AND(H138&lt;0,O138=0),(H138-O138)/H138,IF(AND(H138&gt;0,O138&gt;0),(O138-H138)/H138,IF(AND(H138=0,O138=0),0,(O138-H138)/H138))))</f>
        <v>0</v>
      </c>
      <c r="S138" s="59">
        <f>+L138+O138</f>
        <v>0</v>
      </c>
      <c r="T138" s="17">
        <f>IF(AND(S5=0,S138&gt;=0),,S138/S5)</f>
        <v>0</v>
      </c>
      <c r="U138" s="39">
        <f>IF(AND(S124=0,S138&gt;=0),,S138/S124)</f>
        <v>0</v>
      </c>
      <c r="V138" s="69">
        <f>166.67*3</f>
        <v>500.01</v>
      </c>
      <c r="W138" s="17">
        <f>IF(AND(V5=0,V138&gt;=0),,V138/V5)</f>
        <v>8.7721052631578953E-3</v>
      </c>
      <c r="X138" s="39">
        <f t="shared" si="57"/>
        <v>-1</v>
      </c>
      <c r="Y138" s="69"/>
      <c r="Z138" s="17">
        <f>IF(AND(Y5=0,Y138&gt;=0),,Y138/Y5)</f>
        <v>0</v>
      </c>
      <c r="AA138" s="17">
        <f>IF(AND(Y124=0,Y138&gt;=0),,Y138/Y124)</f>
        <v>0</v>
      </c>
      <c r="AB138" s="17">
        <f t="shared" si="56"/>
        <v>0</v>
      </c>
      <c r="AC138" s="59">
        <f>+S138+Y138</f>
        <v>0</v>
      </c>
      <c r="AD138" s="17">
        <f>IF(AND(AC5=0,AC138&gt;=0),,AC138/AC5)</f>
        <v>0</v>
      </c>
      <c r="AE138" s="39">
        <f>IF(AND(AC124=0,AC138&gt;=0),,AC138/AC124)</f>
        <v>0</v>
      </c>
      <c r="AF138" s="69"/>
      <c r="AG138" s="17">
        <f>IF(AND(AF5=0,AF138&gt;=0),,AF138/AF5)</f>
        <v>0</v>
      </c>
      <c r="AH138" s="17">
        <f>IF(AND(AF124=0,AF138&gt;=0),,AF138/AF124)</f>
        <v>0</v>
      </c>
      <c r="AI138" s="17">
        <f t="shared" si="45"/>
        <v>-1</v>
      </c>
      <c r="AJ138" s="59">
        <f>+AC138+AF138</f>
        <v>0</v>
      </c>
      <c r="AK138" s="17">
        <f>IF(AND(AJ5=0,AJ138&gt;=0),,AJ138/AJ5)</f>
        <v>0</v>
      </c>
      <c r="AL138" s="39">
        <f>IF(AND(AJ124=0,AJ138&gt;=0),,AJ138/AJ124)</f>
        <v>0</v>
      </c>
      <c r="AM138" s="69"/>
      <c r="AN138" s="17">
        <f>IF(AND(AM5=0,AM138&gt;=0),,AM138/AM5)</f>
        <v>0</v>
      </c>
      <c r="AO138" s="17">
        <f>IF(AND(AM124=0,AM138&gt;=0),,AM138/AM124)</f>
        <v>0</v>
      </c>
      <c r="AP138" s="17">
        <f t="shared" si="46"/>
        <v>0</v>
      </c>
      <c r="AQ138" s="59">
        <f>+AJ138+AM138</f>
        <v>0</v>
      </c>
      <c r="AR138" s="17">
        <f>IF(AND(AQ5=0,AQ138&gt;=0),,AQ138/AQ5)</f>
        <v>0</v>
      </c>
      <c r="AS138" s="39">
        <f>IF(AND(AQ124=0,AQ138&gt;=0),,AQ138/AQ124)</f>
        <v>0</v>
      </c>
      <c r="AT138" s="69">
        <f>+V138*2</f>
        <v>1000.02</v>
      </c>
      <c r="AU138" s="17">
        <f>IF(AND(AT5=0,AT138&gt;=0),,AT138/AT5)</f>
        <v>8.7721052631578953E-3</v>
      </c>
      <c r="AV138" s="39">
        <f t="shared" si="58"/>
        <v>-1</v>
      </c>
      <c r="AW138" s="69">
        <v>250</v>
      </c>
      <c r="AX138" s="17">
        <f>IF(AND(AW5=0,AW138&gt;=0),,AW138/AW5)</f>
        <v>8.6206896551724137E-3</v>
      </c>
      <c r="AY138" s="39">
        <f>IF(AND(AW124=0,AW138&gt;=0),,AW138/AW124)</f>
        <v>3.31686810522627E-2</v>
      </c>
      <c r="AZ138" s="69">
        <f>+AT138/6</f>
        <v>166.67</v>
      </c>
      <c r="BA138" s="17">
        <f>IF(AND(AZ5=0,AZ138&gt;=0),,AZ138/AZ5)</f>
        <v>8.7721052631578936E-3</v>
      </c>
      <c r="BB138" s="39">
        <f t="shared" si="59"/>
        <v>0.49997000059998814</v>
      </c>
    </row>
    <row r="139" spans="1:220" s="31" customFormat="1" ht="16.5" thickBot="1" x14ac:dyDescent="0.3">
      <c r="A139" s="46" t="s">
        <v>114</v>
      </c>
      <c r="B139" s="67">
        <f>+B137-B138</f>
        <v>14752.149999999971</v>
      </c>
      <c r="C139" s="47">
        <f>IF(AND(B5=0,B139&lt;=0),,B139/B5)</f>
        <v>5.5563329102974998E-2</v>
      </c>
      <c r="D139" s="48"/>
      <c r="E139" s="67">
        <f>+E137-E138</f>
        <v>-520.24</v>
      </c>
      <c r="F139" s="47">
        <f>IF(AND(E5=0,E139&lt;=0),,E139/E5)</f>
        <v>-2.2797006556374212E-2</v>
      </c>
      <c r="G139" s="47"/>
      <c r="H139" s="57">
        <f>+H137-H138</f>
        <v>1208.6299999999965</v>
      </c>
      <c r="I139" s="47">
        <f>IF(AND(H5=0,H139&lt;=0),,H139/H5)</f>
        <v>5.0296879889737314E-2</v>
      </c>
      <c r="J139" s="47"/>
      <c r="K139" s="47">
        <f>IF(AND(E139=0,H139&gt;0),100%,IF(AND(E139&lt;0,H139=0),(E139-H139)/E139,IF(AND(E139&gt;0,H139&gt;0),(H139-E139)/E139,IF(AND(E139=0,H139=0),0,(H139-E139)/E139))))</f>
        <v>-3.3232162079040375</v>
      </c>
      <c r="L139" s="57">
        <f>+L137-L138</f>
        <v>688.38999999999407</v>
      </c>
      <c r="M139" s="47">
        <f>IF(AND(L5=0,L139&lt;=0),,L139/L5)</f>
        <v>1.4693345593618378E-2</v>
      </c>
      <c r="N139" s="48"/>
      <c r="O139" s="67">
        <f>+O137-O138</f>
        <v>3355.4800000000023</v>
      </c>
      <c r="P139" s="47">
        <f>IF(AND(O5=0,O139&lt;=0),,O139/O5)</f>
        <v>0.13688969900405071</v>
      </c>
      <c r="Q139" s="47"/>
      <c r="R139" s="47">
        <f>IF(AND(H139=0,O139&gt;0),100%,IF(AND(H139&lt;0,O139=0),(H139-O139)/H139,IF(AND(H139&gt;0,O139&gt;0),(O139-H139)/H139,IF(AND(H139=0,O139=0),0,(O139-H139)/H139))))</f>
        <v>1.7762673440176167</v>
      </c>
      <c r="S139" s="57">
        <f>+S137-S138</f>
        <v>4043.8699999999972</v>
      </c>
      <c r="T139" s="47">
        <f>IF(AND(S5=0,S139&lt;=0),,S139/S5)</f>
        <v>5.666639808583606E-2</v>
      </c>
      <c r="U139" s="48"/>
      <c r="V139" s="67">
        <f>+V137-V138</f>
        <v>264.9000000000035</v>
      </c>
      <c r="W139" s="47">
        <f>IF(AND(V5=0,V139&lt;=0),,V139/V5)</f>
        <v>4.6473684210526934E-3</v>
      </c>
      <c r="X139" s="48">
        <f t="shared" si="57"/>
        <v>14.265647414118323</v>
      </c>
      <c r="Y139" s="67">
        <f>+Y137-Y138</f>
        <v>1810.8299999999979</v>
      </c>
      <c r="Z139" s="47">
        <f>IF(AND(Y5=0,Y139&lt;=0),,Y139/Y5)</f>
        <v>7.7508121781784012E-2</v>
      </c>
      <c r="AA139" s="47"/>
      <c r="AB139" s="47">
        <f t="shared" si="56"/>
        <v>-0.460336524133657</v>
      </c>
      <c r="AC139" s="57">
        <f>+AC137-AC138</f>
        <v>5854.7000000000025</v>
      </c>
      <c r="AD139" s="47">
        <f>IF(AND(AC5=0,AC139&lt;=0),,AC139/AC5)</f>
        <v>6.1806782414726306E-2</v>
      </c>
      <c r="AE139" s="48"/>
      <c r="AF139" s="67">
        <f>+AF137-AF138</f>
        <v>4871.8900000000003</v>
      </c>
      <c r="AG139" s="47">
        <f>IF(AND(AF5=0,AF139&lt;=0),,AF139/AF5)</f>
        <v>0.15209869405087742</v>
      </c>
      <c r="AH139" s="47"/>
      <c r="AI139" s="47">
        <f t="shared" si="45"/>
        <v>17.39143072857658</v>
      </c>
      <c r="AJ139" s="57">
        <f>+AC139+AF139</f>
        <v>10726.590000000004</v>
      </c>
      <c r="AK139" s="47">
        <f>IF(AND(AJ5=0,AJ139&lt;=0),,AJ139/AJ5)</f>
        <v>8.462328222450273E-2</v>
      </c>
      <c r="AL139" s="48"/>
      <c r="AM139" s="67">
        <f>+AM137-AM138</f>
        <v>3934.4300000000026</v>
      </c>
      <c r="AN139" s="47">
        <f>IF(AND(AM5=0,AM139&lt;=0),,AM139/AM5)</f>
        <v>0.1067466030127795</v>
      </c>
      <c r="AO139" s="47"/>
      <c r="AP139" s="47">
        <f t="shared" si="46"/>
        <v>-0.32798777050916345</v>
      </c>
      <c r="AQ139" s="57">
        <f>+AJ139+AM139</f>
        <v>14661.020000000006</v>
      </c>
      <c r="AR139" s="47">
        <f>IF(AND(AQ5=0,AQ139&lt;=0),,AQ139/AQ5)</f>
        <v>8.9607029005109723E-2</v>
      </c>
      <c r="AS139" s="48"/>
      <c r="AT139" s="67">
        <f>+AT137-AT138</f>
        <v>529.800000000007</v>
      </c>
      <c r="AU139" s="47">
        <f>IF(AND(AT5=0,AT139&lt;=0),,AT139/AT5)</f>
        <v>4.6473684210526934E-3</v>
      </c>
      <c r="AV139" s="48">
        <f t="shared" si="58"/>
        <v>26.672744431860725</v>
      </c>
      <c r="AW139" s="67">
        <f>+AW137-AW138</f>
        <v>2100.1876666666717</v>
      </c>
      <c r="AX139" s="47">
        <f>IF(AND(AW5=0,AW139&lt;=0),,AW139/AW5)</f>
        <v>7.2420264367816262E-2</v>
      </c>
      <c r="AY139" s="48"/>
      <c r="AZ139" s="67">
        <f>+AZ137-AZ138</f>
        <v>88.300000000000267</v>
      </c>
      <c r="BA139" s="47">
        <f>IF(AND(AZ5=0,AZ139&lt;=0),,AZ139/AZ5)</f>
        <v>4.6473684210526457E-3</v>
      </c>
      <c r="BB139" s="48">
        <f t="shared" si="59"/>
        <v>22.784684786711953</v>
      </c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</row>
    <row r="140" spans="1:220" s="2" customFormat="1" ht="31.15" customHeight="1" thickTop="1" x14ac:dyDescent="0.25">
      <c r="B140" s="49"/>
      <c r="C140" s="13"/>
      <c r="D140" s="13"/>
      <c r="E140" s="49"/>
      <c r="F140" s="13"/>
      <c r="G140" s="13"/>
      <c r="H140" s="49"/>
      <c r="I140" s="13"/>
      <c r="J140" s="13"/>
      <c r="K140" s="13"/>
      <c r="L140" s="49"/>
      <c r="M140" s="13"/>
      <c r="N140" s="13"/>
      <c r="O140" s="49"/>
      <c r="P140" s="13"/>
      <c r="Q140" s="13"/>
      <c r="R140" s="13"/>
      <c r="S140" s="49"/>
      <c r="T140" s="13"/>
      <c r="U140" s="13"/>
      <c r="V140" s="49">
        <f>+V124+V138</f>
        <v>18710.399999999998</v>
      </c>
      <c r="W140" s="13"/>
      <c r="X140" s="13"/>
      <c r="Y140" s="49"/>
      <c r="Z140" s="13"/>
      <c r="AA140" s="13"/>
      <c r="AB140" s="13"/>
      <c r="AC140" s="49"/>
      <c r="AD140" s="13"/>
      <c r="AE140" s="13"/>
      <c r="AF140" s="49"/>
      <c r="AG140" s="13"/>
      <c r="AH140" s="13"/>
      <c r="AI140" s="13"/>
      <c r="AJ140" s="49"/>
      <c r="AK140" s="13"/>
      <c r="AL140" s="13"/>
      <c r="AM140" s="49"/>
      <c r="AN140" s="13"/>
      <c r="AO140" s="13"/>
      <c r="AP140" s="13"/>
      <c r="AQ140" s="49">
        <f>+AQ139/6</f>
        <v>2443.5033333333345</v>
      </c>
      <c r="AR140" s="13"/>
      <c r="AS140" s="13"/>
      <c r="AT140" s="49"/>
      <c r="AU140" s="13"/>
      <c r="AV140" s="13"/>
      <c r="AW140" s="49"/>
      <c r="AX140" s="13"/>
      <c r="AY140" s="13"/>
      <c r="AZ140" s="49"/>
      <c r="BA140" s="13"/>
      <c r="BB140" s="13"/>
      <c r="BC140" s="199" t="s">
        <v>133</v>
      </c>
      <c r="BD140" s="88" t="s">
        <v>134</v>
      </c>
      <c r="BE140" s="88" t="s">
        <v>135</v>
      </c>
      <c r="BF140" s="88" t="s">
        <v>136</v>
      </c>
      <c r="BG140" s="88" t="s">
        <v>137</v>
      </c>
      <c r="BH140" s="88" t="s">
        <v>138</v>
      </c>
    </row>
    <row r="141" spans="1:220" s="2" customFormat="1" ht="15.75" x14ac:dyDescent="0.25">
      <c r="A141" s="83" t="s">
        <v>132</v>
      </c>
      <c r="B141" s="84"/>
      <c r="C141" s="85">
        <f>+C5-C23-C39-C116+C125-C138</f>
        <v>5.5563329102975026E-2</v>
      </c>
      <c r="D141" s="85">
        <f>+D41+D42+D43+D44+D45+D46+D47+D48+D49+D50+D51+D52+D53+D54+D55+D56+D57+D58+D59+D60+D61+D62+D63+D64+D65+D66+D67+D68+D70+D71+D72+D73+D74+D75+D76+D77+D78+D79+D80+D81+D82+D83+D85+D86+D87+D88+D89+D90+D91+D92+D94+D95+D96+D97+D98+D99+D100+D101+D102+D103+D105+D106+D107+D110+D117+D118+D119+D120+D121+D122+D123</f>
        <v>0.99999999999999933</v>
      </c>
      <c r="E141" s="84"/>
      <c r="F141" s="85">
        <f>+F5-F23-F39-F116+F125-F138</f>
        <v>-2.2797006556374236E-2</v>
      </c>
      <c r="G141" s="85">
        <f>+G41+G42+G43+G44+G45+G46+G47+G48+G49+G50+G51+G52+G53+G54+G55+G56+G57+G58+G59+G60+G61+G62+G63+G64+G65+G66+G67+G68+G70+G71+G72+G73+G74+G75+G76+G77+G78+G79+G80+G81+G82+G83+G85+G86+G87+G88+G89+G90+G91+G92+G94+G95+G96+G97+G98+G99+G100+G101+G102+G103+G105+G106+G107+G110+G117+G118+G119+G120+G121+G122+G123</f>
        <v>0.99999999999999978</v>
      </c>
      <c r="H141" s="84"/>
      <c r="I141" s="85">
        <f>+I5-I23-I39-I116+I125-I138</f>
        <v>5.0296879889737335E-2</v>
      </c>
      <c r="J141" s="85">
        <f>+J41+J42+J43+J44+J45+J46+J47+J48+J49+J50+J51+J52+J53+J54+J55+J56+J57+J58+J59+J60+J61+J62+J63+J64+J65+J66+J67+J68+J70+J71+J72+J73+J74+J75+J76+J77+J78+J79+J80+J81+J82+J83+J85+J86+J87+J88+J89+J90+J91+J92+J94+J95+J96+J97+J98+J99+J100+J101+J102+J103+J105+J106+J107+J110+J117+J118+J119+J120+J121+J122+J123</f>
        <v>0.99999999999999978</v>
      </c>
      <c r="K141" s="85"/>
      <c r="L141" s="84"/>
      <c r="M141" s="85">
        <f>+M5-M23-M39-M116+M125-M138</f>
        <v>1.4693345593618382E-2</v>
      </c>
      <c r="N141" s="85">
        <f>+N41+N42+N43+N44+N45+N46+N47+N48+N49+N50+N51+N52+N53+N54+N55+N56+N57+N58+N59+N60+N61+N62+N63+N64+N65+N66+N67+N68+N70+N71+N72+N73+N74+N75+N76+N77+N78+N79+N80+N81+N82+N83+N85+N86+N87+N88+N89+N90+N91+N92+N94+N95+N96+N97+N98+N99+N100+N101+N102+N103+N105+N106+N107+N110+N117+N118+N119+N120+N121+N122+N123</f>
        <v>1</v>
      </c>
      <c r="O141" s="84"/>
      <c r="P141" s="85">
        <f>+P5-P23-P39-P116+P125-P138</f>
        <v>0.13688969900405074</v>
      </c>
      <c r="Q141" s="85">
        <f>+Q41+Q42+Q43+Q44+Q45+Q46+Q47+Q48+Q49+Q50+Q51+Q52+Q53+Q54+Q55+Q56+Q57+Q58+Q59+Q60+Q61+Q62+Q63+Q64+Q65+Q66+Q67+Q68+Q70+Q71+Q72+Q73+Q74+Q75+Q76+Q77+Q78+Q79+Q80+Q81+Q82+Q83+Q85+Q86+Q87+Q88+Q89+Q90+Q91+Q92+Q94+Q95+Q96+Q97+Q98+Q99+Q100+Q101+Q102+Q103+Q105+Q106+Q107+Q110+Q117+Q118+Q119+Q120+Q121+Q122+Q123</f>
        <v>0.99999999999999978</v>
      </c>
      <c r="R141" s="85"/>
      <c r="S141" s="84"/>
      <c r="T141" s="85">
        <f>+T5-T23-T39-T116+T125-T138</f>
        <v>5.6666398085836109E-2</v>
      </c>
      <c r="U141" s="85">
        <f>+U41+U42+U43+U44+U45+U46+U47+U48+U49+U50+U51+U52+U53+U54+U55+U56+U57+U58+U59+U60+U61+U62+U63+U64+U65+U66+U67+U68+U70+U71+U72+U73+U74+U75+U76+U77+U78+U79+U80+U81+U82+U83+U85+U86+U87+U88+U89+U90+U91+U92+U94+U95+U96+U97+U98+U99+U100+U101+U102+U103+U105+U106+U107+U110+U117+U118+U119+U120+U121+U122+U123</f>
        <v>1</v>
      </c>
      <c r="V141" s="84"/>
      <c r="W141" s="85">
        <f>+W5-W23-W39-W116+W125-W138</f>
        <v>4.6473684210527177E-3</v>
      </c>
      <c r="X141" s="85"/>
      <c r="Y141" s="84"/>
      <c r="Z141" s="85">
        <f>+Z5-Z23-Z39-Z116+Z125-Z138</f>
        <v>7.7508121781784053E-2</v>
      </c>
      <c r="AA141" s="85">
        <f>+AA41+AA42+AA43+AA44+AA45+AA46+AA47+AA48+AA49+AA50+AA51+AA52+AA53+AA54+AA55+AA56+AA57+AA58+AA59+AA60+AA61+AA62+AA63+AA64+AA65+AA66+AA67+AA68+AA70+AA71+AA72+AA73+AA74+AA75+AA76+AA77+AA78+AA79+AA80+AA81+AA82+AA83+AA85+AA86+AA87+AA88+AA89+AA90+AA91+AA92+AA94+AA95+AA96+AA97+AA98+AA99+AA100+AA101+AA102+AA103+AA105+AA106+AA107+AA110+AA117+AA118+AA119+AA120+AA121+AA122+AA123</f>
        <v>0.99999999999999989</v>
      </c>
      <c r="AB141" s="85"/>
      <c r="AC141" s="84"/>
      <c r="AD141" s="85">
        <f>+AD5-AD23-AD39-AD116+AD125-AD138</f>
        <v>6.1806782414726251E-2</v>
      </c>
      <c r="AE141" s="85">
        <f>+AE41+AE42+AE43+AE44+AE45+AE46+AE47+AE48+AE49+AE50+AE51+AE52+AE53+AE54+AE55+AE56+AE57+AE58+AE59+AE60+AE61+AE62+AE63+AE64+AE65+AE66+AE67+AE68+AE70+AE71+AE72+AE73+AE74+AE75+AE76+AE77+AE78+AE79+AE80+AE81+AE82+AE83+AE85+AE86+AE87+AE88+AE89+AE90+AE91+AE92+AE94+AE95+AE96+AE97+AE98+AE99+AE100+AE101+AE102+AE103+AE105+AE106+AE107+AE110+AE117+AE118+AE119+AE120+AE121+AE122+AE123</f>
        <v>0.99999999999999989</v>
      </c>
      <c r="AF141" s="84"/>
      <c r="AG141" s="85">
        <f>+AG5-AG23-AG39-AG116+AG125-AG138</f>
        <v>0.15209869405087739</v>
      </c>
      <c r="AH141" s="85">
        <f>+AH41+AH42+AH43+AH44+AH45+AH46+AH47+AH48+AH49+AH50+AH51+AH52+AH53+AH54+AH55+AH56+AH57+AH58+AH59+AH60+AH61+AH62+AH63+AH64+AH65+AH66+AH67+AH68+AH70+AH71+AH72+AH73+AH74+AH75+AH76+AH77+AH78+AH79+AH80+AH81+AH82+AH83+AH85+AH86+AH87+AH88+AH89+AH90+AH91+AH92+AH94+AH95+AH96+AH97+AH98+AH99+AH100+AH101+AH102+AH103+AH105+AH106+AH107+AH110+AH117+AH118+AH119+AH120+AH121+AH122+AH123</f>
        <v>1.0000000000000002</v>
      </c>
      <c r="AI141" s="85"/>
      <c r="AJ141" s="84"/>
      <c r="AK141" s="85">
        <f>+AK5-AK23-AK39-AK116+AK125-AK138</f>
        <v>8.4623282224502702E-2</v>
      </c>
      <c r="AL141" s="85">
        <f>+AL41+AL42+AL43+AL44+AL45+AL46+AL47+AL48+AL49+AL50+AL51+AL52+AL53+AL54+AL55+AL56+AL57+AL58+AL59+AL60+AL61+AL62+AL63+AL64+AL65+AL66+AL67+AL68+AL70+AL71+AL72+AL73+AL74+AL75+AL76+AL77+AL78+AL79+AL80+AL81+AL82+AL83+AL85+AL86+AL87+AL88+AL89+AL90+AL91+AL92+AL94+AL95+AL96+AL97+AL98+AL99+AL100+AL101+AL102+AL103+AL105+AL106+AL107+AL110+AL117+AL118+AL119+AL120+AL121+AL122+AL123</f>
        <v>1.0000000000000002</v>
      </c>
      <c r="AM141" s="84"/>
      <c r="AN141" s="85">
        <f>+AN5-AN23-AN39-AN116+AN125-AN138</f>
        <v>0.10674660301277943</v>
      </c>
      <c r="AO141" s="85">
        <f>+AO41+AO42+AO43+AO44+AO45+AO46+AO47+AO48+AO49+AO50+AO51+AO52+AO53+AO54+AO55+AO56+AO57+AO58+AO59+AO60+AO61+AO62+AO63+AO64+AO65+AO66+AO67+AO68+AO70+AO71+AO72+AO73+AO74+AO75+AO76+AO77+AO78+AO79+AO80+AO81+AO82+AO83+AO85+AO86+AO87+AO88+AO89+AO90+AO91+AO92+AO94+AO95+AO96+AO97+AO98+AO99+AO100+AO101+AO102+AO103+AO105+AO106+AO107+AO110+AO117+AO118+AO119+AO120+AO121+AO122+AO123</f>
        <v>1</v>
      </c>
      <c r="AP141" s="85"/>
      <c r="AQ141" s="84"/>
      <c r="AR141" s="85">
        <f>+AR5-AR23-AR39-AR116+AR125-AR138</f>
        <v>8.9607029005109584E-2</v>
      </c>
      <c r="AS141" s="85">
        <f>+AS41+AS42+AS43+AS44+AS45+AS46+AS47+AS48+AS49+AS50+AS51+AS52+AS53+AS54+AS55+AS56+AS57+AS58+AS59+AS60+AS61+AS62+AS63+AS64+AS65+AS66+AS67+AS68+AS70+AS71+AS72+AS73+AS74+AS75+AS76+AS77+AS78+AS79+AS80+AS81+AS82+AS83+AS85+AS86+AS87+AS88+AS89+AS90+AS91+AS92+AS94+AS95+AS96+AS97+AS98+AS99+AS100+AS101+AS102+AS103+AS105+AS106+AS107+AS110+AS117+AS118+AS119+AS120+AS121+AS122+AS123</f>
        <v>1</v>
      </c>
      <c r="AT141" s="84">
        <f>+AT139/6</f>
        <v>88.300000000001162</v>
      </c>
      <c r="AU141" s="85">
        <f>+AU5-AU23-AU39-AU116+AU125-AU138</f>
        <v>4.6473684210527177E-3</v>
      </c>
      <c r="AV141" s="85"/>
      <c r="AW141" s="84">
        <f>+BF141</f>
        <v>72.5</v>
      </c>
      <c r="AX141" s="85">
        <f>IF(AND(AW5=0,AW141&gt;=0),,AW141/AW5)</f>
        <v>2.5000000000000001E-3</v>
      </c>
      <c r="AY141" s="13"/>
      <c r="AZ141" s="49"/>
      <c r="BA141" s="13"/>
      <c r="BB141" s="13"/>
      <c r="BC141" s="200"/>
      <c r="BD141" s="89">
        <v>29000</v>
      </c>
      <c r="BE141" s="87">
        <v>2.5000000000000001E-3</v>
      </c>
      <c r="BF141" s="86">
        <f>+BD141*BE141</f>
        <v>72.5</v>
      </c>
      <c r="BG141" s="87">
        <v>0.34</v>
      </c>
      <c r="BH141" s="89">
        <f>+BD141*BG141</f>
        <v>9860</v>
      </c>
    </row>
    <row r="142" spans="1:220" s="2" customFormat="1" ht="16.5" thickBot="1" x14ac:dyDescent="0.3">
      <c r="A142" s="46" t="s">
        <v>114</v>
      </c>
      <c r="B142" s="67">
        <f>+B140-B141</f>
        <v>0</v>
      </c>
      <c r="C142" s="47">
        <f>IF(AND(B8=0,B142&lt;=0),,B142/B8)</f>
        <v>0</v>
      </c>
      <c r="D142" s="48"/>
      <c r="E142" s="67">
        <f>+E140-E141</f>
        <v>0</v>
      </c>
      <c r="F142" s="47">
        <f>IF(AND(E8=0,E142&lt;=0),,E142/E8)</f>
        <v>0</v>
      </c>
      <c r="G142" s="47"/>
      <c r="H142" s="57">
        <f>+H140-H141</f>
        <v>0</v>
      </c>
      <c r="I142" s="47">
        <f>IF(AND(H8=0,H142&lt;=0),,H142/H8)</f>
        <v>0</v>
      </c>
      <c r="J142" s="47"/>
      <c r="K142" s="47">
        <f>IF(AND(E142=0,H142&gt;0),100%,IF(AND(E142&lt;0,H142=0),(E142-H142)/E142,IF(AND(E142&gt;0,H142&gt;0),(H142-E142)/E142,IF(AND(E142=0,H142=0),0,(H142-E142)/E142))))</f>
        <v>0</v>
      </c>
      <c r="L142" s="57">
        <f>+L140-L141</f>
        <v>0</v>
      </c>
      <c r="M142" s="47">
        <f>IF(AND(L8=0,L142&lt;=0),,L142/L8)</f>
        <v>0</v>
      </c>
      <c r="N142" s="48"/>
      <c r="O142" s="67">
        <f>+O140-O141</f>
        <v>0</v>
      </c>
      <c r="P142" s="47">
        <f>IF(AND(O8=0,O142&lt;=0),,O142/O8)</f>
        <v>0</v>
      </c>
      <c r="Q142" s="47"/>
      <c r="R142" s="47">
        <f>IF(AND(H142=0,O142&gt;0),100%,IF(AND(H142&lt;0,O142=0),(H142-O142)/H142,IF(AND(H142&gt;0,O142&gt;0),(O142-H142)/H142,IF(AND(H142=0,O142=0),0,(O142-H142)/H142))))</f>
        <v>0</v>
      </c>
      <c r="S142" s="57">
        <f>+S140-S141</f>
        <v>0</v>
      </c>
      <c r="T142" s="47">
        <f>IF(AND(S8=0,S142&lt;=0),,S142/S8)</f>
        <v>0</v>
      </c>
      <c r="U142" s="48"/>
      <c r="V142" s="67">
        <f>+V140-V141</f>
        <v>18710.399999999998</v>
      </c>
      <c r="W142" s="47" t="e">
        <f>IF(AND(V8=0,V142&lt;=0),,V142/V8)</f>
        <v>#DIV/0!</v>
      </c>
      <c r="X142" s="48">
        <f>IF(AND(V142=0,S142&gt;0),100%,IF(AND(V142&lt;0,S142=0),(V142-S142)/V142,IF(AND(V142&gt;0,S142&gt;0),(S142-V142)/V142,IF(AND(V142=0,S142=0),0,(S142-V142)/V142))))</f>
        <v>-1</v>
      </c>
      <c r="Y142" s="67">
        <f>+Y140-Y141</f>
        <v>0</v>
      </c>
      <c r="Z142" s="47">
        <f>IF(AND(Y8=0,Y142&lt;=0),,Y142/Y8)</f>
        <v>0</v>
      </c>
      <c r="AA142" s="47"/>
      <c r="AB142" s="47">
        <f>IF(AND(O142=0,Y142&gt;0),100%,IF(AND(O142&lt;0,Y142=0),(O142-Y142)/O142,IF(AND(O142&gt;0,Y142&gt;0),(Y142-O142)/O142,IF(AND(O142=0,Y142=0),0,(Y142-O142)/O142))))</f>
        <v>0</v>
      </c>
      <c r="AC142" s="57">
        <f>+AC140-AC141</f>
        <v>0</v>
      </c>
      <c r="AD142" s="47">
        <f>IF(AND(AC8=0,AC142&lt;=0),,AC142/AC8)</f>
        <v>0</v>
      </c>
      <c r="AE142" s="48"/>
      <c r="AF142" s="67">
        <f>+AF140-AF141</f>
        <v>0</v>
      </c>
      <c r="AG142" s="47">
        <f>IF(AND(AF8=0,AF142&lt;=0),,AF142/AF8)</f>
        <v>0</v>
      </c>
      <c r="AH142" s="47"/>
      <c r="AI142" s="47">
        <f>IF(AND(V142=0,AF142&gt;0),100%,IF(AND(V142&lt;0,AF142=0),(V142-AF142)/V142,IF(AND(V142&gt;0,AF142&gt;0),(AF142-V142)/V142,IF(AND(V142=0,AF142=0),0,(AF142-V142)/V142))))</f>
        <v>-1</v>
      </c>
      <c r="AJ142" s="57">
        <f>+AC142+AF142</f>
        <v>0</v>
      </c>
      <c r="AK142" s="47">
        <f>IF(AND(AJ8=0,AJ142&lt;=0),,AJ142/AJ8)</f>
        <v>0</v>
      </c>
      <c r="AL142" s="48"/>
      <c r="AM142" s="67">
        <f>+AM140-AM141</f>
        <v>0</v>
      </c>
      <c r="AN142" s="47">
        <f>IF(AND(AM8=0,AM142&lt;=0),,AM142/AM8)</f>
        <v>0</v>
      </c>
      <c r="AO142" s="47"/>
      <c r="AP142" s="47">
        <f>IF(AND(AC142=0,AM142&gt;0),100%,IF(AND(AC142&lt;0,AM142=0),(AC142-AM142)/AC142,IF(AND(AC142&gt;0,AM142&gt;0),(AM142-AC142)/AC142,IF(AND(AC142=0,AM142=0),0,(AM142-AC142)/AC142))))</f>
        <v>0</v>
      </c>
      <c r="AQ142" s="57">
        <f>+AJ142+AM142</f>
        <v>0</v>
      </c>
      <c r="AR142" s="47">
        <f>IF(AND(AQ8=0,AQ142&lt;=0),,AQ142/AQ8)</f>
        <v>0</v>
      </c>
      <c r="AS142" s="48"/>
      <c r="AT142" s="67">
        <f>+AT140-AT141</f>
        <v>-88.300000000001162</v>
      </c>
      <c r="AU142" s="47">
        <f>IF(AND(AT8=0,AT142&lt;=0),,AT142/AT8)</f>
        <v>0</v>
      </c>
      <c r="AV142" s="48">
        <f>IF(AND(AT142=0,AQ142&gt;0),100%,IF(AND(AT142&lt;0,AQ142=0),(AT142-AQ142)/AT142,IF(AND(AT142&gt;0,AQ142&gt;0),(AQ142-AT142)/AT142,IF(AND(AT142=0,AQ142=0),0,(AQ142-AT142)/AT142))))</f>
        <v>1</v>
      </c>
      <c r="AW142" s="67">
        <f>+AW139-AW141</f>
        <v>2027.6876666666717</v>
      </c>
      <c r="AX142" s="47">
        <f>IF(AND(AW5=0,AW142&lt;=0),,AW142/AW5)</f>
        <v>6.9920264367816259E-2</v>
      </c>
      <c r="AY142" s="13"/>
      <c r="AZ142" s="49"/>
      <c r="BA142" s="13"/>
      <c r="BB142" s="13"/>
    </row>
    <row r="143" spans="1:220" s="2" customFormat="1" ht="15.75" thickTop="1" x14ac:dyDescent="0.25">
      <c r="B143" s="49"/>
      <c r="C143" s="13"/>
      <c r="D143" s="13"/>
      <c r="E143" s="49"/>
      <c r="F143" s="13"/>
      <c r="G143" s="13"/>
      <c r="H143" s="49"/>
      <c r="I143" s="13"/>
      <c r="J143" s="13"/>
      <c r="K143" s="13"/>
      <c r="L143" s="49"/>
      <c r="M143" s="13"/>
      <c r="N143" s="13"/>
      <c r="O143" s="49"/>
      <c r="P143" s="13"/>
      <c r="Q143" s="13"/>
      <c r="R143" s="13"/>
      <c r="S143" s="49"/>
      <c r="T143" s="13"/>
      <c r="U143" s="13"/>
      <c r="V143" s="49"/>
      <c r="W143" s="13"/>
      <c r="X143" s="13"/>
      <c r="Y143" s="49"/>
      <c r="Z143" s="13"/>
      <c r="AA143" s="13"/>
      <c r="AB143" s="13"/>
      <c r="AC143" s="49"/>
      <c r="AD143" s="13"/>
      <c r="AE143" s="13"/>
      <c r="AF143" s="49"/>
      <c r="AG143" s="13"/>
      <c r="AH143" s="13"/>
      <c r="AI143" s="13"/>
      <c r="AJ143" s="49"/>
      <c r="AK143" s="13"/>
      <c r="AL143" s="13"/>
      <c r="AM143" s="49"/>
      <c r="AN143" s="13"/>
      <c r="AO143" s="13"/>
      <c r="AP143" s="13"/>
      <c r="AQ143" s="49"/>
      <c r="AR143" s="13"/>
      <c r="AS143" s="13"/>
      <c r="AT143" s="49"/>
      <c r="AU143" s="13"/>
      <c r="AV143" s="13"/>
      <c r="AW143" s="49"/>
      <c r="AX143" s="13"/>
      <c r="AY143" s="13"/>
      <c r="AZ143" s="49"/>
      <c r="BA143" s="13"/>
      <c r="BB143" s="13"/>
    </row>
    <row r="144" spans="1:220" s="2" customFormat="1" x14ac:dyDescent="0.25">
      <c r="B144" s="49"/>
      <c r="C144" s="13"/>
      <c r="D144" s="13"/>
      <c r="E144" s="49"/>
      <c r="F144" s="13"/>
      <c r="G144" s="13"/>
      <c r="H144" s="49"/>
      <c r="I144" s="13"/>
      <c r="J144" s="13"/>
      <c r="K144" s="13"/>
      <c r="L144" s="49"/>
      <c r="M144" s="13"/>
      <c r="N144" s="13"/>
      <c r="O144" s="49"/>
      <c r="P144" s="13"/>
      <c r="Q144" s="13"/>
      <c r="R144" s="13"/>
      <c r="S144" s="49"/>
      <c r="T144" s="13"/>
      <c r="U144" s="13"/>
      <c r="V144" s="49"/>
      <c r="W144" s="13"/>
      <c r="X144" s="13"/>
      <c r="Y144" s="49"/>
      <c r="Z144" s="13"/>
      <c r="AA144" s="13"/>
      <c r="AB144" s="13"/>
      <c r="AC144" s="49"/>
      <c r="AD144" s="13"/>
      <c r="AE144" s="13"/>
      <c r="AF144" s="49"/>
      <c r="AG144" s="13"/>
      <c r="AH144" s="13"/>
      <c r="AI144" s="13"/>
      <c r="AJ144" s="49"/>
      <c r="AK144" s="13"/>
      <c r="AL144" s="13"/>
      <c r="AM144" s="49"/>
      <c r="AN144" s="13"/>
      <c r="AO144" s="13"/>
      <c r="AP144" s="13"/>
      <c r="AQ144" s="49"/>
      <c r="AR144" s="13"/>
      <c r="AS144" s="13"/>
      <c r="AT144" s="49"/>
      <c r="AU144" s="13"/>
      <c r="AV144" s="13"/>
      <c r="AW144" s="49"/>
      <c r="AX144" s="13"/>
      <c r="AY144" s="13"/>
      <c r="AZ144" s="49"/>
      <c r="BA144" s="13"/>
      <c r="BB144" s="13"/>
    </row>
    <row r="145" spans="2:54" s="2" customFormat="1" x14ac:dyDescent="0.25">
      <c r="B145" s="49"/>
      <c r="C145" s="13"/>
      <c r="D145" s="13"/>
      <c r="E145" s="76"/>
      <c r="F145" s="77"/>
      <c r="G145" s="77"/>
      <c r="H145" s="76"/>
      <c r="I145" s="13"/>
      <c r="J145" s="13"/>
      <c r="K145" s="13"/>
      <c r="L145" s="49"/>
      <c r="M145" s="13"/>
      <c r="N145" s="13"/>
      <c r="O145" s="49"/>
      <c r="P145" s="13"/>
      <c r="Q145" s="13"/>
      <c r="R145" s="13"/>
      <c r="S145" s="49"/>
      <c r="T145" s="13"/>
      <c r="U145" s="13"/>
      <c r="V145" s="49"/>
      <c r="W145" s="13"/>
      <c r="X145" s="13"/>
      <c r="Y145" s="49"/>
      <c r="Z145" s="13"/>
      <c r="AA145" s="13"/>
      <c r="AB145" s="13"/>
      <c r="AC145" s="49"/>
      <c r="AD145" s="13"/>
      <c r="AE145" s="13"/>
      <c r="AF145" s="49"/>
      <c r="AG145" s="13"/>
      <c r="AH145" s="13"/>
      <c r="AI145" s="13"/>
      <c r="AJ145" s="49"/>
      <c r="AK145" s="13"/>
      <c r="AL145" s="13"/>
      <c r="AM145" s="49"/>
      <c r="AN145" s="13"/>
      <c r="AO145" s="13"/>
      <c r="AP145" s="13"/>
      <c r="AQ145" s="49"/>
      <c r="AR145" s="13"/>
      <c r="AS145" s="13"/>
      <c r="AT145" s="49"/>
      <c r="AU145" s="13"/>
      <c r="AV145" s="13"/>
      <c r="AW145" s="49"/>
      <c r="AX145" s="13"/>
      <c r="AY145" s="13"/>
      <c r="AZ145" s="49"/>
      <c r="BA145" s="13"/>
      <c r="BB145" s="13"/>
    </row>
    <row r="146" spans="2:54" s="2" customFormat="1" x14ac:dyDescent="0.25">
      <c r="B146" s="49"/>
      <c r="C146" s="13"/>
      <c r="D146" s="13"/>
      <c r="E146" s="49"/>
      <c r="F146" s="13"/>
      <c r="G146" s="13"/>
      <c r="H146" s="49"/>
      <c r="I146" s="13"/>
      <c r="J146" s="13"/>
      <c r="K146" s="82"/>
      <c r="L146" s="49"/>
      <c r="M146" s="13"/>
      <c r="N146" s="13"/>
      <c r="O146" s="49"/>
      <c r="P146" s="13"/>
      <c r="Q146" s="13"/>
      <c r="R146" s="13"/>
      <c r="S146" s="49"/>
      <c r="T146" s="13"/>
      <c r="U146" s="13"/>
      <c r="V146" s="49"/>
      <c r="W146" s="13"/>
      <c r="X146" s="13"/>
      <c r="Y146" s="49"/>
      <c r="Z146" s="13"/>
      <c r="AA146" s="13"/>
      <c r="AB146" s="13"/>
      <c r="AC146" s="49"/>
      <c r="AD146" s="13"/>
      <c r="AE146" s="13"/>
      <c r="AF146" s="49"/>
      <c r="AG146" s="13"/>
      <c r="AH146" s="13"/>
      <c r="AI146" s="13"/>
      <c r="AJ146" s="49"/>
      <c r="AK146" s="13"/>
      <c r="AL146" s="13"/>
      <c r="AM146" s="49"/>
      <c r="AN146" s="13"/>
      <c r="AO146" s="13"/>
      <c r="AP146" s="13"/>
      <c r="AQ146" s="49"/>
      <c r="AR146" s="13"/>
      <c r="AS146" s="13"/>
      <c r="AT146" s="49"/>
      <c r="AU146" s="13"/>
      <c r="AV146" s="13"/>
      <c r="AW146" s="49"/>
      <c r="AX146" s="13"/>
      <c r="AY146" s="13"/>
      <c r="AZ146" s="49"/>
      <c r="BA146" s="13"/>
      <c r="BB146" s="13"/>
    </row>
    <row r="147" spans="2:54" s="2" customFormat="1" x14ac:dyDescent="0.25">
      <c r="B147" s="49"/>
      <c r="C147" s="13"/>
      <c r="D147" s="13"/>
      <c r="E147" s="49"/>
      <c r="F147" s="13"/>
      <c r="G147" s="13"/>
      <c r="H147" s="49"/>
      <c r="I147" s="13"/>
      <c r="J147" s="13"/>
      <c r="K147" s="13"/>
      <c r="L147" s="49"/>
      <c r="M147" s="13"/>
      <c r="N147" s="13"/>
      <c r="O147" s="49"/>
      <c r="P147" s="13"/>
      <c r="Q147" s="13"/>
      <c r="R147" s="13"/>
      <c r="S147" s="49"/>
      <c r="T147" s="13"/>
      <c r="U147" s="13"/>
      <c r="V147" s="49"/>
      <c r="W147" s="13"/>
      <c r="X147" s="13"/>
      <c r="Y147" s="49"/>
      <c r="Z147" s="13"/>
      <c r="AA147" s="13"/>
      <c r="AB147" s="13"/>
      <c r="AC147" s="49"/>
      <c r="AD147" s="13"/>
      <c r="AE147" s="13"/>
      <c r="AF147" s="49"/>
      <c r="AG147" s="13"/>
      <c r="AH147" s="13"/>
      <c r="AI147" s="13"/>
      <c r="AJ147" s="49"/>
      <c r="AK147" s="13"/>
      <c r="AL147" s="13"/>
      <c r="AM147" s="49"/>
      <c r="AN147" s="13"/>
      <c r="AO147" s="13"/>
      <c r="AP147" s="13"/>
      <c r="AQ147" s="49"/>
      <c r="AR147" s="13"/>
      <c r="AS147" s="13"/>
      <c r="AT147" s="49"/>
      <c r="AU147" s="13"/>
      <c r="AV147" s="13"/>
      <c r="AW147" s="49"/>
      <c r="AX147" s="13"/>
      <c r="AY147" s="13"/>
      <c r="AZ147" s="49"/>
      <c r="BA147" s="13"/>
      <c r="BB147" s="13"/>
    </row>
    <row r="148" spans="2:54" s="2" customFormat="1" x14ac:dyDescent="0.25">
      <c r="B148" s="49"/>
      <c r="C148" s="13"/>
      <c r="D148" s="13"/>
      <c r="E148" s="49"/>
      <c r="F148" s="13"/>
      <c r="G148" s="13"/>
      <c r="H148" s="49"/>
      <c r="I148" s="13"/>
      <c r="J148" s="13"/>
      <c r="K148" s="13"/>
      <c r="L148" s="49"/>
      <c r="M148" s="13"/>
      <c r="N148" s="13"/>
      <c r="O148" s="49"/>
      <c r="P148" s="13"/>
      <c r="Q148" s="13"/>
      <c r="R148" s="13"/>
      <c r="S148" s="49"/>
      <c r="T148" s="13"/>
      <c r="U148" s="13"/>
      <c r="V148" s="49"/>
      <c r="W148" s="13"/>
      <c r="X148" s="13"/>
      <c r="Y148" s="49"/>
      <c r="Z148" s="13"/>
      <c r="AA148" s="13"/>
      <c r="AB148" s="13"/>
      <c r="AC148" s="49"/>
      <c r="AD148" s="13"/>
      <c r="AE148" s="13"/>
      <c r="AF148" s="49"/>
      <c r="AG148" s="13"/>
      <c r="AH148" s="13"/>
      <c r="AI148" s="13"/>
      <c r="AJ148" s="49"/>
      <c r="AK148" s="13"/>
      <c r="AL148" s="13"/>
      <c r="AM148" s="49"/>
      <c r="AN148" s="13"/>
      <c r="AO148" s="13"/>
      <c r="AP148" s="13"/>
      <c r="AQ148" s="49"/>
      <c r="AR148" s="13"/>
      <c r="AS148" s="13"/>
      <c r="AT148" s="49"/>
      <c r="AU148" s="13"/>
      <c r="AV148" s="13"/>
      <c r="AW148" s="49"/>
      <c r="AX148" s="13"/>
      <c r="AY148" s="13"/>
      <c r="AZ148" s="49"/>
      <c r="BA148" s="13"/>
      <c r="BB148" s="13"/>
    </row>
    <row r="149" spans="2:54" s="2" customFormat="1" x14ac:dyDescent="0.25">
      <c r="B149" s="49"/>
      <c r="C149" s="13"/>
      <c r="D149" s="13"/>
      <c r="E149" s="49"/>
      <c r="F149" s="13"/>
      <c r="G149" s="13"/>
      <c r="H149" s="49"/>
      <c r="I149" s="13"/>
      <c r="J149" s="13"/>
      <c r="K149" s="13"/>
      <c r="L149" s="49"/>
      <c r="M149" s="13"/>
      <c r="N149" s="13"/>
      <c r="O149" s="49"/>
      <c r="P149" s="13"/>
      <c r="Q149" s="13"/>
      <c r="R149" s="13"/>
      <c r="S149" s="49"/>
      <c r="T149" s="13"/>
      <c r="U149" s="13"/>
      <c r="V149" s="49"/>
      <c r="W149" s="13"/>
      <c r="X149" s="13"/>
      <c r="Y149" s="49"/>
      <c r="Z149" s="13"/>
      <c r="AA149" s="13"/>
      <c r="AB149" s="13"/>
      <c r="AC149" s="49"/>
      <c r="AD149" s="13"/>
      <c r="AE149" s="13"/>
      <c r="AF149" s="49"/>
      <c r="AG149" s="13"/>
      <c r="AH149" s="13"/>
      <c r="AI149" s="13"/>
      <c r="AJ149" s="49"/>
      <c r="AK149" s="13"/>
      <c r="AL149" s="13"/>
      <c r="AM149" s="49"/>
      <c r="AN149" s="13"/>
      <c r="AO149" s="13"/>
      <c r="AP149" s="13"/>
      <c r="AQ149" s="49"/>
      <c r="AR149" s="13"/>
      <c r="AS149" s="13"/>
      <c r="AT149" s="49"/>
      <c r="AU149" s="13"/>
      <c r="AV149" s="13"/>
      <c r="AW149" s="49"/>
      <c r="AX149" s="13"/>
      <c r="AY149" s="13"/>
      <c r="AZ149" s="49"/>
      <c r="BA149" s="13"/>
      <c r="BB149" s="13"/>
    </row>
    <row r="150" spans="2:54" s="2" customFormat="1" x14ac:dyDescent="0.25">
      <c r="B150" s="49"/>
      <c r="C150" s="13"/>
      <c r="D150" s="13"/>
      <c r="E150" s="49"/>
      <c r="F150" s="13"/>
      <c r="G150" s="13"/>
      <c r="H150" s="49"/>
      <c r="I150" s="13"/>
      <c r="J150" s="13"/>
      <c r="K150" s="13"/>
      <c r="L150" s="49"/>
      <c r="M150" s="13"/>
      <c r="N150" s="13"/>
      <c r="O150" s="49"/>
      <c r="P150" s="13"/>
      <c r="Q150" s="13"/>
      <c r="R150" s="13"/>
      <c r="S150" s="49"/>
      <c r="T150" s="13"/>
      <c r="U150" s="13"/>
      <c r="V150" s="49"/>
      <c r="W150" s="13"/>
      <c r="X150" s="13"/>
      <c r="Y150" s="49"/>
      <c r="Z150" s="13"/>
      <c r="AA150" s="13"/>
      <c r="AB150" s="13"/>
      <c r="AC150" s="49"/>
      <c r="AD150" s="13"/>
      <c r="AE150" s="13"/>
      <c r="AF150" s="49"/>
      <c r="AG150" s="13"/>
      <c r="AH150" s="13"/>
      <c r="AI150" s="13"/>
      <c r="AJ150" s="49"/>
      <c r="AK150" s="13"/>
      <c r="AL150" s="13"/>
      <c r="AM150" s="49"/>
      <c r="AN150" s="13"/>
      <c r="AO150" s="13"/>
      <c r="AP150" s="13"/>
      <c r="AQ150" s="49"/>
      <c r="AR150" s="13"/>
      <c r="AS150" s="13"/>
      <c r="AT150" s="49"/>
      <c r="AU150" s="13"/>
      <c r="AV150" s="13"/>
      <c r="AW150" s="49"/>
      <c r="AX150" s="13"/>
      <c r="AY150" s="13"/>
      <c r="AZ150" s="49"/>
      <c r="BA150" s="13"/>
      <c r="BB150" s="13"/>
    </row>
    <row r="151" spans="2:54" s="2" customFormat="1" x14ac:dyDescent="0.25">
      <c r="B151" s="49"/>
      <c r="C151" s="13"/>
      <c r="D151" s="13"/>
      <c r="E151" s="49"/>
      <c r="F151" s="13"/>
      <c r="G151" s="13"/>
      <c r="H151" s="49"/>
      <c r="I151" s="13"/>
      <c r="J151" s="13"/>
      <c r="K151" s="13"/>
      <c r="L151" s="49"/>
      <c r="M151" s="13"/>
      <c r="N151" s="13"/>
      <c r="O151" s="49"/>
      <c r="P151" s="13"/>
      <c r="Q151" s="13"/>
      <c r="R151" s="13"/>
      <c r="S151" s="49"/>
      <c r="T151" s="13"/>
      <c r="U151" s="13"/>
      <c r="V151" s="49"/>
      <c r="W151" s="13"/>
      <c r="X151" s="13"/>
      <c r="Y151" s="49"/>
      <c r="Z151" s="13"/>
      <c r="AA151" s="13"/>
      <c r="AB151" s="13"/>
      <c r="AC151" s="49"/>
      <c r="AD151" s="13"/>
      <c r="AE151" s="13"/>
      <c r="AF151" s="49"/>
      <c r="AG151" s="13"/>
      <c r="AH151" s="13"/>
      <c r="AI151" s="13"/>
      <c r="AJ151" s="49"/>
      <c r="AK151" s="13"/>
      <c r="AL151" s="13"/>
      <c r="AM151" s="49"/>
      <c r="AN151" s="13"/>
      <c r="AO151" s="13"/>
      <c r="AP151" s="13"/>
      <c r="AQ151" s="49"/>
      <c r="AR151" s="13"/>
      <c r="AS151" s="13"/>
      <c r="AT151" s="49"/>
      <c r="AU151" s="13"/>
      <c r="AV151" s="13"/>
      <c r="AW151" s="49"/>
      <c r="AX151" s="13"/>
      <c r="AY151" s="13"/>
      <c r="AZ151" s="49"/>
      <c r="BA151" s="13"/>
      <c r="BB151" s="13"/>
    </row>
    <row r="152" spans="2:54" s="2" customFormat="1" x14ac:dyDescent="0.25">
      <c r="B152" s="49"/>
      <c r="C152" s="13"/>
      <c r="D152" s="13"/>
      <c r="E152" s="49"/>
      <c r="F152" s="13"/>
      <c r="G152" s="13"/>
      <c r="H152" s="49"/>
      <c r="I152" s="13"/>
      <c r="J152" s="13"/>
      <c r="K152" s="13"/>
      <c r="L152" s="49"/>
      <c r="M152" s="13"/>
      <c r="N152" s="13"/>
      <c r="O152" s="49"/>
      <c r="P152" s="13"/>
      <c r="Q152" s="13"/>
      <c r="R152" s="13"/>
      <c r="S152" s="49"/>
      <c r="T152" s="13"/>
      <c r="U152" s="13"/>
      <c r="V152" s="49"/>
      <c r="W152" s="13"/>
      <c r="X152" s="13"/>
      <c r="Y152" s="49"/>
      <c r="Z152" s="13"/>
      <c r="AA152" s="13"/>
      <c r="AB152" s="13"/>
      <c r="AC152" s="49"/>
      <c r="AD152" s="13"/>
      <c r="AE152" s="13"/>
      <c r="AF152" s="49"/>
      <c r="AG152" s="13"/>
      <c r="AH152" s="13"/>
      <c r="AI152" s="13"/>
      <c r="AJ152" s="49"/>
      <c r="AK152" s="13"/>
      <c r="AL152" s="13"/>
      <c r="AM152" s="49"/>
      <c r="AN152" s="13"/>
      <c r="AO152" s="13"/>
      <c r="AP152" s="13"/>
      <c r="AQ152" s="49"/>
      <c r="AR152" s="13"/>
      <c r="AS152" s="13"/>
      <c r="AT152" s="49"/>
      <c r="AU152" s="13"/>
      <c r="AV152" s="13"/>
      <c r="AW152" s="49"/>
      <c r="AX152" s="13"/>
      <c r="AY152" s="13"/>
      <c r="AZ152" s="49"/>
      <c r="BA152" s="13"/>
      <c r="BB152" s="13"/>
    </row>
    <row r="153" spans="2:54" s="2" customFormat="1" x14ac:dyDescent="0.25">
      <c r="B153" s="49"/>
      <c r="C153" s="13"/>
      <c r="D153" s="13"/>
      <c r="E153" s="49"/>
      <c r="F153" s="13"/>
      <c r="G153" s="13"/>
      <c r="H153" s="49"/>
      <c r="I153" s="13"/>
      <c r="J153" s="13"/>
      <c r="K153" s="13"/>
      <c r="L153" s="49"/>
      <c r="M153" s="13"/>
      <c r="N153" s="13"/>
      <c r="O153" s="49"/>
      <c r="P153" s="13"/>
      <c r="Q153" s="13"/>
      <c r="R153" s="13"/>
      <c r="S153" s="49"/>
      <c r="T153" s="13"/>
      <c r="U153" s="13"/>
      <c r="V153" s="49"/>
      <c r="W153" s="13"/>
      <c r="X153" s="13"/>
      <c r="Y153" s="49"/>
      <c r="Z153" s="13"/>
      <c r="AA153" s="13"/>
      <c r="AB153" s="13"/>
      <c r="AC153" s="49"/>
      <c r="AD153" s="13"/>
      <c r="AE153" s="13"/>
      <c r="AF153" s="49"/>
      <c r="AG153" s="13"/>
      <c r="AH153" s="13"/>
      <c r="AI153" s="13"/>
      <c r="AJ153" s="49"/>
      <c r="AK153" s="13"/>
      <c r="AL153" s="13"/>
      <c r="AM153" s="49"/>
      <c r="AN153" s="13"/>
      <c r="AO153" s="13"/>
      <c r="AP153" s="13"/>
      <c r="AQ153" s="49"/>
      <c r="AR153" s="13"/>
      <c r="AS153" s="13"/>
      <c r="AT153" s="49"/>
      <c r="AU153" s="13"/>
      <c r="AV153" s="13"/>
      <c r="AW153" s="49"/>
      <c r="AX153" s="13"/>
      <c r="AY153" s="13"/>
      <c r="AZ153" s="49"/>
      <c r="BA153" s="13"/>
      <c r="BB153" s="13"/>
    </row>
    <row r="154" spans="2:54" s="2" customFormat="1" x14ac:dyDescent="0.25">
      <c r="B154" s="49"/>
      <c r="C154" s="13"/>
      <c r="D154" s="13"/>
      <c r="E154" s="49"/>
      <c r="F154" s="13"/>
      <c r="G154" s="13"/>
      <c r="H154" s="49"/>
      <c r="I154" s="13"/>
      <c r="J154" s="13"/>
      <c r="K154" s="13"/>
      <c r="L154" s="49"/>
      <c r="M154" s="13"/>
      <c r="N154" s="13"/>
      <c r="O154" s="49"/>
      <c r="P154" s="13"/>
      <c r="Q154" s="13"/>
      <c r="R154" s="13"/>
      <c r="S154" s="49"/>
      <c r="T154" s="13"/>
      <c r="U154" s="13"/>
      <c r="V154" s="49"/>
      <c r="W154" s="13"/>
      <c r="X154" s="13"/>
      <c r="Y154" s="49"/>
      <c r="Z154" s="13"/>
      <c r="AA154" s="13"/>
      <c r="AB154" s="13"/>
      <c r="AC154" s="49"/>
      <c r="AD154" s="13"/>
      <c r="AE154" s="13"/>
      <c r="AF154" s="49"/>
      <c r="AG154" s="13"/>
      <c r="AH154" s="13"/>
      <c r="AI154" s="13"/>
      <c r="AJ154" s="49"/>
      <c r="AK154" s="13"/>
      <c r="AL154" s="13"/>
      <c r="AM154" s="49"/>
      <c r="AN154" s="13"/>
      <c r="AO154" s="13"/>
      <c r="AP154" s="13"/>
      <c r="AQ154" s="49"/>
      <c r="AR154" s="13"/>
      <c r="AS154" s="13"/>
      <c r="AT154" s="49"/>
      <c r="AU154" s="13"/>
      <c r="AV154" s="13"/>
      <c r="AW154" s="49"/>
      <c r="AX154" s="13"/>
      <c r="AY154" s="13"/>
      <c r="AZ154" s="49"/>
      <c r="BA154" s="13"/>
      <c r="BB154" s="13"/>
    </row>
    <row r="155" spans="2:54" s="2" customFormat="1" x14ac:dyDescent="0.25">
      <c r="B155" s="49"/>
      <c r="C155" s="13"/>
      <c r="D155" s="13"/>
      <c r="E155" s="49"/>
      <c r="F155" s="13"/>
      <c r="G155" s="13"/>
      <c r="H155" s="49"/>
      <c r="I155" s="13"/>
      <c r="J155" s="13"/>
      <c r="K155" s="13"/>
      <c r="L155" s="49"/>
      <c r="M155" s="13"/>
      <c r="N155" s="13"/>
      <c r="O155" s="49"/>
      <c r="P155" s="13"/>
      <c r="Q155" s="13"/>
      <c r="R155" s="13"/>
      <c r="S155" s="49"/>
      <c r="T155" s="13"/>
      <c r="U155" s="13"/>
      <c r="V155" s="49"/>
      <c r="W155" s="13"/>
      <c r="X155" s="13"/>
      <c r="Y155" s="49"/>
      <c r="Z155" s="13"/>
      <c r="AA155" s="13"/>
      <c r="AB155" s="13"/>
      <c r="AC155" s="49"/>
      <c r="AD155" s="13"/>
      <c r="AE155" s="13"/>
      <c r="AF155" s="49"/>
      <c r="AG155" s="13"/>
      <c r="AH155" s="13"/>
      <c r="AI155" s="13"/>
      <c r="AJ155" s="49"/>
      <c r="AK155" s="13"/>
      <c r="AL155" s="13"/>
      <c r="AM155" s="49"/>
      <c r="AN155" s="13"/>
      <c r="AO155" s="13"/>
      <c r="AP155" s="13"/>
      <c r="AQ155" s="49"/>
      <c r="AR155" s="13"/>
      <c r="AS155" s="13"/>
      <c r="AT155" s="49"/>
      <c r="AU155" s="13"/>
      <c r="AV155" s="13"/>
      <c r="AW155" s="49"/>
      <c r="AX155" s="13"/>
      <c r="AY155" s="13"/>
      <c r="AZ155" s="49"/>
      <c r="BA155" s="13"/>
      <c r="BB155" s="13"/>
    </row>
    <row r="156" spans="2:54" s="2" customFormat="1" x14ac:dyDescent="0.25">
      <c r="B156" s="49"/>
      <c r="C156" s="13"/>
      <c r="D156" s="13"/>
      <c r="E156" s="49"/>
      <c r="F156" s="13"/>
      <c r="G156" s="13"/>
      <c r="H156" s="49"/>
      <c r="I156" s="13"/>
      <c r="J156" s="13"/>
      <c r="K156" s="13"/>
      <c r="L156" s="49"/>
      <c r="M156" s="13"/>
      <c r="N156" s="13"/>
      <c r="O156" s="49"/>
      <c r="P156" s="13"/>
      <c r="Q156" s="13"/>
      <c r="R156" s="13"/>
      <c r="S156" s="49"/>
      <c r="T156" s="13"/>
      <c r="U156" s="13"/>
      <c r="V156" s="49"/>
      <c r="W156" s="13"/>
      <c r="X156" s="13"/>
      <c r="Y156" s="49"/>
      <c r="Z156" s="13"/>
      <c r="AA156" s="13"/>
      <c r="AB156" s="13"/>
      <c r="AC156" s="49"/>
      <c r="AD156" s="13"/>
      <c r="AE156" s="13"/>
      <c r="AF156" s="49"/>
      <c r="AG156" s="13"/>
      <c r="AH156" s="13"/>
      <c r="AI156" s="13"/>
      <c r="AJ156" s="49"/>
      <c r="AK156" s="13"/>
      <c r="AL156" s="13"/>
      <c r="AM156" s="49"/>
      <c r="AN156" s="13"/>
      <c r="AO156" s="13"/>
      <c r="AP156" s="13"/>
      <c r="AQ156" s="49"/>
      <c r="AR156" s="13"/>
      <c r="AS156" s="13"/>
      <c r="AT156" s="49"/>
      <c r="AU156" s="13"/>
      <c r="AV156" s="13"/>
      <c r="AW156" s="49"/>
      <c r="AX156" s="13"/>
      <c r="AY156" s="13"/>
      <c r="AZ156" s="49"/>
      <c r="BA156" s="13"/>
      <c r="BB156" s="13"/>
    </row>
    <row r="157" spans="2:54" s="2" customFormat="1" x14ac:dyDescent="0.25">
      <c r="B157" s="49"/>
      <c r="C157" s="13"/>
      <c r="D157" s="13"/>
      <c r="E157" s="49"/>
      <c r="F157" s="13"/>
      <c r="G157" s="13"/>
      <c r="H157" s="49"/>
      <c r="I157" s="13"/>
      <c r="J157" s="13"/>
      <c r="K157" s="13"/>
      <c r="L157" s="49"/>
      <c r="M157" s="13"/>
      <c r="N157" s="13"/>
      <c r="O157" s="49"/>
      <c r="P157" s="13"/>
      <c r="Q157" s="13"/>
      <c r="R157" s="13"/>
      <c r="S157" s="49"/>
      <c r="T157" s="13"/>
      <c r="U157" s="13"/>
      <c r="V157" s="49"/>
      <c r="W157" s="13"/>
      <c r="X157" s="13"/>
      <c r="Y157" s="49"/>
      <c r="Z157" s="13"/>
      <c r="AA157" s="13"/>
      <c r="AB157" s="13"/>
      <c r="AC157" s="49"/>
      <c r="AD157" s="13"/>
      <c r="AE157" s="13"/>
      <c r="AF157" s="49"/>
      <c r="AG157" s="13"/>
      <c r="AH157" s="13"/>
      <c r="AI157" s="13"/>
      <c r="AJ157" s="49"/>
      <c r="AK157" s="13"/>
      <c r="AL157" s="13"/>
      <c r="AM157" s="49"/>
      <c r="AN157" s="13"/>
      <c r="AO157" s="13"/>
      <c r="AP157" s="13"/>
      <c r="AQ157" s="49"/>
      <c r="AR157" s="13"/>
      <c r="AS157" s="13"/>
      <c r="AT157" s="49"/>
      <c r="AU157" s="13"/>
      <c r="AV157" s="13"/>
      <c r="AW157" s="49"/>
      <c r="AX157" s="13"/>
      <c r="AY157" s="13"/>
      <c r="AZ157" s="49"/>
      <c r="BA157" s="13"/>
      <c r="BB157" s="13"/>
    </row>
    <row r="158" spans="2:54" s="2" customFormat="1" x14ac:dyDescent="0.25">
      <c r="B158" s="49"/>
      <c r="C158" s="13"/>
      <c r="D158" s="13"/>
      <c r="E158" s="49"/>
      <c r="F158" s="13"/>
      <c r="G158" s="13"/>
      <c r="H158" s="49"/>
      <c r="I158" s="13"/>
      <c r="J158" s="13"/>
      <c r="K158" s="13"/>
      <c r="L158" s="49"/>
      <c r="M158" s="13"/>
      <c r="N158" s="13"/>
      <c r="O158" s="49"/>
      <c r="P158" s="13"/>
      <c r="Q158" s="13"/>
      <c r="R158" s="13"/>
      <c r="S158" s="49"/>
      <c r="T158" s="13"/>
      <c r="U158" s="13"/>
      <c r="V158" s="49"/>
      <c r="W158" s="13"/>
      <c r="X158" s="13"/>
      <c r="Y158" s="49"/>
      <c r="Z158" s="13"/>
      <c r="AA158" s="13"/>
      <c r="AB158" s="13"/>
      <c r="AC158" s="49"/>
      <c r="AD158" s="13"/>
      <c r="AE158" s="13"/>
      <c r="AF158" s="49"/>
      <c r="AG158" s="13"/>
      <c r="AH158" s="13"/>
      <c r="AI158" s="13"/>
      <c r="AJ158" s="49"/>
      <c r="AK158" s="13"/>
      <c r="AL158" s="13"/>
      <c r="AM158" s="49"/>
      <c r="AN158" s="13"/>
      <c r="AO158" s="13"/>
      <c r="AP158" s="13"/>
      <c r="AQ158" s="49"/>
      <c r="AR158" s="13"/>
      <c r="AS158" s="13"/>
      <c r="AT158" s="49"/>
      <c r="AU158" s="13"/>
      <c r="AV158" s="13"/>
      <c r="AW158" s="49"/>
      <c r="AX158" s="13"/>
      <c r="AY158" s="13"/>
      <c r="AZ158" s="49"/>
      <c r="BA158" s="13"/>
      <c r="BB158" s="13"/>
    </row>
    <row r="159" spans="2:54" s="2" customFormat="1" x14ac:dyDescent="0.25">
      <c r="B159" s="49"/>
      <c r="C159" s="13"/>
      <c r="D159" s="13"/>
      <c r="E159" s="49"/>
      <c r="F159" s="13"/>
      <c r="G159" s="13"/>
      <c r="H159" s="49"/>
      <c r="I159" s="13"/>
      <c r="J159" s="13"/>
      <c r="K159" s="13"/>
      <c r="L159" s="49"/>
      <c r="M159" s="13"/>
      <c r="N159" s="13"/>
      <c r="O159" s="49"/>
      <c r="P159" s="13"/>
      <c r="Q159" s="13"/>
      <c r="R159" s="13"/>
      <c r="S159" s="49"/>
      <c r="T159" s="13"/>
      <c r="U159" s="13"/>
      <c r="V159" s="49"/>
      <c r="W159" s="13"/>
      <c r="X159" s="13"/>
      <c r="Y159" s="49"/>
      <c r="Z159" s="13"/>
      <c r="AA159" s="13"/>
      <c r="AB159" s="13"/>
      <c r="AC159" s="49"/>
      <c r="AD159" s="13"/>
      <c r="AE159" s="13"/>
      <c r="AF159" s="49"/>
      <c r="AG159" s="13"/>
      <c r="AH159" s="13"/>
      <c r="AI159" s="13"/>
      <c r="AJ159" s="49"/>
      <c r="AK159" s="13"/>
      <c r="AL159" s="13"/>
      <c r="AM159" s="49"/>
      <c r="AN159" s="13"/>
      <c r="AO159" s="13"/>
      <c r="AP159" s="13"/>
      <c r="AQ159" s="49"/>
      <c r="AR159" s="13"/>
      <c r="AS159" s="13"/>
      <c r="AT159" s="49"/>
      <c r="AU159" s="13"/>
      <c r="AV159" s="13"/>
      <c r="AW159" s="49"/>
      <c r="AX159" s="13"/>
      <c r="AY159" s="13"/>
      <c r="AZ159" s="49"/>
      <c r="BA159" s="13"/>
      <c r="BB159" s="13"/>
    </row>
    <row r="160" spans="2:54" s="2" customFormat="1" x14ac:dyDescent="0.25">
      <c r="B160" s="49"/>
      <c r="C160" s="13"/>
      <c r="D160" s="13"/>
      <c r="E160" s="49"/>
      <c r="F160" s="13"/>
      <c r="G160" s="13"/>
      <c r="H160" s="49"/>
      <c r="I160" s="13"/>
      <c r="J160" s="13"/>
      <c r="K160" s="13"/>
      <c r="L160" s="49"/>
      <c r="M160" s="13"/>
      <c r="N160" s="13"/>
      <c r="O160" s="49"/>
      <c r="P160" s="13"/>
      <c r="Q160" s="13"/>
      <c r="R160" s="13"/>
      <c r="S160" s="49"/>
      <c r="T160" s="13"/>
      <c r="U160" s="13"/>
      <c r="V160" s="49"/>
      <c r="W160" s="13"/>
      <c r="X160" s="13"/>
      <c r="Y160" s="49"/>
      <c r="Z160" s="13"/>
      <c r="AA160" s="13"/>
      <c r="AB160" s="13"/>
      <c r="AC160" s="49"/>
      <c r="AD160" s="13"/>
      <c r="AE160" s="13"/>
      <c r="AF160" s="49"/>
      <c r="AG160" s="13"/>
      <c r="AH160" s="13"/>
      <c r="AI160" s="13"/>
      <c r="AJ160" s="49"/>
      <c r="AK160" s="13"/>
      <c r="AL160" s="13"/>
      <c r="AM160" s="49"/>
      <c r="AN160" s="13"/>
      <c r="AO160" s="13"/>
      <c r="AP160" s="13"/>
      <c r="AQ160" s="49"/>
      <c r="AR160" s="13"/>
      <c r="AS160" s="13"/>
      <c r="AT160" s="49"/>
      <c r="AU160" s="13"/>
      <c r="AV160" s="13"/>
      <c r="AW160" s="49"/>
      <c r="AX160" s="13"/>
      <c r="AY160" s="13"/>
      <c r="AZ160" s="49"/>
      <c r="BA160" s="13"/>
      <c r="BB160" s="13"/>
    </row>
    <row r="161" spans="2:54" s="2" customFormat="1" x14ac:dyDescent="0.25">
      <c r="B161" s="49"/>
      <c r="C161" s="13"/>
      <c r="D161" s="13"/>
      <c r="E161" s="49"/>
      <c r="F161" s="13"/>
      <c r="G161" s="13"/>
      <c r="H161" s="49"/>
      <c r="I161" s="13"/>
      <c r="J161" s="13"/>
      <c r="K161" s="13"/>
      <c r="L161" s="49"/>
      <c r="M161" s="13"/>
      <c r="N161" s="13"/>
      <c r="O161" s="49"/>
      <c r="P161" s="13"/>
      <c r="Q161" s="13"/>
      <c r="R161" s="13"/>
      <c r="S161" s="49"/>
      <c r="T161" s="13"/>
      <c r="U161" s="13"/>
      <c r="V161" s="49"/>
      <c r="W161" s="13"/>
      <c r="X161" s="13"/>
      <c r="Y161" s="49"/>
      <c r="Z161" s="13"/>
      <c r="AA161" s="13"/>
      <c r="AB161" s="13"/>
      <c r="AC161" s="49"/>
      <c r="AD161" s="13"/>
      <c r="AE161" s="13"/>
      <c r="AF161" s="49"/>
      <c r="AG161" s="13"/>
      <c r="AH161" s="13"/>
      <c r="AI161" s="13"/>
      <c r="AJ161" s="49"/>
      <c r="AK161" s="13"/>
      <c r="AL161" s="13"/>
      <c r="AM161" s="49"/>
      <c r="AN161" s="13"/>
      <c r="AO161" s="13"/>
      <c r="AP161" s="13"/>
      <c r="AQ161" s="49"/>
      <c r="AR161" s="13"/>
      <c r="AS161" s="13"/>
      <c r="AT161" s="49"/>
      <c r="AU161" s="13"/>
      <c r="AV161" s="13"/>
      <c r="AW161" s="49"/>
      <c r="AX161" s="13"/>
      <c r="AY161" s="13"/>
      <c r="AZ161" s="49"/>
      <c r="BA161" s="13"/>
      <c r="BB161" s="13"/>
    </row>
    <row r="162" spans="2:54" s="2" customFormat="1" x14ac:dyDescent="0.25">
      <c r="B162" s="49"/>
      <c r="C162" s="13"/>
      <c r="D162" s="13"/>
      <c r="E162" s="49"/>
      <c r="F162" s="13"/>
      <c r="G162" s="13"/>
      <c r="H162" s="49"/>
      <c r="I162" s="13"/>
      <c r="J162" s="13"/>
      <c r="K162" s="13"/>
      <c r="L162" s="49"/>
      <c r="M162" s="13"/>
      <c r="N162" s="13"/>
      <c r="O162" s="49"/>
      <c r="P162" s="13"/>
      <c r="Q162" s="13"/>
      <c r="R162" s="13"/>
      <c r="S162" s="49"/>
      <c r="T162" s="13"/>
      <c r="U162" s="13"/>
      <c r="V162" s="49"/>
      <c r="W162" s="13"/>
      <c r="X162" s="13"/>
      <c r="Y162" s="49"/>
      <c r="Z162" s="13"/>
      <c r="AA162" s="13"/>
      <c r="AB162" s="13"/>
      <c r="AC162" s="49"/>
      <c r="AD162" s="13"/>
      <c r="AE162" s="13"/>
      <c r="AF162" s="49"/>
      <c r="AG162" s="13"/>
      <c r="AH162" s="13"/>
      <c r="AI162" s="13"/>
      <c r="AJ162" s="49"/>
      <c r="AK162" s="13"/>
      <c r="AL162" s="13"/>
      <c r="AM162" s="49"/>
      <c r="AN162" s="13"/>
      <c r="AO162" s="13"/>
      <c r="AP162" s="13"/>
      <c r="AQ162" s="49"/>
      <c r="AR162" s="13"/>
      <c r="AS162" s="13"/>
      <c r="AT162" s="49"/>
      <c r="AU162" s="13"/>
      <c r="AV162" s="13"/>
      <c r="AW162" s="49"/>
      <c r="AX162" s="13"/>
      <c r="AY162" s="13"/>
      <c r="AZ162" s="49"/>
      <c r="BA162" s="13"/>
      <c r="BB162" s="13"/>
    </row>
    <row r="163" spans="2:54" s="2" customFormat="1" x14ac:dyDescent="0.25">
      <c r="B163" s="49"/>
      <c r="C163" s="13"/>
      <c r="D163" s="13"/>
      <c r="E163" s="49"/>
      <c r="F163" s="13"/>
      <c r="G163" s="13"/>
      <c r="H163" s="49"/>
      <c r="I163" s="13"/>
      <c r="J163" s="13"/>
      <c r="K163" s="13"/>
      <c r="L163" s="49"/>
      <c r="M163" s="13"/>
      <c r="N163" s="13"/>
      <c r="O163" s="49"/>
      <c r="P163" s="13"/>
      <c r="Q163" s="13"/>
      <c r="R163" s="13"/>
      <c r="S163" s="49"/>
      <c r="T163" s="13"/>
      <c r="U163" s="13"/>
      <c r="V163" s="49"/>
      <c r="W163" s="13"/>
      <c r="X163" s="13"/>
      <c r="Y163" s="49"/>
      <c r="Z163" s="13"/>
      <c r="AA163" s="13"/>
      <c r="AB163" s="13"/>
      <c r="AC163" s="49"/>
      <c r="AD163" s="13"/>
      <c r="AE163" s="13"/>
      <c r="AF163" s="49"/>
      <c r="AG163" s="13"/>
      <c r="AH163" s="13"/>
      <c r="AI163" s="13"/>
      <c r="AJ163" s="49"/>
      <c r="AK163" s="13"/>
      <c r="AL163" s="13"/>
      <c r="AM163" s="49"/>
      <c r="AN163" s="13"/>
      <c r="AO163" s="13"/>
      <c r="AP163" s="13"/>
      <c r="AQ163" s="49"/>
      <c r="AR163" s="13"/>
      <c r="AS163" s="13"/>
      <c r="AT163" s="49"/>
      <c r="AU163" s="13"/>
      <c r="AV163" s="13"/>
      <c r="AW163" s="49"/>
      <c r="AX163" s="13"/>
      <c r="AY163" s="13"/>
      <c r="AZ163" s="49"/>
      <c r="BA163" s="13"/>
      <c r="BB163" s="13"/>
    </row>
    <row r="164" spans="2:54" s="2" customFormat="1" x14ac:dyDescent="0.25">
      <c r="B164" s="49"/>
      <c r="C164" s="13"/>
      <c r="D164" s="13"/>
      <c r="E164" s="49"/>
      <c r="F164" s="13"/>
      <c r="G164" s="13"/>
      <c r="H164" s="49"/>
      <c r="I164" s="13"/>
      <c r="J164" s="13"/>
      <c r="K164" s="13"/>
      <c r="L164" s="49"/>
      <c r="M164" s="13"/>
      <c r="N164" s="13"/>
      <c r="O164" s="49"/>
      <c r="P164" s="13"/>
      <c r="Q164" s="13"/>
      <c r="R164" s="13"/>
      <c r="S164" s="49"/>
      <c r="T164" s="13"/>
      <c r="U164" s="13"/>
      <c r="V164" s="49"/>
      <c r="W164" s="13"/>
      <c r="X164" s="13"/>
      <c r="Y164" s="49"/>
      <c r="Z164" s="13"/>
      <c r="AA164" s="13"/>
      <c r="AB164" s="13"/>
      <c r="AC164" s="49"/>
      <c r="AD164" s="13"/>
      <c r="AE164" s="13"/>
      <c r="AF164" s="49"/>
      <c r="AG164" s="13"/>
      <c r="AH164" s="13"/>
      <c r="AI164" s="13"/>
      <c r="AJ164" s="49"/>
      <c r="AK164" s="13"/>
      <c r="AL164" s="13"/>
      <c r="AM164" s="49"/>
      <c r="AN164" s="13"/>
      <c r="AO164" s="13"/>
      <c r="AP164" s="13"/>
      <c r="AQ164" s="49"/>
      <c r="AR164" s="13"/>
      <c r="AS164" s="13"/>
      <c r="AT164" s="49"/>
      <c r="AU164" s="13"/>
      <c r="AV164" s="13"/>
      <c r="AW164" s="49"/>
      <c r="AX164" s="13"/>
      <c r="AY164" s="13"/>
      <c r="AZ164" s="49"/>
      <c r="BA164" s="13"/>
      <c r="BB164" s="13"/>
    </row>
    <row r="165" spans="2:54" s="2" customFormat="1" x14ac:dyDescent="0.25">
      <c r="B165" s="49"/>
      <c r="C165" s="13"/>
      <c r="D165" s="13"/>
      <c r="E165" s="49"/>
      <c r="F165" s="13"/>
      <c r="G165" s="13"/>
      <c r="H165" s="49"/>
      <c r="I165" s="13"/>
      <c r="J165" s="13"/>
      <c r="K165" s="13"/>
      <c r="L165" s="49"/>
      <c r="M165" s="13"/>
      <c r="N165" s="13"/>
      <c r="O165" s="49"/>
      <c r="P165" s="13"/>
      <c r="Q165" s="13"/>
      <c r="R165" s="13"/>
      <c r="S165" s="49"/>
      <c r="T165" s="13"/>
      <c r="U165" s="13"/>
      <c r="V165" s="49"/>
      <c r="W165" s="13"/>
      <c r="X165" s="13"/>
      <c r="Y165" s="49"/>
      <c r="Z165" s="13"/>
      <c r="AA165" s="13"/>
      <c r="AB165" s="13"/>
      <c r="AC165" s="49"/>
      <c r="AD165" s="13"/>
      <c r="AE165" s="13"/>
      <c r="AF165" s="49"/>
      <c r="AG165" s="13"/>
      <c r="AH165" s="13"/>
      <c r="AI165" s="13"/>
      <c r="AJ165" s="49"/>
      <c r="AK165" s="13"/>
      <c r="AL165" s="13"/>
      <c r="AM165" s="49"/>
      <c r="AN165" s="13"/>
      <c r="AO165" s="13"/>
      <c r="AP165" s="13"/>
      <c r="AQ165" s="49"/>
      <c r="AR165" s="13"/>
      <c r="AS165" s="13"/>
      <c r="AT165" s="49"/>
      <c r="AU165" s="13"/>
      <c r="AV165" s="13"/>
      <c r="AW165" s="49"/>
      <c r="AX165" s="13"/>
      <c r="AY165" s="13"/>
      <c r="AZ165" s="49"/>
      <c r="BA165" s="13"/>
      <c r="BB165" s="13"/>
    </row>
    <row r="166" spans="2:54" s="2" customFormat="1" x14ac:dyDescent="0.25">
      <c r="B166" s="49"/>
      <c r="C166" s="13"/>
      <c r="D166" s="13"/>
      <c r="E166" s="49"/>
      <c r="F166" s="13"/>
      <c r="G166" s="13"/>
      <c r="H166" s="49"/>
      <c r="I166" s="13"/>
      <c r="J166" s="13"/>
      <c r="K166" s="13"/>
      <c r="L166" s="49"/>
      <c r="M166" s="13"/>
      <c r="N166" s="13"/>
      <c r="O166" s="49"/>
      <c r="P166" s="13"/>
      <c r="Q166" s="13"/>
      <c r="R166" s="13"/>
      <c r="S166" s="49"/>
      <c r="T166" s="13"/>
      <c r="U166" s="13"/>
      <c r="V166" s="49"/>
      <c r="W166" s="13"/>
      <c r="X166" s="13"/>
      <c r="Y166" s="49"/>
      <c r="Z166" s="13"/>
      <c r="AA166" s="13"/>
      <c r="AB166" s="13"/>
      <c r="AC166" s="49"/>
      <c r="AD166" s="13"/>
      <c r="AE166" s="13"/>
      <c r="AF166" s="49"/>
      <c r="AG166" s="13"/>
      <c r="AH166" s="13"/>
      <c r="AI166" s="13"/>
      <c r="AJ166" s="49"/>
      <c r="AK166" s="13"/>
      <c r="AL166" s="13"/>
      <c r="AM166" s="49"/>
      <c r="AN166" s="13"/>
      <c r="AO166" s="13"/>
      <c r="AP166" s="13"/>
      <c r="AQ166" s="49"/>
      <c r="AR166" s="13"/>
      <c r="AS166" s="13"/>
      <c r="AT166" s="49"/>
      <c r="AU166" s="13"/>
      <c r="AV166" s="13"/>
      <c r="AW166" s="49"/>
      <c r="AX166" s="13"/>
      <c r="AY166" s="13"/>
      <c r="AZ166" s="49"/>
      <c r="BA166" s="13"/>
      <c r="BB166" s="13"/>
    </row>
    <row r="167" spans="2:54" s="2" customFormat="1" x14ac:dyDescent="0.25">
      <c r="B167" s="49"/>
      <c r="C167" s="13"/>
      <c r="D167" s="13"/>
      <c r="E167" s="49"/>
      <c r="F167" s="13"/>
      <c r="G167" s="13"/>
      <c r="H167" s="49"/>
      <c r="I167" s="13"/>
      <c r="J167" s="13"/>
      <c r="K167" s="13"/>
      <c r="L167" s="49"/>
      <c r="M167" s="13"/>
      <c r="N167" s="13"/>
      <c r="O167" s="49"/>
      <c r="P167" s="13"/>
      <c r="Q167" s="13"/>
      <c r="R167" s="13"/>
      <c r="S167" s="49"/>
      <c r="T167" s="13"/>
      <c r="U167" s="13"/>
      <c r="V167" s="49"/>
      <c r="W167" s="13"/>
      <c r="X167" s="13"/>
      <c r="Y167" s="49"/>
      <c r="Z167" s="13"/>
      <c r="AA167" s="13"/>
      <c r="AB167" s="13"/>
      <c r="AC167" s="49"/>
      <c r="AD167" s="13"/>
      <c r="AE167" s="13"/>
      <c r="AF167" s="49"/>
      <c r="AG167" s="13"/>
      <c r="AH167" s="13"/>
      <c r="AI167" s="13"/>
      <c r="AJ167" s="49"/>
      <c r="AK167" s="13"/>
      <c r="AL167" s="13"/>
      <c r="AM167" s="49"/>
      <c r="AN167" s="13"/>
      <c r="AO167" s="13"/>
      <c r="AP167" s="13"/>
      <c r="AQ167" s="49"/>
      <c r="AR167" s="13"/>
      <c r="AS167" s="13"/>
      <c r="AT167" s="49"/>
      <c r="AU167" s="13"/>
      <c r="AV167" s="13"/>
      <c r="AW167" s="49"/>
      <c r="AX167" s="13"/>
      <c r="AY167" s="13"/>
      <c r="AZ167" s="49"/>
      <c r="BA167" s="13"/>
      <c r="BB167" s="13"/>
    </row>
    <row r="168" spans="2:54" s="2" customFormat="1" x14ac:dyDescent="0.25">
      <c r="B168" s="49"/>
      <c r="C168" s="13"/>
      <c r="D168" s="13"/>
      <c r="E168" s="49"/>
      <c r="F168" s="13"/>
      <c r="G168" s="13"/>
      <c r="H168" s="49"/>
      <c r="I168" s="13"/>
      <c r="J168" s="13"/>
      <c r="K168" s="13"/>
      <c r="L168" s="49"/>
      <c r="M168" s="13"/>
      <c r="N168" s="13"/>
      <c r="O168" s="49"/>
      <c r="P168" s="13"/>
      <c r="Q168" s="13"/>
      <c r="R168" s="13"/>
      <c r="S168" s="49"/>
      <c r="T168" s="13"/>
      <c r="U168" s="13"/>
      <c r="V168" s="49"/>
      <c r="W168" s="13"/>
      <c r="X168" s="13"/>
      <c r="Y168" s="49"/>
      <c r="Z168" s="13"/>
      <c r="AA168" s="13"/>
      <c r="AB168" s="13"/>
      <c r="AC168" s="49"/>
      <c r="AD168" s="13"/>
      <c r="AE168" s="13"/>
      <c r="AF168" s="49"/>
      <c r="AG168" s="13"/>
      <c r="AH168" s="13"/>
      <c r="AI168" s="13"/>
      <c r="AJ168" s="49"/>
      <c r="AK168" s="13"/>
      <c r="AL168" s="13"/>
      <c r="AM168" s="49"/>
      <c r="AN168" s="13"/>
      <c r="AO168" s="13"/>
      <c r="AP168" s="13"/>
      <c r="AQ168" s="49"/>
      <c r="AR168" s="13"/>
      <c r="AS168" s="13"/>
      <c r="AT168" s="49"/>
      <c r="AU168" s="13"/>
      <c r="AV168" s="13"/>
      <c r="AW168" s="49"/>
      <c r="AX168" s="13"/>
      <c r="AY168" s="13"/>
      <c r="AZ168" s="49"/>
      <c r="BA168" s="13"/>
      <c r="BB168" s="13"/>
    </row>
    <row r="169" spans="2:54" s="2" customFormat="1" x14ac:dyDescent="0.25">
      <c r="B169" s="49"/>
      <c r="C169" s="13"/>
      <c r="D169" s="13"/>
      <c r="E169" s="49"/>
      <c r="F169" s="13"/>
      <c r="G169" s="13"/>
      <c r="H169" s="49"/>
      <c r="I169" s="13"/>
      <c r="J169" s="13"/>
      <c r="K169" s="13"/>
      <c r="L169" s="49"/>
      <c r="M169" s="13"/>
      <c r="N169" s="13"/>
      <c r="O169" s="49"/>
      <c r="P169" s="13"/>
      <c r="Q169" s="13"/>
      <c r="R169" s="13"/>
      <c r="S169" s="49"/>
      <c r="T169" s="13"/>
      <c r="U169" s="13"/>
      <c r="V169" s="49"/>
      <c r="W169" s="13"/>
      <c r="X169" s="13"/>
      <c r="Y169" s="49"/>
      <c r="Z169" s="13"/>
      <c r="AA169" s="13"/>
      <c r="AB169" s="13"/>
      <c r="AC169" s="49"/>
      <c r="AD169" s="13"/>
      <c r="AE169" s="13"/>
      <c r="AF169" s="49"/>
      <c r="AG169" s="13"/>
      <c r="AH169" s="13"/>
      <c r="AI169" s="13"/>
      <c r="AJ169" s="49"/>
      <c r="AK169" s="13"/>
      <c r="AL169" s="13"/>
      <c r="AM169" s="49"/>
      <c r="AN169" s="13"/>
      <c r="AO169" s="13"/>
      <c r="AP169" s="13"/>
      <c r="AQ169" s="49"/>
      <c r="AR169" s="13"/>
      <c r="AS169" s="13"/>
      <c r="AT169" s="49"/>
      <c r="AU169" s="13"/>
      <c r="AV169" s="13"/>
      <c r="AW169" s="49"/>
      <c r="AX169" s="13"/>
      <c r="AY169" s="13"/>
      <c r="AZ169" s="49"/>
      <c r="BA169" s="13"/>
      <c r="BB169" s="13"/>
    </row>
    <row r="170" spans="2:54" s="2" customFormat="1" x14ac:dyDescent="0.25">
      <c r="B170" s="49"/>
      <c r="C170" s="13"/>
      <c r="D170" s="13"/>
      <c r="E170" s="49"/>
      <c r="F170" s="13"/>
      <c r="G170" s="13"/>
      <c r="H170" s="49"/>
      <c r="I170" s="13"/>
      <c r="J170" s="13"/>
      <c r="K170" s="13"/>
      <c r="L170" s="49"/>
      <c r="M170" s="13"/>
      <c r="N170" s="13"/>
      <c r="O170" s="49"/>
      <c r="P170" s="13"/>
      <c r="Q170" s="13"/>
      <c r="R170" s="13"/>
      <c r="S170" s="49"/>
      <c r="T170" s="13"/>
      <c r="U170" s="13"/>
      <c r="V170" s="49"/>
      <c r="W170" s="13"/>
      <c r="X170" s="13"/>
      <c r="Y170" s="49"/>
      <c r="Z170" s="13"/>
      <c r="AA170" s="13"/>
      <c r="AB170" s="13"/>
      <c r="AC170" s="49"/>
      <c r="AD170" s="13"/>
      <c r="AE170" s="13"/>
      <c r="AF170" s="49"/>
      <c r="AG170" s="13"/>
      <c r="AH170" s="13"/>
      <c r="AI170" s="13"/>
      <c r="AJ170" s="49"/>
      <c r="AK170" s="13"/>
      <c r="AL170" s="13"/>
      <c r="AM170" s="49"/>
      <c r="AN170" s="13"/>
      <c r="AO170" s="13"/>
      <c r="AP170" s="13"/>
      <c r="AQ170" s="49"/>
      <c r="AR170" s="13"/>
      <c r="AS170" s="13"/>
      <c r="AT170" s="49"/>
      <c r="AU170" s="13"/>
      <c r="AV170" s="13"/>
      <c r="AW170" s="49"/>
      <c r="AX170" s="13"/>
      <c r="AY170" s="13"/>
      <c r="AZ170" s="49"/>
      <c r="BA170" s="13"/>
      <c r="BB170" s="13"/>
    </row>
    <row r="171" spans="2:54" s="2" customFormat="1" x14ac:dyDescent="0.25">
      <c r="B171" s="49"/>
      <c r="C171" s="13"/>
      <c r="D171" s="13"/>
      <c r="E171" s="49"/>
      <c r="F171" s="13"/>
      <c r="G171" s="13"/>
      <c r="H171" s="49"/>
      <c r="I171" s="13"/>
      <c r="J171" s="13"/>
      <c r="K171" s="13"/>
      <c r="L171" s="49"/>
      <c r="M171" s="13"/>
      <c r="N171" s="13"/>
      <c r="O171" s="49"/>
      <c r="P171" s="13"/>
      <c r="Q171" s="13"/>
      <c r="R171" s="13"/>
      <c r="S171" s="49"/>
      <c r="T171" s="13"/>
      <c r="U171" s="13"/>
      <c r="V171" s="49"/>
      <c r="W171" s="13"/>
      <c r="X171" s="13"/>
      <c r="Y171" s="49"/>
      <c r="Z171" s="13"/>
      <c r="AA171" s="13"/>
      <c r="AB171" s="13"/>
      <c r="AC171" s="49"/>
      <c r="AD171" s="13"/>
      <c r="AE171" s="13"/>
      <c r="AF171" s="49"/>
      <c r="AG171" s="13"/>
      <c r="AH171" s="13"/>
      <c r="AI171" s="13"/>
      <c r="AJ171" s="49"/>
      <c r="AK171" s="13"/>
      <c r="AL171" s="13"/>
      <c r="AM171" s="49"/>
      <c r="AN171" s="13"/>
      <c r="AO171" s="13"/>
      <c r="AP171" s="13"/>
      <c r="AQ171" s="49"/>
      <c r="AR171" s="13"/>
      <c r="AS171" s="13"/>
      <c r="AT171" s="49"/>
      <c r="AU171" s="13"/>
      <c r="AV171" s="13"/>
      <c r="AW171" s="49"/>
      <c r="AX171" s="13"/>
      <c r="AY171" s="13"/>
      <c r="AZ171" s="49"/>
      <c r="BA171" s="13"/>
      <c r="BB171" s="13"/>
    </row>
    <row r="172" spans="2:54" s="2" customFormat="1" x14ac:dyDescent="0.25">
      <c r="B172" s="49"/>
      <c r="C172" s="13"/>
      <c r="D172" s="13"/>
      <c r="E172" s="49"/>
      <c r="F172" s="13"/>
      <c r="G172" s="13"/>
      <c r="H172" s="49"/>
      <c r="I172" s="13"/>
      <c r="J172" s="13"/>
      <c r="K172" s="13"/>
      <c r="L172" s="49"/>
      <c r="M172" s="13"/>
      <c r="N172" s="13"/>
      <c r="O172" s="49"/>
      <c r="P172" s="13"/>
      <c r="Q172" s="13"/>
      <c r="R172" s="13"/>
      <c r="S172" s="49"/>
      <c r="T172" s="13"/>
      <c r="U172" s="13"/>
      <c r="V172" s="49"/>
      <c r="W172" s="13"/>
      <c r="X172" s="13"/>
      <c r="Y172" s="49"/>
      <c r="Z172" s="13"/>
      <c r="AA172" s="13"/>
      <c r="AB172" s="13"/>
      <c r="AC172" s="49"/>
      <c r="AD172" s="13"/>
      <c r="AE172" s="13"/>
      <c r="AF172" s="49"/>
      <c r="AG172" s="13"/>
      <c r="AH172" s="13"/>
      <c r="AI172" s="13"/>
      <c r="AJ172" s="49"/>
      <c r="AK172" s="13"/>
      <c r="AL172" s="13"/>
      <c r="AM172" s="49"/>
      <c r="AN172" s="13"/>
      <c r="AO172" s="13"/>
      <c r="AP172" s="13"/>
      <c r="AQ172" s="49"/>
      <c r="AR172" s="13"/>
      <c r="AS172" s="13"/>
      <c r="AT172" s="49"/>
      <c r="AU172" s="13"/>
      <c r="AV172" s="13"/>
      <c r="AW172" s="49"/>
      <c r="AX172" s="13"/>
      <c r="AY172" s="13"/>
      <c r="AZ172" s="49"/>
      <c r="BA172" s="13"/>
      <c r="BB172" s="13"/>
    </row>
    <row r="173" spans="2:54" s="2" customFormat="1" x14ac:dyDescent="0.25">
      <c r="B173" s="49"/>
      <c r="C173" s="13"/>
      <c r="D173" s="13"/>
      <c r="E173" s="49"/>
      <c r="F173" s="13"/>
      <c r="G173" s="13"/>
      <c r="H173" s="49"/>
      <c r="I173" s="13"/>
      <c r="J173" s="13"/>
      <c r="K173" s="13"/>
      <c r="L173" s="49"/>
      <c r="M173" s="13"/>
      <c r="N173" s="13"/>
      <c r="O173" s="49"/>
      <c r="P173" s="13"/>
      <c r="Q173" s="13"/>
      <c r="R173" s="13"/>
      <c r="S173" s="49"/>
      <c r="T173" s="13"/>
      <c r="U173" s="13"/>
      <c r="V173" s="49"/>
      <c r="W173" s="13"/>
      <c r="X173" s="13"/>
      <c r="Y173" s="49"/>
      <c r="Z173" s="13"/>
      <c r="AA173" s="13"/>
      <c r="AB173" s="13"/>
      <c r="AC173" s="49"/>
      <c r="AD173" s="13"/>
      <c r="AE173" s="13"/>
      <c r="AF173" s="49"/>
      <c r="AG173" s="13"/>
      <c r="AH173" s="13"/>
      <c r="AI173" s="13"/>
      <c r="AJ173" s="49"/>
      <c r="AK173" s="13"/>
      <c r="AL173" s="13"/>
      <c r="AM173" s="49"/>
      <c r="AN173" s="13"/>
      <c r="AO173" s="13"/>
      <c r="AP173" s="13"/>
      <c r="AQ173" s="49"/>
      <c r="AR173" s="13"/>
      <c r="AS173" s="13"/>
      <c r="AT173" s="49"/>
      <c r="AU173" s="13"/>
      <c r="AV173" s="13"/>
      <c r="AW173" s="49"/>
      <c r="AX173" s="13"/>
      <c r="AY173" s="13"/>
      <c r="AZ173" s="49"/>
      <c r="BA173" s="13"/>
      <c r="BB173" s="13"/>
    </row>
    <row r="174" spans="2:54" s="2" customFormat="1" x14ac:dyDescent="0.25">
      <c r="B174" s="49"/>
      <c r="C174" s="13"/>
      <c r="D174" s="13"/>
      <c r="E174" s="49"/>
      <c r="F174" s="13"/>
      <c r="G174" s="13"/>
      <c r="H174" s="49"/>
      <c r="I174" s="13"/>
      <c r="J174" s="13"/>
      <c r="K174" s="13"/>
      <c r="L174" s="49"/>
      <c r="M174" s="13"/>
      <c r="N174" s="13"/>
      <c r="O174" s="49"/>
      <c r="P174" s="13"/>
      <c r="Q174" s="13"/>
      <c r="R174" s="13"/>
      <c r="S174" s="49"/>
      <c r="T174" s="13"/>
      <c r="U174" s="13"/>
      <c r="V174" s="49"/>
      <c r="W174" s="13"/>
      <c r="X174" s="13"/>
      <c r="Y174" s="49"/>
      <c r="Z174" s="13"/>
      <c r="AA174" s="13"/>
      <c r="AB174" s="13"/>
      <c r="AC174" s="49"/>
      <c r="AD174" s="13"/>
      <c r="AE174" s="13"/>
      <c r="AF174" s="49"/>
      <c r="AG174" s="13"/>
      <c r="AH174" s="13"/>
      <c r="AI174" s="13"/>
      <c r="AJ174" s="49"/>
      <c r="AK174" s="13"/>
      <c r="AL174" s="13"/>
      <c r="AM174" s="49"/>
      <c r="AN174" s="13"/>
      <c r="AO174" s="13"/>
      <c r="AP174" s="13"/>
      <c r="AQ174" s="49"/>
      <c r="AR174" s="13"/>
      <c r="AS174" s="13"/>
      <c r="AT174" s="49"/>
      <c r="AU174" s="13"/>
      <c r="AV174" s="13"/>
      <c r="AW174" s="49"/>
      <c r="AX174" s="13"/>
      <c r="AY174" s="13"/>
      <c r="AZ174" s="49"/>
      <c r="BA174" s="13"/>
      <c r="BB174" s="13"/>
    </row>
    <row r="175" spans="2:54" s="2" customFormat="1" x14ac:dyDescent="0.25">
      <c r="B175" s="49"/>
      <c r="C175" s="13"/>
      <c r="D175" s="13"/>
      <c r="E175" s="49"/>
      <c r="F175" s="13"/>
      <c r="G175" s="13"/>
      <c r="H175" s="49"/>
      <c r="I175" s="13"/>
      <c r="J175" s="13"/>
      <c r="K175" s="13"/>
      <c r="L175" s="49"/>
      <c r="M175" s="13"/>
      <c r="N175" s="13"/>
      <c r="O175" s="49"/>
      <c r="P175" s="13"/>
      <c r="Q175" s="13"/>
      <c r="R175" s="13"/>
      <c r="S175" s="49"/>
      <c r="T175" s="13"/>
      <c r="U175" s="13"/>
      <c r="V175" s="49"/>
      <c r="W175" s="13"/>
      <c r="X175" s="13"/>
      <c r="Y175" s="49"/>
      <c r="Z175" s="13"/>
      <c r="AA175" s="13"/>
      <c r="AB175" s="13"/>
      <c r="AC175" s="49"/>
      <c r="AD175" s="13"/>
      <c r="AE175" s="13"/>
      <c r="AF175" s="49"/>
      <c r="AG175" s="13"/>
      <c r="AH175" s="13"/>
      <c r="AI175" s="13"/>
      <c r="AJ175" s="49"/>
      <c r="AK175" s="13"/>
      <c r="AL175" s="13"/>
      <c r="AM175" s="49"/>
      <c r="AN175" s="13"/>
      <c r="AO175" s="13"/>
      <c r="AP175" s="13"/>
      <c r="AQ175" s="49"/>
      <c r="AR175" s="13"/>
      <c r="AS175" s="13"/>
      <c r="AT175" s="49"/>
      <c r="AU175" s="13"/>
      <c r="AV175" s="13"/>
      <c r="AW175" s="49"/>
      <c r="AX175" s="13"/>
      <c r="AY175" s="13"/>
      <c r="AZ175" s="49"/>
      <c r="BA175" s="13"/>
      <c r="BB175" s="13"/>
    </row>
    <row r="176" spans="2:54" s="2" customFormat="1" x14ac:dyDescent="0.25">
      <c r="B176" s="49"/>
      <c r="C176" s="13"/>
      <c r="D176" s="13"/>
      <c r="E176" s="49"/>
      <c r="F176" s="13"/>
      <c r="G176" s="13"/>
      <c r="H176" s="49"/>
      <c r="I176" s="13"/>
      <c r="J176" s="13"/>
      <c r="K176" s="13"/>
      <c r="L176" s="49"/>
      <c r="M176" s="13"/>
      <c r="N176" s="13"/>
      <c r="O176" s="49"/>
      <c r="P176" s="13"/>
      <c r="Q176" s="13"/>
      <c r="R176" s="13"/>
      <c r="S176" s="49"/>
      <c r="T176" s="13"/>
      <c r="U176" s="13"/>
      <c r="V176" s="49"/>
      <c r="W176" s="13"/>
      <c r="X176" s="13"/>
      <c r="Y176" s="49"/>
      <c r="Z176" s="13"/>
      <c r="AA176" s="13"/>
      <c r="AB176" s="13"/>
      <c r="AC176" s="49"/>
      <c r="AD176" s="13"/>
      <c r="AE176" s="13"/>
      <c r="AF176" s="49"/>
      <c r="AG176" s="13"/>
      <c r="AH176" s="13"/>
      <c r="AI176" s="13"/>
      <c r="AJ176" s="49"/>
      <c r="AK176" s="13"/>
      <c r="AL176" s="13"/>
      <c r="AM176" s="49"/>
      <c r="AN176" s="13"/>
      <c r="AO176" s="13"/>
      <c r="AP176" s="13"/>
      <c r="AQ176" s="49"/>
      <c r="AR176" s="13"/>
      <c r="AS176" s="13"/>
      <c r="AT176" s="49"/>
      <c r="AU176" s="13"/>
      <c r="AV176" s="13"/>
      <c r="AW176" s="49"/>
      <c r="AX176" s="13"/>
      <c r="AY176" s="13"/>
      <c r="AZ176" s="49"/>
      <c r="BA176" s="13"/>
      <c r="BB176" s="13"/>
    </row>
    <row r="177" spans="2:54" s="2" customFormat="1" x14ac:dyDescent="0.25">
      <c r="B177" s="49"/>
      <c r="C177" s="13"/>
      <c r="D177" s="13"/>
      <c r="E177" s="49"/>
      <c r="F177" s="13"/>
      <c r="G177" s="13"/>
      <c r="H177" s="49"/>
      <c r="I177" s="13"/>
      <c r="J177" s="13"/>
      <c r="K177" s="13"/>
      <c r="L177" s="49"/>
      <c r="M177" s="13"/>
      <c r="N177" s="13"/>
      <c r="O177" s="49"/>
      <c r="P177" s="13"/>
      <c r="Q177" s="13"/>
      <c r="R177" s="13"/>
      <c r="S177" s="49"/>
      <c r="T177" s="13"/>
      <c r="U177" s="13"/>
      <c r="V177" s="49"/>
      <c r="W177" s="13"/>
      <c r="X177" s="13"/>
      <c r="Y177" s="49"/>
      <c r="Z177" s="13"/>
      <c r="AA177" s="13"/>
      <c r="AB177" s="13"/>
      <c r="AC177" s="49"/>
      <c r="AD177" s="13"/>
      <c r="AE177" s="13"/>
      <c r="AF177" s="49"/>
      <c r="AG177" s="13"/>
      <c r="AH177" s="13"/>
      <c r="AI177" s="13"/>
      <c r="AJ177" s="49"/>
      <c r="AK177" s="13"/>
      <c r="AL177" s="13"/>
      <c r="AM177" s="49"/>
      <c r="AN177" s="13"/>
      <c r="AO177" s="13"/>
      <c r="AP177" s="13"/>
      <c r="AQ177" s="49"/>
      <c r="AR177" s="13"/>
      <c r="AS177" s="13"/>
      <c r="AT177" s="49"/>
      <c r="AU177" s="13"/>
      <c r="AV177" s="13"/>
      <c r="AW177" s="49"/>
      <c r="AX177" s="13"/>
      <c r="AY177" s="13"/>
      <c r="AZ177" s="49"/>
      <c r="BA177" s="13"/>
      <c r="BB177" s="13"/>
    </row>
    <row r="178" spans="2:54" s="2" customFormat="1" x14ac:dyDescent="0.25">
      <c r="B178" s="49"/>
      <c r="C178" s="13"/>
      <c r="D178" s="13"/>
      <c r="E178" s="49"/>
      <c r="F178" s="13"/>
      <c r="G178" s="13"/>
      <c r="H178" s="49"/>
      <c r="I178" s="13"/>
      <c r="J178" s="13"/>
      <c r="K178" s="13"/>
      <c r="L178" s="49"/>
      <c r="M178" s="13"/>
      <c r="N178" s="13"/>
      <c r="O178" s="49"/>
      <c r="P178" s="13"/>
      <c r="Q178" s="13"/>
      <c r="R178" s="13"/>
      <c r="S178" s="49"/>
      <c r="T178" s="13"/>
      <c r="U178" s="13"/>
      <c r="V178" s="49"/>
      <c r="W178" s="13"/>
      <c r="X178" s="13"/>
      <c r="Y178" s="49"/>
      <c r="Z178" s="13"/>
      <c r="AA178" s="13"/>
      <c r="AB178" s="13"/>
      <c r="AC178" s="49"/>
      <c r="AD178" s="13"/>
      <c r="AE178" s="13"/>
      <c r="AF178" s="49"/>
      <c r="AG178" s="13"/>
      <c r="AH178" s="13"/>
      <c r="AI178" s="13"/>
      <c r="AJ178" s="49"/>
      <c r="AK178" s="13"/>
      <c r="AL178" s="13"/>
      <c r="AM178" s="49"/>
      <c r="AN178" s="13"/>
      <c r="AO178" s="13"/>
      <c r="AP178" s="13"/>
      <c r="AQ178" s="49"/>
      <c r="AR178" s="13"/>
      <c r="AS178" s="13"/>
      <c r="AT178" s="49"/>
      <c r="AU178" s="13"/>
      <c r="AV178" s="13"/>
      <c r="AW178" s="49"/>
      <c r="AX178" s="13"/>
      <c r="AY178" s="13"/>
      <c r="AZ178" s="49"/>
      <c r="BA178" s="13"/>
      <c r="BB178" s="13"/>
    </row>
    <row r="179" spans="2:54" s="2" customFormat="1" x14ac:dyDescent="0.25">
      <c r="B179" s="49"/>
      <c r="C179" s="13"/>
      <c r="D179" s="13"/>
      <c r="E179" s="49"/>
      <c r="F179" s="13"/>
      <c r="G179" s="13"/>
      <c r="H179" s="49"/>
      <c r="I179" s="13"/>
      <c r="J179" s="13"/>
      <c r="K179" s="13"/>
      <c r="L179" s="49"/>
      <c r="M179" s="13"/>
      <c r="N179" s="13"/>
      <c r="O179" s="49"/>
      <c r="P179" s="13"/>
      <c r="Q179" s="13"/>
      <c r="R179" s="13"/>
      <c r="S179" s="49"/>
      <c r="T179" s="13"/>
      <c r="U179" s="13"/>
      <c r="V179" s="49"/>
      <c r="W179" s="13"/>
      <c r="X179" s="13"/>
      <c r="Y179" s="49"/>
      <c r="Z179" s="13"/>
      <c r="AA179" s="13"/>
      <c r="AB179" s="13"/>
      <c r="AC179" s="49"/>
      <c r="AD179" s="13"/>
      <c r="AE179" s="13"/>
      <c r="AF179" s="49"/>
      <c r="AG179" s="13"/>
      <c r="AH179" s="13"/>
      <c r="AI179" s="13"/>
      <c r="AJ179" s="49"/>
      <c r="AK179" s="13"/>
      <c r="AL179" s="13"/>
      <c r="AM179" s="49"/>
      <c r="AN179" s="13"/>
      <c r="AO179" s="13"/>
      <c r="AP179" s="13"/>
      <c r="AQ179" s="49"/>
      <c r="AR179" s="13"/>
      <c r="AS179" s="13"/>
      <c r="AT179" s="49"/>
      <c r="AU179" s="13"/>
      <c r="AV179" s="13"/>
      <c r="AW179" s="49"/>
      <c r="AX179" s="13"/>
      <c r="AY179" s="13"/>
      <c r="AZ179" s="49"/>
      <c r="BA179" s="13"/>
      <c r="BB179" s="13"/>
    </row>
    <row r="180" spans="2:54" s="2" customFormat="1" x14ac:dyDescent="0.25">
      <c r="B180" s="49"/>
      <c r="C180" s="13"/>
      <c r="D180" s="13"/>
      <c r="E180" s="49"/>
      <c r="F180" s="13"/>
      <c r="G180" s="13"/>
      <c r="H180" s="49"/>
      <c r="I180" s="13"/>
      <c r="J180" s="13"/>
      <c r="K180" s="13"/>
      <c r="L180" s="49"/>
      <c r="M180" s="13"/>
      <c r="N180" s="13"/>
      <c r="O180" s="49"/>
      <c r="P180" s="13"/>
      <c r="Q180" s="13"/>
      <c r="R180" s="13"/>
      <c r="S180" s="49"/>
      <c r="T180" s="13"/>
      <c r="U180" s="13"/>
      <c r="V180" s="49"/>
      <c r="W180" s="13"/>
      <c r="X180" s="13"/>
      <c r="Y180" s="49"/>
      <c r="Z180" s="13"/>
      <c r="AA180" s="13"/>
      <c r="AB180" s="13"/>
      <c r="AC180" s="49"/>
      <c r="AD180" s="13"/>
      <c r="AE180" s="13"/>
      <c r="AF180" s="49"/>
      <c r="AG180" s="13"/>
      <c r="AH180" s="13"/>
      <c r="AI180" s="13"/>
      <c r="AJ180" s="49"/>
      <c r="AK180" s="13"/>
      <c r="AL180" s="13"/>
      <c r="AM180" s="49"/>
      <c r="AN180" s="13"/>
      <c r="AO180" s="13"/>
      <c r="AP180" s="13"/>
      <c r="AQ180" s="49"/>
      <c r="AR180" s="13"/>
      <c r="AS180" s="13"/>
      <c r="AT180" s="49"/>
      <c r="AU180" s="13"/>
      <c r="AV180" s="13"/>
      <c r="AW180" s="49"/>
      <c r="AX180" s="13"/>
      <c r="AY180" s="13"/>
      <c r="AZ180" s="49"/>
      <c r="BA180" s="13"/>
      <c r="BB180" s="13"/>
    </row>
    <row r="181" spans="2:54" s="2" customFormat="1" x14ac:dyDescent="0.25">
      <c r="B181" s="49"/>
      <c r="C181" s="13"/>
      <c r="D181" s="13"/>
      <c r="E181" s="49"/>
      <c r="F181" s="13"/>
      <c r="G181" s="13"/>
      <c r="H181" s="49"/>
      <c r="I181" s="13"/>
      <c r="J181" s="13"/>
      <c r="K181" s="13"/>
      <c r="L181" s="49"/>
      <c r="M181" s="13"/>
      <c r="N181" s="13"/>
      <c r="O181" s="49"/>
      <c r="P181" s="13"/>
      <c r="Q181" s="13"/>
      <c r="R181" s="13"/>
      <c r="S181" s="49"/>
      <c r="T181" s="13"/>
      <c r="U181" s="13"/>
      <c r="V181" s="49"/>
      <c r="W181" s="13"/>
      <c r="X181" s="13"/>
      <c r="Y181" s="49"/>
      <c r="Z181" s="13"/>
      <c r="AA181" s="13"/>
      <c r="AB181" s="13"/>
      <c r="AC181" s="49"/>
      <c r="AD181" s="13"/>
      <c r="AE181" s="13"/>
      <c r="AF181" s="49"/>
      <c r="AG181" s="13"/>
      <c r="AH181" s="13"/>
      <c r="AI181" s="13"/>
      <c r="AJ181" s="49"/>
      <c r="AK181" s="13"/>
      <c r="AL181" s="13"/>
      <c r="AM181" s="49"/>
      <c r="AN181" s="13"/>
      <c r="AO181" s="13"/>
      <c r="AP181" s="13"/>
      <c r="AQ181" s="49"/>
      <c r="AR181" s="13"/>
      <c r="AS181" s="13"/>
      <c r="AT181" s="49"/>
      <c r="AU181" s="13"/>
      <c r="AV181" s="13"/>
      <c r="AW181" s="49"/>
      <c r="AX181" s="13"/>
      <c r="AY181" s="13"/>
      <c r="AZ181" s="49"/>
      <c r="BA181" s="13"/>
      <c r="BB181" s="13"/>
    </row>
    <row r="182" spans="2:54" s="2" customFormat="1" x14ac:dyDescent="0.25">
      <c r="B182" s="49"/>
      <c r="C182" s="13"/>
      <c r="D182" s="13"/>
      <c r="E182" s="49"/>
      <c r="F182" s="13"/>
      <c r="G182" s="13"/>
      <c r="H182" s="49"/>
      <c r="I182" s="13"/>
      <c r="J182" s="13"/>
      <c r="K182" s="13"/>
      <c r="L182" s="49"/>
      <c r="M182" s="13"/>
      <c r="N182" s="13"/>
      <c r="O182" s="49"/>
      <c r="P182" s="13"/>
      <c r="Q182" s="13"/>
      <c r="R182" s="13"/>
      <c r="S182" s="49"/>
      <c r="T182" s="13"/>
      <c r="U182" s="13"/>
      <c r="V182" s="49"/>
      <c r="W182" s="13"/>
      <c r="X182" s="13"/>
      <c r="Y182" s="49"/>
      <c r="Z182" s="13"/>
      <c r="AA182" s="13"/>
      <c r="AB182" s="13"/>
      <c r="AC182" s="49"/>
      <c r="AD182" s="13"/>
      <c r="AE182" s="13"/>
      <c r="AF182" s="49"/>
      <c r="AG182" s="13"/>
      <c r="AH182" s="13"/>
      <c r="AI182" s="13"/>
      <c r="AJ182" s="49"/>
      <c r="AK182" s="13"/>
      <c r="AL182" s="13"/>
      <c r="AM182" s="49"/>
      <c r="AN182" s="13"/>
      <c r="AO182" s="13"/>
      <c r="AP182" s="13"/>
      <c r="AQ182" s="49"/>
      <c r="AR182" s="13"/>
      <c r="AS182" s="13"/>
      <c r="AT182" s="49"/>
      <c r="AU182" s="13"/>
      <c r="AV182" s="13"/>
      <c r="AW182" s="49"/>
      <c r="AX182" s="13"/>
      <c r="AY182" s="13"/>
      <c r="AZ182" s="49"/>
      <c r="BA182" s="13"/>
      <c r="BB182" s="13"/>
    </row>
    <row r="183" spans="2:54" s="2" customFormat="1" x14ac:dyDescent="0.25">
      <c r="B183" s="49"/>
      <c r="C183" s="13"/>
      <c r="D183" s="13"/>
      <c r="E183" s="49"/>
      <c r="F183" s="13"/>
      <c r="G183" s="13"/>
      <c r="H183" s="49"/>
      <c r="I183" s="13"/>
      <c r="J183" s="13"/>
      <c r="K183" s="13"/>
      <c r="L183" s="49"/>
      <c r="M183" s="13"/>
      <c r="N183" s="13"/>
      <c r="O183" s="49"/>
      <c r="P183" s="13"/>
      <c r="Q183" s="13"/>
      <c r="R183" s="13"/>
      <c r="S183" s="49"/>
      <c r="T183" s="13"/>
      <c r="U183" s="13"/>
      <c r="V183" s="49"/>
      <c r="W183" s="13"/>
      <c r="X183" s="13"/>
      <c r="Y183" s="49"/>
      <c r="Z183" s="13"/>
      <c r="AA183" s="13"/>
      <c r="AB183" s="13"/>
      <c r="AC183" s="49"/>
      <c r="AD183" s="13"/>
      <c r="AE183" s="13"/>
      <c r="AF183" s="49"/>
      <c r="AG183" s="13"/>
      <c r="AH183" s="13"/>
      <c r="AI183" s="13"/>
      <c r="AJ183" s="49"/>
      <c r="AK183" s="13"/>
      <c r="AL183" s="13"/>
      <c r="AM183" s="49"/>
      <c r="AN183" s="13"/>
      <c r="AO183" s="13"/>
      <c r="AP183" s="13"/>
      <c r="AQ183" s="49"/>
      <c r="AR183" s="13"/>
      <c r="AS183" s="13"/>
      <c r="AT183" s="49"/>
      <c r="AU183" s="13"/>
      <c r="AV183" s="13"/>
      <c r="AW183" s="49"/>
      <c r="AX183" s="13"/>
      <c r="AY183" s="13"/>
      <c r="AZ183" s="49"/>
      <c r="BA183" s="13"/>
      <c r="BB183" s="13"/>
    </row>
    <row r="184" spans="2:54" s="2" customFormat="1" x14ac:dyDescent="0.25">
      <c r="B184" s="49"/>
      <c r="C184" s="13"/>
      <c r="D184" s="13"/>
      <c r="E184" s="49"/>
      <c r="F184" s="13"/>
      <c r="G184" s="13"/>
      <c r="H184" s="49"/>
      <c r="I184" s="13"/>
      <c r="J184" s="13"/>
      <c r="K184" s="13"/>
      <c r="L184" s="49"/>
      <c r="M184" s="13"/>
      <c r="N184" s="13"/>
      <c r="O184" s="49"/>
      <c r="P184" s="13"/>
      <c r="Q184" s="13"/>
      <c r="R184" s="13"/>
      <c r="S184" s="49"/>
      <c r="T184" s="13"/>
      <c r="U184" s="13"/>
      <c r="V184" s="49"/>
      <c r="W184" s="13"/>
      <c r="X184" s="13"/>
      <c r="Y184" s="49"/>
      <c r="Z184" s="13"/>
      <c r="AA184" s="13"/>
      <c r="AB184" s="13"/>
      <c r="AC184" s="49"/>
      <c r="AD184" s="13"/>
      <c r="AE184" s="13"/>
      <c r="AF184" s="49"/>
      <c r="AG184" s="13"/>
      <c r="AH184" s="13"/>
      <c r="AI184" s="13"/>
      <c r="AJ184" s="49"/>
      <c r="AK184" s="13"/>
      <c r="AL184" s="13"/>
      <c r="AM184" s="49"/>
      <c r="AN184" s="13"/>
      <c r="AO184" s="13"/>
      <c r="AP184" s="13"/>
      <c r="AQ184" s="49"/>
      <c r="AR184" s="13"/>
      <c r="AS184" s="13"/>
      <c r="AT184" s="49"/>
      <c r="AU184" s="13"/>
      <c r="AV184" s="13"/>
      <c r="AW184" s="49"/>
      <c r="AX184" s="13"/>
      <c r="AY184" s="13"/>
      <c r="AZ184" s="49"/>
      <c r="BA184" s="13"/>
      <c r="BB184" s="13"/>
    </row>
    <row r="185" spans="2:54" s="2" customFormat="1" x14ac:dyDescent="0.25">
      <c r="B185" s="49"/>
      <c r="C185" s="13"/>
      <c r="D185" s="13"/>
      <c r="E185" s="49"/>
      <c r="F185" s="13"/>
      <c r="G185" s="13"/>
      <c r="H185" s="49"/>
      <c r="I185" s="13"/>
      <c r="J185" s="13"/>
      <c r="K185" s="13"/>
      <c r="L185" s="49"/>
      <c r="M185" s="13"/>
      <c r="N185" s="13"/>
      <c r="O185" s="49"/>
      <c r="P185" s="13"/>
      <c r="Q185" s="13"/>
      <c r="R185" s="13"/>
      <c r="S185" s="49"/>
      <c r="T185" s="13"/>
      <c r="U185" s="13"/>
      <c r="V185" s="49"/>
      <c r="W185" s="13"/>
      <c r="X185" s="13"/>
      <c r="Y185" s="49"/>
      <c r="Z185" s="13"/>
      <c r="AA185" s="13"/>
      <c r="AB185" s="13"/>
      <c r="AC185" s="49"/>
      <c r="AD185" s="13"/>
      <c r="AE185" s="13"/>
      <c r="AF185" s="49"/>
      <c r="AG185" s="13"/>
      <c r="AH185" s="13"/>
      <c r="AI185" s="13"/>
      <c r="AJ185" s="49"/>
      <c r="AK185" s="13"/>
      <c r="AL185" s="13"/>
      <c r="AM185" s="49"/>
      <c r="AN185" s="13"/>
      <c r="AO185" s="13"/>
      <c r="AP185" s="13"/>
      <c r="AQ185" s="49"/>
      <c r="AR185" s="13"/>
      <c r="AS185" s="13"/>
      <c r="AT185" s="49"/>
      <c r="AU185" s="13"/>
      <c r="AV185" s="13"/>
      <c r="AW185" s="49"/>
      <c r="AX185" s="13"/>
      <c r="AY185" s="13"/>
      <c r="AZ185" s="49"/>
      <c r="BA185" s="13"/>
      <c r="BB185" s="13"/>
    </row>
    <row r="186" spans="2:54" s="2" customFormat="1" x14ac:dyDescent="0.25">
      <c r="B186" s="49"/>
      <c r="C186" s="13"/>
      <c r="D186" s="13"/>
      <c r="E186" s="49"/>
      <c r="F186" s="13"/>
      <c r="G186" s="13"/>
      <c r="H186" s="49"/>
      <c r="I186" s="13"/>
      <c r="J186" s="13"/>
      <c r="K186" s="13"/>
      <c r="L186" s="49"/>
      <c r="M186" s="13"/>
      <c r="N186" s="13"/>
      <c r="O186" s="49"/>
      <c r="P186" s="13"/>
      <c r="Q186" s="13"/>
      <c r="R186" s="13"/>
      <c r="S186" s="49"/>
      <c r="T186" s="13"/>
      <c r="U186" s="13"/>
      <c r="V186" s="49"/>
      <c r="W186" s="13"/>
      <c r="X186" s="13"/>
      <c r="Y186" s="49"/>
      <c r="Z186" s="13"/>
      <c r="AA186" s="13"/>
      <c r="AB186" s="13"/>
      <c r="AC186" s="49"/>
      <c r="AD186" s="13"/>
      <c r="AE186" s="13"/>
      <c r="AF186" s="49"/>
      <c r="AG186" s="13"/>
      <c r="AH186" s="13"/>
      <c r="AI186" s="13"/>
      <c r="AJ186" s="49"/>
      <c r="AK186" s="13"/>
      <c r="AL186" s="13"/>
      <c r="AM186" s="49"/>
      <c r="AN186" s="13"/>
      <c r="AO186" s="13"/>
      <c r="AP186" s="13"/>
      <c r="AQ186" s="49"/>
      <c r="AR186" s="13"/>
      <c r="AS186" s="13"/>
      <c r="AT186" s="49"/>
      <c r="AU186" s="13"/>
      <c r="AV186" s="13"/>
      <c r="AW186" s="49"/>
      <c r="AX186" s="13"/>
      <c r="AY186" s="13"/>
      <c r="AZ186" s="49"/>
      <c r="BA186" s="13"/>
      <c r="BB186" s="13"/>
    </row>
    <row r="187" spans="2:54" s="2" customFormat="1" x14ac:dyDescent="0.25">
      <c r="B187" s="49"/>
      <c r="C187" s="13"/>
      <c r="D187" s="13"/>
      <c r="E187" s="49"/>
      <c r="F187" s="13"/>
      <c r="G187" s="13"/>
      <c r="H187" s="49"/>
      <c r="I187" s="13"/>
      <c r="J187" s="13"/>
      <c r="K187" s="13"/>
      <c r="L187" s="49"/>
      <c r="M187" s="13"/>
      <c r="N187" s="13"/>
      <c r="O187" s="49"/>
      <c r="P187" s="13"/>
      <c r="Q187" s="13"/>
      <c r="R187" s="13"/>
      <c r="S187" s="49"/>
      <c r="T187" s="13"/>
      <c r="U187" s="13"/>
      <c r="V187" s="49"/>
      <c r="W187" s="13"/>
      <c r="X187" s="13"/>
      <c r="Y187" s="49"/>
      <c r="Z187" s="13"/>
      <c r="AA187" s="13"/>
      <c r="AB187" s="13"/>
      <c r="AC187" s="49"/>
      <c r="AD187" s="13"/>
      <c r="AE187" s="13"/>
      <c r="AF187" s="49"/>
      <c r="AG187" s="13"/>
      <c r="AH187" s="13"/>
      <c r="AI187" s="13"/>
      <c r="AJ187" s="49"/>
      <c r="AK187" s="13"/>
      <c r="AL187" s="13"/>
      <c r="AM187" s="49"/>
      <c r="AN187" s="13"/>
      <c r="AO187" s="13"/>
      <c r="AP187" s="13"/>
      <c r="AQ187" s="49"/>
      <c r="AR187" s="13"/>
      <c r="AS187" s="13"/>
      <c r="AT187" s="49"/>
      <c r="AU187" s="13"/>
      <c r="AV187" s="13"/>
      <c r="AW187" s="49"/>
      <c r="AX187" s="13"/>
      <c r="AY187" s="13"/>
      <c r="AZ187" s="49"/>
      <c r="BA187" s="13"/>
      <c r="BB187" s="13"/>
    </row>
    <row r="188" spans="2:54" s="2" customFormat="1" x14ac:dyDescent="0.25">
      <c r="B188" s="49"/>
      <c r="C188" s="13"/>
      <c r="D188" s="13"/>
      <c r="E188" s="49"/>
      <c r="F188" s="13"/>
      <c r="G188" s="13"/>
      <c r="H188" s="49"/>
      <c r="I188" s="13"/>
      <c r="J188" s="13"/>
      <c r="K188" s="13"/>
      <c r="L188" s="49"/>
      <c r="M188" s="13"/>
      <c r="N188" s="13"/>
      <c r="O188" s="49"/>
      <c r="P188" s="13"/>
      <c r="Q188" s="13"/>
      <c r="R188" s="13"/>
      <c r="S188" s="49"/>
      <c r="T188" s="13"/>
      <c r="U188" s="13"/>
      <c r="V188" s="49"/>
      <c r="W188" s="13"/>
      <c r="X188" s="13"/>
      <c r="Y188" s="49"/>
      <c r="Z188" s="13"/>
      <c r="AA188" s="13"/>
      <c r="AB188" s="13"/>
      <c r="AC188" s="49"/>
      <c r="AD188" s="13"/>
      <c r="AE188" s="13"/>
      <c r="AF188" s="49"/>
      <c r="AG188" s="13"/>
      <c r="AH188" s="13"/>
      <c r="AI188" s="13"/>
      <c r="AJ188" s="49"/>
      <c r="AK188" s="13"/>
      <c r="AL188" s="13"/>
      <c r="AM188" s="49"/>
      <c r="AN188" s="13"/>
      <c r="AO188" s="13"/>
      <c r="AP188" s="13"/>
      <c r="AQ188" s="49"/>
      <c r="AR188" s="13"/>
      <c r="AS188" s="13"/>
      <c r="AT188" s="49"/>
      <c r="AU188" s="13"/>
      <c r="AV188" s="13"/>
      <c r="AW188" s="49"/>
      <c r="AX188" s="13"/>
      <c r="AY188" s="13"/>
      <c r="AZ188" s="49"/>
      <c r="BA188" s="13"/>
      <c r="BB188" s="13"/>
    </row>
    <row r="189" spans="2:54" s="2" customFormat="1" x14ac:dyDescent="0.25">
      <c r="B189" s="49"/>
      <c r="C189" s="13"/>
      <c r="D189" s="13"/>
      <c r="E189" s="49"/>
      <c r="F189" s="13"/>
      <c r="G189" s="13"/>
      <c r="H189" s="49"/>
      <c r="I189" s="13"/>
      <c r="J189" s="13"/>
      <c r="K189" s="13"/>
      <c r="L189" s="49"/>
      <c r="M189" s="13"/>
      <c r="N189" s="13"/>
      <c r="O189" s="49"/>
      <c r="P189" s="13"/>
      <c r="Q189" s="13"/>
      <c r="R189" s="13"/>
      <c r="S189" s="49"/>
      <c r="T189" s="13"/>
      <c r="U189" s="13"/>
      <c r="V189" s="49"/>
      <c r="W189" s="13"/>
      <c r="X189" s="13"/>
      <c r="Y189" s="49"/>
      <c r="Z189" s="13"/>
      <c r="AA189" s="13"/>
      <c r="AB189" s="13"/>
      <c r="AC189" s="49"/>
      <c r="AD189" s="13"/>
      <c r="AE189" s="13"/>
      <c r="AF189" s="49"/>
      <c r="AG189" s="13"/>
      <c r="AH189" s="13"/>
      <c r="AI189" s="13"/>
      <c r="AJ189" s="49"/>
      <c r="AK189" s="13"/>
      <c r="AL189" s="13"/>
      <c r="AM189" s="49"/>
      <c r="AN189" s="13"/>
      <c r="AO189" s="13"/>
      <c r="AP189" s="13"/>
      <c r="AQ189" s="49"/>
      <c r="AR189" s="13"/>
      <c r="AS189" s="13"/>
      <c r="AT189" s="49"/>
      <c r="AU189" s="13"/>
      <c r="AV189" s="13"/>
      <c r="AW189" s="49"/>
      <c r="AX189" s="13"/>
      <c r="AY189" s="13"/>
      <c r="AZ189" s="49"/>
      <c r="BA189" s="13"/>
      <c r="BB189" s="13"/>
    </row>
    <row r="190" spans="2:54" s="2" customFormat="1" x14ac:dyDescent="0.25">
      <c r="B190" s="49"/>
      <c r="C190" s="13"/>
      <c r="D190" s="13"/>
      <c r="E190" s="49"/>
      <c r="F190" s="13"/>
      <c r="G190" s="13"/>
      <c r="H190" s="49"/>
      <c r="I190" s="13"/>
      <c r="J190" s="13"/>
      <c r="K190" s="13"/>
      <c r="L190" s="49"/>
      <c r="M190" s="13"/>
      <c r="N190" s="13"/>
      <c r="O190" s="49"/>
      <c r="P190" s="13"/>
      <c r="Q190" s="13"/>
      <c r="R190" s="13"/>
      <c r="S190" s="49"/>
      <c r="T190" s="13"/>
      <c r="U190" s="13"/>
      <c r="V190" s="49"/>
      <c r="W190" s="13"/>
      <c r="X190" s="13"/>
      <c r="Y190" s="49"/>
      <c r="Z190" s="13"/>
      <c r="AA190" s="13"/>
      <c r="AB190" s="13"/>
      <c r="AC190" s="49"/>
      <c r="AD190" s="13"/>
      <c r="AE190" s="13"/>
      <c r="AF190" s="49"/>
      <c r="AG190" s="13"/>
      <c r="AH190" s="13"/>
      <c r="AI190" s="13"/>
      <c r="AJ190" s="49"/>
      <c r="AK190" s="13"/>
      <c r="AL190" s="13"/>
      <c r="AM190" s="49"/>
      <c r="AN190" s="13"/>
      <c r="AO190" s="13"/>
      <c r="AP190" s="13"/>
      <c r="AQ190" s="49"/>
      <c r="AR190" s="13"/>
      <c r="AS190" s="13"/>
      <c r="AT190" s="49"/>
      <c r="AU190" s="13"/>
      <c r="AV190" s="13"/>
      <c r="AW190" s="49"/>
      <c r="AX190" s="13"/>
      <c r="AY190" s="13"/>
      <c r="AZ190" s="49"/>
      <c r="BA190" s="13"/>
      <c r="BB190" s="13"/>
    </row>
    <row r="191" spans="2:54" s="2" customFormat="1" x14ac:dyDescent="0.25">
      <c r="B191" s="49"/>
      <c r="C191" s="13"/>
      <c r="D191" s="13"/>
      <c r="E191" s="49"/>
      <c r="F191" s="13"/>
      <c r="G191" s="13"/>
      <c r="H191" s="49"/>
      <c r="I191" s="13"/>
      <c r="J191" s="13"/>
      <c r="K191" s="13"/>
      <c r="L191" s="49"/>
      <c r="M191" s="13"/>
      <c r="N191" s="13"/>
      <c r="O191" s="49"/>
      <c r="P191" s="13"/>
      <c r="Q191" s="13"/>
      <c r="R191" s="13"/>
      <c r="S191" s="49"/>
      <c r="T191" s="13"/>
      <c r="U191" s="13"/>
      <c r="V191" s="49"/>
      <c r="W191" s="13"/>
      <c r="X191" s="13"/>
      <c r="Y191" s="49"/>
      <c r="Z191" s="13"/>
      <c r="AA191" s="13"/>
      <c r="AB191" s="13"/>
      <c r="AC191" s="49"/>
      <c r="AD191" s="13"/>
      <c r="AE191" s="13"/>
      <c r="AF191" s="49"/>
      <c r="AG191" s="13"/>
      <c r="AH191" s="13"/>
      <c r="AI191" s="13"/>
      <c r="AJ191" s="49"/>
      <c r="AK191" s="13"/>
      <c r="AL191" s="13"/>
      <c r="AM191" s="49"/>
      <c r="AN191" s="13"/>
      <c r="AO191" s="13"/>
      <c r="AP191" s="13"/>
      <c r="AQ191" s="49"/>
      <c r="AR191" s="13"/>
      <c r="AS191" s="13"/>
      <c r="AT191" s="49"/>
      <c r="AU191" s="13"/>
      <c r="AV191" s="13"/>
      <c r="AW191" s="49"/>
      <c r="AX191" s="13"/>
      <c r="AY191" s="13"/>
      <c r="AZ191" s="49"/>
      <c r="BA191" s="13"/>
      <c r="BB191" s="13"/>
    </row>
    <row r="192" spans="2:54" s="2" customFormat="1" x14ac:dyDescent="0.25">
      <c r="B192" s="49"/>
      <c r="C192" s="13"/>
      <c r="D192" s="13"/>
      <c r="E192" s="49"/>
      <c r="F192" s="13"/>
      <c r="G192" s="13"/>
      <c r="H192" s="49"/>
      <c r="I192" s="13"/>
      <c r="J192" s="13"/>
      <c r="K192" s="13"/>
      <c r="L192" s="49"/>
      <c r="M192" s="13"/>
      <c r="N192" s="13"/>
      <c r="O192" s="49"/>
      <c r="P192" s="13"/>
      <c r="Q192" s="13"/>
      <c r="R192" s="13"/>
      <c r="S192" s="49"/>
      <c r="T192" s="13"/>
      <c r="U192" s="13"/>
      <c r="V192" s="49"/>
      <c r="W192" s="13"/>
      <c r="X192" s="13"/>
      <c r="Y192" s="49"/>
      <c r="Z192" s="13"/>
      <c r="AA192" s="13"/>
      <c r="AB192" s="13"/>
      <c r="AC192" s="49"/>
      <c r="AD192" s="13"/>
      <c r="AE192" s="13"/>
      <c r="AF192" s="49"/>
      <c r="AG192" s="13"/>
      <c r="AH192" s="13"/>
      <c r="AI192" s="13"/>
      <c r="AJ192" s="49"/>
      <c r="AK192" s="13"/>
      <c r="AL192" s="13"/>
      <c r="AM192" s="49"/>
      <c r="AN192" s="13"/>
      <c r="AO192" s="13"/>
      <c r="AP192" s="13"/>
      <c r="AQ192" s="49"/>
      <c r="AR192" s="13"/>
      <c r="AS192" s="13"/>
      <c r="AT192" s="49"/>
      <c r="AU192" s="13"/>
      <c r="AV192" s="13"/>
      <c r="AW192" s="49"/>
      <c r="AX192" s="13"/>
      <c r="AY192" s="13"/>
      <c r="AZ192" s="49"/>
      <c r="BA192" s="13"/>
      <c r="BB192" s="13"/>
    </row>
    <row r="193" spans="2:54" s="2" customFormat="1" x14ac:dyDescent="0.25">
      <c r="B193" s="49"/>
      <c r="C193" s="13"/>
      <c r="D193" s="13"/>
      <c r="E193" s="49"/>
      <c r="F193" s="13"/>
      <c r="G193" s="13"/>
      <c r="H193" s="49"/>
      <c r="I193" s="13"/>
      <c r="J193" s="13"/>
      <c r="K193" s="13"/>
      <c r="L193" s="49"/>
      <c r="M193" s="13"/>
      <c r="N193" s="13"/>
      <c r="O193" s="49"/>
      <c r="P193" s="13"/>
      <c r="Q193" s="13"/>
      <c r="R193" s="13"/>
      <c r="S193" s="49"/>
      <c r="T193" s="13"/>
      <c r="U193" s="13"/>
      <c r="V193" s="49"/>
      <c r="W193" s="13"/>
      <c r="X193" s="13"/>
      <c r="Y193" s="49"/>
      <c r="Z193" s="13"/>
      <c r="AA193" s="13"/>
      <c r="AB193" s="13"/>
      <c r="AC193" s="49"/>
      <c r="AD193" s="13"/>
      <c r="AE193" s="13"/>
      <c r="AF193" s="49"/>
      <c r="AG193" s="13"/>
      <c r="AH193" s="13"/>
      <c r="AI193" s="13"/>
      <c r="AJ193" s="49"/>
      <c r="AK193" s="13"/>
      <c r="AL193" s="13"/>
      <c r="AM193" s="49"/>
      <c r="AN193" s="13"/>
      <c r="AO193" s="13"/>
      <c r="AP193" s="13"/>
      <c r="AQ193" s="49"/>
      <c r="AR193" s="13"/>
      <c r="AS193" s="13"/>
      <c r="AT193" s="49"/>
      <c r="AU193" s="13"/>
      <c r="AV193" s="13"/>
      <c r="AW193" s="49"/>
      <c r="AX193" s="13"/>
      <c r="AY193" s="13"/>
      <c r="AZ193" s="49"/>
      <c r="BA193" s="13"/>
      <c r="BB193" s="13"/>
    </row>
    <row r="194" spans="2:54" s="2" customFormat="1" x14ac:dyDescent="0.25">
      <c r="B194" s="49"/>
      <c r="C194" s="13"/>
      <c r="D194" s="13"/>
      <c r="E194" s="49"/>
      <c r="F194" s="13"/>
      <c r="G194" s="13"/>
      <c r="H194" s="49"/>
      <c r="I194" s="13"/>
      <c r="J194" s="13"/>
      <c r="K194" s="13"/>
      <c r="L194" s="49"/>
      <c r="M194" s="13"/>
      <c r="N194" s="13"/>
      <c r="O194" s="49"/>
      <c r="P194" s="13"/>
      <c r="Q194" s="13"/>
      <c r="R194" s="13"/>
      <c r="S194" s="49"/>
      <c r="T194" s="13"/>
      <c r="U194" s="13"/>
      <c r="V194" s="49"/>
      <c r="W194" s="13"/>
      <c r="X194" s="13"/>
      <c r="Y194" s="49"/>
      <c r="Z194" s="13"/>
      <c r="AA194" s="13"/>
      <c r="AB194" s="13"/>
      <c r="AC194" s="49"/>
      <c r="AD194" s="13"/>
      <c r="AE194" s="13"/>
      <c r="AF194" s="49"/>
      <c r="AG194" s="13"/>
      <c r="AH194" s="13"/>
      <c r="AI194" s="13"/>
      <c r="AJ194" s="49"/>
      <c r="AK194" s="13"/>
      <c r="AL194" s="13"/>
      <c r="AM194" s="49"/>
      <c r="AN194" s="13"/>
      <c r="AO194" s="13"/>
      <c r="AP194" s="13"/>
      <c r="AQ194" s="49"/>
      <c r="AR194" s="13"/>
      <c r="AS194" s="13"/>
      <c r="AT194" s="49"/>
      <c r="AU194" s="13"/>
      <c r="AV194" s="13"/>
      <c r="AW194" s="49"/>
      <c r="AX194" s="13"/>
      <c r="AY194" s="13"/>
      <c r="AZ194" s="49"/>
      <c r="BA194" s="13"/>
      <c r="BB194" s="13"/>
    </row>
    <row r="195" spans="2:54" s="2" customFormat="1" x14ac:dyDescent="0.25">
      <c r="B195" s="49"/>
      <c r="C195" s="13"/>
      <c r="D195" s="13"/>
      <c r="E195" s="49"/>
      <c r="F195" s="13"/>
      <c r="G195" s="13"/>
      <c r="H195" s="49"/>
      <c r="I195" s="13"/>
      <c r="J195" s="13"/>
      <c r="K195" s="13"/>
      <c r="L195" s="49"/>
      <c r="M195" s="13"/>
      <c r="N195" s="13"/>
      <c r="O195" s="49"/>
      <c r="P195" s="13"/>
      <c r="Q195" s="13"/>
      <c r="R195" s="13"/>
      <c r="S195" s="49"/>
      <c r="T195" s="13"/>
      <c r="U195" s="13"/>
      <c r="V195" s="49"/>
      <c r="W195" s="13"/>
      <c r="X195" s="13"/>
      <c r="Y195" s="49"/>
      <c r="Z195" s="13"/>
      <c r="AA195" s="13"/>
      <c r="AB195" s="13"/>
      <c r="AC195" s="49"/>
      <c r="AD195" s="13"/>
      <c r="AE195" s="13"/>
      <c r="AF195" s="49"/>
      <c r="AG195" s="13"/>
      <c r="AH195" s="13"/>
      <c r="AI195" s="13"/>
      <c r="AJ195" s="49"/>
      <c r="AK195" s="13"/>
      <c r="AL195" s="13"/>
      <c r="AM195" s="49"/>
      <c r="AN195" s="13"/>
      <c r="AO195" s="13"/>
      <c r="AP195" s="13"/>
      <c r="AQ195" s="49"/>
      <c r="AR195" s="13"/>
      <c r="AS195" s="13"/>
      <c r="AT195" s="49"/>
      <c r="AU195" s="13"/>
      <c r="AV195" s="13"/>
      <c r="AW195" s="49"/>
      <c r="AX195" s="13"/>
      <c r="AY195" s="13"/>
      <c r="AZ195" s="49"/>
      <c r="BA195" s="13"/>
      <c r="BB195" s="13"/>
    </row>
    <row r="196" spans="2:54" s="2" customFormat="1" x14ac:dyDescent="0.25">
      <c r="B196" s="49"/>
      <c r="C196" s="13"/>
      <c r="D196" s="13"/>
      <c r="E196" s="49"/>
      <c r="F196" s="13"/>
      <c r="G196" s="13"/>
      <c r="H196" s="49"/>
      <c r="I196" s="13"/>
      <c r="J196" s="13"/>
      <c r="K196" s="13"/>
      <c r="L196" s="49"/>
      <c r="M196" s="13"/>
      <c r="N196" s="13"/>
      <c r="O196" s="49"/>
      <c r="P196" s="13"/>
      <c r="Q196" s="13"/>
      <c r="R196" s="13"/>
      <c r="S196" s="49"/>
      <c r="T196" s="13"/>
      <c r="U196" s="13"/>
      <c r="V196" s="49"/>
      <c r="W196" s="13"/>
      <c r="X196" s="13"/>
      <c r="Y196" s="49"/>
      <c r="Z196" s="13"/>
      <c r="AA196" s="13"/>
      <c r="AB196" s="13"/>
      <c r="AC196" s="49"/>
      <c r="AD196" s="13"/>
      <c r="AE196" s="13"/>
      <c r="AF196" s="49"/>
      <c r="AG196" s="13"/>
      <c r="AH196" s="13"/>
      <c r="AI196" s="13"/>
      <c r="AJ196" s="49"/>
      <c r="AK196" s="13"/>
      <c r="AL196" s="13"/>
      <c r="AM196" s="49"/>
      <c r="AN196" s="13"/>
      <c r="AO196" s="13"/>
      <c r="AP196" s="13"/>
      <c r="AQ196" s="49"/>
      <c r="AR196" s="13"/>
      <c r="AS196" s="13"/>
      <c r="AT196" s="49"/>
      <c r="AU196" s="13"/>
      <c r="AV196" s="13"/>
      <c r="AW196" s="49"/>
      <c r="AX196" s="13"/>
      <c r="AY196" s="13"/>
      <c r="AZ196" s="49"/>
      <c r="BA196" s="13"/>
      <c r="BB196" s="13"/>
    </row>
    <row r="197" spans="2:54" s="2" customFormat="1" x14ac:dyDescent="0.25">
      <c r="B197" s="49"/>
      <c r="C197" s="13"/>
      <c r="D197" s="13"/>
      <c r="E197" s="49"/>
      <c r="F197" s="13"/>
      <c r="G197" s="13"/>
      <c r="H197" s="49"/>
      <c r="I197" s="13"/>
      <c r="J197" s="13"/>
      <c r="K197" s="13"/>
      <c r="L197" s="49"/>
      <c r="M197" s="13"/>
      <c r="N197" s="13"/>
      <c r="O197" s="49"/>
      <c r="P197" s="13"/>
      <c r="Q197" s="13"/>
      <c r="R197" s="13"/>
      <c r="S197" s="49"/>
      <c r="T197" s="13"/>
      <c r="U197" s="13"/>
      <c r="V197" s="49"/>
      <c r="W197" s="13"/>
      <c r="X197" s="13"/>
      <c r="Y197" s="49"/>
      <c r="Z197" s="13"/>
      <c r="AA197" s="13"/>
      <c r="AB197" s="13"/>
      <c r="AC197" s="49"/>
      <c r="AD197" s="13"/>
      <c r="AE197" s="13"/>
      <c r="AF197" s="49"/>
      <c r="AG197" s="13"/>
      <c r="AH197" s="13"/>
      <c r="AI197" s="13"/>
      <c r="AJ197" s="49"/>
      <c r="AK197" s="13"/>
      <c r="AL197" s="13"/>
      <c r="AM197" s="49"/>
      <c r="AN197" s="13"/>
      <c r="AO197" s="13"/>
      <c r="AP197" s="13"/>
      <c r="AQ197" s="49"/>
      <c r="AR197" s="13"/>
      <c r="AS197" s="13"/>
      <c r="AT197" s="49"/>
      <c r="AU197" s="13"/>
      <c r="AV197" s="13"/>
      <c r="AW197" s="49"/>
      <c r="AX197" s="13"/>
      <c r="AY197" s="13"/>
      <c r="AZ197" s="49"/>
      <c r="BA197" s="13"/>
      <c r="BB197" s="13"/>
    </row>
    <row r="198" spans="2:54" s="2" customFormat="1" x14ac:dyDescent="0.25">
      <c r="B198" s="49"/>
      <c r="C198" s="13"/>
      <c r="D198" s="13"/>
      <c r="E198" s="49"/>
      <c r="F198" s="13"/>
      <c r="G198" s="13"/>
      <c r="H198" s="49"/>
      <c r="I198" s="13"/>
      <c r="J198" s="13"/>
      <c r="K198" s="13"/>
      <c r="L198" s="49"/>
      <c r="M198" s="13"/>
      <c r="N198" s="13"/>
      <c r="O198" s="49"/>
      <c r="P198" s="13"/>
      <c r="Q198" s="13"/>
      <c r="R198" s="13"/>
      <c r="S198" s="49"/>
      <c r="T198" s="13"/>
      <c r="U198" s="13"/>
      <c r="V198" s="49"/>
      <c r="W198" s="13"/>
      <c r="X198" s="13"/>
      <c r="Y198" s="49"/>
      <c r="Z198" s="13"/>
      <c r="AA198" s="13"/>
      <c r="AB198" s="13"/>
      <c r="AC198" s="49"/>
      <c r="AD198" s="13"/>
      <c r="AE198" s="13"/>
      <c r="AF198" s="49"/>
      <c r="AG198" s="13"/>
      <c r="AH198" s="13"/>
      <c r="AI198" s="13"/>
      <c r="AJ198" s="49"/>
      <c r="AK198" s="13"/>
      <c r="AL198" s="13"/>
      <c r="AM198" s="49"/>
      <c r="AN198" s="13"/>
      <c r="AO198" s="13"/>
      <c r="AP198" s="13"/>
      <c r="AQ198" s="49"/>
      <c r="AR198" s="13"/>
      <c r="AS198" s="13"/>
      <c r="AT198" s="49"/>
      <c r="AU198" s="13"/>
      <c r="AV198" s="13"/>
      <c r="AW198" s="49"/>
      <c r="AX198" s="13"/>
      <c r="AY198" s="13"/>
      <c r="AZ198" s="49"/>
      <c r="BA198" s="13"/>
      <c r="BB198" s="13"/>
    </row>
    <row r="199" spans="2:54" s="2" customFormat="1" x14ac:dyDescent="0.25">
      <c r="B199" s="49"/>
      <c r="C199" s="13"/>
      <c r="D199" s="13"/>
      <c r="E199" s="49"/>
      <c r="F199" s="13"/>
      <c r="G199" s="13"/>
      <c r="H199" s="49"/>
      <c r="I199" s="13"/>
      <c r="J199" s="13"/>
      <c r="K199" s="13"/>
      <c r="L199" s="49"/>
      <c r="M199" s="13"/>
      <c r="N199" s="13"/>
      <c r="O199" s="49"/>
      <c r="P199" s="13"/>
      <c r="Q199" s="13"/>
      <c r="R199" s="13"/>
      <c r="S199" s="49"/>
      <c r="T199" s="13"/>
      <c r="U199" s="13"/>
      <c r="V199" s="49"/>
      <c r="W199" s="13"/>
      <c r="X199" s="13"/>
      <c r="Y199" s="49"/>
      <c r="Z199" s="13"/>
      <c r="AA199" s="13"/>
      <c r="AB199" s="13"/>
      <c r="AC199" s="49"/>
      <c r="AD199" s="13"/>
      <c r="AE199" s="13"/>
      <c r="AF199" s="49"/>
      <c r="AG199" s="13"/>
      <c r="AH199" s="13"/>
      <c r="AI199" s="13"/>
      <c r="AJ199" s="49"/>
      <c r="AK199" s="13"/>
      <c r="AL199" s="13"/>
      <c r="AM199" s="49"/>
      <c r="AN199" s="13"/>
      <c r="AO199" s="13"/>
      <c r="AP199" s="13"/>
      <c r="AQ199" s="49"/>
      <c r="AR199" s="13"/>
      <c r="AS199" s="13"/>
      <c r="AT199" s="49"/>
      <c r="AU199" s="13"/>
      <c r="AV199" s="13"/>
      <c r="AW199" s="49"/>
      <c r="AX199" s="13"/>
      <c r="AY199" s="13"/>
      <c r="AZ199" s="49"/>
      <c r="BA199" s="13"/>
      <c r="BB199" s="13"/>
    </row>
    <row r="200" spans="2:54" s="2" customFormat="1" x14ac:dyDescent="0.25">
      <c r="B200" s="49"/>
      <c r="C200" s="13"/>
      <c r="D200" s="13"/>
      <c r="E200" s="49"/>
      <c r="F200" s="13"/>
      <c r="G200" s="13"/>
      <c r="H200" s="49"/>
      <c r="I200" s="13"/>
      <c r="J200" s="13"/>
      <c r="K200" s="13"/>
      <c r="L200" s="49"/>
      <c r="M200" s="13"/>
      <c r="N200" s="13"/>
      <c r="O200" s="49"/>
      <c r="P200" s="13"/>
      <c r="Q200" s="13"/>
      <c r="R200" s="13"/>
      <c r="S200" s="49"/>
      <c r="T200" s="13"/>
      <c r="U200" s="13"/>
      <c r="V200" s="49"/>
      <c r="W200" s="13"/>
      <c r="X200" s="13"/>
      <c r="Y200" s="49"/>
      <c r="Z200" s="13"/>
      <c r="AA200" s="13"/>
      <c r="AB200" s="13"/>
      <c r="AC200" s="49"/>
      <c r="AD200" s="13"/>
      <c r="AE200" s="13"/>
      <c r="AF200" s="49"/>
      <c r="AG200" s="13"/>
      <c r="AH200" s="13"/>
      <c r="AI200" s="13"/>
      <c r="AJ200" s="49"/>
      <c r="AK200" s="13"/>
      <c r="AL200" s="13"/>
      <c r="AM200" s="49"/>
      <c r="AN200" s="13"/>
      <c r="AO200" s="13"/>
      <c r="AP200" s="13"/>
      <c r="AQ200" s="49"/>
      <c r="AR200" s="13"/>
      <c r="AS200" s="13"/>
      <c r="AT200" s="49"/>
      <c r="AU200" s="13"/>
      <c r="AV200" s="13"/>
      <c r="AW200" s="49"/>
      <c r="AX200" s="13"/>
      <c r="AY200" s="13"/>
      <c r="AZ200" s="49"/>
      <c r="BA200" s="13"/>
      <c r="BB200" s="13"/>
    </row>
    <row r="201" spans="2:54" s="2" customFormat="1" x14ac:dyDescent="0.25">
      <c r="B201" s="49"/>
      <c r="C201" s="13"/>
      <c r="D201" s="13"/>
      <c r="E201" s="49"/>
      <c r="F201" s="13"/>
      <c r="G201" s="13"/>
      <c r="H201" s="49"/>
      <c r="I201" s="13"/>
      <c r="J201" s="13"/>
      <c r="K201" s="13"/>
      <c r="L201" s="49"/>
      <c r="M201" s="13"/>
      <c r="N201" s="13"/>
      <c r="O201" s="49"/>
      <c r="P201" s="13"/>
      <c r="Q201" s="13"/>
      <c r="R201" s="13"/>
      <c r="S201" s="49"/>
      <c r="T201" s="13"/>
      <c r="U201" s="13"/>
      <c r="V201" s="49"/>
      <c r="W201" s="13"/>
      <c r="X201" s="13"/>
      <c r="Y201" s="49"/>
      <c r="Z201" s="13"/>
      <c r="AA201" s="13"/>
      <c r="AB201" s="13"/>
      <c r="AC201" s="49"/>
      <c r="AD201" s="13"/>
      <c r="AE201" s="13"/>
      <c r="AF201" s="49"/>
      <c r="AG201" s="13"/>
      <c r="AH201" s="13"/>
      <c r="AI201" s="13"/>
      <c r="AJ201" s="49"/>
      <c r="AK201" s="13"/>
      <c r="AL201" s="13"/>
      <c r="AM201" s="49"/>
      <c r="AN201" s="13"/>
      <c r="AO201" s="13"/>
      <c r="AP201" s="13"/>
      <c r="AQ201" s="49"/>
      <c r="AR201" s="13"/>
      <c r="AS201" s="13"/>
      <c r="AT201" s="49"/>
      <c r="AU201" s="13"/>
      <c r="AV201" s="13"/>
      <c r="AW201" s="49"/>
      <c r="AX201" s="13"/>
      <c r="AY201" s="13"/>
      <c r="AZ201" s="49"/>
      <c r="BA201" s="13"/>
      <c r="BB201" s="13"/>
    </row>
    <row r="202" spans="2:54" s="2" customFormat="1" x14ac:dyDescent="0.25">
      <c r="B202" s="49"/>
      <c r="C202" s="13"/>
      <c r="D202" s="13"/>
      <c r="E202" s="49"/>
      <c r="F202" s="13"/>
      <c r="G202" s="13"/>
      <c r="H202" s="49"/>
      <c r="I202" s="13"/>
      <c r="J202" s="13"/>
      <c r="K202" s="13"/>
      <c r="L202" s="49"/>
      <c r="M202" s="13"/>
      <c r="N202" s="13"/>
      <c r="O202" s="49"/>
      <c r="P202" s="13"/>
      <c r="Q202" s="13"/>
      <c r="R202" s="13"/>
      <c r="S202" s="49"/>
      <c r="T202" s="13"/>
      <c r="U202" s="13"/>
      <c r="V202" s="49"/>
      <c r="W202" s="13"/>
      <c r="X202" s="13"/>
      <c r="Y202" s="49"/>
      <c r="Z202" s="13"/>
      <c r="AA202" s="13"/>
      <c r="AB202" s="13"/>
      <c r="AC202" s="49"/>
      <c r="AD202" s="13"/>
      <c r="AE202" s="13"/>
      <c r="AF202" s="49"/>
      <c r="AG202" s="13"/>
      <c r="AH202" s="13"/>
      <c r="AI202" s="13"/>
      <c r="AJ202" s="49"/>
      <c r="AK202" s="13"/>
      <c r="AL202" s="13"/>
      <c r="AM202" s="49"/>
      <c r="AN202" s="13"/>
      <c r="AO202" s="13"/>
      <c r="AP202" s="13"/>
      <c r="AQ202" s="49"/>
      <c r="AR202" s="13"/>
      <c r="AS202" s="13"/>
      <c r="AT202" s="49"/>
      <c r="AU202" s="13"/>
      <c r="AV202" s="13"/>
      <c r="AW202" s="49"/>
      <c r="AX202" s="13"/>
      <c r="AY202" s="13"/>
      <c r="AZ202" s="49"/>
      <c r="BA202" s="13"/>
      <c r="BB202" s="13"/>
    </row>
    <row r="203" spans="2:54" s="2" customFormat="1" x14ac:dyDescent="0.25">
      <c r="B203" s="49"/>
      <c r="C203" s="13"/>
      <c r="D203" s="13"/>
      <c r="E203" s="49"/>
      <c r="F203" s="13"/>
      <c r="G203" s="13"/>
      <c r="H203" s="49"/>
      <c r="I203" s="13"/>
      <c r="J203" s="13"/>
      <c r="K203" s="13"/>
      <c r="L203" s="49"/>
      <c r="M203" s="13"/>
      <c r="N203" s="13"/>
      <c r="O203" s="49"/>
      <c r="P203" s="13"/>
      <c r="Q203" s="13"/>
      <c r="R203" s="13"/>
      <c r="S203" s="49"/>
      <c r="T203" s="13"/>
      <c r="U203" s="13"/>
      <c r="V203" s="49"/>
      <c r="W203" s="13"/>
      <c r="X203" s="13"/>
      <c r="Y203" s="49"/>
      <c r="Z203" s="13"/>
      <c r="AA203" s="13"/>
      <c r="AB203" s="13"/>
      <c r="AC203" s="49"/>
      <c r="AD203" s="13"/>
      <c r="AE203" s="13"/>
      <c r="AF203" s="49"/>
      <c r="AG203" s="13"/>
      <c r="AH203" s="13"/>
      <c r="AI203" s="13"/>
      <c r="AJ203" s="49"/>
      <c r="AK203" s="13"/>
      <c r="AL203" s="13"/>
      <c r="AM203" s="49"/>
      <c r="AN203" s="13"/>
      <c r="AO203" s="13"/>
      <c r="AP203" s="13"/>
      <c r="AQ203" s="49"/>
      <c r="AR203" s="13"/>
      <c r="AS203" s="13"/>
      <c r="AT203" s="49"/>
      <c r="AU203" s="13"/>
      <c r="AV203" s="13"/>
      <c r="AW203" s="49"/>
      <c r="AX203" s="13"/>
      <c r="AY203" s="13"/>
      <c r="AZ203" s="49"/>
      <c r="BA203" s="13"/>
      <c r="BB203" s="13"/>
    </row>
    <row r="204" spans="2:54" s="2" customFormat="1" x14ac:dyDescent="0.25">
      <c r="B204" s="49"/>
      <c r="C204" s="13"/>
      <c r="D204" s="13"/>
      <c r="E204" s="49"/>
      <c r="F204" s="13"/>
      <c r="G204" s="13"/>
      <c r="H204" s="49"/>
      <c r="I204" s="13"/>
      <c r="J204" s="13"/>
      <c r="K204" s="13"/>
      <c r="L204" s="49"/>
      <c r="M204" s="13"/>
      <c r="N204" s="13"/>
      <c r="O204" s="49"/>
      <c r="P204" s="13"/>
      <c r="Q204" s="13"/>
      <c r="R204" s="13"/>
      <c r="S204" s="49"/>
      <c r="T204" s="13"/>
      <c r="U204" s="13"/>
      <c r="V204" s="49"/>
      <c r="W204" s="13"/>
      <c r="X204" s="13"/>
      <c r="Y204" s="49"/>
      <c r="Z204" s="13"/>
      <c r="AA204" s="13"/>
      <c r="AB204" s="13"/>
      <c r="AC204" s="49"/>
      <c r="AD204" s="13"/>
      <c r="AE204" s="13"/>
      <c r="AF204" s="49"/>
      <c r="AG204" s="13"/>
      <c r="AH204" s="13"/>
      <c r="AI204" s="13"/>
      <c r="AJ204" s="49"/>
      <c r="AK204" s="13"/>
      <c r="AL204" s="13"/>
      <c r="AM204" s="49"/>
      <c r="AN204" s="13"/>
      <c r="AO204" s="13"/>
      <c r="AP204" s="13"/>
      <c r="AQ204" s="49"/>
      <c r="AR204" s="13"/>
      <c r="AS204" s="13"/>
      <c r="AT204" s="49"/>
      <c r="AU204" s="13"/>
      <c r="AV204" s="13"/>
      <c r="AW204" s="49"/>
      <c r="AX204" s="13"/>
      <c r="AY204" s="13"/>
      <c r="AZ204" s="49"/>
      <c r="BA204" s="13"/>
      <c r="BB204" s="13"/>
    </row>
    <row r="205" spans="2:54" s="2" customFormat="1" x14ac:dyDescent="0.25">
      <c r="B205" s="49"/>
      <c r="C205" s="13"/>
      <c r="D205" s="13"/>
      <c r="E205" s="49"/>
      <c r="F205" s="13"/>
      <c r="G205" s="13"/>
      <c r="H205" s="49"/>
      <c r="I205" s="13"/>
      <c r="J205" s="13"/>
      <c r="K205" s="13"/>
      <c r="L205" s="49"/>
      <c r="M205" s="13"/>
      <c r="N205" s="13"/>
      <c r="O205" s="49"/>
      <c r="P205" s="13"/>
      <c r="Q205" s="13"/>
      <c r="R205" s="13"/>
      <c r="S205" s="49"/>
      <c r="T205" s="13"/>
      <c r="U205" s="13"/>
      <c r="V205" s="49"/>
      <c r="W205" s="13"/>
      <c r="X205" s="13"/>
      <c r="Y205" s="49"/>
      <c r="Z205" s="13"/>
      <c r="AA205" s="13"/>
      <c r="AB205" s="13"/>
      <c r="AC205" s="49"/>
      <c r="AD205" s="13"/>
      <c r="AE205" s="13"/>
      <c r="AF205" s="49"/>
      <c r="AG205" s="13"/>
      <c r="AH205" s="13"/>
      <c r="AI205" s="13"/>
      <c r="AJ205" s="49"/>
      <c r="AK205" s="13"/>
      <c r="AL205" s="13"/>
      <c r="AM205" s="49"/>
      <c r="AN205" s="13"/>
      <c r="AO205" s="13"/>
      <c r="AP205" s="13"/>
      <c r="AQ205" s="49"/>
      <c r="AR205" s="13"/>
      <c r="AS205" s="13"/>
      <c r="AT205" s="49"/>
      <c r="AU205" s="13"/>
      <c r="AV205" s="13"/>
      <c r="AW205" s="49"/>
      <c r="AX205" s="13"/>
      <c r="AY205" s="13"/>
      <c r="AZ205" s="49"/>
      <c r="BA205" s="13"/>
      <c r="BB205" s="13"/>
    </row>
    <row r="206" spans="2:54" s="2" customFormat="1" x14ac:dyDescent="0.25">
      <c r="B206" s="49"/>
      <c r="C206" s="13"/>
      <c r="D206" s="13"/>
      <c r="E206" s="49"/>
      <c r="F206" s="13"/>
      <c r="G206" s="13"/>
      <c r="H206" s="49"/>
      <c r="I206" s="13"/>
      <c r="J206" s="13"/>
      <c r="K206" s="13"/>
      <c r="L206" s="49"/>
      <c r="M206" s="13"/>
      <c r="N206" s="13"/>
      <c r="O206" s="49"/>
      <c r="P206" s="13"/>
      <c r="Q206" s="13"/>
      <c r="R206" s="13"/>
      <c r="S206" s="49"/>
      <c r="T206" s="13"/>
      <c r="U206" s="13"/>
      <c r="V206" s="49"/>
      <c r="W206" s="13"/>
      <c r="X206" s="13"/>
      <c r="Y206" s="49"/>
      <c r="Z206" s="13"/>
      <c r="AA206" s="13"/>
      <c r="AB206" s="13"/>
      <c r="AC206" s="49"/>
      <c r="AD206" s="13"/>
      <c r="AE206" s="13"/>
      <c r="AF206" s="49"/>
      <c r="AG206" s="13"/>
      <c r="AH206" s="13"/>
      <c r="AI206" s="13"/>
      <c r="AJ206" s="49"/>
      <c r="AK206" s="13"/>
      <c r="AL206" s="13"/>
      <c r="AM206" s="49"/>
      <c r="AN206" s="13"/>
      <c r="AO206" s="13"/>
      <c r="AP206" s="13"/>
      <c r="AQ206" s="49"/>
      <c r="AR206" s="13"/>
      <c r="AS206" s="13"/>
      <c r="AT206" s="49"/>
      <c r="AU206" s="13"/>
      <c r="AV206" s="13"/>
      <c r="AW206" s="49"/>
      <c r="AX206" s="13"/>
      <c r="AY206" s="13"/>
      <c r="AZ206" s="49"/>
      <c r="BA206" s="13"/>
      <c r="BB206" s="13"/>
    </row>
    <row r="207" spans="2:54" s="2" customFormat="1" x14ac:dyDescent="0.25">
      <c r="B207" s="49"/>
      <c r="C207" s="13"/>
      <c r="D207" s="13"/>
      <c r="E207" s="49"/>
      <c r="F207" s="13"/>
      <c r="G207" s="13"/>
      <c r="H207" s="49"/>
      <c r="I207" s="13"/>
      <c r="J207" s="13"/>
      <c r="K207" s="13"/>
      <c r="L207" s="49"/>
      <c r="M207" s="13"/>
      <c r="N207" s="13"/>
      <c r="O207" s="49"/>
      <c r="P207" s="13"/>
      <c r="Q207" s="13"/>
      <c r="R207" s="13"/>
      <c r="S207" s="49"/>
      <c r="T207" s="13"/>
      <c r="U207" s="13"/>
      <c r="V207" s="49"/>
      <c r="W207" s="13"/>
      <c r="X207" s="13"/>
      <c r="Y207" s="49"/>
      <c r="Z207" s="13"/>
      <c r="AA207" s="13"/>
      <c r="AB207" s="13"/>
      <c r="AC207" s="49"/>
      <c r="AD207" s="13"/>
      <c r="AE207" s="13"/>
      <c r="AF207" s="49"/>
      <c r="AG207" s="13"/>
      <c r="AH207" s="13"/>
      <c r="AI207" s="13"/>
      <c r="AJ207" s="49"/>
      <c r="AK207" s="13"/>
      <c r="AL207" s="13"/>
      <c r="AM207" s="49"/>
      <c r="AN207" s="13"/>
      <c r="AO207" s="13"/>
      <c r="AP207" s="13"/>
      <c r="AQ207" s="49"/>
      <c r="AR207" s="13"/>
      <c r="AS207" s="13"/>
      <c r="AT207" s="49"/>
      <c r="AU207" s="13"/>
      <c r="AV207" s="13"/>
      <c r="AW207" s="49"/>
      <c r="AX207" s="13"/>
      <c r="AY207" s="13"/>
      <c r="AZ207" s="49"/>
      <c r="BA207" s="13"/>
      <c r="BB207" s="13"/>
    </row>
    <row r="208" spans="2:54" s="2" customFormat="1" x14ac:dyDescent="0.25">
      <c r="B208" s="49"/>
      <c r="C208" s="13"/>
      <c r="D208" s="13"/>
      <c r="E208" s="49"/>
      <c r="F208" s="13"/>
      <c r="G208" s="13"/>
      <c r="H208" s="49"/>
      <c r="I208" s="13"/>
      <c r="J208" s="13"/>
      <c r="K208" s="13"/>
      <c r="L208" s="49"/>
      <c r="M208" s="13"/>
      <c r="N208" s="13"/>
      <c r="O208" s="49"/>
      <c r="P208" s="13"/>
      <c r="Q208" s="13"/>
      <c r="R208" s="13"/>
      <c r="S208" s="49"/>
      <c r="T208" s="13"/>
      <c r="U208" s="13"/>
      <c r="V208" s="49"/>
      <c r="W208" s="13"/>
      <c r="X208" s="13"/>
      <c r="Y208" s="49"/>
      <c r="Z208" s="13"/>
      <c r="AA208" s="13"/>
      <c r="AB208" s="13"/>
      <c r="AC208" s="49"/>
      <c r="AD208" s="13"/>
      <c r="AE208" s="13"/>
      <c r="AF208" s="49"/>
      <c r="AG208" s="13"/>
      <c r="AH208" s="13"/>
      <c r="AI208" s="13"/>
      <c r="AJ208" s="49"/>
      <c r="AK208" s="13"/>
      <c r="AL208" s="13"/>
      <c r="AM208" s="49"/>
      <c r="AN208" s="13"/>
      <c r="AO208" s="13"/>
      <c r="AP208" s="13"/>
      <c r="AQ208" s="49"/>
      <c r="AR208" s="13"/>
      <c r="AS208" s="13"/>
      <c r="AT208" s="49"/>
      <c r="AU208" s="13"/>
      <c r="AV208" s="13"/>
      <c r="AW208" s="49"/>
      <c r="AX208" s="13"/>
      <c r="AY208" s="13"/>
      <c r="AZ208" s="49"/>
      <c r="BA208" s="13"/>
      <c r="BB208" s="13"/>
    </row>
    <row r="209" spans="2:54" s="2" customFormat="1" x14ac:dyDescent="0.25">
      <c r="B209" s="49"/>
      <c r="C209" s="13"/>
      <c r="D209" s="13"/>
      <c r="E209" s="49"/>
      <c r="F209" s="13"/>
      <c r="G209" s="13"/>
      <c r="H209" s="49"/>
      <c r="I209" s="13"/>
      <c r="J209" s="13"/>
      <c r="K209" s="13"/>
      <c r="L209" s="49"/>
      <c r="M209" s="13"/>
      <c r="N209" s="13"/>
      <c r="O209" s="49"/>
      <c r="P209" s="13"/>
      <c r="Q209" s="13"/>
      <c r="R209" s="13"/>
      <c r="S209" s="49"/>
      <c r="T209" s="13"/>
      <c r="U209" s="13"/>
      <c r="V209" s="49"/>
      <c r="W209" s="13"/>
      <c r="X209" s="13"/>
      <c r="Y209" s="49"/>
      <c r="Z209" s="13"/>
      <c r="AA209" s="13"/>
      <c r="AB209" s="13"/>
      <c r="AC209" s="49"/>
      <c r="AD209" s="13"/>
      <c r="AE209" s="13"/>
      <c r="AF209" s="49"/>
      <c r="AG209" s="13"/>
      <c r="AH209" s="13"/>
      <c r="AI209" s="13"/>
      <c r="AJ209" s="49"/>
      <c r="AK209" s="13"/>
      <c r="AL209" s="13"/>
      <c r="AM209" s="49"/>
      <c r="AN209" s="13"/>
      <c r="AO209" s="13"/>
      <c r="AP209" s="13"/>
      <c r="AQ209" s="49"/>
      <c r="AR209" s="13"/>
      <c r="AS209" s="13"/>
      <c r="AT209" s="49"/>
      <c r="AU209" s="13"/>
      <c r="AV209" s="13"/>
      <c r="AW209" s="49"/>
      <c r="AX209" s="13"/>
      <c r="AY209" s="13"/>
      <c r="AZ209" s="49"/>
      <c r="BA209" s="13"/>
      <c r="BB209" s="13"/>
    </row>
    <row r="210" spans="2:54" s="2" customFormat="1" x14ac:dyDescent="0.25">
      <c r="B210" s="49"/>
      <c r="C210" s="13"/>
      <c r="D210" s="13"/>
      <c r="E210" s="49"/>
      <c r="F210" s="13"/>
      <c r="G210" s="13"/>
      <c r="H210" s="49"/>
      <c r="I210" s="13"/>
      <c r="J210" s="13"/>
      <c r="K210" s="13"/>
      <c r="L210" s="49"/>
      <c r="M210" s="13"/>
      <c r="N210" s="13"/>
      <c r="O210" s="49"/>
      <c r="P210" s="13"/>
      <c r="Q210" s="13"/>
      <c r="R210" s="13"/>
      <c r="S210" s="49"/>
      <c r="T210" s="13"/>
      <c r="U210" s="13"/>
      <c r="V210" s="49"/>
      <c r="W210" s="13"/>
      <c r="X210" s="13"/>
      <c r="Y210" s="49"/>
      <c r="Z210" s="13"/>
      <c r="AA210" s="13"/>
      <c r="AB210" s="13"/>
      <c r="AC210" s="49"/>
      <c r="AD210" s="13"/>
      <c r="AE210" s="13"/>
      <c r="AF210" s="49"/>
      <c r="AG210" s="13"/>
      <c r="AH210" s="13"/>
      <c r="AI210" s="13"/>
      <c r="AJ210" s="49"/>
      <c r="AK210" s="13"/>
      <c r="AL210" s="13"/>
      <c r="AM210" s="49"/>
      <c r="AN210" s="13"/>
      <c r="AO210" s="13"/>
      <c r="AP210" s="13"/>
      <c r="AQ210" s="49"/>
      <c r="AR210" s="13"/>
      <c r="AS210" s="13"/>
      <c r="AT210" s="49"/>
      <c r="AU210" s="13"/>
      <c r="AV210" s="13"/>
      <c r="AW210" s="49"/>
      <c r="AX210" s="13"/>
      <c r="AY210" s="13"/>
      <c r="AZ210" s="49"/>
      <c r="BA210" s="13"/>
      <c r="BB210" s="13"/>
    </row>
    <row r="211" spans="2:54" s="2" customFormat="1" x14ac:dyDescent="0.25">
      <c r="B211" s="49"/>
      <c r="C211" s="13"/>
      <c r="D211" s="13"/>
      <c r="E211" s="49"/>
      <c r="F211" s="13"/>
      <c r="G211" s="13"/>
      <c r="H211" s="49"/>
      <c r="I211" s="13"/>
      <c r="J211" s="13"/>
      <c r="K211" s="13"/>
      <c r="L211" s="49"/>
      <c r="M211" s="13"/>
      <c r="N211" s="13"/>
      <c r="O211" s="49"/>
      <c r="P211" s="13"/>
      <c r="Q211" s="13"/>
      <c r="R211" s="13"/>
      <c r="S211" s="49"/>
      <c r="T211" s="13"/>
      <c r="U211" s="13"/>
      <c r="V211" s="49"/>
      <c r="W211" s="13"/>
      <c r="X211" s="13"/>
      <c r="Y211" s="49"/>
      <c r="Z211" s="13"/>
      <c r="AA211" s="13"/>
      <c r="AB211" s="13"/>
      <c r="AC211" s="49"/>
      <c r="AD211" s="13"/>
      <c r="AE211" s="13"/>
      <c r="AF211" s="49"/>
      <c r="AG211" s="13"/>
      <c r="AH211" s="13"/>
      <c r="AI211" s="13"/>
      <c r="AJ211" s="49"/>
      <c r="AK211" s="13"/>
      <c r="AL211" s="13"/>
      <c r="AM211" s="49"/>
      <c r="AN211" s="13"/>
      <c r="AO211" s="13"/>
      <c r="AP211" s="13"/>
      <c r="AQ211" s="49"/>
      <c r="AR211" s="13"/>
      <c r="AS211" s="13"/>
      <c r="AT211" s="49"/>
      <c r="AU211" s="13"/>
      <c r="AV211" s="13"/>
      <c r="AW211" s="49"/>
      <c r="AX211" s="13"/>
      <c r="AY211" s="13"/>
      <c r="AZ211" s="49"/>
      <c r="BA211" s="13"/>
      <c r="BB211" s="13"/>
    </row>
    <row r="212" spans="2:54" s="2" customFormat="1" x14ac:dyDescent="0.25">
      <c r="B212" s="49"/>
      <c r="C212" s="13"/>
      <c r="D212" s="13"/>
      <c r="E212" s="49"/>
      <c r="F212" s="13"/>
      <c r="G212" s="13"/>
      <c r="H212" s="49"/>
      <c r="I212" s="13"/>
      <c r="J212" s="13"/>
      <c r="K212" s="13"/>
      <c r="L212" s="49"/>
      <c r="M212" s="13"/>
      <c r="N212" s="13"/>
      <c r="O212" s="49"/>
      <c r="P212" s="13"/>
      <c r="Q212" s="13"/>
      <c r="R212" s="13"/>
      <c r="S212" s="49"/>
      <c r="T212" s="13"/>
      <c r="U212" s="13"/>
      <c r="V212" s="49"/>
      <c r="W212" s="13"/>
      <c r="X212" s="13"/>
      <c r="Y212" s="49"/>
      <c r="Z212" s="13"/>
      <c r="AA212" s="13"/>
      <c r="AB212" s="13"/>
      <c r="AC212" s="49"/>
      <c r="AD212" s="13"/>
      <c r="AE212" s="13"/>
      <c r="AF212" s="49"/>
      <c r="AG212" s="13"/>
      <c r="AH212" s="13"/>
      <c r="AI212" s="13"/>
      <c r="AJ212" s="49"/>
      <c r="AK212" s="13"/>
      <c r="AL212" s="13"/>
      <c r="AM212" s="49"/>
      <c r="AN212" s="13"/>
      <c r="AO212" s="13"/>
      <c r="AP212" s="13"/>
      <c r="AQ212" s="49"/>
      <c r="AR212" s="13"/>
      <c r="AS212" s="13"/>
      <c r="AT212" s="49"/>
      <c r="AU212" s="13"/>
      <c r="AV212" s="13"/>
      <c r="AW212" s="49"/>
      <c r="AX212" s="13"/>
      <c r="AY212" s="13"/>
      <c r="AZ212" s="49"/>
      <c r="BA212" s="13"/>
      <c r="BB212" s="13"/>
    </row>
    <row r="213" spans="2:54" s="2" customFormat="1" x14ac:dyDescent="0.25">
      <c r="B213" s="49"/>
      <c r="C213" s="13"/>
      <c r="D213" s="13"/>
      <c r="E213" s="49"/>
      <c r="F213" s="13"/>
      <c r="G213" s="13"/>
      <c r="H213" s="49"/>
      <c r="I213" s="13"/>
      <c r="J213" s="13"/>
      <c r="K213" s="13"/>
      <c r="L213" s="49"/>
      <c r="M213" s="13"/>
      <c r="N213" s="13"/>
      <c r="O213" s="49"/>
      <c r="P213" s="13"/>
      <c r="Q213" s="13"/>
      <c r="R213" s="13"/>
      <c r="S213" s="49"/>
      <c r="T213" s="13"/>
      <c r="U213" s="13"/>
      <c r="V213" s="49"/>
      <c r="W213" s="13"/>
      <c r="X213" s="13"/>
      <c r="Y213" s="49"/>
      <c r="Z213" s="13"/>
      <c r="AA213" s="13"/>
      <c r="AB213" s="13"/>
      <c r="AC213" s="49"/>
      <c r="AD213" s="13"/>
      <c r="AE213" s="13"/>
      <c r="AF213" s="49"/>
      <c r="AG213" s="13"/>
      <c r="AH213" s="13"/>
      <c r="AI213" s="13"/>
      <c r="AJ213" s="49"/>
      <c r="AK213" s="13"/>
      <c r="AL213" s="13"/>
      <c r="AM213" s="49"/>
      <c r="AN213" s="13"/>
      <c r="AO213" s="13"/>
      <c r="AP213" s="13"/>
      <c r="AQ213" s="49"/>
      <c r="AR213" s="13"/>
      <c r="AS213" s="13"/>
      <c r="AT213" s="49"/>
      <c r="AU213" s="13"/>
      <c r="AV213" s="13"/>
      <c r="AW213" s="49"/>
      <c r="AX213" s="13"/>
      <c r="AY213" s="13"/>
      <c r="AZ213" s="49"/>
      <c r="BA213" s="13"/>
      <c r="BB213" s="13"/>
    </row>
    <row r="214" spans="2:54" s="2" customFormat="1" x14ac:dyDescent="0.25">
      <c r="B214" s="49"/>
      <c r="C214" s="13"/>
      <c r="D214" s="13"/>
      <c r="E214" s="49"/>
      <c r="F214" s="13"/>
      <c r="G214" s="13"/>
      <c r="H214" s="49"/>
      <c r="I214" s="13"/>
      <c r="J214" s="13"/>
      <c r="K214" s="13"/>
      <c r="L214" s="49"/>
      <c r="M214" s="13"/>
      <c r="N214" s="13"/>
      <c r="O214" s="49"/>
      <c r="P214" s="13"/>
      <c r="Q214" s="13"/>
      <c r="R214" s="13"/>
      <c r="S214" s="49"/>
      <c r="T214" s="13"/>
      <c r="U214" s="13"/>
      <c r="V214" s="49"/>
      <c r="W214" s="13"/>
      <c r="X214" s="13"/>
      <c r="Y214" s="49"/>
      <c r="Z214" s="13"/>
      <c r="AA214" s="13"/>
      <c r="AB214" s="13"/>
      <c r="AC214" s="49"/>
      <c r="AD214" s="13"/>
      <c r="AE214" s="13"/>
      <c r="AF214" s="49"/>
      <c r="AG214" s="13"/>
      <c r="AH214" s="13"/>
      <c r="AI214" s="13"/>
      <c r="AJ214" s="49"/>
      <c r="AK214" s="13"/>
      <c r="AL214" s="13"/>
      <c r="AM214" s="49"/>
      <c r="AN214" s="13"/>
      <c r="AO214" s="13"/>
      <c r="AP214" s="13"/>
      <c r="AQ214" s="49"/>
      <c r="AR214" s="13"/>
      <c r="AS214" s="13"/>
      <c r="AT214" s="49"/>
      <c r="AU214" s="13"/>
      <c r="AV214" s="13"/>
      <c r="AW214" s="49"/>
      <c r="AX214" s="13"/>
      <c r="AY214" s="13"/>
      <c r="AZ214" s="49"/>
      <c r="BA214" s="13"/>
      <c r="BB214" s="13"/>
    </row>
    <row r="215" spans="2:54" s="2" customFormat="1" x14ac:dyDescent="0.25">
      <c r="B215" s="49"/>
      <c r="C215" s="13"/>
      <c r="D215" s="13"/>
      <c r="E215" s="49"/>
      <c r="F215" s="13"/>
      <c r="G215" s="13"/>
      <c r="H215" s="49"/>
      <c r="I215" s="13"/>
      <c r="J215" s="13"/>
      <c r="K215" s="13"/>
      <c r="L215" s="49"/>
      <c r="M215" s="13"/>
      <c r="N215" s="13"/>
      <c r="O215" s="49"/>
      <c r="P215" s="13"/>
      <c r="Q215" s="13"/>
      <c r="R215" s="13"/>
      <c r="S215" s="49"/>
      <c r="T215" s="13"/>
      <c r="U215" s="13"/>
      <c r="V215" s="49"/>
      <c r="W215" s="13"/>
      <c r="X215" s="13"/>
      <c r="Y215" s="49"/>
      <c r="Z215" s="13"/>
      <c r="AA215" s="13"/>
      <c r="AB215" s="13"/>
      <c r="AC215" s="49"/>
      <c r="AD215" s="13"/>
      <c r="AE215" s="13"/>
      <c r="AF215" s="49"/>
      <c r="AG215" s="13"/>
      <c r="AH215" s="13"/>
      <c r="AI215" s="13"/>
      <c r="AJ215" s="49"/>
      <c r="AK215" s="13"/>
      <c r="AL215" s="13"/>
      <c r="AM215" s="49"/>
      <c r="AN215" s="13"/>
      <c r="AO215" s="13"/>
      <c r="AP215" s="13"/>
      <c r="AQ215" s="49"/>
      <c r="AR215" s="13"/>
      <c r="AS215" s="13"/>
      <c r="AT215" s="49"/>
      <c r="AU215" s="13"/>
      <c r="AV215" s="13"/>
      <c r="AW215" s="49"/>
      <c r="AX215" s="13"/>
      <c r="AY215" s="13"/>
      <c r="AZ215" s="49"/>
      <c r="BA215" s="13"/>
      <c r="BB215" s="13"/>
    </row>
    <row r="216" spans="2:54" s="2" customFormat="1" x14ac:dyDescent="0.25">
      <c r="B216" s="49"/>
      <c r="C216" s="13"/>
      <c r="D216" s="13"/>
      <c r="E216" s="49"/>
      <c r="F216" s="13"/>
      <c r="G216" s="13"/>
      <c r="H216" s="49"/>
      <c r="I216" s="13"/>
      <c r="J216" s="13"/>
      <c r="K216" s="13"/>
      <c r="L216" s="49"/>
      <c r="M216" s="13"/>
      <c r="N216" s="13"/>
      <c r="O216" s="49"/>
      <c r="P216" s="13"/>
      <c r="Q216" s="13"/>
      <c r="R216" s="13"/>
      <c r="S216" s="49"/>
      <c r="T216" s="13"/>
      <c r="U216" s="13"/>
      <c r="V216" s="49"/>
      <c r="W216" s="13"/>
      <c r="X216" s="13"/>
      <c r="Y216" s="49"/>
      <c r="Z216" s="13"/>
      <c r="AA216" s="13"/>
      <c r="AB216" s="13"/>
      <c r="AC216" s="49"/>
      <c r="AD216" s="13"/>
      <c r="AE216" s="13"/>
      <c r="AF216" s="49"/>
      <c r="AG216" s="13"/>
      <c r="AH216" s="13"/>
      <c r="AI216" s="13"/>
      <c r="AJ216" s="49"/>
      <c r="AK216" s="13"/>
      <c r="AL216" s="13"/>
      <c r="AM216" s="49"/>
      <c r="AN216" s="13"/>
      <c r="AO216" s="13"/>
      <c r="AP216" s="13"/>
      <c r="AQ216" s="49"/>
      <c r="AR216" s="13"/>
      <c r="AS216" s="13"/>
      <c r="AT216" s="49"/>
      <c r="AU216" s="13"/>
      <c r="AV216" s="13"/>
      <c r="AW216" s="49"/>
      <c r="AX216" s="13"/>
      <c r="AY216" s="13"/>
      <c r="AZ216" s="49"/>
      <c r="BA216" s="13"/>
      <c r="BB216" s="13"/>
    </row>
    <row r="217" spans="2:54" s="2" customFormat="1" x14ac:dyDescent="0.25">
      <c r="B217" s="49"/>
      <c r="C217" s="13"/>
      <c r="D217" s="13"/>
      <c r="E217" s="49"/>
      <c r="F217" s="13"/>
      <c r="G217" s="13"/>
      <c r="H217" s="49"/>
      <c r="I217" s="13"/>
      <c r="J217" s="13"/>
      <c r="K217" s="13"/>
      <c r="L217" s="49"/>
      <c r="M217" s="13"/>
      <c r="N217" s="13"/>
      <c r="O217" s="49"/>
      <c r="P217" s="13"/>
      <c r="Q217" s="13"/>
      <c r="R217" s="13"/>
      <c r="S217" s="49"/>
      <c r="T217" s="13"/>
      <c r="U217" s="13"/>
      <c r="V217" s="49"/>
      <c r="W217" s="13"/>
      <c r="X217" s="13"/>
      <c r="Y217" s="49"/>
      <c r="Z217" s="13"/>
      <c r="AA217" s="13"/>
      <c r="AB217" s="13"/>
      <c r="AC217" s="49"/>
      <c r="AD217" s="13"/>
      <c r="AE217" s="13"/>
      <c r="AF217" s="49"/>
      <c r="AG217" s="13"/>
      <c r="AH217" s="13"/>
      <c r="AI217" s="13"/>
      <c r="AJ217" s="49"/>
      <c r="AK217" s="13"/>
      <c r="AL217" s="13"/>
      <c r="AM217" s="49"/>
      <c r="AN217" s="13"/>
      <c r="AO217" s="13"/>
      <c r="AP217" s="13"/>
      <c r="AQ217" s="49"/>
      <c r="AR217" s="13"/>
      <c r="AS217" s="13"/>
      <c r="AT217" s="49"/>
      <c r="AU217" s="13"/>
      <c r="AV217" s="13"/>
      <c r="AW217" s="49"/>
      <c r="AX217" s="13"/>
      <c r="AY217" s="13"/>
      <c r="AZ217" s="49"/>
      <c r="BA217" s="13"/>
      <c r="BB217" s="13"/>
    </row>
    <row r="218" spans="2:54" s="2" customFormat="1" x14ac:dyDescent="0.25">
      <c r="B218" s="49"/>
      <c r="C218" s="13"/>
      <c r="D218" s="13"/>
      <c r="E218" s="49"/>
      <c r="F218" s="13"/>
      <c r="G218" s="13"/>
      <c r="H218" s="49"/>
      <c r="I218" s="13"/>
      <c r="J218" s="13"/>
      <c r="K218" s="13"/>
      <c r="L218" s="49"/>
      <c r="M218" s="13"/>
      <c r="N218" s="13"/>
      <c r="O218" s="49"/>
      <c r="P218" s="13"/>
      <c r="Q218" s="13"/>
      <c r="R218" s="13"/>
      <c r="S218" s="49"/>
      <c r="T218" s="13"/>
      <c r="U218" s="13"/>
      <c r="V218" s="49"/>
      <c r="W218" s="13"/>
      <c r="X218" s="13"/>
      <c r="Y218" s="49"/>
      <c r="Z218" s="13"/>
      <c r="AA218" s="13"/>
      <c r="AB218" s="13"/>
      <c r="AC218" s="49"/>
      <c r="AD218" s="13"/>
      <c r="AE218" s="13"/>
      <c r="AF218" s="49"/>
      <c r="AG218" s="13"/>
      <c r="AH218" s="13"/>
      <c r="AI218" s="13"/>
      <c r="AJ218" s="49"/>
      <c r="AK218" s="13"/>
      <c r="AL218" s="13"/>
      <c r="AM218" s="49"/>
      <c r="AN218" s="13"/>
      <c r="AO218" s="13"/>
      <c r="AP218" s="13"/>
      <c r="AQ218" s="49"/>
      <c r="AR218" s="13"/>
      <c r="AS218" s="13"/>
      <c r="AT218" s="49"/>
      <c r="AU218" s="13"/>
      <c r="AV218" s="13"/>
      <c r="AW218" s="49"/>
      <c r="AX218" s="13"/>
      <c r="AY218" s="13"/>
      <c r="AZ218" s="49"/>
      <c r="BA218" s="13"/>
      <c r="BB218" s="13"/>
    </row>
    <row r="219" spans="2:54" s="2" customFormat="1" x14ac:dyDescent="0.25">
      <c r="B219" s="49"/>
      <c r="C219" s="13"/>
      <c r="D219" s="13"/>
      <c r="E219" s="49"/>
      <c r="F219" s="13"/>
      <c r="G219" s="13"/>
      <c r="H219" s="49"/>
      <c r="I219" s="13"/>
      <c r="J219" s="13"/>
      <c r="K219" s="13"/>
      <c r="L219" s="49"/>
      <c r="M219" s="13"/>
      <c r="N219" s="13"/>
      <c r="O219" s="49"/>
      <c r="P219" s="13"/>
      <c r="Q219" s="13"/>
      <c r="R219" s="13"/>
      <c r="S219" s="49"/>
      <c r="T219" s="13"/>
      <c r="U219" s="13"/>
      <c r="V219" s="49"/>
      <c r="W219" s="13"/>
      <c r="X219" s="13"/>
      <c r="Y219" s="49"/>
      <c r="Z219" s="13"/>
      <c r="AA219" s="13"/>
      <c r="AB219" s="13"/>
      <c r="AC219" s="49"/>
      <c r="AD219" s="13"/>
      <c r="AE219" s="13"/>
      <c r="AF219" s="49"/>
      <c r="AG219" s="13"/>
      <c r="AH219" s="13"/>
      <c r="AI219" s="13"/>
      <c r="AJ219" s="49"/>
      <c r="AK219" s="13"/>
      <c r="AL219" s="13"/>
      <c r="AM219" s="49"/>
      <c r="AN219" s="13"/>
      <c r="AO219" s="13"/>
      <c r="AP219" s="13"/>
      <c r="AQ219" s="49"/>
      <c r="AR219" s="13"/>
      <c r="AS219" s="13"/>
      <c r="AT219" s="49"/>
      <c r="AU219" s="13"/>
      <c r="AV219" s="13"/>
      <c r="AW219" s="49"/>
      <c r="AX219" s="13"/>
      <c r="AY219" s="13"/>
      <c r="AZ219" s="49"/>
      <c r="BA219" s="13"/>
      <c r="BB219" s="13"/>
    </row>
    <row r="220" spans="2:54" s="2" customFormat="1" x14ac:dyDescent="0.25">
      <c r="B220" s="49"/>
      <c r="C220" s="13"/>
      <c r="D220" s="13"/>
      <c r="E220" s="49"/>
      <c r="F220" s="13"/>
      <c r="G220" s="13"/>
      <c r="H220" s="49"/>
      <c r="I220" s="13"/>
      <c r="J220" s="13"/>
      <c r="K220" s="13"/>
      <c r="L220" s="49"/>
      <c r="M220" s="13"/>
      <c r="N220" s="13"/>
      <c r="O220" s="49"/>
      <c r="P220" s="13"/>
      <c r="Q220" s="13"/>
      <c r="R220" s="13"/>
      <c r="S220" s="49"/>
      <c r="T220" s="13"/>
      <c r="U220" s="13"/>
      <c r="V220" s="49"/>
      <c r="W220" s="13"/>
      <c r="X220" s="13"/>
      <c r="Y220" s="49"/>
      <c r="Z220" s="13"/>
      <c r="AA220" s="13"/>
      <c r="AB220" s="13"/>
      <c r="AC220" s="49"/>
      <c r="AD220" s="13"/>
      <c r="AE220" s="13"/>
      <c r="AF220" s="49"/>
      <c r="AG220" s="13"/>
      <c r="AH220" s="13"/>
      <c r="AI220" s="13"/>
      <c r="AJ220" s="49"/>
      <c r="AK220" s="13"/>
      <c r="AL220" s="13"/>
      <c r="AM220" s="49"/>
      <c r="AN220" s="13"/>
      <c r="AO220" s="13"/>
      <c r="AP220" s="13"/>
      <c r="AQ220" s="49"/>
      <c r="AR220" s="13"/>
      <c r="AS220" s="13"/>
      <c r="AT220" s="49"/>
      <c r="AU220" s="13"/>
      <c r="AV220" s="13"/>
      <c r="AW220" s="49"/>
      <c r="AX220" s="13"/>
      <c r="AY220" s="13"/>
      <c r="AZ220" s="49"/>
      <c r="BA220" s="13"/>
      <c r="BB220" s="13"/>
    </row>
  </sheetData>
  <mergeCells count="3">
    <mergeCell ref="A2:A3"/>
    <mergeCell ref="E2:BB3"/>
    <mergeCell ref="BC140:BC141"/>
  </mergeCells>
  <conditionalFormatting sqref="C6:C10">
    <cfRule type="colorScale" priority="2846">
      <colorScale>
        <cfvo type="min"/>
        <cfvo type="max"/>
        <color theme="0"/>
        <color theme="0"/>
      </colorScale>
    </cfRule>
    <cfRule type="expression" dxfId="3710" priority="2848">
      <formula>B6&lt;0</formula>
    </cfRule>
  </conditionalFormatting>
  <conditionalFormatting sqref="C6:C21">
    <cfRule type="expression" dxfId="3709" priority="2793">
      <formula>IF(C6="Validar","Rojo","Verde")</formula>
    </cfRule>
    <cfRule type="expression" priority="2795">
      <formula>#REF!</formula>
    </cfRule>
  </conditionalFormatting>
  <conditionalFormatting sqref="C11">
    <cfRule type="colorScale" priority="2802">
      <colorScale>
        <cfvo type="min"/>
        <cfvo type="max"/>
        <color theme="0"/>
        <color theme="0"/>
      </colorScale>
    </cfRule>
    <cfRule type="expression" dxfId="3708" priority="2804">
      <formula>B11&lt;0</formula>
    </cfRule>
  </conditionalFormatting>
  <conditionalFormatting sqref="C12:C15">
    <cfRule type="colorScale" priority="2842">
      <colorScale>
        <cfvo type="min"/>
        <cfvo type="max"/>
        <color theme="0"/>
        <color theme="0"/>
      </colorScale>
    </cfRule>
    <cfRule type="expression" dxfId="3707" priority="2844">
      <formula>B12&lt;0</formula>
    </cfRule>
  </conditionalFormatting>
  <conditionalFormatting sqref="C16">
    <cfRule type="colorScale" priority="2798">
      <colorScale>
        <cfvo type="min"/>
        <cfvo type="max"/>
        <color theme="0"/>
        <color theme="0"/>
      </colorScale>
    </cfRule>
    <cfRule type="expression" dxfId="3706" priority="2800">
      <formula>B16&lt;0</formula>
    </cfRule>
  </conditionalFormatting>
  <conditionalFormatting sqref="C17:C18">
    <cfRule type="colorScale" priority="2838">
      <colorScale>
        <cfvo type="min"/>
        <cfvo type="max"/>
        <color theme="0"/>
        <color theme="0"/>
      </colorScale>
    </cfRule>
    <cfRule type="expression" dxfId="3705" priority="2840">
      <formula>B17&lt;0</formula>
    </cfRule>
  </conditionalFormatting>
  <conditionalFormatting sqref="C19">
    <cfRule type="colorScale" priority="2794">
      <colorScale>
        <cfvo type="min"/>
        <cfvo type="max"/>
        <color theme="0"/>
        <color theme="0"/>
      </colorScale>
    </cfRule>
    <cfRule type="expression" dxfId="3704" priority="2796">
      <formula>B19&lt;0</formula>
    </cfRule>
  </conditionalFormatting>
  <conditionalFormatting sqref="C20:C21">
    <cfRule type="colorScale" priority="2834">
      <colorScale>
        <cfvo type="min"/>
        <cfvo type="max"/>
        <color theme="0"/>
        <color theme="0"/>
      </colorScale>
    </cfRule>
    <cfRule type="expression" dxfId="3703" priority="2836">
      <formula>B20&lt;0</formula>
    </cfRule>
  </conditionalFormatting>
  <conditionalFormatting sqref="C24">
    <cfRule type="colorScale" priority="2790">
      <colorScale>
        <cfvo type="min"/>
        <cfvo type="max"/>
        <color theme="0"/>
        <color theme="0"/>
      </colorScale>
    </cfRule>
    <cfRule type="expression" dxfId="3702" priority="2792">
      <formula>B24&lt;0</formula>
    </cfRule>
  </conditionalFormatting>
  <conditionalFormatting sqref="C24:C32">
    <cfRule type="expression" dxfId="3701" priority="2781">
      <formula>IF(C24="Validar","Rojo","Verde")</formula>
    </cfRule>
    <cfRule type="expression" priority="2783">
      <formula>#REF!</formula>
    </cfRule>
  </conditionalFormatting>
  <conditionalFormatting sqref="C25">
    <cfRule type="colorScale" priority="2830">
      <colorScale>
        <cfvo type="min"/>
        <cfvo type="max"/>
        <color theme="0"/>
        <color theme="0"/>
      </colorScale>
    </cfRule>
    <cfRule type="expression" dxfId="3700" priority="2832">
      <formula>B25&lt;0</formula>
    </cfRule>
  </conditionalFormatting>
  <conditionalFormatting sqref="C26">
    <cfRule type="colorScale" priority="2826">
      <colorScale>
        <cfvo type="min"/>
        <cfvo type="max"/>
        <color theme="0"/>
        <color theme="0"/>
      </colorScale>
    </cfRule>
    <cfRule type="expression" dxfId="3699" priority="2828">
      <formula>B26&lt;0</formula>
    </cfRule>
  </conditionalFormatting>
  <conditionalFormatting sqref="C27">
    <cfRule type="colorScale" priority="2786">
      <colorScale>
        <cfvo type="min"/>
        <cfvo type="max"/>
        <color theme="0"/>
        <color theme="0"/>
      </colorScale>
    </cfRule>
    <cfRule type="expression" dxfId="3698" priority="2788">
      <formula>B27&lt;0</formula>
    </cfRule>
  </conditionalFormatting>
  <conditionalFormatting sqref="C28">
    <cfRule type="colorScale" priority="2822">
      <colorScale>
        <cfvo type="min"/>
        <cfvo type="max"/>
        <color theme="0"/>
        <color theme="0"/>
      </colorScale>
    </cfRule>
    <cfRule type="expression" dxfId="3697" priority="2824">
      <formula>B28&lt;0</formula>
    </cfRule>
  </conditionalFormatting>
  <conditionalFormatting sqref="C29">
    <cfRule type="colorScale" priority="2818">
      <colorScale>
        <cfvo type="min"/>
        <cfvo type="max"/>
        <color theme="0"/>
        <color theme="0"/>
      </colorScale>
    </cfRule>
    <cfRule type="expression" dxfId="3696" priority="2820">
      <formula>B29&lt;0</formula>
    </cfRule>
  </conditionalFormatting>
  <conditionalFormatting sqref="C30">
    <cfRule type="colorScale" priority="2782">
      <colorScale>
        <cfvo type="min"/>
        <cfvo type="max"/>
        <color theme="0"/>
        <color theme="0"/>
      </colorScale>
    </cfRule>
    <cfRule type="expression" dxfId="3695" priority="2784">
      <formula>B30&lt;0</formula>
    </cfRule>
  </conditionalFormatting>
  <conditionalFormatting sqref="C31">
    <cfRule type="colorScale" priority="2814">
      <colorScale>
        <cfvo type="min"/>
        <cfvo type="max"/>
        <color theme="0"/>
        <color theme="0"/>
      </colorScale>
    </cfRule>
    <cfRule type="expression" dxfId="3694" priority="2816">
      <formula>B31&lt;0</formula>
    </cfRule>
  </conditionalFormatting>
  <conditionalFormatting sqref="C32">
    <cfRule type="colorScale" priority="2810">
      <colorScale>
        <cfvo type="min"/>
        <cfvo type="max"/>
        <color theme="0"/>
        <color theme="0"/>
      </colorScale>
    </cfRule>
    <cfRule type="expression" dxfId="3693" priority="2812">
      <formula>B32&lt;0</formula>
    </cfRule>
  </conditionalFormatting>
  <conditionalFormatting sqref="C40">
    <cfRule type="colorScale" priority="2778">
      <colorScale>
        <cfvo type="min"/>
        <cfvo type="max"/>
        <color theme="0"/>
        <color theme="0"/>
      </colorScale>
    </cfRule>
    <cfRule type="expression" priority="2779">
      <formula>#REF!</formula>
    </cfRule>
    <cfRule type="expression" dxfId="3692" priority="2780">
      <formula>B40&lt;0</formula>
    </cfRule>
  </conditionalFormatting>
  <conditionalFormatting sqref="C40:C107">
    <cfRule type="expression" dxfId="3691" priority="2554">
      <formula>IF(C40="Validar","Rojo","Verde")</formula>
    </cfRule>
  </conditionalFormatting>
  <conditionalFormatting sqref="C41:C68">
    <cfRule type="colorScale" priority="2806">
      <colorScale>
        <cfvo type="min"/>
        <cfvo type="max"/>
        <color theme="0"/>
        <color theme="0"/>
      </colorScale>
    </cfRule>
    <cfRule type="expression" priority="2807">
      <formula>$F$20</formula>
    </cfRule>
    <cfRule type="expression" dxfId="3690" priority="2808">
      <formula>B41&lt;0</formula>
    </cfRule>
  </conditionalFormatting>
  <conditionalFormatting sqref="C69">
    <cfRule type="colorScale" priority="2774">
      <colorScale>
        <cfvo type="min"/>
        <cfvo type="max"/>
        <color theme="0"/>
        <color theme="0"/>
      </colorScale>
    </cfRule>
    <cfRule type="expression" priority="2775">
      <formula>#REF!</formula>
    </cfRule>
    <cfRule type="expression" dxfId="3689" priority="2776">
      <formula>B69&lt;0</formula>
    </cfRule>
  </conditionalFormatting>
  <conditionalFormatting sqref="C70:C82">
    <cfRule type="colorScale" priority="2854">
      <colorScale>
        <cfvo type="min"/>
        <cfvo type="max"/>
        <color theme="0"/>
        <color theme="0"/>
      </colorScale>
    </cfRule>
    <cfRule type="expression" priority="2855">
      <formula>$F$20</formula>
    </cfRule>
    <cfRule type="expression" dxfId="3688" priority="2856">
      <formula>B70&lt;0</formula>
    </cfRule>
  </conditionalFormatting>
  <conditionalFormatting sqref="C83 C92 C103 C107">
    <cfRule type="expression" dxfId="3687" priority="2852">
      <formula>B83&lt;0</formula>
    </cfRule>
  </conditionalFormatting>
  <conditionalFormatting sqref="C84">
    <cfRule type="colorScale" priority="2555">
      <colorScale>
        <cfvo type="min"/>
        <cfvo type="max"/>
        <color theme="0"/>
        <color theme="0"/>
      </colorScale>
    </cfRule>
    <cfRule type="expression" priority="2556">
      <formula>#REF!</formula>
    </cfRule>
    <cfRule type="expression" dxfId="3686" priority="2557">
      <formula>B84&lt;0</formula>
    </cfRule>
  </conditionalFormatting>
  <conditionalFormatting sqref="C85:C91">
    <cfRule type="colorScale" priority="2858">
      <colorScale>
        <cfvo type="min"/>
        <cfvo type="max"/>
        <color theme="0"/>
        <color theme="0"/>
      </colorScale>
    </cfRule>
    <cfRule type="expression" priority="2859">
      <formula>$F$20</formula>
    </cfRule>
    <cfRule type="expression" dxfId="3685" priority="2860">
      <formula>B85&lt;0</formula>
    </cfRule>
  </conditionalFormatting>
  <conditionalFormatting sqref="C92 C83 C103 C107">
    <cfRule type="colorScale" priority="2850">
      <colorScale>
        <cfvo type="min"/>
        <cfvo type="max"/>
        <color theme="0"/>
        <color theme="0"/>
      </colorScale>
    </cfRule>
  </conditionalFormatting>
  <conditionalFormatting sqref="C93">
    <cfRule type="colorScale" priority="2770">
      <colorScale>
        <cfvo type="min"/>
        <cfvo type="max"/>
        <color theme="0"/>
        <color theme="0"/>
      </colorScale>
    </cfRule>
    <cfRule type="expression" priority="2771">
      <formula>#REF!</formula>
    </cfRule>
    <cfRule type="expression" dxfId="3684" priority="2772">
      <formula>B93&lt;0</formula>
    </cfRule>
  </conditionalFormatting>
  <conditionalFormatting sqref="C94:C102">
    <cfRule type="colorScale" priority="2862">
      <colorScale>
        <cfvo type="min"/>
        <cfvo type="max"/>
        <color theme="0"/>
        <color theme="0"/>
      </colorScale>
    </cfRule>
    <cfRule type="expression" priority="2863">
      <formula>$F$20</formula>
    </cfRule>
    <cfRule type="expression" dxfId="3683" priority="2864">
      <formula>B94&lt;0</formula>
    </cfRule>
  </conditionalFormatting>
  <conditionalFormatting sqref="C104">
    <cfRule type="colorScale" priority="2766">
      <colorScale>
        <cfvo type="min"/>
        <cfvo type="max"/>
        <color theme="0"/>
        <color theme="0"/>
      </colorScale>
    </cfRule>
    <cfRule type="expression" priority="2767">
      <formula>#REF!</formula>
    </cfRule>
    <cfRule type="expression" dxfId="3682" priority="2768">
      <formula>B104&lt;0</formula>
    </cfRule>
  </conditionalFormatting>
  <conditionalFormatting sqref="C105:C106">
    <cfRule type="colorScale" priority="2866">
      <colorScale>
        <cfvo type="min"/>
        <cfvo type="max"/>
        <color theme="0"/>
        <color theme="0"/>
      </colorScale>
    </cfRule>
    <cfRule type="expression" priority="2867">
      <formula>$F$20</formula>
    </cfRule>
    <cfRule type="expression" dxfId="3681" priority="2868">
      <formula>B105&lt;0</formula>
    </cfRule>
  </conditionalFormatting>
  <conditionalFormatting sqref="C110">
    <cfRule type="colorScale" priority="2870">
      <colorScale>
        <cfvo type="min"/>
        <cfvo type="max"/>
        <color theme="0"/>
        <color theme="0"/>
      </colorScale>
    </cfRule>
    <cfRule type="expression" dxfId="3680" priority="2872">
      <formula>B110&lt;0</formula>
    </cfRule>
  </conditionalFormatting>
  <conditionalFormatting sqref="C110:C111">
    <cfRule type="expression" priority="2538">
      <formula>$F$20</formula>
    </cfRule>
  </conditionalFormatting>
  <conditionalFormatting sqref="C111">
    <cfRule type="colorScale" priority="2537">
      <colorScale>
        <cfvo type="min"/>
        <cfvo type="max"/>
        <color theme="0"/>
        <color theme="0"/>
      </colorScale>
    </cfRule>
    <cfRule type="expression" dxfId="3679" priority="2539">
      <formula>B111&lt;0</formula>
    </cfRule>
  </conditionalFormatting>
  <conditionalFormatting sqref="C117:C123">
    <cfRule type="colorScale" priority="3990">
      <colorScale>
        <cfvo type="min"/>
        <cfvo type="max"/>
        <color theme="0"/>
        <color theme="0"/>
      </colorScale>
    </cfRule>
    <cfRule type="expression" priority="3991">
      <formula>$F$20</formula>
    </cfRule>
    <cfRule type="expression" dxfId="3678" priority="3992">
      <formula>B117&lt;0</formula>
    </cfRule>
  </conditionalFormatting>
  <conditionalFormatting sqref="C125">
    <cfRule type="colorScale" priority="2762">
      <colorScale>
        <cfvo type="min"/>
        <cfvo type="max"/>
        <color theme="0"/>
        <color theme="0"/>
      </colorScale>
    </cfRule>
    <cfRule type="expression" priority="2763">
      <formula>#REF!</formula>
    </cfRule>
    <cfRule type="expression" dxfId="3677" priority="2764">
      <formula>B125&lt;0</formula>
    </cfRule>
  </conditionalFormatting>
  <conditionalFormatting sqref="C125:C135">
    <cfRule type="expression" dxfId="3676" priority="2761">
      <formula>IF(C125="Validar","Rojo","Verde")</formula>
    </cfRule>
  </conditionalFormatting>
  <conditionalFormatting sqref="C126:C132">
    <cfRule type="colorScale" priority="3994">
      <colorScale>
        <cfvo type="min"/>
        <cfvo type="max"/>
        <color theme="0"/>
        <color theme="0"/>
      </colorScale>
    </cfRule>
    <cfRule type="expression" dxfId="3675" priority="3996">
      <formula>B126&lt;0</formula>
    </cfRule>
  </conditionalFormatting>
  <conditionalFormatting sqref="C126:C134">
    <cfRule type="expression" priority="3995">
      <formula>$F$20</formula>
    </cfRule>
  </conditionalFormatting>
  <conditionalFormatting sqref="C133:C134">
    <cfRule type="colorScale" priority="3998">
      <colorScale>
        <cfvo type="min"/>
        <cfvo type="max"/>
        <color theme="0"/>
        <color theme="0"/>
      </colorScale>
    </cfRule>
    <cfRule type="expression" dxfId="3674" priority="4000">
      <formula>B133&lt;0</formula>
    </cfRule>
  </conditionalFormatting>
  <conditionalFormatting sqref="C135">
    <cfRule type="colorScale" priority="3986">
      <colorScale>
        <cfvo type="min"/>
        <cfvo type="max"/>
        <color theme="0"/>
        <color theme="0"/>
      </colorScale>
    </cfRule>
    <cfRule type="expression" priority="3987">
      <formula>$F$24</formula>
    </cfRule>
    <cfRule type="expression" dxfId="3673" priority="3988">
      <formula>B135&lt;0</formula>
    </cfRule>
  </conditionalFormatting>
  <conditionalFormatting sqref="C110:D111">
    <cfRule type="expression" dxfId="3672" priority="2532">
      <formula>IF(C110="Validar","Rojo","Verde")</formula>
    </cfRule>
  </conditionalFormatting>
  <conditionalFormatting sqref="C117:D123">
    <cfRule type="expression" dxfId="3671" priority="2701">
      <formula>IF(C117="Validar","Rojo","Verde")</formula>
    </cfRule>
  </conditionalFormatting>
  <conditionalFormatting sqref="D41:D67">
    <cfRule type="colorScale" priority="2750">
      <colorScale>
        <cfvo type="min"/>
        <cfvo type="max"/>
        <color theme="0"/>
        <color theme="0"/>
      </colorScale>
    </cfRule>
    <cfRule type="expression" priority="2751">
      <formula>#REF!</formula>
    </cfRule>
    <cfRule type="expression" dxfId="3670" priority="2752">
      <formula>C41&lt;0</formula>
    </cfRule>
  </conditionalFormatting>
  <conditionalFormatting sqref="D41:D68">
    <cfRule type="expression" dxfId="3669" priority="2749">
      <formula>IF(D41="Validar","Rojo","Verde")</formula>
    </cfRule>
  </conditionalFormatting>
  <conditionalFormatting sqref="D68 C83:D83 C92:D92 C103:D103 C107:D107">
    <cfRule type="expression" priority="2755">
      <formula>$F$24</formula>
    </cfRule>
  </conditionalFormatting>
  <conditionalFormatting sqref="D68 D83 D92 D103 D107">
    <cfRule type="expression" dxfId="3668" priority="2756">
      <formula>C68&lt;0</formula>
    </cfRule>
  </conditionalFormatting>
  <conditionalFormatting sqref="D70">
    <cfRule type="colorScale" priority="2746">
      <colorScale>
        <cfvo type="min"/>
        <cfvo type="max"/>
        <color theme="0"/>
        <color theme="0"/>
      </colorScale>
    </cfRule>
    <cfRule type="expression" dxfId="3667" priority="2748">
      <formula>C70&lt;0</formula>
    </cfRule>
  </conditionalFormatting>
  <conditionalFormatting sqref="D70:D82">
    <cfRule type="expression" priority="2743">
      <formula>#REF!</formula>
    </cfRule>
  </conditionalFormatting>
  <conditionalFormatting sqref="D70:D83">
    <cfRule type="expression" dxfId="3666" priority="2741">
      <formula>IF(D70="Validar","Rojo","Verde")</formula>
    </cfRule>
  </conditionalFormatting>
  <conditionalFormatting sqref="D71:D79">
    <cfRule type="colorScale" priority="2742">
      <colorScale>
        <cfvo type="min"/>
        <cfvo type="max"/>
        <color theme="0"/>
        <color theme="0"/>
      </colorScale>
    </cfRule>
    <cfRule type="expression" dxfId="3665" priority="2744">
      <formula>C71&lt;0</formula>
    </cfRule>
  </conditionalFormatting>
  <conditionalFormatting sqref="D80:D82">
    <cfRule type="colorScale" priority="2758">
      <colorScale>
        <cfvo type="min"/>
        <cfvo type="max"/>
        <color theme="0"/>
        <color theme="0"/>
      </colorScale>
    </cfRule>
    <cfRule type="expression" dxfId="3664" priority="2760">
      <formula>C80&lt;0</formula>
    </cfRule>
  </conditionalFormatting>
  <conditionalFormatting sqref="D83 D68 D92 D103 D107">
    <cfRule type="colorScale" priority="2754">
      <colorScale>
        <cfvo type="min"/>
        <cfvo type="max"/>
        <color theme="0"/>
        <color theme="0"/>
      </colorScale>
    </cfRule>
  </conditionalFormatting>
  <conditionalFormatting sqref="D85">
    <cfRule type="colorScale" priority="2738">
      <colorScale>
        <cfvo type="min"/>
        <cfvo type="max"/>
        <color theme="0"/>
        <color theme="0"/>
      </colorScale>
    </cfRule>
    <cfRule type="expression" dxfId="3663" priority="2740">
      <formula>C85&lt;0</formula>
    </cfRule>
  </conditionalFormatting>
  <conditionalFormatting sqref="D85:D91">
    <cfRule type="expression" priority="2735">
      <formula>#REF!</formula>
    </cfRule>
  </conditionalFormatting>
  <conditionalFormatting sqref="D85:D92">
    <cfRule type="expression" dxfId="3662" priority="2733">
      <formula>IF(D85="Validar","Rojo","Verde")</formula>
    </cfRule>
  </conditionalFormatting>
  <conditionalFormatting sqref="D86:D91">
    <cfRule type="colorScale" priority="2734">
      <colorScale>
        <cfvo type="min"/>
        <cfvo type="max"/>
        <color theme="0"/>
        <color theme="0"/>
      </colorScale>
    </cfRule>
    <cfRule type="expression" dxfId="3661" priority="2736">
      <formula>C86&lt;0</formula>
    </cfRule>
  </conditionalFormatting>
  <conditionalFormatting sqref="D94">
    <cfRule type="colorScale" priority="2730">
      <colorScale>
        <cfvo type="min"/>
        <cfvo type="max"/>
        <color theme="0"/>
        <color theme="0"/>
      </colorScale>
    </cfRule>
    <cfRule type="expression" dxfId="3660" priority="2732">
      <formula>C94&lt;0</formula>
    </cfRule>
  </conditionalFormatting>
  <conditionalFormatting sqref="D94:D102">
    <cfRule type="expression" priority="2719">
      <formula>#REF!</formula>
    </cfRule>
  </conditionalFormatting>
  <conditionalFormatting sqref="D94:D103">
    <cfRule type="expression" dxfId="3659" priority="2717">
      <formula>IF(D94="Validar","Rojo","Verde")</formula>
    </cfRule>
  </conditionalFormatting>
  <conditionalFormatting sqref="D95:D100">
    <cfRule type="colorScale" priority="2726">
      <colorScale>
        <cfvo type="min"/>
        <cfvo type="max"/>
        <color theme="0"/>
        <color theme="0"/>
      </colorScale>
    </cfRule>
    <cfRule type="expression" dxfId="3658" priority="2728">
      <formula>C95&lt;0</formula>
    </cfRule>
  </conditionalFormatting>
  <conditionalFormatting sqref="D101">
    <cfRule type="colorScale" priority="2722">
      <colorScale>
        <cfvo type="min"/>
        <cfvo type="max"/>
        <color theme="0"/>
        <color theme="0"/>
      </colorScale>
    </cfRule>
    <cfRule type="expression" dxfId="3657" priority="2724">
      <formula>C101&lt;0</formula>
    </cfRule>
  </conditionalFormatting>
  <conditionalFormatting sqref="D102">
    <cfRule type="colorScale" priority="2718">
      <colorScale>
        <cfvo type="min"/>
        <cfvo type="max"/>
        <color theme="0"/>
        <color theme="0"/>
      </colorScale>
    </cfRule>
    <cfRule type="expression" dxfId="3656" priority="2720">
      <formula>C102&lt;0</formula>
    </cfRule>
  </conditionalFormatting>
  <conditionalFormatting sqref="D105">
    <cfRule type="colorScale" priority="2714">
      <colorScale>
        <cfvo type="min"/>
        <cfvo type="max"/>
        <color theme="0"/>
        <color theme="0"/>
      </colorScale>
    </cfRule>
    <cfRule type="expression" dxfId="3655" priority="2716">
      <formula>C105&lt;0</formula>
    </cfRule>
  </conditionalFormatting>
  <conditionalFormatting sqref="D105:D106">
    <cfRule type="expression" priority="2711">
      <formula>#REF!</formula>
    </cfRule>
  </conditionalFormatting>
  <conditionalFormatting sqref="D105:D107">
    <cfRule type="expression" dxfId="3654" priority="2709">
      <formula>IF(D105="Validar","Rojo","Verde")</formula>
    </cfRule>
  </conditionalFormatting>
  <conditionalFormatting sqref="D106">
    <cfRule type="colorScale" priority="2710">
      <colorScale>
        <cfvo type="min"/>
        <cfvo type="max"/>
        <color theme="0"/>
        <color theme="0"/>
      </colorScale>
    </cfRule>
    <cfRule type="expression" dxfId="3653" priority="2712">
      <formula>C106&lt;0</formula>
    </cfRule>
  </conditionalFormatting>
  <conditionalFormatting sqref="D110">
    <cfRule type="colorScale" priority="2698">
      <colorScale>
        <cfvo type="min"/>
        <cfvo type="max"/>
        <color theme="0"/>
        <color theme="0"/>
      </colorScale>
    </cfRule>
    <cfRule type="expression" dxfId="3652" priority="2700">
      <formula>C110&lt;0</formula>
    </cfRule>
  </conditionalFormatting>
  <conditionalFormatting sqref="D110:D111">
    <cfRule type="expression" priority="2534">
      <formula>#REF!</formula>
    </cfRule>
  </conditionalFormatting>
  <conditionalFormatting sqref="D111">
    <cfRule type="colorScale" priority="2533">
      <colorScale>
        <cfvo type="min"/>
        <cfvo type="max"/>
        <color theme="0"/>
        <color theme="0"/>
      </colorScale>
    </cfRule>
    <cfRule type="expression" dxfId="3651" priority="2535">
      <formula>C111&lt;0</formula>
    </cfRule>
  </conditionalFormatting>
  <conditionalFormatting sqref="D117">
    <cfRule type="colorScale" priority="2706">
      <colorScale>
        <cfvo type="min"/>
        <cfvo type="max"/>
        <color theme="0"/>
        <color theme="0"/>
      </colorScale>
    </cfRule>
    <cfRule type="expression" dxfId="3650" priority="2708">
      <formula>C117&lt;0</formula>
    </cfRule>
  </conditionalFormatting>
  <conditionalFormatting sqref="D117:D123">
    <cfRule type="expression" priority="2703">
      <formula>#REF!</formula>
    </cfRule>
  </conditionalFormatting>
  <conditionalFormatting sqref="D118:D123">
    <cfRule type="colorScale" priority="2702">
      <colorScale>
        <cfvo type="min"/>
        <cfvo type="max"/>
        <color theme="0"/>
        <color theme="0"/>
      </colorScale>
    </cfRule>
    <cfRule type="expression" dxfId="3649" priority="2704">
      <formula>C118&lt;0</formula>
    </cfRule>
  </conditionalFormatting>
  <conditionalFormatting sqref="D126:D135">
    <cfRule type="expression" dxfId="3648" priority="4001">
      <formula>IF(D126="Validar","Rojo","Verde")</formula>
    </cfRule>
    <cfRule type="colorScale" priority="4002">
      <colorScale>
        <cfvo type="min"/>
        <cfvo type="max"/>
        <color theme="0"/>
        <color theme="0"/>
      </colorScale>
    </cfRule>
    <cfRule type="expression" priority="4003">
      <formula>$F$24</formula>
    </cfRule>
    <cfRule type="expression" dxfId="3647" priority="4004">
      <formula>C126&lt;0</formula>
    </cfRule>
  </conditionalFormatting>
  <conditionalFormatting sqref="F6:F10">
    <cfRule type="colorScale" priority="3706">
      <colorScale>
        <cfvo type="min"/>
        <cfvo type="max"/>
        <color theme="0"/>
        <color theme="0"/>
      </colorScale>
    </cfRule>
    <cfRule type="expression" dxfId="3646" priority="3708">
      <formula>E6&lt;0</formula>
    </cfRule>
  </conditionalFormatting>
  <conditionalFormatting sqref="F6:F21">
    <cfRule type="expression" dxfId="3645" priority="3085">
      <formula>IF(F6="Validar","Rojo","Verde")</formula>
    </cfRule>
    <cfRule type="expression" priority="3087">
      <formula>#REF!</formula>
    </cfRule>
  </conditionalFormatting>
  <conditionalFormatting sqref="F11">
    <cfRule type="colorScale" priority="3134">
      <colorScale>
        <cfvo type="min"/>
        <cfvo type="max"/>
        <color theme="0"/>
        <color theme="0"/>
      </colorScale>
    </cfRule>
    <cfRule type="expression" dxfId="3644" priority="3136">
      <formula>E11&lt;0</formula>
    </cfRule>
  </conditionalFormatting>
  <conditionalFormatting sqref="F12:F15">
    <cfRule type="colorScale" priority="3702">
      <colorScale>
        <cfvo type="min"/>
        <cfvo type="max"/>
        <color theme="0"/>
        <color theme="0"/>
      </colorScale>
    </cfRule>
    <cfRule type="expression" dxfId="3643" priority="3704">
      <formula>E12&lt;0</formula>
    </cfRule>
  </conditionalFormatting>
  <conditionalFormatting sqref="F16">
    <cfRule type="colorScale" priority="3110">
      <colorScale>
        <cfvo type="min"/>
        <cfvo type="max"/>
        <color theme="0"/>
        <color theme="0"/>
      </colorScale>
    </cfRule>
    <cfRule type="expression" dxfId="3642" priority="3112">
      <formula>E16&lt;0</formula>
    </cfRule>
  </conditionalFormatting>
  <conditionalFormatting sqref="F17:F18">
    <cfRule type="colorScale" priority="3698">
      <colorScale>
        <cfvo type="min"/>
        <cfvo type="max"/>
        <color theme="0"/>
        <color theme="0"/>
      </colorScale>
    </cfRule>
    <cfRule type="expression" dxfId="3641" priority="3700">
      <formula>E17&lt;0</formula>
    </cfRule>
  </conditionalFormatting>
  <conditionalFormatting sqref="F19">
    <cfRule type="colorScale" priority="3086">
      <colorScale>
        <cfvo type="min"/>
        <cfvo type="max"/>
        <color theme="0"/>
        <color theme="0"/>
      </colorScale>
    </cfRule>
    <cfRule type="expression" dxfId="3640" priority="3088">
      <formula>E19&lt;0</formula>
    </cfRule>
  </conditionalFormatting>
  <conditionalFormatting sqref="F20:F21">
    <cfRule type="colorScale" priority="3694">
      <colorScale>
        <cfvo type="min"/>
        <cfvo type="max"/>
        <color theme="0"/>
        <color theme="0"/>
      </colorScale>
    </cfRule>
    <cfRule type="expression" dxfId="3639" priority="3696">
      <formula>E20&lt;0</formula>
    </cfRule>
  </conditionalFormatting>
  <conditionalFormatting sqref="F24">
    <cfRule type="colorScale" priority="3062">
      <colorScale>
        <cfvo type="min"/>
        <cfvo type="max"/>
        <color theme="0"/>
        <color theme="0"/>
      </colorScale>
    </cfRule>
    <cfRule type="expression" dxfId="3638" priority="3064">
      <formula>E24&lt;0</formula>
    </cfRule>
  </conditionalFormatting>
  <conditionalFormatting sqref="F24:F32">
    <cfRule type="expression" dxfId="3637" priority="3013">
      <formula>IF(F24="Validar","Rojo","Verde")</formula>
    </cfRule>
    <cfRule type="expression" priority="3015">
      <formula>#REF!</formula>
    </cfRule>
  </conditionalFormatting>
  <conditionalFormatting sqref="F25">
    <cfRule type="colorScale" priority="3690">
      <colorScale>
        <cfvo type="min"/>
        <cfvo type="max"/>
        <color theme="0"/>
        <color theme="0"/>
      </colorScale>
    </cfRule>
    <cfRule type="expression" dxfId="3636" priority="3692">
      <formula>E25&lt;0</formula>
    </cfRule>
  </conditionalFormatting>
  <conditionalFormatting sqref="F26">
    <cfRule type="colorScale" priority="3686">
      <colorScale>
        <cfvo type="min"/>
        <cfvo type="max"/>
        <color theme="0"/>
        <color theme="0"/>
      </colorScale>
    </cfRule>
    <cfRule type="expression" dxfId="3635" priority="3688">
      <formula>E26&lt;0</formula>
    </cfRule>
  </conditionalFormatting>
  <conditionalFormatting sqref="F27">
    <cfRule type="colorScale" priority="3038">
      <colorScale>
        <cfvo type="min"/>
        <cfvo type="max"/>
        <color theme="0"/>
        <color theme="0"/>
      </colorScale>
    </cfRule>
    <cfRule type="expression" dxfId="3634" priority="3040">
      <formula>E27&lt;0</formula>
    </cfRule>
  </conditionalFormatting>
  <conditionalFormatting sqref="F28">
    <cfRule type="colorScale" priority="3682">
      <colorScale>
        <cfvo type="min"/>
        <cfvo type="max"/>
        <color theme="0"/>
        <color theme="0"/>
      </colorScale>
    </cfRule>
    <cfRule type="expression" dxfId="3633" priority="3684">
      <formula>E28&lt;0</formula>
    </cfRule>
  </conditionalFormatting>
  <conditionalFormatting sqref="F29">
    <cfRule type="colorScale" priority="3678">
      <colorScale>
        <cfvo type="min"/>
        <cfvo type="max"/>
        <color theme="0"/>
        <color theme="0"/>
      </colorScale>
    </cfRule>
    <cfRule type="expression" dxfId="3632" priority="3680">
      <formula>E29&lt;0</formula>
    </cfRule>
  </conditionalFormatting>
  <conditionalFormatting sqref="F30">
    <cfRule type="colorScale" priority="3014">
      <colorScale>
        <cfvo type="min"/>
        <cfvo type="max"/>
        <color theme="0"/>
        <color theme="0"/>
      </colorScale>
    </cfRule>
    <cfRule type="expression" dxfId="3631" priority="3016">
      <formula>E30&lt;0</formula>
    </cfRule>
  </conditionalFormatting>
  <conditionalFormatting sqref="F31">
    <cfRule type="colorScale" priority="3674">
      <colorScale>
        <cfvo type="min"/>
        <cfvo type="max"/>
        <color theme="0"/>
        <color theme="0"/>
      </colorScale>
    </cfRule>
    <cfRule type="expression" dxfId="3630" priority="3676">
      <formula>E31&lt;0</formula>
    </cfRule>
  </conditionalFormatting>
  <conditionalFormatting sqref="F32">
    <cfRule type="colorScale" priority="3670">
      <colorScale>
        <cfvo type="min"/>
        <cfvo type="max"/>
        <color theme="0"/>
        <color theme="0"/>
      </colorScale>
    </cfRule>
    <cfRule type="expression" dxfId="3629" priority="3672">
      <formula>E32&lt;0</formula>
    </cfRule>
  </conditionalFormatting>
  <conditionalFormatting sqref="F40">
    <cfRule type="colorScale" priority="2990">
      <colorScale>
        <cfvo type="min"/>
        <cfvo type="max"/>
        <color theme="0"/>
        <color theme="0"/>
      </colorScale>
    </cfRule>
    <cfRule type="expression" priority="2991">
      <formula>#REF!</formula>
    </cfRule>
    <cfRule type="expression" dxfId="3628" priority="2992">
      <formula>E40&lt;0</formula>
    </cfRule>
  </conditionalFormatting>
  <conditionalFormatting sqref="F40:F107">
    <cfRule type="expression" dxfId="3627" priority="2578">
      <formula>IF(F40="Validar","Rojo","Verde")</formula>
    </cfRule>
  </conditionalFormatting>
  <conditionalFormatting sqref="F41:F68">
    <cfRule type="colorScale" priority="3666">
      <colorScale>
        <cfvo type="min"/>
        <cfvo type="max"/>
        <color theme="0"/>
        <color theme="0"/>
      </colorScale>
    </cfRule>
    <cfRule type="expression" priority="3667">
      <formula>$F$20</formula>
    </cfRule>
    <cfRule type="expression" dxfId="3626" priority="3668">
      <formula>E41&lt;0</formula>
    </cfRule>
  </conditionalFormatting>
  <conditionalFormatting sqref="F69">
    <cfRule type="colorScale" priority="2966">
      <colorScale>
        <cfvo type="min"/>
        <cfvo type="max"/>
        <color theme="0"/>
        <color theme="0"/>
      </colorScale>
    </cfRule>
    <cfRule type="expression" priority="2967">
      <formula>#REF!</formula>
    </cfRule>
    <cfRule type="expression" dxfId="3625" priority="2968">
      <formula>E69&lt;0</formula>
    </cfRule>
  </conditionalFormatting>
  <conditionalFormatting sqref="F70:F82">
    <cfRule type="colorScale" priority="3718">
      <colorScale>
        <cfvo type="min"/>
        <cfvo type="max"/>
        <color theme="0"/>
        <color theme="0"/>
      </colorScale>
    </cfRule>
    <cfRule type="expression" priority="3719">
      <formula>$F$20</formula>
    </cfRule>
    <cfRule type="expression" dxfId="3624" priority="3720">
      <formula>E70&lt;0</formula>
    </cfRule>
  </conditionalFormatting>
  <conditionalFormatting sqref="F83 F92 F103 F107">
    <cfRule type="expression" dxfId="3623" priority="3712">
      <formula>E83&lt;0</formula>
    </cfRule>
  </conditionalFormatting>
  <conditionalFormatting sqref="F84">
    <cfRule type="colorScale" priority="2579">
      <colorScale>
        <cfvo type="min"/>
        <cfvo type="max"/>
        <color theme="0"/>
        <color theme="0"/>
      </colorScale>
    </cfRule>
    <cfRule type="expression" priority="2580">
      <formula>#REF!</formula>
    </cfRule>
    <cfRule type="expression" dxfId="3622" priority="2581">
      <formula>E84&lt;0</formula>
    </cfRule>
  </conditionalFormatting>
  <conditionalFormatting sqref="F85:F91">
    <cfRule type="colorScale" priority="3726">
      <colorScale>
        <cfvo type="min"/>
        <cfvo type="max"/>
        <color theme="0"/>
        <color theme="0"/>
      </colorScale>
    </cfRule>
    <cfRule type="expression" priority="3727">
      <formula>$F$20</formula>
    </cfRule>
    <cfRule type="expression" dxfId="3621" priority="3728">
      <formula>E85&lt;0</formula>
    </cfRule>
  </conditionalFormatting>
  <conditionalFormatting sqref="F92 F83 F103 F107">
    <cfRule type="colorScale" priority="3710">
      <colorScale>
        <cfvo type="min"/>
        <cfvo type="max"/>
        <color theme="0"/>
        <color theme="0"/>
      </colorScale>
    </cfRule>
  </conditionalFormatting>
  <conditionalFormatting sqref="F93">
    <cfRule type="colorScale" priority="2942">
      <colorScale>
        <cfvo type="min"/>
        <cfvo type="max"/>
        <color theme="0"/>
        <color theme="0"/>
      </colorScale>
    </cfRule>
    <cfRule type="expression" priority="2943">
      <formula>#REF!</formula>
    </cfRule>
    <cfRule type="expression" dxfId="3620" priority="2944">
      <formula>E93&lt;0</formula>
    </cfRule>
  </conditionalFormatting>
  <conditionalFormatting sqref="F94:F102">
    <cfRule type="colorScale" priority="3730">
      <colorScale>
        <cfvo type="min"/>
        <cfvo type="max"/>
        <color theme="0"/>
        <color theme="0"/>
      </colorScale>
    </cfRule>
    <cfRule type="expression" priority="3731">
      <formula>$F$20</formula>
    </cfRule>
    <cfRule type="expression" dxfId="3619" priority="3732">
      <formula>E94&lt;0</formula>
    </cfRule>
  </conditionalFormatting>
  <conditionalFormatting sqref="F104">
    <cfRule type="colorScale" priority="2918">
      <colorScale>
        <cfvo type="min"/>
        <cfvo type="max"/>
        <color theme="0"/>
        <color theme="0"/>
      </colorScale>
    </cfRule>
    <cfRule type="expression" priority="2919">
      <formula>#REF!</formula>
    </cfRule>
    <cfRule type="expression" dxfId="3618" priority="2920">
      <formula>E104&lt;0</formula>
    </cfRule>
  </conditionalFormatting>
  <conditionalFormatting sqref="F105:F106">
    <cfRule type="colorScale" priority="3734">
      <colorScale>
        <cfvo type="min"/>
        <cfvo type="max"/>
        <color theme="0"/>
        <color theme="0"/>
      </colorScale>
    </cfRule>
    <cfRule type="expression" priority="3735">
      <formula>$F$20</formula>
    </cfRule>
    <cfRule type="expression" dxfId="3617" priority="3736">
      <formula>E105&lt;0</formula>
    </cfRule>
  </conditionalFormatting>
  <conditionalFormatting sqref="F110">
    <cfRule type="colorScale" priority="3738">
      <colorScale>
        <cfvo type="min"/>
        <cfvo type="max"/>
        <color theme="0"/>
        <color theme="0"/>
      </colorScale>
    </cfRule>
    <cfRule type="expression" dxfId="3616" priority="3740">
      <formula>E110&lt;0</formula>
    </cfRule>
  </conditionalFormatting>
  <conditionalFormatting sqref="F110:F111">
    <cfRule type="expression" priority="2530">
      <formula>$F$20</formula>
    </cfRule>
  </conditionalFormatting>
  <conditionalFormatting sqref="F111">
    <cfRule type="colorScale" priority="2529">
      <colorScale>
        <cfvo type="min"/>
        <cfvo type="max"/>
        <color theme="0"/>
        <color theme="0"/>
      </colorScale>
    </cfRule>
    <cfRule type="expression" dxfId="3615" priority="2531">
      <formula>E111&lt;0</formula>
    </cfRule>
  </conditionalFormatting>
  <conditionalFormatting sqref="F117:F123">
    <cfRule type="colorScale" priority="3878">
      <colorScale>
        <cfvo type="min"/>
        <cfvo type="max"/>
        <color theme="0"/>
        <color theme="0"/>
      </colorScale>
    </cfRule>
    <cfRule type="expression" priority="3879">
      <formula>$F$20</formula>
    </cfRule>
    <cfRule type="expression" dxfId="3614" priority="3880">
      <formula>E117&lt;0</formula>
    </cfRule>
  </conditionalFormatting>
  <conditionalFormatting sqref="F125">
    <cfRule type="colorScale" priority="2894">
      <colorScale>
        <cfvo type="min"/>
        <cfvo type="max"/>
        <color theme="0"/>
        <color theme="0"/>
      </colorScale>
    </cfRule>
    <cfRule type="expression" priority="2895">
      <formula>#REF!</formula>
    </cfRule>
    <cfRule type="expression" dxfId="3613" priority="2896">
      <formula>E125&lt;0</formula>
    </cfRule>
  </conditionalFormatting>
  <conditionalFormatting sqref="F125:F135">
    <cfRule type="expression" dxfId="3612" priority="2893">
      <formula>IF(F125="Validar","Rojo","Verde")</formula>
    </cfRule>
  </conditionalFormatting>
  <conditionalFormatting sqref="F126:F132">
    <cfRule type="colorScale" priority="3882">
      <colorScale>
        <cfvo type="min"/>
        <cfvo type="max"/>
        <color theme="0"/>
        <color theme="0"/>
      </colorScale>
    </cfRule>
    <cfRule type="expression" dxfId="3611" priority="3884">
      <formula>E126&lt;0</formula>
    </cfRule>
  </conditionalFormatting>
  <conditionalFormatting sqref="F126:F134">
    <cfRule type="expression" priority="3883">
      <formula>$F$20</formula>
    </cfRule>
  </conditionalFormatting>
  <conditionalFormatting sqref="F133:F134">
    <cfRule type="colorScale" priority="3886">
      <colorScale>
        <cfvo type="min"/>
        <cfvo type="max"/>
        <color theme="0"/>
        <color theme="0"/>
      </colorScale>
    </cfRule>
    <cfRule type="expression" dxfId="3610" priority="3888">
      <formula>E133&lt;0</formula>
    </cfRule>
  </conditionalFormatting>
  <conditionalFormatting sqref="F135">
    <cfRule type="colorScale" priority="3870">
      <colorScale>
        <cfvo type="min"/>
        <cfvo type="max"/>
        <color theme="0"/>
        <color theme="0"/>
      </colorScale>
    </cfRule>
    <cfRule type="expression" priority="3871">
      <formula>$F$24</formula>
    </cfRule>
    <cfRule type="expression" dxfId="3609" priority="3872">
      <formula>E135&lt;0</formula>
    </cfRule>
  </conditionalFormatting>
  <conditionalFormatting sqref="F83:G83 F92:G92 F103:G103 F107:G107">
    <cfRule type="expression" priority="3711">
      <formula>$F$24</formula>
    </cfRule>
  </conditionalFormatting>
  <conditionalFormatting sqref="F110:G111">
    <cfRule type="expression" dxfId="3608" priority="2524">
      <formula>IF(F110="Validar","Rojo","Verde")</formula>
    </cfRule>
  </conditionalFormatting>
  <conditionalFormatting sqref="F117:G123">
    <cfRule type="expression" dxfId="3607" priority="3613">
      <formula>IF(F117="Validar","Rojo","Verde")</formula>
    </cfRule>
  </conditionalFormatting>
  <conditionalFormatting sqref="G41:G67">
    <cfRule type="colorScale" priority="3662">
      <colorScale>
        <cfvo type="min"/>
        <cfvo type="max"/>
        <color theme="0"/>
        <color theme="0"/>
      </colorScale>
    </cfRule>
    <cfRule type="expression" priority="3663">
      <formula>#REF!</formula>
    </cfRule>
    <cfRule type="expression" dxfId="3606" priority="3664">
      <formula>F41&lt;0</formula>
    </cfRule>
  </conditionalFormatting>
  <conditionalFormatting sqref="G41:G68">
    <cfRule type="expression" dxfId="3605" priority="3661">
      <formula>IF(G41="Validar","Rojo","Verde")</formula>
    </cfRule>
  </conditionalFormatting>
  <conditionalFormatting sqref="G68 G83 G92 G103 G107">
    <cfRule type="expression" dxfId="3604" priority="3716">
      <formula>F68&lt;0</formula>
    </cfRule>
  </conditionalFormatting>
  <conditionalFormatting sqref="G68">
    <cfRule type="expression" priority="3715">
      <formula>$F$24</formula>
    </cfRule>
  </conditionalFormatting>
  <conditionalFormatting sqref="G70">
    <cfRule type="colorScale" priority="3658">
      <colorScale>
        <cfvo type="min"/>
        <cfvo type="max"/>
        <color theme="0"/>
        <color theme="0"/>
      </colorScale>
    </cfRule>
    <cfRule type="expression" dxfId="3603" priority="3660">
      <formula>F70&lt;0</formula>
    </cfRule>
  </conditionalFormatting>
  <conditionalFormatting sqref="G70:G82">
    <cfRule type="expression" priority="3655">
      <formula>#REF!</formula>
    </cfRule>
  </conditionalFormatting>
  <conditionalFormatting sqref="G70:G83">
    <cfRule type="expression" dxfId="3602" priority="3653">
      <formula>IF(G70="Validar","Rojo","Verde")</formula>
    </cfRule>
  </conditionalFormatting>
  <conditionalFormatting sqref="G71:G79">
    <cfRule type="colorScale" priority="3654">
      <colorScale>
        <cfvo type="min"/>
        <cfvo type="max"/>
        <color theme="0"/>
        <color theme="0"/>
      </colorScale>
    </cfRule>
    <cfRule type="expression" dxfId="3601" priority="3656">
      <formula>F71&lt;0</formula>
    </cfRule>
  </conditionalFormatting>
  <conditionalFormatting sqref="G80:G82">
    <cfRule type="colorScale" priority="3722">
      <colorScale>
        <cfvo type="min"/>
        <cfvo type="max"/>
        <color theme="0"/>
        <color theme="0"/>
      </colorScale>
    </cfRule>
    <cfRule type="expression" dxfId="3600" priority="3724">
      <formula>F80&lt;0</formula>
    </cfRule>
  </conditionalFormatting>
  <conditionalFormatting sqref="G83 G68 G92 G103 G107">
    <cfRule type="colorScale" priority="3714">
      <colorScale>
        <cfvo type="min"/>
        <cfvo type="max"/>
        <color theme="0"/>
        <color theme="0"/>
      </colorScale>
    </cfRule>
  </conditionalFormatting>
  <conditionalFormatting sqref="G85">
    <cfRule type="colorScale" priority="3650">
      <colorScale>
        <cfvo type="min"/>
        <cfvo type="max"/>
        <color theme="0"/>
        <color theme="0"/>
      </colorScale>
    </cfRule>
    <cfRule type="expression" dxfId="3599" priority="3652">
      <formula>F85&lt;0</formula>
    </cfRule>
  </conditionalFormatting>
  <conditionalFormatting sqref="G85:G91">
    <cfRule type="expression" priority="3647">
      <formula>#REF!</formula>
    </cfRule>
  </conditionalFormatting>
  <conditionalFormatting sqref="G85:G92">
    <cfRule type="expression" dxfId="3598" priority="3645">
      <formula>IF(G85="Validar","Rojo","Verde")</formula>
    </cfRule>
  </conditionalFormatting>
  <conditionalFormatting sqref="G86:G91">
    <cfRule type="colorScale" priority="3646">
      <colorScale>
        <cfvo type="min"/>
        <cfvo type="max"/>
        <color theme="0"/>
        <color theme="0"/>
      </colorScale>
    </cfRule>
    <cfRule type="expression" dxfId="3597" priority="3648">
      <formula>F86&lt;0</formula>
    </cfRule>
  </conditionalFormatting>
  <conditionalFormatting sqref="G94">
    <cfRule type="colorScale" priority="3642">
      <colorScale>
        <cfvo type="min"/>
        <cfvo type="max"/>
        <color theme="0"/>
        <color theme="0"/>
      </colorScale>
    </cfRule>
    <cfRule type="expression" dxfId="3596" priority="3644">
      <formula>F94&lt;0</formula>
    </cfRule>
  </conditionalFormatting>
  <conditionalFormatting sqref="G94:G102">
    <cfRule type="expression" priority="3631">
      <formula>#REF!</formula>
    </cfRule>
  </conditionalFormatting>
  <conditionalFormatting sqref="G94:G103">
    <cfRule type="expression" dxfId="3595" priority="3629">
      <formula>IF(G94="Validar","Rojo","Verde")</formula>
    </cfRule>
  </conditionalFormatting>
  <conditionalFormatting sqref="G95:G100">
    <cfRule type="colorScale" priority="3638">
      <colorScale>
        <cfvo type="min"/>
        <cfvo type="max"/>
        <color theme="0"/>
        <color theme="0"/>
      </colorScale>
    </cfRule>
    <cfRule type="expression" dxfId="3594" priority="3640">
      <formula>F95&lt;0</formula>
    </cfRule>
  </conditionalFormatting>
  <conditionalFormatting sqref="G101">
    <cfRule type="colorScale" priority="3634">
      <colorScale>
        <cfvo type="min"/>
        <cfvo type="max"/>
        <color theme="0"/>
        <color theme="0"/>
      </colorScale>
    </cfRule>
    <cfRule type="expression" dxfId="3593" priority="3636">
      <formula>F101&lt;0</formula>
    </cfRule>
  </conditionalFormatting>
  <conditionalFormatting sqref="G102">
    <cfRule type="colorScale" priority="3630">
      <colorScale>
        <cfvo type="min"/>
        <cfvo type="max"/>
        <color theme="0"/>
        <color theme="0"/>
      </colorScale>
    </cfRule>
    <cfRule type="expression" dxfId="3592" priority="3632">
      <formula>F102&lt;0</formula>
    </cfRule>
  </conditionalFormatting>
  <conditionalFormatting sqref="G105">
    <cfRule type="colorScale" priority="3626">
      <colorScale>
        <cfvo type="min"/>
        <cfvo type="max"/>
        <color theme="0"/>
        <color theme="0"/>
      </colorScale>
    </cfRule>
    <cfRule type="expression" dxfId="3591" priority="3628">
      <formula>F105&lt;0</formula>
    </cfRule>
  </conditionalFormatting>
  <conditionalFormatting sqref="G105:G106">
    <cfRule type="expression" priority="3623">
      <formula>#REF!</formula>
    </cfRule>
  </conditionalFormatting>
  <conditionalFormatting sqref="G105:G107">
    <cfRule type="expression" dxfId="3590" priority="3621">
      <formula>IF(G105="Validar","Rojo","Verde")</formula>
    </cfRule>
  </conditionalFormatting>
  <conditionalFormatting sqref="G106">
    <cfRule type="colorScale" priority="3622">
      <colorScale>
        <cfvo type="min"/>
        <cfvo type="max"/>
        <color theme="0"/>
        <color theme="0"/>
      </colorScale>
    </cfRule>
    <cfRule type="expression" dxfId="3589" priority="3624">
      <formula>F106&lt;0</formula>
    </cfRule>
  </conditionalFormatting>
  <conditionalFormatting sqref="G110">
    <cfRule type="colorScale" priority="3610">
      <colorScale>
        <cfvo type="min"/>
        <cfvo type="max"/>
        <color theme="0"/>
        <color theme="0"/>
      </colorScale>
    </cfRule>
    <cfRule type="expression" priority="3611">
      <formula>#REF!</formula>
    </cfRule>
    <cfRule type="expression" dxfId="3588" priority="3612">
      <formula>F110&lt;0</formula>
    </cfRule>
  </conditionalFormatting>
  <conditionalFormatting sqref="G111">
    <cfRule type="colorScale" priority="2525">
      <colorScale>
        <cfvo type="min"/>
        <cfvo type="max"/>
        <color theme="0"/>
        <color theme="0"/>
      </colorScale>
    </cfRule>
    <cfRule type="expression" priority="2526">
      <formula>$F$20</formula>
    </cfRule>
    <cfRule type="expression" dxfId="3587" priority="2527">
      <formula>F111&lt;0</formula>
    </cfRule>
  </conditionalFormatting>
  <conditionalFormatting sqref="G117">
    <cfRule type="colorScale" priority="3618">
      <colorScale>
        <cfvo type="min"/>
        <cfvo type="max"/>
        <color theme="0"/>
        <color theme="0"/>
      </colorScale>
    </cfRule>
    <cfRule type="expression" dxfId="3586" priority="3620">
      <formula>F117&lt;0</formula>
    </cfRule>
  </conditionalFormatting>
  <conditionalFormatting sqref="G117:G123">
    <cfRule type="expression" priority="3615">
      <formula>#REF!</formula>
    </cfRule>
  </conditionalFormatting>
  <conditionalFormatting sqref="G118:G123">
    <cfRule type="colorScale" priority="3614">
      <colorScale>
        <cfvo type="min"/>
        <cfvo type="max"/>
        <color theme="0"/>
        <color theme="0"/>
      </colorScale>
    </cfRule>
    <cfRule type="expression" dxfId="3585" priority="3616">
      <formula>F118&lt;0</formula>
    </cfRule>
  </conditionalFormatting>
  <conditionalFormatting sqref="G126:G135">
    <cfRule type="expression" dxfId="3584" priority="3873">
      <formula>IF(G126="Validar","Rojo","Verde")</formula>
    </cfRule>
    <cfRule type="colorScale" priority="3874">
      <colorScale>
        <cfvo type="min"/>
        <cfvo type="max"/>
        <color theme="0"/>
        <color theme="0"/>
      </colorScale>
    </cfRule>
    <cfRule type="expression" priority="3875">
      <formula>$F$24</formula>
    </cfRule>
    <cfRule type="expression" dxfId="3583" priority="3876">
      <formula>F126&lt;0</formula>
    </cfRule>
  </conditionalFormatting>
  <conditionalFormatting sqref="I6:I10">
    <cfRule type="colorScale" priority="3606">
      <colorScale>
        <cfvo type="min"/>
        <cfvo type="max"/>
        <color theme="0"/>
        <color theme="0"/>
      </colorScale>
    </cfRule>
    <cfRule type="expression" dxfId="3582" priority="3608">
      <formula>H6&lt;0</formula>
    </cfRule>
  </conditionalFormatting>
  <conditionalFormatting sqref="I6:I21">
    <cfRule type="expression" dxfId="3581" priority="3081">
      <formula>IF(I6="Validar","Rojo","Verde")</formula>
    </cfRule>
    <cfRule type="expression" priority="3083">
      <formula>#REF!</formula>
    </cfRule>
  </conditionalFormatting>
  <conditionalFormatting sqref="I11">
    <cfRule type="colorScale" priority="3130">
      <colorScale>
        <cfvo type="min"/>
        <cfvo type="max"/>
        <color theme="0"/>
        <color theme="0"/>
      </colorScale>
    </cfRule>
    <cfRule type="expression" dxfId="3580" priority="3132">
      <formula>H11&lt;0</formula>
    </cfRule>
  </conditionalFormatting>
  <conditionalFormatting sqref="I12:I15">
    <cfRule type="colorScale" priority="3602">
      <colorScale>
        <cfvo type="min"/>
        <cfvo type="max"/>
        <color theme="0"/>
        <color theme="0"/>
      </colorScale>
    </cfRule>
    <cfRule type="expression" dxfId="3579" priority="3604">
      <formula>H12&lt;0</formula>
    </cfRule>
  </conditionalFormatting>
  <conditionalFormatting sqref="I16">
    <cfRule type="colorScale" priority="3106">
      <colorScale>
        <cfvo type="min"/>
        <cfvo type="max"/>
        <color theme="0"/>
        <color theme="0"/>
      </colorScale>
    </cfRule>
    <cfRule type="expression" dxfId="3578" priority="3108">
      <formula>H16&lt;0</formula>
    </cfRule>
  </conditionalFormatting>
  <conditionalFormatting sqref="I17:I18">
    <cfRule type="colorScale" priority="3598">
      <colorScale>
        <cfvo type="min"/>
        <cfvo type="max"/>
        <color theme="0"/>
        <color theme="0"/>
      </colorScale>
    </cfRule>
    <cfRule type="expression" dxfId="3577" priority="3600">
      <formula>H17&lt;0</formula>
    </cfRule>
  </conditionalFormatting>
  <conditionalFormatting sqref="I19">
    <cfRule type="colorScale" priority="3082">
      <colorScale>
        <cfvo type="min"/>
        <cfvo type="max"/>
        <color theme="0"/>
        <color theme="0"/>
      </colorScale>
    </cfRule>
    <cfRule type="expression" dxfId="3576" priority="3084">
      <formula>H19&lt;0</formula>
    </cfRule>
  </conditionalFormatting>
  <conditionalFormatting sqref="I20:I21">
    <cfRule type="colorScale" priority="3594">
      <colorScale>
        <cfvo type="min"/>
        <cfvo type="max"/>
        <color theme="0"/>
        <color theme="0"/>
      </colorScale>
    </cfRule>
    <cfRule type="expression" dxfId="3575" priority="3596">
      <formula>H20&lt;0</formula>
    </cfRule>
  </conditionalFormatting>
  <conditionalFormatting sqref="I24">
    <cfRule type="colorScale" priority="3058">
      <colorScale>
        <cfvo type="min"/>
        <cfvo type="max"/>
        <color theme="0"/>
        <color theme="0"/>
      </colorScale>
    </cfRule>
    <cfRule type="expression" dxfId="3574" priority="3060">
      <formula>H24&lt;0</formula>
    </cfRule>
  </conditionalFormatting>
  <conditionalFormatting sqref="I24:I32">
    <cfRule type="expression" dxfId="3573" priority="3009">
      <formula>IF(I24="Validar","Rojo","Verde")</formula>
    </cfRule>
    <cfRule type="expression" priority="3011">
      <formula>#REF!</formula>
    </cfRule>
  </conditionalFormatting>
  <conditionalFormatting sqref="I25">
    <cfRule type="colorScale" priority="3590">
      <colorScale>
        <cfvo type="min"/>
        <cfvo type="max"/>
        <color theme="0"/>
        <color theme="0"/>
      </colorScale>
    </cfRule>
    <cfRule type="expression" dxfId="3572" priority="3592">
      <formula>H25&lt;0</formula>
    </cfRule>
  </conditionalFormatting>
  <conditionalFormatting sqref="I26">
    <cfRule type="colorScale" priority="3586">
      <colorScale>
        <cfvo type="min"/>
        <cfvo type="max"/>
        <color theme="0"/>
        <color theme="0"/>
      </colorScale>
    </cfRule>
    <cfRule type="expression" dxfId="3571" priority="3588">
      <formula>H26&lt;0</formula>
    </cfRule>
  </conditionalFormatting>
  <conditionalFormatting sqref="I27">
    <cfRule type="colorScale" priority="3034">
      <colorScale>
        <cfvo type="min"/>
        <cfvo type="max"/>
        <color theme="0"/>
        <color theme="0"/>
      </colorScale>
    </cfRule>
    <cfRule type="expression" dxfId="3570" priority="3036">
      <formula>H27&lt;0</formula>
    </cfRule>
  </conditionalFormatting>
  <conditionalFormatting sqref="I28">
    <cfRule type="colorScale" priority="3582">
      <colorScale>
        <cfvo type="min"/>
        <cfvo type="max"/>
        <color theme="0"/>
        <color theme="0"/>
      </colorScale>
    </cfRule>
    <cfRule type="expression" dxfId="3569" priority="3584">
      <formula>H28&lt;0</formula>
    </cfRule>
  </conditionalFormatting>
  <conditionalFormatting sqref="I29">
    <cfRule type="colorScale" priority="3578">
      <colorScale>
        <cfvo type="min"/>
        <cfvo type="max"/>
        <color theme="0"/>
        <color theme="0"/>
      </colorScale>
    </cfRule>
    <cfRule type="expression" dxfId="3568" priority="3580">
      <formula>H29&lt;0</formula>
    </cfRule>
  </conditionalFormatting>
  <conditionalFormatting sqref="I30">
    <cfRule type="colorScale" priority="3010">
      <colorScale>
        <cfvo type="min"/>
        <cfvo type="max"/>
        <color theme="0"/>
        <color theme="0"/>
      </colorScale>
    </cfRule>
    <cfRule type="expression" dxfId="3567" priority="3012">
      <formula>H30&lt;0</formula>
    </cfRule>
  </conditionalFormatting>
  <conditionalFormatting sqref="I31">
    <cfRule type="colorScale" priority="3574">
      <colorScale>
        <cfvo type="min"/>
        <cfvo type="max"/>
        <color theme="0"/>
        <color theme="0"/>
      </colorScale>
    </cfRule>
    <cfRule type="expression" dxfId="3566" priority="3576">
      <formula>H31&lt;0</formula>
    </cfRule>
  </conditionalFormatting>
  <conditionalFormatting sqref="I32">
    <cfRule type="colorScale" priority="3570">
      <colorScale>
        <cfvo type="min"/>
        <cfvo type="max"/>
        <color theme="0"/>
        <color theme="0"/>
      </colorScale>
    </cfRule>
    <cfRule type="expression" dxfId="3565" priority="3572">
      <formula>H32&lt;0</formula>
    </cfRule>
  </conditionalFormatting>
  <conditionalFormatting sqref="I40">
    <cfRule type="colorScale" priority="2986">
      <colorScale>
        <cfvo type="min"/>
        <cfvo type="max"/>
        <color theme="0"/>
        <color theme="0"/>
      </colorScale>
    </cfRule>
    <cfRule type="expression" priority="2987">
      <formula>#REF!</formula>
    </cfRule>
    <cfRule type="expression" dxfId="3564" priority="2988">
      <formula>H40&lt;0</formula>
    </cfRule>
  </conditionalFormatting>
  <conditionalFormatting sqref="I40:I107">
    <cfRule type="expression" dxfId="3563" priority="2574">
      <formula>IF(I40="Validar","Rojo","Verde")</formula>
    </cfRule>
  </conditionalFormatting>
  <conditionalFormatting sqref="I41:I68">
    <cfRule type="colorScale" priority="3566">
      <colorScale>
        <cfvo type="min"/>
        <cfvo type="max"/>
        <color theme="0"/>
        <color theme="0"/>
      </colorScale>
    </cfRule>
    <cfRule type="expression" priority="3567">
      <formula>$F$20</formula>
    </cfRule>
    <cfRule type="expression" dxfId="3562" priority="3568">
      <formula>H41&lt;0</formula>
    </cfRule>
  </conditionalFormatting>
  <conditionalFormatting sqref="I69">
    <cfRule type="colorScale" priority="2962">
      <colorScale>
        <cfvo type="min"/>
        <cfvo type="max"/>
        <color theme="0"/>
        <color theme="0"/>
      </colorScale>
    </cfRule>
    <cfRule type="expression" priority="2963">
      <formula>#REF!</formula>
    </cfRule>
    <cfRule type="expression" dxfId="3561" priority="2964">
      <formula>H69&lt;0</formula>
    </cfRule>
  </conditionalFormatting>
  <conditionalFormatting sqref="I70:I82">
    <cfRule type="colorScale" priority="3750">
      <colorScale>
        <cfvo type="min"/>
        <cfvo type="max"/>
        <color theme="0"/>
        <color theme="0"/>
      </colorScale>
    </cfRule>
    <cfRule type="expression" priority="3751">
      <formula>$F$20</formula>
    </cfRule>
    <cfRule type="expression" dxfId="3560" priority="3752">
      <formula>H70&lt;0</formula>
    </cfRule>
  </conditionalFormatting>
  <conditionalFormatting sqref="I92 I83 I103 I107">
    <cfRule type="colorScale" priority="3742">
      <colorScale>
        <cfvo type="min"/>
        <cfvo type="max"/>
        <color theme="0"/>
        <color theme="0"/>
      </colorScale>
    </cfRule>
    <cfRule type="expression" dxfId="3559" priority="3744">
      <formula>H83&lt;0</formula>
    </cfRule>
  </conditionalFormatting>
  <conditionalFormatting sqref="I84">
    <cfRule type="colorScale" priority="2575">
      <colorScale>
        <cfvo type="min"/>
        <cfvo type="max"/>
        <color theme="0"/>
        <color theme="0"/>
      </colorScale>
    </cfRule>
    <cfRule type="expression" priority="2576">
      <formula>#REF!</formula>
    </cfRule>
    <cfRule type="expression" dxfId="3558" priority="2577">
      <formula>H84&lt;0</formula>
    </cfRule>
  </conditionalFormatting>
  <conditionalFormatting sqref="I85:I91">
    <cfRule type="colorScale" priority="3758">
      <colorScale>
        <cfvo type="min"/>
        <cfvo type="max"/>
        <color theme="0"/>
        <color theme="0"/>
      </colorScale>
    </cfRule>
    <cfRule type="expression" priority="3759">
      <formula>$F$20</formula>
    </cfRule>
    <cfRule type="expression" dxfId="3557" priority="3760">
      <formula>H85&lt;0</formula>
    </cfRule>
  </conditionalFormatting>
  <conditionalFormatting sqref="I93">
    <cfRule type="colorScale" priority="2938">
      <colorScale>
        <cfvo type="min"/>
        <cfvo type="max"/>
        <color theme="0"/>
        <color theme="0"/>
      </colorScale>
    </cfRule>
    <cfRule type="expression" priority="2939">
      <formula>#REF!</formula>
    </cfRule>
    <cfRule type="expression" dxfId="3556" priority="2940">
      <formula>H93&lt;0</formula>
    </cfRule>
  </conditionalFormatting>
  <conditionalFormatting sqref="I94:I102">
    <cfRule type="colorScale" priority="3762">
      <colorScale>
        <cfvo type="min"/>
        <cfvo type="max"/>
        <color theme="0"/>
        <color theme="0"/>
      </colorScale>
    </cfRule>
    <cfRule type="expression" priority="3763">
      <formula>$F$20</formula>
    </cfRule>
    <cfRule type="expression" dxfId="3555" priority="3764">
      <formula>H94&lt;0</formula>
    </cfRule>
  </conditionalFormatting>
  <conditionalFormatting sqref="I104">
    <cfRule type="colorScale" priority="2914">
      <colorScale>
        <cfvo type="min"/>
        <cfvo type="max"/>
        <color theme="0"/>
        <color theme="0"/>
      </colorScale>
    </cfRule>
    <cfRule type="expression" priority="2915">
      <formula>#REF!</formula>
    </cfRule>
    <cfRule type="expression" dxfId="3554" priority="2916">
      <formula>H104&lt;0</formula>
    </cfRule>
  </conditionalFormatting>
  <conditionalFormatting sqref="I105:I106">
    <cfRule type="colorScale" priority="3766">
      <colorScale>
        <cfvo type="min"/>
        <cfvo type="max"/>
        <color theme="0"/>
        <color theme="0"/>
      </colorScale>
    </cfRule>
    <cfRule type="expression" priority="3767">
      <formula>$F$20</formula>
    </cfRule>
    <cfRule type="expression" dxfId="3553" priority="3768">
      <formula>H105&lt;0</formula>
    </cfRule>
  </conditionalFormatting>
  <conditionalFormatting sqref="I110">
    <cfRule type="colorScale" priority="3770">
      <colorScale>
        <cfvo type="min"/>
        <cfvo type="max"/>
        <color theme="0"/>
        <color theme="0"/>
      </colorScale>
    </cfRule>
    <cfRule type="expression" dxfId="3552" priority="3772">
      <formula>H110&lt;0</formula>
    </cfRule>
  </conditionalFormatting>
  <conditionalFormatting sqref="I110:I111">
    <cfRule type="expression" priority="2522">
      <formula>$F$20</formula>
    </cfRule>
  </conditionalFormatting>
  <conditionalFormatting sqref="I111">
    <cfRule type="colorScale" priority="2521">
      <colorScale>
        <cfvo type="min"/>
        <cfvo type="max"/>
        <color theme="0"/>
        <color theme="0"/>
      </colorScale>
    </cfRule>
    <cfRule type="expression" dxfId="3551" priority="2523">
      <formula>H111&lt;0</formula>
    </cfRule>
  </conditionalFormatting>
  <conditionalFormatting sqref="I117:I123">
    <cfRule type="colorScale" priority="3898">
      <colorScale>
        <cfvo type="min"/>
        <cfvo type="max"/>
        <color theme="0"/>
        <color theme="0"/>
      </colorScale>
    </cfRule>
    <cfRule type="expression" priority="3899">
      <formula>$F$20</formula>
    </cfRule>
    <cfRule type="expression" dxfId="3550" priority="3900">
      <formula>H117&lt;0</formula>
    </cfRule>
  </conditionalFormatting>
  <conditionalFormatting sqref="I125">
    <cfRule type="colorScale" priority="2890">
      <colorScale>
        <cfvo type="min"/>
        <cfvo type="max"/>
        <color theme="0"/>
        <color theme="0"/>
      </colorScale>
    </cfRule>
    <cfRule type="expression" priority="2891">
      <formula>#REF!</formula>
    </cfRule>
    <cfRule type="expression" dxfId="3549" priority="2892">
      <formula>H125&lt;0</formula>
    </cfRule>
  </conditionalFormatting>
  <conditionalFormatting sqref="I125:I135">
    <cfRule type="expression" dxfId="3548" priority="2889">
      <formula>IF(I125="Validar","Rojo","Verde")</formula>
    </cfRule>
  </conditionalFormatting>
  <conditionalFormatting sqref="I126:I132">
    <cfRule type="colorScale" priority="3902">
      <colorScale>
        <cfvo type="min"/>
        <cfvo type="max"/>
        <color theme="0"/>
        <color theme="0"/>
      </colorScale>
    </cfRule>
    <cfRule type="expression" dxfId="3547" priority="3904">
      <formula>H126&lt;0</formula>
    </cfRule>
  </conditionalFormatting>
  <conditionalFormatting sqref="I126:I134">
    <cfRule type="expression" priority="3903">
      <formula>$F$20</formula>
    </cfRule>
  </conditionalFormatting>
  <conditionalFormatting sqref="I133:I134">
    <cfRule type="colorScale" priority="3906">
      <colorScale>
        <cfvo type="min"/>
        <cfvo type="max"/>
        <color theme="0"/>
        <color theme="0"/>
      </colorScale>
    </cfRule>
    <cfRule type="expression" dxfId="3546" priority="3908">
      <formula>H133&lt;0</formula>
    </cfRule>
  </conditionalFormatting>
  <conditionalFormatting sqref="I135">
    <cfRule type="colorScale" priority="3890">
      <colorScale>
        <cfvo type="min"/>
        <cfvo type="max"/>
        <color theme="0"/>
        <color theme="0"/>
      </colorScale>
    </cfRule>
    <cfRule type="expression" priority="3891">
      <formula>$F$24</formula>
    </cfRule>
    <cfRule type="expression" dxfId="3545" priority="3892">
      <formula>H135&lt;0</formula>
    </cfRule>
  </conditionalFormatting>
  <conditionalFormatting sqref="I83:J83 I92:J92 I103:J103 I107:J107">
    <cfRule type="expression" priority="3743">
      <formula>$F$24</formula>
    </cfRule>
  </conditionalFormatting>
  <conditionalFormatting sqref="I110:J111">
    <cfRule type="expression" dxfId="3544" priority="2516">
      <formula>IF(I110="Validar","Rojo","Verde")</formula>
    </cfRule>
  </conditionalFormatting>
  <conditionalFormatting sqref="I117:J123">
    <cfRule type="expression" dxfId="3543" priority="3513">
      <formula>IF(I117="Validar","Rojo","Verde")</formula>
    </cfRule>
  </conditionalFormatting>
  <conditionalFormatting sqref="J41:J67">
    <cfRule type="colorScale" priority="3562">
      <colorScale>
        <cfvo type="min"/>
        <cfvo type="max"/>
        <color theme="0"/>
        <color theme="0"/>
      </colorScale>
    </cfRule>
    <cfRule type="expression" priority="3563">
      <formula>#REF!</formula>
    </cfRule>
    <cfRule type="expression" dxfId="3542" priority="3564">
      <formula>I41&lt;0</formula>
    </cfRule>
  </conditionalFormatting>
  <conditionalFormatting sqref="J41:J68">
    <cfRule type="expression" dxfId="3541" priority="3561">
      <formula>IF(J41="Validar","Rojo","Verde")</formula>
    </cfRule>
  </conditionalFormatting>
  <conditionalFormatting sqref="J68 J83 J92 J103 J107">
    <cfRule type="expression" dxfId="3540" priority="3748">
      <formula>I68&lt;0</formula>
    </cfRule>
  </conditionalFormatting>
  <conditionalFormatting sqref="J68">
    <cfRule type="expression" priority="3747">
      <formula>$F$24</formula>
    </cfRule>
  </conditionalFormatting>
  <conditionalFormatting sqref="J70">
    <cfRule type="colorScale" priority="3558">
      <colorScale>
        <cfvo type="min"/>
        <cfvo type="max"/>
        <color theme="0"/>
        <color theme="0"/>
      </colorScale>
    </cfRule>
    <cfRule type="expression" dxfId="3539" priority="3560">
      <formula>I70&lt;0</formula>
    </cfRule>
  </conditionalFormatting>
  <conditionalFormatting sqref="J70:J82">
    <cfRule type="expression" priority="3555">
      <formula>#REF!</formula>
    </cfRule>
  </conditionalFormatting>
  <conditionalFormatting sqref="J70:J83">
    <cfRule type="expression" dxfId="3538" priority="3553">
      <formula>IF(J70="Validar","Rojo","Verde")</formula>
    </cfRule>
  </conditionalFormatting>
  <conditionalFormatting sqref="J71:J79">
    <cfRule type="colorScale" priority="3554">
      <colorScale>
        <cfvo type="min"/>
        <cfvo type="max"/>
        <color theme="0"/>
        <color theme="0"/>
      </colorScale>
    </cfRule>
    <cfRule type="expression" dxfId="3537" priority="3556">
      <formula>I71&lt;0</formula>
    </cfRule>
  </conditionalFormatting>
  <conditionalFormatting sqref="J80:J82">
    <cfRule type="colorScale" priority="3754">
      <colorScale>
        <cfvo type="min"/>
        <cfvo type="max"/>
        <color theme="0"/>
        <color theme="0"/>
      </colorScale>
    </cfRule>
    <cfRule type="expression" dxfId="3536" priority="3756">
      <formula>I80&lt;0</formula>
    </cfRule>
  </conditionalFormatting>
  <conditionalFormatting sqref="J83 J68 J92 J103 J107">
    <cfRule type="colorScale" priority="3746">
      <colorScale>
        <cfvo type="min"/>
        <cfvo type="max"/>
        <color theme="0"/>
        <color theme="0"/>
      </colorScale>
    </cfRule>
  </conditionalFormatting>
  <conditionalFormatting sqref="J85">
    <cfRule type="colorScale" priority="3550">
      <colorScale>
        <cfvo type="min"/>
        <cfvo type="max"/>
        <color theme="0"/>
        <color theme="0"/>
      </colorScale>
    </cfRule>
    <cfRule type="expression" dxfId="3535" priority="3552">
      <formula>I85&lt;0</formula>
    </cfRule>
  </conditionalFormatting>
  <conditionalFormatting sqref="J85:J91">
    <cfRule type="expression" priority="3547">
      <formula>#REF!</formula>
    </cfRule>
  </conditionalFormatting>
  <conditionalFormatting sqref="J85:J92">
    <cfRule type="expression" dxfId="3534" priority="3545">
      <formula>IF(J85="Validar","Rojo","Verde")</formula>
    </cfRule>
  </conditionalFormatting>
  <conditionalFormatting sqref="J86:J91">
    <cfRule type="colorScale" priority="3546">
      <colorScale>
        <cfvo type="min"/>
        <cfvo type="max"/>
        <color theme="0"/>
        <color theme="0"/>
      </colorScale>
    </cfRule>
    <cfRule type="expression" dxfId="3533" priority="3548">
      <formula>I86&lt;0</formula>
    </cfRule>
  </conditionalFormatting>
  <conditionalFormatting sqref="J94">
    <cfRule type="colorScale" priority="3542">
      <colorScale>
        <cfvo type="min"/>
        <cfvo type="max"/>
        <color theme="0"/>
        <color theme="0"/>
      </colorScale>
    </cfRule>
    <cfRule type="expression" dxfId="3532" priority="3544">
      <formula>I94&lt;0</formula>
    </cfRule>
  </conditionalFormatting>
  <conditionalFormatting sqref="J94:J102">
    <cfRule type="expression" priority="3531">
      <formula>#REF!</formula>
    </cfRule>
  </conditionalFormatting>
  <conditionalFormatting sqref="J94:J103">
    <cfRule type="expression" dxfId="3531" priority="3529">
      <formula>IF(J94="Validar","Rojo","Verde")</formula>
    </cfRule>
  </conditionalFormatting>
  <conditionalFormatting sqref="J95:J100">
    <cfRule type="colorScale" priority="3538">
      <colorScale>
        <cfvo type="min"/>
        <cfvo type="max"/>
        <color theme="0"/>
        <color theme="0"/>
      </colorScale>
    </cfRule>
    <cfRule type="expression" dxfId="3530" priority="3540">
      <formula>I95&lt;0</formula>
    </cfRule>
  </conditionalFormatting>
  <conditionalFormatting sqref="J101">
    <cfRule type="colorScale" priority="3534">
      <colorScale>
        <cfvo type="min"/>
        <cfvo type="max"/>
        <color theme="0"/>
        <color theme="0"/>
      </colorScale>
    </cfRule>
    <cfRule type="expression" dxfId="3529" priority="3536">
      <formula>I101&lt;0</formula>
    </cfRule>
  </conditionalFormatting>
  <conditionalFormatting sqref="J102">
    <cfRule type="colorScale" priority="3530">
      <colorScale>
        <cfvo type="min"/>
        <cfvo type="max"/>
        <color theme="0"/>
        <color theme="0"/>
      </colorScale>
    </cfRule>
    <cfRule type="expression" dxfId="3528" priority="3532">
      <formula>I102&lt;0</formula>
    </cfRule>
  </conditionalFormatting>
  <conditionalFormatting sqref="J105">
    <cfRule type="colorScale" priority="3526">
      <colorScale>
        <cfvo type="min"/>
        <cfvo type="max"/>
        <color theme="0"/>
        <color theme="0"/>
      </colorScale>
    </cfRule>
    <cfRule type="expression" dxfId="3527" priority="3528">
      <formula>I105&lt;0</formula>
    </cfRule>
  </conditionalFormatting>
  <conditionalFormatting sqref="J105:J106">
    <cfRule type="expression" priority="3523">
      <formula>#REF!</formula>
    </cfRule>
  </conditionalFormatting>
  <conditionalFormatting sqref="J105:J107">
    <cfRule type="expression" dxfId="3526" priority="3521">
      <formula>IF(J105="Validar","Rojo","Verde")</formula>
    </cfRule>
  </conditionalFormatting>
  <conditionalFormatting sqref="J106">
    <cfRule type="colorScale" priority="3522">
      <colorScale>
        <cfvo type="min"/>
        <cfvo type="max"/>
        <color theme="0"/>
        <color theme="0"/>
      </colorScale>
    </cfRule>
    <cfRule type="expression" dxfId="3525" priority="3524">
      <formula>I106&lt;0</formula>
    </cfRule>
  </conditionalFormatting>
  <conditionalFormatting sqref="J110">
    <cfRule type="colorScale" priority="3510">
      <colorScale>
        <cfvo type="min"/>
        <cfvo type="max"/>
        <color theme="0"/>
        <color theme="0"/>
      </colorScale>
    </cfRule>
    <cfRule type="expression" priority="3511">
      <formula>#REF!</formula>
    </cfRule>
    <cfRule type="expression" dxfId="3524" priority="3512">
      <formula>I110&lt;0</formula>
    </cfRule>
  </conditionalFormatting>
  <conditionalFormatting sqref="J111">
    <cfRule type="colorScale" priority="2517">
      <colorScale>
        <cfvo type="min"/>
        <cfvo type="max"/>
        <color theme="0"/>
        <color theme="0"/>
      </colorScale>
    </cfRule>
    <cfRule type="expression" priority="2518">
      <formula>$F$20</formula>
    </cfRule>
    <cfRule type="expression" dxfId="3523" priority="2519">
      <formula>I111&lt;0</formula>
    </cfRule>
  </conditionalFormatting>
  <conditionalFormatting sqref="J117">
    <cfRule type="colorScale" priority="3518">
      <colorScale>
        <cfvo type="min"/>
        <cfvo type="max"/>
        <color theme="0"/>
        <color theme="0"/>
      </colorScale>
    </cfRule>
    <cfRule type="expression" dxfId="3522" priority="3520">
      <formula>I117&lt;0</formula>
    </cfRule>
  </conditionalFormatting>
  <conditionalFormatting sqref="J117:J123">
    <cfRule type="expression" priority="3515">
      <formula>#REF!</formula>
    </cfRule>
  </conditionalFormatting>
  <conditionalFormatting sqref="J118:J123">
    <cfRule type="colorScale" priority="3514">
      <colorScale>
        <cfvo type="min"/>
        <cfvo type="max"/>
        <color theme="0"/>
        <color theme="0"/>
      </colorScale>
    </cfRule>
    <cfRule type="expression" dxfId="3521" priority="3516">
      <formula>I118&lt;0</formula>
    </cfRule>
  </conditionalFormatting>
  <conditionalFormatting sqref="J126:J135">
    <cfRule type="expression" dxfId="3520" priority="3893">
      <formula>IF(J126="Validar","Rojo","Verde")</formula>
    </cfRule>
    <cfRule type="colorScale" priority="3894">
      <colorScale>
        <cfvo type="min"/>
        <cfvo type="max"/>
        <color theme="0"/>
        <color theme="0"/>
      </colorScale>
    </cfRule>
    <cfRule type="expression" priority="3895">
      <formula>$F$24</formula>
    </cfRule>
    <cfRule type="expression" dxfId="3519" priority="3896">
      <formula>I126&lt;0</formula>
    </cfRule>
  </conditionalFormatting>
  <conditionalFormatting sqref="K84">
    <cfRule type="expression" dxfId="3518" priority="2550">
      <formula>IF(K84="Validar","Rojo","Verde")</formula>
    </cfRule>
    <cfRule type="colorScale" priority="2551">
      <colorScale>
        <cfvo type="min"/>
        <cfvo type="max"/>
        <color theme="0"/>
        <color theme="0"/>
      </colorScale>
    </cfRule>
    <cfRule type="expression" priority="2552">
      <formula>#REF!</formula>
    </cfRule>
    <cfRule type="expression" dxfId="3517" priority="2553">
      <formula>J84&lt;0</formula>
    </cfRule>
  </conditionalFormatting>
  <conditionalFormatting sqref="K111">
    <cfRule type="expression" dxfId="3516" priority="2484">
      <formula>IF(K111="Validar","Rojo","Verde")</formula>
    </cfRule>
    <cfRule type="colorScale" priority="2485">
      <colorScale>
        <cfvo type="min"/>
        <cfvo type="max"/>
        <color theme="0"/>
        <color theme="0"/>
      </colorScale>
    </cfRule>
    <cfRule type="expression" priority="2486">
      <formula>#REF!</formula>
    </cfRule>
    <cfRule type="expression" dxfId="3515" priority="2487">
      <formula>J111&lt;0</formula>
    </cfRule>
  </conditionalFormatting>
  <conditionalFormatting sqref="K146">
    <cfRule type="expression" dxfId="3514" priority="2693">
      <formula>IF(K146="Validar","Rojo","Verde")</formula>
    </cfRule>
    <cfRule type="colorScale" priority="2694">
      <colorScale>
        <cfvo type="min"/>
        <cfvo type="max"/>
        <color theme="0"/>
        <color theme="0"/>
      </colorScale>
    </cfRule>
    <cfRule type="expression" priority="2695">
      <formula>#REF!</formula>
    </cfRule>
    <cfRule type="expression" dxfId="3513" priority="2696">
      <formula>J146&lt;0</formula>
    </cfRule>
  </conditionalFormatting>
  <conditionalFormatting sqref="M6:M10">
    <cfRule type="colorScale" priority="3506">
      <colorScale>
        <cfvo type="min"/>
        <cfvo type="max"/>
        <color theme="0"/>
        <color theme="0"/>
      </colorScale>
    </cfRule>
    <cfRule type="expression" dxfId="3512" priority="3508">
      <formula>L6&lt;0</formula>
    </cfRule>
  </conditionalFormatting>
  <conditionalFormatting sqref="M6:M21">
    <cfRule type="expression" dxfId="3511" priority="3077">
      <formula>IF(M6="Validar","Rojo","Verde")</formula>
    </cfRule>
    <cfRule type="expression" priority="3079">
      <formula>#REF!</formula>
    </cfRule>
  </conditionalFormatting>
  <conditionalFormatting sqref="M11">
    <cfRule type="colorScale" priority="3126">
      <colorScale>
        <cfvo type="min"/>
        <cfvo type="max"/>
        <color theme="0"/>
        <color theme="0"/>
      </colorScale>
    </cfRule>
    <cfRule type="expression" dxfId="3510" priority="3128">
      <formula>L11&lt;0</formula>
    </cfRule>
  </conditionalFormatting>
  <conditionalFormatting sqref="M12:M15">
    <cfRule type="colorScale" priority="3502">
      <colorScale>
        <cfvo type="min"/>
        <cfvo type="max"/>
        <color theme="0"/>
        <color theme="0"/>
      </colorScale>
    </cfRule>
    <cfRule type="expression" dxfId="3509" priority="3504">
      <formula>L12&lt;0</formula>
    </cfRule>
  </conditionalFormatting>
  <conditionalFormatting sqref="M16">
    <cfRule type="colorScale" priority="3102">
      <colorScale>
        <cfvo type="min"/>
        <cfvo type="max"/>
        <color theme="0"/>
        <color theme="0"/>
      </colorScale>
    </cfRule>
    <cfRule type="expression" dxfId="3508" priority="3104">
      <formula>L16&lt;0</formula>
    </cfRule>
  </conditionalFormatting>
  <conditionalFormatting sqref="M17:M18">
    <cfRule type="colorScale" priority="3498">
      <colorScale>
        <cfvo type="min"/>
        <cfvo type="max"/>
        <color theme="0"/>
        <color theme="0"/>
      </colorScale>
    </cfRule>
    <cfRule type="expression" dxfId="3507" priority="3500">
      <formula>L17&lt;0</formula>
    </cfRule>
  </conditionalFormatting>
  <conditionalFormatting sqref="M19">
    <cfRule type="colorScale" priority="3078">
      <colorScale>
        <cfvo type="min"/>
        <cfvo type="max"/>
        <color theme="0"/>
        <color theme="0"/>
      </colorScale>
    </cfRule>
    <cfRule type="expression" dxfId="3506" priority="3080">
      <formula>L19&lt;0</formula>
    </cfRule>
  </conditionalFormatting>
  <conditionalFormatting sqref="M20:M21">
    <cfRule type="colorScale" priority="3494">
      <colorScale>
        <cfvo type="min"/>
        <cfvo type="max"/>
        <color theme="0"/>
        <color theme="0"/>
      </colorScale>
    </cfRule>
    <cfRule type="expression" dxfId="3505" priority="3496">
      <formula>L20&lt;0</formula>
    </cfRule>
  </conditionalFormatting>
  <conditionalFormatting sqref="M24">
    <cfRule type="colorScale" priority="3054">
      <colorScale>
        <cfvo type="min"/>
        <cfvo type="max"/>
        <color theme="0"/>
        <color theme="0"/>
      </colorScale>
    </cfRule>
    <cfRule type="expression" dxfId="3504" priority="3056">
      <formula>L24&lt;0</formula>
    </cfRule>
  </conditionalFormatting>
  <conditionalFormatting sqref="M24:M32">
    <cfRule type="expression" dxfId="3503" priority="3005">
      <formula>IF(M24="Validar","Rojo","Verde")</formula>
    </cfRule>
    <cfRule type="expression" priority="3007">
      <formula>#REF!</formula>
    </cfRule>
  </conditionalFormatting>
  <conditionalFormatting sqref="M25">
    <cfRule type="colorScale" priority="3490">
      <colorScale>
        <cfvo type="min"/>
        <cfvo type="max"/>
        <color theme="0"/>
        <color theme="0"/>
      </colorScale>
    </cfRule>
    <cfRule type="expression" dxfId="3502" priority="3492">
      <formula>L25&lt;0</formula>
    </cfRule>
  </conditionalFormatting>
  <conditionalFormatting sqref="M26">
    <cfRule type="colorScale" priority="3486">
      <colorScale>
        <cfvo type="min"/>
        <cfvo type="max"/>
        <color theme="0"/>
        <color theme="0"/>
      </colorScale>
    </cfRule>
    <cfRule type="expression" dxfId="3501" priority="3488">
      <formula>L26&lt;0</formula>
    </cfRule>
  </conditionalFormatting>
  <conditionalFormatting sqref="M27">
    <cfRule type="colorScale" priority="3030">
      <colorScale>
        <cfvo type="min"/>
        <cfvo type="max"/>
        <color theme="0"/>
        <color theme="0"/>
      </colorScale>
    </cfRule>
    <cfRule type="expression" dxfId="3500" priority="3032">
      <formula>L27&lt;0</formula>
    </cfRule>
  </conditionalFormatting>
  <conditionalFormatting sqref="M28">
    <cfRule type="colorScale" priority="3482">
      <colorScale>
        <cfvo type="min"/>
        <cfvo type="max"/>
        <color theme="0"/>
        <color theme="0"/>
      </colorScale>
    </cfRule>
    <cfRule type="expression" dxfId="3499" priority="3484">
      <formula>L28&lt;0</formula>
    </cfRule>
  </conditionalFormatting>
  <conditionalFormatting sqref="M29">
    <cfRule type="colorScale" priority="3478">
      <colorScale>
        <cfvo type="min"/>
        <cfvo type="max"/>
        <color theme="0"/>
        <color theme="0"/>
      </colorScale>
    </cfRule>
    <cfRule type="expression" dxfId="3498" priority="3480">
      <formula>L29&lt;0</formula>
    </cfRule>
  </conditionalFormatting>
  <conditionalFormatting sqref="M30">
    <cfRule type="colorScale" priority="3006">
      <colorScale>
        <cfvo type="min"/>
        <cfvo type="max"/>
        <color theme="0"/>
        <color theme="0"/>
      </colorScale>
    </cfRule>
    <cfRule type="expression" dxfId="3497" priority="3008">
      <formula>L30&lt;0</formula>
    </cfRule>
  </conditionalFormatting>
  <conditionalFormatting sqref="M31">
    <cfRule type="colorScale" priority="3474">
      <colorScale>
        <cfvo type="min"/>
        <cfvo type="max"/>
        <color theme="0"/>
        <color theme="0"/>
      </colorScale>
    </cfRule>
    <cfRule type="expression" dxfId="3496" priority="3476">
      <formula>L31&lt;0</formula>
    </cfRule>
  </conditionalFormatting>
  <conditionalFormatting sqref="M32">
    <cfRule type="colorScale" priority="3470">
      <colorScale>
        <cfvo type="min"/>
        <cfvo type="max"/>
        <color theme="0"/>
        <color theme="0"/>
      </colorScale>
    </cfRule>
    <cfRule type="expression" dxfId="3495" priority="3472">
      <formula>L32&lt;0</formula>
    </cfRule>
  </conditionalFormatting>
  <conditionalFormatting sqref="M40">
    <cfRule type="colorScale" priority="2982">
      <colorScale>
        <cfvo type="min"/>
        <cfvo type="max"/>
        <color theme="0"/>
        <color theme="0"/>
      </colorScale>
    </cfRule>
    <cfRule type="expression" priority="2983">
      <formula>#REF!</formula>
    </cfRule>
    <cfRule type="expression" dxfId="3494" priority="2984">
      <formula>L40&lt;0</formula>
    </cfRule>
  </conditionalFormatting>
  <conditionalFormatting sqref="M40:M107">
    <cfRule type="expression" dxfId="3493" priority="2570">
      <formula>IF(M40="Validar","Rojo","Verde")</formula>
    </cfRule>
  </conditionalFormatting>
  <conditionalFormatting sqref="M41:M68">
    <cfRule type="colorScale" priority="3466">
      <colorScale>
        <cfvo type="min"/>
        <cfvo type="max"/>
        <color theme="0"/>
        <color theme="0"/>
      </colorScale>
    </cfRule>
    <cfRule type="expression" priority="3467">
      <formula>$F$20</formula>
    </cfRule>
    <cfRule type="expression" dxfId="3492" priority="3468">
      <formula>L41&lt;0</formula>
    </cfRule>
  </conditionalFormatting>
  <conditionalFormatting sqref="M69">
    <cfRule type="colorScale" priority="2958">
      <colorScale>
        <cfvo type="min"/>
        <cfvo type="max"/>
        <color theme="0"/>
        <color theme="0"/>
      </colorScale>
    </cfRule>
    <cfRule type="expression" priority="2959">
      <formula>#REF!</formula>
    </cfRule>
    <cfRule type="expression" dxfId="3491" priority="2960">
      <formula>L69&lt;0</formula>
    </cfRule>
  </conditionalFormatting>
  <conditionalFormatting sqref="M70:M82">
    <cfRule type="colorScale" priority="3782">
      <colorScale>
        <cfvo type="min"/>
        <cfvo type="max"/>
        <color theme="0"/>
        <color theme="0"/>
      </colorScale>
    </cfRule>
    <cfRule type="expression" priority="3783">
      <formula>$F$20</formula>
    </cfRule>
    <cfRule type="expression" dxfId="3490" priority="3784">
      <formula>L70&lt;0</formula>
    </cfRule>
  </conditionalFormatting>
  <conditionalFormatting sqref="M83 M92 M103 M107">
    <cfRule type="expression" dxfId="3489" priority="3776">
      <formula>L83&lt;0</formula>
    </cfRule>
  </conditionalFormatting>
  <conditionalFormatting sqref="M84">
    <cfRule type="colorScale" priority="2571">
      <colorScale>
        <cfvo type="min"/>
        <cfvo type="max"/>
        <color theme="0"/>
        <color theme="0"/>
      </colorScale>
    </cfRule>
    <cfRule type="expression" priority="2572">
      <formula>#REF!</formula>
    </cfRule>
    <cfRule type="expression" dxfId="3488" priority="2573">
      <formula>L84&lt;0</formula>
    </cfRule>
  </conditionalFormatting>
  <conditionalFormatting sqref="M85:M91">
    <cfRule type="colorScale" priority="3790">
      <colorScale>
        <cfvo type="min"/>
        <cfvo type="max"/>
        <color theme="0"/>
        <color theme="0"/>
      </colorScale>
    </cfRule>
    <cfRule type="expression" priority="3791">
      <formula>$F$20</formula>
    </cfRule>
    <cfRule type="expression" dxfId="3487" priority="3792">
      <formula>L85&lt;0</formula>
    </cfRule>
  </conditionalFormatting>
  <conditionalFormatting sqref="M83 M92 M103 M107">
    <cfRule type="colorScale" priority="3774">
      <colorScale>
        <cfvo type="min"/>
        <cfvo type="max"/>
        <color theme="0"/>
        <color theme="0"/>
      </colorScale>
    </cfRule>
  </conditionalFormatting>
  <conditionalFormatting sqref="M93">
    <cfRule type="colorScale" priority="2934">
      <colorScale>
        <cfvo type="min"/>
        <cfvo type="max"/>
        <color theme="0"/>
        <color theme="0"/>
      </colorScale>
    </cfRule>
    <cfRule type="expression" priority="2935">
      <formula>#REF!</formula>
    </cfRule>
    <cfRule type="expression" dxfId="3486" priority="2936">
      <formula>L93&lt;0</formula>
    </cfRule>
  </conditionalFormatting>
  <conditionalFormatting sqref="M94:M102">
    <cfRule type="colorScale" priority="3794">
      <colorScale>
        <cfvo type="min"/>
        <cfvo type="max"/>
        <color theme="0"/>
        <color theme="0"/>
      </colorScale>
    </cfRule>
    <cfRule type="expression" priority="3795">
      <formula>$F$20</formula>
    </cfRule>
    <cfRule type="expression" dxfId="3485" priority="3796">
      <formula>L94&lt;0</formula>
    </cfRule>
  </conditionalFormatting>
  <conditionalFormatting sqref="M104">
    <cfRule type="colorScale" priority="2910">
      <colorScale>
        <cfvo type="min"/>
        <cfvo type="max"/>
        <color theme="0"/>
        <color theme="0"/>
      </colorScale>
    </cfRule>
    <cfRule type="expression" priority="2911">
      <formula>#REF!</formula>
    </cfRule>
    <cfRule type="expression" dxfId="3484" priority="2912">
      <formula>L104&lt;0</formula>
    </cfRule>
  </conditionalFormatting>
  <conditionalFormatting sqref="M105:M106">
    <cfRule type="colorScale" priority="3798">
      <colorScale>
        <cfvo type="min"/>
        <cfvo type="max"/>
        <color theme="0"/>
        <color theme="0"/>
      </colorScale>
    </cfRule>
    <cfRule type="expression" priority="3799">
      <formula>$F$20</formula>
    </cfRule>
    <cfRule type="expression" dxfId="3483" priority="3800">
      <formula>L105&lt;0</formula>
    </cfRule>
  </conditionalFormatting>
  <conditionalFormatting sqref="M110">
    <cfRule type="colorScale" priority="3802">
      <colorScale>
        <cfvo type="min"/>
        <cfvo type="max"/>
        <color theme="0"/>
        <color theme="0"/>
      </colorScale>
    </cfRule>
    <cfRule type="expression" dxfId="3482" priority="3804">
      <formula>L110&lt;0</formula>
    </cfRule>
  </conditionalFormatting>
  <conditionalFormatting sqref="M110:M111">
    <cfRule type="expression" priority="2514">
      <formula>$F$20</formula>
    </cfRule>
  </conditionalFormatting>
  <conditionalFormatting sqref="M111">
    <cfRule type="colorScale" priority="2513">
      <colorScale>
        <cfvo type="min"/>
        <cfvo type="max"/>
        <color theme="0"/>
        <color theme="0"/>
      </colorScale>
    </cfRule>
    <cfRule type="expression" dxfId="3481" priority="2515">
      <formula>L111&lt;0</formula>
    </cfRule>
  </conditionalFormatting>
  <conditionalFormatting sqref="M117:M123">
    <cfRule type="colorScale" priority="3918">
      <colorScale>
        <cfvo type="min"/>
        <cfvo type="max"/>
        <color theme="0"/>
        <color theme="0"/>
      </colorScale>
    </cfRule>
    <cfRule type="expression" priority="3919">
      <formula>$F$20</formula>
    </cfRule>
    <cfRule type="expression" dxfId="3480" priority="3920">
      <formula>L117&lt;0</formula>
    </cfRule>
  </conditionalFormatting>
  <conditionalFormatting sqref="M125">
    <cfRule type="colorScale" priority="2886">
      <colorScale>
        <cfvo type="min"/>
        <cfvo type="max"/>
        <color theme="0"/>
        <color theme="0"/>
      </colorScale>
    </cfRule>
    <cfRule type="expression" priority="2887">
      <formula>#REF!</formula>
    </cfRule>
    <cfRule type="expression" dxfId="3479" priority="2888">
      <formula>L125&lt;0</formula>
    </cfRule>
  </conditionalFormatting>
  <conditionalFormatting sqref="M125:M135">
    <cfRule type="expression" dxfId="3478" priority="2885">
      <formula>IF(M125="Validar","Rojo","Verde")</formula>
    </cfRule>
  </conditionalFormatting>
  <conditionalFormatting sqref="M126:M132">
    <cfRule type="colorScale" priority="3922">
      <colorScale>
        <cfvo type="min"/>
        <cfvo type="max"/>
        <color theme="0"/>
        <color theme="0"/>
      </colorScale>
    </cfRule>
    <cfRule type="expression" dxfId="3477" priority="3924">
      <formula>L126&lt;0</formula>
    </cfRule>
  </conditionalFormatting>
  <conditionalFormatting sqref="M126:M134">
    <cfRule type="expression" priority="3923">
      <formula>$F$20</formula>
    </cfRule>
  </conditionalFormatting>
  <conditionalFormatting sqref="M133:M134">
    <cfRule type="colorScale" priority="3926">
      <colorScale>
        <cfvo type="min"/>
        <cfvo type="max"/>
        <color theme="0"/>
        <color theme="0"/>
      </colorScale>
    </cfRule>
    <cfRule type="expression" dxfId="3476" priority="3928">
      <formula>L133&lt;0</formula>
    </cfRule>
  </conditionalFormatting>
  <conditionalFormatting sqref="M135">
    <cfRule type="colorScale" priority="3910">
      <colorScale>
        <cfvo type="min"/>
        <cfvo type="max"/>
        <color theme="0"/>
        <color theme="0"/>
      </colorScale>
    </cfRule>
    <cfRule type="expression" priority="3911">
      <formula>$F$24</formula>
    </cfRule>
    <cfRule type="expression" dxfId="3475" priority="3912">
      <formula>L135&lt;0</formula>
    </cfRule>
  </conditionalFormatting>
  <conditionalFormatting sqref="M83:N83 M92:N92 M103:N103 M107:N107">
    <cfRule type="expression" priority="3775">
      <formula>$F$24</formula>
    </cfRule>
  </conditionalFormatting>
  <conditionalFormatting sqref="M110:N111">
    <cfRule type="expression" dxfId="3474" priority="2508">
      <formula>IF(M110="Validar","Rojo","Verde")</formula>
    </cfRule>
  </conditionalFormatting>
  <conditionalFormatting sqref="M117:N123">
    <cfRule type="expression" dxfId="3473" priority="3413">
      <formula>IF(M117="Validar","Rojo","Verde")</formula>
    </cfRule>
  </conditionalFormatting>
  <conditionalFormatting sqref="N41:N67">
    <cfRule type="colorScale" priority="3462">
      <colorScale>
        <cfvo type="min"/>
        <cfvo type="max"/>
        <color theme="0"/>
        <color theme="0"/>
      </colorScale>
    </cfRule>
    <cfRule type="expression" priority="3463">
      <formula>#REF!</formula>
    </cfRule>
    <cfRule type="expression" dxfId="3472" priority="3464">
      <formula>M41&lt;0</formula>
    </cfRule>
  </conditionalFormatting>
  <conditionalFormatting sqref="N41:N68">
    <cfRule type="expression" dxfId="3471" priority="3461">
      <formula>IF(N41="Validar","Rojo","Verde")</formula>
    </cfRule>
  </conditionalFormatting>
  <conditionalFormatting sqref="N68 N83 N92 N103 N107">
    <cfRule type="expression" dxfId="3470" priority="3780">
      <formula>M68&lt;0</formula>
    </cfRule>
  </conditionalFormatting>
  <conditionalFormatting sqref="N68">
    <cfRule type="expression" priority="3779">
      <formula>$F$24</formula>
    </cfRule>
  </conditionalFormatting>
  <conditionalFormatting sqref="N70">
    <cfRule type="colorScale" priority="3458">
      <colorScale>
        <cfvo type="min"/>
        <cfvo type="max"/>
        <color theme="0"/>
        <color theme="0"/>
      </colorScale>
    </cfRule>
    <cfRule type="expression" dxfId="3469" priority="3460">
      <formula>M70&lt;0</formula>
    </cfRule>
  </conditionalFormatting>
  <conditionalFormatting sqref="N70:N82">
    <cfRule type="expression" priority="3455">
      <formula>#REF!</formula>
    </cfRule>
  </conditionalFormatting>
  <conditionalFormatting sqref="N70:N83">
    <cfRule type="expression" dxfId="3468" priority="3453">
      <formula>IF(N70="Validar","Rojo","Verde")</formula>
    </cfRule>
  </conditionalFormatting>
  <conditionalFormatting sqref="N71:N79">
    <cfRule type="colorScale" priority="3454">
      <colorScale>
        <cfvo type="min"/>
        <cfvo type="max"/>
        <color theme="0"/>
        <color theme="0"/>
      </colorScale>
    </cfRule>
    <cfRule type="expression" dxfId="3467" priority="3456">
      <formula>M71&lt;0</formula>
    </cfRule>
  </conditionalFormatting>
  <conditionalFormatting sqref="N80:N82">
    <cfRule type="colorScale" priority="3786">
      <colorScale>
        <cfvo type="min"/>
        <cfvo type="max"/>
        <color theme="0"/>
        <color theme="0"/>
      </colorScale>
    </cfRule>
    <cfRule type="expression" dxfId="3466" priority="3788">
      <formula>M80&lt;0</formula>
    </cfRule>
  </conditionalFormatting>
  <conditionalFormatting sqref="N83 N68 N92 N103 N107">
    <cfRule type="colorScale" priority="3778">
      <colorScale>
        <cfvo type="min"/>
        <cfvo type="max"/>
        <color theme="0"/>
        <color theme="0"/>
      </colorScale>
    </cfRule>
  </conditionalFormatting>
  <conditionalFormatting sqref="N85">
    <cfRule type="colorScale" priority="3450">
      <colorScale>
        <cfvo type="min"/>
        <cfvo type="max"/>
        <color theme="0"/>
        <color theme="0"/>
      </colorScale>
    </cfRule>
    <cfRule type="expression" dxfId="3465" priority="3452">
      <formula>M85&lt;0</formula>
    </cfRule>
  </conditionalFormatting>
  <conditionalFormatting sqref="N85:N91">
    <cfRule type="expression" priority="3447">
      <formula>#REF!</formula>
    </cfRule>
  </conditionalFormatting>
  <conditionalFormatting sqref="N85:N92">
    <cfRule type="expression" dxfId="3464" priority="3445">
      <formula>IF(N85="Validar","Rojo","Verde")</formula>
    </cfRule>
  </conditionalFormatting>
  <conditionalFormatting sqref="N86:N91">
    <cfRule type="colorScale" priority="3446">
      <colorScale>
        <cfvo type="min"/>
        <cfvo type="max"/>
        <color theme="0"/>
        <color theme="0"/>
      </colorScale>
    </cfRule>
    <cfRule type="expression" dxfId="3463" priority="3448">
      <formula>M86&lt;0</formula>
    </cfRule>
  </conditionalFormatting>
  <conditionalFormatting sqref="N94">
    <cfRule type="colorScale" priority="3442">
      <colorScale>
        <cfvo type="min"/>
        <cfvo type="max"/>
        <color theme="0"/>
        <color theme="0"/>
      </colorScale>
    </cfRule>
    <cfRule type="expression" dxfId="3462" priority="3444">
      <formula>M94&lt;0</formula>
    </cfRule>
  </conditionalFormatting>
  <conditionalFormatting sqref="N94:N102">
    <cfRule type="expression" priority="3431">
      <formula>#REF!</formula>
    </cfRule>
  </conditionalFormatting>
  <conditionalFormatting sqref="N94:N103">
    <cfRule type="expression" dxfId="3461" priority="3429">
      <formula>IF(N94="Validar","Rojo","Verde")</formula>
    </cfRule>
  </conditionalFormatting>
  <conditionalFormatting sqref="N95:N100">
    <cfRule type="colorScale" priority="3438">
      <colorScale>
        <cfvo type="min"/>
        <cfvo type="max"/>
        <color theme="0"/>
        <color theme="0"/>
      </colorScale>
    </cfRule>
    <cfRule type="expression" dxfId="3460" priority="3440">
      <formula>M95&lt;0</formula>
    </cfRule>
  </conditionalFormatting>
  <conditionalFormatting sqref="N101">
    <cfRule type="colorScale" priority="3434">
      <colorScale>
        <cfvo type="min"/>
        <cfvo type="max"/>
        <color theme="0"/>
        <color theme="0"/>
      </colorScale>
    </cfRule>
    <cfRule type="expression" dxfId="3459" priority="3436">
      <formula>M101&lt;0</formula>
    </cfRule>
  </conditionalFormatting>
  <conditionalFormatting sqref="N102">
    <cfRule type="colorScale" priority="3430">
      <colorScale>
        <cfvo type="min"/>
        <cfvo type="max"/>
        <color theme="0"/>
        <color theme="0"/>
      </colorScale>
    </cfRule>
    <cfRule type="expression" dxfId="3458" priority="3432">
      <formula>M102&lt;0</formula>
    </cfRule>
  </conditionalFormatting>
  <conditionalFormatting sqref="N105">
    <cfRule type="colorScale" priority="3426">
      <colorScale>
        <cfvo type="min"/>
        <cfvo type="max"/>
        <color theme="0"/>
        <color theme="0"/>
      </colorScale>
    </cfRule>
    <cfRule type="expression" dxfId="3457" priority="3428">
      <formula>M105&lt;0</formula>
    </cfRule>
  </conditionalFormatting>
  <conditionalFormatting sqref="N105:N106">
    <cfRule type="expression" priority="3423">
      <formula>#REF!</formula>
    </cfRule>
  </conditionalFormatting>
  <conditionalFormatting sqref="N105:N107">
    <cfRule type="expression" dxfId="3456" priority="3421">
      <formula>IF(N105="Validar","Rojo","Verde")</formula>
    </cfRule>
  </conditionalFormatting>
  <conditionalFormatting sqref="N106">
    <cfRule type="colorScale" priority="3422">
      <colorScale>
        <cfvo type="min"/>
        <cfvo type="max"/>
        <color theme="0"/>
        <color theme="0"/>
      </colorScale>
    </cfRule>
    <cfRule type="expression" dxfId="3455" priority="3424">
      <formula>M106&lt;0</formula>
    </cfRule>
  </conditionalFormatting>
  <conditionalFormatting sqref="N110">
    <cfRule type="colorScale" priority="3410">
      <colorScale>
        <cfvo type="min"/>
        <cfvo type="max"/>
        <color theme="0"/>
        <color theme="0"/>
      </colorScale>
    </cfRule>
    <cfRule type="expression" dxfId="3454" priority="3412">
      <formula>M110&lt;0</formula>
    </cfRule>
  </conditionalFormatting>
  <conditionalFormatting sqref="N110:N111">
    <cfRule type="expression" priority="2510">
      <formula>#REF!</formula>
    </cfRule>
  </conditionalFormatting>
  <conditionalFormatting sqref="N111">
    <cfRule type="colorScale" priority="2509">
      <colorScale>
        <cfvo type="min"/>
        <cfvo type="max"/>
        <color theme="0"/>
        <color theme="0"/>
      </colorScale>
    </cfRule>
    <cfRule type="expression" dxfId="3453" priority="2511">
      <formula>M111&lt;0</formula>
    </cfRule>
  </conditionalFormatting>
  <conditionalFormatting sqref="N117">
    <cfRule type="colorScale" priority="3418">
      <colorScale>
        <cfvo type="min"/>
        <cfvo type="max"/>
        <color theme="0"/>
        <color theme="0"/>
      </colorScale>
    </cfRule>
    <cfRule type="expression" dxfId="3452" priority="3420">
      <formula>M117&lt;0</formula>
    </cfRule>
  </conditionalFormatting>
  <conditionalFormatting sqref="N117:N123">
    <cfRule type="expression" priority="3415">
      <formula>#REF!</formula>
    </cfRule>
  </conditionalFormatting>
  <conditionalFormatting sqref="N118:N123">
    <cfRule type="colorScale" priority="3414">
      <colorScale>
        <cfvo type="min"/>
        <cfvo type="max"/>
        <color theme="0"/>
        <color theme="0"/>
      </colorScale>
    </cfRule>
    <cfRule type="expression" dxfId="3451" priority="3416">
      <formula>M118&lt;0</formula>
    </cfRule>
  </conditionalFormatting>
  <conditionalFormatting sqref="N126:N135">
    <cfRule type="expression" dxfId="3450" priority="3913">
      <formula>IF(N126="Validar","Rojo","Verde")</formula>
    </cfRule>
    <cfRule type="colorScale" priority="3914">
      <colorScale>
        <cfvo type="min"/>
        <cfvo type="max"/>
        <color theme="0"/>
        <color theme="0"/>
      </colorScale>
    </cfRule>
    <cfRule type="expression" priority="3915">
      <formula>$F$24</formula>
    </cfRule>
    <cfRule type="expression" dxfId="3449" priority="3916">
      <formula>M126&lt;0</formula>
    </cfRule>
  </conditionalFormatting>
  <conditionalFormatting sqref="P6:P10">
    <cfRule type="colorScale" priority="3406">
      <colorScale>
        <cfvo type="min"/>
        <cfvo type="max"/>
        <color theme="0"/>
        <color theme="0"/>
      </colorScale>
    </cfRule>
    <cfRule type="expression" dxfId="3448" priority="3408">
      <formula>O6&lt;0</formula>
    </cfRule>
  </conditionalFormatting>
  <conditionalFormatting sqref="P6:P21">
    <cfRule type="expression" dxfId="3447" priority="3073">
      <formula>IF(P6="Validar","Rojo","Verde")</formula>
    </cfRule>
    <cfRule type="expression" priority="3075">
      <formula>#REF!</formula>
    </cfRule>
  </conditionalFormatting>
  <conditionalFormatting sqref="P11">
    <cfRule type="colorScale" priority="3122">
      <colorScale>
        <cfvo type="min"/>
        <cfvo type="max"/>
        <color theme="0"/>
        <color theme="0"/>
      </colorScale>
    </cfRule>
    <cfRule type="expression" dxfId="3446" priority="3124">
      <formula>O11&lt;0</formula>
    </cfRule>
  </conditionalFormatting>
  <conditionalFormatting sqref="P12:P15">
    <cfRule type="colorScale" priority="3402">
      <colorScale>
        <cfvo type="min"/>
        <cfvo type="max"/>
        <color theme="0"/>
        <color theme="0"/>
      </colorScale>
    </cfRule>
    <cfRule type="expression" dxfId="3445" priority="3404">
      <formula>O12&lt;0</formula>
    </cfRule>
  </conditionalFormatting>
  <conditionalFormatting sqref="P16">
    <cfRule type="colorScale" priority="3098">
      <colorScale>
        <cfvo type="min"/>
        <cfvo type="max"/>
        <color theme="0"/>
        <color theme="0"/>
      </colorScale>
    </cfRule>
    <cfRule type="expression" dxfId="3444" priority="3100">
      <formula>O16&lt;0</formula>
    </cfRule>
  </conditionalFormatting>
  <conditionalFormatting sqref="P17:P18">
    <cfRule type="colorScale" priority="3398">
      <colorScale>
        <cfvo type="min"/>
        <cfvo type="max"/>
        <color theme="0"/>
        <color theme="0"/>
      </colorScale>
    </cfRule>
    <cfRule type="expression" dxfId="3443" priority="3400">
      <formula>O17&lt;0</formula>
    </cfRule>
  </conditionalFormatting>
  <conditionalFormatting sqref="P19">
    <cfRule type="colorScale" priority="3074">
      <colorScale>
        <cfvo type="min"/>
        <cfvo type="max"/>
        <color theme="0"/>
        <color theme="0"/>
      </colorScale>
    </cfRule>
    <cfRule type="expression" dxfId="3442" priority="3076">
      <formula>O19&lt;0</formula>
    </cfRule>
  </conditionalFormatting>
  <conditionalFormatting sqref="P20:P21">
    <cfRule type="colorScale" priority="3394">
      <colorScale>
        <cfvo type="min"/>
        <cfvo type="max"/>
        <color theme="0"/>
        <color theme="0"/>
      </colorScale>
    </cfRule>
    <cfRule type="expression" dxfId="3441" priority="3396">
      <formula>O20&lt;0</formula>
    </cfRule>
  </conditionalFormatting>
  <conditionalFormatting sqref="P24">
    <cfRule type="colorScale" priority="3050">
      <colorScale>
        <cfvo type="min"/>
        <cfvo type="max"/>
        <color theme="0"/>
        <color theme="0"/>
      </colorScale>
    </cfRule>
    <cfRule type="expression" dxfId="3440" priority="3052">
      <formula>O24&lt;0</formula>
    </cfRule>
  </conditionalFormatting>
  <conditionalFormatting sqref="P24:P32">
    <cfRule type="expression" dxfId="3439" priority="3001">
      <formula>IF(P24="Validar","Rojo","Verde")</formula>
    </cfRule>
    <cfRule type="expression" priority="3003">
      <formula>#REF!</formula>
    </cfRule>
  </conditionalFormatting>
  <conditionalFormatting sqref="P25">
    <cfRule type="colorScale" priority="3390">
      <colorScale>
        <cfvo type="min"/>
        <cfvo type="max"/>
        <color theme="0"/>
        <color theme="0"/>
      </colorScale>
    </cfRule>
    <cfRule type="expression" dxfId="3438" priority="3392">
      <formula>O25&lt;0</formula>
    </cfRule>
  </conditionalFormatting>
  <conditionalFormatting sqref="P26">
    <cfRule type="colorScale" priority="3386">
      <colorScale>
        <cfvo type="min"/>
        <cfvo type="max"/>
        <color theme="0"/>
        <color theme="0"/>
      </colorScale>
    </cfRule>
    <cfRule type="expression" dxfId="3437" priority="3388">
      <formula>O26&lt;0</formula>
    </cfRule>
  </conditionalFormatting>
  <conditionalFormatting sqref="P27">
    <cfRule type="colorScale" priority="3026">
      <colorScale>
        <cfvo type="min"/>
        <cfvo type="max"/>
        <color theme="0"/>
        <color theme="0"/>
      </colorScale>
    </cfRule>
    <cfRule type="expression" dxfId="3436" priority="3028">
      <formula>O27&lt;0</formula>
    </cfRule>
  </conditionalFormatting>
  <conditionalFormatting sqref="P28">
    <cfRule type="colorScale" priority="3382">
      <colorScale>
        <cfvo type="min"/>
        <cfvo type="max"/>
        <color theme="0"/>
        <color theme="0"/>
      </colorScale>
    </cfRule>
    <cfRule type="expression" dxfId="3435" priority="3384">
      <formula>O28&lt;0</formula>
    </cfRule>
  </conditionalFormatting>
  <conditionalFormatting sqref="P29">
    <cfRule type="colorScale" priority="3378">
      <colorScale>
        <cfvo type="min"/>
        <cfvo type="max"/>
        <color theme="0"/>
        <color theme="0"/>
      </colorScale>
    </cfRule>
    <cfRule type="expression" dxfId="3434" priority="3380">
      <formula>O29&lt;0</formula>
    </cfRule>
  </conditionalFormatting>
  <conditionalFormatting sqref="P30">
    <cfRule type="colorScale" priority="3002">
      <colorScale>
        <cfvo type="min"/>
        <cfvo type="max"/>
        <color theme="0"/>
        <color theme="0"/>
      </colorScale>
    </cfRule>
    <cfRule type="expression" dxfId="3433" priority="3004">
      <formula>O30&lt;0</formula>
    </cfRule>
  </conditionalFormatting>
  <conditionalFormatting sqref="P31">
    <cfRule type="colorScale" priority="3374">
      <colorScale>
        <cfvo type="min"/>
        <cfvo type="max"/>
        <color theme="0"/>
        <color theme="0"/>
      </colorScale>
    </cfRule>
    <cfRule type="expression" dxfId="3432" priority="3376">
      <formula>O31&lt;0</formula>
    </cfRule>
  </conditionalFormatting>
  <conditionalFormatting sqref="P32">
    <cfRule type="colorScale" priority="3370">
      <colorScale>
        <cfvo type="min"/>
        <cfvo type="max"/>
        <color theme="0"/>
        <color theme="0"/>
      </colorScale>
    </cfRule>
    <cfRule type="expression" dxfId="3431" priority="3372">
      <formula>O32&lt;0</formula>
    </cfRule>
  </conditionalFormatting>
  <conditionalFormatting sqref="P40">
    <cfRule type="colorScale" priority="2978">
      <colorScale>
        <cfvo type="min"/>
        <cfvo type="max"/>
        <color theme="0"/>
        <color theme="0"/>
      </colorScale>
    </cfRule>
    <cfRule type="expression" priority="2979">
      <formula>#REF!</formula>
    </cfRule>
    <cfRule type="expression" dxfId="3430" priority="2980">
      <formula>O40&lt;0</formula>
    </cfRule>
  </conditionalFormatting>
  <conditionalFormatting sqref="P40:P107">
    <cfRule type="expression" dxfId="3429" priority="2566">
      <formula>IF(P40="Validar","Rojo","Verde")</formula>
    </cfRule>
  </conditionalFormatting>
  <conditionalFormatting sqref="P41:P68">
    <cfRule type="colorScale" priority="3366">
      <colorScale>
        <cfvo type="min"/>
        <cfvo type="max"/>
        <color theme="0"/>
        <color theme="0"/>
      </colorScale>
    </cfRule>
    <cfRule type="expression" priority="3367">
      <formula>$F$20</formula>
    </cfRule>
    <cfRule type="expression" dxfId="3428" priority="3368">
      <formula>O41&lt;0</formula>
    </cfRule>
  </conditionalFormatting>
  <conditionalFormatting sqref="P69">
    <cfRule type="colorScale" priority="2954">
      <colorScale>
        <cfvo type="min"/>
        <cfvo type="max"/>
        <color theme="0"/>
        <color theme="0"/>
      </colorScale>
    </cfRule>
    <cfRule type="expression" priority="2955">
      <formula>#REF!</formula>
    </cfRule>
    <cfRule type="expression" dxfId="3427" priority="2956">
      <formula>O69&lt;0</formula>
    </cfRule>
  </conditionalFormatting>
  <conditionalFormatting sqref="P70:P82">
    <cfRule type="colorScale" priority="3814">
      <colorScale>
        <cfvo type="min"/>
        <cfvo type="max"/>
        <color theme="0"/>
        <color theme="0"/>
      </colorScale>
    </cfRule>
    <cfRule type="expression" priority="3815">
      <formula>$F$20</formula>
    </cfRule>
    <cfRule type="expression" dxfId="3426" priority="3816">
      <formula>O70&lt;0</formula>
    </cfRule>
  </conditionalFormatting>
  <conditionalFormatting sqref="P83 P92 P103 P107">
    <cfRule type="expression" dxfId="3425" priority="3808">
      <formula>O83&lt;0</formula>
    </cfRule>
  </conditionalFormatting>
  <conditionalFormatting sqref="P84">
    <cfRule type="colorScale" priority="2567">
      <colorScale>
        <cfvo type="min"/>
        <cfvo type="max"/>
        <color theme="0"/>
        <color theme="0"/>
      </colorScale>
    </cfRule>
    <cfRule type="expression" priority="2568">
      <formula>#REF!</formula>
    </cfRule>
    <cfRule type="expression" dxfId="3424" priority="2569">
      <formula>O84&lt;0</formula>
    </cfRule>
  </conditionalFormatting>
  <conditionalFormatting sqref="P85:P91">
    <cfRule type="colorScale" priority="3822">
      <colorScale>
        <cfvo type="min"/>
        <cfvo type="max"/>
        <color theme="0"/>
        <color theme="0"/>
      </colorScale>
    </cfRule>
    <cfRule type="expression" priority="3823">
      <formula>$F$20</formula>
    </cfRule>
    <cfRule type="expression" dxfId="3423" priority="3824">
      <formula>O85&lt;0</formula>
    </cfRule>
  </conditionalFormatting>
  <conditionalFormatting sqref="P92 P83 P103 P107">
    <cfRule type="colorScale" priority="3806">
      <colorScale>
        <cfvo type="min"/>
        <cfvo type="max"/>
        <color theme="0"/>
        <color theme="0"/>
      </colorScale>
    </cfRule>
  </conditionalFormatting>
  <conditionalFormatting sqref="P93">
    <cfRule type="colorScale" priority="2930">
      <colorScale>
        <cfvo type="min"/>
        <cfvo type="max"/>
        <color theme="0"/>
        <color theme="0"/>
      </colorScale>
    </cfRule>
    <cfRule type="expression" priority="2931">
      <formula>#REF!</formula>
    </cfRule>
    <cfRule type="expression" dxfId="3422" priority="2932">
      <formula>O93&lt;0</formula>
    </cfRule>
  </conditionalFormatting>
  <conditionalFormatting sqref="P94:P102">
    <cfRule type="colorScale" priority="3826">
      <colorScale>
        <cfvo type="min"/>
        <cfvo type="max"/>
        <color theme="0"/>
        <color theme="0"/>
      </colorScale>
    </cfRule>
    <cfRule type="expression" priority="3827">
      <formula>$F$20</formula>
    </cfRule>
    <cfRule type="expression" dxfId="3421" priority="3828">
      <formula>O94&lt;0</formula>
    </cfRule>
  </conditionalFormatting>
  <conditionalFormatting sqref="P104">
    <cfRule type="colorScale" priority="2906">
      <colorScale>
        <cfvo type="min"/>
        <cfvo type="max"/>
        <color theme="0"/>
        <color theme="0"/>
      </colorScale>
    </cfRule>
    <cfRule type="expression" priority="2907">
      <formula>#REF!</formula>
    </cfRule>
    <cfRule type="expression" dxfId="3420" priority="2908">
      <formula>O104&lt;0</formula>
    </cfRule>
  </conditionalFormatting>
  <conditionalFormatting sqref="P105:P106">
    <cfRule type="colorScale" priority="3830">
      <colorScale>
        <cfvo type="min"/>
        <cfvo type="max"/>
        <color theme="0"/>
        <color theme="0"/>
      </colorScale>
    </cfRule>
    <cfRule type="expression" priority="3831">
      <formula>$F$20</formula>
    </cfRule>
    <cfRule type="expression" dxfId="3419" priority="3832">
      <formula>O105&lt;0</formula>
    </cfRule>
  </conditionalFormatting>
  <conditionalFormatting sqref="P110">
    <cfRule type="colorScale" priority="3834">
      <colorScale>
        <cfvo type="min"/>
        <cfvo type="max"/>
        <color theme="0"/>
        <color theme="0"/>
      </colorScale>
    </cfRule>
    <cfRule type="expression" dxfId="3418" priority="3836">
      <formula>O110&lt;0</formula>
    </cfRule>
  </conditionalFormatting>
  <conditionalFormatting sqref="P110:P111">
    <cfRule type="expression" priority="2506">
      <formula>$F$20</formula>
    </cfRule>
  </conditionalFormatting>
  <conditionalFormatting sqref="P111">
    <cfRule type="colorScale" priority="2505">
      <colorScale>
        <cfvo type="min"/>
        <cfvo type="max"/>
        <color theme="0"/>
        <color theme="0"/>
      </colorScale>
    </cfRule>
    <cfRule type="expression" dxfId="3417" priority="2507">
      <formula>O111&lt;0</formula>
    </cfRule>
  </conditionalFormatting>
  <conditionalFormatting sqref="P117:P123">
    <cfRule type="colorScale" priority="3938">
      <colorScale>
        <cfvo type="min"/>
        <cfvo type="max"/>
        <color theme="0"/>
        <color theme="0"/>
      </colorScale>
    </cfRule>
    <cfRule type="expression" priority="3939">
      <formula>$F$20</formula>
    </cfRule>
    <cfRule type="expression" dxfId="3416" priority="3940">
      <formula>O117&lt;0</formula>
    </cfRule>
  </conditionalFormatting>
  <conditionalFormatting sqref="P125">
    <cfRule type="colorScale" priority="2882">
      <colorScale>
        <cfvo type="min"/>
        <cfvo type="max"/>
        <color theme="0"/>
        <color theme="0"/>
      </colorScale>
    </cfRule>
    <cfRule type="expression" priority="2883">
      <formula>#REF!</formula>
    </cfRule>
    <cfRule type="expression" dxfId="3415" priority="2884">
      <formula>O125&lt;0</formula>
    </cfRule>
  </conditionalFormatting>
  <conditionalFormatting sqref="P125:P135">
    <cfRule type="expression" dxfId="3414" priority="2881">
      <formula>IF(P125="Validar","Rojo","Verde")</formula>
    </cfRule>
  </conditionalFormatting>
  <conditionalFormatting sqref="P126:P132">
    <cfRule type="colorScale" priority="3942">
      <colorScale>
        <cfvo type="min"/>
        <cfvo type="max"/>
        <color theme="0"/>
        <color theme="0"/>
      </colorScale>
    </cfRule>
    <cfRule type="expression" dxfId="3413" priority="3944">
      <formula>O126&lt;0</formula>
    </cfRule>
  </conditionalFormatting>
  <conditionalFormatting sqref="P126:P134">
    <cfRule type="expression" priority="3943">
      <formula>$F$20</formula>
    </cfRule>
  </conditionalFormatting>
  <conditionalFormatting sqref="P133:P134">
    <cfRule type="colorScale" priority="3946">
      <colorScale>
        <cfvo type="min"/>
        <cfvo type="max"/>
        <color theme="0"/>
        <color theme="0"/>
      </colorScale>
    </cfRule>
    <cfRule type="expression" dxfId="3412" priority="3948">
      <formula>O133&lt;0</formula>
    </cfRule>
  </conditionalFormatting>
  <conditionalFormatting sqref="P135">
    <cfRule type="colorScale" priority="3930">
      <colorScale>
        <cfvo type="min"/>
        <cfvo type="max"/>
        <color theme="0"/>
        <color theme="0"/>
      </colorScale>
    </cfRule>
    <cfRule type="expression" priority="3931">
      <formula>$F$24</formula>
    </cfRule>
    <cfRule type="expression" dxfId="3411" priority="3932">
      <formula>O135&lt;0</formula>
    </cfRule>
  </conditionalFormatting>
  <conditionalFormatting sqref="P83:Q83 P92:Q92 P103:Q103 P107:Q107">
    <cfRule type="expression" priority="3807">
      <formula>$F$24</formula>
    </cfRule>
  </conditionalFormatting>
  <conditionalFormatting sqref="P110:R111">
    <cfRule type="expression" dxfId="3410" priority="2479">
      <formula>IF(P110="Validar","Rojo","Verde")</formula>
    </cfRule>
  </conditionalFormatting>
  <conditionalFormatting sqref="P117:R123">
    <cfRule type="expression" dxfId="3409" priority="2633">
      <formula>IF(P117="Validar","Rojo","Verde")</formula>
    </cfRule>
  </conditionalFormatting>
  <conditionalFormatting sqref="Q41:Q66">
    <cfRule type="colorScale" priority="3362">
      <colorScale>
        <cfvo type="min"/>
        <cfvo type="max"/>
        <color theme="0"/>
        <color theme="0"/>
      </colorScale>
    </cfRule>
    <cfRule type="expression" dxfId="3408" priority="3364">
      <formula>P41&lt;0</formula>
    </cfRule>
  </conditionalFormatting>
  <conditionalFormatting sqref="Q41:Q67">
    <cfRule type="expression" priority="3207">
      <formula>#REF!</formula>
    </cfRule>
  </conditionalFormatting>
  <conditionalFormatting sqref="Q41:Q68">
    <cfRule type="expression" dxfId="3407" priority="3205">
      <formula>IF(Q41="Validar","Rojo","Verde")</formula>
    </cfRule>
  </conditionalFormatting>
  <conditionalFormatting sqref="Q67">
    <cfRule type="colorScale" priority="3206">
      <colorScale>
        <cfvo type="min"/>
        <cfvo type="max"/>
        <color theme="0"/>
        <color theme="0"/>
      </colorScale>
    </cfRule>
    <cfRule type="expression" dxfId="3406" priority="3208">
      <formula>P67&lt;0</formula>
    </cfRule>
  </conditionalFormatting>
  <conditionalFormatting sqref="Q68 Q83 Q92 Q103 Q107">
    <cfRule type="expression" dxfId="3405" priority="3812">
      <formula>P68&lt;0</formula>
    </cfRule>
  </conditionalFormatting>
  <conditionalFormatting sqref="Q68">
    <cfRule type="expression" priority="3811">
      <formula>$F$24</formula>
    </cfRule>
  </conditionalFormatting>
  <conditionalFormatting sqref="Q70">
    <cfRule type="colorScale" priority="3358">
      <colorScale>
        <cfvo type="min"/>
        <cfvo type="max"/>
        <color theme="0"/>
        <color theme="0"/>
      </colorScale>
    </cfRule>
    <cfRule type="expression" dxfId="3404" priority="3360">
      <formula>P70&lt;0</formula>
    </cfRule>
  </conditionalFormatting>
  <conditionalFormatting sqref="Q70:Q82">
    <cfRule type="expression" priority="3355">
      <formula>#REF!</formula>
    </cfRule>
  </conditionalFormatting>
  <conditionalFormatting sqref="Q70:Q83">
    <cfRule type="expression" dxfId="3403" priority="3353">
      <formula>IF(Q70="Validar","Rojo","Verde")</formula>
    </cfRule>
  </conditionalFormatting>
  <conditionalFormatting sqref="Q71:Q79">
    <cfRule type="colorScale" priority="3354">
      <colorScale>
        <cfvo type="min"/>
        <cfvo type="max"/>
        <color theme="0"/>
        <color theme="0"/>
      </colorScale>
    </cfRule>
    <cfRule type="expression" dxfId="3402" priority="3356">
      <formula>P71&lt;0</formula>
    </cfRule>
  </conditionalFormatting>
  <conditionalFormatting sqref="Q80:Q82">
    <cfRule type="colorScale" priority="3818">
      <colorScale>
        <cfvo type="min"/>
        <cfvo type="max"/>
        <color theme="0"/>
        <color theme="0"/>
      </colorScale>
    </cfRule>
    <cfRule type="expression" dxfId="3401" priority="3820">
      <formula>P80&lt;0</formula>
    </cfRule>
  </conditionalFormatting>
  <conditionalFormatting sqref="Q83 Q68 Q92 Q103 Q107">
    <cfRule type="colorScale" priority="3810">
      <colorScale>
        <cfvo type="min"/>
        <cfvo type="max"/>
        <color theme="0"/>
        <color theme="0"/>
      </colorScale>
    </cfRule>
  </conditionalFormatting>
  <conditionalFormatting sqref="Q85">
    <cfRule type="colorScale" priority="3350">
      <colorScale>
        <cfvo type="min"/>
        <cfvo type="max"/>
        <color theme="0"/>
        <color theme="0"/>
      </colorScale>
    </cfRule>
    <cfRule type="expression" dxfId="3400" priority="3352">
      <formula>P85&lt;0</formula>
    </cfRule>
  </conditionalFormatting>
  <conditionalFormatting sqref="Q85:Q91">
    <cfRule type="expression" priority="3347">
      <formula>#REF!</formula>
    </cfRule>
  </conditionalFormatting>
  <conditionalFormatting sqref="Q85:Q92">
    <cfRule type="expression" dxfId="3399" priority="3345">
      <formula>IF(Q85="Validar","Rojo","Verde")</formula>
    </cfRule>
  </conditionalFormatting>
  <conditionalFormatting sqref="Q86:Q91">
    <cfRule type="colorScale" priority="3346">
      <colorScale>
        <cfvo type="min"/>
        <cfvo type="max"/>
        <color theme="0"/>
        <color theme="0"/>
      </colorScale>
    </cfRule>
    <cfRule type="expression" dxfId="3398" priority="3348">
      <formula>P86&lt;0</formula>
    </cfRule>
  </conditionalFormatting>
  <conditionalFormatting sqref="Q94">
    <cfRule type="colorScale" priority="3342">
      <colorScale>
        <cfvo type="min"/>
        <cfvo type="max"/>
        <color theme="0"/>
        <color theme="0"/>
      </colorScale>
    </cfRule>
    <cfRule type="expression" dxfId="3397" priority="3344">
      <formula>P94&lt;0</formula>
    </cfRule>
  </conditionalFormatting>
  <conditionalFormatting sqref="Q94:Q102">
    <cfRule type="expression" priority="3331">
      <formula>#REF!</formula>
    </cfRule>
  </conditionalFormatting>
  <conditionalFormatting sqref="Q94:Q103">
    <cfRule type="expression" dxfId="3396" priority="3329">
      <formula>IF(Q94="Validar","Rojo","Verde")</formula>
    </cfRule>
  </conditionalFormatting>
  <conditionalFormatting sqref="Q95:Q100">
    <cfRule type="colorScale" priority="3338">
      <colorScale>
        <cfvo type="min"/>
        <cfvo type="max"/>
        <color theme="0"/>
        <color theme="0"/>
      </colorScale>
    </cfRule>
    <cfRule type="expression" dxfId="3395" priority="3340">
      <formula>P95&lt;0</formula>
    </cfRule>
  </conditionalFormatting>
  <conditionalFormatting sqref="Q101">
    <cfRule type="colorScale" priority="3334">
      <colorScale>
        <cfvo type="min"/>
        <cfvo type="max"/>
        <color theme="0"/>
        <color theme="0"/>
      </colorScale>
    </cfRule>
    <cfRule type="expression" dxfId="3394" priority="3336">
      <formula>P101&lt;0</formula>
    </cfRule>
  </conditionalFormatting>
  <conditionalFormatting sqref="Q102">
    <cfRule type="colorScale" priority="3330">
      <colorScale>
        <cfvo type="min"/>
        <cfvo type="max"/>
        <color theme="0"/>
        <color theme="0"/>
      </colorScale>
    </cfRule>
    <cfRule type="expression" dxfId="3393" priority="3332">
      <formula>P102&lt;0</formula>
    </cfRule>
  </conditionalFormatting>
  <conditionalFormatting sqref="Q105">
    <cfRule type="colorScale" priority="3326">
      <colorScale>
        <cfvo type="min"/>
        <cfvo type="max"/>
        <color theme="0"/>
        <color theme="0"/>
      </colorScale>
    </cfRule>
    <cfRule type="expression" dxfId="3392" priority="3328">
      <formula>P105&lt;0</formula>
    </cfRule>
  </conditionalFormatting>
  <conditionalFormatting sqref="Q105:Q106">
    <cfRule type="expression" priority="3323">
      <formula>#REF!</formula>
    </cfRule>
  </conditionalFormatting>
  <conditionalFormatting sqref="Q105:Q107">
    <cfRule type="expression" dxfId="3391" priority="3321">
      <formula>IF(Q105="Validar","Rojo","Verde")</formula>
    </cfRule>
  </conditionalFormatting>
  <conditionalFormatting sqref="Q106">
    <cfRule type="colorScale" priority="3322">
      <colorScale>
        <cfvo type="min"/>
        <cfvo type="max"/>
        <color theme="0"/>
        <color theme="0"/>
      </colorScale>
    </cfRule>
    <cfRule type="expression" dxfId="3390" priority="3324">
      <formula>P106&lt;0</formula>
    </cfRule>
  </conditionalFormatting>
  <conditionalFormatting sqref="Q110">
    <cfRule type="colorScale" priority="3310">
      <colorScale>
        <cfvo type="min"/>
        <cfvo type="max"/>
        <color theme="0"/>
        <color theme="0"/>
      </colorScale>
    </cfRule>
    <cfRule type="expression" priority="3311">
      <formula>#REF!</formula>
    </cfRule>
    <cfRule type="expression" dxfId="3389" priority="3312">
      <formula>P110&lt;0</formula>
    </cfRule>
  </conditionalFormatting>
  <conditionalFormatting sqref="Q111">
    <cfRule type="colorScale" priority="2501">
      <colorScale>
        <cfvo type="min"/>
        <cfvo type="max"/>
        <color theme="0"/>
        <color theme="0"/>
      </colorScale>
    </cfRule>
    <cfRule type="expression" priority="2502">
      <formula>$F$20</formula>
    </cfRule>
    <cfRule type="expression" dxfId="3388" priority="2503">
      <formula>P111&lt;0</formula>
    </cfRule>
  </conditionalFormatting>
  <conditionalFormatting sqref="Q117">
    <cfRule type="colorScale" priority="3318">
      <colorScale>
        <cfvo type="min"/>
        <cfvo type="max"/>
        <color theme="0"/>
        <color theme="0"/>
      </colorScale>
    </cfRule>
    <cfRule type="expression" dxfId="3387" priority="3320">
      <formula>P117&lt;0</formula>
    </cfRule>
  </conditionalFormatting>
  <conditionalFormatting sqref="Q118:Q123">
    <cfRule type="colorScale" priority="3314">
      <colorScale>
        <cfvo type="min"/>
        <cfvo type="max"/>
        <color theme="0"/>
        <color theme="0"/>
      </colorScale>
    </cfRule>
    <cfRule type="expression" dxfId="3386" priority="3316">
      <formula>P118&lt;0</formula>
    </cfRule>
  </conditionalFormatting>
  <conditionalFormatting sqref="Q126:Q135">
    <cfRule type="expression" dxfId="3385" priority="3933">
      <formula>IF(Q126="Validar","Rojo","Verde")</formula>
    </cfRule>
    <cfRule type="colorScale" priority="3934">
      <colorScale>
        <cfvo type="min"/>
        <cfvo type="max"/>
        <color theme="0"/>
        <color theme="0"/>
      </colorScale>
    </cfRule>
    <cfRule type="expression" priority="3935">
      <formula>$F$24</formula>
    </cfRule>
    <cfRule type="expression" dxfId="3384" priority="3936">
      <formula>P126&lt;0</formula>
    </cfRule>
  </conditionalFormatting>
  <conditionalFormatting sqref="Q117:R123">
    <cfRule type="expression" priority="2635">
      <formula>#REF!</formula>
    </cfRule>
  </conditionalFormatting>
  <conditionalFormatting sqref="R6">
    <cfRule type="colorScale" priority="2670">
      <colorScale>
        <cfvo type="min"/>
        <cfvo type="max"/>
        <color theme="0"/>
        <color theme="0"/>
      </colorScale>
    </cfRule>
    <cfRule type="expression" dxfId="3383" priority="2672">
      <formula>Q6&lt;0</formula>
    </cfRule>
  </conditionalFormatting>
  <conditionalFormatting sqref="R6:R17">
    <cfRule type="expression" dxfId="3382" priority="2621">
      <formula>IF(R6="Validar","Rojo","Verde")</formula>
    </cfRule>
    <cfRule type="expression" priority="2623">
      <formula>#REF!</formula>
    </cfRule>
  </conditionalFormatting>
  <conditionalFormatting sqref="R7:R10">
    <cfRule type="colorScale" priority="2686">
      <colorScale>
        <cfvo type="min"/>
        <cfvo type="max"/>
        <color theme="0"/>
        <color theme="0"/>
      </colorScale>
    </cfRule>
    <cfRule type="expression" dxfId="3381" priority="2688">
      <formula>Q7&lt;0</formula>
    </cfRule>
  </conditionalFormatting>
  <conditionalFormatting sqref="R11">
    <cfRule type="colorScale" priority="2626">
      <colorScale>
        <cfvo type="min"/>
        <cfvo type="max"/>
        <color theme="0"/>
        <color theme="0"/>
      </colorScale>
    </cfRule>
    <cfRule type="expression" dxfId="3380" priority="2628">
      <formula>Q11&lt;0</formula>
    </cfRule>
  </conditionalFormatting>
  <conditionalFormatting sqref="R12:R15">
    <cfRule type="colorScale" priority="2682">
      <colorScale>
        <cfvo type="min"/>
        <cfvo type="max"/>
        <color theme="0"/>
        <color theme="0"/>
      </colorScale>
    </cfRule>
    <cfRule type="expression" dxfId="3379" priority="2684">
      <formula>Q12&lt;0</formula>
    </cfRule>
  </conditionalFormatting>
  <conditionalFormatting sqref="R16">
    <cfRule type="colorScale" priority="2622">
      <colorScale>
        <cfvo type="min"/>
        <cfvo type="max"/>
        <color theme="0"/>
        <color theme="0"/>
      </colorScale>
    </cfRule>
    <cfRule type="expression" dxfId="3378" priority="2624">
      <formula>Q16&lt;0</formula>
    </cfRule>
  </conditionalFormatting>
  <conditionalFormatting sqref="R17">
    <cfRule type="colorScale" priority="2678">
      <colorScale>
        <cfvo type="min"/>
        <cfvo type="max"/>
        <color theme="0"/>
        <color theme="0"/>
      </colorScale>
    </cfRule>
    <cfRule type="expression" dxfId="3377" priority="2680">
      <formula>Q17&lt;0</formula>
    </cfRule>
  </conditionalFormatting>
  <conditionalFormatting sqref="R19">
    <cfRule type="colorScale" priority="2618">
      <colorScale>
        <cfvo type="min"/>
        <cfvo type="max"/>
        <color theme="0"/>
        <color theme="0"/>
      </colorScale>
    </cfRule>
    <cfRule type="expression" dxfId="3376" priority="2620">
      <formula>Q19&lt;0</formula>
    </cfRule>
  </conditionalFormatting>
  <conditionalFormatting sqref="R19:R20">
    <cfRule type="expression" dxfId="3375" priority="2617">
      <formula>IF(R19="Validar","Rojo","Verde")</formula>
    </cfRule>
    <cfRule type="expression" priority="2619">
      <formula>#REF!</formula>
    </cfRule>
  </conditionalFormatting>
  <conditionalFormatting sqref="R20">
    <cfRule type="colorScale" priority="2674">
      <colorScale>
        <cfvo type="min"/>
        <cfvo type="max"/>
        <color theme="0"/>
        <color theme="0"/>
      </colorScale>
    </cfRule>
    <cfRule type="expression" dxfId="3374" priority="2676">
      <formula>Q20&lt;0</formula>
    </cfRule>
  </conditionalFormatting>
  <conditionalFormatting sqref="R24">
    <cfRule type="colorScale" priority="2614">
      <colorScale>
        <cfvo type="min"/>
        <cfvo type="max"/>
        <color theme="0"/>
        <color theme="0"/>
      </colorScale>
    </cfRule>
    <cfRule type="expression" dxfId="3373" priority="2616">
      <formula>Q24&lt;0</formula>
    </cfRule>
  </conditionalFormatting>
  <conditionalFormatting sqref="R24:R25">
    <cfRule type="expression" dxfId="3372" priority="2613">
      <formula>IF(R24="Validar","Rojo","Verde")</formula>
    </cfRule>
    <cfRule type="expression" priority="2615">
      <formula>#REF!</formula>
    </cfRule>
  </conditionalFormatting>
  <conditionalFormatting sqref="R25">
    <cfRule type="colorScale" priority="2666">
      <colorScale>
        <cfvo type="min"/>
        <cfvo type="max"/>
        <color theme="0"/>
        <color theme="0"/>
      </colorScale>
    </cfRule>
    <cfRule type="expression" dxfId="3371" priority="2668">
      <formula>Q25&lt;0</formula>
    </cfRule>
  </conditionalFormatting>
  <conditionalFormatting sqref="R27">
    <cfRule type="colorScale" priority="2610">
      <colorScale>
        <cfvo type="min"/>
        <cfvo type="max"/>
        <color theme="0"/>
        <color theme="0"/>
      </colorScale>
    </cfRule>
    <cfRule type="expression" dxfId="3370" priority="2612">
      <formula>Q27&lt;0</formula>
    </cfRule>
  </conditionalFormatting>
  <conditionalFormatting sqref="R27:R28">
    <cfRule type="expression" dxfId="3369" priority="2609">
      <formula>IF(R27="Validar","Rojo","Verde")</formula>
    </cfRule>
    <cfRule type="expression" priority="2611">
      <formula>#REF!</formula>
    </cfRule>
  </conditionalFormatting>
  <conditionalFormatting sqref="R28">
    <cfRule type="colorScale" priority="2662">
      <colorScale>
        <cfvo type="min"/>
        <cfvo type="max"/>
        <color theme="0"/>
        <color theme="0"/>
      </colorScale>
    </cfRule>
    <cfRule type="expression" dxfId="3368" priority="2664">
      <formula>Q28&lt;0</formula>
    </cfRule>
  </conditionalFormatting>
  <conditionalFormatting sqref="R30">
    <cfRule type="colorScale" priority="2606">
      <colorScale>
        <cfvo type="min"/>
        <cfvo type="max"/>
        <color theme="0"/>
        <color theme="0"/>
      </colorScale>
    </cfRule>
    <cfRule type="expression" dxfId="3367" priority="2608">
      <formula>Q30&lt;0</formula>
    </cfRule>
  </conditionalFormatting>
  <conditionalFormatting sqref="R30:R31">
    <cfRule type="expression" dxfId="3366" priority="2605">
      <formula>IF(R30="Validar","Rojo","Verde")</formula>
    </cfRule>
    <cfRule type="expression" priority="2607">
      <formula>#REF!</formula>
    </cfRule>
  </conditionalFormatting>
  <conditionalFormatting sqref="R31">
    <cfRule type="colorScale" priority="2658">
      <colorScale>
        <cfvo type="min"/>
        <cfvo type="max"/>
        <color theme="0"/>
        <color theme="0"/>
      </colorScale>
    </cfRule>
    <cfRule type="expression" dxfId="3365" priority="2660">
      <formula>Q31&lt;0</formula>
    </cfRule>
  </conditionalFormatting>
  <conditionalFormatting sqref="R40">
    <cfRule type="colorScale" priority="2602">
      <colorScale>
        <cfvo type="min"/>
        <cfvo type="max"/>
        <color theme="0"/>
        <color theme="0"/>
      </colorScale>
    </cfRule>
    <cfRule type="expression" dxfId="3364" priority="2604">
      <formula>Q40&lt;0</formula>
    </cfRule>
  </conditionalFormatting>
  <conditionalFormatting sqref="R40:R67">
    <cfRule type="expression" dxfId="3363" priority="2601">
      <formula>IF(R40="Validar","Rojo","Verde")</formula>
    </cfRule>
    <cfRule type="expression" priority="2603">
      <formula>#REF!</formula>
    </cfRule>
  </conditionalFormatting>
  <conditionalFormatting sqref="R41:R67">
    <cfRule type="colorScale" priority="2654">
      <colorScale>
        <cfvo type="min"/>
        <cfvo type="max"/>
        <color theme="0"/>
        <color theme="0"/>
      </colorScale>
    </cfRule>
    <cfRule type="expression" dxfId="3362" priority="2656">
      <formula>Q41&lt;0</formula>
    </cfRule>
  </conditionalFormatting>
  <conditionalFormatting sqref="R69">
    <cfRule type="colorScale" priority="2598">
      <colorScale>
        <cfvo type="min"/>
        <cfvo type="max"/>
        <color theme="0"/>
        <color theme="0"/>
      </colorScale>
    </cfRule>
    <cfRule type="expression" dxfId="3361" priority="2600">
      <formula>Q69&lt;0</formula>
    </cfRule>
  </conditionalFormatting>
  <conditionalFormatting sqref="R69:R82">
    <cfRule type="expression" dxfId="3360" priority="2597">
      <formula>IF(R69="Validar","Rojo","Verde")</formula>
    </cfRule>
    <cfRule type="expression" priority="2599">
      <formula>#REF!</formula>
    </cfRule>
  </conditionalFormatting>
  <conditionalFormatting sqref="R70:R82">
    <cfRule type="colorScale" priority="2690">
      <colorScale>
        <cfvo type="min"/>
        <cfvo type="max"/>
        <color theme="0"/>
        <color theme="0"/>
      </colorScale>
    </cfRule>
    <cfRule type="expression" dxfId="3359" priority="2692">
      <formula>Q70&lt;0</formula>
    </cfRule>
  </conditionalFormatting>
  <conditionalFormatting sqref="R84">
    <cfRule type="colorScale" priority="2546">
      <colorScale>
        <cfvo type="min"/>
        <cfvo type="max"/>
        <color theme="0"/>
        <color theme="0"/>
      </colorScale>
    </cfRule>
    <cfRule type="expression" dxfId="3358" priority="2548">
      <formula>Q84&lt;0</formula>
    </cfRule>
  </conditionalFormatting>
  <conditionalFormatting sqref="R84:R91">
    <cfRule type="expression" dxfId="3357" priority="2545">
      <formula>IF(R84="Validar","Rojo","Verde")</formula>
    </cfRule>
    <cfRule type="expression" priority="2547">
      <formula>#REF!</formula>
    </cfRule>
  </conditionalFormatting>
  <conditionalFormatting sqref="R85:R91">
    <cfRule type="colorScale" priority="2650">
      <colorScale>
        <cfvo type="min"/>
        <cfvo type="max"/>
        <color theme="0"/>
        <color theme="0"/>
      </colorScale>
    </cfRule>
    <cfRule type="expression" dxfId="3356" priority="2652">
      <formula>Q85&lt;0</formula>
    </cfRule>
  </conditionalFormatting>
  <conditionalFormatting sqref="R93">
    <cfRule type="colorScale" priority="2594">
      <colorScale>
        <cfvo type="min"/>
        <cfvo type="max"/>
        <color theme="0"/>
        <color theme="0"/>
      </colorScale>
    </cfRule>
    <cfRule type="expression" dxfId="3355" priority="2596">
      <formula>Q93&lt;0</formula>
    </cfRule>
  </conditionalFormatting>
  <conditionalFormatting sqref="R93:R102">
    <cfRule type="expression" dxfId="3354" priority="2593">
      <formula>IF(R93="Validar","Rojo","Verde")</formula>
    </cfRule>
    <cfRule type="expression" priority="2595">
      <formula>#REF!</formula>
    </cfRule>
  </conditionalFormatting>
  <conditionalFormatting sqref="R94:R102">
    <cfRule type="colorScale" priority="2646">
      <colorScale>
        <cfvo type="min"/>
        <cfvo type="max"/>
        <color theme="0"/>
        <color theme="0"/>
      </colorScale>
    </cfRule>
    <cfRule type="expression" dxfId="3353" priority="2648">
      <formula>Q94&lt;0</formula>
    </cfRule>
  </conditionalFormatting>
  <conditionalFormatting sqref="R104">
    <cfRule type="colorScale" priority="2590">
      <colorScale>
        <cfvo type="min"/>
        <cfvo type="max"/>
        <color theme="0"/>
        <color theme="0"/>
      </colorScale>
    </cfRule>
    <cfRule type="expression" dxfId="3352" priority="2592">
      <formula>Q104&lt;0</formula>
    </cfRule>
  </conditionalFormatting>
  <conditionalFormatting sqref="R104:R106">
    <cfRule type="expression" dxfId="3351" priority="2589">
      <formula>IF(R104="Validar","Rojo","Verde")</formula>
    </cfRule>
    <cfRule type="expression" priority="2591">
      <formula>#REF!</formula>
    </cfRule>
  </conditionalFormatting>
  <conditionalFormatting sqref="R105:R106">
    <cfRule type="colorScale" priority="2642">
      <colorScale>
        <cfvo type="min"/>
        <cfvo type="max"/>
        <color theme="0"/>
        <color theme="0"/>
      </colorScale>
    </cfRule>
    <cfRule type="expression" dxfId="3350" priority="2644">
      <formula>Q105&lt;0</formula>
    </cfRule>
  </conditionalFormatting>
  <conditionalFormatting sqref="R110">
    <cfRule type="colorScale" priority="2638">
      <colorScale>
        <cfvo type="min"/>
        <cfvo type="max"/>
        <color theme="0"/>
        <color theme="0"/>
      </colorScale>
    </cfRule>
    <cfRule type="expression" dxfId="3349" priority="2640">
      <formula>Q110&lt;0</formula>
    </cfRule>
  </conditionalFormatting>
  <conditionalFormatting sqref="R110:R111">
    <cfRule type="expression" priority="2481">
      <formula>#REF!</formula>
    </cfRule>
  </conditionalFormatting>
  <conditionalFormatting sqref="R111">
    <cfRule type="colorScale" priority="2480">
      <colorScale>
        <cfvo type="min"/>
        <cfvo type="max"/>
        <color theme="0"/>
        <color theme="0"/>
      </colorScale>
    </cfRule>
    <cfRule type="expression" dxfId="3348" priority="2482">
      <formula>Q111&lt;0</formula>
    </cfRule>
  </conditionalFormatting>
  <conditionalFormatting sqref="R117:R123">
    <cfRule type="colorScale" priority="2634">
      <colorScale>
        <cfvo type="min"/>
        <cfvo type="max"/>
        <color theme="0"/>
        <color theme="0"/>
      </colorScale>
    </cfRule>
    <cfRule type="expression" dxfId="3347" priority="2636">
      <formula>Q117&lt;0</formula>
    </cfRule>
  </conditionalFormatting>
  <conditionalFormatting sqref="R125">
    <cfRule type="colorScale" priority="2586">
      <colorScale>
        <cfvo type="min"/>
        <cfvo type="max"/>
        <color theme="0"/>
        <color theme="0"/>
      </colorScale>
    </cfRule>
    <cfRule type="expression" dxfId="3346" priority="2588">
      <formula>Q125&lt;0</formula>
    </cfRule>
  </conditionalFormatting>
  <conditionalFormatting sqref="R125:R134">
    <cfRule type="expression" dxfId="3345" priority="2585">
      <formula>IF(R125="Validar","Rojo","Verde")</formula>
    </cfRule>
    <cfRule type="expression" priority="2587">
      <formula>#REF!</formula>
    </cfRule>
  </conditionalFormatting>
  <conditionalFormatting sqref="R126:R134">
    <cfRule type="colorScale" priority="2630">
      <colorScale>
        <cfvo type="min"/>
        <cfvo type="max"/>
        <color theme="0"/>
        <color theme="0"/>
      </colorScale>
    </cfRule>
    <cfRule type="expression" dxfId="3344" priority="2632">
      <formula>Q126&lt;0</formula>
    </cfRule>
  </conditionalFormatting>
  <conditionalFormatting sqref="T6:T10">
    <cfRule type="colorScale" priority="3306">
      <colorScale>
        <cfvo type="min"/>
        <cfvo type="max"/>
        <color theme="0"/>
        <color theme="0"/>
      </colorScale>
    </cfRule>
    <cfRule type="expression" dxfId="3343" priority="3308">
      <formula>S6&lt;0</formula>
    </cfRule>
  </conditionalFormatting>
  <conditionalFormatting sqref="T6:T21">
    <cfRule type="expression" dxfId="3342" priority="3069">
      <formula>IF(T6="Validar","Rojo","Verde")</formula>
    </cfRule>
    <cfRule type="expression" priority="3071">
      <formula>#REF!</formula>
    </cfRule>
  </conditionalFormatting>
  <conditionalFormatting sqref="T11">
    <cfRule type="colorScale" priority="3118">
      <colorScale>
        <cfvo type="min"/>
        <cfvo type="max"/>
        <color theme="0"/>
        <color theme="0"/>
      </colorScale>
    </cfRule>
    <cfRule type="expression" dxfId="3341" priority="3120">
      <formula>S11&lt;0</formula>
    </cfRule>
  </conditionalFormatting>
  <conditionalFormatting sqref="T12:T15">
    <cfRule type="colorScale" priority="3302">
      <colorScale>
        <cfvo type="min"/>
        <cfvo type="max"/>
        <color theme="0"/>
        <color theme="0"/>
      </colorScale>
    </cfRule>
    <cfRule type="expression" dxfId="3340" priority="3304">
      <formula>S12&lt;0</formula>
    </cfRule>
  </conditionalFormatting>
  <conditionalFormatting sqref="T16">
    <cfRule type="colorScale" priority="3094">
      <colorScale>
        <cfvo type="min"/>
        <cfvo type="max"/>
        <color theme="0"/>
        <color theme="0"/>
      </colorScale>
    </cfRule>
    <cfRule type="expression" dxfId="3339" priority="3096">
      <formula>S16&lt;0</formula>
    </cfRule>
  </conditionalFormatting>
  <conditionalFormatting sqref="T17:T18">
    <cfRule type="colorScale" priority="3298">
      <colorScale>
        <cfvo type="min"/>
        <cfvo type="max"/>
        <color theme="0"/>
        <color theme="0"/>
      </colorScale>
    </cfRule>
    <cfRule type="expression" dxfId="3338" priority="3300">
      <formula>S17&lt;0</formula>
    </cfRule>
  </conditionalFormatting>
  <conditionalFormatting sqref="T19">
    <cfRule type="colorScale" priority="3070">
      <colorScale>
        <cfvo type="min"/>
        <cfvo type="max"/>
        <color theme="0"/>
        <color theme="0"/>
      </colorScale>
    </cfRule>
    <cfRule type="expression" dxfId="3337" priority="3072">
      <formula>S19&lt;0</formula>
    </cfRule>
  </conditionalFormatting>
  <conditionalFormatting sqref="T20:T21">
    <cfRule type="colorScale" priority="3294">
      <colorScale>
        <cfvo type="min"/>
        <cfvo type="max"/>
        <color theme="0"/>
        <color theme="0"/>
      </colorScale>
    </cfRule>
    <cfRule type="expression" dxfId="3336" priority="3296">
      <formula>S20&lt;0</formula>
    </cfRule>
  </conditionalFormatting>
  <conditionalFormatting sqref="T24">
    <cfRule type="colorScale" priority="3046">
      <colorScale>
        <cfvo type="min"/>
        <cfvo type="max"/>
        <color theme="0"/>
        <color theme="0"/>
      </colorScale>
    </cfRule>
    <cfRule type="expression" dxfId="3335" priority="3048">
      <formula>S24&lt;0</formula>
    </cfRule>
  </conditionalFormatting>
  <conditionalFormatting sqref="T24:T32">
    <cfRule type="expression" dxfId="3334" priority="2997">
      <formula>IF(T24="Validar","Rojo","Verde")</formula>
    </cfRule>
    <cfRule type="expression" priority="2999">
      <formula>#REF!</formula>
    </cfRule>
  </conditionalFormatting>
  <conditionalFormatting sqref="T25">
    <cfRule type="colorScale" priority="3290">
      <colorScale>
        <cfvo type="min"/>
        <cfvo type="max"/>
        <color theme="0"/>
        <color theme="0"/>
      </colorScale>
    </cfRule>
    <cfRule type="expression" dxfId="3333" priority="3292">
      <formula>S25&lt;0</formula>
    </cfRule>
  </conditionalFormatting>
  <conditionalFormatting sqref="T26">
    <cfRule type="colorScale" priority="3286">
      <colorScale>
        <cfvo type="min"/>
        <cfvo type="max"/>
        <color theme="0"/>
        <color theme="0"/>
      </colorScale>
    </cfRule>
    <cfRule type="expression" dxfId="3332" priority="3288">
      <formula>S26&lt;0</formula>
    </cfRule>
  </conditionalFormatting>
  <conditionalFormatting sqref="T27">
    <cfRule type="colorScale" priority="3022">
      <colorScale>
        <cfvo type="min"/>
        <cfvo type="max"/>
        <color theme="0"/>
        <color theme="0"/>
      </colorScale>
    </cfRule>
    <cfRule type="expression" dxfId="3331" priority="3024">
      <formula>S27&lt;0</formula>
    </cfRule>
  </conditionalFormatting>
  <conditionalFormatting sqref="T28">
    <cfRule type="colorScale" priority="3282">
      <colorScale>
        <cfvo type="min"/>
        <cfvo type="max"/>
        <color theme="0"/>
        <color theme="0"/>
      </colorScale>
    </cfRule>
    <cfRule type="expression" dxfId="3330" priority="3284">
      <formula>S28&lt;0</formula>
    </cfRule>
  </conditionalFormatting>
  <conditionalFormatting sqref="T29">
    <cfRule type="colorScale" priority="3278">
      <colorScale>
        <cfvo type="min"/>
        <cfvo type="max"/>
        <color theme="0"/>
        <color theme="0"/>
      </colorScale>
    </cfRule>
    <cfRule type="expression" dxfId="3329" priority="3280">
      <formula>S29&lt;0</formula>
    </cfRule>
  </conditionalFormatting>
  <conditionalFormatting sqref="T30">
    <cfRule type="colorScale" priority="2998">
      <colorScale>
        <cfvo type="min"/>
        <cfvo type="max"/>
        <color theme="0"/>
        <color theme="0"/>
      </colorScale>
    </cfRule>
    <cfRule type="expression" dxfId="3328" priority="3000">
      <formula>S30&lt;0</formula>
    </cfRule>
  </conditionalFormatting>
  <conditionalFormatting sqref="T31">
    <cfRule type="colorScale" priority="3274">
      <colorScale>
        <cfvo type="min"/>
        <cfvo type="max"/>
        <color theme="0"/>
        <color theme="0"/>
      </colorScale>
    </cfRule>
    <cfRule type="expression" dxfId="3327" priority="3276">
      <formula>S31&lt;0</formula>
    </cfRule>
  </conditionalFormatting>
  <conditionalFormatting sqref="T32">
    <cfRule type="colorScale" priority="3270">
      <colorScale>
        <cfvo type="min"/>
        <cfvo type="max"/>
        <color theme="0"/>
        <color theme="0"/>
      </colorScale>
    </cfRule>
    <cfRule type="expression" dxfId="3326" priority="3272">
      <formula>S32&lt;0</formula>
    </cfRule>
  </conditionalFormatting>
  <conditionalFormatting sqref="T40">
    <cfRule type="colorScale" priority="2974">
      <colorScale>
        <cfvo type="min"/>
        <cfvo type="max"/>
        <color theme="0"/>
        <color theme="0"/>
      </colorScale>
    </cfRule>
    <cfRule type="expression" priority="2975">
      <formula>#REF!</formula>
    </cfRule>
    <cfRule type="expression" dxfId="3325" priority="2976">
      <formula>S40&lt;0</formula>
    </cfRule>
  </conditionalFormatting>
  <conditionalFormatting sqref="T40:T107">
    <cfRule type="expression" dxfId="3324" priority="2562">
      <formula>IF(T40="Validar","Rojo","Verde")</formula>
    </cfRule>
  </conditionalFormatting>
  <conditionalFormatting sqref="T41:T68">
    <cfRule type="colorScale" priority="3266">
      <colorScale>
        <cfvo type="min"/>
        <cfvo type="max"/>
        <color theme="0"/>
        <color theme="0"/>
      </colorScale>
    </cfRule>
    <cfRule type="expression" priority="3267">
      <formula>$F$20</formula>
    </cfRule>
    <cfRule type="expression" dxfId="3323" priority="3268">
      <formula>S41&lt;0</formula>
    </cfRule>
  </conditionalFormatting>
  <conditionalFormatting sqref="T69">
    <cfRule type="colorScale" priority="2950">
      <colorScale>
        <cfvo type="min"/>
        <cfvo type="max"/>
        <color theme="0"/>
        <color theme="0"/>
      </colorScale>
    </cfRule>
    <cfRule type="expression" priority="2951">
      <formula>#REF!</formula>
    </cfRule>
    <cfRule type="expression" dxfId="3322" priority="2952">
      <formula>S69&lt;0</formula>
    </cfRule>
  </conditionalFormatting>
  <conditionalFormatting sqref="T70:T82">
    <cfRule type="colorScale" priority="3846">
      <colorScale>
        <cfvo type="min"/>
        <cfvo type="max"/>
        <color theme="0"/>
        <color theme="0"/>
      </colorScale>
    </cfRule>
    <cfRule type="expression" priority="3847">
      <formula>$F$20</formula>
    </cfRule>
    <cfRule type="expression" dxfId="3321" priority="3848">
      <formula>S70&lt;0</formula>
    </cfRule>
  </conditionalFormatting>
  <conditionalFormatting sqref="T83 T92 T103 T107">
    <cfRule type="expression" dxfId="3320" priority="3840">
      <formula>S83&lt;0</formula>
    </cfRule>
  </conditionalFormatting>
  <conditionalFormatting sqref="T84">
    <cfRule type="colorScale" priority="2563">
      <colorScale>
        <cfvo type="min"/>
        <cfvo type="max"/>
        <color theme="0"/>
        <color theme="0"/>
      </colorScale>
    </cfRule>
    <cfRule type="expression" priority="2564">
      <formula>#REF!</formula>
    </cfRule>
    <cfRule type="expression" dxfId="3319" priority="2565">
      <formula>S84&lt;0</formula>
    </cfRule>
  </conditionalFormatting>
  <conditionalFormatting sqref="T85:T91">
    <cfRule type="colorScale" priority="3854">
      <colorScale>
        <cfvo type="min"/>
        <cfvo type="max"/>
        <color theme="0"/>
        <color theme="0"/>
      </colorScale>
    </cfRule>
    <cfRule type="expression" priority="3855">
      <formula>$F$20</formula>
    </cfRule>
    <cfRule type="expression" dxfId="3318" priority="3856">
      <formula>S85&lt;0</formula>
    </cfRule>
  </conditionalFormatting>
  <conditionalFormatting sqref="T83 T92 T103 T107">
    <cfRule type="colorScale" priority="3838">
      <colorScale>
        <cfvo type="min"/>
        <cfvo type="max"/>
        <color theme="0"/>
        <color theme="0"/>
      </colorScale>
    </cfRule>
  </conditionalFormatting>
  <conditionalFormatting sqref="T93">
    <cfRule type="colorScale" priority="2926">
      <colorScale>
        <cfvo type="min"/>
        <cfvo type="max"/>
        <color theme="0"/>
        <color theme="0"/>
      </colorScale>
    </cfRule>
    <cfRule type="expression" priority="2927">
      <formula>#REF!</formula>
    </cfRule>
    <cfRule type="expression" dxfId="3317" priority="2928">
      <formula>S93&lt;0</formula>
    </cfRule>
  </conditionalFormatting>
  <conditionalFormatting sqref="T94:T102">
    <cfRule type="colorScale" priority="3858">
      <colorScale>
        <cfvo type="min"/>
        <cfvo type="max"/>
        <color theme="0"/>
        <color theme="0"/>
      </colorScale>
    </cfRule>
    <cfRule type="expression" priority="3859">
      <formula>$F$20</formula>
    </cfRule>
    <cfRule type="expression" dxfId="3316" priority="3860">
      <formula>S94&lt;0</formula>
    </cfRule>
  </conditionalFormatting>
  <conditionalFormatting sqref="T104">
    <cfRule type="colorScale" priority="2902">
      <colorScale>
        <cfvo type="min"/>
        <cfvo type="max"/>
        <color theme="0"/>
        <color theme="0"/>
      </colorScale>
    </cfRule>
    <cfRule type="expression" priority="2903">
      <formula>#REF!</formula>
    </cfRule>
    <cfRule type="expression" dxfId="3315" priority="2904">
      <formula>S104&lt;0</formula>
    </cfRule>
  </conditionalFormatting>
  <conditionalFormatting sqref="T105:T106">
    <cfRule type="colorScale" priority="3862">
      <colorScale>
        <cfvo type="min"/>
        <cfvo type="max"/>
        <color theme="0"/>
        <color theme="0"/>
      </colorScale>
    </cfRule>
    <cfRule type="expression" priority="3863">
      <formula>$F$20</formula>
    </cfRule>
    <cfRule type="expression" dxfId="3314" priority="3864">
      <formula>S105&lt;0</formula>
    </cfRule>
  </conditionalFormatting>
  <conditionalFormatting sqref="T110">
    <cfRule type="colorScale" priority="3866">
      <colorScale>
        <cfvo type="min"/>
        <cfvo type="max"/>
        <color theme="0"/>
        <color theme="0"/>
      </colorScale>
    </cfRule>
    <cfRule type="expression" dxfId="3313" priority="3868">
      <formula>S110&lt;0</formula>
    </cfRule>
  </conditionalFormatting>
  <conditionalFormatting sqref="T110:T111">
    <cfRule type="expression" priority="2498">
      <formula>$F$20</formula>
    </cfRule>
  </conditionalFormatting>
  <conditionalFormatting sqref="T111">
    <cfRule type="colorScale" priority="2497">
      <colorScale>
        <cfvo type="min"/>
        <cfvo type="max"/>
        <color theme="0"/>
        <color theme="0"/>
      </colorScale>
    </cfRule>
    <cfRule type="expression" dxfId="3312" priority="2499">
      <formula>S111&lt;0</formula>
    </cfRule>
  </conditionalFormatting>
  <conditionalFormatting sqref="T117:T123">
    <cfRule type="colorScale" priority="3958">
      <colorScale>
        <cfvo type="min"/>
        <cfvo type="max"/>
        <color theme="0"/>
        <color theme="0"/>
      </colorScale>
    </cfRule>
    <cfRule type="expression" priority="3959">
      <formula>$F$20</formula>
    </cfRule>
    <cfRule type="expression" dxfId="3311" priority="3960">
      <formula>S117&lt;0</formula>
    </cfRule>
  </conditionalFormatting>
  <conditionalFormatting sqref="T125">
    <cfRule type="colorScale" priority="2878">
      <colorScale>
        <cfvo type="min"/>
        <cfvo type="max"/>
        <color theme="0"/>
        <color theme="0"/>
      </colorScale>
    </cfRule>
    <cfRule type="expression" priority="2879">
      <formula>#REF!</formula>
    </cfRule>
    <cfRule type="expression" dxfId="3310" priority="2880">
      <formula>S125&lt;0</formula>
    </cfRule>
  </conditionalFormatting>
  <conditionalFormatting sqref="T125:T135">
    <cfRule type="expression" dxfId="3309" priority="2877">
      <formula>IF(T125="Validar","Rojo","Verde")</formula>
    </cfRule>
  </conditionalFormatting>
  <conditionalFormatting sqref="T126:T132">
    <cfRule type="colorScale" priority="3962">
      <colorScale>
        <cfvo type="min"/>
        <cfvo type="max"/>
        <color theme="0"/>
        <color theme="0"/>
      </colorScale>
    </cfRule>
    <cfRule type="expression" dxfId="3308" priority="3964">
      <formula>S126&lt;0</formula>
    </cfRule>
  </conditionalFormatting>
  <conditionalFormatting sqref="T126:T134">
    <cfRule type="expression" priority="3963">
      <formula>$F$20</formula>
    </cfRule>
  </conditionalFormatting>
  <conditionalFormatting sqref="T133:T134">
    <cfRule type="colorScale" priority="3966">
      <colorScale>
        <cfvo type="min"/>
        <cfvo type="max"/>
        <color theme="0"/>
        <color theme="0"/>
      </colorScale>
    </cfRule>
    <cfRule type="expression" dxfId="3307" priority="3968">
      <formula>S133&lt;0</formula>
    </cfRule>
  </conditionalFormatting>
  <conditionalFormatting sqref="T135">
    <cfRule type="colorScale" priority="3950">
      <colorScale>
        <cfvo type="min"/>
        <cfvo type="max"/>
        <color theme="0"/>
        <color theme="0"/>
      </colorScale>
    </cfRule>
    <cfRule type="expression" priority="3951">
      <formula>$F$24</formula>
    </cfRule>
    <cfRule type="expression" dxfId="3306" priority="3952">
      <formula>S135&lt;0</formula>
    </cfRule>
  </conditionalFormatting>
  <conditionalFormatting sqref="T83:U83 T92:U92 T103:U103 T107:U107">
    <cfRule type="expression" priority="3839">
      <formula>$F$24</formula>
    </cfRule>
  </conditionalFormatting>
  <conditionalFormatting sqref="T110:U111">
    <cfRule type="expression" dxfId="3305" priority="2492">
      <formula>IF(T110="Validar","Rojo","Verde")</formula>
    </cfRule>
  </conditionalFormatting>
  <conditionalFormatting sqref="T117:U123">
    <cfRule type="expression" dxfId="3304" priority="3213">
      <formula>IF(T117="Validar","Rojo","Verde")</formula>
    </cfRule>
  </conditionalFormatting>
  <conditionalFormatting sqref="U41:U67">
    <cfRule type="colorScale" priority="3262">
      <colorScale>
        <cfvo type="min"/>
        <cfvo type="max"/>
        <color theme="0"/>
        <color theme="0"/>
      </colorScale>
    </cfRule>
    <cfRule type="expression" priority="3263">
      <formula>#REF!</formula>
    </cfRule>
    <cfRule type="expression" dxfId="3303" priority="3264">
      <formula>T41&lt;0</formula>
    </cfRule>
  </conditionalFormatting>
  <conditionalFormatting sqref="U41:U68">
    <cfRule type="expression" dxfId="3302" priority="3261">
      <formula>IF(U41="Validar","Rojo","Verde")</formula>
    </cfRule>
  </conditionalFormatting>
  <conditionalFormatting sqref="U68 U83 U92 U103 U107">
    <cfRule type="expression" dxfId="3301" priority="3844">
      <formula>T68&lt;0</formula>
    </cfRule>
  </conditionalFormatting>
  <conditionalFormatting sqref="U68">
    <cfRule type="expression" priority="3843">
      <formula>$F$24</formula>
    </cfRule>
  </conditionalFormatting>
  <conditionalFormatting sqref="U70">
    <cfRule type="colorScale" priority="3258">
      <colorScale>
        <cfvo type="min"/>
        <cfvo type="max"/>
        <color theme="0"/>
        <color theme="0"/>
      </colorScale>
    </cfRule>
    <cfRule type="expression" dxfId="3300" priority="3260">
      <formula>T70&lt;0</formula>
    </cfRule>
  </conditionalFormatting>
  <conditionalFormatting sqref="U70:U82">
    <cfRule type="expression" priority="3255">
      <formula>#REF!</formula>
    </cfRule>
  </conditionalFormatting>
  <conditionalFormatting sqref="U70:U83">
    <cfRule type="expression" dxfId="3299" priority="3253">
      <formula>IF(U70="Validar","Rojo","Verde")</formula>
    </cfRule>
  </conditionalFormatting>
  <conditionalFormatting sqref="U71:U79">
    <cfRule type="colorScale" priority="3254">
      <colorScale>
        <cfvo type="min"/>
        <cfvo type="max"/>
        <color theme="0"/>
        <color theme="0"/>
      </colorScale>
    </cfRule>
    <cfRule type="expression" dxfId="3298" priority="3256">
      <formula>T71&lt;0</formula>
    </cfRule>
  </conditionalFormatting>
  <conditionalFormatting sqref="U80:U82">
    <cfRule type="colorScale" priority="3850">
      <colorScale>
        <cfvo type="min"/>
        <cfvo type="max"/>
        <color theme="0"/>
        <color theme="0"/>
      </colorScale>
    </cfRule>
    <cfRule type="expression" dxfId="3297" priority="3852">
      <formula>T80&lt;0</formula>
    </cfRule>
  </conditionalFormatting>
  <conditionalFormatting sqref="U83 U68 U92 U103 U107">
    <cfRule type="colorScale" priority="3842">
      <colorScale>
        <cfvo type="min"/>
        <cfvo type="max"/>
        <color theme="0"/>
        <color theme="0"/>
      </colorScale>
    </cfRule>
  </conditionalFormatting>
  <conditionalFormatting sqref="U85">
    <cfRule type="colorScale" priority="3250">
      <colorScale>
        <cfvo type="min"/>
        <cfvo type="max"/>
        <color theme="0"/>
        <color theme="0"/>
      </colorScale>
    </cfRule>
    <cfRule type="expression" dxfId="3296" priority="3252">
      <formula>T85&lt;0</formula>
    </cfRule>
  </conditionalFormatting>
  <conditionalFormatting sqref="U85:U91">
    <cfRule type="expression" priority="3247">
      <formula>#REF!</formula>
    </cfRule>
  </conditionalFormatting>
  <conditionalFormatting sqref="U85:U92">
    <cfRule type="expression" dxfId="3295" priority="3245">
      <formula>IF(U85="Validar","Rojo","Verde")</formula>
    </cfRule>
  </conditionalFormatting>
  <conditionalFormatting sqref="U86:U91">
    <cfRule type="colorScale" priority="3246">
      <colorScale>
        <cfvo type="min"/>
        <cfvo type="max"/>
        <color theme="0"/>
        <color theme="0"/>
      </colorScale>
    </cfRule>
    <cfRule type="expression" dxfId="3294" priority="3248">
      <formula>T86&lt;0</formula>
    </cfRule>
  </conditionalFormatting>
  <conditionalFormatting sqref="U94">
    <cfRule type="colorScale" priority="3242">
      <colorScale>
        <cfvo type="min"/>
        <cfvo type="max"/>
        <color theme="0"/>
        <color theme="0"/>
      </colorScale>
    </cfRule>
    <cfRule type="expression" dxfId="3293" priority="3244">
      <formula>T94&lt;0</formula>
    </cfRule>
  </conditionalFormatting>
  <conditionalFormatting sqref="U94:U102">
    <cfRule type="expression" priority="3231">
      <formula>#REF!</formula>
    </cfRule>
  </conditionalFormatting>
  <conditionalFormatting sqref="U94:U103">
    <cfRule type="expression" dxfId="3292" priority="3229">
      <formula>IF(U94="Validar","Rojo","Verde")</formula>
    </cfRule>
  </conditionalFormatting>
  <conditionalFormatting sqref="U95:U100">
    <cfRule type="colorScale" priority="3238">
      <colorScale>
        <cfvo type="min"/>
        <cfvo type="max"/>
        <color theme="0"/>
        <color theme="0"/>
      </colorScale>
    </cfRule>
    <cfRule type="expression" dxfId="3291" priority="3240">
      <formula>T95&lt;0</formula>
    </cfRule>
  </conditionalFormatting>
  <conditionalFormatting sqref="U101">
    <cfRule type="colorScale" priority="3234">
      <colorScale>
        <cfvo type="min"/>
        <cfvo type="max"/>
        <color theme="0"/>
        <color theme="0"/>
      </colorScale>
    </cfRule>
    <cfRule type="expression" dxfId="3290" priority="3236">
      <formula>T101&lt;0</formula>
    </cfRule>
  </conditionalFormatting>
  <conditionalFormatting sqref="U102">
    <cfRule type="colorScale" priority="3230">
      <colorScale>
        <cfvo type="min"/>
        <cfvo type="max"/>
        <color theme="0"/>
        <color theme="0"/>
      </colorScale>
    </cfRule>
    <cfRule type="expression" dxfId="3289" priority="3232">
      <formula>T102&lt;0</formula>
    </cfRule>
  </conditionalFormatting>
  <conditionalFormatting sqref="U105">
    <cfRule type="colorScale" priority="3226">
      <colorScale>
        <cfvo type="min"/>
        <cfvo type="max"/>
        <color theme="0"/>
        <color theme="0"/>
      </colorScale>
    </cfRule>
    <cfRule type="expression" dxfId="3288" priority="3228">
      <formula>T105&lt;0</formula>
    </cfRule>
  </conditionalFormatting>
  <conditionalFormatting sqref="U105:U106">
    <cfRule type="expression" priority="3223">
      <formula>#REF!</formula>
    </cfRule>
  </conditionalFormatting>
  <conditionalFormatting sqref="U105:U107">
    <cfRule type="expression" dxfId="3287" priority="3221">
      <formula>IF(U105="Validar","Rojo","Verde")</formula>
    </cfRule>
  </conditionalFormatting>
  <conditionalFormatting sqref="U106">
    <cfRule type="colorScale" priority="3222">
      <colorScale>
        <cfvo type="min"/>
        <cfvo type="max"/>
        <color theme="0"/>
        <color theme="0"/>
      </colorScale>
    </cfRule>
    <cfRule type="expression" dxfId="3286" priority="3224">
      <formula>T106&lt;0</formula>
    </cfRule>
  </conditionalFormatting>
  <conditionalFormatting sqref="U110">
    <cfRule type="colorScale" priority="3210">
      <colorScale>
        <cfvo type="min"/>
        <cfvo type="max"/>
        <color theme="0"/>
        <color theme="0"/>
      </colorScale>
    </cfRule>
    <cfRule type="expression" dxfId="3285" priority="3212">
      <formula>T110&lt;0</formula>
    </cfRule>
  </conditionalFormatting>
  <conditionalFormatting sqref="U110:U111">
    <cfRule type="expression" priority="2494">
      <formula>#REF!</formula>
    </cfRule>
  </conditionalFormatting>
  <conditionalFormatting sqref="U111">
    <cfRule type="colorScale" priority="2493">
      <colorScale>
        <cfvo type="min"/>
        <cfvo type="max"/>
        <color theme="0"/>
        <color theme="0"/>
      </colorScale>
    </cfRule>
    <cfRule type="expression" dxfId="3284" priority="2495">
      <formula>T111&lt;0</formula>
    </cfRule>
  </conditionalFormatting>
  <conditionalFormatting sqref="U117">
    <cfRule type="colorScale" priority="3218">
      <colorScale>
        <cfvo type="min"/>
        <cfvo type="max"/>
        <color theme="0"/>
        <color theme="0"/>
      </colorScale>
    </cfRule>
    <cfRule type="expression" dxfId="3283" priority="3220">
      <formula>T117&lt;0</formula>
    </cfRule>
  </conditionalFormatting>
  <conditionalFormatting sqref="U117:U123">
    <cfRule type="expression" priority="3215">
      <formula>#REF!</formula>
    </cfRule>
  </conditionalFormatting>
  <conditionalFormatting sqref="U118:U123">
    <cfRule type="colorScale" priority="3214">
      <colorScale>
        <cfvo type="min"/>
        <cfvo type="max"/>
        <color theme="0"/>
        <color theme="0"/>
      </colorScale>
    </cfRule>
    <cfRule type="expression" dxfId="3282" priority="3216">
      <formula>T118&lt;0</formula>
    </cfRule>
  </conditionalFormatting>
  <conditionalFormatting sqref="U126:U135">
    <cfRule type="expression" dxfId="3281" priority="3953">
      <formula>IF(U126="Validar","Rojo","Verde")</formula>
    </cfRule>
    <cfRule type="colorScale" priority="3954">
      <colorScale>
        <cfvo type="min"/>
        <cfvo type="max"/>
        <color theme="0"/>
        <color theme="0"/>
      </colorScale>
    </cfRule>
    <cfRule type="expression" priority="3955">
      <formula>$F$24</formula>
    </cfRule>
    <cfRule type="expression" dxfId="3280" priority="3956">
      <formula>T126&lt;0</formula>
    </cfRule>
  </conditionalFormatting>
  <conditionalFormatting sqref="W6:W10">
    <cfRule type="colorScale" priority="3178">
      <colorScale>
        <cfvo type="min"/>
        <cfvo type="max"/>
        <color theme="0"/>
        <color theme="0"/>
      </colorScale>
    </cfRule>
    <cfRule type="expression" dxfId="3279" priority="3180">
      <formula>V6&lt;0</formula>
    </cfRule>
  </conditionalFormatting>
  <conditionalFormatting sqref="W6:W21">
    <cfRule type="expression" dxfId="3278" priority="3065">
      <formula>IF(W6="Validar","Rojo","Verde")</formula>
    </cfRule>
    <cfRule type="expression" priority="3067">
      <formula>#REF!</formula>
    </cfRule>
  </conditionalFormatting>
  <conditionalFormatting sqref="W11">
    <cfRule type="colorScale" priority="3114">
      <colorScale>
        <cfvo type="min"/>
        <cfvo type="max"/>
        <color theme="0"/>
        <color theme="0"/>
      </colorScale>
    </cfRule>
    <cfRule type="expression" dxfId="3277" priority="3116">
      <formula>V11&lt;0</formula>
    </cfRule>
  </conditionalFormatting>
  <conditionalFormatting sqref="W12:W15">
    <cfRule type="colorScale" priority="3174">
      <colorScale>
        <cfvo type="min"/>
        <cfvo type="max"/>
        <color theme="0"/>
        <color theme="0"/>
      </colorScale>
    </cfRule>
    <cfRule type="expression" dxfId="3276" priority="3176">
      <formula>V12&lt;0</formula>
    </cfRule>
  </conditionalFormatting>
  <conditionalFormatting sqref="W16">
    <cfRule type="colorScale" priority="3090">
      <colorScale>
        <cfvo type="min"/>
        <cfvo type="max"/>
        <color theme="0"/>
        <color theme="0"/>
      </colorScale>
    </cfRule>
    <cfRule type="expression" dxfId="3275" priority="3092">
      <formula>V16&lt;0</formula>
    </cfRule>
  </conditionalFormatting>
  <conditionalFormatting sqref="W17:W18">
    <cfRule type="colorScale" priority="3170">
      <colorScale>
        <cfvo type="min"/>
        <cfvo type="max"/>
        <color theme="0"/>
        <color theme="0"/>
      </colorScale>
    </cfRule>
    <cfRule type="expression" dxfId="3274" priority="3172">
      <formula>V17&lt;0</formula>
    </cfRule>
  </conditionalFormatting>
  <conditionalFormatting sqref="W19">
    <cfRule type="colorScale" priority="3066">
      <colorScale>
        <cfvo type="min"/>
        <cfvo type="max"/>
        <color theme="0"/>
        <color theme="0"/>
      </colorScale>
    </cfRule>
    <cfRule type="expression" dxfId="3273" priority="3068">
      <formula>V19&lt;0</formula>
    </cfRule>
  </conditionalFormatting>
  <conditionalFormatting sqref="W20:W21">
    <cfRule type="colorScale" priority="3166">
      <colorScale>
        <cfvo type="min"/>
        <cfvo type="max"/>
        <color theme="0"/>
        <color theme="0"/>
      </colorScale>
    </cfRule>
    <cfRule type="expression" dxfId="3272" priority="3168">
      <formula>V20&lt;0</formula>
    </cfRule>
  </conditionalFormatting>
  <conditionalFormatting sqref="W24">
    <cfRule type="colorScale" priority="3042">
      <colorScale>
        <cfvo type="min"/>
        <cfvo type="max"/>
        <color theme="0"/>
        <color theme="0"/>
      </colorScale>
    </cfRule>
    <cfRule type="expression" dxfId="3271" priority="3044">
      <formula>V24&lt;0</formula>
    </cfRule>
  </conditionalFormatting>
  <conditionalFormatting sqref="W24:W32">
    <cfRule type="expression" dxfId="3270" priority="2993">
      <formula>IF(W24="Validar","Rojo","Verde")</formula>
    </cfRule>
    <cfRule type="expression" priority="2995">
      <formula>#REF!</formula>
    </cfRule>
  </conditionalFormatting>
  <conditionalFormatting sqref="W25">
    <cfRule type="colorScale" priority="3162">
      <colorScale>
        <cfvo type="min"/>
        <cfvo type="max"/>
        <color theme="0"/>
        <color theme="0"/>
      </colorScale>
    </cfRule>
    <cfRule type="expression" dxfId="3269" priority="3164">
      <formula>V25&lt;0</formula>
    </cfRule>
  </conditionalFormatting>
  <conditionalFormatting sqref="W26">
    <cfRule type="colorScale" priority="3158">
      <colorScale>
        <cfvo type="min"/>
        <cfvo type="max"/>
        <color theme="0"/>
        <color theme="0"/>
      </colorScale>
    </cfRule>
    <cfRule type="expression" dxfId="3268" priority="3160">
      <formula>V26&lt;0</formula>
    </cfRule>
  </conditionalFormatting>
  <conditionalFormatting sqref="W27">
    <cfRule type="colorScale" priority="3018">
      <colorScale>
        <cfvo type="min"/>
        <cfvo type="max"/>
        <color theme="0"/>
        <color theme="0"/>
      </colorScale>
    </cfRule>
    <cfRule type="expression" dxfId="3267" priority="3020">
      <formula>V27&lt;0</formula>
    </cfRule>
  </conditionalFormatting>
  <conditionalFormatting sqref="W28">
    <cfRule type="colorScale" priority="3154">
      <colorScale>
        <cfvo type="min"/>
        <cfvo type="max"/>
        <color theme="0"/>
        <color theme="0"/>
      </colorScale>
    </cfRule>
    <cfRule type="expression" dxfId="3266" priority="3156">
      <formula>V28&lt;0</formula>
    </cfRule>
  </conditionalFormatting>
  <conditionalFormatting sqref="W29">
    <cfRule type="colorScale" priority="3150">
      <colorScale>
        <cfvo type="min"/>
        <cfvo type="max"/>
        <color theme="0"/>
        <color theme="0"/>
      </colorScale>
    </cfRule>
    <cfRule type="expression" dxfId="3265" priority="3152">
      <formula>V29&lt;0</formula>
    </cfRule>
  </conditionalFormatting>
  <conditionalFormatting sqref="W30">
    <cfRule type="colorScale" priority="2994">
      <colorScale>
        <cfvo type="min"/>
        <cfvo type="max"/>
        <color theme="0"/>
        <color theme="0"/>
      </colorScale>
    </cfRule>
    <cfRule type="expression" dxfId="3264" priority="2996">
      <formula>V30&lt;0</formula>
    </cfRule>
  </conditionalFormatting>
  <conditionalFormatting sqref="W31">
    <cfRule type="colorScale" priority="3146">
      <colorScale>
        <cfvo type="min"/>
        <cfvo type="max"/>
        <color theme="0"/>
        <color theme="0"/>
      </colorScale>
    </cfRule>
    <cfRule type="expression" dxfId="3263" priority="3148">
      <formula>V31&lt;0</formula>
    </cfRule>
  </conditionalFormatting>
  <conditionalFormatting sqref="W32">
    <cfRule type="colorScale" priority="3142">
      <colorScale>
        <cfvo type="min"/>
        <cfvo type="max"/>
        <color theme="0"/>
        <color theme="0"/>
      </colorScale>
    </cfRule>
    <cfRule type="expression" dxfId="3262" priority="3144">
      <formula>V32&lt;0</formula>
    </cfRule>
  </conditionalFormatting>
  <conditionalFormatting sqref="W40">
    <cfRule type="colorScale" priority="2970">
      <colorScale>
        <cfvo type="min"/>
        <cfvo type="max"/>
        <color theme="0"/>
        <color theme="0"/>
      </colorScale>
    </cfRule>
    <cfRule type="expression" priority="2971">
      <formula>#REF!</formula>
    </cfRule>
    <cfRule type="expression" dxfId="3261" priority="2972">
      <formula>V40&lt;0</formula>
    </cfRule>
  </conditionalFormatting>
  <conditionalFormatting sqref="W40:W107">
    <cfRule type="expression" dxfId="3260" priority="2558">
      <formula>IF(W40="Validar","Rojo","Verde")</formula>
    </cfRule>
  </conditionalFormatting>
  <conditionalFormatting sqref="W41:W68">
    <cfRule type="colorScale" priority="3138">
      <colorScale>
        <cfvo type="min"/>
        <cfvo type="max"/>
        <color theme="0"/>
        <color theme="0"/>
      </colorScale>
    </cfRule>
    <cfRule type="expression" priority="3139">
      <formula>$F$20</formula>
    </cfRule>
    <cfRule type="expression" dxfId="3259" priority="3140">
      <formula>V41&lt;0</formula>
    </cfRule>
  </conditionalFormatting>
  <conditionalFormatting sqref="W69">
    <cfRule type="colorScale" priority="2946">
      <colorScale>
        <cfvo type="min"/>
        <cfvo type="max"/>
        <color theme="0"/>
        <color theme="0"/>
      </colorScale>
    </cfRule>
    <cfRule type="expression" priority="2947">
      <formula>#REF!</formula>
    </cfRule>
    <cfRule type="expression" dxfId="3258" priority="2948">
      <formula>V69&lt;0</formula>
    </cfRule>
  </conditionalFormatting>
  <conditionalFormatting sqref="W70:W82">
    <cfRule type="colorScale" priority="3186">
      <colorScale>
        <cfvo type="min"/>
        <cfvo type="max"/>
        <color theme="0"/>
        <color theme="0"/>
      </colorScale>
    </cfRule>
    <cfRule type="expression" priority="3187">
      <formula>$F$20</formula>
    </cfRule>
    <cfRule type="expression" dxfId="3257" priority="3188">
      <formula>V70&lt;0</formula>
    </cfRule>
  </conditionalFormatting>
  <conditionalFormatting sqref="W92 W83 W103 W107">
    <cfRule type="colorScale" priority="3182">
      <colorScale>
        <cfvo type="min"/>
        <cfvo type="max"/>
        <color theme="0"/>
        <color theme="0"/>
      </colorScale>
    </cfRule>
    <cfRule type="expression" priority="3183">
      <formula>$F$24</formula>
    </cfRule>
    <cfRule type="expression" dxfId="3256" priority="3184">
      <formula>V83&lt;0</formula>
    </cfRule>
  </conditionalFormatting>
  <conditionalFormatting sqref="W84">
    <cfRule type="colorScale" priority="2559">
      <colorScale>
        <cfvo type="min"/>
        <cfvo type="max"/>
        <color theme="0"/>
        <color theme="0"/>
      </colorScale>
    </cfRule>
    <cfRule type="expression" priority="2560">
      <formula>#REF!</formula>
    </cfRule>
    <cfRule type="expression" dxfId="3255" priority="2561">
      <formula>V84&lt;0</formula>
    </cfRule>
  </conditionalFormatting>
  <conditionalFormatting sqref="W85:W91">
    <cfRule type="colorScale" priority="3190">
      <colorScale>
        <cfvo type="min"/>
        <cfvo type="max"/>
        <color theme="0"/>
        <color theme="0"/>
      </colorScale>
    </cfRule>
    <cfRule type="expression" priority="3191">
      <formula>$F$20</formula>
    </cfRule>
    <cfRule type="expression" dxfId="3254" priority="3192">
      <formula>V85&lt;0</formula>
    </cfRule>
  </conditionalFormatting>
  <conditionalFormatting sqref="W93">
    <cfRule type="colorScale" priority="2922">
      <colorScale>
        <cfvo type="min"/>
        <cfvo type="max"/>
        <color theme="0"/>
        <color theme="0"/>
      </colorScale>
    </cfRule>
    <cfRule type="expression" priority="2923">
      <formula>#REF!</formula>
    </cfRule>
    <cfRule type="expression" dxfId="3253" priority="2924">
      <formula>V93&lt;0</formula>
    </cfRule>
  </conditionalFormatting>
  <conditionalFormatting sqref="W94:W102">
    <cfRule type="colorScale" priority="3194">
      <colorScale>
        <cfvo type="min"/>
        <cfvo type="max"/>
        <color theme="0"/>
        <color theme="0"/>
      </colorScale>
    </cfRule>
    <cfRule type="expression" priority="3195">
      <formula>$F$20</formula>
    </cfRule>
    <cfRule type="expression" dxfId="3252" priority="3196">
      <formula>V94&lt;0</formula>
    </cfRule>
  </conditionalFormatting>
  <conditionalFormatting sqref="W104">
    <cfRule type="colorScale" priority="2898">
      <colorScale>
        <cfvo type="min"/>
        <cfvo type="max"/>
        <color theme="0"/>
        <color theme="0"/>
      </colorScale>
    </cfRule>
    <cfRule type="expression" priority="2899">
      <formula>#REF!</formula>
    </cfRule>
    <cfRule type="expression" dxfId="3251" priority="2900">
      <formula>V104&lt;0</formula>
    </cfRule>
  </conditionalFormatting>
  <conditionalFormatting sqref="W105:W106">
    <cfRule type="colorScale" priority="3198">
      <colorScale>
        <cfvo type="min"/>
        <cfvo type="max"/>
        <color theme="0"/>
        <color theme="0"/>
      </colorScale>
    </cfRule>
    <cfRule type="expression" priority="3199">
      <formula>$F$20</formula>
    </cfRule>
    <cfRule type="expression" dxfId="3250" priority="3200">
      <formula>V105&lt;0</formula>
    </cfRule>
  </conditionalFormatting>
  <conditionalFormatting sqref="W110">
    <cfRule type="colorScale" priority="3202">
      <colorScale>
        <cfvo type="min"/>
        <cfvo type="max"/>
        <color theme="0"/>
        <color theme="0"/>
      </colorScale>
    </cfRule>
    <cfRule type="expression" dxfId="3249" priority="3204">
      <formula>V110&lt;0</formula>
    </cfRule>
  </conditionalFormatting>
  <conditionalFormatting sqref="W110:W111">
    <cfRule type="expression" priority="2490">
      <formula>$F$20</formula>
    </cfRule>
  </conditionalFormatting>
  <conditionalFormatting sqref="W111">
    <cfRule type="colorScale" priority="2489">
      <colorScale>
        <cfvo type="min"/>
        <cfvo type="max"/>
        <color theme="0"/>
        <color theme="0"/>
      </colorScale>
    </cfRule>
    <cfRule type="expression" dxfId="3248" priority="2491">
      <formula>V111&lt;0</formula>
    </cfRule>
  </conditionalFormatting>
  <conditionalFormatting sqref="W117:W123">
    <cfRule type="colorScale" priority="3974">
      <colorScale>
        <cfvo type="min"/>
        <cfvo type="max"/>
        <color theme="0"/>
        <color theme="0"/>
      </colorScale>
    </cfRule>
    <cfRule type="expression" priority="3975">
      <formula>$F$20</formula>
    </cfRule>
    <cfRule type="expression" dxfId="3247" priority="3976">
      <formula>V117&lt;0</formula>
    </cfRule>
  </conditionalFormatting>
  <conditionalFormatting sqref="W125">
    <cfRule type="colorScale" priority="2874">
      <colorScale>
        <cfvo type="min"/>
        <cfvo type="max"/>
        <color theme="0"/>
        <color theme="0"/>
      </colorScale>
    </cfRule>
    <cfRule type="expression" priority="2875">
      <formula>#REF!</formula>
    </cfRule>
    <cfRule type="expression" dxfId="3246" priority="2876">
      <formula>V125&lt;0</formula>
    </cfRule>
  </conditionalFormatting>
  <conditionalFormatting sqref="W125:W135">
    <cfRule type="expression" dxfId="3245" priority="2873">
      <formula>IF(W125="Validar","Rojo","Verde")</formula>
    </cfRule>
  </conditionalFormatting>
  <conditionalFormatting sqref="W126:W132">
    <cfRule type="colorScale" priority="3978">
      <colorScale>
        <cfvo type="min"/>
        <cfvo type="max"/>
        <color theme="0"/>
        <color theme="0"/>
      </colorScale>
    </cfRule>
    <cfRule type="expression" dxfId="3244" priority="3980">
      <formula>V126&lt;0</formula>
    </cfRule>
  </conditionalFormatting>
  <conditionalFormatting sqref="W126:W134">
    <cfRule type="expression" priority="3979">
      <formula>$F$20</formula>
    </cfRule>
  </conditionalFormatting>
  <conditionalFormatting sqref="W133:W134">
    <cfRule type="colorScale" priority="3982">
      <colorScale>
        <cfvo type="min"/>
        <cfvo type="max"/>
        <color theme="0"/>
        <color theme="0"/>
      </colorScale>
    </cfRule>
    <cfRule type="expression" dxfId="3243" priority="3984">
      <formula>V133&lt;0</formula>
    </cfRule>
  </conditionalFormatting>
  <conditionalFormatting sqref="W135">
    <cfRule type="colorScale" priority="3970">
      <colorScale>
        <cfvo type="min"/>
        <cfvo type="max"/>
        <color theme="0"/>
        <color theme="0"/>
      </colorScale>
    </cfRule>
    <cfRule type="expression" priority="3971">
      <formula>$F$24</formula>
    </cfRule>
    <cfRule type="expression" dxfId="3242" priority="3972">
      <formula>V135&lt;0</formula>
    </cfRule>
  </conditionalFormatting>
  <conditionalFormatting sqref="W110:X111">
    <cfRule type="expression" dxfId="3241" priority="599">
      <formula>IF(W110="Validar","Rojo","Verde")</formula>
    </cfRule>
  </conditionalFormatting>
  <conditionalFormatting sqref="W117:X123">
    <cfRule type="expression" dxfId="3240" priority="659">
      <formula>IF(W117="Validar","Rojo","Verde")</formula>
    </cfRule>
  </conditionalFormatting>
  <conditionalFormatting sqref="X6">
    <cfRule type="colorScale" priority="696">
      <colorScale>
        <cfvo type="min"/>
        <cfvo type="max"/>
        <color theme="0"/>
        <color theme="0"/>
      </colorScale>
    </cfRule>
    <cfRule type="expression" dxfId="3239" priority="698">
      <formula>W6&lt;0</formula>
    </cfRule>
  </conditionalFormatting>
  <conditionalFormatting sqref="X6:X17">
    <cfRule type="expression" dxfId="3238" priority="647">
      <formula>IF(X6="Validar","Rojo","Verde")</formula>
    </cfRule>
    <cfRule type="expression" priority="649">
      <formula>#REF!</formula>
    </cfRule>
  </conditionalFormatting>
  <conditionalFormatting sqref="X7:X10">
    <cfRule type="colorScale" priority="712">
      <colorScale>
        <cfvo type="min"/>
        <cfvo type="max"/>
        <color theme="0"/>
        <color theme="0"/>
      </colorScale>
    </cfRule>
    <cfRule type="expression" dxfId="3237" priority="714">
      <formula>W7&lt;0</formula>
    </cfRule>
  </conditionalFormatting>
  <conditionalFormatting sqref="X11">
    <cfRule type="colorScale" priority="652">
      <colorScale>
        <cfvo type="min"/>
        <cfvo type="max"/>
        <color theme="0"/>
        <color theme="0"/>
      </colorScale>
    </cfRule>
    <cfRule type="expression" dxfId="3236" priority="654">
      <formula>W11&lt;0</formula>
    </cfRule>
  </conditionalFormatting>
  <conditionalFormatting sqref="X12:X15">
    <cfRule type="colorScale" priority="708">
      <colorScale>
        <cfvo type="min"/>
        <cfvo type="max"/>
        <color theme="0"/>
        <color theme="0"/>
      </colorScale>
    </cfRule>
    <cfRule type="expression" dxfId="3235" priority="710">
      <formula>W12&lt;0</formula>
    </cfRule>
  </conditionalFormatting>
  <conditionalFormatting sqref="X16">
    <cfRule type="colorScale" priority="648">
      <colorScale>
        <cfvo type="min"/>
        <cfvo type="max"/>
        <color theme="0"/>
        <color theme="0"/>
      </colorScale>
    </cfRule>
    <cfRule type="expression" dxfId="3234" priority="650">
      <formula>W16&lt;0</formula>
    </cfRule>
  </conditionalFormatting>
  <conditionalFormatting sqref="X17">
    <cfRule type="colorScale" priority="704">
      <colorScale>
        <cfvo type="min"/>
        <cfvo type="max"/>
        <color theme="0"/>
        <color theme="0"/>
      </colorScale>
    </cfRule>
    <cfRule type="expression" dxfId="3233" priority="706">
      <formula>W17&lt;0</formula>
    </cfRule>
  </conditionalFormatting>
  <conditionalFormatting sqref="X19">
    <cfRule type="colorScale" priority="644">
      <colorScale>
        <cfvo type="min"/>
        <cfvo type="max"/>
        <color theme="0"/>
        <color theme="0"/>
      </colorScale>
    </cfRule>
    <cfRule type="expression" dxfId="3232" priority="646">
      <formula>W19&lt;0</formula>
    </cfRule>
  </conditionalFormatting>
  <conditionalFormatting sqref="X19:X20">
    <cfRule type="expression" dxfId="3231" priority="643">
      <formula>IF(X19="Validar","Rojo","Verde")</formula>
    </cfRule>
    <cfRule type="expression" priority="645">
      <formula>#REF!</formula>
    </cfRule>
  </conditionalFormatting>
  <conditionalFormatting sqref="X20">
    <cfRule type="colorScale" priority="700">
      <colorScale>
        <cfvo type="min"/>
        <cfvo type="max"/>
        <color theme="0"/>
        <color theme="0"/>
      </colorScale>
    </cfRule>
    <cfRule type="expression" dxfId="3230" priority="702">
      <formula>W20&lt;0</formula>
    </cfRule>
  </conditionalFormatting>
  <conditionalFormatting sqref="X24">
    <cfRule type="colorScale" priority="640">
      <colorScale>
        <cfvo type="min"/>
        <cfvo type="max"/>
        <color theme="0"/>
        <color theme="0"/>
      </colorScale>
    </cfRule>
    <cfRule type="expression" dxfId="3229" priority="642">
      <formula>W24&lt;0</formula>
    </cfRule>
  </conditionalFormatting>
  <conditionalFormatting sqref="X24:X25">
    <cfRule type="expression" dxfId="3228" priority="639">
      <formula>IF(X24="Validar","Rojo","Verde")</formula>
    </cfRule>
    <cfRule type="expression" priority="641">
      <formula>#REF!</formula>
    </cfRule>
  </conditionalFormatting>
  <conditionalFormatting sqref="X25">
    <cfRule type="colorScale" priority="692">
      <colorScale>
        <cfvo type="min"/>
        <cfvo type="max"/>
        <color theme="0"/>
        <color theme="0"/>
      </colorScale>
    </cfRule>
    <cfRule type="expression" dxfId="3227" priority="694">
      <formula>W25&lt;0</formula>
    </cfRule>
  </conditionalFormatting>
  <conditionalFormatting sqref="X27">
    <cfRule type="colorScale" priority="636">
      <colorScale>
        <cfvo type="min"/>
        <cfvo type="max"/>
        <color theme="0"/>
        <color theme="0"/>
      </colorScale>
    </cfRule>
    <cfRule type="expression" dxfId="3226" priority="638">
      <formula>W27&lt;0</formula>
    </cfRule>
  </conditionalFormatting>
  <conditionalFormatting sqref="X27:X28">
    <cfRule type="expression" dxfId="3225" priority="635">
      <formula>IF(X27="Validar","Rojo","Verde")</formula>
    </cfRule>
    <cfRule type="expression" priority="637">
      <formula>#REF!</formula>
    </cfRule>
  </conditionalFormatting>
  <conditionalFormatting sqref="X28">
    <cfRule type="colorScale" priority="688">
      <colorScale>
        <cfvo type="min"/>
        <cfvo type="max"/>
        <color theme="0"/>
        <color theme="0"/>
      </colorScale>
    </cfRule>
    <cfRule type="expression" dxfId="3224" priority="690">
      <formula>W28&lt;0</formula>
    </cfRule>
  </conditionalFormatting>
  <conditionalFormatting sqref="X30">
    <cfRule type="colorScale" priority="632">
      <colorScale>
        <cfvo type="min"/>
        <cfvo type="max"/>
        <color theme="0"/>
        <color theme="0"/>
      </colorScale>
    </cfRule>
    <cfRule type="expression" dxfId="3223" priority="634">
      <formula>W30&lt;0</formula>
    </cfRule>
  </conditionalFormatting>
  <conditionalFormatting sqref="X30:X31">
    <cfRule type="expression" dxfId="3222" priority="631">
      <formula>IF(X30="Validar","Rojo","Verde")</formula>
    </cfRule>
    <cfRule type="expression" priority="633">
      <formula>#REF!</formula>
    </cfRule>
  </conditionalFormatting>
  <conditionalFormatting sqref="X31">
    <cfRule type="colorScale" priority="684">
      <colorScale>
        <cfvo type="min"/>
        <cfvo type="max"/>
        <color theme="0"/>
        <color theme="0"/>
      </colorScale>
    </cfRule>
    <cfRule type="expression" dxfId="3221" priority="686">
      <formula>W31&lt;0</formula>
    </cfRule>
  </conditionalFormatting>
  <conditionalFormatting sqref="X40">
    <cfRule type="colorScale" priority="628">
      <colorScale>
        <cfvo type="min"/>
        <cfvo type="max"/>
        <color theme="0"/>
        <color theme="0"/>
      </colorScale>
    </cfRule>
    <cfRule type="expression" dxfId="3220" priority="630">
      <formula>W40&lt;0</formula>
    </cfRule>
  </conditionalFormatting>
  <conditionalFormatting sqref="X40:X67">
    <cfRule type="expression" dxfId="3219" priority="627">
      <formula>IF(X40="Validar","Rojo","Verde")</formula>
    </cfRule>
    <cfRule type="expression" priority="629">
      <formula>#REF!</formula>
    </cfRule>
  </conditionalFormatting>
  <conditionalFormatting sqref="X41:X67">
    <cfRule type="colorScale" priority="680">
      <colorScale>
        <cfvo type="min"/>
        <cfvo type="max"/>
        <color theme="0"/>
        <color theme="0"/>
      </colorScale>
    </cfRule>
    <cfRule type="expression" dxfId="3218" priority="682">
      <formula>W41&lt;0</formula>
    </cfRule>
  </conditionalFormatting>
  <conditionalFormatting sqref="X69">
    <cfRule type="colorScale" priority="624">
      <colorScale>
        <cfvo type="min"/>
        <cfvo type="max"/>
        <color theme="0"/>
        <color theme="0"/>
      </colorScale>
    </cfRule>
    <cfRule type="expression" dxfId="3217" priority="626">
      <formula>W69&lt;0</formula>
    </cfRule>
  </conditionalFormatting>
  <conditionalFormatting sqref="X69:X82">
    <cfRule type="expression" dxfId="3216" priority="623">
      <formula>IF(X69="Validar","Rojo","Verde")</formula>
    </cfRule>
    <cfRule type="expression" priority="625">
      <formula>#REF!</formula>
    </cfRule>
  </conditionalFormatting>
  <conditionalFormatting sqref="X70:X82">
    <cfRule type="colorScale" priority="716">
      <colorScale>
        <cfvo type="min"/>
        <cfvo type="max"/>
        <color theme="0"/>
        <color theme="0"/>
      </colorScale>
    </cfRule>
    <cfRule type="expression" dxfId="3215" priority="718">
      <formula>W70&lt;0</formula>
    </cfRule>
  </conditionalFormatting>
  <conditionalFormatting sqref="X84">
    <cfRule type="colorScale" priority="607">
      <colorScale>
        <cfvo type="min"/>
        <cfvo type="max"/>
        <color theme="0"/>
        <color theme="0"/>
      </colorScale>
    </cfRule>
    <cfRule type="expression" dxfId="3214" priority="609">
      <formula>W84&lt;0</formula>
    </cfRule>
  </conditionalFormatting>
  <conditionalFormatting sqref="X84:X91">
    <cfRule type="expression" dxfId="3213" priority="606">
      <formula>IF(X84="Validar","Rojo","Verde")</formula>
    </cfRule>
    <cfRule type="expression" priority="608">
      <formula>#REF!</formula>
    </cfRule>
  </conditionalFormatting>
  <conditionalFormatting sqref="X85:X91">
    <cfRule type="colorScale" priority="676">
      <colorScale>
        <cfvo type="min"/>
        <cfvo type="max"/>
        <color theme="0"/>
        <color theme="0"/>
      </colorScale>
    </cfRule>
    <cfRule type="expression" dxfId="3212" priority="678">
      <formula>W85&lt;0</formula>
    </cfRule>
  </conditionalFormatting>
  <conditionalFormatting sqref="X93">
    <cfRule type="colorScale" priority="620">
      <colorScale>
        <cfvo type="min"/>
        <cfvo type="max"/>
        <color theme="0"/>
        <color theme="0"/>
      </colorScale>
    </cfRule>
    <cfRule type="expression" dxfId="3211" priority="622">
      <formula>W93&lt;0</formula>
    </cfRule>
  </conditionalFormatting>
  <conditionalFormatting sqref="X93:X102">
    <cfRule type="expression" dxfId="3210" priority="619">
      <formula>IF(X93="Validar","Rojo","Verde")</formula>
    </cfRule>
    <cfRule type="expression" priority="621">
      <formula>#REF!</formula>
    </cfRule>
  </conditionalFormatting>
  <conditionalFormatting sqref="X94:X102">
    <cfRule type="colorScale" priority="672">
      <colorScale>
        <cfvo type="min"/>
        <cfvo type="max"/>
        <color theme="0"/>
        <color theme="0"/>
      </colorScale>
    </cfRule>
    <cfRule type="expression" dxfId="3209" priority="674">
      <formula>W94&lt;0</formula>
    </cfRule>
  </conditionalFormatting>
  <conditionalFormatting sqref="X104">
    <cfRule type="colorScale" priority="616">
      <colorScale>
        <cfvo type="min"/>
        <cfvo type="max"/>
        <color theme="0"/>
        <color theme="0"/>
      </colorScale>
    </cfRule>
    <cfRule type="expression" dxfId="3208" priority="618">
      <formula>W104&lt;0</formula>
    </cfRule>
  </conditionalFormatting>
  <conditionalFormatting sqref="X104:X106">
    <cfRule type="expression" dxfId="3207" priority="615">
      <formula>IF(X104="Validar","Rojo","Verde")</formula>
    </cfRule>
    <cfRule type="expression" priority="617">
      <formula>#REF!</formula>
    </cfRule>
  </conditionalFormatting>
  <conditionalFormatting sqref="X105:X106">
    <cfRule type="colorScale" priority="668">
      <colorScale>
        <cfvo type="min"/>
        <cfvo type="max"/>
        <color theme="0"/>
        <color theme="0"/>
      </colorScale>
    </cfRule>
    <cfRule type="expression" dxfId="3206" priority="670">
      <formula>W105&lt;0</formula>
    </cfRule>
  </conditionalFormatting>
  <conditionalFormatting sqref="X110">
    <cfRule type="colorScale" priority="664">
      <colorScale>
        <cfvo type="min"/>
        <cfvo type="max"/>
        <color theme="0"/>
        <color theme="0"/>
      </colorScale>
    </cfRule>
    <cfRule type="expression" dxfId="3205" priority="666">
      <formula>W110&lt;0</formula>
    </cfRule>
  </conditionalFormatting>
  <conditionalFormatting sqref="X110:X111">
    <cfRule type="expression" priority="601">
      <formula>#REF!</formula>
    </cfRule>
  </conditionalFormatting>
  <conditionalFormatting sqref="X111">
    <cfRule type="colorScale" priority="600">
      <colorScale>
        <cfvo type="min"/>
        <cfvo type="max"/>
        <color theme="0"/>
        <color theme="0"/>
      </colorScale>
    </cfRule>
    <cfRule type="expression" dxfId="3204" priority="602">
      <formula>W111&lt;0</formula>
    </cfRule>
  </conditionalFormatting>
  <conditionalFormatting sqref="X117:X123">
    <cfRule type="colorScale" priority="660">
      <colorScale>
        <cfvo type="min"/>
        <cfvo type="max"/>
        <color theme="0"/>
        <color theme="0"/>
      </colorScale>
    </cfRule>
    <cfRule type="expression" priority="661">
      <formula>#REF!</formula>
    </cfRule>
    <cfRule type="expression" dxfId="3203" priority="662">
      <formula>W117&lt;0</formula>
    </cfRule>
  </conditionalFormatting>
  <conditionalFormatting sqref="X125">
    <cfRule type="colorScale" priority="612">
      <colorScale>
        <cfvo type="min"/>
        <cfvo type="max"/>
        <color theme="0"/>
        <color theme="0"/>
      </colorScale>
    </cfRule>
    <cfRule type="expression" dxfId="3202" priority="614">
      <formula>W125&lt;0</formula>
    </cfRule>
  </conditionalFormatting>
  <conditionalFormatting sqref="X125:X134">
    <cfRule type="expression" dxfId="3201" priority="611">
      <formula>IF(X125="Validar","Rojo","Verde")</formula>
    </cfRule>
    <cfRule type="expression" priority="613">
      <formula>#REF!</formula>
    </cfRule>
  </conditionalFormatting>
  <conditionalFormatting sqref="X126:X134">
    <cfRule type="colorScale" priority="656">
      <colorScale>
        <cfvo type="min"/>
        <cfvo type="max"/>
        <color theme="0"/>
        <color theme="0"/>
      </colorScale>
    </cfRule>
    <cfRule type="expression" dxfId="3200" priority="658">
      <formula>W126&lt;0</formula>
    </cfRule>
  </conditionalFormatting>
  <conditionalFormatting sqref="Z6:Z10">
    <cfRule type="colorScale" priority="2371">
      <colorScale>
        <cfvo type="min"/>
        <cfvo type="max"/>
        <color theme="0"/>
        <color theme="0"/>
      </colorScale>
    </cfRule>
    <cfRule type="expression" dxfId="3199" priority="2373">
      <formula>Y6&lt;0</formula>
    </cfRule>
  </conditionalFormatting>
  <conditionalFormatting sqref="Z6:Z21">
    <cfRule type="expression" dxfId="3198" priority="2150">
      <formula>IF(Z6="Validar","Rojo","Verde")</formula>
    </cfRule>
    <cfRule type="expression" priority="2152">
      <formula>#REF!</formula>
    </cfRule>
  </conditionalFormatting>
  <conditionalFormatting sqref="Z11">
    <cfRule type="colorScale" priority="2167">
      <colorScale>
        <cfvo type="min"/>
        <cfvo type="max"/>
        <color theme="0"/>
        <color theme="0"/>
      </colorScale>
    </cfRule>
    <cfRule type="expression" dxfId="3197" priority="2169">
      <formula>Y11&lt;0</formula>
    </cfRule>
  </conditionalFormatting>
  <conditionalFormatting sqref="Z12:Z15">
    <cfRule type="colorScale" priority="2367">
      <colorScale>
        <cfvo type="min"/>
        <cfvo type="max"/>
        <color theme="0"/>
        <color theme="0"/>
      </colorScale>
    </cfRule>
    <cfRule type="expression" dxfId="3196" priority="2369">
      <formula>Y12&lt;0</formula>
    </cfRule>
  </conditionalFormatting>
  <conditionalFormatting sqref="Z16">
    <cfRule type="colorScale" priority="2159">
      <colorScale>
        <cfvo type="min"/>
        <cfvo type="max"/>
        <color theme="0"/>
        <color theme="0"/>
      </colorScale>
    </cfRule>
    <cfRule type="expression" dxfId="3195" priority="2161">
      <formula>Y16&lt;0</formula>
    </cfRule>
  </conditionalFormatting>
  <conditionalFormatting sqref="Z17:Z18">
    <cfRule type="colorScale" priority="2363">
      <colorScale>
        <cfvo type="min"/>
        <cfvo type="max"/>
        <color theme="0"/>
        <color theme="0"/>
      </colorScale>
    </cfRule>
    <cfRule type="expression" dxfId="3194" priority="2365">
      <formula>Y17&lt;0</formula>
    </cfRule>
  </conditionalFormatting>
  <conditionalFormatting sqref="Z19">
    <cfRule type="colorScale" priority="2151">
      <colorScale>
        <cfvo type="min"/>
        <cfvo type="max"/>
        <color theme="0"/>
        <color theme="0"/>
      </colorScale>
    </cfRule>
    <cfRule type="expression" dxfId="3193" priority="2153">
      <formula>Y19&lt;0</formula>
    </cfRule>
  </conditionalFormatting>
  <conditionalFormatting sqref="Z20:Z21">
    <cfRule type="colorScale" priority="2359">
      <colorScale>
        <cfvo type="min"/>
        <cfvo type="max"/>
        <color theme="0"/>
        <color theme="0"/>
      </colorScale>
    </cfRule>
    <cfRule type="expression" dxfId="3192" priority="2361">
      <formula>Y20&lt;0</formula>
    </cfRule>
  </conditionalFormatting>
  <conditionalFormatting sqref="Z24">
    <cfRule type="colorScale" priority="2143">
      <colorScale>
        <cfvo type="min"/>
        <cfvo type="max"/>
        <color theme="0"/>
        <color theme="0"/>
      </colorScale>
    </cfRule>
    <cfRule type="expression" dxfId="3191" priority="2145">
      <formula>Y24&lt;0</formula>
    </cfRule>
  </conditionalFormatting>
  <conditionalFormatting sqref="Z24:Z32">
    <cfRule type="expression" dxfId="3190" priority="2126">
      <formula>IF(Z24="Validar","Rojo","Verde")</formula>
    </cfRule>
    <cfRule type="expression" priority="2128">
      <formula>#REF!</formula>
    </cfRule>
  </conditionalFormatting>
  <conditionalFormatting sqref="Z25">
    <cfRule type="colorScale" priority="2355">
      <colorScale>
        <cfvo type="min"/>
        <cfvo type="max"/>
        <color theme="0"/>
        <color theme="0"/>
      </colorScale>
    </cfRule>
    <cfRule type="expression" dxfId="3189" priority="2357">
      <formula>Y25&lt;0</formula>
    </cfRule>
  </conditionalFormatting>
  <conditionalFormatting sqref="Z26">
    <cfRule type="colorScale" priority="2351">
      <colorScale>
        <cfvo type="min"/>
        <cfvo type="max"/>
        <color theme="0"/>
        <color theme="0"/>
      </colorScale>
    </cfRule>
    <cfRule type="expression" dxfId="3188" priority="2353">
      <formula>Y26&lt;0</formula>
    </cfRule>
  </conditionalFormatting>
  <conditionalFormatting sqref="Z27">
    <cfRule type="colorScale" priority="2135">
      <colorScale>
        <cfvo type="min"/>
        <cfvo type="max"/>
        <color theme="0"/>
        <color theme="0"/>
      </colorScale>
    </cfRule>
    <cfRule type="expression" dxfId="3187" priority="2137">
      <formula>Y27&lt;0</formula>
    </cfRule>
  </conditionalFormatting>
  <conditionalFormatting sqref="Z28">
    <cfRule type="colorScale" priority="2347">
      <colorScale>
        <cfvo type="min"/>
        <cfvo type="max"/>
        <color theme="0"/>
        <color theme="0"/>
      </colorScale>
    </cfRule>
    <cfRule type="expression" dxfId="3186" priority="2349">
      <formula>Y28&lt;0</formula>
    </cfRule>
  </conditionalFormatting>
  <conditionalFormatting sqref="Z29">
    <cfRule type="colorScale" priority="2343">
      <colorScale>
        <cfvo type="min"/>
        <cfvo type="max"/>
        <color theme="0"/>
        <color theme="0"/>
      </colorScale>
    </cfRule>
    <cfRule type="expression" dxfId="3185" priority="2345">
      <formula>Y29&lt;0</formula>
    </cfRule>
  </conditionalFormatting>
  <conditionalFormatting sqref="Z30">
    <cfRule type="colorScale" priority="2127">
      <colorScale>
        <cfvo type="min"/>
        <cfvo type="max"/>
        <color theme="0"/>
        <color theme="0"/>
      </colorScale>
    </cfRule>
    <cfRule type="expression" dxfId="3184" priority="2129">
      <formula>Y30&lt;0</formula>
    </cfRule>
  </conditionalFormatting>
  <conditionalFormatting sqref="Z31">
    <cfRule type="colorScale" priority="2339">
      <colorScale>
        <cfvo type="min"/>
        <cfvo type="max"/>
        <color theme="0"/>
        <color theme="0"/>
      </colorScale>
    </cfRule>
    <cfRule type="expression" dxfId="3183" priority="2341">
      <formula>Y31&lt;0</formula>
    </cfRule>
  </conditionalFormatting>
  <conditionalFormatting sqref="Z32">
    <cfRule type="colorScale" priority="2335">
      <colorScale>
        <cfvo type="min"/>
        <cfvo type="max"/>
        <color theme="0"/>
        <color theme="0"/>
      </colorScale>
    </cfRule>
    <cfRule type="expression" dxfId="3182" priority="2337">
      <formula>Y32&lt;0</formula>
    </cfRule>
  </conditionalFormatting>
  <conditionalFormatting sqref="Z40">
    <cfRule type="colorScale" priority="2119">
      <colorScale>
        <cfvo type="min"/>
        <cfvo type="max"/>
        <color theme="0"/>
        <color theme="0"/>
      </colorScale>
    </cfRule>
    <cfRule type="expression" priority="2120">
      <formula>#REF!</formula>
    </cfRule>
    <cfRule type="expression" dxfId="3181" priority="2121">
      <formula>Y40&lt;0</formula>
    </cfRule>
  </conditionalFormatting>
  <conditionalFormatting sqref="Z40:Z107">
    <cfRule type="expression" dxfId="3180" priority="2078">
      <formula>IF(Z40="Validar","Rojo","Verde")</formula>
    </cfRule>
  </conditionalFormatting>
  <conditionalFormatting sqref="Z41:Z68">
    <cfRule type="colorScale" priority="2331">
      <colorScale>
        <cfvo type="min"/>
        <cfvo type="max"/>
        <color theme="0"/>
        <color theme="0"/>
      </colorScale>
    </cfRule>
    <cfRule type="expression" priority="2332">
      <formula>$F$20</formula>
    </cfRule>
    <cfRule type="expression" dxfId="3179" priority="2333">
      <formula>Y41&lt;0</formula>
    </cfRule>
  </conditionalFormatting>
  <conditionalFormatting sqref="Z69">
    <cfRule type="colorScale" priority="2111">
      <colorScale>
        <cfvo type="min"/>
        <cfvo type="max"/>
        <color theme="0"/>
        <color theme="0"/>
      </colorScale>
    </cfRule>
    <cfRule type="expression" priority="2112">
      <formula>#REF!</formula>
    </cfRule>
    <cfRule type="expression" dxfId="3178" priority="2113">
      <formula>Y69&lt;0</formula>
    </cfRule>
  </conditionalFormatting>
  <conditionalFormatting sqref="Z70:Z82">
    <cfRule type="colorScale" priority="2383">
      <colorScale>
        <cfvo type="min"/>
        <cfvo type="max"/>
        <color theme="0"/>
        <color theme="0"/>
      </colorScale>
    </cfRule>
    <cfRule type="expression" priority="2384">
      <formula>$F$20</formula>
    </cfRule>
    <cfRule type="expression" dxfId="3177" priority="2385">
      <formula>Y70&lt;0</formula>
    </cfRule>
  </conditionalFormatting>
  <conditionalFormatting sqref="Z92 Z83 Z103 Z107">
    <cfRule type="colorScale" priority="2375">
      <colorScale>
        <cfvo type="min"/>
        <cfvo type="max"/>
        <color theme="0"/>
        <color theme="0"/>
      </colorScale>
    </cfRule>
    <cfRule type="expression" dxfId="3176" priority="2377">
      <formula>Y83&lt;0</formula>
    </cfRule>
  </conditionalFormatting>
  <conditionalFormatting sqref="Z84">
    <cfRule type="colorScale" priority="2079">
      <colorScale>
        <cfvo type="min"/>
        <cfvo type="max"/>
        <color theme="0"/>
        <color theme="0"/>
      </colorScale>
    </cfRule>
    <cfRule type="expression" priority="2080">
      <formula>#REF!</formula>
    </cfRule>
    <cfRule type="expression" dxfId="3175" priority="2081">
      <formula>Y84&lt;0</formula>
    </cfRule>
  </conditionalFormatting>
  <conditionalFormatting sqref="Z85:Z91">
    <cfRule type="colorScale" priority="2391">
      <colorScale>
        <cfvo type="min"/>
        <cfvo type="max"/>
        <color theme="0"/>
        <color theme="0"/>
      </colorScale>
    </cfRule>
    <cfRule type="expression" priority="2392">
      <formula>$F$20</formula>
    </cfRule>
    <cfRule type="expression" dxfId="3174" priority="2393">
      <formula>Y85&lt;0</formula>
    </cfRule>
  </conditionalFormatting>
  <conditionalFormatting sqref="Z93">
    <cfRule type="colorScale" priority="2103">
      <colorScale>
        <cfvo type="min"/>
        <cfvo type="max"/>
        <color theme="0"/>
        <color theme="0"/>
      </colorScale>
    </cfRule>
    <cfRule type="expression" priority="2104">
      <formula>#REF!</formula>
    </cfRule>
    <cfRule type="expression" dxfId="3173" priority="2105">
      <formula>Y93&lt;0</formula>
    </cfRule>
  </conditionalFormatting>
  <conditionalFormatting sqref="Z94:Z102">
    <cfRule type="colorScale" priority="2395">
      <colorScale>
        <cfvo type="min"/>
        <cfvo type="max"/>
        <color theme="0"/>
        <color theme="0"/>
      </colorScale>
    </cfRule>
    <cfRule type="expression" priority="2396">
      <formula>$F$20</formula>
    </cfRule>
    <cfRule type="expression" dxfId="3172" priority="2397">
      <formula>Y94&lt;0</formula>
    </cfRule>
  </conditionalFormatting>
  <conditionalFormatting sqref="Z104">
    <cfRule type="colorScale" priority="2095">
      <colorScale>
        <cfvo type="min"/>
        <cfvo type="max"/>
        <color theme="0"/>
        <color theme="0"/>
      </colorScale>
    </cfRule>
    <cfRule type="expression" priority="2096">
      <formula>#REF!</formula>
    </cfRule>
    <cfRule type="expression" dxfId="3171" priority="2097">
      <formula>Y104&lt;0</formula>
    </cfRule>
  </conditionalFormatting>
  <conditionalFormatting sqref="Z105:Z106">
    <cfRule type="colorScale" priority="2399">
      <colorScale>
        <cfvo type="min"/>
        <cfvo type="max"/>
        <color theme="0"/>
        <color theme="0"/>
      </colorScale>
    </cfRule>
    <cfRule type="expression" priority="2400">
      <formula>$F$20</formula>
    </cfRule>
    <cfRule type="expression" dxfId="3170" priority="2401">
      <formula>Y105&lt;0</formula>
    </cfRule>
  </conditionalFormatting>
  <conditionalFormatting sqref="Z110">
    <cfRule type="colorScale" priority="2403">
      <colorScale>
        <cfvo type="min"/>
        <cfvo type="max"/>
        <color theme="0"/>
        <color theme="0"/>
      </colorScale>
    </cfRule>
    <cfRule type="expression" dxfId="3169" priority="2405">
      <formula>Y110&lt;0</formula>
    </cfRule>
  </conditionalFormatting>
  <conditionalFormatting sqref="Z110:Z111">
    <cfRule type="expression" priority="2072">
      <formula>$F$20</formula>
    </cfRule>
  </conditionalFormatting>
  <conditionalFormatting sqref="Z111">
    <cfRule type="colorScale" priority="2071">
      <colorScale>
        <cfvo type="min"/>
        <cfvo type="max"/>
        <color theme="0"/>
        <color theme="0"/>
      </colorScale>
    </cfRule>
    <cfRule type="expression" dxfId="3168" priority="2073">
      <formula>Y111&lt;0</formula>
    </cfRule>
  </conditionalFormatting>
  <conditionalFormatting sqref="Z117:Z123">
    <cfRule type="colorScale" priority="2447">
      <colorScale>
        <cfvo type="min"/>
        <cfvo type="max"/>
        <color theme="0"/>
        <color theme="0"/>
      </colorScale>
    </cfRule>
    <cfRule type="expression" priority="2448">
      <formula>$F$20</formula>
    </cfRule>
    <cfRule type="expression" dxfId="3167" priority="2449">
      <formula>Y117&lt;0</formula>
    </cfRule>
  </conditionalFormatting>
  <conditionalFormatting sqref="Z125">
    <cfRule type="colorScale" priority="2087">
      <colorScale>
        <cfvo type="min"/>
        <cfvo type="max"/>
        <color theme="0"/>
        <color theme="0"/>
      </colorScale>
    </cfRule>
    <cfRule type="expression" priority="2088">
      <formula>#REF!</formula>
    </cfRule>
    <cfRule type="expression" dxfId="3166" priority="2089">
      <formula>Y125&lt;0</formula>
    </cfRule>
  </conditionalFormatting>
  <conditionalFormatting sqref="Z125:Z135">
    <cfRule type="expression" dxfId="3165" priority="2086">
      <formula>IF(Z125="Validar","Rojo","Verde")</formula>
    </cfRule>
  </conditionalFormatting>
  <conditionalFormatting sqref="Z126:Z132">
    <cfRule type="colorScale" priority="2451">
      <colorScale>
        <cfvo type="min"/>
        <cfvo type="max"/>
        <color theme="0"/>
        <color theme="0"/>
      </colorScale>
    </cfRule>
    <cfRule type="expression" dxfId="3164" priority="2453">
      <formula>Y126&lt;0</formula>
    </cfRule>
  </conditionalFormatting>
  <conditionalFormatting sqref="Z126:Z134">
    <cfRule type="expression" priority="2452">
      <formula>$F$20</formula>
    </cfRule>
  </conditionalFormatting>
  <conditionalFormatting sqref="Z133:Z134">
    <cfRule type="colorScale" priority="2455">
      <colorScale>
        <cfvo type="min"/>
        <cfvo type="max"/>
        <color theme="0"/>
        <color theme="0"/>
      </colorScale>
    </cfRule>
    <cfRule type="expression" dxfId="3163" priority="2457">
      <formula>Y133&lt;0</formula>
    </cfRule>
  </conditionalFormatting>
  <conditionalFormatting sqref="Z135">
    <cfRule type="colorScale" priority="2439">
      <colorScale>
        <cfvo type="min"/>
        <cfvo type="max"/>
        <color theme="0"/>
        <color theme="0"/>
      </colorScale>
    </cfRule>
    <cfRule type="expression" priority="2440">
      <formula>$F$24</formula>
    </cfRule>
    <cfRule type="expression" dxfId="3162" priority="2441">
      <formula>Y135&lt;0</formula>
    </cfRule>
  </conditionalFormatting>
  <conditionalFormatting sqref="Z83:AA83 Z92:AA92 Z103:AA103 Z107:AA107">
    <cfRule type="expression" priority="2376">
      <formula>$F$24</formula>
    </cfRule>
  </conditionalFormatting>
  <conditionalFormatting sqref="Z110:AB111">
    <cfRule type="expression" dxfId="3161" priority="1938">
      <formula>IF(Z110="Validar","Rojo","Verde")</formula>
    </cfRule>
  </conditionalFormatting>
  <conditionalFormatting sqref="Z117:AB123">
    <cfRule type="expression" dxfId="3160" priority="1998">
      <formula>IF(Z117="Validar","Rojo","Verde")</formula>
    </cfRule>
  </conditionalFormatting>
  <conditionalFormatting sqref="AA41:AA66">
    <cfRule type="colorScale" priority="2327">
      <colorScale>
        <cfvo type="min"/>
        <cfvo type="max"/>
        <color theme="0"/>
        <color theme="0"/>
      </colorScale>
    </cfRule>
    <cfRule type="expression" dxfId="3159" priority="2329">
      <formula>Z41&lt;0</formula>
    </cfRule>
  </conditionalFormatting>
  <conditionalFormatting sqref="AA41:AA67">
    <cfRule type="expression" priority="2172">
      <formula>#REF!</formula>
    </cfRule>
  </conditionalFormatting>
  <conditionalFormatting sqref="AA41:AA68">
    <cfRule type="expression" dxfId="3158" priority="2170">
      <formula>IF(AA41="Validar","Rojo","Verde")</formula>
    </cfRule>
  </conditionalFormatting>
  <conditionalFormatting sqref="AA67">
    <cfRule type="colorScale" priority="2171">
      <colorScale>
        <cfvo type="min"/>
        <cfvo type="max"/>
        <color theme="0"/>
        <color theme="0"/>
      </colorScale>
    </cfRule>
    <cfRule type="expression" dxfId="3157" priority="2173">
      <formula>Z67&lt;0</formula>
    </cfRule>
  </conditionalFormatting>
  <conditionalFormatting sqref="AA68 AA83 AA92 AA103 AA107">
    <cfRule type="expression" dxfId="3156" priority="2381">
      <formula>Z68&lt;0</formula>
    </cfRule>
  </conditionalFormatting>
  <conditionalFormatting sqref="AA68">
    <cfRule type="expression" priority="2380">
      <formula>$F$24</formula>
    </cfRule>
  </conditionalFormatting>
  <conditionalFormatting sqref="AA70">
    <cfRule type="colorScale" priority="2323">
      <colorScale>
        <cfvo type="min"/>
        <cfvo type="max"/>
        <color theme="0"/>
        <color theme="0"/>
      </colorScale>
    </cfRule>
    <cfRule type="expression" dxfId="3155" priority="2325">
      <formula>Z70&lt;0</formula>
    </cfRule>
  </conditionalFormatting>
  <conditionalFormatting sqref="AA70:AA82">
    <cfRule type="expression" priority="2320">
      <formula>#REF!</formula>
    </cfRule>
  </conditionalFormatting>
  <conditionalFormatting sqref="AA70:AA83">
    <cfRule type="expression" dxfId="3154" priority="2318">
      <formula>IF(AA70="Validar","Rojo","Verde")</formula>
    </cfRule>
  </conditionalFormatting>
  <conditionalFormatting sqref="AA71:AA79">
    <cfRule type="colorScale" priority="2319">
      <colorScale>
        <cfvo type="min"/>
        <cfvo type="max"/>
        <color theme="0"/>
        <color theme="0"/>
      </colorScale>
    </cfRule>
    <cfRule type="expression" dxfId="3153" priority="2321">
      <formula>Z71&lt;0</formula>
    </cfRule>
  </conditionalFormatting>
  <conditionalFormatting sqref="AA80:AA82">
    <cfRule type="colorScale" priority="2387">
      <colorScale>
        <cfvo type="min"/>
        <cfvo type="max"/>
        <color theme="0"/>
        <color theme="0"/>
      </colorScale>
    </cfRule>
    <cfRule type="expression" dxfId="3152" priority="2389">
      <formula>Z80&lt;0</formula>
    </cfRule>
  </conditionalFormatting>
  <conditionalFormatting sqref="AA68 AA83 AA92 AA103 AA107">
    <cfRule type="colorScale" priority="2379">
      <colorScale>
        <cfvo type="min"/>
        <cfvo type="max"/>
        <color theme="0"/>
        <color theme="0"/>
      </colorScale>
    </cfRule>
  </conditionalFormatting>
  <conditionalFormatting sqref="AA85">
    <cfRule type="colorScale" priority="2315">
      <colorScale>
        <cfvo type="min"/>
        <cfvo type="max"/>
        <color theme="0"/>
        <color theme="0"/>
      </colorScale>
    </cfRule>
    <cfRule type="expression" dxfId="3151" priority="2317">
      <formula>Z85&lt;0</formula>
    </cfRule>
  </conditionalFormatting>
  <conditionalFormatting sqref="AA85:AA91">
    <cfRule type="expression" priority="2312">
      <formula>#REF!</formula>
    </cfRule>
  </conditionalFormatting>
  <conditionalFormatting sqref="AA85:AA92">
    <cfRule type="expression" dxfId="3150" priority="2310">
      <formula>IF(AA85="Validar","Rojo","Verde")</formula>
    </cfRule>
  </conditionalFormatting>
  <conditionalFormatting sqref="AA86:AA91">
    <cfRule type="colorScale" priority="2311">
      <colorScale>
        <cfvo type="min"/>
        <cfvo type="max"/>
        <color theme="0"/>
        <color theme="0"/>
      </colorScale>
    </cfRule>
    <cfRule type="expression" dxfId="3149" priority="2313">
      <formula>Z86&lt;0</formula>
    </cfRule>
  </conditionalFormatting>
  <conditionalFormatting sqref="AA94">
    <cfRule type="colorScale" priority="2307">
      <colorScale>
        <cfvo type="min"/>
        <cfvo type="max"/>
        <color theme="0"/>
        <color theme="0"/>
      </colorScale>
    </cfRule>
    <cfRule type="expression" dxfId="3148" priority="2309">
      <formula>Z94&lt;0</formula>
    </cfRule>
  </conditionalFormatting>
  <conditionalFormatting sqref="AA94:AA102">
    <cfRule type="expression" priority="2296">
      <formula>#REF!</formula>
    </cfRule>
  </conditionalFormatting>
  <conditionalFormatting sqref="AA94:AA103">
    <cfRule type="expression" dxfId="3147" priority="2294">
      <formula>IF(AA94="Validar","Rojo","Verde")</formula>
    </cfRule>
  </conditionalFormatting>
  <conditionalFormatting sqref="AA95:AA100">
    <cfRule type="colorScale" priority="2303">
      <colorScale>
        <cfvo type="min"/>
        <cfvo type="max"/>
        <color theme="0"/>
        <color theme="0"/>
      </colorScale>
    </cfRule>
    <cfRule type="expression" dxfId="3146" priority="2305">
      <formula>Z95&lt;0</formula>
    </cfRule>
  </conditionalFormatting>
  <conditionalFormatting sqref="AA101">
    <cfRule type="colorScale" priority="2299">
      <colorScale>
        <cfvo type="min"/>
        <cfvo type="max"/>
        <color theme="0"/>
        <color theme="0"/>
      </colorScale>
    </cfRule>
    <cfRule type="expression" dxfId="3145" priority="2301">
      <formula>Z101&lt;0</formula>
    </cfRule>
  </conditionalFormatting>
  <conditionalFormatting sqref="AA102">
    <cfRule type="colorScale" priority="2295">
      <colorScale>
        <cfvo type="min"/>
        <cfvo type="max"/>
        <color theme="0"/>
        <color theme="0"/>
      </colorScale>
    </cfRule>
    <cfRule type="expression" dxfId="3144" priority="2297">
      <formula>Z102&lt;0</formula>
    </cfRule>
  </conditionalFormatting>
  <conditionalFormatting sqref="AA105">
    <cfRule type="colorScale" priority="2291">
      <colorScale>
        <cfvo type="min"/>
        <cfvo type="max"/>
        <color theme="0"/>
        <color theme="0"/>
      </colorScale>
    </cfRule>
    <cfRule type="expression" dxfId="3143" priority="2293">
      <formula>Z105&lt;0</formula>
    </cfRule>
  </conditionalFormatting>
  <conditionalFormatting sqref="AA105:AA106">
    <cfRule type="expression" priority="2288">
      <formula>#REF!</formula>
    </cfRule>
  </conditionalFormatting>
  <conditionalFormatting sqref="AA105:AA107">
    <cfRule type="expression" dxfId="3142" priority="2286">
      <formula>IF(AA105="Validar","Rojo","Verde")</formula>
    </cfRule>
  </conditionalFormatting>
  <conditionalFormatting sqref="AA106">
    <cfRule type="colorScale" priority="2287">
      <colorScale>
        <cfvo type="min"/>
        <cfvo type="max"/>
        <color theme="0"/>
        <color theme="0"/>
      </colorScale>
    </cfRule>
    <cfRule type="expression" dxfId="3141" priority="2289">
      <formula>Z106&lt;0</formula>
    </cfRule>
  </conditionalFormatting>
  <conditionalFormatting sqref="AA110">
    <cfRule type="colorScale" priority="2275">
      <colorScale>
        <cfvo type="min"/>
        <cfvo type="max"/>
        <color theme="0"/>
        <color theme="0"/>
      </colorScale>
    </cfRule>
    <cfRule type="expression" priority="2276">
      <formula>#REF!</formula>
    </cfRule>
    <cfRule type="expression" dxfId="3140" priority="2277">
      <formula>Z110&lt;0</formula>
    </cfRule>
  </conditionalFormatting>
  <conditionalFormatting sqref="AA111">
    <cfRule type="colorScale" priority="2067">
      <colorScale>
        <cfvo type="min"/>
        <cfvo type="max"/>
        <color theme="0"/>
        <color theme="0"/>
      </colorScale>
    </cfRule>
    <cfRule type="expression" priority="2068">
      <formula>$F$20</formula>
    </cfRule>
    <cfRule type="expression" dxfId="3139" priority="2069">
      <formula>Z111&lt;0</formula>
    </cfRule>
  </conditionalFormatting>
  <conditionalFormatting sqref="AA117">
    <cfRule type="colorScale" priority="2283">
      <colorScale>
        <cfvo type="min"/>
        <cfvo type="max"/>
        <color theme="0"/>
        <color theme="0"/>
      </colorScale>
    </cfRule>
    <cfRule type="expression" dxfId="3138" priority="2285">
      <formula>Z117&lt;0</formula>
    </cfRule>
  </conditionalFormatting>
  <conditionalFormatting sqref="AA118:AA123">
    <cfRule type="colorScale" priority="2279">
      <colorScale>
        <cfvo type="min"/>
        <cfvo type="max"/>
        <color theme="0"/>
        <color theme="0"/>
      </colorScale>
    </cfRule>
    <cfRule type="expression" dxfId="3137" priority="2281">
      <formula>Z118&lt;0</formula>
    </cfRule>
  </conditionalFormatting>
  <conditionalFormatting sqref="AA126:AA135">
    <cfRule type="expression" dxfId="3136" priority="2442">
      <formula>IF(AA126="Validar","Rojo","Verde")</formula>
    </cfRule>
    <cfRule type="colorScale" priority="2443">
      <colorScale>
        <cfvo type="min"/>
        <cfvo type="max"/>
        <color theme="0"/>
        <color theme="0"/>
      </colorScale>
    </cfRule>
    <cfRule type="expression" priority="2444">
      <formula>$F$24</formula>
    </cfRule>
    <cfRule type="expression" dxfId="3135" priority="2445">
      <formula>Z126&lt;0</formula>
    </cfRule>
  </conditionalFormatting>
  <conditionalFormatting sqref="AA117:AB123">
    <cfRule type="expression" priority="2000">
      <formula>#REF!</formula>
    </cfRule>
  </conditionalFormatting>
  <conditionalFormatting sqref="AB6">
    <cfRule type="colorScale" priority="2035">
      <colorScale>
        <cfvo type="min"/>
        <cfvo type="max"/>
        <color theme="0"/>
        <color theme="0"/>
      </colorScale>
    </cfRule>
    <cfRule type="expression" dxfId="3134" priority="2037">
      <formula>AA6&lt;0</formula>
    </cfRule>
  </conditionalFormatting>
  <conditionalFormatting sqref="AB6:AB17">
    <cfRule type="expression" dxfId="3133" priority="1986">
      <formula>IF(AB6="Validar","Rojo","Verde")</formula>
    </cfRule>
    <cfRule type="expression" priority="1988">
      <formula>#REF!</formula>
    </cfRule>
  </conditionalFormatting>
  <conditionalFormatting sqref="AB7:AB10">
    <cfRule type="colorScale" priority="2051">
      <colorScale>
        <cfvo type="min"/>
        <cfvo type="max"/>
        <color theme="0"/>
        <color theme="0"/>
      </colorScale>
    </cfRule>
    <cfRule type="expression" dxfId="3132" priority="2053">
      <formula>AA7&lt;0</formula>
    </cfRule>
  </conditionalFormatting>
  <conditionalFormatting sqref="AB11">
    <cfRule type="colorScale" priority="1991">
      <colorScale>
        <cfvo type="min"/>
        <cfvo type="max"/>
        <color theme="0"/>
        <color theme="0"/>
      </colorScale>
    </cfRule>
    <cfRule type="expression" dxfId="3131" priority="1993">
      <formula>AA11&lt;0</formula>
    </cfRule>
  </conditionalFormatting>
  <conditionalFormatting sqref="AB12:AB15">
    <cfRule type="colorScale" priority="2047">
      <colorScale>
        <cfvo type="min"/>
        <cfvo type="max"/>
        <color theme="0"/>
        <color theme="0"/>
      </colorScale>
    </cfRule>
    <cfRule type="expression" dxfId="3130" priority="2049">
      <formula>AA12&lt;0</formula>
    </cfRule>
  </conditionalFormatting>
  <conditionalFormatting sqref="AB16">
    <cfRule type="colorScale" priority="1987">
      <colorScale>
        <cfvo type="min"/>
        <cfvo type="max"/>
        <color theme="0"/>
        <color theme="0"/>
      </colorScale>
    </cfRule>
    <cfRule type="expression" dxfId="3129" priority="1989">
      <formula>AA16&lt;0</formula>
    </cfRule>
  </conditionalFormatting>
  <conditionalFormatting sqref="AB17">
    <cfRule type="colorScale" priority="2043">
      <colorScale>
        <cfvo type="min"/>
        <cfvo type="max"/>
        <color theme="0"/>
        <color theme="0"/>
      </colorScale>
    </cfRule>
    <cfRule type="expression" dxfId="3128" priority="2045">
      <formula>AA17&lt;0</formula>
    </cfRule>
  </conditionalFormatting>
  <conditionalFormatting sqref="AB19">
    <cfRule type="colorScale" priority="1983">
      <colorScale>
        <cfvo type="min"/>
        <cfvo type="max"/>
        <color theme="0"/>
        <color theme="0"/>
      </colorScale>
    </cfRule>
    <cfRule type="expression" dxfId="3127" priority="1985">
      <formula>AA19&lt;0</formula>
    </cfRule>
  </conditionalFormatting>
  <conditionalFormatting sqref="AB19:AB20">
    <cfRule type="expression" dxfId="3126" priority="1982">
      <formula>IF(AB19="Validar","Rojo","Verde")</formula>
    </cfRule>
    <cfRule type="expression" priority="1984">
      <formula>#REF!</formula>
    </cfRule>
  </conditionalFormatting>
  <conditionalFormatting sqref="AB20">
    <cfRule type="colorScale" priority="2039">
      <colorScale>
        <cfvo type="min"/>
        <cfvo type="max"/>
        <color theme="0"/>
        <color theme="0"/>
      </colorScale>
    </cfRule>
    <cfRule type="expression" dxfId="3125" priority="2041">
      <formula>AA20&lt;0</formula>
    </cfRule>
  </conditionalFormatting>
  <conditionalFormatting sqref="AB24">
    <cfRule type="colorScale" priority="1979">
      <colorScale>
        <cfvo type="min"/>
        <cfvo type="max"/>
        <color theme="0"/>
        <color theme="0"/>
      </colorScale>
    </cfRule>
    <cfRule type="expression" dxfId="3124" priority="1981">
      <formula>AA24&lt;0</formula>
    </cfRule>
  </conditionalFormatting>
  <conditionalFormatting sqref="AB24:AB25">
    <cfRule type="expression" dxfId="3123" priority="1978">
      <formula>IF(AB24="Validar","Rojo","Verde")</formula>
    </cfRule>
    <cfRule type="expression" priority="1980">
      <formula>#REF!</formula>
    </cfRule>
  </conditionalFormatting>
  <conditionalFormatting sqref="AB25">
    <cfRule type="colorScale" priority="2031">
      <colorScale>
        <cfvo type="min"/>
        <cfvo type="max"/>
        <color theme="0"/>
        <color theme="0"/>
      </colorScale>
    </cfRule>
    <cfRule type="expression" dxfId="3122" priority="2033">
      <formula>AA25&lt;0</formula>
    </cfRule>
  </conditionalFormatting>
  <conditionalFormatting sqref="AB27">
    <cfRule type="colorScale" priority="1975">
      <colorScale>
        <cfvo type="min"/>
        <cfvo type="max"/>
        <color theme="0"/>
        <color theme="0"/>
      </colorScale>
    </cfRule>
    <cfRule type="expression" dxfId="3121" priority="1977">
      <formula>AA27&lt;0</formula>
    </cfRule>
  </conditionalFormatting>
  <conditionalFormatting sqref="AB27:AB28">
    <cfRule type="expression" dxfId="3120" priority="1974">
      <formula>IF(AB27="Validar","Rojo","Verde")</formula>
    </cfRule>
    <cfRule type="expression" priority="1976">
      <formula>#REF!</formula>
    </cfRule>
  </conditionalFormatting>
  <conditionalFormatting sqref="AB28">
    <cfRule type="colorScale" priority="2027">
      <colorScale>
        <cfvo type="min"/>
        <cfvo type="max"/>
        <color theme="0"/>
        <color theme="0"/>
      </colorScale>
    </cfRule>
    <cfRule type="expression" dxfId="3119" priority="2029">
      <formula>AA28&lt;0</formula>
    </cfRule>
  </conditionalFormatting>
  <conditionalFormatting sqref="AB30">
    <cfRule type="colorScale" priority="1971">
      <colorScale>
        <cfvo type="min"/>
        <cfvo type="max"/>
        <color theme="0"/>
        <color theme="0"/>
      </colorScale>
    </cfRule>
    <cfRule type="expression" dxfId="3118" priority="1973">
      <formula>AA30&lt;0</formula>
    </cfRule>
  </conditionalFormatting>
  <conditionalFormatting sqref="AB30:AB31">
    <cfRule type="expression" dxfId="3117" priority="1970">
      <formula>IF(AB30="Validar","Rojo","Verde")</formula>
    </cfRule>
    <cfRule type="expression" priority="1972">
      <formula>#REF!</formula>
    </cfRule>
  </conditionalFormatting>
  <conditionalFormatting sqref="AB31">
    <cfRule type="colorScale" priority="2023">
      <colorScale>
        <cfvo type="min"/>
        <cfvo type="max"/>
        <color theme="0"/>
        <color theme="0"/>
      </colorScale>
    </cfRule>
    <cfRule type="expression" dxfId="3116" priority="2025">
      <formula>AA31&lt;0</formula>
    </cfRule>
  </conditionalFormatting>
  <conditionalFormatting sqref="AB40">
    <cfRule type="colorScale" priority="1967">
      <colorScale>
        <cfvo type="min"/>
        <cfvo type="max"/>
        <color theme="0"/>
        <color theme="0"/>
      </colorScale>
    </cfRule>
    <cfRule type="expression" dxfId="3115" priority="1969">
      <formula>AA40&lt;0</formula>
    </cfRule>
  </conditionalFormatting>
  <conditionalFormatting sqref="AB40:AB67">
    <cfRule type="expression" dxfId="3114" priority="1966">
      <formula>IF(AB40="Validar","Rojo","Verde")</formula>
    </cfRule>
    <cfRule type="expression" priority="1968">
      <formula>#REF!</formula>
    </cfRule>
  </conditionalFormatting>
  <conditionalFormatting sqref="AB41:AB67">
    <cfRule type="colorScale" priority="2019">
      <colorScale>
        <cfvo type="min"/>
        <cfvo type="max"/>
        <color theme="0"/>
        <color theme="0"/>
      </colorScale>
    </cfRule>
    <cfRule type="expression" dxfId="3113" priority="2021">
      <formula>AA41&lt;0</formula>
    </cfRule>
  </conditionalFormatting>
  <conditionalFormatting sqref="AB69">
    <cfRule type="colorScale" priority="1963">
      <colorScale>
        <cfvo type="min"/>
        <cfvo type="max"/>
        <color theme="0"/>
        <color theme="0"/>
      </colorScale>
    </cfRule>
    <cfRule type="expression" dxfId="3112" priority="1965">
      <formula>AA69&lt;0</formula>
    </cfRule>
  </conditionalFormatting>
  <conditionalFormatting sqref="AB69:AB82">
    <cfRule type="expression" dxfId="3111" priority="1962">
      <formula>IF(AB69="Validar","Rojo","Verde")</formula>
    </cfRule>
    <cfRule type="expression" priority="1964">
      <formula>#REF!</formula>
    </cfRule>
  </conditionalFormatting>
  <conditionalFormatting sqref="AB70:AB82">
    <cfRule type="colorScale" priority="2055">
      <colorScale>
        <cfvo type="min"/>
        <cfvo type="max"/>
        <color theme="0"/>
        <color theme="0"/>
      </colorScale>
    </cfRule>
    <cfRule type="expression" dxfId="3110" priority="2057">
      <formula>AA70&lt;0</formula>
    </cfRule>
  </conditionalFormatting>
  <conditionalFormatting sqref="AB84">
    <cfRule type="colorScale" priority="1946">
      <colorScale>
        <cfvo type="min"/>
        <cfvo type="max"/>
        <color theme="0"/>
        <color theme="0"/>
      </colorScale>
    </cfRule>
    <cfRule type="expression" dxfId="3109" priority="1948">
      <formula>AA84&lt;0</formula>
    </cfRule>
  </conditionalFormatting>
  <conditionalFormatting sqref="AB84:AB91">
    <cfRule type="expression" dxfId="3108" priority="1945">
      <formula>IF(AB84="Validar","Rojo","Verde")</formula>
    </cfRule>
    <cfRule type="expression" priority="1947">
      <formula>#REF!</formula>
    </cfRule>
  </conditionalFormatting>
  <conditionalFormatting sqref="AB85:AB91">
    <cfRule type="colorScale" priority="2015">
      <colorScale>
        <cfvo type="min"/>
        <cfvo type="max"/>
        <color theme="0"/>
        <color theme="0"/>
      </colorScale>
    </cfRule>
    <cfRule type="expression" dxfId="3107" priority="2017">
      <formula>AA85&lt;0</formula>
    </cfRule>
  </conditionalFormatting>
  <conditionalFormatting sqref="AB93">
    <cfRule type="colorScale" priority="1959">
      <colorScale>
        <cfvo type="min"/>
        <cfvo type="max"/>
        <color theme="0"/>
        <color theme="0"/>
      </colorScale>
    </cfRule>
    <cfRule type="expression" dxfId="3106" priority="1961">
      <formula>AA93&lt;0</formula>
    </cfRule>
  </conditionalFormatting>
  <conditionalFormatting sqref="AB93:AB102">
    <cfRule type="expression" dxfId="3105" priority="1958">
      <formula>IF(AB93="Validar","Rojo","Verde")</formula>
    </cfRule>
    <cfRule type="expression" priority="1960">
      <formula>#REF!</formula>
    </cfRule>
  </conditionalFormatting>
  <conditionalFormatting sqref="AB94:AB102">
    <cfRule type="colorScale" priority="2011">
      <colorScale>
        <cfvo type="min"/>
        <cfvo type="max"/>
        <color theme="0"/>
        <color theme="0"/>
      </colorScale>
    </cfRule>
    <cfRule type="expression" dxfId="3104" priority="2013">
      <formula>AA94&lt;0</formula>
    </cfRule>
  </conditionalFormatting>
  <conditionalFormatting sqref="AB104">
    <cfRule type="colorScale" priority="1955">
      <colorScale>
        <cfvo type="min"/>
        <cfvo type="max"/>
        <color theme="0"/>
        <color theme="0"/>
      </colorScale>
    </cfRule>
    <cfRule type="expression" dxfId="3103" priority="1957">
      <formula>AA104&lt;0</formula>
    </cfRule>
  </conditionalFormatting>
  <conditionalFormatting sqref="AB104:AB106">
    <cfRule type="expression" dxfId="3102" priority="1954">
      <formula>IF(AB104="Validar","Rojo","Verde")</formula>
    </cfRule>
    <cfRule type="expression" priority="1956">
      <formula>#REF!</formula>
    </cfRule>
  </conditionalFormatting>
  <conditionalFormatting sqref="AB105:AB106">
    <cfRule type="colorScale" priority="2007">
      <colorScale>
        <cfvo type="min"/>
        <cfvo type="max"/>
        <color theme="0"/>
        <color theme="0"/>
      </colorScale>
    </cfRule>
    <cfRule type="expression" dxfId="3101" priority="2009">
      <formula>AA105&lt;0</formula>
    </cfRule>
  </conditionalFormatting>
  <conditionalFormatting sqref="AB110">
    <cfRule type="colorScale" priority="2003">
      <colorScale>
        <cfvo type="min"/>
        <cfvo type="max"/>
        <color theme="0"/>
        <color theme="0"/>
      </colorScale>
    </cfRule>
    <cfRule type="expression" dxfId="3100" priority="2005">
      <formula>AA110&lt;0</formula>
    </cfRule>
  </conditionalFormatting>
  <conditionalFormatting sqref="AB110:AB111">
    <cfRule type="expression" priority="1940">
      <formula>#REF!</formula>
    </cfRule>
  </conditionalFormatting>
  <conditionalFormatting sqref="AB111">
    <cfRule type="colorScale" priority="1939">
      <colorScale>
        <cfvo type="min"/>
        <cfvo type="max"/>
        <color theme="0"/>
        <color theme="0"/>
      </colorScale>
    </cfRule>
    <cfRule type="expression" dxfId="3099" priority="1941">
      <formula>AA111&lt;0</formula>
    </cfRule>
  </conditionalFormatting>
  <conditionalFormatting sqref="AB117:AB123">
    <cfRule type="colorScale" priority="1999">
      <colorScale>
        <cfvo type="min"/>
        <cfvo type="max"/>
        <color theme="0"/>
        <color theme="0"/>
      </colorScale>
    </cfRule>
    <cfRule type="expression" dxfId="3098" priority="2001">
      <formula>AA117&lt;0</formula>
    </cfRule>
  </conditionalFormatting>
  <conditionalFormatting sqref="AB125">
    <cfRule type="colorScale" priority="1951">
      <colorScale>
        <cfvo type="min"/>
        <cfvo type="max"/>
        <color theme="0"/>
        <color theme="0"/>
      </colorScale>
    </cfRule>
    <cfRule type="expression" dxfId="3097" priority="1953">
      <formula>AA125&lt;0</formula>
    </cfRule>
  </conditionalFormatting>
  <conditionalFormatting sqref="AB125:AB134">
    <cfRule type="expression" dxfId="3096" priority="1950">
      <formula>IF(AB125="Validar","Rojo","Verde")</formula>
    </cfRule>
    <cfRule type="expression" priority="1952">
      <formula>#REF!</formula>
    </cfRule>
  </conditionalFormatting>
  <conditionalFormatting sqref="AB126:AB134">
    <cfRule type="colorScale" priority="1995">
      <colorScale>
        <cfvo type="min"/>
        <cfvo type="max"/>
        <color theme="0"/>
        <color theme="0"/>
      </colorScale>
    </cfRule>
    <cfRule type="expression" dxfId="3095" priority="1997">
      <formula>AA126&lt;0</formula>
    </cfRule>
  </conditionalFormatting>
  <conditionalFormatting sqref="AD6:AD10">
    <cfRule type="colorScale" priority="2271">
      <colorScale>
        <cfvo type="min"/>
        <cfvo type="max"/>
        <color theme="0"/>
        <color theme="0"/>
      </colorScale>
    </cfRule>
    <cfRule type="expression" dxfId="3094" priority="2273">
      <formula>AC6&lt;0</formula>
    </cfRule>
  </conditionalFormatting>
  <conditionalFormatting sqref="AD6:AD21">
    <cfRule type="expression" dxfId="3093" priority="2146">
      <formula>IF(AD6="Validar","Rojo","Verde")</formula>
    </cfRule>
    <cfRule type="expression" priority="2148">
      <formula>#REF!</formula>
    </cfRule>
  </conditionalFormatting>
  <conditionalFormatting sqref="AD11">
    <cfRule type="colorScale" priority="2163">
      <colorScale>
        <cfvo type="min"/>
        <cfvo type="max"/>
        <color theme="0"/>
        <color theme="0"/>
      </colorScale>
    </cfRule>
    <cfRule type="expression" dxfId="3092" priority="2165">
      <formula>AC11&lt;0</formula>
    </cfRule>
  </conditionalFormatting>
  <conditionalFormatting sqref="AD12:AD15">
    <cfRule type="colorScale" priority="2267">
      <colorScale>
        <cfvo type="min"/>
        <cfvo type="max"/>
        <color theme="0"/>
        <color theme="0"/>
      </colorScale>
    </cfRule>
    <cfRule type="expression" dxfId="3091" priority="2269">
      <formula>AC12&lt;0</formula>
    </cfRule>
  </conditionalFormatting>
  <conditionalFormatting sqref="AD16">
    <cfRule type="colorScale" priority="2155">
      <colorScale>
        <cfvo type="min"/>
        <cfvo type="max"/>
        <color theme="0"/>
        <color theme="0"/>
      </colorScale>
    </cfRule>
    <cfRule type="expression" dxfId="3090" priority="2157">
      <formula>AC16&lt;0</formula>
    </cfRule>
  </conditionalFormatting>
  <conditionalFormatting sqref="AD17:AD18">
    <cfRule type="colorScale" priority="2263">
      <colorScale>
        <cfvo type="min"/>
        <cfvo type="max"/>
        <color theme="0"/>
        <color theme="0"/>
      </colorScale>
    </cfRule>
    <cfRule type="expression" dxfId="3089" priority="2265">
      <formula>AC17&lt;0</formula>
    </cfRule>
  </conditionalFormatting>
  <conditionalFormatting sqref="AD19">
    <cfRule type="colorScale" priority="2147">
      <colorScale>
        <cfvo type="min"/>
        <cfvo type="max"/>
        <color theme="0"/>
        <color theme="0"/>
      </colorScale>
    </cfRule>
    <cfRule type="expression" dxfId="3088" priority="2149">
      <formula>AC19&lt;0</formula>
    </cfRule>
  </conditionalFormatting>
  <conditionalFormatting sqref="AD20:AD21">
    <cfRule type="colorScale" priority="2259">
      <colorScale>
        <cfvo type="min"/>
        <cfvo type="max"/>
        <color theme="0"/>
        <color theme="0"/>
      </colorScale>
    </cfRule>
    <cfRule type="expression" dxfId="3087" priority="2261">
      <formula>AC20&lt;0</formula>
    </cfRule>
  </conditionalFormatting>
  <conditionalFormatting sqref="AD24">
    <cfRule type="colorScale" priority="2139">
      <colorScale>
        <cfvo type="min"/>
        <cfvo type="max"/>
        <color theme="0"/>
        <color theme="0"/>
      </colorScale>
    </cfRule>
    <cfRule type="expression" dxfId="3086" priority="2141">
      <formula>AC24&lt;0</formula>
    </cfRule>
  </conditionalFormatting>
  <conditionalFormatting sqref="AD24:AD32">
    <cfRule type="expression" dxfId="3085" priority="2122">
      <formula>IF(AD24="Validar","Rojo","Verde")</formula>
    </cfRule>
    <cfRule type="expression" priority="2124">
      <formula>#REF!</formula>
    </cfRule>
  </conditionalFormatting>
  <conditionalFormatting sqref="AD25">
    <cfRule type="colorScale" priority="2255">
      <colorScale>
        <cfvo type="min"/>
        <cfvo type="max"/>
        <color theme="0"/>
        <color theme="0"/>
      </colorScale>
    </cfRule>
    <cfRule type="expression" dxfId="3084" priority="2257">
      <formula>AC25&lt;0</formula>
    </cfRule>
  </conditionalFormatting>
  <conditionalFormatting sqref="AD26">
    <cfRule type="colorScale" priority="2251">
      <colorScale>
        <cfvo type="min"/>
        <cfvo type="max"/>
        <color theme="0"/>
        <color theme="0"/>
      </colorScale>
    </cfRule>
    <cfRule type="expression" dxfId="3083" priority="2253">
      <formula>AC26&lt;0</formula>
    </cfRule>
  </conditionalFormatting>
  <conditionalFormatting sqref="AD27">
    <cfRule type="colorScale" priority="2131">
      <colorScale>
        <cfvo type="min"/>
        <cfvo type="max"/>
        <color theme="0"/>
        <color theme="0"/>
      </colorScale>
    </cfRule>
    <cfRule type="expression" dxfId="3082" priority="2133">
      <formula>AC27&lt;0</formula>
    </cfRule>
  </conditionalFormatting>
  <conditionalFormatting sqref="AD28">
    <cfRule type="colorScale" priority="2247">
      <colorScale>
        <cfvo type="min"/>
        <cfvo type="max"/>
        <color theme="0"/>
        <color theme="0"/>
      </colorScale>
    </cfRule>
    <cfRule type="expression" dxfId="3081" priority="2249">
      <formula>AC28&lt;0</formula>
    </cfRule>
  </conditionalFormatting>
  <conditionalFormatting sqref="AD29">
    <cfRule type="colorScale" priority="2243">
      <colorScale>
        <cfvo type="min"/>
        <cfvo type="max"/>
        <color theme="0"/>
        <color theme="0"/>
      </colorScale>
    </cfRule>
    <cfRule type="expression" dxfId="3080" priority="2245">
      <formula>AC29&lt;0</formula>
    </cfRule>
  </conditionalFormatting>
  <conditionalFormatting sqref="AD30">
    <cfRule type="colorScale" priority="2123">
      <colorScale>
        <cfvo type="min"/>
        <cfvo type="max"/>
        <color theme="0"/>
        <color theme="0"/>
      </colorScale>
    </cfRule>
    <cfRule type="expression" dxfId="3079" priority="2125">
      <formula>AC30&lt;0</formula>
    </cfRule>
  </conditionalFormatting>
  <conditionalFormatting sqref="AD31">
    <cfRule type="colorScale" priority="2239">
      <colorScale>
        <cfvo type="min"/>
        <cfvo type="max"/>
        <color theme="0"/>
        <color theme="0"/>
      </colorScale>
    </cfRule>
    <cfRule type="expression" dxfId="3078" priority="2241">
      <formula>AC31&lt;0</formula>
    </cfRule>
  </conditionalFormatting>
  <conditionalFormatting sqref="AD32">
    <cfRule type="colorScale" priority="2235">
      <colorScale>
        <cfvo type="min"/>
        <cfvo type="max"/>
        <color theme="0"/>
        <color theme="0"/>
      </colorScale>
    </cfRule>
    <cfRule type="expression" dxfId="3077" priority="2237">
      <formula>AC32&lt;0</formula>
    </cfRule>
  </conditionalFormatting>
  <conditionalFormatting sqref="AD40">
    <cfRule type="colorScale" priority="2115">
      <colorScale>
        <cfvo type="min"/>
        <cfvo type="max"/>
        <color theme="0"/>
        <color theme="0"/>
      </colorScale>
    </cfRule>
    <cfRule type="expression" priority="2116">
      <formula>#REF!</formula>
    </cfRule>
    <cfRule type="expression" dxfId="3076" priority="2117">
      <formula>AC40&lt;0</formula>
    </cfRule>
  </conditionalFormatting>
  <conditionalFormatting sqref="AD40:AD107">
    <cfRule type="expression" dxfId="3075" priority="2074">
      <formula>IF(AD40="Validar","Rojo","Verde")</formula>
    </cfRule>
  </conditionalFormatting>
  <conditionalFormatting sqref="AD41:AD68">
    <cfRule type="colorScale" priority="2231">
      <colorScale>
        <cfvo type="min"/>
        <cfvo type="max"/>
        <color theme="0"/>
        <color theme="0"/>
      </colorScale>
    </cfRule>
    <cfRule type="expression" priority="2232">
      <formula>$F$20</formula>
    </cfRule>
    <cfRule type="expression" dxfId="3074" priority="2233">
      <formula>AC41&lt;0</formula>
    </cfRule>
  </conditionalFormatting>
  <conditionalFormatting sqref="AD69">
    <cfRule type="colorScale" priority="2107">
      <colorScale>
        <cfvo type="min"/>
        <cfvo type="max"/>
        <color theme="0"/>
        <color theme="0"/>
      </colorScale>
    </cfRule>
    <cfRule type="expression" priority="2108">
      <formula>#REF!</formula>
    </cfRule>
    <cfRule type="expression" dxfId="3073" priority="2109">
      <formula>AC69&lt;0</formula>
    </cfRule>
  </conditionalFormatting>
  <conditionalFormatting sqref="AD70:AD82">
    <cfRule type="colorScale" priority="2415">
      <colorScale>
        <cfvo type="min"/>
        <cfvo type="max"/>
        <color theme="0"/>
        <color theme="0"/>
      </colorScale>
    </cfRule>
    <cfRule type="expression" priority="2416">
      <formula>$F$20</formula>
    </cfRule>
    <cfRule type="expression" dxfId="3072" priority="2417">
      <formula>AC70&lt;0</formula>
    </cfRule>
  </conditionalFormatting>
  <conditionalFormatting sqref="AD83 AD92 AD103 AD107">
    <cfRule type="colorScale" priority="2407">
      <colorScale>
        <cfvo type="min"/>
        <cfvo type="max"/>
        <color theme="0"/>
        <color theme="0"/>
      </colorScale>
    </cfRule>
    <cfRule type="expression" dxfId="3071" priority="2409">
      <formula>AC83&lt;0</formula>
    </cfRule>
  </conditionalFormatting>
  <conditionalFormatting sqref="AD84">
    <cfRule type="colorScale" priority="2075">
      <colorScale>
        <cfvo type="min"/>
        <cfvo type="max"/>
        <color theme="0"/>
        <color theme="0"/>
      </colorScale>
    </cfRule>
    <cfRule type="expression" priority="2076">
      <formula>#REF!</formula>
    </cfRule>
    <cfRule type="expression" dxfId="3070" priority="2077">
      <formula>AC84&lt;0</formula>
    </cfRule>
  </conditionalFormatting>
  <conditionalFormatting sqref="AD85:AD91">
    <cfRule type="colorScale" priority="2423">
      <colorScale>
        <cfvo type="min"/>
        <cfvo type="max"/>
        <color theme="0"/>
        <color theme="0"/>
      </colorScale>
    </cfRule>
    <cfRule type="expression" priority="2424">
      <formula>$F$20</formula>
    </cfRule>
    <cfRule type="expression" dxfId="3069" priority="2425">
      <formula>AC85&lt;0</formula>
    </cfRule>
  </conditionalFormatting>
  <conditionalFormatting sqref="AD93">
    <cfRule type="colorScale" priority="2099">
      <colorScale>
        <cfvo type="min"/>
        <cfvo type="max"/>
        <color theme="0"/>
        <color theme="0"/>
      </colorScale>
    </cfRule>
    <cfRule type="expression" priority="2100">
      <formula>#REF!</formula>
    </cfRule>
    <cfRule type="expression" dxfId="3068" priority="2101">
      <formula>AC93&lt;0</formula>
    </cfRule>
  </conditionalFormatting>
  <conditionalFormatting sqref="AD94:AD102">
    <cfRule type="colorScale" priority="2427">
      <colorScale>
        <cfvo type="min"/>
        <cfvo type="max"/>
        <color theme="0"/>
        <color theme="0"/>
      </colorScale>
    </cfRule>
    <cfRule type="expression" priority="2428">
      <formula>$F$20</formula>
    </cfRule>
    <cfRule type="expression" dxfId="3067" priority="2429">
      <formula>AC94&lt;0</formula>
    </cfRule>
  </conditionalFormatting>
  <conditionalFormatting sqref="AD104">
    <cfRule type="colorScale" priority="2091">
      <colorScale>
        <cfvo type="min"/>
        <cfvo type="max"/>
        <color theme="0"/>
        <color theme="0"/>
      </colorScale>
    </cfRule>
    <cfRule type="expression" priority="2092">
      <formula>#REF!</formula>
    </cfRule>
    <cfRule type="expression" dxfId="3066" priority="2093">
      <formula>AC104&lt;0</formula>
    </cfRule>
  </conditionalFormatting>
  <conditionalFormatting sqref="AD105:AD106">
    <cfRule type="colorScale" priority="2431">
      <colorScale>
        <cfvo type="min"/>
        <cfvo type="max"/>
        <color theme="0"/>
        <color theme="0"/>
      </colorScale>
    </cfRule>
    <cfRule type="expression" priority="2432">
      <formula>$F$20</formula>
    </cfRule>
    <cfRule type="expression" dxfId="3065" priority="2433">
      <formula>AC105&lt;0</formula>
    </cfRule>
  </conditionalFormatting>
  <conditionalFormatting sqref="AD110">
    <cfRule type="colorScale" priority="2435">
      <colorScale>
        <cfvo type="min"/>
        <cfvo type="max"/>
        <color theme="0"/>
        <color theme="0"/>
      </colorScale>
    </cfRule>
    <cfRule type="expression" dxfId="3064" priority="2437">
      <formula>AC110&lt;0</formula>
    </cfRule>
  </conditionalFormatting>
  <conditionalFormatting sqref="AD110:AD111">
    <cfRule type="expression" priority="2064">
      <formula>$F$20</formula>
    </cfRule>
  </conditionalFormatting>
  <conditionalFormatting sqref="AD111">
    <cfRule type="colorScale" priority="2063">
      <colorScale>
        <cfvo type="min"/>
        <cfvo type="max"/>
        <color theme="0"/>
        <color theme="0"/>
      </colorScale>
    </cfRule>
    <cfRule type="expression" dxfId="3063" priority="2065">
      <formula>AC111&lt;0</formula>
    </cfRule>
  </conditionalFormatting>
  <conditionalFormatting sqref="AD117:AD123">
    <cfRule type="colorScale" priority="2467">
      <colorScale>
        <cfvo type="min"/>
        <cfvo type="max"/>
        <color theme="0"/>
        <color theme="0"/>
      </colorScale>
    </cfRule>
    <cfRule type="expression" priority="2468">
      <formula>$F$20</formula>
    </cfRule>
    <cfRule type="expression" dxfId="3062" priority="2469">
      <formula>AC117&lt;0</formula>
    </cfRule>
  </conditionalFormatting>
  <conditionalFormatting sqref="AD125">
    <cfRule type="colorScale" priority="2083">
      <colorScale>
        <cfvo type="min"/>
        <cfvo type="max"/>
        <color theme="0"/>
        <color theme="0"/>
      </colorScale>
    </cfRule>
    <cfRule type="expression" priority="2084">
      <formula>#REF!</formula>
    </cfRule>
    <cfRule type="expression" dxfId="3061" priority="2085">
      <formula>AC125&lt;0</formula>
    </cfRule>
  </conditionalFormatting>
  <conditionalFormatting sqref="AD125:AD135">
    <cfRule type="expression" dxfId="3060" priority="2082">
      <formula>IF(AD125="Validar","Rojo","Verde")</formula>
    </cfRule>
  </conditionalFormatting>
  <conditionalFormatting sqref="AD126:AD132">
    <cfRule type="colorScale" priority="2471">
      <colorScale>
        <cfvo type="min"/>
        <cfvo type="max"/>
        <color theme="0"/>
        <color theme="0"/>
      </colorScale>
    </cfRule>
    <cfRule type="expression" dxfId="3059" priority="2473">
      <formula>AC126&lt;0</formula>
    </cfRule>
  </conditionalFormatting>
  <conditionalFormatting sqref="AD126:AD134">
    <cfRule type="expression" priority="2472">
      <formula>$F$20</formula>
    </cfRule>
  </conditionalFormatting>
  <conditionalFormatting sqref="AD133:AD134">
    <cfRule type="colorScale" priority="2475">
      <colorScale>
        <cfvo type="min"/>
        <cfvo type="max"/>
        <color theme="0"/>
        <color theme="0"/>
      </colorScale>
    </cfRule>
    <cfRule type="expression" dxfId="3058" priority="2477">
      <formula>AC133&lt;0</formula>
    </cfRule>
  </conditionalFormatting>
  <conditionalFormatting sqref="AD135">
    <cfRule type="colorScale" priority="2459">
      <colorScale>
        <cfvo type="min"/>
        <cfvo type="max"/>
        <color theme="0"/>
        <color theme="0"/>
      </colorScale>
    </cfRule>
    <cfRule type="expression" priority="2460">
      <formula>$F$24</formula>
    </cfRule>
    <cfRule type="expression" dxfId="3057" priority="2461">
      <formula>AC135&lt;0</formula>
    </cfRule>
  </conditionalFormatting>
  <conditionalFormatting sqref="AD83:AE83 AD92:AE92 AD103:AE103 AD107:AE107">
    <cfRule type="expression" priority="2408">
      <formula>$F$24</formula>
    </cfRule>
  </conditionalFormatting>
  <conditionalFormatting sqref="AD110:AE111">
    <cfRule type="expression" dxfId="3056" priority="2058">
      <formula>IF(AD110="Validar","Rojo","Verde")</formula>
    </cfRule>
  </conditionalFormatting>
  <conditionalFormatting sqref="AD117:AE123">
    <cfRule type="expression" dxfId="3055" priority="2178">
      <formula>IF(AD117="Validar","Rojo","Verde")</formula>
    </cfRule>
  </conditionalFormatting>
  <conditionalFormatting sqref="AE41:AE67">
    <cfRule type="colorScale" priority="2227">
      <colorScale>
        <cfvo type="min"/>
        <cfvo type="max"/>
        <color theme="0"/>
        <color theme="0"/>
      </colorScale>
    </cfRule>
    <cfRule type="expression" priority="2228">
      <formula>#REF!</formula>
    </cfRule>
    <cfRule type="expression" dxfId="3054" priority="2229">
      <formula>AD41&lt;0</formula>
    </cfRule>
  </conditionalFormatting>
  <conditionalFormatting sqref="AE41:AE68">
    <cfRule type="expression" dxfId="3053" priority="2226">
      <formula>IF(AE41="Validar","Rojo","Verde")</formula>
    </cfRule>
  </conditionalFormatting>
  <conditionalFormatting sqref="AE68 AE83 AE92 AE103 AE107">
    <cfRule type="expression" dxfId="3052" priority="2413">
      <formula>AD68&lt;0</formula>
    </cfRule>
  </conditionalFormatting>
  <conditionalFormatting sqref="AE68">
    <cfRule type="expression" priority="2412">
      <formula>$F$24</formula>
    </cfRule>
  </conditionalFormatting>
  <conditionalFormatting sqref="AE70">
    <cfRule type="colorScale" priority="2223">
      <colorScale>
        <cfvo type="min"/>
        <cfvo type="max"/>
        <color theme="0"/>
        <color theme="0"/>
      </colorScale>
    </cfRule>
    <cfRule type="expression" dxfId="3051" priority="2225">
      <formula>AD70&lt;0</formula>
    </cfRule>
  </conditionalFormatting>
  <conditionalFormatting sqref="AE70:AE82">
    <cfRule type="expression" priority="2220">
      <formula>#REF!</formula>
    </cfRule>
  </conditionalFormatting>
  <conditionalFormatting sqref="AE70:AE83">
    <cfRule type="expression" dxfId="3050" priority="2218">
      <formula>IF(AE70="Validar","Rojo","Verde")</formula>
    </cfRule>
  </conditionalFormatting>
  <conditionalFormatting sqref="AE71:AE79">
    <cfRule type="colorScale" priority="2219">
      <colorScale>
        <cfvo type="min"/>
        <cfvo type="max"/>
        <color theme="0"/>
        <color theme="0"/>
      </colorScale>
    </cfRule>
    <cfRule type="expression" dxfId="3049" priority="2221">
      <formula>AD71&lt;0</formula>
    </cfRule>
  </conditionalFormatting>
  <conditionalFormatting sqref="AE80:AE82">
    <cfRule type="colorScale" priority="2419">
      <colorScale>
        <cfvo type="min"/>
        <cfvo type="max"/>
        <color theme="0"/>
        <color theme="0"/>
      </colorScale>
    </cfRule>
    <cfRule type="expression" dxfId="3048" priority="2421">
      <formula>AD80&lt;0</formula>
    </cfRule>
  </conditionalFormatting>
  <conditionalFormatting sqref="AE83 AE68 AE92 AE103 AE107">
    <cfRule type="colorScale" priority="2411">
      <colorScale>
        <cfvo type="min"/>
        <cfvo type="max"/>
        <color theme="0"/>
        <color theme="0"/>
      </colorScale>
    </cfRule>
  </conditionalFormatting>
  <conditionalFormatting sqref="AE85">
    <cfRule type="colorScale" priority="2215">
      <colorScale>
        <cfvo type="min"/>
        <cfvo type="max"/>
        <color theme="0"/>
        <color theme="0"/>
      </colorScale>
    </cfRule>
    <cfRule type="expression" dxfId="3047" priority="2217">
      <formula>AD85&lt;0</formula>
    </cfRule>
  </conditionalFormatting>
  <conditionalFormatting sqref="AE85:AE91">
    <cfRule type="expression" priority="2212">
      <formula>#REF!</formula>
    </cfRule>
  </conditionalFormatting>
  <conditionalFormatting sqref="AE85:AE92">
    <cfRule type="expression" dxfId="3046" priority="2210">
      <formula>IF(AE85="Validar","Rojo","Verde")</formula>
    </cfRule>
  </conditionalFormatting>
  <conditionalFormatting sqref="AE86:AE91">
    <cfRule type="colorScale" priority="2211">
      <colorScale>
        <cfvo type="min"/>
        <cfvo type="max"/>
        <color theme="0"/>
        <color theme="0"/>
      </colorScale>
    </cfRule>
    <cfRule type="expression" dxfId="3045" priority="2213">
      <formula>AD86&lt;0</formula>
    </cfRule>
  </conditionalFormatting>
  <conditionalFormatting sqref="AE94">
    <cfRule type="colorScale" priority="2207">
      <colorScale>
        <cfvo type="min"/>
        <cfvo type="max"/>
        <color theme="0"/>
        <color theme="0"/>
      </colorScale>
    </cfRule>
    <cfRule type="expression" dxfId="3044" priority="2209">
      <formula>AD94&lt;0</formula>
    </cfRule>
  </conditionalFormatting>
  <conditionalFormatting sqref="AE94:AE102">
    <cfRule type="expression" priority="2196">
      <formula>#REF!</formula>
    </cfRule>
  </conditionalFormatting>
  <conditionalFormatting sqref="AE94:AE103">
    <cfRule type="expression" dxfId="3043" priority="2194">
      <formula>IF(AE94="Validar","Rojo","Verde")</formula>
    </cfRule>
  </conditionalFormatting>
  <conditionalFormatting sqref="AE95:AE100">
    <cfRule type="colorScale" priority="2203">
      <colorScale>
        <cfvo type="min"/>
        <cfvo type="max"/>
        <color theme="0"/>
        <color theme="0"/>
      </colorScale>
    </cfRule>
    <cfRule type="expression" dxfId="3042" priority="2205">
      <formula>AD95&lt;0</formula>
    </cfRule>
  </conditionalFormatting>
  <conditionalFormatting sqref="AE101">
    <cfRule type="colorScale" priority="2199">
      <colorScale>
        <cfvo type="min"/>
        <cfvo type="max"/>
        <color theme="0"/>
        <color theme="0"/>
      </colorScale>
    </cfRule>
    <cfRule type="expression" dxfId="3041" priority="2201">
      <formula>AD101&lt;0</formula>
    </cfRule>
  </conditionalFormatting>
  <conditionalFormatting sqref="AE102">
    <cfRule type="colorScale" priority="2195">
      <colorScale>
        <cfvo type="min"/>
        <cfvo type="max"/>
        <color theme="0"/>
        <color theme="0"/>
      </colorScale>
    </cfRule>
    <cfRule type="expression" dxfId="3040" priority="2197">
      <formula>AD102&lt;0</formula>
    </cfRule>
  </conditionalFormatting>
  <conditionalFormatting sqref="AE105">
    <cfRule type="colorScale" priority="2191">
      <colorScale>
        <cfvo type="min"/>
        <cfvo type="max"/>
        <color theme="0"/>
        <color theme="0"/>
      </colorScale>
    </cfRule>
    <cfRule type="expression" dxfId="3039" priority="2193">
      <formula>AD105&lt;0</formula>
    </cfRule>
  </conditionalFormatting>
  <conditionalFormatting sqref="AE105:AE106">
    <cfRule type="expression" priority="2188">
      <formula>#REF!</formula>
    </cfRule>
  </conditionalFormatting>
  <conditionalFormatting sqref="AE105:AE107">
    <cfRule type="expression" dxfId="3038" priority="2186">
      <formula>IF(AE105="Validar","Rojo","Verde")</formula>
    </cfRule>
  </conditionalFormatting>
  <conditionalFormatting sqref="AE106">
    <cfRule type="colorScale" priority="2187">
      <colorScale>
        <cfvo type="min"/>
        <cfvo type="max"/>
        <color theme="0"/>
        <color theme="0"/>
      </colorScale>
    </cfRule>
    <cfRule type="expression" dxfId="3037" priority="2189">
      <formula>AD106&lt;0</formula>
    </cfRule>
  </conditionalFormatting>
  <conditionalFormatting sqref="AE110">
    <cfRule type="colorScale" priority="2175">
      <colorScale>
        <cfvo type="min"/>
        <cfvo type="max"/>
        <color theme="0"/>
        <color theme="0"/>
      </colorScale>
    </cfRule>
    <cfRule type="expression" dxfId="3036" priority="2177">
      <formula>AD110&lt;0</formula>
    </cfRule>
  </conditionalFormatting>
  <conditionalFormatting sqref="AE110:AE111">
    <cfRule type="expression" priority="2060">
      <formula>#REF!</formula>
    </cfRule>
  </conditionalFormatting>
  <conditionalFormatting sqref="AE111">
    <cfRule type="colorScale" priority="2059">
      <colorScale>
        <cfvo type="min"/>
        <cfvo type="max"/>
        <color theme="0"/>
        <color theme="0"/>
      </colorScale>
    </cfRule>
    <cfRule type="expression" dxfId="3035" priority="2061">
      <formula>AD111&lt;0</formula>
    </cfRule>
  </conditionalFormatting>
  <conditionalFormatting sqref="AE117">
    <cfRule type="colorScale" priority="2183">
      <colorScale>
        <cfvo type="min"/>
        <cfvo type="max"/>
        <color theme="0"/>
        <color theme="0"/>
      </colorScale>
    </cfRule>
    <cfRule type="expression" dxfId="3034" priority="2185">
      <formula>AD117&lt;0</formula>
    </cfRule>
  </conditionalFormatting>
  <conditionalFormatting sqref="AE117:AE123">
    <cfRule type="expression" priority="2180">
      <formula>#REF!</formula>
    </cfRule>
  </conditionalFormatting>
  <conditionalFormatting sqref="AE118:AE123">
    <cfRule type="colorScale" priority="2179">
      <colorScale>
        <cfvo type="min"/>
        <cfvo type="max"/>
        <color theme="0"/>
        <color theme="0"/>
      </colorScale>
    </cfRule>
    <cfRule type="expression" dxfId="3033" priority="2181">
      <formula>AD118&lt;0</formula>
    </cfRule>
  </conditionalFormatting>
  <conditionalFormatting sqref="AE126:AE135">
    <cfRule type="expression" dxfId="3032" priority="2462">
      <formula>IF(AE126="Validar","Rojo","Verde")</formula>
    </cfRule>
    <cfRule type="colorScale" priority="2463">
      <colorScale>
        <cfvo type="min"/>
        <cfvo type="max"/>
        <color theme="0"/>
        <color theme="0"/>
      </colorScale>
    </cfRule>
    <cfRule type="expression" priority="2464">
      <formula>$F$24</formula>
    </cfRule>
    <cfRule type="expression" dxfId="3031" priority="2465">
      <formula>AD126&lt;0</formula>
    </cfRule>
  </conditionalFormatting>
  <conditionalFormatting sqref="AG6:AG10">
    <cfRule type="colorScale" priority="1830">
      <colorScale>
        <cfvo type="min"/>
        <cfvo type="max"/>
        <color theme="0"/>
        <color theme="0"/>
      </colorScale>
    </cfRule>
    <cfRule type="expression" dxfId="3030" priority="1832">
      <formula>AF6&lt;0</formula>
    </cfRule>
  </conditionalFormatting>
  <conditionalFormatting sqref="AG6:AG21">
    <cfRule type="expression" dxfId="3029" priority="1609">
      <formula>IF(AG6="Validar","Rojo","Verde")</formula>
    </cfRule>
    <cfRule type="expression" priority="1611">
      <formula>#REF!</formula>
    </cfRule>
  </conditionalFormatting>
  <conditionalFormatting sqref="AG11">
    <cfRule type="colorScale" priority="1626">
      <colorScale>
        <cfvo type="min"/>
        <cfvo type="max"/>
        <color theme="0"/>
        <color theme="0"/>
      </colorScale>
    </cfRule>
    <cfRule type="expression" dxfId="3028" priority="1628">
      <formula>AF11&lt;0</formula>
    </cfRule>
  </conditionalFormatting>
  <conditionalFormatting sqref="AG12:AG15">
    <cfRule type="colorScale" priority="1826">
      <colorScale>
        <cfvo type="min"/>
        <cfvo type="max"/>
        <color theme="0"/>
        <color theme="0"/>
      </colorScale>
    </cfRule>
    <cfRule type="expression" dxfId="3027" priority="1828">
      <formula>AF12&lt;0</formula>
    </cfRule>
  </conditionalFormatting>
  <conditionalFormatting sqref="AG16">
    <cfRule type="colorScale" priority="1618">
      <colorScale>
        <cfvo type="min"/>
        <cfvo type="max"/>
        <color theme="0"/>
        <color theme="0"/>
      </colorScale>
    </cfRule>
    <cfRule type="expression" dxfId="3026" priority="1620">
      <formula>AF16&lt;0</formula>
    </cfRule>
  </conditionalFormatting>
  <conditionalFormatting sqref="AG17:AG18">
    <cfRule type="colorScale" priority="1822">
      <colorScale>
        <cfvo type="min"/>
        <cfvo type="max"/>
        <color theme="0"/>
        <color theme="0"/>
      </colorScale>
    </cfRule>
    <cfRule type="expression" dxfId="3025" priority="1824">
      <formula>AF17&lt;0</formula>
    </cfRule>
  </conditionalFormatting>
  <conditionalFormatting sqref="AG19">
    <cfRule type="colorScale" priority="1610">
      <colorScale>
        <cfvo type="min"/>
        <cfvo type="max"/>
        <color theme="0"/>
        <color theme="0"/>
      </colorScale>
    </cfRule>
    <cfRule type="expression" dxfId="3024" priority="1612">
      <formula>AF19&lt;0</formula>
    </cfRule>
  </conditionalFormatting>
  <conditionalFormatting sqref="AG20:AG21">
    <cfRule type="colorScale" priority="1818">
      <colorScale>
        <cfvo type="min"/>
        <cfvo type="max"/>
        <color theme="0"/>
        <color theme="0"/>
      </colorScale>
    </cfRule>
    <cfRule type="expression" dxfId="3023" priority="1820">
      <formula>AF20&lt;0</formula>
    </cfRule>
  </conditionalFormatting>
  <conditionalFormatting sqref="AG24">
    <cfRule type="colorScale" priority="1602">
      <colorScale>
        <cfvo type="min"/>
        <cfvo type="max"/>
        <color theme="0"/>
        <color theme="0"/>
      </colorScale>
    </cfRule>
    <cfRule type="expression" dxfId="3022" priority="1604">
      <formula>AF24&lt;0</formula>
    </cfRule>
  </conditionalFormatting>
  <conditionalFormatting sqref="AG24:AG32">
    <cfRule type="expression" dxfId="3021" priority="1585">
      <formula>IF(AG24="Validar","Rojo","Verde")</formula>
    </cfRule>
    <cfRule type="expression" priority="1587">
      <formula>#REF!</formula>
    </cfRule>
  </conditionalFormatting>
  <conditionalFormatting sqref="AG25">
    <cfRule type="colorScale" priority="1814">
      <colorScale>
        <cfvo type="min"/>
        <cfvo type="max"/>
        <color theme="0"/>
        <color theme="0"/>
      </colorScale>
    </cfRule>
    <cfRule type="expression" dxfId="3020" priority="1816">
      <formula>AF25&lt;0</formula>
    </cfRule>
  </conditionalFormatting>
  <conditionalFormatting sqref="AG26">
    <cfRule type="colorScale" priority="1810">
      <colorScale>
        <cfvo type="min"/>
        <cfvo type="max"/>
        <color theme="0"/>
        <color theme="0"/>
      </colorScale>
    </cfRule>
    <cfRule type="expression" dxfId="3019" priority="1812">
      <formula>AF26&lt;0</formula>
    </cfRule>
  </conditionalFormatting>
  <conditionalFormatting sqref="AG27">
    <cfRule type="colorScale" priority="1594">
      <colorScale>
        <cfvo type="min"/>
        <cfvo type="max"/>
        <color theme="0"/>
        <color theme="0"/>
      </colorScale>
    </cfRule>
    <cfRule type="expression" dxfId="3018" priority="1596">
      <formula>AF27&lt;0</formula>
    </cfRule>
  </conditionalFormatting>
  <conditionalFormatting sqref="AG28">
    <cfRule type="colorScale" priority="1806">
      <colorScale>
        <cfvo type="min"/>
        <cfvo type="max"/>
        <color theme="0"/>
        <color theme="0"/>
      </colorScale>
    </cfRule>
    <cfRule type="expression" dxfId="3017" priority="1808">
      <formula>AF28&lt;0</formula>
    </cfRule>
  </conditionalFormatting>
  <conditionalFormatting sqref="AG29">
    <cfRule type="colorScale" priority="1802">
      <colorScale>
        <cfvo type="min"/>
        <cfvo type="max"/>
        <color theme="0"/>
        <color theme="0"/>
      </colorScale>
    </cfRule>
    <cfRule type="expression" dxfId="3016" priority="1804">
      <formula>AF29&lt;0</formula>
    </cfRule>
  </conditionalFormatting>
  <conditionalFormatting sqref="AG30">
    <cfRule type="colorScale" priority="1586">
      <colorScale>
        <cfvo type="min"/>
        <cfvo type="max"/>
        <color theme="0"/>
        <color theme="0"/>
      </colorScale>
    </cfRule>
    <cfRule type="expression" dxfId="3015" priority="1588">
      <formula>AF30&lt;0</formula>
    </cfRule>
  </conditionalFormatting>
  <conditionalFormatting sqref="AG31">
    <cfRule type="colorScale" priority="1798">
      <colorScale>
        <cfvo type="min"/>
        <cfvo type="max"/>
        <color theme="0"/>
        <color theme="0"/>
      </colorScale>
    </cfRule>
    <cfRule type="expression" dxfId="3014" priority="1800">
      <formula>AF31&lt;0</formula>
    </cfRule>
  </conditionalFormatting>
  <conditionalFormatting sqref="AG32">
    <cfRule type="colorScale" priority="1794">
      <colorScale>
        <cfvo type="min"/>
        <cfvo type="max"/>
        <color theme="0"/>
        <color theme="0"/>
      </colorScale>
    </cfRule>
    <cfRule type="expression" dxfId="3013" priority="1796">
      <formula>AF32&lt;0</formula>
    </cfRule>
  </conditionalFormatting>
  <conditionalFormatting sqref="AG40">
    <cfRule type="colorScale" priority="1578">
      <colorScale>
        <cfvo type="min"/>
        <cfvo type="max"/>
        <color theme="0"/>
        <color theme="0"/>
      </colorScale>
    </cfRule>
    <cfRule type="expression" priority="1579">
      <formula>#REF!</formula>
    </cfRule>
    <cfRule type="expression" dxfId="3012" priority="1580">
      <formula>AF40&lt;0</formula>
    </cfRule>
  </conditionalFormatting>
  <conditionalFormatting sqref="AG40:AG107">
    <cfRule type="expression" dxfId="3011" priority="1537">
      <formula>IF(AG40="Validar","Rojo","Verde")</formula>
    </cfRule>
  </conditionalFormatting>
  <conditionalFormatting sqref="AG41:AG68">
    <cfRule type="colorScale" priority="1790">
      <colorScale>
        <cfvo type="min"/>
        <cfvo type="max"/>
        <color theme="0"/>
        <color theme="0"/>
      </colorScale>
    </cfRule>
    <cfRule type="expression" priority="1791">
      <formula>$F$20</formula>
    </cfRule>
    <cfRule type="expression" dxfId="3010" priority="1792">
      <formula>AF41&lt;0</formula>
    </cfRule>
  </conditionalFormatting>
  <conditionalFormatting sqref="AG69">
    <cfRule type="colorScale" priority="1570">
      <colorScale>
        <cfvo type="min"/>
        <cfvo type="max"/>
        <color theme="0"/>
        <color theme="0"/>
      </colorScale>
    </cfRule>
    <cfRule type="expression" priority="1571">
      <formula>#REF!</formula>
    </cfRule>
    <cfRule type="expression" dxfId="3009" priority="1572">
      <formula>AF69&lt;0</formula>
    </cfRule>
  </conditionalFormatting>
  <conditionalFormatting sqref="AG70:AG82">
    <cfRule type="colorScale" priority="1842">
      <colorScale>
        <cfvo type="min"/>
        <cfvo type="max"/>
        <color theme="0"/>
        <color theme="0"/>
      </colorScale>
    </cfRule>
    <cfRule type="expression" priority="1843">
      <formula>$F$20</formula>
    </cfRule>
    <cfRule type="expression" dxfId="3008" priority="1844">
      <formula>AF70&lt;0</formula>
    </cfRule>
  </conditionalFormatting>
  <conditionalFormatting sqref="AG92 AG83 AG103 AG107">
    <cfRule type="colorScale" priority="1834">
      <colorScale>
        <cfvo type="min"/>
        <cfvo type="max"/>
        <color theme="0"/>
        <color theme="0"/>
      </colorScale>
    </cfRule>
    <cfRule type="expression" dxfId="3007" priority="1836">
      <formula>AF83&lt;0</formula>
    </cfRule>
  </conditionalFormatting>
  <conditionalFormatting sqref="AG84">
    <cfRule type="colorScale" priority="1538">
      <colorScale>
        <cfvo type="min"/>
        <cfvo type="max"/>
        <color theme="0"/>
        <color theme="0"/>
      </colorScale>
    </cfRule>
    <cfRule type="expression" priority="1539">
      <formula>#REF!</formula>
    </cfRule>
    <cfRule type="expression" dxfId="3006" priority="1540">
      <formula>AF84&lt;0</formula>
    </cfRule>
  </conditionalFormatting>
  <conditionalFormatting sqref="AG85:AG91">
    <cfRule type="colorScale" priority="1850">
      <colorScale>
        <cfvo type="min"/>
        <cfvo type="max"/>
        <color theme="0"/>
        <color theme="0"/>
      </colorScale>
    </cfRule>
    <cfRule type="expression" priority="1851">
      <formula>$F$20</formula>
    </cfRule>
    <cfRule type="expression" dxfId="3005" priority="1852">
      <formula>AF85&lt;0</formula>
    </cfRule>
  </conditionalFormatting>
  <conditionalFormatting sqref="AG93">
    <cfRule type="colorScale" priority="1562">
      <colorScale>
        <cfvo type="min"/>
        <cfvo type="max"/>
        <color theme="0"/>
        <color theme="0"/>
      </colorScale>
    </cfRule>
    <cfRule type="expression" priority="1563">
      <formula>#REF!</formula>
    </cfRule>
    <cfRule type="expression" dxfId="3004" priority="1564">
      <formula>AF93&lt;0</formula>
    </cfRule>
  </conditionalFormatting>
  <conditionalFormatting sqref="AG94:AG102">
    <cfRule type="colorScale" priority="1854">
      <colorScale>
        <cfvo type="min"/>
        <cfvo type="max"/>
        <color theme="0"/>
        <color theme="0"/>
      </colorScale>
    </cfRule>
    <cfRule type="expression" priority="1855">
      <formula>$F$20</formula>
    </cfRule>
    <cfRule type="expression" dxfId="3003" priority="1856">
      <formula>AF94&lt;0</formula>
    </cfRule>
  </conditionalFormatting>
  <conditionalFormatting sqref="AG104">
    <cfRule type="colorScale" priority="1554">
      <colorScale>
        <cfvo type="min"/>
        <cfvo type="max"/>
        <color theme="0"/>
        <color theme="0"/>
      </colorScale>
    </cfRule>
    <cfRule type="expression" priority="1555">
      <formula>#REF!</formula>
    </cfRule>
    <cfRule type="expression" dxfId="3002" priority="1556">
      <formula>AF104&lt;0</formula>
    </cfRule>
  </conditionalFormatting>
  <conditionalFormatting sqref="AG105:AG106">
    <cfRule type="colorScale" priority="1858">
      <colorScale>
        <cfvo type="min"/>
        <cfvo type="max"/>
        <color theme="0"/>
        <color theme="0"/>
      </colorScale>
    </cfRule>
    <cfRule type="expression" priority="1859">
      <formula>$F$20</formula>
    </cfRule>
    <cfRule type="expression" dxfId="3001" priority="1860">
      <formula>AF105&lt;0</formula>
    </cfRule>
  </conditionalFormatting>
  <conditionalFormatting sqref="AG110">
    <cfRule type="colorScale" priority="1862">
      <colorScale>
        <cfvo type="min"/>
        <cfvo type="max"/>
        <color theme="0"/>
        <color theme="0"/>
      </colorScale>
    </cfRule>
    <cfRule type="expression" dxfId="3000" priority="1864">
      <formula>AF110&lt;0</formula>
    </cfRule>
  </conditionalFormatting>
  <conditionalFormatting sqref="AG110:AG111">
    <cfRule type="expression" priority="1531">
      <formula>$F$20</formula>
    </cfRule>
  </conditionalFormatting>
  <conditionalFormatting sqref="AG111">
    <cfRule type="colorScale" priority="1530">
      <colorScale>
        <cfvo type="min"/>
        <cfvo type="max"/>
        <color theme="0"/>
        <color theme="0"/>
      </colorScale>
    </cfRule>
    <cfRule type="expression" dxfId="2999" priority="1532">
      <formula>AF111&lt;0</formula>
    </cfRule>
  </conditionalFormatting>
  <conditionalFormatting sqref="AG117:AG123">
    <cfRule type="colorScale" priority="1906">
      <colorScale>
        <cfvo type="min"/>
        <cfvo type="max"/>
        <color theme="0"/>
        <color theme="0"/>
      </colorScale>
    </cfRule>
    <cfRule type="expression" priority="1907">
      <formula>$F$20</formula>
    </cfRule>
    <cfRule type="expression" dxfId="2998" priority="1908">
      <formula>AF117&lt;0</formula>
    </cfRule>
  </conditionalFormatting>
  <conditionalFormatting sqref="AG125">
    <cfRule type="colorScale" priority="1546">
      <colorScale>
        <cfvo type="min"/>
        <cfvo type="max"/>
        <color theme="0"/>
        <color theme="0"/>
      </colorScale>
    </cfRule>
    <cfRule type="expression" priority="1547">
      <formula>#REF!</formula>
    </cfRule>
    <cfRule type="expression" dxfId="2997" priority="1548">
      <formula>AF125&lt;0</formula>
    </cfRule>
  </conditionalFormatting>
  <conditionalFormatting sqref="AG125:AG135">
    <cfRule type="expression" dxfId="2996" priority="1545">
      <formula>IF(AG125="Validar","Rojo","Verde")</formula>
    </cfRule>
  </conditionalFormatting>
  <conditionalFormatting sqref="AG126:AG132">
    <cfRule type="colorScale" priority="1910">
      <colorScale>
        <cfvo type="min"/>
        <cfvo type="max"/>
        <color theme="0"/>
        <color theme="0"/>
      </colorScale>
    </cfRule>
    <cfRule type="expression" dxfId="2995" priority="1912">
      <formula>AF126&lt;0</formula>
    </cfRule>
  </conditionalFormatting>
  <conditionalFormatting sqref="AG126:AG134">
    <cfRule type="expression" priority="1911">
      <formula>$F$20</formula>
    </cfRule>
  </conditionalFormatting>
  <conditionalFormatting sqref="AG133:AG134">
    <cfRule type="colorScale" priority="1914">
      <colorScale>
        <cfvo type="min"/>
        <cfvo type="max"/>
        <color theme="0"/>
        <color theme="0"/>
      </colorScale>
    </cfRule>
    <cfRule type="expression" dxfId="2994" priority="1916">
      <formula>AF133&lt;0</formula>
    </cfRule>
  </conditionalFormatting>
  <conditionalFormatting sqref="AG135">
    <cfRule type="colorScale" priority="1898">
      <colorScale>
        <cfvo type="min"/>
        <cfvo type="max"/>
        <color theme="0"/>
        <color theme="0"/>
      </colorScale>
    </cfRule>
    <cfRule type="expression" priority="1899">
      <formula>$F$24</formula>
    </cfRule>
    <cfRule type="expression" dxfId="2993" priority="1900">
      <formula>AF135&lt;0</formula>
    </cfRule>
  </conditionalFormatting>
  <conditionalFormatting sqref="AG83:AH83 AG92:AH92 AG103:AH103 AG107:AH107">
    <cfRule type="expression" priority="1835">
      <formula>$F$24</formula>
    </cfRule>
  </conditionalFormatting>
  <conditionalFormatting sqref="AG110:AI111">
    <cfRule type="expression" dxfId="2992" priority="1397">
      <formula>IF(AG110="Validar","Rojo","Verde")</formula>
    </cfRule>
  </conditionalFormatting>
  <conditionalFormatting sqref="AG117:AI123">
    <cfRule type="expression" dxfId="2991" priority="1457">
      <formula>IF(AG117="Validar","Rojo","Verde")</formula>
    </cfRule>
  </conditionalFormatting>
  <conditionalFormatting sqref="AH41:AH66">
    <cfRule type="colorScale" priority="1786">
      <colorScale>
        <cfvo type="min"/>
        <cfvo type="max"/>
        <color theme="0"/>
        <color theme="0"/>
      </colorScale>
    </cfRule>
    <cfRule type="expression" dxfId="2990" priority="1788">
      <formula>AG41&lt;0</formula>
    </cfRule>
  </conditionalFormatting>
  <conditionalFormatting sqref="AH41:AH67">
    <cfRule type="expression" priority="1631">
      <formula>#REF!</formula>
    </cfRule>
  </conditionalFormatting>
  <conditionalFormatting sqref="AH41:AH68">
    <cfRule type="expression" dxfId="2989" priority="1629">
      <formula>IF(AH41="Validar","Rojo","Verde")</formula>
    </cfRule>
  </conditionalFormatting>
  <conditionalFormatting sqref="AH67">
    <cfRule type="colorScale" priority="1630">
      <colorScale>
        <cfvo type="min"/>
        <cfvo type="max"/>
        <color theme="0"/>
        <color theme="0"/>
      </colorScale>
    </cfRule>
    <cfRule type="expression" dxfId="2988" priority="1632">
      <formula>AG67&lt;0</formula>
    </cfRule>
  </conditionalFormatting>
  <conditionalFormatting sqref="AH68 AH83 AH92 AH103 AH107">
    <cfRule type="expression" dxfId="2987" priority="1840">
      <formula>AG68&lt;0</formula>
    </cfRule>
  </conditionalFormatting>
  <conditionalFormatting sqref="AH68">
    <cfRule type="expression" priority="1839">
      <formula>$F$24</formula>
    </cfRule>
  </conditionalFormatting>
  <conditionalFormatting sqref="AH70">
    <cfRule type="colorScale" priority="1782">
      <colorScale>
        <cfvo type="min"/>
        <cfvo type="max"/>
        <color theme="0"/>
        <color theme="0"/>
      </colorScale>
    </cfRule>
    <cfRule type="expression" dxfId="2986" priority="1784">
      <formula>AG70&lt;0</formula>
    </cfRule>
  </conditionalFormatting>
  <conditionalFormatting sqref="AH70:AH82">
    <cfRule type="expression" priority="1779">
      <formula>#REF!</formula>
    </cfRule>
  </conditionalFormatting>
  <conditionalFormatting sqref="AH70:AH83">
    <cfRule type="expression" dxfId="2985" priority="1777">
      <formula>IF(AH70="Validar","Rojo","Verde")</formula>
    </cfRule>
  </conditionalFormatting>
  <conditionalFormatting sqref="AH71:AH79">
    <cfRule type="colorScale" priority="1778">
      <colorScale>
        <cfvo type="min"/>
        <cfvo type="max"/>
        <color theme="0"/>
        <color theme="0"/>
      </colorScale>
    </cfRule>
    <cfRule type="expression" dxfId="2984" priority="1780">
      <formula>AG71&lt;0</formula>
    </cfRule>
  </conditionalFormatting>
  <conditionalFormatting sqref="AH80:AH82">
    <cfRule type="colorScale" priority="1846">
      <colorScale>
        <cfvo type="min"/>
        <cfvo type="max"/>
        <color theme="0"/>
        <color theme="0"/>
      </colorScale>
    </cfRule>
    <cfRule type="expression" dxfId="2983" priority="1848">
      <formula>AG80&lt;0</formula>
    </cfRule>
  </conditionalFormatting>
  <conditionalFormatting sqref="AH83 AH68 AH92 AH103 AH107">
    <cfRule type="colorScale" priority="1838">
      <colorScale>
        <cfvo type="min"/>
        <cfvo type="max"/>
        <color theme="0"/>
        <color theme="0"/>
      </colorScale>
    </cfRule>
  </conditionalFormatting>
  <conditionalFormatting sqref="AH85">
    <cfRule type="colorScale" priority="1774">
      <colorScale>
        <cfvo type="min"/>
        <cfvo type="max"/>
        <color theme="0"/>
        <color theme="0"/>
      </colorScale>
    </cfRule>
    <cfRule type="expression" dxfId="2982" priority="1776">
      <formula>AG85&lt;0</formula>
    </cfRule>
  </conditionalFormatting>
  <conditionalFormatting sqref="AH85:AH91">
    <cfRule type="expression" priority="1771">
      <formula>#REF!</formula>
    </cfRule>
  </conditionalFormatting>
  <conditionalFormatting sqref="AH85:AH92">
    <cfRule type="expression" dxfId="2981" priority="1769">
      <formula>IF(AH85="Validar","Rojo","Verde")</formula>
    </cfRule>
  </conditionalFormatting>
  <conditionalFormatting sqref="AH86:AH91">
    <cfRule type="colorScale" priority="1770">
      <colorScale>
        <cfvo type="min"/>
        <cfvo type="max"/>
        <color theme="0"/>
        <color theme="0"/>
      </colorScale>
    </cfRule>
    <cfRule type="expression" dxfId="2980" priority="1772">
      <formula>AG86&lt;0</formula>
    </cfRule>
  </conditionalFormatting>
  <conditionalFormatting sqref="AH94">
    <cfRule type="colorScale" priority="1766">
      <colorScale>
        <cfvo type="min"/>
        <cfvo type="max"/>
        <color theme="0"/>
        <color theme="0"/>
      </colorScale>
    </cfRule>
    <cfRule type="expression" dxfId="2979" priority="1768">
      <formula>AG94&lt;0</formula>
    </cfRule>
  </conditionalFormatting>
  <conditionalFormatting sqref="AH94:AH102">
    <cfRule type="expression" priority="1755">
      <formula>#REF!</formula>
    </cfRule>
  </conditionalFormatting>
  <conditionalFormatting sqref="AH94:AH103">
    <cfRule type="expression" dxfId="2978" priority="1753">
      <formula>IF(AH94="Validar","Rojo","Verde")</formula>
    </cfRule>
  </conditionalFormatting>
  <conditionalFormatting sqref="AH95:AH100">
    <cfRule type="colorScale" priority="1762">
      <colorScale>
        <cfvo type="min"/>
        <cfvo type="max"/>
        <color theme="0"/>
        <color theme="0"/>
      </colorScale>
    </cfRule>
    <cfRule type="expression" dxfId="2977" priority="1764">
      <formula>AG95&lt;0</formula>
    </cfRule>
  </conditionalFormatting>
  <conditionalFormatting sqref="AH101">
    <cfRule type="colorScale" priority="1758">
      <colorScale>
        <cfvo type="min"/>
        <cfvo type="max"/>
        <color theme="0"/>
        <color theme="0"/>
      </colorScale>
    </cfRule>
    <cfRule type="expression" dxfId="2976" priority="1760">
      <formula>AG101&lt;0</formula>
    </cfRule>
  </conditionalFormatting>
  <conditionalFormatting sqref="AH102">
    <cfRule type="colorScale" priority="1754">
      <colorScale>
        <cfvo type="min"/>
        <cfvo type="max"/>
        <color theme="0"/>
        <color theme="0"/>
      </colorScale>
    </cfRule>
    <cfRule type="expression" dxfId="2975" priority="1756">
      <formula>AG102&lt;0</formula>
    </cfRule>
  </conditionalFormatting>
  <conditionalFormatting sqref="AH105">
    <cfRule type="colorScale" priority="1750">
      <colorScale>
        <cfvo type="min"/>
        <cfvo type="max"/>
        <color theme="0"/>
        <color theme="0"/>
      </colorScale>
    </cfRule>
    <cfRule type="expression" dxfId="2974" priority="1752">
      <formula>AG105&lt;0</formula>
    </cfRule>
  </conditionalFormatting>
  <conditionalFormatting sqref="AH105:AH106">
    <cfRule type="expression" priority="1747">
      <formula>#REF!</formula>
    </cfRule>
  </conditionalFormatting>
  <conditionalFormatting sqref="AH105:AH107">
    <cfRule type="expression" dxfId="2973" priority="1745">
      <formula>IF(AH105="Validar","Rojo","Verde")</formula>
    </cfRule>
  </conditionalFormatting>
  <conditionalFormatting sqref="AH106">
    <cfRule type="colorScale" priority="1746">
      <colorScale>
        <cfvo type="min"/>
        <cfvo type="max"/>
        <color theme="0"/>
        <color theme="0"/>
      </colorScale>
    </cfRule>
    <cfRule type="expression" dxfId="2972" priority="1748">
      <formula>AG106&lt;0</formula>
    </cfRule>
  </conditionalFormatting>
  <conditionalFormatting sqref="AH110">
    <cfRule type="colorScale" priority="1734">
      <colorScale>
        <cfvo type="min"/>
        <cfvo type="max"/>
        <color theme="0"/>
        <color theme="0"/>
      </colorScale>
    </cfRule>
    <cfRule type="expression" priority="1735">
      <formula>#REF!</formula>
    </cfRule>
    <cfRule type="expression" dxfId="2971" priority="1736">
      <formula>AG110&lt;0</formula>
    </cfRule>
  </conditionalFormatting>
  <conditionalFormatting sqref="AH111">
    <cfRule type="colorScale" priority="1526">
      <colorScale>
        <cfvo type="min"/>
        <cfvo type="max"/>
        <color theme="0"/>
        <color theme="0"/>
      </colorScale>
    </cfRule>
    <cfRule type="expression" priority="1527">
      <formula>$F$20</formula>
    </cfRule>
    <cfRule type="expression" dxfId="2970" priority="1528">
      <formula>AG111&lt;0</formula>
    </cfRule>
  </conditionalFormatting>
  <conditionalFormatting sqref="AH117">
    <cfRule type="colorScale" priority="1742">
      <colorScale>
        <cfvo type="min"/>
        <cfvo type="max"/>
        <color theme="0"/>
        <color theme="0"/>
      </colorScale>
    </cfRule>
    <cfRule type="expression" dxfId="2969" priority="1744">
      <formula>AG117&lt;0</formula>
    </cfRule>
  </conditionalFormatting>
  <conditionalFormatting sqref="AH118:AH123">
    <cfRule type="colorScale" priority="1738">
      <colorScale>
        <cfvo type="min"/>
        <cfvo type="max"/>
        <color theme="0"/>
        <color theme="0"/>
      </colorScale>
    </cfRule>
    <cfRule type="expression" dxfId="2968" priority="1740">
      <formula>AG118&lt;0</formula>
    </cfRule>
  </conditionalFormatting>
  <conditionalFormatting sqref="AH126:AH135">
    <cfRule type="expression" dxfId="2967" priority="1901">
      <formula>IF(AH126="Validar","Rojo","Verde")</formula>
    </cfRule>
    <cfRule type="colorScale" priority="1902">
      <colorScale>
        <cfvo type="min"/>
        <cfvo type="max"/>
        <color theme="0"/>
        <color theme="0"/>
      </colorScale>
    </cfRule>
    <cfRule type="expression" priority="1903">
      <formula>$F$24</formula>
    </cfRule>
    <cfRule type="expression" dxfId="2966" priority="1904">
      <formula>AG126&lt;0</formula>
    </cfRule>
  </conditionalFormatting>
  <conditionalFormatting sqref="AH117:AI123">
    <cfRule type="expression" priority="1459">
      <formula>#REF!</formula>
    </cfRule>
  </conditionalFormatting>
  <conditionalFormatting sqref="AI6">
    <cfRule type="colorScale" priority="1494">
      <colorScale>
        <cfvo type="min"/>
        <cfvo type="max"/>
        <color theme="0"/>
        <color theme="0"/>
      </colorScale>
    </cfRule>
    <cfRule type="expression" dxfId="2965" priority="1496">
      <formula>AH6&lt;0</formula>
    </cfRule>
  </conditionalFormatting>
  <conditionalFormatting sqref="AI6:AI17">
    <cfRule type="expression" dxfId="2964" priority="1445">
      <formula>IF(AI6="Validar","Rojo","Verde")</formula>
    </cfRule>
    <cfRule type="expression" priority="1447">
      <formula>#REF!</formula>
    </cfRule>
  </conditionalFormatting>
  <conditionalFormatting sqref="AI7:AI10">
    <cfRule type="colorScale" priority="1510">
      <colorScale>
        <cfvo type="min"/>
        <cfvo type="max"/>
        <color theme="0"/>
        <color theme="0"/>
      </colorScale>
    </cfRule>
    <cfRule type="expression" dxfId="2963" priority="1512">
      <formula>AH7&lt;0</formula>
    </cfRule>
  </conditionalFormatting>
  <conditionalFormatting sqref="AI11">
    <cfRule type="colorScale" priority="1450">
      <colorScale>
        <cfvo type="min"/>
        <cfvo type="max"/>
        <color theme="0"/>
        <color theme="0"/>
      </colorScale>
    </cfRule>
    <cfRule type="expression" dxfId="2962" priority="1452">
      <formula>AH11&lt;0</formula>
    </cfRule>
  </conditionalFormatting>
  <conditionalFormatting sqref="AI12:AI15">
    <cfRule type="colorScale" priority="1506">
      <colorScale>
        <cfvo type="min"/>
        <cfvo type="max"/>
        <color theme="0"/>
        <color theme="0"/>
      </colorScale>
    </cfRule>
    <cfRule type="expression" dxfId="2961" priority="1508">
      <formula>AH12&lt;0</formula>
    </cfRule>
  </conditionalFormatting>
  <conditionalFormatting sqref="AI16">
    <cfRule type="colorScale" priority="1446">
      <colorScale>
        <cfvo type="min"/>
        <cfvo type="max"/>
        <color theme="0"/>
        <color theme="0"/>
      </colorScale>
    </cfRule>
    <cfRule type="expression" dxfId="2960" priority="1448">
      <formula>AH16&lt;0</formula>
    </cfRule>
  </conditionalFormatting>
  <conditionalFormatting sqref="AI17">
    <cfRule type="colorScale" priority="1502">
      <colorScale>
        <cfvo type="min"/>
        <cfvo type="max"/>
        <color theme="0"/>
        <color theme="0"/>
      </colorScale>
    </cfRule>
    <cfRule type="expression" dxfId="2959" priority="1504">
      <formula>AH17&lt;0</formula>
    </cfRule>
  </conditionalFormatting>
  <conditionalFormatting sqref="AI19">
    <cfRule type="colorScale" priority="1442">
      <colorScale>
        <cfvo type="min"/>
        <cfvo type="max"/>
        <color theme="0"/>
        <color theme="0"/>
      </colorScale>
    </cfRule>
    <cfRule type="expression" dxfId="2958" priority="1444">
      <formula>AH19&lt;0</formula>
    </cfRule>
  </conditionalFormatting>
  <conditionalFormatting sqref="AI19:AI20">
    <cfRule type="expression" dxfId="2957" priority="1441">
      <formula>IF(AI19="Validar","Rojo","Verde")</formula>
    </cfRule>
    <cfRule type="expression" priority="1443">
      <formula>#REF!</formula>
    </cfRule>
  </conditionalFormatting>
  <conditionalFormatting sqref="AI20">
    <cfRule type="colorScale" priority="1498">
      <colorScale>
        <cfvo type="min"/>
        <cfvo type="max"/>
        <color theme="0"/>
        <color theme="0"/>
      </colorScale>
    </cfRule>
    <cfRule type="expression" dxfId="2956" priority="1500">
      <formula>AH20&lt;0</formula>
    </cfRule>
  </conditionalFormatting>
  <conditionalFormatting sqref="AI24">
    <cfRule type="colorScale" priority="1438">
      <colorScale>
        <cfvo type="min"/>
        <cfvo type="max"/>
        <color theme="0"/>
        <color theme="0"/>
      </colorScale>
    </cfRule>
    <cfRule type="expression" dxfId="2955" priority="1440">
      <formula>AH24&lt;0</formula>
    </cfRule>
  </conditionalFormatting>
  <conditionalFormatting sqref="AI24:AI25">
    <cfRule type="expression" dxfId="2954" priority="1437">
      <formula>IF(AI24="Validar","Rojo","Verde")</formula>
    </cfRule>
    <cfRule type="expression" priority="1439">
      <formula>#REF!</formula>
    </cfRule>
  </conditionalFormatting>
  <conditionalFormatting sqref="AI25">
    <cfRule type="colorScale" priority="1490">
      <colorScale>
        <cfvo type="min"/>
        <cfvo type="max"/>
        <color theme="0"/>
        <color theme="0"/>
      </colorScale>
    </cfRule>
    <cfRule type="expression" dxfId="2953" priority="1492">
      <formula>AH25&lt;0</formula>
    </cfRule>
  </conditionalFormatting>
  <conditionalFormatting sqref="AI27">
    <cfRule type="colorScale" priority="1434">
      <colorScale>
        <cfvo type="min"/>
        <cfvo type="max"/>
        <color theme="0"/>
        <color theme="0"/>
      </colorScale>
    </cfRule>
    <cfRule type="expression" dxfId="2952" priority="1436">
      <formula>AH27&lt;0</formula>
    </cfRule>
  </conditionalFormatting>
  <conditionalFormatting sqref="AI27:AI28">
    <cfRule type="expression" dxfId="2951" priority="1433">
      <formula>IF(AI27="Validar","Rojo","Verde")</formula>
    </cfRule>
    <cfRule type="expression" priority="1435">
      <formula>#REF!</formula>
    </cfRule>
  </conditionalFormatting>
  <conditionalFormatting sqref="AI28">
    <cfRule type="colorScale" priority="1486">
      <colorScale>
        <cfvo type="min"/>
        <cfvo type="max"/>
        <color theme="0"/>
        <color theme="0"/>
      </colorScale>
    </cfRule>
    <cfRule type="expression" dxfId="2950" priority="1488">
      <formula>AH28&lt;0</formula>
    </cfRule>
  </conditionalFormatting>
  <conditionalFormatting sqref="AI30">
    <cfRule type="colorScale" priority="1430">
      <colorScale>
        <cfvo type="min"/>
        <cfvo type="max"/>
        <color theme="0"/>
        <color theme="0"/>
      </colorScale>
    </cfRule>
    <cfRule type="expression" dxfId="2949" priority="1432">
      <formula>AH30&lt;0</formula>
    </cfRule>
  </conditionalFormatting>
  <conditionalFormatting sqref="AI30:AI31">
    <cfRule type="expression" dxfId="2948" priority="1429">
      <formula>IF(AI30="Validar","Rojo","Verde")</formula>
    </cfRule>
    <cfRule type="expression" priority="1431">
      <formula>#REF!</formula>
    </cfRule>
  </conditionalFormatting>
  <conditionalFormatting sqref="AI31">
    <cfRule type="colorScale" priority="1482">
      <colorScale>
        <cfvo type="min"/>
        <cfvo type="max"/>
        <color theme="0"/>
        <color theme="0"/>
      </colorScale>
    </cfRule>
    <cfRule type="expression" dxfId="2947" priority="1484">
      <formula>AH31&lt;0</formula>
    </cfRule>
  </conditionalFormatting>
  <conditionalFormatting sqref="AI40">
    <cfRule type="colorScale" priority="1426">
      <colorScale>
        <cfvo type="min"/>
        <cfvo type="max"/>
        <color theme="0"/>
        <color theme="0"/>
      </colorScale>
    </cfRule>
    <cfRule type="expression" dxfId="2946" priority="1428">
      <formula>AH40&lt;0</formula>
    </cfRule>
  </conditionalFormatting>
  <conditionalFormatting sqref="AI40:AI67">
    <cfRule type="expression" dxfId="2945" priority="1425">
      <formula>IF(AI40="Validar","Rojo","Verde")</formula>
    </cfRule>
    <cfRule type="expression" priority="1427">
      <formula>#REF!</formula>
    </cfRule>
  </conditionalFormatting>
  <conditionalFormatting sqref="AI41:AI67">
    <cfRule type="colorScale" priority="1478">
      <colorScale>
        <cfvo type="min"/>
        <cfvo type="max"/>
        <color theme="0"/>
        <color theme="0"/>
      </colorScale>
    </cfRule>
    <cfRule type="expression" dxfId="2944" priority="1480">
      <formula>AH41&lt;0</formula>
    </cfRule>
  </conditionalFormatting>
  <conditionalFormatting sqref="AI69">
    <cfRule type="colorScale" priority="1422">
      <colorScale>
        <cfvo type="min"/>
        <cfvo type="max"/>
        <color theme="0"/>
        <color theme="0"/>
      </colorScale>
    </cfRule>
    <cfRule type="expression" dxfId="2943" priority="1424">
      <formula>AH69&lt;0</formula>
    </cfRule>
  </conditionalFormatting>
  <conditionalFormatting sqref="AI69:AI82">
    <cfRule type="expression" dxfId="2942" priority="1421">
      <formula>IF(AI69="Validar","Rojo","Verde")</formula>
    </cfRule>
    <cfRule type="expression" priority="1423">
      <formula>#REF!</formula>
    </cfRule>
  </conditionalFormatting>
  <conditionalFormatting sqref="AI70:AI82">
    <cfRule type="colorScale" priority="1514">
      <colorScale>
        <cfvo type="min"/>
        <cfvo type="max"/>
        <color theme="0"/>
        <color theme="0"/>
      </colorScale>
    </cfRule>
    <cfRule type="expression" dxfId="2941" priority="1516">
      <formula>AH70&lt;0</formula>
    </cfRule>
  </conditionalFormatting>
  <conditionalFormatting sqref="AI84">
    <cfRule type="colorScale" priority="1405">
      <colorScale>
        <cfvo type="min"/>
        <cfvo type="max"/>
        <color theme="0"/>
        <color theme="0"/>
      </colorScale>
    </cfRule>
    <cfRule type="expression" dxfId="2940" priority="1407">
      <formula>AH84&lt;0</formula>
    </cfRule>
  </conditionalFormatting>
  <conditionalFormatting sqref="AI84:AI91">
    <cfRule type="expression" dxfId="2939" priority="1404">
      <formula>IF(AI84="Validar","Rojo","Verde")</formula>
    </cfRule>
    <cfRule type="expression" priority="1406">
      <formula>#REF!</formula>
    </cfRule>
  </conditionalFormatting>
  <conditionalFormatting sqref="AI85:AI91">
    <cfRule type="colorScale" priority="1474">
      <colorScale>
        <cfvo type="min"/>
        <cfvo type="max"/>
        <color theme="0"/>
        <color theme="0"/>
      </colorScale>
    </cfRule>
    <cfRule type="expression" dxfId="2938" priority="1476">
      <formula>AH85&lt;0</formula>
    </cfRule>
  </conditionalFormatting>
  <conditionalFormatting sqref="AI93">
    <cfRule type="colorScale" priority="1418">
      <colorScale>
        <cfvo type="min"/>
        <cfvo type="max"/>
        <color theme="0"/>
        <color theme="0"/>
      </colorScale>
    </cfRule>
    <cfRule type="expression" dxfId="2937" priority="1420">
      <formula>AH93&lt;0</formula>
    </cfRule>
  </conditionalFormatting>
  <conditionalFormatting sqref="AI93:AI102">
    <cfRule type="expression" dxfId="2936" priority="1417">
      <formula>IF(AI93="Validar","Rojo","Verde")</formula>
    </cfRule>
    <cfRule type="expression" priority="1419">
      <formula>#REF!</formula>
    </cfRule>
  </conditionalFormatting>
  <conditionalFormatting sqref="AI94:AI102">
    <cfRule type="colorScale" priority="1470">
      <colorScale>
        <cfvo type="min"/>
        <cfvo type="max"/>
        <color theme="0"/>
        <color theme="0"/>
      </colorScale>
    </cfRule>
    <cfRule type="expression" dxfId="2935" priority="1472">
      <formula>AH94&lt;0</formula>
    </cfRule>
  </conditionalFormatting>
  <conditionalFormatting sqref="AI104">
    <cfRule type="colorScale" priority="1414">
      <colorScale>
        <cfvo type="min"/>
        <cfvo type="max"/>
        <color theme="0"/>
        <color theme="0"/>
      </colorScale>
    </cfRule>
    <cfRule type="expression" dxfId="2934" priority="1416">
      <formula>AH104&lt;0</formula>
    </cfRule>
  </conditionalFormatting>
  <conditionalFormatting sqref="AI104:AI106">
    <cfRule type="expression" dxfId="2933" priority="1413">
      <formula>IF(AI104="Validar","Rojo","Verde")</formula>
    </cfRule>
    <cfRule type="expression" priority="1415">
      <formula>#REF!</formula>
    </cfRule>
  </conditionalFormatting>
  <conditionalFormatting sqref="AI105:AI106">
    <cfRule type="colorScale" priority="1466">
      <colorScale>
        <cfvo type="min"/>
        <cfvo type="max"/>
        <color theme="0"/>
        <color theme="0"/>
      </colorScale>
    </cfRule>
    <cfRule type="expression" dxfId="2932" priority="1468">
      <formula>AH105&lt;0</formula>
    </cfRule>
  </conditionalFormatting>
  <conditionalFormatting sqref="AI110">
    <cfRule type="colorScale" priority="1462">
      <colorScale>
        <cfvo type="min"/>
        <cfvo type="max"/>
        <color theme="0"/>
        <color theme="0"/>
      </colorScale>
    </cfRule>
    <cfRule type="expression" dxfId="2931" priority="1464">
      <formula>AH110&lt;0</formula>
    </cfRule>
  </conditionalFormatting>
  <conditionalFormatting sqref="AI110:AI111">
    <cfRule type="expression" priority="1399">
      <formula>#REF!</formula>
    </cfRule>
  </conditionalFormatting>
  <conditionalFormatting sqref="AI111">
    <cfRule type="colorScale" priority="1398">
      <colorScale>
        <cfvo type="min"/>
        <cfvo type="max"/>
        <color theme="0"/>
        <color theme="0"/>
      </colorScale>
    </cfRule>
    <cfRule type="expression" dxfId="2930" priority="1400">
      <formula>AH111&lt;0</formula>
    </cfRule>
  </conditionalFormatting>
  <conditionalFormatting sqref="AI117:AI123">
    <cfRule type="colorScale" priority="1458">
      <colorScale>
        <cfvo type="min"/>
        <cfvo type="max"/>
        <color theme="0"/>
        <color theme="0"/>
      </colorScale>
    </cfRule>
    <cfRule type="expression" dxfId="2929" priority="1460">
      <formula>AH117&lt;0</formula>
    </cfRule>
  </conditionalFormatting>
  <conditionalFormatting sqref="AI125">
    <cfRule type="colorScale" priority="1410">
      <colorScale>
        <cfvo type="min"/>
        <cfvo type="max"/>
        <color theme="0"/>
        <color theme="0"/>
      </colorScale>
    </cfRule>
    <cfRule type="expression" dxfId="2928" priority="1412">
      <formula>AH125&lt;0</formula>
    </cfRule>
  </conditionalFormatting>
  <conditionalFormatting sqref="AI125:AI134">
    <cfRule type="expression" dxfId="2927" priority="1409">
      <formula>IF(AI125="Validar","Rojo","Verde")</formula>
    </cfRule>
    <cfRule type="expression" priority="1411">
      <formula>#REF!</formula>
    </cfRule>
  </conditionalFormatting>
  <conditionalFormatting sqref="AI126:AI134">
    <cfRule type="colorScale" priority="1454">
      <colorScale>
        <cfvo type="min"/>
        <cfvo type="max"/>
        <color theme="0"/>
        <color theme="0"/>
      </colorScale>
    </cfRule>
    <cfRule type="expression" dxfId="2926" priority="1456">
      <formula>AH126&lt;0</formula>
    </cfRule>
  </conditionalFormatting>
  <conditionalFormatting sqref="AK6:AK10">
    <cfRule type="colorScale" priority="1730">
      <colorScale>
        <cfvo type="min"/>
        <cfvo type="max"/>
        <color theme="0"/>
        <color theme="0"/>
      </colorScale>
    </cfRule>
    <cfRule type="expression" dxfId="2925" priority="1732">
      <formula>AJ6&lt;0</formula>
    </cfRule>
  </conditionalFormatting>
  <conditionalFormatting sqref="AK6:AK21">
    <cfRule type="expression" dxfId="2924" priority="1605">
      <formula>IF(AK6="Validar","Rojo","Verde")</formula>
    </cfRule>
    <cfRule type="expression" priority="1607">
      <formula>#REF!</formula>
    </cfRule>
  </conditionalFormatting>
  <conditionalFormatting sqref="AK11">
    <cfRule type="colorScale" priority="1622">
      <colorScale>
        <cfvo type="min"/>
        <cfvo type="max"/>
        <color theme="0"/>
        <color theme="0"/>
      </colorScale>
    </cfRule>
    <cfRule type="expression" dxfId="2923" priority="1624">
      <formula>AJ11&lt;0</formula>
    </cfRule>
  </conditionalFormatting>
  <conditionalFormatting sqref="AK12:AK15">
    <cfRule type="colorScale" priority="1726">
      <colorScale>
        <cfvo type="min"/>
        <cfvo type="max"/>
        <color theme="0"/>
        <color theme="0"/>
      </colorScale>
    </cfRule>
    <cfRule type="expression" dxfId="2922" priority="1728">
      <formula>AJ12&lt;0</formula>
    </cfRule>
  </conditionalFormatting>
  <conditionalFormatting sqref="AK16">
    <cfRule type="colorScale" priority="1614">
      <colorScale>
        <cfvo type="min"/>
        <cfvo type="max"/>
        <color theme="0"/>
        <color theme="0"/>
      </colorScale>
    </cfRule>
    <cfRule type="expression" dxfId="2921" priority="1616">
      <formula>AJ16&lt;0</formula>
    </cfRule>
  </conditionalFormatting>
  <conditionalFormatting sqref="AK17:AK18">
    <cfRule type="colorScale" priority="1722">
      <colorScale>
        <cfvo type="min"/>
        <cfvo type="max"/>
        <color theme="0"/>
        <color theme="0"/>
      </colorScale>
    </cfRule>
    <cfRule type="expression" dxfId="2920" priority="1724">
      <formula>AJ17&lt;0</formula>
    </cfRule>
  </conditionalFormatting>
  <conditionalFormatting sqref="AK19">
    <cfRule type="colorScale" priority="1606">
      <colorScale>
        <cfvo type="min"/>
        <cfvo type="max"/>
        <color theme="0"/>
        <color theme="0"/>
      </colorScale>
    </cfRule>
    <cfRule type="expression" dxfId="2919" priority="1608">
      <formula>AJ19&lt;0</formula>
    </cfRule>
  </conditionalFormatting>
  <conditionalFormatting sqref="AK20:AK21">
    <cfRule type="colorScale" priority="1718">
      <colorScale>
        <cfvo type="min"/>
        <cfvo type="max"/>
        <color theme="0"/>
        <color theme="0"/>
      </colorScale>
    </cfRule>
    <cfRule type="expression" dxfId="2918" priority="1720">
      <formula>AJ20&lt;0</formula>
    </cfRule>
  </conditionalFormatting>
  <conditionalFormatting sqref="AK24">
    <cfRule type="colorScale" priority="1598">
      <colorScale>
        <cfvo type="min"/>
        <cfvo type="max"/>
        <color theme="0"/>
        <color theme="0"/>
      </colorScale>
    </cfRule>
    <cfRule type="expression" dxfId="2917" priority="1600">
      <formula>AJ24&lt;0</formula>
    </cfRule>
  </conditionalFormatting>
  <conditionalFormatting sqref="AK24:AK32">
    <cfRule type="expression" dxfId="2916" priority="1581">
      <formula>IF(AK24="Validar","Rojo","Verde")</formula>
    </cfRule>
    <cfRule type="expression" priority="1583">
      <formula>#REF!</formula>
    </cfRule>
  </conditionalFormatting>
  <conditionalFormatting sqref="AK25">
    <cfRule type="colorScale" priority="1714">
      <colorScale>
        <cfvo type="min"/>
        <cfvo type="max"/>
        <color theme="0"/>
        <color theme="0"/>
      </colorScale>
    </cfRule>
    <cfRule type="expression" dxfId="2915" priority="1716">
      <formula>AJ25&lt;0</formula>
    </cfRule>
  </conditionalFormatting>
  <conditionalFormatting sqref="AK26">
    <cfRule type="colorScale" priority="1710">
      <colorScale>
        <cfvo type="min"/>
        <cfvo type="max"/>
        <color theme="0"/>
        <color theme="0"/>
      </colorScale>
    </cfRule>
    <cfRule type="expression" dxfId="2914" priority="1712">
      <formula>AJ26&lt;0</formula>
    </cfRule>
  </conditionalFormatting>
  <conditionalFormatting sqref="AK27">
    <cfRule type="colorScale" priority="1590">
      <colorScale>
        <cfvo type="min"/>
        <cfvo type="max"/>
        <color theme="0"/>
        <color theme="0"/>
      </colorScale>
    </cfRule>
    <cfRule type="expression" dxfId="2913" priority="1592">
      <formula>AJ27&lt;0</formula>
    </cfRule>
  </conditionalFormatting>
  <conditionalFormatting sqref="AK28">
    <cfRule type="colorScale" priority="1706">
      <colorScale>
        <cfvo type="min"/>
        <cfvo type="max"/>
        <color theme="0"/>
        <color theme="0"/>
      </colorScale>
    </cfRule>
    <cfRule type="expression" dxfId="2912" priority="1708">
      <formula>AJ28&lt;0</formula>
    </cfRule>
  </conditionalFormatting>
  <conditionalFormatting sqref="AK29">
    <cfRule type="colorScale" priority="1702">
      <colorScale>
        <cfvo type="min"/>
        <cfvo type="max"/>
        <color theme="0"/>
        <color theme="0"/>
      </colorScale>
    </cfRule>
    <cfRule type="expression" dxfId="2911" priority="1704">
      <formula>AJ29&lt;0</formula>
    </cfRule>
  </conditionalFormatting>
  <conditionalFormatting sqref="AK30">
    <cfRule type="colorScale" priority="1582">
      <colorScale>
        <cfvo type="min"/>
        <cfvo type="max"/>
        <color theme="0"/>
        <color theme="0"/>
      </colorScale>
    </cfRule>
    <cfRule type="expression" dxfId="2910" priority="1584">
      <formula>AJ30&lt;0</formula>
    </cfRule>
  </conditionalFormatting>
  <conditionalFormatting sqref="AK31">
    <cfRule type="colorScale" priority="1698">
      <colorScale>
        <cfvo type="min"/>
        <cfvo type="max"/>
        <color theme="0"/>
        <color theme="0"/>
      </colorScale>
    </cfRule>
    <cfRule type="expression" dxfId="2909" priority="1700">
      <formula>AJ31&lt;0</formula>
    </cfRule>
  </conditionalFormatting>
  <conditionalFormatting sqref="AK32">
    <cfRule type="colorScale" priority="1694">
      <colorScale>
        <cfvo type="min"/>
        <cfvo type="max"/>
        <color theme="0"/>
        <color theme="0"/>
      </colorScale>
    </cfRule>
    <cfRule type="expression" dxfId="2908" priority="1696">
      <formula>AJ32&lt;0</formula>
    </cfRule>
  </conditionalFormatting>
  <conditionalFormatting sqref="AK40">
    <cfRule type="colorScale" priority="1574">
      <colorScale>
        <cfvo type="min"/>
        <cfvo type="max"/>
        <color theme="0"/>
        <color theme="0"/>
      </colorScale>
    </cfRule>
    <cfRule type="expression" priority="1575">
      <formula>#REF!</formula>
    </cfRule>
    <cfRule type="expression" dxfId="2907" priority="1576">
      <formula>AJ40&lt;0</formula>
    </cfRule>
  </conditionalFormatting>
  <conditionalFormatting sqref="AK40:AK107">
    <cfRule type="expression" dxfId="2906" priority="1533">
      <formula>IF(AK40="Validar","Rojo","Verde")</formula>
    </cfRule>
  </conditionalFormatting>
  <conditionalFormatting sqref="AK41:AK68">
    <cfRule type="colorScale" priority="1690">
      <colorScale>
        <cfvo type="min"/>
        <cfvo type="max"/>
        <color theme="0"/>
        <color theme="0"/>
      </colorScale>
    </cfRule>
    <cfRule type="expression" priority="1691">
      <formula>$F$20</formula>
    </cfRule>
    <cfRule type="expression" dxfId="2905" priority="1692">
      <formula>AJ41&lt;0</formula>
    </cfRule>
  </conditionalFormatting>
  <conditionalFormatting sqref="AK69">
    <cfRule type="colorScale" priority="1566">
      <colorScale>
        <cfvo type="min"/>
        <cfvo type="max"/>
        <color theme="0"/>
        <color theme="0"/>
      </colorScale>
    </cfRule>
    <cfRule type="expression" priority="1567">
      <formula>#REF!</formula>
    </cfRule>
    <cfRule type="expression" dxfId="2904" priority="1568">
      <formula>AJ69&lt;0</formula>
    </cfRule>
  </conditionalFormatting>
  <conditionalFormatting sqref="AK70:AK82">
    <cfRule type="colorScale" priority="1874">
      <colorScale>
        <cfvo type="min"/>
        <cfvo type="max"/>
        <color theme="0"/>
        <color theme="0"/>
      </colorScale>
    </cfRule>
    <cfRule type="expression" priority="1875">
      <formula>$F$20</formula>
    </cfRule>
    <cfRule type="expression" dxfId="2903" priority="1876">
      <formula>AJ70&lt;0</formula>
    </cfRule>
  </conditionalFormatting>
  <conditionalFormatting sqref="AK83 AK92 AK103 AK107">
    <cfRule type="expression" dxfId="2902" priority="1868">
      <formula>AJ83&lt;0</formula>
    </cfRule>
  </conditionalFormatting>
  <conditionalFormatting sqref="AK84">
    <cfRule type="colorScale" priority="1534">
      <colorScale>
        <cfvo type="min"/>
        <cfvo type="max"/>
        <color theme="0"/>
        <color theme="0"/>
      </colorScale>
    </cfRule>
    <cfRule type="expression" priority="1535">
      <formula>#REF!</formula>
    </cfRule>
    <cfRule type="expression" dxfId="2901" priority="1536">
      <formula>AJ84&lt;0</formula>
    </cfRule>
  </conditionalFormatting>
  <conditionalFormatting sqref="AK85:AK91">
    <cfRule type="colorScale" priority="1882">
      <colorScale>
        <cfvo type="min"/>
        <cfvo type="max"/>
        <color theme="0"/>
        <color theme="0"/>
      </colorScale>
    </cfRule>
    <cfRule type="expression" priority="1883">
      <formula>$F$20</formula>
    </cfRule>
    <cfRule type="expression" dxfId="2900" priority="1884">
      <formula>AJ85&lt;0</formula>
    </cfRule>
  </conditionalFormatting>
  <conditionalFormatting sqref="AK83 AK92 AK103 AK107">
    <cfRule type="colorScale" priority="1866">
      <colorScale>
        <cfvo type="min"/>
        <cfvo type="max"/>
        <color theme="0"/>
        <color theme="0"/>
      </colorScale>
    </cfRule>
  </conditionalFormatting>
  <conditionalFormatting sqref="AK93">
    <cfRule type="colorScale" priority="1558">
      <colorScale>
        <cfvo type="min"/>
        <cfvo type="max"/>
        <color theme="0"/>
        <color theme="0"/>
      </colorScale>
    </cfRule>
    <cfRule type="expression" priority="1559">
      <formula>#REF!</formula>
    </cfRule>
    <cfRule type="expression" dxfId="2899" priority="1560">
      <formula>AJ93&lt;0</formula>
    </cfRule>
  </conditionalFormatting>
  <conditionalFormatting sqref="AK94:AK102">
    <cfRule type="colorScale" priority="1886">
      <colorScale>
        <cfvo type="min"/>
        <cfvo type="max"/>
        <color theme="0"/>
        <color theme="0"/>
      </colorScale>
    </cfRule>
    <cfRule type="expression" priority="1887">
      <formula>$F$20</formula>
    </cfRule>
    <cfRule type="expression" dxfId="2898" priority="1888">
      <formula>AJ94&lt;0</formula>
    </cfRule>
  </conditionalFormatting>
  <conditionalFormatting sqref="AK104">
    <cfRule type="colorScale" priority="1550">
      <colorScale>
        <cfvo type="min"/>
        <cfvo type="max"/>
        <color theme="0"/>
        <color theme="0"/>
      </colorScale>
    </cfRule>
    <cfRule type="expression" priority="1551">
      <formula>#REF!</formula>
    </cfRule>
    <cfRule type="expression" dxfId="2897" priority="1552">
      <formula>AJ104&lt;0</formula>
    </cfRule>
  </conditionalFormatting>
  <conditionalFormatting sqref="AK105:AK106">
    <cfRule type="colorScale" priority="1890">
      <colorScale>
        <cfvo type="min"/>
        <cfvo type="max"/>
        <color theme="0"/>
        <color theme="0"/>
      </colorScale>
    </cfRule>
    <cfRule type="expression" priority="1891">
      <formula>$F$20</formula>
    </cfRule>
    <cfRule type="expression" dxfId="2896" priority="1892">
      <formula>AJ105&lt;0</formula>
    </cfRule>
  </conditionalFormatting>
  <conditionalFormatting sqref="AK110">
    <cfRule type="colorScale" priority="1894">
      <colorScale>
        <cfvo type="min"/>
        <cfvo type="max"/>
        <color theme="0"/>
        <color theme="0"/>
      </colorScale>
    </cfRule>
    <cfRule type="expression" dxfId="2895" priority="1896">
      <formula>AJ110&lt;0</formula>
    </cfRule>
  </conditionalFormatting>
  <conditionalFormatting sqref="AK110:AK111">
    <cfRule type="expression" priority="1523">
      <formula>$F$20</formula>
    </cfRule>
  </conditionalFormatting>
  <conditionalFormatting sqref="AK111">
    <cfRule type="colorScale" priority="1522">
      <colorScale>
        <cfvo type="min"/>
        <cfvo type="max"/>
        <color theme="0"/>
        <color theme="0"/>
      </colorScale>
    </cfRule>
    <cfRule type="expression" dxfId="2894" priority="1524">
      <formula>AJ111&lt;0</formula>
    </cfRule>
  </conditionalFormatting>
  <conditionalFormatting sqref="AK117:AK123">
    <cfRule type="colorScale" priority="1926">
      <colorScale>
        <cfvo type="min"/>
        <cfvo type="max"/>
        <color theme="0"/>
        <color theme="0"/>
      </colorScale>
    </cfRule>
    <cfRule type="expression" priority="1927">
      <formula>$F$20</formula>
    </cfRule>
    <cfRule type="expression" dxfId="2893" priority="1928">
      <formula>AJ117&lt;0</formula>
    </cfRule>
  </conditionalFormatting>
  <conditionalFormatting sqref="AK125">
    <cfRule type="colorScale" priority="1542">
      <colorScale>
        <cfvo type="min"/>
        <cfvo type="max"/>
        <color theme="0"/>
        <color theme="0"/>
      </colorScale>
    </cfRule>
    <cfRule type="expression" priority="1543">
      <formula>#REF!</formula>
    </cfRule>
    <cfRule type="expression" dxfId="2892" priority="1544">
      <formula>AJ125&lt;0</formula>
    </cfRule>
  </conditionalFormatting>
  <conditionalFormatting sqref="AK125:AK135">
    <cfRule type="expression" dxfId="2891" priority="1541">
      <formula>IF(AK125="Validar","Rojo","Verde")</formula>
    </cfRule>
  </conditionalFormatting>
  <conditionalFormatting sqref="AK126:AK132">
    <cfRule type="colorScale" priority="1930">
      <colorScale>
        <cfvo type="min"/>
        <cfvo type="max"/>
        <color theme="0"/>
        <color theme="0"/>
      </colorScale>
    </cfRule>
    <cfRule type="expression" dxfId="2890" priority="1932">
      <formula>AJ126&lt;0</formula>
    </cfRule>
  </conditionalFormatting>
  <conditionalFormatting sqref="AK126:AK134">
    <cfRule type="expression" priority="1931">
      <formula>$F$20</formula>
    </cfRule>
  </conditionalFormatting>
  <conditionalFormatting sqref="AK133:AK134">
    <cfRule type="colorScale" priority="1934">
      <colorScale>
        <cfvo type="min"/>
        <cfvo type="max"/>
        <color theme="0"/>
        <color theme="0"/>
      </colorScale>
    </cfRule>
    <cfRule type="expression" dxfId="2889" priority="1936">
      <formula>AJ133&lt;0</formula>
    </cfRule>
  </conditionalFormatting>
  <conditionalFormatting sqref="AK135">
    <cfRule type="colorScale" priority="1918">
      <colorScale>
        <cfvo type="min"/>
        <cfvo type="max"/>
        <color theme="0"/>
        <color theme="0"/>
      </colorScale>
    </cfRule>
    <cfRule type="expression" priority="1919">
      <formula>$F$24</formula>
    </cfRule>
    <cfRule type="expression" dxfId="2888" priority="1920">
      <formula>AJ135&lt;0</formula>
    </cfRule>
  </conditionalFormatting>
  <conditionalFormatting sqref="AK83:AL83 AK92:AL92 AK103:AL103 AK107:AL107">
    <cfRule type="expression" priority="1867">
      <formula>$F$24</formula>
    </cfRule>
  </conditionalFormatting>
  <conditionalFormatting sqref="AK110:AL111">
    <cfRule type="expression" dxfId="2887" priority="1517">
      <formula>IF(AK110="Validar","Rojo","Verde")</formula>
    </cfRule>
  </conditionalFormatting>
  <conditionalFormatting sqref="AK117:AL123">
    <cfRule type="expression" dxfId="2886" priority="1637">
      <formula>IF(AK117="Validar","Rojo","Verde")</formula>
    </cfRule>
  </conditionalFormatting>
  <conditionalFormatting sqref="AL41:AL67">
    <cfRule type="colorScale" priority="1686">
      <colorScale>
        <cfvo type="min"/>
        <cfvo type="max"/>
        <color theme="0"/>
        <color theme="0"/>
      </colorScale>
    </cfRule>
    <cfRule type="expression" priority="1687">
      <formula>#REF!</formula>
    </cfRule>
    <cfRule type="expression" dxfId="2885" priority="1688">
      <formula>AK41&lt;0</formula>
    </cfRule>
  </conditionalFormatting>
  <conditionalFormatting sqref="AL41:AL68">
    <cfRule type="expression" dxfId="2884" priority="1685">
      <formula>IF(AL41="Validar","Rojo","Verde")</formula>
    </cfRule>
  </conditionalFormatting>
  <conditionalFormatting sqref="AL68 AL83 AL92 AL103 AL107">
    <cfRule type="expression" dxfId="2883" priority="1872">
      <formula>AK68&lt;0</formula>
    </cfRule>
  </conditionalFormatting>
  <conditionalFormatting sqref="AL68">
    <cfRule type="expression" priority="1871">
      <formula>$F$24</formula>
    </cfRule>
  </conditionalFormatting>
  <conditionalFormatting sqref="AL70">
    <cfRule type="colorScale" priority="1682">
      <colorScale>
        <cfvo type="min"/>
        <cfvo type="max"/>
        <color theme="0"/>
        <color theme="0"/>
      </colorScale>
    </cfRule>
    <cfRule type="expression" dxfId="2882" priority="1684">
      <formula>AK70&lt;0</formula>
    </cfRule>
  </conditionalFormatting>
  <conditionalFormatting sqref="AL70:AL82">
    <cfRule type="expression" priority="1679">
      <formula>#REF!</formula>
    </cfRule>
  </conditionalFormatting>
  <conditionalFormatting sqref="AL70:AL83">
    <cfRule type="expression" dxfId="2881" priority="1677">
      <formula>IF(AL70="Validar","Rojo","Verde")</formula>
    </cfRule>
  </conditionalFormatting>
  <conditionalFormatting sqref="AL71:AL79">
    <cfRule type="colorScale" priority="1678">
      <colorScale>
        <cfvo type="min"/>
        <cfvo type="max"/>
        <color theme="0"/>
        <color theme="0"/>
      </colorScale>
    </cfRule>
    <cfRule type="expression" dxfId="2880" priority="1680">
      <formula>AK71&lt;0</formula>
    </cfRule>
  </conditionalFormatting>
  <conditionalFormatting sqref="AL80:AL82">
    <cfRule type="colorScale" priority="1878">
      <colorScale>
        <cfvo type="min"/>
        <cfvo type="max"/>
        <color theme="0"/>
        <color theme="0"/>
      </colorScale>
    </cfRule>
    <cfRule type="expression" dxfId="2879" priority="1880">
      <formula>AK80&lt;0</formula>
    </cfRule>
  </conditionalFormatting>
  <conditionalFormatting sqref="AL83 AL68 AL92 AL103 AL107">
    <cfRule type="colorScale" priority="1870">
      <colorScale>
        <cfvo type="min"/>
        <cfvo type="max"/>
        <color theme="0"/>
        <color theme="0"/>
      </colorScale>
    </cfRule>
  </conditionalFormatting>
  <conditionalFormatting sqref="AL85">
    <cfRule type="colorScale" priority="1674">
      <colorScale>
        <cfvo type="min"/>
        <cfvo type="max"/>
        <color theme="0"/>
        <color theme="0"/>
      </colorScale>
    </cfRule>
    <cfRule type="expression" dxfId="2878" priority="1676">
      <formula>AK85&lt;0</formula>
    </cfRule>
  </conditionalFormatting>
  <conditionalFormatting sqref="AL85:AL91">
    <cfRule type="expression" priority="1671">
      <formula>#REF!</formula>
    </cfRule>
  </conditionalFormatting>
  <conditionalFormatting sqref="AL85:AL92">
    <cfRule type="expression" dxfId="2877" priority="1669">
      <formula>IF(AL85="Validar","Rojo","Verde")</formula>
    </cfRule>
  </conditionalFormatting>
  <conditionalFormatting sqref="AL86:AL91">
    <cfRule type="colorScale" priority="1670">
      <colorScale>
        <cfvo type="min"/>
        <cfvo type="max"/>
        <color theme="0"/>
        <color theme="0"/>
      </colorScale>
    </cfRule>
    <cfRule type="expression" dxfId="2876" priority="1672">
      <formula>AK86&lt;0</formula>
    </cfRule>
  </conditionalFormatting>
  <conditionalFormatting sqref="AL94">
    <cfRule type="colorScale" priority="1666">
      <colorScale>
        <cfvo type="min"/>
        <cfvo type="max"/>
        <color theme="0"/>
        <color theme="0"/>
      </colorScale>
    </cfRule>
    <cfRule type="expression" dxfId="2875" priority="1668">
      <formula>AK94&lt;0</formula>
    </cfRule>
  </conditionalFormatting>
  <conditionalFormatting sqref="AL94:AL102">
    <cfRule type="expression" priority="1655">
      <formula>#REF!</formula>
    </cfRule>
  </conditionalFormatting>
  <conditionalFormatting sqref="AL94:AL103">
    <cfRule type="expression" dxfId="2874" priority="1653">
      <formula>IF(AL94="Validar","Rojo","Verde")</formula>
    </cfRule>
  </conditionalFormatting>
  <conditionalFormatting sqref="AL95:AL100">
    <cfRule type="colorScale" priority="1662">
      <colorScale>
        <cfvo type="min"/>
        <cfvo type="max"/>
        <color theme="0"/>
        <color theme="0"/>
      </colorScale>
    </cfRule>
    <cfRule type="expression" dxfId="2873" priority="1664">
      <formula>AK95&lt;0</formula>
    </cfRule>
  </conditionalFormatting>
  <conditionalFormatting sqref="AL101">
    <cfRule type="colorScale" priority="1658">
      <colorScale>
        <cfvo type="min"/>
        <cfvo type="max"/>
        <color theme="0"/>
        <color theme="0"/>
      </colorScale>
    </cfRule>
    <cfRule type="expression" dxfId="2872" priority="1660">
      <formula>AK101&lt;0</formula>
    </cfRule>
  </conditionalFormatting>
  <conditionalFormatting sqref="AL102">
    <cfRule type="colorScale" priority="1654">
      <colorScale>
        <cfvo type="min"/>
        <cfvo type="max"/>
        <color theme="0"/>
        <color theme="0"/>
      </colorScale>
    </cfRule>
    <cfRule type="expression" dxfId="2871" priority="1656">
      <formula>AK102&lt;0</formula>
    </cfRule>
  </conditionalFormatting>
  <conditionalFormatting sqref="AL105">
    <cfRule type="colorScale" priority="1650">
      <colorScale>
        <cfvo type="min"/>
        <cfvo type="max"/>
        <color theme="0"/>
        <color theme="0"/>
      </colorScale>
    </cfRule>
    <cfRule type="expression" dxfId="2870" priority="1652">
      <formula>AK105&lt;0</formula>
    </cfRule>
  </conditionalFormatting>
  <conditionalFormatting sqref="AL105:AL106">
    <cfRule type="expression" priority="1647">
      <formula>#REF!</formula>
    </cfRule>
  </conditionalFormatting>
  <conditionalFormatting sqref="AL105:AL107">
    <cfRule type="expression" dxfId="2869" priority="1645">
      <formula>IF(AL105="Validar","Rojo","Verde")</formula>
    </cfRule>
  </conditionalFormatting>
  <conditionalFormatting sqref="AL106">
    <cfRule type="colorScale" priority="1646">
      <colorScale>
        <cfvo type="min"/>
        <cfvo type="max"/>
        <color theme="0"/>
        <color theme="0"/>
      </colorScale>
    </cfRule>
    <cfRule type="expression" dxfId="2868" priority="1648">
      <formula>AK106&lt;0</formula>
    </cfRule>
  </conditionalFormatting>
  <conditionalFormatting sqref="AL110">
    <cfRule type="colorScale" priority="1634">
      <colorScale>
        <cfvo type="min"/>
        <cfvo type="max"/>
        <color theme="0"/>
        <color theme="0"/>
      </colorScale>
    </cfRule>
    <cfRule type="expression" dxfId="2867" priority="1636">
      <formula>AK110&lt;0</formula>
    </cfRule>
  </conditionalFormatting>
  <conditionalFormatting sqref="AL110:AL111">
    <cfRule type="expression" priority="1519">
      <formula>#REF!</formula>
    </cfRule>
  </conditionalFormatting>
  <conditionalFormatting sqref="AL111">
    <cfRule type="colorScale" priority="1518">
      <colorScale>
        <cfvo type="min"/>
        <cfvo type="max"/>
        <color theme="0"/>
        <color theme="0"/>
      </colorScale>
    </cfRule>
    <cfRule type="expression" dxfId="2866" priority="1520">
      <formula>AK111&lt;0</formula>
    </cfRule>
  </conditionalFormatting>
  <conditionalFormatting sqref="AL117">
    <cfRule type="colorScale" priority="1642">
      <colorScale>
        <cfvo type="min"/>
        <cfvo type="max"/>
        <color theme="0"/>
        <color theme="0"/>
      </colorScale>
    </cfRule>
    <cfRule type="expression" dxfId="2865" priority="1644">
      <formula>AK117&lt;0</formula>
    </cfRule>
  </conditionalFormatting>
  <conditionalFormatting sqref="AL117:AL123">
    <cfRule type="expression" priority="1639">
      <formula>#REF!</formula>
    </cfRule>
  </conditionalFormatting>
  <conditionalFormatting sqref="AL118:AL123">
    <cfRule type="colorScale" priority="1638">
      <colorScale>
        <cfvo type="min"/>
        <cfvo type="max"/>
        <color theme="0"/>
        <color theme="0"/>
      </colorScale>
    </cfRule>
    <cfRule type="expression" dxfId="2864" priority="1640">
      <formula>AK118&lt;0</formula>
    </cfRule>
  </conditionalFormatting>
  <conditionalFormatting sqref="AL126:AL135">
    <cfRule type="expression" dxfId="2863" priority="1921">
      <formula>IF(AL126="Validar","Rojo","Verde")</formula>
    </cfRule>
    <cfRule type="colorScale" priority="1922">
      <colorScale>
        <cfvo type="min"/>
        <cfvo type="max"/>
        <color theme="0"/>
        <color theme="0"/>
      </colorScale>
    </cfRule>
    <cfRule type="expression" priority="1923">
      <formula>$F$24</formula>
    </cfRule>
    <cfRule type="expression" dxfId="2862" priority="1924">
      <formula>AK126&lt;0</formula>
    </cfRule>
  </conditionalFormatting>
  <conditionalFormatting sqref="AN6:AN10">
    <cfRule type="colorScale" priority="1289">
      <colorScale>
        <cfvo type="min"/>
        <cfvo type="max"/>
        <color theme="0"/>
        <color theme="0"/>
      </colorScale>
    </cfRule>
    <cfRule type="expression" dxfId="2861" priority="1291">
      <formula>AM6&lt;0</formula>
    </cfRule>
  </conditionalFormatting>
  <conditionalFormatting sqref="AN6:AN21">
    <cfRule type="expression" dxfId="2860" priority="1068">
      <formula>IF(AN6="Validar","Rojo","Verde")</formula>
    </cfRule>
    <cfRule type="expression" priority="1070">
      <formula>#REF!</formula>
    </cfRule>
  </conditionalFormatting>
  <conditionalFormatting sqref="AN11">
    <cfRule type="colorScale" priority="1085">
      <colorScale>
        <cfvo type="min"/>
        <cfvo type="max"/>
        <color theme="0"/>
        <color theme="0"/>
      </colorScale>
    </cfRule>
    <cfRule type="expression" dxfId="2859" priority="1087">
      <formula>AM11&lt;0</formula>
    </cfRule>
  </conditionalFormatting>
  <conditionalFormatting sqref="AN12:AN15">
    <cfRule type="colorScale" priority="1285">
      <colorScale>
        <cfvo type="min"/>
        <cfvo type="max"/>
        <color theme="0"/>
        <color theme="0"/>
      </colorScale>
    </cfRule>
    <cfRule type="expression" dxfId="2858" priority="1287">
      <formula>AM12&lt;0</formula>
    </cfRule>
  </conditionalFormatting>
  <conditionalFormatting sqref="AN16">
    <cfRule type="colorScale" priority="1077">
      <colorScale>
        <cfvo type="min"/>
        <cfvo type="max"/>
        <color theme="0"/>
        <color theme="0"/>
      </colorScale>
    </cfRule>
    <cfRule type="expression" dxfId="2857" priority="1079">
      <formula>AM16&lt;0</formula>
    </cfRule>
  </conditionalFormatting>
  <conditionalFormatting sqref="AN17:AN18">
    <cfRule type="colorScale" priority="1281">
      <colorScale>
        <cfvo type="min"/>
        <cfvo type="max"/>
        <color theme="0"/>
        <color theme="0"/>
      </colorScale>
    </cfRule>
    <cfRule type="expression" dxfId="2856" priority="1283">
      <formula>AM17&lt;0</formula>
    </cfRule>
  </conditionalFormatting>
  <conditionalFormatting sqref="AN19">
    <cfRule type="colorScale" priority="1069">
      <colorScale>
        <cfvo type="min"/>
        <cfvo type="max"/>
        <color theme="0"/>
        <color theme="0"/>
      </colorScale>
    </cfRule>
    <cfRule type="expression" dxfId="2855" priority="1071">
      <formula>AM19&lt;0</formula>
    </cfRule>
  </conditionalFormatting>
  <conditionalFormatting sqref="AN20:AN21">
    <cfRule type="colorScale" priority="1277">
      <colorScale>
        <cfvo type="min"/>
        <cfvo type="max"/>
        <color theme="0"/>
        <color theme="0"/>
      </colorScale>
    </cfRule>
    <cfRule type="expression" dxfId="2854" priority="1279">
      <formula>AM20&lt;0</formula>
    </cfRule>
  </conditionalFormatting>
  <conditionalFormatting sqref="AN24">
    <cfRule type="colorScale" priority="1061">
      <colorScale>
        <cfvo type="min"/>
        <cfvo type="max"/>
        <color theme="0"/>
        <color theme="0"/>
      </colorScale>
    </cfRule>
    <cfRule type="expression" dxfId="2853" priority="1063">
      <formula>AM24&lt;0</formula>
    </cfRule>
  </conditionalFormatting>
  <conditionalFormatting sqref="AN24:AN32">
    <cfRule type="expression" dxfId="2852" priority="1044">
      <formula>IF(AN24="Validar","Rojo","Verde")</formula>
    </cfRule>
    <cfRule type="expression" priority="1046">
      <formula>#REF!</formula>
    </cfRule>
  </conditionalFormatting>
  <conditionalFormatting sqref="AN25">
    <cfRule type="colorScale" priority="1273">
      <colorScale>
        <cfvo type="min"/>
        <cfvo type="max"/>
        <color theme="0"/>
        <color theme="0"/>
      </colorScale>
    </cfRule>
    <cfRule type="expression" dxfId="2851" priority="1275">
      <formula>AM25&lt;0</formula>
    </cfRule>
  </conditionalFormatting>
  <conditionalFormatting sqref="AN26">
    <cfRule type="colorScale" priority="1269">
      <colorScale>
        <cfvo type="min"/>
        <cfvo type="max"/>
        <color theme="0"/>
        <color theme="0"/>
      </colorScale>
    </cfRule>
    <cfRule type="expression" dxfId="2850" priority="1271">
      <formula>AM26&lt;0</formula>
    </cfRule>
  </conditionalFormatting>
  <conditionalFormatting sqref="AN27">
    <cfRule type="colorScale" priority="1053">
      <colorScale>
        <cfvo type="min"/>
        <cfvo type="max"/>
        <color theme="0"/>
        <color theme="0"/>
      </colorScale>
    </cfRule>
    <cfRule type="expression" dxfId="2849" priority="1055">
      <formula>AM27&lt;0</formula>
    </cfRule>
  </conditionalFormatting>
  <conditionalFormatting sqref="AN28">
    <cfRule type="colorScale" priority="1265">
      <colorScale>
        <cfvo type="min"/>
        <cfvo type="max"/>
        <color theme="0"/>
        <color theme="0"/>
      </colorScale>
    </cfRule>
    <cfRule type="expression" dxfId="2848" priority="1267">
      <formula>AM28&lt;0</formula>
    </cfRule>
  </conditionalFormatting>
  <conditionalFormatting sqref="AN29">
    <cfRule type="colorScale" priority="1261">
      <colorScale>
        <cfvo type="min"/>
        <cfvo type="max"/>
        <color theme="0"/>
        <color theme="0"/>
      </colorScale>
    </cfRule>
    <cfRule type="expression" dxfId="2847" priority="1263">
      <formula>AM29&lt;0</formula>
    </cfRule>
  </conditionalFormatting>
  <conditionalFormatting sqref="AN30">
    <cfRule type="colorScale" priority="1045">
      <colorScale>
        <cfvo type="min"/>
        <cfvo type="max"/>
        <color theme="0"/>
        <color theme="0"/>
      </colorScale>
    </cfRule>
    <cfRule type="expression" dxfId="2846" priority="1047">
      <formula>AM30&lt;0</formula>
    </cfRule>
  </conditionalFormatting>
  <conditionalFormatting sqref="AN31">
    <cfRule type="colorScale" priority="1257">
      <colorScale>
        <cfvo type="min"/>
        <cfvo type="max"/>
        <color theme="0"/>
        <color theme="0"/>
      </colorScale>
    </cfRule>
    <cfRule type="expression" dxfId="2845" priority="1259">
      <formula>AM31&lt;0</formula>
    </cfRule>
  </conditionalFormatting>
  <conditionalFormatting sqref="AN32">
    <cfRule type="colorScale" priority="1253">
      <colorScale>
        <cfvo type="min"/>
        <cfvo type="max"/>
        <color theme="0"/>
        <color theme="0"/>
      </colorScale>
    </cfRule>
    <cfRule type="expression" dxfId="2844" priority="1255">
      <formula>AM32&lt;0</formula>
    </cfRule>
  </conditionalFormatting>
  <conditionalFormatting sqref="AN40">
    <cfRule type="colorScale" priority="1037">
      <colorScale>
        <cfvo type="min"/>
        <cfvo type="max"/>
        <color theme="0"/>
        <color theme="0"/>
      </colorScale>
    </cfRule>
    <cfRule type="expression" priority="1038">
      <formula>#REF!</formula>
    </cfRule>
    <cfRule type="expression" dxfId="2843" priority="1039">
      <formula>AM40&lt;0</formula>
    </cfRule>
  </conditionalFormatting>
  <conditionalFormatting sqref="AN40:AN107">
    <cfRule type="expression" dxfId="2842" priority="996">
      <formula>IF(AN40="Validar","Rojo","Verde")</formula>
    </cfRule>
  </conditionalFormatting>
  <conditionalFormatting sqref="AN41:AN68">
    <cfRule type="colorScale" priority="1249">
      <colorScale>
        <cfvo type="min"/>
        <cfvo type="max"/>
        <color theme="0"/>
        <color theme="0"/>
      </colorScale>
    </cfRule>
    <cfRule type="expression" priority="1250">
      <formula>$F$20</formula>
    </cfRule>
    <cfRule type="expression" dxfId="2841" priority="1251">
      <formula>AM41&lt;0</formula>
    </cfRule>
  </conditionalFormatting>
  <conditionalFormatting sqref="AN69">
    <cfRule type="colorScale" priority="1029">
      <colorScale>
        <cfvo type="min"/>
        <cfvo type="max"/>
        <color theme="0"/>
        <color theme="0"/>
      </colorScale>
    </cfRule>
    <cfRule type="expression" priority="1030">
      <formula>#REF!</formula>
    </cfRule>
    <cfRule type="expression" dxfId="2840" priority="1031">
      <formula>AM69&lt;0</formula>
    </cfRule>
  </conditionalFormatting>
  <conditionalFormatting sqref="AN70:AN82">
    <cfRule type="colorScale" priority="1301">
      <colorScale>
        <cfvo type="min"/>
        <cfvo type="max"/>
        <color theme="0"/>
        <color theme="0"/>
      </colorScale>
    </cfRule>
    <cfRule type="expression" priority="1302">
      <formula>$F$20</formula>
    </cfRule>
    <cfRule type="expression" dxfId="2839" priority="1303">
      <formula>AM70&lt;0</formula>
    </cfRule>
  </conditionalFormatting>
  <conditionalFormatting sqref="AN83 AN92 AN103 AN107">
    <cfRule type="colorScale" priority="1293">
      <colorScale>
        <cfvo type="min"/>
        <cfvo type="max"/>
        <color theme="0"/>
        <color theme="0"/>
      </colorScale>
    </cfRule>
    <cfRule type="expression" dxfId="2838" priority="1295">
      <formula>AM83&lt;0</formula>
    </cfRule>
  </conditionalFormatting>
  <conditionalFormatting sqref="AN84">
    <cfRule type="colorScale" priority="997">
      <colorScale>
        <cfvo type="min"/>
        <cfvo type="max"/>
        <color theme="0"/>
        <color theme="0"/>
      </colorScale>
    </cfRule>
    <cfRule type="expression" priority="998">
      <formula>#REF!</formula>
    </cfRule>
    <cfRule type="expression" dxfId="2837" priority="999">
      <formula>AM84&lt;0</formula>
    </cfRule>
  </conditionalFormatting>
  <conditionalFormatting sqref="AN85:AN91">
    <cfRule type="colorScale" priority="1309">
      <colorScale>
        <cfvo type="min"/>
        <cfvo type="max"/>
        <color theme="0"/>
        <color theme="0"/>
      </colorScale>
    </cfRule>
    <cfRule type="expression" priority="1310">
      <formula>$F$20</formula>
    </cfRule>
    <cfRule type="expression" dxfId="2836" priority="1311">
      <formula>AM85&lt;0</formula>
    </cfRule>
  </conditionalFormatting>
  <conditionalFormatting sqref="AN93">
    <cfRule type="colorScale" priority="1021">
      <colorScale>
        <cfvo type="min"/>
        <cfvo type="max"/>
        <color theme="0"/>
        <color theme="0"/>
      </colorScale>
    </cfRule>
    <cfRule type="expression" priority="1022">
      <formula>#REF!</formula>
    </cfRule>
    <cfRule type="expression" dxfId="2835" priority="1023">
      <formula>AM93&lt;0</formula>
    </cfRule>
  </conditionalFormatting>
  <conditionalFormatting sqref="AN94:AN102">
    <cfRule type="colorScale" priority="1313">
      <colorScale>
        <cfvo type="min"/>
        <cfvo type="max"/>
        <color theme="0"/>
        <color theme="0"/>
      </colorScale>
    </cfRule>
    <cfRule type="expression" priority="1314">
      <formula>$F$20</formula>
    </cfRule>
    <cfRule type="expression" dxfId="2834" priority="1315">
      <formula>AM94&lt;0</formula>
    </cfRule>
  </conditionalFormatting>
  <conditionalFormatting sqref="AN104">
    <cfRule type="colorScale" priority="1013">
      <colorScale>
        <cfvo type="min"/>
        <cfvo type="max"/>
        <color theme="0"/>
        <color theme="0"/>
      </colorScale>
    </cfRule>
    <cfRule type="expression" priority="1014">
      <formula>#REF!</formula>
    </cfRule>
    <cfRule type="expression" dxfId="2833" priority="1015">
      <formula>AM104&lt;0</formula>
    </cfRule>
  </conditionalFormatting>
  <conditionalFormatting sqref="AN105:AN106">
    <cfRule type="colorScale" priority="1317">
      <colorScale>
        <cfvo type="min"/>
        <cfvo type="max"/>
        <color theme="0"/>
        <color theme="0"/>
      </colorScale>
    </cfRule>
    <cfRule type="expression" priority="1318">
      <formula>$F$20</formula>
    </cfRule>
    <cfRule type="expression" dxfId="2832" priority="1319">
      <formula>AM105&lt;0</formula>
    </cfRule>
  </conditionalFormatting>
  <conditionalFormatting sqref="AN110">
    <cfRule type="colorScale" priority="1321">
      <colorScale>
        <cfvo type="min"/>
        <cfvo type="max"/>
        <color theme="0"/>
        <color theme="0"/>
      </colorScale>
    </cfRule>
    <cfRule type="expression" dxfId="2831" priority="1323">
      <formula>AM110&lt;0</formula>
    </cfRule>
  </conditionalFormatting>
  <conditionalFormatting sqref="AN110:AN111">
    <cfRule type="expression" priority="990">
      <formula>$F$20</formula>
    </cfRule>
  </conditionalFormatting>
  <conditionalFormatting sqref="AN111">
    <cfRule type="colorScale" priority="989">
      <colorScale>
        <cfvo type="min"/>
        <cfvo type="max"/>
        <color theme="0"/>
        <color theme="0"/>
      </colorScale>
    </cfRule>
    <cfRule type="expression" dxfId="2830" priority="991">
      <formula>AM111&lt;0</formula>
    </cfRule>
  </conditionalFormatting>
  <conditionalFormatting sqref="AN117:AN123">
    <cfRule type="colorScale" priority="1365">
      <colorScale>
        <cfvo type="min"/>
        <cfvo type="max"/>
        <color theme="0"/>
        <color theme="0"/>
      </colorScale>
    </cfRule>
    <cfRule type="expression" priority="1366">
      <formula>$F$20</formula>
    </cfRule>
    <cfRule type="expression" dxfId="2829" priority="1367">
      <formula>AM117&lt;0</formula>
    </cfRule>
  </conditionalFormatting>
  <conditionalFormatting sqref="AN125">
    <cfRule type="colorScale" priority="1005">
      <colorScale>
        <cfvo type="min"/>
        <cfvo type="max"/>
        <color theme="0"/>
        <color theme="0"/>
      </colorScale>
    </cfRule>
    <cfRule type="expression" priority="1006">
      <formula>#REF!</formula>
    </cfRule>
    <cfRule type="expression" dxfId="2828" priority="1007">
      <formula>AM125&lt;0</formula>
    </cfRule>
  </conditionalFormatting>
  <conditionalFormatting sqref="AN125:AN135">
    <cfRule type="expression" dxfId="2827" priority="1004">
      <formula>IF(AN125="Validar","Rojo","Verde")</formula>
    </cfRule>
  </conditionalFormatting>
  <conditionalFormatting sqref="AN126:AN132">
    <cfRule type="colorScale" priority="1369">
      <colorScale>
        <cfvo type="min"/>
        <cfvo type="max"/>
        <color theme="0"/>
        <color theme="0"/>
      </colorScale>
    </cfRule>
    <cfRule type="expression" dxfId="2826" priority="1371">
      <formula>AM126&lt;0</formula>
    </cfRule>
  </conditionalFormatting>
  <conditionalFormatting sqref="AN126:AN134">
    <cfRule type="expression" priority="1370">
      <formula>$F$20</formula>
    </cfRule>
  </conditionalFormatting>
  <conditionalFormatting sqref="AN133:AN134">
    <cfRule type="colorScale" priority="1373">
      <colorScale>
        <cfvo type="min"/>
        <cfvo type="max"/>
        <color theme="0"/>
        <color theme="0"/>
      </colorScale>
    </cfRule>
    <cfRule type="expression" dxfId="2825" priority="1375">
      <formula>AM133&lt;0</formula>
    </cfRule>
  </conditionalFormatting>
  <conditionalFormatting sqref="AN135">
    <cfRule type="colorScale" priority="1357">
      <colorScale>
        <cfvo type="min"/>
        <cfvo type="max"/>
        <color theme="0"/>
        <color theme="0"/>
      </colorScale>
    </cfRule>
    <cfRule type="expression" priority="1358">
      <formula>$F$24</formula>
    </cfRule>
    <cfRule type="expression" dxfId="2824" priority="1359">
      <formula>AM135&lt;0</formula>
    </cfRule>
  </conditionalFormatting>
  <conditionalFormatting sqref="AN83:AO83 AN92:AO92 AN103:AO103 AN107:AO107">
    <cfRule type="expression" priority="1294">
      <formula>$F$24</formula>
    </cfRule>
  </conditionalFormatting>
  <conditionalFormatting sqref="AN110:AP111">
    <cfRule type="expression" dxfId="2823" priority="856">
      <formula>IF(AN110="Validar","Rojo","Verde")</formula>
    </cfRule>
  </conditionalFormatting>
  <conditionalFormatting sqref="AN117:AP123">
    <cfRule type="expression" dxfId="2822" priority="916">
      <formula>IF(AN117="Validar","Rojo","Verde")</formula>
    </cfRule>
  </conditionalFormatting>
  <conditionalFormatting sqref="AO41:AO66">
    <cfRule type="colorScale" priority="1245">
      <colorScale>
        <cfvo type="min"/>
        <cfvo type="max"/>
        <color theme="0"/>
        <color theme="0"/>
      </colorScale>
    </cfRule>
    <cfRule type="expression" dxfId="2821" priority="1247">
      <formula>AN41&lt;0</formula>
    </cfRule>
  </conditionalFormatting>
  <conditionalFormatting sqref="AO41:AO67">
    <cfRule type="expression" priority="1090">
      <formula>#REF!</formula>
    </cfRule>
  </conditionalFormatting>
  <conditionalFormatting sqref="AO41:AO68">
    <cfRule type="expression" dxfId="2820" priority="1088">
      <formula>IF(AO41="Validar","Rojo","Verde")</formula>
    </cfRule>
  </conditionalFormatting>
  <conditionalFormatting sqref="AO67">
    <cfRule type="colorScale" priority="1089">
      <colorScale>
        <cfvo type="min"/>
        <cfvo type="max"/>
        <color theme="0"/>
        <color theme="0"/>
      </colorScale>
    </cfRule>
    <cfRule type="expression" dxfId="2819" priority="1091">
      <formula>AN67&lt;0</formula>
    </cfRule>
  </conditionalFormatting>
  <conditionalFormatting sqref="AO68 AO83 AO92 AO103 AO107">
    <cfRule type="expression" dxfId="2818" priority="1299">
      <formula>AN68&lt;0</formula>
    </cfRule>
  </conditionalFormatting>
  <conditionalFormatting sqref="AO68">
    <cfRule type="expression" priority="1298">
      <formula>$F$24</formula>
    </cfRule>
  </conditionalFormatting>
  <conditionalFormatting sqref="AO70">
    <cfRule type="colorScale" priority="1241">
      <colorScale>
        <cfvo type="min"/>
        <cfvo type="max"/>
        <color theme="0"/>
        <color theme="0"/>
      </colorScale>
    </cfRule>
    <cfRule type="expression" dxfId="2817" priority="1243">
      <formula>AN70&lt;0</formula>
    </cfRule>
  </conditionalFormatting>
  <conditionalFormatting sqref="AO70:AO82">
    <cfRule type="expression" priority="1238">
      <formula>#REF!</formula>
    </cfRule>
  </conditionalFormatting>
  <conditionalFormatting sqref="AO70:AO83">
    <cfRule type="expression" dxfId="2816" priority="1236">
      <formula>IF(AO70="Validar","Rojo","Verde")</formula>
    </cfRule>
  </conditionalFormatting>
  <conditionalFormatting sqref="AO71:AO79">
    <cfRule type="colorScale" priority="1237">
      <colorScale>
        <cfvo type="min"/>
        <cfvo type="max"/>
        <color theme="0"/>
        <color theme="0"/>
      </colorScale>
    </cfRule>
    <cfRule type="expression" dxfId="2815" priority="1239">
      <formula>AN71&lt;0</formula>
    </cfRule>
  </conditionalFormatting>
  <conditionalFormatting sqref="AO80:AO82">
    <cfRule type="colorScale" priority="1305">
      <colorScale>
        <cfvo type="min"/>
        <cfvo type="max"/>
        <color theme="0"/>
        <color theme="0"/>
      </colorScale>
    </cfRule>
    <cfRule type="expression" dxfId="2814" priority="1307">
      <formula>AN80&lt;0</formula>
    </cfRule>
  </conditionalFormatting>
  <conditionalFormatting sqref="AO83 AO68 AO92 AO103 AO107">
    <cfRule type="colorScale" priority="1297">
      <colorScale>
        <cfvo type="min"/>
        <cfvo type="max"/>
        <color theme="0"/>
        <color theme="0"/>
      </colorScale>
    </cfRule>
  </conditionalFormatting>
  <conditionalFormatting sqref="AO85">
    <cfRule type="colorScale" priority="1233">
      <colorScale>
        <cfvo type="min"/>
        <cfvo type="max"/>
        <color theme="0"/>
        <color theme="0"/>
      </colorScale>
    </cfRule>
    <cfRule type="expression" dxfId="2813" priority="1235">
      <formula>AN85&lt;0</formula>
    </cfRule>
  </conditionalFormatting>
  <conditionalFormatting sqref="AO85:AO91">
    <cfRule type="expression" priority="1230">
      <formula>#REF!</formula>
    </cfRule>
  </conditionalFormatting>
  <conditionalFormatting sqref="AO85:AO92">
    <cfRule type="expression" dxfId="2812" priority="1228">
      <formula>IF(AO85="Validar","Rojo","Verde")</formula>
    </cfRule>
  </conditionalFormatting>
  <conditionalFormatting sqref="AO86:AO91">
    <cfRule type="colorScale" priority="1229">
      <colorScale>
        <cfvo type="min"/>
        <cfvo type="max"/>
        <color theme="0"/>
        <color theme="0"/>
      </colorScale>
    </cfRule>
    <cfRule type="expression" dxfId="2811" priority="1231">
      <formula>AN86&lt;0</formula>
    </cfRule>
  </conditionalFormatting>
  <conditionalFormatting sqref="AO94">
    <cfRule type="colorScale" priority="1225">
      <colorScale>
        <cfvo type="min"/>
        <cfvo type="max"/>
        <color theme="0"/>
        <color theme="0"/>
      </colorScale>
    </cfRule>
    <cfRule type="expression" dxfId="2810" priority="1227">
      <formula>AN94&lt;0</formula>
    </cfRule>
  </conditionalFormatting>
  <conditionalFormatting sqref="AO94:AO102">
    <cfRule type="expression" priority="1214">
      <formula>#REF!</formula>
    </cfRule>
  </conditionalFormatting>
  <conditionalFormatting sqref="AO94:AO103">
    <cfRule type="expression" dxfId="2809" priority="1212">
      <formula>IF(AO94="Validar","Rojo","Verde")</formula>
    </cfRule>
  </conditionalFormatting>
  <conditionalFormatting sqref="AO95:AO100">
    <cfRule type="colorScale" priority="1221">
      <colorScale>
        <cfvo type="min"/>
        <cfvo type="max"/>
        <color theme="0"/>
        <color theme="0"/>
      </colorScale>
    </cfRule>
    <cfRule type="expression" dxfId="2808" priority="1223">
      <formula>AN95&lt;0</formula>
    </cfRule>
  </conditionalFormatting>
  <conditionalFormatting sqref="AO101">
    <cfRule type="colorScale" priority="1217">
      <colorScale>
        <cfvo type="min"/>
        <cfvo type="max"/>
        <color theme="0"/>
        <color theme="0"/>
      </colorScale>
    </cfRule>
    <cfRule type="expression" dxfId="2807" priority="1219">
      <formula>AN101&lt;0</formula>
    </cfRule>
  </conditionalFormatting>
  <conditionalFormatting sqref="AO102">
    <cfRule type="colorScale" priority="1213">
      <colorScale>
        <cfvo type="min"/>
        <cfvo type="max"/>
        <color theme="0"/>
        <color theme="0"/>
      </colorScale>
    </cfRule>
    <cfRule type="expression" dxfId="2806" priority="1215">
      <formula>AN102&lt;0</formula>
    </cfRule>
  </conditionalFormatting>
  <conditionalFormatting sqref="AO105">
    <cfRule type="colorScale" priority="1209">
      <colorScale>
        <cfvo type="min"/>
        <cfvo type="max"/>
        <color theme="0"/>
        <color theme="0"/>
      </colorScale>
    </cfRule>
    <cfRule type="expression" dxfId="2805" priority="1211">
      <formula>AN105&lt;0</formula>
    </cfRule>
  </conditionalFormatting>
  <conditionalFormatting sqref="AO105:AO106">
    <cfRule type="expression" priority="1206">
      <formula>#REF!</formula>
    </cfRule>
  </conditionalFormatting>
  <conditionalFormatting sqref="AO105:AO107">
    <cfRule type="expression" dxfId="2804" priority="1204">
      <formula>IF(AO105="Validar","Rojo","Verde")</formula>
    </cfRule>
  </conditionalFormatting>
  <conditionalFormatting sqref="AO106">
    <cfRule type="colorScale" priority="1205">
      <colorScale>
        <cfvo type="min"/>
        <cfvo type="max"/>
        <color theme="0"/>
        <color theme="0"/>
      </colorScale>
    </cfRule>
    <cfRule type="expression" dxfId="2803" priority="1207">
      <formula>AN106&lt;0</formula>
    </cfRule>
  </conditionalFormatting>
  <conditionalFormatting sqref="AO110">
    <cfRule type="colorScale" priority="1193">
      <colorScale>
        <cfvo type="min"/>
        <cfvo type="max"/>
        <color theme="0"/>
        <color theme="0"/>
      </colorScale>
    </cfRule>
    <cfRule type="expression" priority="1194">
      <formula>#REF!</formula>
    </cfRule>
    <cfRule type="expression" dxfId="2802" priority="1195">
      <formula>AN110&lt;0</formula>
    </cfRule>
  </conditionalFormatting>
  <conditionalFormatting sqref="AO111">
    <cfRule type="colorScale" priority="985">
      <colorScale>
        <cfvo type="min"/>
        <cfvo type="max"/>
        <color theme="0"/>
        <color theme="0"/>
      </colorScale>
    </cfRule>
    <cfRule type="expression" priority="986">
      <formula>$F$20</formula>
    </cfRule>
    <cfRule type="expression" dxfId="2801" priority="987">
      <formula>AN111&lt;0</formula>
    </cfRule>
  </conditionalFormatting>
  <conditionalFormatting sqref="AO117">
    <cfRule type="colorScale" priority="1201">
      <colorScale>
        <cfvo type="min"/>
        <cfvo type="max"/>
        <color theme="0"/>
        <color theme="0"/>
      </colorScale>
    </cfRule>
    <cfRule type="expression" dxfId="2800" priority="1203">
      <formula>AN117&lt;0</formula>
    </cfRule>
  </conditionalFormatting>
  <conditionalFormatting sqref="AO118:AO123">
    <cfRule type="colorScale" priority="1197">
      <colorScale>
        <cfvo type="min"/>
        <cfvo type="max"/>
        <color theme="0"/>
        <color theme="0"/>
      </colorScale>
    </cfRule>
    <cfRule type="expression" dxfId="2799" priority="1199">
      <formula>AN118&lt;0</formula>
    </cfRule>
  </conditionalFormatting>
  <conditionalFormatting sqref="AO126:AO135">
    <cfRule type="expression" dxfId="2798" priority="1360">
      <formula>IF(AO126="Validar","Rojo","Verde")</formula>
    </cfRule>
    <cfRule type="colorScale" priority="1361">
      <colorScale>
        <cfvo type="min"/>
        <cfvo type="max"/>
        <color theme="0"/>
        <color theme="0"/>
      </colorScale>
    </cfRule>
    <cfRule type="expression" priority="1362">
      <formula>$F$24</formula>
    </cfRule>
    <cfRule type="expression" dxfId="2797" priority="1363">
      <formula>AN126&lt;0</formula>
    </cfRule>
  </conditionalFormatting>
  <conditionalFormatting sqref="AO117:AP123">
    <cfRule type="expression" priority="918">
      <formula>#REF!</formula>
    </cfRule>
  </conditionalFormatting>
  <conditionalFormatting sqref="AP6">
    <cfRule type="colorScale" priority="953">
      <colorScale>
        <cfvo type="min"/>
        <cfvo type="max"/>
        <color theme="0"/>
        <color theme="0"/>
      </colorScale>
    </cfRule>
    <cfRule type="expression" dxfId="2796" priority="955">
      <formula>AO6&lt;0</formula>
    </cfRule>
  </conditionalFormatting>
  <conditionalFormatting sqref="AP6:AP17">
    <cfRule type="expression" dxfId="2795" priority="904">
      <formula>IF(AP6="Validar","Rojo","Verde")</formula>
    </cfRule>
    <cfRule type="expression" priority="906">
      <formula>#REF!</formula>
    </cfRule>
  </conditionalFormatting>
  <conditionalFormatting sqref="AP7:AP10">
    <cfRule type="colorScale" priority="969">
      <colorScale>
        <cfvo type="min"/>
        <cfvo type="max"/>
        <color theme="0"/>
        <color theme="0"/>
      </colorScale>
    </cfRule>
    <cfRule type="expression" dxfId="2794" priority="971">
      <formula>AO7&lt;0</formula>
    </cfRule>
  </conditionalFormatting>
  <conditionalFormatting sqref="AP11">
    <cfRule type="colorScale" priority="909">
      <colorScale>
        <cfvo type="min"/>
        <cfvo type="max"/>
        <color theme="0"/>
        <color theme="0"/>
      </colorScale>
    </cfRule>
    <cfRule type="expression" dxfId="2793" priority="911">
      <formula>AO11&lt;0</formula>
    </cfRule>
  </conditionalFormatting>
  <conditionalFormatting sqref="AP12:AP15">
    <cfRule type="colorScale" priority="965">
      <colorScale>
        <cfvo type="min"/>
        <cfvo type="max"/>
        <color theme="0"/>
        <color theme="0"/>
      </colorScale>
    </cfRule>
    <cfRule type="expression" dxfId="2792" priority="967">
      <formula>AO12&lt;0</formula>
    </cfRule>
  </conditionalFormatting>
  <conditionalFormatting sqref="AP16">
    <cfRule type="colorScale" priority="905">
      <colorScale>
        <cfvo type="min"/>
        <cfvo type="max"/>
        <color theme="0"/>
        <color theme="0"/>
      </colorScale>
    </cfRule>
    <cfRule type="expression" dxfId="2791" priority="907">
      <formula>AO16&lt;0</formula>
    </cfRule>
  </conditionalFormatting>
  <conditionalFormatting sqref="AP17">
    <cfRule type="colorScale" priority="961">
      <colorScale>
        <cfvo type="min"/>
        <cfvo type="max"/>
        <color theme="0"/>
        <color theme="0"/>
      </colorScale>
    </cfRule>
    <cfRule type="expression" dxfId="2790" priority="963">
      <formula>AO17&lt;0</formula>
    </cfRule>
  </conditionalFormatting>
  <conditionalFormatting sqref="AP19">
    <cfRule type="colorScale" priority="901">
      <colorScale>
        <cfvo type="min"/>
        <cfvo type="max"/>
        <color theme="0"/>
        <color theme="0"/>
      </colorScale>
    </cfRule>
    <cfRule type="expression" dxfId="2789" priority="903">
      <formula>AO19&lt;0</formula>
    </cfRule>
  </conditionalFormatting>
  <conditionalFormatting sqref="AP19:AP20">
    <cfRule type="expression" dxfId="2788" priority="900">
      <formula>IF(AP19="Validar","Rojo","Verde")</formula>
    </cfRule>
    <cfRule type="expression" priority="902">
      <formula>#REF!</formula>
    </cfRule>
  </conditionalFormatting>
  <conditionalFormatting sqref="AP20">
    <cfRule type="colorScale" priority="957">
      <colorScale>
        <cfvo type="min"/>
        <cfvo type="max"/>
        <color theme="0"/>
        <color theme="0"/>
      </colorScale>
    </cfRule>
    <cfRule type="expression" dxfId="2787" priority="959">
      <formula>AO20&lt;0</formula>
    </cfRule>
  </conditionalFormatting>
  <conditionalFormatting sqref="AP24">
    <cfRule type="colorScale" priority="897">
      <colorScale>
        <cfvo type="min"/>
        <cfvo type="max"/>
        <color theme="0"/>
        <color theme="0"/>
      </colorScale>
    </cfRule>
    <cfRule type="expression" dxfId="2786" priority="899">
      <formula>AO24&lt;0</formula>
    </cfRule>
  </conditionalFormatting>
  <conditionalFormatting sqref="AP24:AP25">
    <cfRule type="expression" dxfId="2785" priority="896">
      <formula>IF(AP24="Validar","Rojo","Verde")</formula>
    </cfRule>
    <cfRule type="expression" priority="898">
      <formula>#REF!</formula>
    </cfRule>
  </conditionalFormatting>
  <conditionalFormatting sqref="AP25">
    <cfRule type="colorScale" priority="949">
      <colorScale>
        <cfvo type="min"/>
        <cfvo type="max"/>
        <color theme="0"/>
        <color theme="0"/>
      </colorScale>
    </cfRule>
    <cfRule type="expression" dxfId="2784" priority="951">
      <formula>AO25&lt;0</formula>
    </cfRule>
  </conditionalFormatting>
  <conditionalFormatting sqref="AP27">
    <cfRule type="colorScale" priority="893">
      <colorScale>
        <cfvo type="min"/>
        <cfvo type="max"/>
        <color theme="0"/>
        <color theme="0"/>
      </colorScale>
    </cfRule>
    <cfRule type="expression" dxfId="2783" priority="895">
      <formula>AO27&lt;0</formula>
    </cfRule>
  </conditionalFormatting>
  <conditionalFormatting sqref="AP27:AP28">
    <cfRule type="expression" dxfId="2782" priority="892">
      <formula>IF(AP27="Validar","Rojo","Verde")</formula>
    </cfRule>
    <cfRule type="expression" priority="894">
      <formula>#REF!</formula>
    </cfRule>
  </conditionalFormatting>
  <conditionalFormatting sqref="AP28">
    <cfRule type="colorScale" priority="945">
      <colorScale>
        <cfvo type="min"/>
        <cfvo type="max"/>
        <color theme="0"/>
        <color theme="0"/>
      </colorScale>
    </cfRule>
    <cfRule type="expression" dxfId="2781" priority="947">
      <formula>AO28&lt;0</formula>
    </cfRule>
  </conditionalFormatting>
  <conditionalFormatting sqref="AP30">
    <cfRule type="colorScale" priority="889">
      <colorScale>
        <cfvo type="min"/>
        <cfvo type="max"/>
        <color theme="0"/>
        <color theme="0"/>
      </colorScale>
    </cfRule>
    <cfRule type="expression" dxfId="2780" priority="891">
      <formula>AO30&lt;0</formula>
    </cfRule>
  </conditionalFormatting>
  <conditionalFormatting sqref="AP30:AP31">
    <cfRule type="expression" dxfId="2779" priority="888">
      <formula>IF(AP30="Validar","Rojo","Verde")</formula>
    </cfRule>
    <cfRule type="expression" priority="890">
      <formula>#REF!</formula>
    </cfRule>
  </conditionalFormatting>
  <conditionalFormatting sqref="AP31">
    <cfRule type="colorScale" priority="941">
      <colorScale>
        <cfvo type="min"/>
        <cfvo type="max"/>
        <color theme="0"/>
        <color theme="0"/>
      </colorScale>
    </cfRule>
    <cfRule type="expression" dxfId="2778" priority="943">
      <formula>AO31&lt;0</formula>
    </cfRule>
  </conditionalFormatting>
  <conditionalFormatting sqref="AP40">
    <cfRule type="colorScale" priority="885">
      <colorScale>
        <cfvo type="min"/>
        <cfvo type="max"/>
        <color theme="0"/>
        <color theme="0"/>
      </colorScale>
    </cfRule>
    <cfRule type="expression" dxfId="2777" priority="887">
      <formula>AO40&lt;0</formula>
    </cfRule>
  </conditionalFormatting>
  <conditionalFormatting sqref="AP40:AP67">
    <cfRule type="expression" dxfId="2776" priority="884">
      <formula>IF(AP40="Validar","Rojo","Verde")</formula>
    </cfRule>
    <cfRule type="expression" priority="886">
      <formula>#REF!</formula>
    </cfRule>
  </conditionalFormatting>
  <conditionalFormatting sqref="AP41:AP67">
    <cfRule type="colorScale" priority="937">
      <colorScale>
        <cfvo type="min"/>
        <cfvo type="max"/>
        <color theme="0"/>
        <color theme="0"/>
      </colorScale>
    </cfRule>
    <cfRule type="expression" dxfId="2775" priority="939">
      <formula>AO41&lt;0</formula>
    </cfRule>
  </conditionalFormatting>
  <conditionalFormatting sqref="AP69">
    <cfRule type="colorScale" priority="881">
      <colorScale>
        <cfvo type="min"/>
        <cfvo type="max"/>
        <color theme="0"/>
        <color theme="0"/>
      </colorScale>
    </cfRule>
    <cfRule type="expression" dxfId="2774" priority="883">
      <formula>AO69&lt;0</formula>
    </cfRule>
  </conditionalFormatting>
  <conditionalFormatting sqref="AP69:AP82">
    <cfRule type="expression" dxfId="2773" priority="880">
      <formula>IF(AP69="Validar","Rojo","Verde")</formula>
    </cfRule>
    <cfRule type="expression" priority="882">
      <formula>#REF!</formula>
    </cfRule>
  </conditionalFormatting>
  <conditionalFormatting sqref="AP70:AP82">
    <cfRule type="colorScale" priority="973">
      <colorScale>
        <cfvo type="min"/>
        <cfvo type="max"/>
        <color theme="0"/>
        <color theme="0"/>
      </colorScale>
    </cfRule>
    <cfRule type="expression" dxfId="2772" priority="975">
      <formula>AO70&lt;0</formula>
    </cfRule>
  </conditionalFormatting>
  <conditionalFormatting sqref="AP84">
    <cfRule type="colorScale" priority="864">
      <colorScale>
        <cfvo type="min"/>
        <cfvo type="max"/>
        <color theme="0"/>
        <color theme="0"/>
      </colorScale>
    </cfRule>
    <cfRule type="expression" dxfId="2771" priority="866">
      <formula>AO84&lt;0</formula>
    </cfRule>
  </conditionalFormatting>
  <conditionalFormatting sqref="AP84:AP91">
    <cfRule type="expression" dxfId="2770" priority="863">
      <formula>IF(AP84="Validar","Rojo","Verde")</formula>
    </cfRule>
    <cfRule type="expression" priority="865">
      <formula>#REF!</formula>
    </cfRule>
  </conditionalFormatting>
  <conditionalFormatting sqref="AP85:AP91">
    <cfRule type="colorScale" priority="933">
      <colorScale>
        <cfvo type="min"/>
        <cfvo type="max"/>
        <color theme="0"/>
        <color theme="0"/>
      </colorScale>
    </cfRule>
    <cfRule type="expression" dxfId="2769" priority="935">
      <formula>AO85&lt;0</formula>
    </cfRule>
  </conditionalFormatting>
  <conditionalFormatting sqref="AP93">
    <cfRule type="colorScale" priority="877">
      <colorScale>
        <cfvo type="min"/>
        <cfvo type="max"/>
        <color theme="0"/>
        <color theme="0"/>
      </colorScale>
    </cfRule>
    <cfRule type="expression" dxfId="2768" priority="879">
      <formula>AO93&lt;0</formula>
    </cfRule>
  </conditionalFormatting>
  <conditionalFormatting sqref="AP93:AP102">
    <cfRule type="expression" dxfId="2767" priority="876">
      <formula>IF(AP93="Validar","Rojo","Verde")</formula>
    </cfRule>
    <cfRule type="expression" priority="878">
      <formula>#REF!</formula>
    </cfRule>
  </conditionalFormatting>
  <conditionalFormatting sqref="AP94:AP102">
    <cfRule type="colorScale" priority="929">
      <colorScale>
        <cfvo type="min"/>
        <cfvo type="max"/>
        <color theme="0"/>
        <color theme="0"/>
      </colorScale>
    </cfRule>
    <cfRule type="expression" dxfId="2766" priority="931">
      <formula>AO94&lt;0</formula>
    </cfRule>
  </conditionalFormatting>
  <conditionalFormatting sqref="AP104">
    <cfRule type="colorScale" priority="873">
      <colorScale>
        <cfvo type="min"/>
        <cfvo type="max"/>
        <color theme="0"/>
        <color theme="0"/>
      </colorScale>
    </cfRule>
    <cfRule type="expression" dxfId="2765" priority="875">
      <formula>AO104&lt;0</formula>
    </cfRule>
  </conditionalFormatting>
  <conditionalFormatting sqref="AP104:AP106">
    <cfRule type="expression" dxfId="2764" priority="872">
      <formula>IF(AP104="Validar","Rojo","Verde")</formula>
    </cfRule>
    <cfRule type="expression" priority="874">
      <formula>#REF!</formula>
    </cfRule>
  </conditionalFormatting>
  <conditionalFormatting sqref="AP105:AP106">
    <cfRule type="colorScale" priority="925">
      <colorScale>
        <cfvo type="min"/>
        <cfvo type="max"/>
        <color theme="0"/>
        <color theme="0"/>
      </colorScale>
    </cfRule>
    <cfRule type="expression" dxfId="2763" priority="927">
      <formula>AO105&lt;0</formula>
    </cfRule>
  </conditionalFormatting>
  <conditionalFormatting sqref="AP110">
    <cfRule type="colorScale" priority="921">
      <colorScale>
        <cfvo type="min"/>
        <cfvo type="max"/>
        <color theme="0"/>
        <color theme="0"/>
      </colorScale>
    </cfRule>
    <cfRule type="expression" dxfId="2762" priority="923">
      <formula>AO110&lt;0</formula>
    </cfRule>
  </conditionalFormatting>
  <conditionalFormatting sqref="AP110:AP111">
    <cfRule type="expression" priority="858">
      <formula>#REF!</formula>
    </cfRule>
  </conditionalFormatting>
  <conditionalFormatting sqref="AP111">
    <cfRule type="colorScale" priority="857">
      <colorScale>
        <cfvo type="min"/>
        <cfvo type="max"/>
        <color theme="0"/>
        <color theme="0"/>
      </colorScale>
    </cfRule>
    <cfRule type="expression" dxfId="2761" priority="859">
      <formula>AO111&lt;0</formula>
    </cfRule>
  </conditionalFormatting>
  <conditionalFormatting sqref="AP117:AP123">
    <cfRule type="colorScale" priority="917">
      <colorScale>
        <cfvo type="min"/>
        <cfvo type="max"/>
        <color theme="0"/>
        <color theme="0"/>
      </colorScale>
    </cfRule>
    <cfRule type="expression" dxfId="2760" priority="919">
      <formula>AO117&lt;0</formula>
    </cfRule>
  </conditionalFormatting>
  <conditionalFormatting sqref="AP125">
    <cfRule type="colorScale" priority="869">
      <colorScale>
        <cfvo type="min"/>
        <cfvo type="max"/>
        <color theme="0"/>
        <color theme="0"/>
      </colorScale>
    </cfRule>
    <cfRule type="expression" dxfId="2759" priority="871">
      <formula>AO125&lt;0</formula>
    </cfRule>
  </conditionalFormatting>
  <conditionalFormatting sqref="AP125:AP134">
    <cfRule type="expression" dxfId="2758" priority="868">
      <formula>IF(AP125="Validar","Rojo","Verde")</formula>
    </cfRule>
    <cfRule type="expression" priority="870">
      <formula>#REF!</formula>
    </cfRule>
  </conditionalFormatting>
  <conditionalFormatting sqref="AP126:AP134">
    <cfRule type="colorScale" priority="913">
      <colorScale>
        <cfvo type="min"/>
        <cfvo type="max"/>
        <color theme="0"/>
        <color theme="0"/>
      </colorScale>
    </cfRule>
    <cfRule type="expression" dxfId="2757" priority="915">
      <formula>AO126&lt;0</formula>
    </cfRule>
  </conditionalFormatting>
  <conditionalFormatting sqref="AR6:AR10">
    <cfRule type="colorScale" priority="1189">
      <colorScale>
        <cfvo type="min"/>
        <cfvo type="max"/>
        <color theme="0"/>
        <color theme="0"/>
      </colorScale>
    </cfRule>
    <cfRule type="expression" dxfId="2756" priority="1191">
      <formula>AQ6&lt;0</formula>
    </cfRule>
  </conditionalFormatting>
  <conditionalFormatting sqref="AR6:AR21">
    <cfRule type="expression" dxfId="2755" priority="1064">
      <formula>IF(AR6="Validar","Rojo","Verde")</formula>
    </cfRule>
    <cfRule type="expression" priority="1066">
      <formula>#REF!</formula>
    </cfRule>
  </conditionalFormatting>
  <conditionalFormatting sqref="AR11">
    <cfRule type="colorScale" priority="1081">
      <colorScale>
        <cfvo type="min"/>
        <cfvo type="max"/>
        <color theme="0"/>
        <color theme="0"/>
      </colorScale>
    </cfRule>
    <cfRule type="expression" dxfId="2754" priority="1083">
      <formula>AQ11&lt;0</formula>
    </cfRule>
  </conditionalFormatting>
  <conditionalFormatting sqref="AR12:AR15">
    <cfRule type="colorScale" priority="1185">
      <colorScale>
        <cfvo type="min"/>
        <cfvo type="max"/>
        <color theme="0"/>
        <color theme="0"/>
      </colorScale>
    </cfRule>
    <cfRule type="expression" dxfId="2753" priority="1187">
      <formula>AQ12&lt;0</formula>
    </cfRule>
  </conditionalFormatting>
  <conditionalFormatting sqref="AR16">
    <cfRule type="colorScale" priority="1073">
      <colorScale>
        <cfvo type="min"/>
        <cfvo type="max"/>
        <color theme="0"/>
        <color theme="0"/>
      </colorScale>
    </cfRule>
    <cfRule type="expression" dxfId="2752" priority="1075">
      <formula>AQ16&lt;0</formula>
    </cfRule>
  </conditionalFormatting>
  <conditionalFormatting sqref="AR17:AR18">
    <cfRule type="colorScale" priority="1181">
      <colorScale>
        <cfvo type="min"/>
        <cfvo type="max"/>
        <color theme="0"/>
        <color theme="0"/>
      </colorScale>
    </cfRule>
    <cfRule type="expression" dxfId="2751" priority="1183">
      <formula>AQ17&lt;0</formula>
    </cfRule>
  </conditionalFormatting>
  <conditionalFormatting sqref="AR19">
    <cfRule type="colorScale" priority="1065">
      <colorScale>
        <cfvo type="min"/>
        <cfvo type="max"/>
        <color theme="0"/>
        <color theme="0"/>
      </colorScale>
    </cfRule>
    <cfRule type="expression" dxfId="2750" priority="1067">
      <formula>AQ19&lt;0</formula>
    </cfRule>
  </conditionalFormatting>
  <conditionalFormatting sqref="AR20:AR21">
    <cfRule type="colorScale" priority="1177">
      <colorScale>
        <cfvo type="min"/>
        <cfvo type="max"/>
        <color theme="0"/>
        <color theme="0"/>
      </colorScale>
    </cfRule>
    <cfRule type="expression" dxfId="2749" priority="1179">
      <formula>AQ20&lt;0</formula>
    </cfRule>
  </conditionalFormatting>
  <conditionalFormatting sqref="AR24">
    <cfRule type="colorScale" priority="1057">
      <colorScale>
        <cfvo type="min"/>
        <cfvo type="max"/>
        <color theme="0"/>
        <color theme="0"/>
      </colorScale>
    </cfRule>
    <cfRule type="expression" dxfId="2748" priority="1059">
      <formula>AQ24&lt;0</formula>
    </cfRule>
  </conditionalFormatting>
  <conditionalFormatting sqref="AR24:AR32">
    <cfRule type="expression" dxfId="2747" priority="1040">
      <formula>IF(AR24="Validar","Rojo","Verde")</formula>
    </cfRule>
    <cfRule type="expression" priority="1042">
      <formula>#REF!</formula>
    </cfRule>
  </conditionalFormatting>
  <conditionalFormatting sqref="AR25">
    <cfRule type="colorScale" priority="1173">
      <colorScale>
        <cfvo type="min"/>
        <cfvo type="max"/>
        <color theme="0"/>
        <color theme="0"/>
      </colorScale>
    </cfRule>
    <cfRule type="expression" dxfId="2746" priority="1175">
      <formula>AQ25&lt;0</formula>
    </cfRule>
  </conditionalFormatting>
  <conditionalFormatting sqref="AR26">
    <cfRule type="colorScale" priority="1169">
      <colorScale>
        <cfvo type="min"/>
        <cfvo type="max"/>
        <color theme="0"/>
        <color theme="0"/>
      </colorScale>
    </cfRule>
    <cfRule type="expression" dxfId="2745" priority="1171">
      <formula>AQ26&lt;0</formula>
    </cfRule>
  </conditionalFormatting>
  <conditionalFormatting sqref="AR27">
    <cfRule type="colorScale" priority="1049">
      <colorScale>
        <cfvo type="min"/>
        <cfvo type="max"/>
        <color theme="0"/>
        <color theme="0"/>
      </colorScale>
    </cfRule>
    <cfRule type="expression" dxfId="2744" priority="1051">
      <formula>AQ27&lt;0</formula>
    </cfRule>
  </conditionalFormatting>
  <conditionalFormatting sqref="AR28">
    <cfRule type="colorScale" priority="1165">
      <colorScale>
        <cfvo type="min"/>
        <cfvo type="max"/>
        <color theme="0"/>
        <color theme="0"/>
      </colorScale>
    </cfRule>
    <cfRule type="expression" dxfId="2743" priority="1167">
      <formula>AQ28&lt;0</formula>
    </cfRule>
  </conditionalFormatting>
  <conditionalFormatting sqref="AR29">
    <cfRule type="colorScale" priority="1161">
      <colorScale>
        <cfvo type="min"/>
        <cfvo type="max"/>
        <color theme="0"/>
        <color theme="0"/>
      </colorScale>
    </cfRule>
    <cfRule type="expression" dxfId="2742" priority="1163">
      <formula>AQ29&lt;0</formula>
    </cfRule>
  </conditionalFormatting>
  <conditionalFormatting sqref="AR30">
    <cfRule type="colorScale" priority="1041">
      <colorScale>
        <cfvo type="min"/>
        <cfvo type="max"/>
        <color theme="0"/>
        <color theme="0"/>
      </colorScale>
    </cfRule>
    <cfRule type="expression" dxfId="2741" priority="1043">
      <formula>AQ30&lt;0</formula>
    </cfRule>
  </conditionalFormatting>
  <conditionalFormatting sqref="AR31">
    <cfRule type="colorScale" priority="1157">
      <colorScale>
        <cfvo type="min"/>
        <cfvo type="max"/>
        <color theme="0"/>
        <color theme="0"/>
      </colorScale>
    </cfRule>
    <cfRule type="expression" dxfId="2740" priority="1159">
      <formula>AQ31&lt;0</formula>
    </cfRule>
  </conditionalFormatting>
  <conditionalFormatting sqref="AR32">
    <cfRule type="colorScale" priority="1153">
      <colorScale>
        <cfvo type="min"/>
        <cfvo type="max"/>
        <color theme="0"/>
        <color theme="0"/>
      </colorScale>
    </cfRule>
    <cfRule type="expression" dxfId="2739" priority="1155">
      <formula>AQ32&lt;0</formula>
    </cfRule>
  </conditionalFormatting>
  <conditionalFormatting sqref="AR40">
    <cfRule type="colorScale" priority="1033">
      <colorScale>
        <cfvo type="min"/>
        <cfvo type="max"/>
        <color theme="0"/>
        <color theme="0"/>
      </colorScale>
    </cfRule>
    <cfRule type="expression" priority="1034">
      <formula>#REF!</formula>
    </cfRule>
    <cfRule type="expression" dxfId="2738" priority="1035">
      <formula>AQ40&lt;0</formula>
    </cfRule>
  </conditionalFormatting>
  <conditionalFormatting sqref="AR40:AR107">
    <cfRule type="expression" dxfId="2737" priority="992">
      <formula>IF(AR40="Validar","Rojo","Verde")</formula>
    </cfRule>
  </conditionalFormatting>
  <conditionalFormatting sqref="AR41:AR68">
    <cfRule type="colorScale" priority="1149">
      <colorScale>
        <cfvo type="min"/>
        <cfvo type="max"/>
        <color theme="0"/>
        <color theme="0"/>
      </colorScale>
    </cfRule>
    <cfRule type="expression" priority="1150">
      <formula>$F$20</formula>
    </cfRule>
    <cfRule type="expression" dxfId="2736" priority="1151">
      <formula>AQ41&lt;0</formula>
    </cfRule>
  </conditionalFormatting>
  <conditionalFormatting sqref="AR69">
    <cfRule type="colorScale" priority="1025">
      <colorScale>
        <cfvo type="min"/>
        <cfvo type="max"/>
        <color theme="0"/>
        <color theme="0"/>
      </colorScale>
    </cfRule>
    <cfRule type="expression" priority="1026">
      <formula>#REF!</formula>
    </cfRule>
    <cfRule type="expression" dxfId="2735" priority="1027">
      <formula>AQ69&lt;0</formula>
    </cfRule>
  </conditionalFormatting>
  <conditionalFormatting sqref="AR70:AR82">
    <cfRule type="colorScale" priority="1333">
      <colorScale>
        <cfvo type="min"/>
        <cfvo type="max"/>
        <color theme="0"/>
        <color theme="0"/>
      </colorScale>
    </cfRule>
    <cfRule type="expression" priority="1334">
      <formula>$F$20</formula>
    </cfRule>
    <cfRule type="expression" dxfId="2734" priority="1335">
      <formula>AQ70&lt;0</formula>
    </cfRule>
  </conditionalFormatting>
  <conditionalFormatting sqref="AR83 AR92 AR103 AR107">
    <cfRule type="expression" dxfId="2733" priority="1327">
      <formula>AQ83&lt;0</formula>
    </cfRule>
  </conditionalFormatting>
  <conditionalFormatting sqref="AR84">
    <cfRule type="colorScale" priority="993">
      <colorScale>
        <cfvo type="min"/>
        <cfvo type="max"/>
        <color theme="0"/>
        <color theme="0"/>
      </colorScale>
    </cfRule>
    <cfRule type="expression" priority="994">
      <formula>#REF!</formula>
    </cfRule>
    <cfRule type="expression" dxfId="2732" priority="995">
      <formula>AQ84&lt;0</formula>
    </cfRule>
  </conditionalFormatting>
  <conditionalFormatting sqref="AR85:AR91">
    <cfRule type="colorScale" priority="1341">
      <colorScale>
        <cfvo type="min"/>
        <cfvo type="max"/>
        <color theme="0"/>
        <color theme="0"/>
      </colorScale>
    </cfRule>
    <cfRule type="expression" priority="1342">
      <formula>$F$20</formula>
    </cfRule>
    <cfRule type="expression" dxfId="2731" priority="1343">
      <formula>AQ85&lt;0</formula>
    </cfRule>
  </conditionalFormatting>
  <conditionalFormatting sqref="AR92 AR83 AR103 AR107">
    <cfRule type="colorScale" priority="1325">
      <colorScale>
        <cfvo type="min"/>
        <cfvo type="max"/>
        <color theme="0"/>
        <color theme="0"/>
      </colorScale>
    </cfRule>
  </conditionalFormatting>
  <conditionalFormatting sqref="AR93">
    <cfRule type="colorScale" priority="1017">
      <colorScale>
        <cfvo type="min"/>
        <cfvo type="max"/>
        <color theme="0"/>
        <color theme="0"/>
      </colorScale>
    </cfRule>
    <cfRule type="expression" priority="1018">
      <formula>#REF!</formula>
    </cfRule>
    <cfRule type="expression" dxfId="2730" priority="1019">
      <formula>AQ93&lt;0</formula>
    </cfRule>
  </conditionalFormatting>
  <conditionalFormatting sqref="AR94:AR102">
    <cfRule type="colorScale" priority="1345">
      <colorScale>
        <cfvo type="min"/>
        <cfvo type="max"/>
        <color theme="0"/>
        <color theme="0"/>
      </colorScale>
    </cfRule>
    <cfRule type="expression" priority="1346">
      <formula>$F$20</formula>
    </cfRule>
    <cfRule type="expression" dxfId="2729" priority="1347">
      <formula>AQ94&lt;0</formula>
    </cfRule>
  </conditionalFormatting>
  <conditionalFormatting sqref="AR104">
    <cfRule type="colorScale" priority="1009">
      <colorScale>
        <cfvo type="min"/>
        <cfvo type="max"/>
        <color theme="0"/>
        <color theme="0"/>
      </colorScale>
    </cfRule>
    <cfRule type="expression" priority="1010">
      <formula>#REF!</formula>
    </cfRule>
    <cfRule type="expression" dxfId="2728" priority="1011">
      <formula>AQ104&lt;0</formula>
    </cfRule>
  </conditionalFormatting>
  <conditionalFormatting sqref="AR105:AR106">
    <cfRule type="colorScale" priority="1349">
      <colorScale>
        <cfvo type="min"/>
        <cfvo type="max"/>
        <color theme="0"/>
        <color theme="0"/>
      </colorScale>
    </cfRule>
    <cfRule type="expression" priority="1350">
      <formula>$F$20</formula>
    </cfRule>
    <cfRule type="expression" dxfId="2727" priority="1351">
      <formula>AQ105&lt;0</formula>
    </cfRule>
  </conditionalFormatting>
  <conditionalFormatting sqref="AR110">
    <cfRule type="colorScale" priority="1353">
      <colorScale>
        <cfvo type="min"/>
        <cfvo type="max"/>
        <color theme="0"/>
        <color theme="0"/>
      </colorScale>
    </cfRule>
    <cfRule type="expression" dxfId="2726" priority="1355">
      <formula>AQ110&lt;0</formula>
    </cfRule>
  </conditionalFormatting>
  <conditionalFormatting sqref="AR110:AR111">
    <cfRule type="expression" priority="982">
      <formula>$F$20</formula>
    </cfRule>
  </conditionalFormatting>
  <conditionalFormatting sqref="AR111">
    <cfRule type="colorScale" priority="981">
      <colorScale>
        <cfvo type="min"/>
        <cfvo type="max"/>
        <color theme="0"/>
        <color theme="0"/>
      </colorScale>
    </cfRule>
    <cfRule type="expression" dxfId="2725" priority="983">
      <formula>AQ111&lt;0</formula>
    </cfRule>
  </conditionalFormatting>
  <conditionalFormatting sqref="AR117:AR123">
    <cfRule type="colorScale" priority="1385">
      <colorScale>
        <cfvo type="min"/>
        <cfvo type="max"/>
        <color theme="0"/>
        <color theme="0"/>
      </colorScale>
    </cfRule>
    <cfRule type="expression" priority="1386">
      <formula>$F$20</formula>
    </cfRule>
    <cfRule type="expression" dxfId="2724" priority="1387">
      <formula>AQ117&lt;0</formula>
    </cfRule>
  </conditionalFormatting>
  <conditionalFormatting sqref="AR125">
    <cfRule type="colorScale" priority="1001">
      <colorScale>
        <cfvo type="min"/>
        <cfvo type="max"/>
        <color theme="0"/>
        <color theme="0"/>
      </colorScale>
    </cfRule>
    <cfRule type="expression" priority="1002">
      <formula>#REF!</formula>
    </cfRule>
    <cfRule type="expression" dxfId="2723" priority="1003">
      <formula>AQ125&lt;0</formula>
    </cfRule>
  </conditionalFormatting>
  <conditionalFormatting sqref="AR125:AR135">
    <cfRule type="expression" dxfId="2722" priority="1000">
      <formula>IF(AR125="Validar","Rojo","Verde")</formula>
    </cfRule>
  </conditionalFormatting>
  <conditionalFormatting sqref="AR126:AR132">
    <cfRule type="colorScale" priority="1389">
      <colorScale>
        <cfvo type="min"/>
        <cfvo type="max"/>
        <color theme="0"/>
        <color theme="0"/>
      </colorScale>
    </cfRule>
    <cfRule type="expression" dxfId="2721" priority="1391">
      <formula>AQ126&lt;0</formula>
    </cfRule>
  </conditionalFormatting>
  <conditionalFormatting sqref="AR126:AR134">
    <cfRule type="expression" priority="1390">
      <formula>$F$20</formula>
    </cfRule>
  </conditionalFormatting>
  <conditionalFormatting sqref="AR133:AR134">
    <cfRule type="colorScale" priority="1393">
      <colorScale>
        <cfvo type="min"/>
        <cfvo type="max"/>
        <color theme="0"/>
        <color theme="0"/>
      </colorScale>
    </cfRule>
    <cfRule type="expression" dxfId="2720" priority="1395">
      <formula>AQ133&lt;0</formula>
    </cfRule>
  </conditionalFormatting>
  <conditionalFormatting sqref="AR135">
    <cfRule type="colorScale" priority="1377">
      <colorScale>
        <cfvo type="min"/>
        <cfvo type="max"/>
        <color theme="0"/>
        <color theme="0"/>
      </colorScale>
    </cfRule>
    <cfRule type="expression" priority="1378">
      <formula>$F$24</formula>
    </cfRule>
    <cfRule type="expression" dxfId="2719" priority="1379">
      <formula>AQ135&lt;0</formula>
    </cfRule>
  </conditionalFormatting>
  <conditionalFormatting sqref="AR83:AS83 AR92:AS92 AR103:AS103 AR107:AS107">
    <cfRule type="expression" priority="1326">
      <formula>$F$24</formula>
    </cfRule>
  </conditionalFormatting>
  <conditionalFormatting sqref="AR110:AS111">
    <cfRule type="expression" dxfId="2718" priority="976">
      <formula>IF(AR110="Validar","Rojo","Verde")</formula>
    </cfRule>
  </conditionalFormatting>
  <conditionalFormatting sqref="AR117:AS123">
    <cfRule type="expression" dxfId="2717" priority="1096">
      <formula>IF(AR117="Validar","Rojo","Verde")</formula>
    </cfRule>
  </conditionalFormatting>
  <conditionalFormatting sqref="AS41:AS67">
    <cfRule type="colorScale" priority="1145">
      <colorScale>
        <cfvo type="min"/>
        <cfvo type="max"/>
        <color theme="0"/>
        <color theme="0"/>
      </colorScale>
    </cfRule>
    <cfRule type="expression" priority="1146">
      <formula>#REF!</formula>
    </cfRule>
    <cfRule type="expression" dxfId="2716" priority="1147">
      <formula>AR41&lt;0</formula>
    </cfRule>
  </conditionalFormatting>
  <conditionalFormatting sqref="AS41:AS68">
    <cfRule type="expression" dxfId="2715" priority="1144">
      <formula>IF(AS41="Validar","Rojo","Verde")</formula>
    </cfRule>
  </conditionalFormatting>
  <conditionalFormatting sqref="AS68 AS83 AS92 AS103 AS107">
    <cfRule type="expression" dxfId="2714" priority="1331">
      <formula>AR68&lt;0</formula>
    </cfRule>
  </conditionalFormatting>
  <conditionalFormatting sqref="AS68">
    <cfRule type="expression" priority="1330">
      <formula>$F$24</formula>
    </cfRule>
  </conditionalFormatting>
  <conditionalFormatting sqref="AS70">
    <cfRule type="colorScale" priority="1141">
      <colorScale>
        <cfvo type="min"/>
        <cfvo type="max"/>
        <color theme="0"/>
        <color theme="0"/>
      </colorScale>
    </cfRule>
    <cfRule type="expression" dxfId="2713" priority="1143">
      <formula>AR70&lt;0</formula>
    </cfRule>
  </conditionalFormatting>
  <conditionalFormatting sqref="AS70:AS82">
    <cfRule type="expression" priority="1138">
      <formula>#REF!</formula>
    </cfRule>
  </conditionalFormatting>
  <conditionalFormatting sqref="AS70:AS83">
    <cfRule type="expression" dxfId="2712" priority="1136">
      <formula>IF(AS70="Validar","Rojo","Verde")</formula>
    </cfRule>
  </conditionalFormatting>
  <conditionalFormatting sqref="AS71:AS79">
    <cfRule type="colorScale" priority="1137">
      <colorScale>
        <cfvo type="min"/>
        <cfvo type="max"/>
        <color theme="0"/>
        <color theme="0"/>
      </colorScale>
    </cfRule>
    <cfRule type="expression" dxfId="2711" priority="1139">
      <formula>AR71&lt;0</formula>
    </cfRule>
  </conditionalFormatting>
  <conditionalFormatting sqref="AS80:AS82">
    <cfRule type="colorScale" priority="1337">
      <colorScale>
        <cfvo type="min"/>
        <cfvo type="max"/>
        <color theme="0"/>
        <color theme="0"/>
      </colorScale>
    </cfRule>
    <cfRule type="expression" dxfId="2710" priority="1339">
      <formula>AR80&lt;0</formula>
    </cfRule>
  </conditionalFormatting>
  <conditionalFormatting sqref="AS83 AS68 AS92 AS103 AS107">
    <cfRule type="colorScale" priority="1329">
      <colorScale>
        <cfvo type="min"/>
        <cfvo type="max"/>
        <color theme="0"/>
        <color theme="0"/>
      </colorScale>
    </cfRule>
  </conditionalFormatting>
  <conditionalFormatting sqref="AS85">
    <cfRule type="colorScale" priority="1133">
      <colorScale>
        <cfvo type="min"/>
        <cfvo type="max"/>
        <color theme="0"/>
        <color theme="0"/>
      </colorScale>
    </cfRule>
    <cfRule type="expression" dxfId="2709" priority="1135">
      <formula>AR85&lt;0</formula>
    </cfRule>
  </conditionalFormatting>
  <conditionalFormatting sqref="AS85:AS91">
    <cfRule type="expression" priority="1130">
      <formula>#REF!</formula>
    </cfRule>
  </conditionalFormatting>
  <conditionalFormatting sqref="AS85:AS92">
    <cfRule type="expression" dxfId="2708" priority="1128">
      <formula>IF(AS85="Validar","Rojo","Verde")</formula>
    </cfRule>
  </conditionalFormatting>
  <conditionalFormatting sqref="AS86:AS91">
    <cfRule type="colorScale" priority="1129">
      <colorScale>
        <cfvo type="min"/>
        <cfvo type="max"/>
        <color theme="0"/>
        <color theme="0"/>
      </colorScale>
    </cfRule>
    <cfRule type="expression" dxfId="2707" priority="1131">
      <formula>AR86&lt;0</formula>
    </cfRule>
  </conditionalFormatting>
  <conditionalFormatting sqref="AS94">
    <cfRule type="colorScale" priority="1125">
      <colorScale>
        <cfvo type="min"/>
        <cfvo type="max"/>
        <color theme="0"/>
        <color theme="0"/>
      </colorScale>
    </cfRule>
    <cfRule type="expression" dxfId="2706" priority="1127">
      <formula>AR94&lt;0</formula>
    </cfRule>
  </conditionalFormatting>
  <conditionalFormatting sqref="AS94:AS102">
    <cfRule type="expression" priority="1114">
      <formula>#REF!</formula>
    </cfRule>
  </conditionalFormatting>
  <conditionalFormatting sqref="AS94:AS103">
    <cfRule type="expression" dxfId="2705" priority="1112">
      <formula>IF(AS94="Validar","Rojo","Verde")</formula>
    </cfRule>
  </conditionalFormatting>
  <conditionalFormatting sqref="AS95:AS100">
    <cfRule type="colorScale" priority="1121">
      <colorScale>
        <cfvo type="min"/>
        <cfvo type="max"/>
        <color theme="0"/>
        <color theme="0"/>
      </colorScale>
    </cfRule>
    <cfRule type="expression" dxfId="2704" priority="1123">
      <formula>AR95&lt;0</formula>
    </cfRule>
  </conditionalFormatting>
  <conditionalFormatting sqref="AS101">
    <cfRule type="colorScale" priority="1117">
      <colorScale>
        <cfvo type="min"/>
        <cfvo type="max"/>
        <color theme="0"/>
        <color theme="0"/>
      </colorScale>
    </cfRule>
    <cfRule type="expression" dxfId="2703" priority="1119">
      <formula>AR101&lt;0</formula>
    </cfRule>
  </conditionalFormatting>
  <conditionalFormatting sqref="AS102">
    <cfRule type="colorScale" priority="1113">
      <colorScale>
        <cfvo type="min"/>
        <cfvo type="max"/>
        <color theme="0"/>
        <color theme="0"/>
      </colorScale>
    </cfRule>
    <cfRule type="expression" dxfId="2702" priority="1115">
      <formula>AR102&lt;0</formula>
    </cfRule>
  </conditionalFormatting>
  <conditionalFormatting sqref="AS105">
    <cfRule type="colorScale" priority="1109">
      <colorScale>
        <cfvo type="min"/>
        <cfvo type="max"/>
        <color theme="0"/>
        <color theme="0"/>
      </colorScale>
    </cfRule>
    <cfRule type="expression" dxfId="2701" priority="1111">
      <formula>AR105&lt;0</formula>
    </cfRule>
  </conditionalFormatting>
  <conditionalFormatting sqref="AS105:AS106">
    <cfRule type="expression" priority="1106">
      <formula>#REF!</formula>
    </cfRule>
  </conditionalFormatting>
  <conditionalFormatting sqref="AS105:AS107">
    <cfRule type="expression" dxfId="2700" priority="1104">
      <formula>IF(AS105="Validar","Rojo","Verde")</formula>
    </cfRule>
  </conditionalFormatting>
  <conditionalFormatting sqref="AS106">
    <cfRule type="colorScale" priority="1105">
      <colorScale>
        <cfvo type="min"/>
        <cfvo type="max"/>
        <color theme="0"/>
        <color theme="0"/>
      </colorScale>
    </cfRule>
    <cfRule type="expression" dxfId="2699" priority="1107">
      <formula>AR106&lt;0</formula>
    </cfRule>
  </conditionalFormatting>
  <conditionalFormatting sqref="AS110">
    <cfRule type="colorScale" priority="1093">
      <colorScale>
        <cfvo type="min"/>
        <cfvo type="max"/>
        <color theme="0"/>
        <color theme="0"/>
      </colorScale>
    </cfRule>
    <cfRule type="expression" dxfId="2698" priority="1095">
      <formula>AR110&lt;0</formula>
    </cfRule>
  </conditionalFormatting>
  <conditionalFormatting sqref="AS110:AS111">
    <cfRule type="expression" priority="978">
      <formula>#REF!</formula>
    </cfRule>
  </conditionalFormatting>
  <conditionalFormatting sqref="AS111">
    <cfRule type="colorScale" priority="977">
      <colorScale>
        <cfvo type="min"/>
        <cfvo type="max"/>
        <color theme="0"/>
        <color theme="0"/>
      </colorScale>
    </cfRule>
    <cfRule type="expression" dxfId="2697" priority="979">
      <formula>AR111&lt;0</formula>
    </cfRule>
  </conditionalFormatting>
  <conditionalFormatting sqref="AS117">
    <cfRule type="colorScale" priority="1101">
      <colorScale>
        <cfvo type="min"/>
        <cfvo type="max"/>
        <color theme="0"/>
        <color theme="0"/>
      </colorScale>
    </cfRule>
    <cfRule type="expression" dxfId="2696" priority="1103">
      <formula>AR117&lt;0</formula>
    </cfRule>
  </conditionalFormatting>
  <conditionalFormatting sqref="AS117:AS123">
    <cfRule type="expression" priority="1098">
      <formula>#REF!</formula>
    </cfRule>
  </conditionalFormatting>
  <conditionalFormatting sqref="AS118:AS123">
    <cfRule type="colorScale" priority="1097">
      <colorScale>
        <cfvo type="min"/>
        <cfvo type="max"/>
        <color theme="0"/>
        <color theme="0"/>
      </colorScale>
    </cfRule>
    <cfRule type="expression" dxfId="2695" priority="1099">
      <formula>AR118&lt;0</formula>
    </cfRule>
  </conditionalFormatting>
  <conditionalFormatting sqref="AS126:AS135">
    <cfRule type="expression" dxfId="2694" priority="1380">
      <formula>IF(AS126="Validar","Rojo","Verde")</formula>
    </cfRule>
    <cfRule type="colorScale" priority="1381">
      <colorScale>
        <cfvo type="min"/>
        <cfvo type="max"/>
        <color theme="0"/>
        <color theme="0"/>
      </colorScale>
    </cfRule>
    <cfRule type="expression" priority="1382">
      <formula>$F$24</formula>
    </cfRule>
    <cfRule type="expression" dxfId="2693" priority="1383">
      <formula>AR126&lt;0</formula>
    </cfRule>
  </conditionalFormatting>
  <conditionalFormatting sqref="AU6:AU10">
    <cfRule type="colorScale" priority="812">
      <colorScale>
        <cfvo type="min"/>
        <cfvo type="max"/>
        <color theme="0"/>
        <color theme="0"/>
      </colorScale>
    </cfRule>
    <cfRule type="expression" dxfId="2692" priority="814">
      <formula>AT6&lt;0</formula>
    </cfRule>
  </conditionalFormatting>
  <conditionalFormatting sqref="AU6:AU21">
    <cfRule type="expression" dxfId="2691" priority="759">
      <formula>IF(AU6="Validar","Rojo","Verde")</formula>
    </cfRule>
    <cfRule type="expression" priority="761">
      <formula>#REF!</formula>
    </cfRule>
  </conditionalFormatting>
  <conditionalFormatting sqref="AU11">
    <cfRule type="colorScale" priority="768">
      <colorScale>
        <cfvo type="min"/>
        <cfvo type="max"/>
        <color theme="0"/>
        <color theme="0"/>
      </colorScale>
    </cfRule>
    <cfRule type="expression" dxfId="2690" priority="770">
      <formula>AT11&lt;0</formula>
    </cfRule>
  </conditionalFormatting>
  <conditionalFormatting sqref="AU12:AU15">
    <cfRule type="colorScale" priority="808">
      <colorScale>
        <cfvo type="min"/>
        <cfvo type="max"/>
        <color theme="0"/>
        <color theme="0"/>
      </colorScale>
    </cfRule>
    <cfRule type="expression" dxfId="2689" priority="810">
      <formula>AT12&lt;0</formula>
    </cfRule>
  </conditionalFormatting>
  <conditionalFormatting sqref="AU16">
    <cfRule type="colorScale" priority="764">
      <colorScale>
        <cfvo type="min"/>
        <cfvo type="max"/>
        <color theme="0"/>
        <color theme="0"/>
      </colorScale>
    </cfRule>
    <cfRule type="expression" dxfId="2688" priority="766">
      <formula>AT16&lt;0</formula>
    </cfRule>
  </conditionalFormatting>
  <conditionalFormatting sqref="AU17:AU18">
    <cfRule type="colorScale" priority="804">
      <colorScale>
        <cfvo type="min"/>
        <cfvo type="max"/>
        <color theme="0"/>
        <color theme="0"/>
      </colorScale>
    </cfRule>
    <cfRule type="expression" dxfId="2687" priority="806">
      <formula>AT17&lt;0</formula>
    </cfRule>
  </conditionalFormatting>
  <conditionalFormatting sqref="AU19">
    <cfRule type="colorScale" priority="760">
      <colorScale>
        <cfvo type="min"/>
        <cfvo type="max"/>
        <color theme="0"/>
        <color theme="0"/>
      </colorScale>
    </cfRule>
    <cfRule type="expression" dxfId="2686" priority="762">
      <formula>AT19&lt;0</formula>
    </cfRule>
  </conditionalFormatting>
  <conditionalFormatting sqref="AU20:AU21">
    <cfRule type="colorScale" priority="800">
      <colorScale>
        <cfvo type="min"/>
        <cfvo type="max"/>
        <color theme="0"/>
        <color theme="0"/>
      </colorScale>
    </cfRule>
    <cfRule type="expression" dxfId="2685" priority="802">
      <formula>AT20&lt;0</formula>
    </cfRule>
  </conditionalFormatting>
  <conditionalFormatting sqref="AU24">
    <cfRule type="colorScale" priority="756">
      <colorScale>
        <cfvo type="min"/>
        <cfvo type="max"/>
        <color theme="0"/>
        <color theme="0"/>
      </colorScale>
    </cfRule>
    <cfRule type="expression" dxfId="2684" priority="758">
      <formula>AT24&lt;0</formula>
    </cfRule>
  </conditionalFormatting>
  <conditionalFormatting sqref="AU24:AU32">
    <cfRule type="expression" dxfId="2683" priority="747">
      <formula>IF(AU24="Validar","Rojo","Verde")</formula>
    </cfRule>
    <cfRule type="expression" priority="749">
      <formula>#REF!</formula>
    </cfRule>
  </conditionalFormatting>
  <conditionalFormatting sqref="AU25">
    <cfRule type="colorScale" priority="796">
      <colorScale>
        <cfvo type="min"/>
        <cfvo type="max"/>
        <color theme="0"/>
        <color theme="0"/>
      </colorScale>
    </cfRule>
    <cfRule type="expression" dxfId="2682" priority="798">
      <formula>AT25&lt;0</formula>
    </cfRule>
  </conditionalFormatting>
  <conditionalFormatting sqref="AU26">
    <cfRule type="colorScale" priority="792">
      <colorScale>
        <cfvo type="min"/>
        <cfvo type="max"/>
        <color theme="0"/>
        <color theme="0"/>
      </colorScale>
    </cfRule>
    <cfRule type="expression" dxfId="2681" priority="794">
      <formula>AT26&lt;0</formula>
    </cfRule>
  </conditionalFormatting>
  <conditionalFormatting sqref="AU27">
    <cfRule type="colorScale" priority="752">
      <colorScale>
        <cfvo type="min"/>
        <cfvo type="max"/>
        <color theme="0"/>
        <color theme="0"/>
      </colorScale>
    </cfRule>
    <cfRule type="expression" dxfId="2680" priority="754">
      <formula>AT27&lt;0</formula>
    </cfRule>
  </conditionalFormatting>
  <conditionalFormatting sqref="AU28">
    <cfRule type="colorScale" priority="788">
      <colorScale>
        <cfvo type="min"/>
        <cfvo type="max"/>
        <color theme="0"/>
        <color theme="0"/>
      </colorScale>
    </cfRule>
    <cfRule type="expression" dxfId="2679" priority="790">
      <formula>AT28&lt;0</formula>
    </cfRule>
  </conditionalFormatting>
  <conditionalFormatting sqref="AU29">
    <cfRule type="colorScale" priority="784">
      <colorScale>
        <cfvo type="min"/>
        <cfvo type="max"/>
        <color theme="0"/>
        <color theme="0"/>
      </colorScale>
    </cfRule>
    <cfRule type="expression" dxfId="2678" priority="786">
      <formula>AT29&lt;0</formula>
    </cfRule>
  </conditionalFormatting>
  <conditionalFormatting sqref="AU30">
    <cfRule type="colorScale" priority="748">
      <colorScale>
        <cfvo type="min"/>
        <cfvo type="max"/>
        <color theme="0"/>
        <color theme="0"/>
      </colorScale>
    </cfRule>
    <cfRule type="expression" dxfId="2677" priority="750">
      <formula>AT30&lt;0</formula>
    </cfRule>
  </conditionalFormatting>
  <conditionalFormatting sqref="AU31">
    <cfRule type="colorScale" priority="780">
      <colorScale>
        <cfvo type="min"/>
        <cfvo type="max"/>
        <color theme="0"/>
        <color theme="0"/>
      </colorScale>
    </cfRule>
    <cfRule type="expression" dxfId="2676" priority="782">
      <formula>AT31&lt;0</formula>
    </cfRule>
  </conditionalFormatting>
  <conditionalFormatting sqref="AU32">
    <cfRule type="colorScale" priority="776">
      <colorScale>
        <cfvo type="min"/>
        <cfvo type="max"/>
        <color theme="0"/>
        <color theme="0"/>
      </colorScale>
    </cfRule>
    <cfRule type="expression" dxfId="2675" priority="778">
      <formula>AT32&lt;0</formula>
    </cfRule>
  </conditionalFormatting>
  <conditionalFormatting sqref="AU40">
    <cfRule type="colorScale" priority="744">
      <colorScale>
        <cfvo type="min"/>
        <cfvo type="max"/>
        <color theme="0"/>
        <color theme="0"/>
      </colorScale>
    </cfRule>
    <cfRule type="expression" priority="745">
      <formula>#REF!</formula>
    </cfRule>
    <cfRule type="expression" dxfId="2674" priority="746">
      <formula>AT40&lt;0</formula>
    </cfRule>
  </conditionalFormatting>
  <conditionalFormatting sqref="AU40:AU107">
    <cfRule type="expression" dxfId="2673" priority="723">
      <formula>IF(AU40="Validar","Rojo","Verde")</formula>
    </cfRule>
  </conditionalFormatting>
  <conditionalFormatting sqref="AU41:AU68">
    <cfRule type="colorScale" priority="772">
      <colorScale>
        <cfvo type="min"/>
        <cfvo type="max"/>
        <color theme="0"/>
        <color theme="0"/>
      </colorScale>
    </cfRule>
    <cfRule type="expression" priority="773">
      <formula>$F$20</formula>
    </cfRule>
    <cfRule type="expression" dxfId="2672" priority="774">
      <formula>AT41&lt;0</formula>
    </cfRule>
  </conditionalFormatting>
  <conditionalFormatting sqref="AU69">
    <cfRule type="colorScale" priority="740">
      <colorScale>
        <cfvo type="min"/>
        <cfvo type="max"/>
        <color theme="0"/>
        <color theme="0"/>
      </colorScale>
    </cfRule>
    <cfRule type="expression" priority="741">
      <formula>#REF!</formula>
    </cfRule>
    <cfRule type="expression" dxfId="2671" priority="742">
      <formula>AT69&lt;0</formula>
    </cfRule>
  </conditionalFormatting>
  <conditionalFormatting sqref="AU70:AU82">
    <cfRule type="colorScale" priority="820">
      <colorScale>
        <cfvo type="min"/>
        <cfvo type="max"/>
        <color theme="0"/>
        <color theme="0"/>
      </colorScale>
    </cfRule>
    <cfRule type="expression" priority="821">
      <formula>$F$20</formula>
    </cfRule>
    <cfRule type="expression" dxfId="2670" priority="822">
      <formula>AT70&lt;0</formula>
    </cfRule>
  </conditionalFormatting>
  <conditionalFormatting sqref="AU92 AU83 AU103 AU107">
    <cfRule type="colorScale" priority="816">
      <colorScale>
        <cfvo type="min"/>
        <cfvo type="max"/>
        <color theme="0"/>
        <color theme="0"/>
      </colorScale>
    </cfRule>
    <cfRule type="expression" priority="817">
      <formula>$F$24</formula>
    </cfRule>
    <cfRule type="expression" dxfId="2669" priority="818">
      <formula>AT83&lt;0</formula>
    </cfRule>
  </conditionalFormatting>
  <conditionalFormatting sqref="AU84">
    <cfRule type="colorScale" priority="724">
      <colorScale>
        <cfvo type="min"/>
        <cfvo type="max"/>
        <color theme="0"/>
        <color theme="0"/>
      </colorScale>
    </cfRule>
    <cfRule type="expression" priority="725">
      <formula>#REF!</formula>
    </cfRule>
    <cfRule type="expression" dxfId="2668" priority="726">
      <formula>AT84&lt;0</formula>
    </cfRule>
  </conditionalFormatting>
  <conditionalFormatting sqref="AU85:AU91">
    <cfRule type="colorScale" priority="824">
      <colorScale>
        <cfvo type="min"/>
        <cfvo type="max"/>
        <color theme="0"/>
        <color theme="0"/>
      </colorScale>
    </cfRule>
    <cfRule type="expression" priority="825">
      <formula>$F$20</formula>
    </cfRule>
    <cfRule type="expression" dxfId="2667" priority="826">
      <formula>AT85&lt;0</formula>
    </cfRule>
  </conditionalFormatting>
  <conditionalFormatting sqref="AU93">
    <cfRule type="colorScale" priority="736">
      <colorScale>
        <cfvo type="min"/>
        <cfvo type="max"/>
        <color theme="0"/>
        <color theme="0"/>
      </colorScale>
    </cfRule>
    <cfRule type="expression" priority="737">
      <formula>#REF!</formula>
    </cfRule>
    <cfRule type="expression" dxfId="2666" priority="738">
      <formula>AT93&lt;0</formula>
    </cfRule>
  </conditionalFormatting>
  <conditionalFormatting sqref="AU94:AU102">
    <cfRule type="colorScale" priority="828">
      <colorScale>
        <cfvo type="min"/>
        <cfvo type="max"/>
        <color theme="0"/>
        <color theme="0"/>
      </colorScale>
    </cfRule>
    <cfRule type="expression" priority="829">
      <formula>$F$20</formula>
    </cfRule>
    <cfRule type="expression" dxfId="2665" priority="830">
      <formula>AT94&lt;0</formula>
    </cfRule>
  </conditionalFormatting>
  <conditionalFormatting sqref="AU104">
    <cfRule type="colorScale" priority="732">
      <colorScale>
        <cfvo type="min"/>
        <cfvo type="max"/>
        <color theme="0"/>
        <color theme="0"/>
      </colorScale>
    </cfRule>
    <cfRule type="expression" priority="733">
      <formula>#REF!</formula>
    </cfRule>
    <cfRule type="expression" dxfId="2664" priority="734">
      <formula>AT104&lt;0</formula>
    </cfRule>
  </conditionalFormatting>
  <conditionalFormatting sqref="AU105:AU106">
    <cfRule type="colorScale" priority="832">
      <colorScale>
        <cfvo type="min"/>
        <cfvo type="max"/>
        <color theme="0"/>
        <color theme="0"/>
      </colorScale>
    </cfRule>
    <cfRule type="expression" priority="833">
      <formula>$F$20</formula>
    </cfRule>
    <cfRule type="expression" dxfId="2663" priority="834">
      <formula>AT105&lt;0</formula>
    </cfRule>
  </conditionalFormatting>
  <conditionalFormatting sqref="AU110">
    <cfRule type="colorScale" priority="836">
      <colorScale>
        <cfvo type="min"/>
        <cfvo type="max"/>
        <color theme="0"/>
        <color theme="0"/>
      </colorScale>
    </cfRule>
    <cfRule type="expression" dxfId="2662" priority="838">
      <formula>AT110&lt;0</formula>
    </cfRule>
  </conditionalFormatting>
  <conditionalFormatting sqref="AU110:AU111">
    <cfRule type="expression" priority="721">
      <formula>$F$20</formula>
    </cfRule>
  </conditionalFormatting>
  <conditionalFormatting sqref="AU111">
    <cfRule type="colorScale" priority="720">
      <colorScale>
        <cfvo type="min"/>
        <cfvo type="max"/>
        <color theme="0"/>
        <color theme="0"/>
      </colorScale>
    </cfRule>
    <cfRule type="expression" dxfId="2661" priority="722">
      <formula>AT111&lt;0</formula>
    </cfRule>
  </conditionalFormatting>
  <conditionalFormatting sqref="AU117:AU123">
    <cfRule type="colorScale" priority="844">
      <colorScale>
        <cfvo type="min"/>
        <cfvo type="max"/>
        <color theme="0"/>
        <color theme="0"/>
      </colorScale>
    </cfRule>
    <cfRule type="expression" priority="845">
      <formula>$F$20</formula>
    </cfRule>
    <cfRule type="expression" dxfId="2660" priority="846">
      <formula>AT117&lt;0</formula>
    </cfRule>
  </conditionalFormatting>
  <conditionalFormatting sqref="AU125">
    <cfRule type="colorScale" priority="728">
      <colorScale>
        <cfvo type="min"/>
        <cfvo type="max"/>
        <color theme="0"/>
        <color theme="0"/>
      </colorScale>
    </cfRule>
    <cfRule type="expression" priority="729">
      <formula>#REF!</formula>
    </cfRule>
    <cfRule type="expression" dxfId="2659" priority="730">
      <formula>AT125&lt;0</formula>
    </cfRule>
  </conditionalFormatting>
  <conditionalFormatting sqref="AU125:AU135">
    <cfRule type="expression" dxfId="2658" priority="727">
      <formula>IF(AU125="Validar","Rojo","Verde")</formula>
    </cfRule>
  </conditionalFormatting>
  <conditionalFormatting sqref="AU126:AU132">
    <cfRule type="colorScale" priority="848">
      <colorScale>
        <cfvo type="min"/>
        <cfvo type="max"/>
        <color theme="0"/>
        <color theme="0"/>
      </colorScale>
    </cfRule>
    <cfRule type="expression" dxfId="2657" priority="850">
      <formula>AT126&lt;0</formula>
    </cfRule>
  </conditionalFormatting>
  <conditionalFormatting sqref="AU126:AU134">
    <cfRule type="expression" priority="849">
      <formula>$F$20</formula>
    </cfRule>
  </conditionalFormatting>
  <conditionalFormatting sqref="AU133:AU134">
    <cfRule type="colorScale" priority="852">
      <colorScale>
        <cfvo type="min"/>
        <cfvo type="max"/>
        <color theme="0"/>
        <color theme="0"/>
      </colorScale>
    </cfRule>
    <cfRule type="expression" dxfId="2656" priority="854">
      <formula>AT133&lt;0</formula>
    </cfRule>
  </conditionalFormatting>
  <conditionalFormatting sqref="AU135">
    <cfRule type="colorScale" priority="840">
      <colorScale>
        <cfvo type="min"/>
        <cfvo type="max"/>
        <color theme="0"/>
        <color theme="0"/>
      </colorScale>
    </cfRule>
    <cfRule type="expression" priority="841">
      <formula>$F$24</formula>
    </cfRule>
    <cfRule type="expression" dxfId="2655" priority="842">
      <formula>AT135&lt;0</formula>
    </cfRule>
  </conditionalFormatting>
  <conditionalFormatting sqref="AU110:AV111">
    <cfRule type="expression" dxfId="2654" priority="478">
      <formula>IF(AU110="Validar","Rojo","Verde")</formula>
    </cfRule>
  </conditionalFormatting>
  <conditionalFormatting sqref="AU117:AV123">
    <cfRule type="expression" dxfId="2653" priority="538">
      <formula>IF(AU117="Validar","Rojo","Verde")</formula>
    </cfRule>
  </conditionalFormatting>
  <conditionalFormatting sqref="AV6">
    <cfRule type="colorScale" priority="575">
      <colorScale>
        <cfvo type="min"/>
        <cfvo type="max"/>
        <color theme="0"/>
        <color theme="0"/>
      </colorScale>
    </cfRule>
    <cfRule type="expression" dxfId="2652" priority="577">
      <formula>AU6&lt;0</formula>
    </cfRule>
  </conditionalFormatting>
  <conditionalFormatting sqref="AV6:AV17">
    <cfRule type="expression" dxfId="2651" priority="526">
      <formula>IF(AV6="Validar","Rojo","Verde")</formula>
    </cfRule>
    <cfRule type="expression" priority="528">
      <formula>#REF!</formula>
    </cfRule>
  </conditionalFormatting>
  <conditionalFormatting sqref="AV7:AV10">
    <cfRule type="colorScale" priority="591">
      <colorScale>
        <cfvo type="min"/>
        <cfvo type="max"/>
        <color theme="0"/>
        <color theme="0"/>
      </colorScale>
    </cfRule>
    <cfRule type="expression" dxfId="2650" priority="593">
      <formula>AU7&lt;0</formula>
    </cfRule>
  </conditionalFormatting>
  <conditionalFormatting sqref="AV11">
    <cfRule type="colorScale" priority="531">
      <colorScale>
        <cfvo type="min"/>
        <cfvo type="max"/>
        <color theme="0"/>
        <color theme="0"/>
      </colorScale>
    </cfRule>
    <cfRule type="expression" dxfId="2649" priority="533">
      <formula>AU11&lt;0</formula>
    </cfRule>
  </conditionalFormatting>
  <conditionalFormatting sqref="AV12:AV15">
    <cfRule type="colorScale" priority="587">
      <colorScale>
        <cfvo type="min"/>
        <cfvo type="max"/>
        <color theme="0"/>
        <color theme="0"/>
      </colorScale>
    </cfRule>
    <cfRule type="expression" dxfId="2648" priority="589">
      <formula>AU12&lt;0</formula>
    </cfRule>
  </conditionalFormatting>
  <conditionalFormatting sqref="AV16">
    <cfRule type="colorScale" priority="527">
      <colorScale>
        <cfvo type="min"/>
        <cfvo type="max"/>
        <color theme="0"/>
        <color theme="0"/>
      </colorScale>
    </cfRule>
    <cfRule type="expression" dxfId="2647" priority="529">
      <formula>AU16&lt;0</formula>
    </cfRule>
  </conditionalFormatting>
  <conditionalFormatting sqref="AV17">
    <cfRule type="colorScale" priority="583">
      <colorScale>
        <cfvo type="min"/>
        <cfvo type="max"/>
        <color theme="0"/>
        <color theme="0"/>
      </colorScale>
    </cfRule>
    <cfRule type="expression" dxfId="2646" priority="585">
      <formula>AU17&lt;0</formula>
    </cfRule>
  </conditionalFormatting>
  <conditionalFormatting sqref="AV19">
    <cfRule type="colorScale" priority="523">
      <colorScale>
        <cfvo type="min"/>
        <cfvo type="max"/>
        <color theme="0"/>
        <color theme="0"/>
      </colorScale>
    </cfRule>
    <cfRule type="expression" dxfId="2645" priority="525">
      <formula>AU19&lt;0</formula>
    </cfRule>
  </conditionalFormatting>
  <conditionalFormatting sqref="AV19:AV20">
    <cfRule type="expression" dxfId="2644" priority="522">
      <formula>IF(AV19="Validar","Rojo","Verde")</formula>
    </cfRule>
    <cfRule type="expression" priority="524">
      <formula>#REF!</formula>
    </cfRule>
  </conditionalFormatting>
  <conditionalFormatting sqref="AV20">
    <cfRule type="colorScale" priority="579">
      <colorScale>
        <cfvo type="min"/>
        <cfvo type="max"/>
        <color theme="0"/>
        <color theme="0"/>
      </colorScale>
    </cfRule>
    <cfRule type="expression" dxfId="2643" priority="581">
      <formula>AU20&lt;0</formula>
    </cfRule>
  </conditionalFormatting>
  <conditionalFormatting sqref="AV24">
    <cfRule type="colorScale" priority="519">
      <colorScale>
        <cfvo type="min"/>
        <cfvo type="max"/>
        <color theme="0"/>
        <color theme="0"/>
      </colorScale>
    </cfRule>
    <cfRule type="expression" dxfId="2642" priority="521">
      <formula>AU24&lt;0</formula>
    </cfRule>
  </conditionalFormatting>
  <conditionalFormatting sqref="AV24:AV25">
    <cfRule type="expression" dxfId="2641" priority="518">
      <formula>IF(AV24="Validar","Rojo","Verde")</formula>
    </cfRule>
    <cfRule type="expression" priority="520">
      <formula>#REF!</formula>
    </cfRule>
  </conditionalFormatting>
  <conditionalFormatting sqref="AV25">
    <cfRule type="colorScale" priority="571">
      <colorScale>
        <cfvo type="min"/>
        <cfvo type="max"/>
        <color theme="0"/>
        <color theme="0"/>
      </colorScale>
    </cfRule>
    <cfRule type="expression" dxfId="2640" priority="573">
      <formula>AU25&lt;0</formula>
    </cfRule>
  </conditionalFormatting>
  <conditionalFormatting sqref="AV27">
    <cfRule type="colorScale" priority="515">
      <colorScale>
        <cfvo type="min"/>
        <cfvo type="max"/>
        <color theme="0"/>
        <color theme="0"/>
      </colorScale>
    </cfRule>
    <cfRule type="expression" dxfId="2639" priority="517">
      <formula>AU27&lt;0</formula>
    </cfRule>
  </conditionalFormatting>
  <conditionalFormatting sqref="AV27:AV28">
    <cfRule type="expression" dxfId="2638" priority="514">
      <formula>IF(AV27="Validar","Rojo","Verde")</formula>
    </cfRule>
    <cfRule type="expression" priority="516">
      <formula>#REF!</formula>
    </cfRule>
  </conditionalFormatting>
  <conditionalFormatting sqref="AV28">
    <cfRule type="colorScale" priority="567">
      <colorScale>
        <cfvo type="min"/>
        <cfvo type="max"/>
        <color theme="0"/>
        <color theme="0"/>
      </colorScale>
    </cfRule>
    <cfRule type="expression" dxfId="2637" priority="569">
      <formula>AU28&lt;0</formula>
    </cfRule>
  </conditionalFormatting>
  <conditionalFormatting sqref="AV30">
    <cfRule type="colorScale" priority="511">
      <colorScale>
        <cfvo type="min"/>
        <cfvo type="max"/>
        <color theme="0"/>
        <color theme="0"/>
      </colorScale>
    </cfRule>
    <cfRule type="expression" dxfId="2636" priority="513">
      <formula>AU30&lt;0</formula>
    </cfRule>
  </conditionalFormatting>
  <conditionalFormatting sqref="AV30:AV31">
    <cfRule type="expression" dxfId="2635" priority="510">
      <formula>IF(AV30="Validar","Rojo","Verde")</formula>
    </cfRule>
    <cfRule type="expression" priority="512">
      <formula>#REF!</formula>
    </cfRule>
  </conditionalFormatting>
  <conditionalFormatting sqref="AV31">
    <cfRule type="colorScale" priority="563">
      <colorScale>
        <cfvo type="min"/>
        <cfvo type="max"/>
        <color theme="0"/>
        <color theme="0"/>
      </colorScale>
    </cfRule>
    <cfRule type="expression" dxfId="2634" priority="565">
      <formula>AU31&lt;0</formula>
    </cfRule>
  </conditionalFormatting>
  <conditionalFormatting sqref="AV40">
    <cfRule type="colorScale" priority="507">
      <colorScale>
        <cfvo type="min"/>
        <cfvo type="max"/>
        <color theme="0"/>
        <color theme="0"/>
      </colorScale>
    </cfRule>
    <cfRule type="expression" dxfId="2633" priority="509">
      <formula>AU40&lt;0</formula>
    </cfRule>
  </conditionalFormatting>
  <conditionalFormatting sqref="AV40:AV67">
    <cfRule type="expression" dxfId="2632" priority="506">
      <formula>IF(AV40="Validar","Rojo","Verde")</formula>
    </cfRule>
    <cfRule type="expression" priority="508">
      <formula>#REF!</formula>
    </cfRule>
  </conditionalFormatting>
  <conditionalFormatting sqref="AV41:AV67">
    <cfRule type="colorScale" priority="559">
      <colorScale>
        <cfvo type="min"/>
        <cfvo type="max"/>
        <color theme="0"/>
        <color theme="0"/>
      </colorScale>
    </cfRule>
    <cfRule type="expression" dxfId="2631" priority="561">
      <formula>AU41&lt;0</formula>
    </cfRule>
  </conditionalFormatting>
  <conditionalFormatting sqref="AV69">
    <cfRule type="colorScale" priority="503">
      <colorScale>
        <cfvo type="min"/>
        <cfvo type="max"/>
        <color theme="0"/>
        <color theme="0"/>
      </colorScale>
    </cfRule>
    <cfRule type="expression" dxfId="2630" priority="505">
      <formula>AU69&lt;0</formula>
    </cfRule>
  </conditionalFormatting>
  <conditionalFormatting sqref="AV69:AV82">
    <cfRule type="expression" dxfId="2629" priority="502">
      <formula>IF(AV69="Validar","Rojo","Verde")</formula>
    </cfRule>
    <cfRule type="expression" priority="504">
      <formula>#REF!</formula>
    </cfRule>
  </conditionalFormatting>
  <conditionalFormatting sqref="AV70:AV82">
    <cfRule type="colorScale" priority="595">
      <colorScale>
        <cfvo type="min"/>
        <cfvo type="max"/>
        <color theme="0"/>
        <color theme="0"/>
      </colorScale>
    </cfRule>
    <cfRule type="expression" dxfId="2628" priority="597">
      <formula>AU70&lt;0</formula>
    </cfRule>
  </conditionalFormatting>
  <conditionalFormatting sqref="AV84">
    <cfRule type="colorScale" priority="486">
      <colorScale>
        <cfvo type="min"/>
        <cfvo type="max"/>
        <color theme="0"/>
        <color theme="0"/>
      </colorScale>
    </cfRule>
    <cfRule type="expression" dxfId="2627" priority="488">
      <formula>AU84&lt;0</formula>
    </cfRule>
  </conditionalFormatting>
  <conditionalFormatting sqref="AV84:AV91">
    <cfRule type="expression" dxfId="2626" priority="485">
      <formula>IF(AV84="Validar","Rojo","Verde")</formula>
    </cfRule>
    <cfRule type="expression" priority="487">
      <formula>#REF!</formula>
    </cfRule>
  </conditionalFormatting>
  <conditionalFormatting sqref="AV85:AV91">
    <cfRule type="colorScale" priority="555">
      <colorScale>
        <cfvo type="min"/>
        <cfvo type="max"/>
        <color theme="0"/>
        <color theme="0"/>
      </colorScale>
    </cfRule>
    <cfRule type="expression" dxfId="2625" priority="557">
      <formula>AU85&lt;0</formula>
    </cfRule>
  </conditionalFormatting>
  <conditionalFormatting sqref="AV93">
    <cfRule type="colorScale" priority="499">
      <colorScale>
        <cfvo type="min"/>
        <cfvo type="max"/>
        <color theme="0"/>
        <color theme="0"/>
      </colorScale>
    </cfRule>
    <cfRule type="expression" dxfId="2624" priority="501">
      <formula>AU93&lt;0</formula>
    </cfRule>
  </conditionalFormatting>
  <conditionalFormatting sqref="AV93:AV102">
    <cfRule type="expression" dxfId="2623" priority="498">
      <formula>IF(AV93="Validar","Rojo","Verde")</formula>
    </cfRule>
    <cfRule type="expression" priority="500">
      <formula>#REF!</formula>
    </cfRule>
  </conditionalFormatting>
  <conditionalFormatting sqref="AV94:AV102">
    <cfRule type="colorScale" priority="551">
      <colorScale>
        <cfvo type="min"/>
        <cfvo type="max"/>
        <color theme="0"/>
        <color theme="0"/>
      </colorScale>
    </cfRule>
    <cfRule type="expression" dxfId="2622" priority="553">
      <formula>AU94&lt;0</formula>
    </cfRule>
  </conditionalFormatting>
  <conditionalFormatting sqref="AV104">
    <cfRule type="colorScale" priority="495">
      <colorScale>
        <cfvo type="min"/>
        <cfvo type="max"/>
        <color theme="0"/>
        <color theme="0"/>
      </colorScale>
    </cfRule>
    <cfRule type="expression" dxfId="2621" priority="497">
      <formula>AU104&lt;0</formula>
    </cfRule>
  </conditionalFormatting>
  <conditionalFormatting sqref="AV104:AV106">
    <cfRule type="expression" dxfId="2620" priority="494">
      <formula>IF(AV104="Validar","Rojo","Verde")</formula>
    </cfRule>
    <cfRule type="expression" priority="496">
      <formula>#REF!</formula>
    </cfRule>
  </conditionalFormatting>
  <conditionalFormatting sqref="AV105:AV106">
    <cfRule type="colorScale" priority="547">
      <colorScale>
        <cfvo type="min"/>
        <cfvo type="max"/>
        <color theme="0"/>
        <color theme="0"/>
      </colorScale>
    </cfRule>
    <cfRule type="expression" dxfId="2619" priority="549">
      <formula>AU105&lt;0</formula>
    </cfRule>
  </conditionalFormatting>
  <conditionalFormatting sqref="AV110">
    <cfRule type="colorScale" priority="543">
      <colorScale>
        <cfvo type="min"/>
        <cfvo type="max"/>
        <color theme="0"/>
        <color theme="0"/>
      </colorScale>
    </cfRule>
    <cfRule type="expression" dxfId="2618" priority="545">
      <formula>AU110&lt;0</formula>
    </cfRule>
  </conditionalFormatting>
  <conditionalFormatting sqref="AV110:AV111">
    <cfRule type="expression" priority="480">
      <formula>#REF!</formula>
    </cfRule>
  </conditionalFormatting>
  <conditionalFormatting sqref="AV111">
    <cfRule type="colorScale" priority="479">
      <colorScale>
        <cfvo type="min"/>
        <cfvo type="max"/>
        <color theme="0"/>
        <color theme="0"/>
      </colorScale>
    </cfRule>
    <cfRule type="expression" dxfId="2617" priority="481">
      <formula>AU111&lt;0</formula>
    </cfRule>
  </conditionalFormatting>
  <conditionalFormatting sqref="AV117:AV123">
    <cfRule type="colorScale" priority="539">
      <colorScale>
        <cfvo type="min"/>
        <cfvo type="max"/>
        <color theme="0"/>
        <color theme="0"/>
      </colorScale>
    </cfRule>
    <cfRule type="expression" priority="540">
      <formula>#REF!</formula>
    </cfRule>
    <cfRule type="expression" dxfId="2616" priority="541">
      <formula>AU117&lt;0</formula>
    </cfRule>
  </conditionalFormatting>
  <conditionalFormatting sqref="AV125">
    <cfRule type="colorScale" priority="491">
      <colorScale>
        <cfvo type="min"/>
        <cfvo type="max"/>
        <color theme="0"/>
        <color theme="0"/>
      </colorScale>
    </cfRule>
    <cfRule type="expression" dxfId="2615" priority="493">
      <formula>AU125&lt;0</formula>
    </cfRule>
  </conditionalFormatting>
  <conditionalFormatting sqref="AV125:AV134">
    <cfRule type="expression" dxfId="2614" priority="490">
      <formula>IF(AV125="Validar","Rojo","Verde")</formula>
    </cfRule>
    <cfRule type="expression" priority="492">
      <formula>#REF!</formula>
    </cfRule>
  </conditionalFormatting>
  <conditionalFormatting sqref="AV126:AV134">
    <cfRule type="colorScale" priority="535">
      <colorScale>
        <cfvo type="min"/>
        <cfvo type="max"/>
        <color theme="0"/>
        <color theme="0"/>
      </colorScale>
    </cfRule>
    <cfRule type="expression" dxfId="2613" priority="537">
      <formula>AU126&lt;0</formula>
    </cfRule>
  </conditionalFormatting>
  <conditionalFormatting sqref="AX6:AX10">
    <cfRule type="colorScale" priority="434">
      <colorScale>
        <cfvo type="min"/>
        <cfvo type="max"/>
        <color theme="0"/>
        <color theme="0"/>
      </colorScale>
    </cfRule>
    <cfRule type="expression" dxfId="2612" priority="436">
      <formula>AW6&lt;0</formula>
    </cfRule>
  </conditionalFormatting>
  <conditionalFormatting sqref="AX6:AX21">
    <cfRule type="expression" dxfId="2611" priority="381">
      <formula>IF(AX6="Validar","Rojo","Verde")</formula>
    </cfRule>
    <cfRule type="expression" priority="383">
      <formula>#REF!</formula>
    </cfRule>
  </conditionalFormatting>
  <conditionalFormatting sqref="AX11">
    <cfRule type="colorScale" priority="390">
      <colorScale>
        <cfvo type="min"/>
        <cfvo type="max"/>
        <color theme="0"/>
        <color theme="0"/>
      </colorScale>
    </cfRule>
    <cfRule type="expression" dxfId="2610" priority="392">
      <formula>AW11&lt;0</formula>
    </cfRule>
  </conditionalFormatting>
  <conditionalFormatting sqref="AX12:AX15">
    <cfRule type="colorScale" priority="430">
      <colorScale>
        <cfvo type="min"/>
        <cfvo type="max"/>
        <color theme="0"/>
        <color theme="0"/>
      </colorScale>
    </cfRule>
    <cfRule type="expression" dxfId="2609" priority="432">
      <formula>AW12&lt;0</formula>
    </cfRule>
  </conditionalFormatting>
  <conditionalFormatting sqref="AX16">
    <cfRule type="colorScale" priority="386">
      <colorScale>
        <cfvo type="min"/>
        <cfvo type="max"/>
        <color theme="0"/>
        <color theme="0"/>
      </colorScale>
    </cfRule>
    <cfRule type="expression" dxfId="2608" priority="388">
      <formula>AW16&lt;0</formula>
    </cfRule>
  </conditionalFormatting>
  <conditionalFormatting sqref="AX17:AX18">
    <cfRule type="colorScale" priority="426">
      <colorScale>
        <cfvo type="min"/>
        <cfvo type="max"/>
        <color theme="0"/>
        <color theme="0"/>
      </colorScale>
    </cfRule>
    <cfRule type="expression" dxfId="2607" priority="428">
      <formula>AW17&lt;0</formula>
    </cfRule>
  </conditionalFormatting>
  <conditionalFormatting sqref="AX19">
    <cfRule type="colorScale" priority="382">
      <colorScale>
        <cfvo type="min"/>
        <cfvo type="max"/>
        <color theme="0"/>
        <color theme="0"/>
      </colorScale>
    </cfRule>
    <cfRule type="expression" dxfId="2606" priority="384">
      <formula>AW19&lt;0</formula>
    </cfRule>
  </conditionalFormatting>
  <conditionalFormatting sqref="AX20:AX21">
    <cfRule type="colorScale" priority="422">
      <colorScale>
        <cfvo type="min"/>
        <cfvo type="max"/>
        <color theme="0"/>
        <color theme="0"/>
      </colorScale>
    </cfRule>
    <cfRule type="expression" dxfId="2605" priority="424">
      <formula>AW20&lt;0</formula>
    </cfRule>
  </conditionalFormatting>
  <conditionalFormatting sqref="AX24">
    <cfRule type="colorScale" priority="378">
      <colorScale>
        <cfvo type="min"/>
        <cfvo type="max"/>
        <color theme="0"/>
        <color theme="0"/>
      </colorScale>
    </cfRule>
    <cfRule type="expression" dxfId="2604" priority="380">
      <formula>AW24&lt;0</formula>
    </cfRule>
  </conditionalFormatting>
  <conditionalFormatting sqref="AX24:AX32">
    <cfRule type="expression" dxfId="2603" priority="369">
      <formula>IF(AX24="Validar","Rojo","Verde")</formula>
    </cfRule>
    <cfRule type="expression" priority="371">
      <formula>#REF!</formula>
    </cfRule>
  </conditionalFormatting>
  <conditionalFormatting sqref="AX25">
    <cfRule type="colorScale" priority="418">
      <colorScale>
        <cfvo type="min"/>
        <cfvo type="max"/>
        <color theme="0"/>
        <color theme="0"/>
      </colorScale>
    </cfRule>
    <cfRule type="expression" dxfId="2602" priority="420">
      <formula>AW25&lt;0</formula>
    </cfRule>
  </conditionalFormatting>
  <conditionalFormatting sqref="AX26">
    <cfRule type="colorScale" priority="414">
      <colorScale>
        <cfvo type="min"/>
        <cfvo type="max"/>
        <color theme="0"/>
        <color theme="0"/>
      </colorScale>
    </cfRule>
    <cfRule type="expression" dxfId="2601" priority="416">
      <formula>AW26&lt;0</formula>
    </cfRule>
  </conditionalFormatting>
  <conditionalFormatting sqref="AX27">
    <cfRule type="colorScale" priority="374">
      <colorScale>
        <cfvo type="min"/>
        <cfvo type="max"/>
        <color theme="0"/>
        <color theme="0"/>
      </colorScale>
    </cfRule>
    <cfRule type="expression" dxfId="2600" priority="376">
      <formula>AW27&lt;0</formula>
    </cfRule>
  </conditionalFormatting>
  <conditionalFormatting sqref="AX28">
    <cfRule type="colorScale" priority="410">
      <colorScale>
        <cfvo type="min"/>
        <cfvo type="max"/>
        <color theme="0"/>
        <color theme="0"/>
      </colorScale>
    </cfRule>
    <cfRule type="expression" dxfId="2599" priority="412">
      <formula>AW28&lt;0</formula>
    </cfRule>
  </conditionalFormatting>
  <conditionalFormatting sqref="AX29">
    <cfRule type="colorScale" priority="406">
      <colorScale>
        <cfvo type="min"/>
        <cfvo type="max"/>
        <color theme="0"/>
        <color theme="0"/>
      </colorScale>
    </cfRule>
    <cfRule type="expression" dxfId="2598" priority="408">
      <formula>AW29&lt;0</formula>
    </cfRule>
  </conditionalFormatting>
  <conditionalFormatting sqref="AX30">
    <cfRule type="colorScale" priority="370">
      <colorScale>
        <cfvo type="min"/>
        <cfvo type="max"/>
        <color theme="0"/>
        <color theme="0"/>
      </colorScale>
    </cfRule>
    <cfRule type="expression" dxfId="2597" priority="372">
      <formula>AW30&lt;0</formula>
    </cfRule>
  </conditionalFormatting>
  <conditionalFormatting sqref="AX31">
    <cfRule type="colorScale" priority="402">
      <colorScale>
        <cfvo type="min"/>
        <cfvo type="max"/>
        <color theme="0"/>
        <color theme="0"/>
      </colorScale>
    </cfRule>
    <cfRule type="expression" dxfId="2596" priority="404">
      <formula>AW31&lt;0</formula>
    </cfRule>
  </conditionalFormatting>
  <conditionalFormatting sqref="AX32">
    <cfRule type="colorScale" priority="398">
      <colorScale>
        <cfvo type="min"/>
        <cfvo type="max"/>
        <color theme="0"/>
        <color theme="0"/>
      </colorScale>
    </cfRule>
    <cfRule type="expression" dxfId="2595" priority="400">
      <formula>AW32&lt;0</formula>
    </cfRule>
  </conditionalFormatting>
  <conditionalFormatting sqref="AX40">
    <cfRule type="colorScale" priority="366">
      <colorScale>
        <cfvo type="min"/>
        <cfvo type="max"/>
        <color theme="0"/>
        <color theme="0"/>
      </colorScale>
    </cfRule>
    <cfRule type="expression" priority="367">
      <formula>#REF!</formula>
    </cfRule>
    <cfRule type="expression" dxfId="2594" priority="368">
      <formula>AW40&lt;0</formula>
    </cfRule>
  </conditionalFormatting>
  <conditionalFormatting sqref="AX40:AX107">
    <cfRule type="expression" dxfId="2593" priority="345">
      <formula>IF(AX40="Validar","Rojo","Verde")</formula>
    </cfRule>
  </conditionalFormatting>
  <conditionalFormatting sqref="AX41:AX68">
    <cfRule type="colorScale" priority="394">
      <colorScale>
        <cfvo type="min"/>
        <cfvo type="max"/>
        <color theme="0"/>
        <color theme="0"/>
      </colorScale>
    </cfRule>
    <cfRule type="expression" priority="395">
      <formula>$F$20</formula>
    </cfRule>
    <cfRule type="expression" dxfId="2592" priority="396">
      <formula>AW41&lt;0</formula>
    </cfRule>
  </conditionalFormatting>
  <conditionalFormatting sqref="AX69">
    <cfRule type="colorScale" priority="362">
      <colorScale>
        <cfvo type="min"/>
        <cfvo type="max"/>
        <color theme="0"/>
        <color theme="0"/>
      </colorScale>
    </cfRule>
    <cfRule type="expression" priority="363">
      <formula>#REF!</formula>
    </cfRule>
    <cfRule type="expression" dxfId="2591" priority="364">
      <formula>AW69&lt;0</formula>
    </cfRule>
  </conditionalFormatting>
  <conditionalFormatting sqref="AX70:AX82">
    <cfRule type="colorScale" priority="442">
      <colorScale>
        <cfvo type="min"/>
        <cfvo type="max"/>
        <color theme="0"/>
        <color theme="0"/>
      </colorScale>
    </cfRule>
    <cfRule type="expression" priority="443">
      <formula>$F$20</formula>
    </cfRule>
    <cfRule type="expression" dxfId="2590" priority="444">
      <formula>AW70&lt;0</formula>
    </cfRule>
  </conditionalFormatting>
  <conditionalFormatting sqref="AX83 AX92 AX103 AX107">
    <cfRule type="expression" dxfId="2589" priority="440">
      <formula>AW83&lt;0</formula>
    </cfRule>
  </conditionalFormatting>
  <conditionalFormatting sqref="AX84">
    <cfRule type="colorScale" priority="346">
      <colorScale>
        <cfvo type="min"/>
        <cfvo type="max"/>
        <color theme="0"/>
        <color theme="0"/>
      </colorScale>
    </cfRule>
    <cfRule type="expression" priority="347">
      <formula>#REF!</formula>
    </cfRule>
    <cfRule type="expression" dxfId="2588" priority="348">
      <formula>AW84&lt;0</formula>
    </cfRule>
  </conditionalFormatting>
  <conditionalFormatting sqref="AX85:AX91">
    <cfRule type="colorScale" priority="446">
      <colorScale>
        <cfvo type="min"/>
        <cfvo type="max"/>
        <color theme="0"/>
        <color theme="0"/>
      </colorScale>
    </cfRule>
    <cfRule type="expression" priority="447">
      <formula>$F$20</formula>
    </cfRule>
    <cfRule type="expression" dxfId="2587" priority="448">
      <formula>AW85&lt;0</formula>
    </cfRule>
  </conditionalFormatting>
  <conditionalFormatting sqref="AX92 AX83 AX103 AX107">
    <cfRule type="colorScale" priority="438">
      <colorScale>
        <cfvo type="min"/>
        <cfvo type="max"/>
        <color theme="0"/>
        <color theme="0"/>
      </colorScale>
    </cfRule>
  </conditionalFormatting>
  <conditionalFormatting sqref="AX93">
    <cfRule type="colorScale" priority="358">
      <colorScale>
        <cfvo type="min"/>
        <cfvo type="max"/>
        <color theme="0"/>
        <color theme="0"/>
      </colorScale>
    </cfRule>
    <cfRule type="expression" priority="359">
      <formula>#REF!</formula>
    </cfRule>
    <cfRule type="expression" dxfId="2586" priority="360">
      <formula>AW93&lt;0</formula>
    </cfRule>
  </conditionalFormatting>
  <conditionalFormatting sqref="AX94:AX102">
    <cfRule type="colorScale" priority="450">
      <colorScale>
        <cfvo type="min"/>
        <cfvo type="max"/>
        <color theme="0"/>
        <color theme="0"/>
      </colorScale>
    </cfRule>
    <cfRule type="expression" priority="451">
      <formula>$F$20</formula>
    </cfRule>
    <cfRule type="expression" dxfId="2585" priority="452">
      <formula>AW94&lt;0</formula>
    </cfRule>
  </conditionalFormatting>
  <conditionalFormatting sqref="AX104">
    <cfRule type="colorScale" priority="354">
      <colorScale>
        <cfvo type="min"/>
        <cfvo type="max"/>
        <color theme="0"/>
        <color theme="0"/>
      </colorScale>
    </cfRule>
    <cfRule type="expression" priority="355">
      <formula>#REF!</formula>
    </cfRule>
    <cfRule type="expression" dxfId="2584" priority="356">
      <formula>AW104&lt;0</formula>
    </cfRule>
  </conditionalFormatting>
  <conditionalFormatting sqref="AX105:AX106">
    <cfRule type="colorScale" priority="454">
      <colorScale>
        <cfvo type="min"/>
        <cfvo type="max"/>
        <color theme="0"/>
        <color theme="0"/>
      </colorScale>
    </cfRule>
    <cfRule type="expression" priority="455">
      <formula>$F$20</formula>
    </cfRule>
    <cfRule type="expression" dxfId="2583" priority="456">
      <formula>AW105&lt;0</formula>
    </cfRule>
  </conditionalFormatting>
  <conditionalFormatting sqref="AX110">
    <cfRule type="colorScale" priority="458">
      <colorScale>
        <cfvo type="min"/>
        <cfvo type="max"/>
        <color theme="0"/>
        <color theme="0"/>
      </colorScale>
    </cfRule>
    <cfRule type="expression" dxfId="2582" priority="460">
      <formula>AW110&lt;0</formula>
    </cfRule>
  </conditionalFormatting>
  <conditionalFormatting sqref="AX110:AX111">
    <cfRule type="expression" priority="343">
      <formula>$F$20</formula>
    </cfRule>
  </conditionalFormatting>
  <conditionalFormatting sqref="AX111">
    <cfRule type="colorScale" priority="342">
      <colorScale>
        <cfvo type="min"/>
        <cfvo type="max"/>
        <color theme="0"/>
        <color theme="0"/>
      </colorScale>
    </cfRule>
    <cfRule type="expression" dxfId="2581" priority="344">
      <formula>AW111&lt;0</formula>
    </cfRule>
  </conditionalFormatting>
  <conditionalFormatting sqref="AX117:AX123">
    <cfRule type="colorScale" priority="466">
      <colorScale>
        <cfvo type="min"/>
        <cfvo type="max"/>
        <color theme="0"/>
        <color theme="0"/>
      </colorScale>
    </cfRule>
    <cfRule type="expression" priority="467">
      <formula>$F$20</formula>
    </cfRule>
    <cfRule type="expression" dxfId="2580" priority="468">
      <formula>AW117&lt;0</formula>
    </cfRule>
  </conditionalFormatting>
  <conditionalFormatting sqref="AX125">
    <cfRule type="colorScale" priority="350">
      <colorScale>
        <cfvo type="min"/>
        <cfvo type="max"/>
        <color theme="0"/>
        <color theme="0"/>
      </colorScale>
    </cfRule>
    <cfRule type="expression" priority="351">
      <formula>#REF!</formula>
    </cfRule>
    <cfRule type="expression" dxfId="2579" priority="352">
      <formula>AW125&lt;0</formula>
    </cfRule>
  </conditionalFormatting>
  <conditionalFormatting sqref="AX125:AX135">
    <cfRule type="expression" dxfId="2578" priority="349">
      <formula>IF(AX125="Validar","Rojo","Verde")</formula>
    </cfRule>
  </conditionalFormatting>
  <conditionalFormatting sqref="AX126:AX132">
    <cfRule type="colorScale" priority="470">
      <colorScale>
        <cfvo type="min"/>
        <cfvo type="max"/>
        <color theme="0"/>
        <color theme="0"/>
      </colorScale>
    </cfRule>
    <cfRule type="expression" dxfId="2577" priority="472">
      <formula>AW126&lt;0</formula>
    </cfRule>
  </conditionalFormatting>
  <conditionalFormatting sqref="AX126:AX134">
    <cfRule type="expression" priority="471">
      <formula>$F$20</formula>
    </cfRule>
  </conditionalFormatting>
  <conditionalFormatting sqref="AX133:AX134">
    <cfRule type="colorScale" priority="474">
      <colorScale>
        <cfvo type="min"/>
        <cfvo type="max"/>
        <color theme="0"/>
        <color theme="0"/>
      </colorScale>
    </cfRule>
    <cfRule type="expression" dxfId="2576" priority="476">
      <formula>AW133&lt;0</formula>
    </cfRule>
  </conditionalFormatting>
  <conditionalFormatting sqref="AX135">
    <cfRule type="colorScale" priority="462">
      <colorScale>
        <cfvo type="min"/>
        <cfvo type="max"/>
        <color theme="0"/>
        <color theme="0"/>
      </colorScale>
    </cfRule>
    <cfRule type="expression" priority="463">
      <formula>$F$24</formula>
    </cfRule>
    <cfRule type="expression" dxfId="2575" priority="464">
      <formula>AW135&lt;0</formula>
    </cfRule>
  </conditionalFormatting>
  <conditionalFormatting sqref="AX141">
    <cfRule type="expression" dxfId="2574" priority="1">
      <formula>IF(AX141="Validar","Rojo","Verde")</formula>
    </cfRule>
    <cfRule type="colorScale" priority="2">
      <colorScale>
        <cfvo type="min"/>
        <cfvo type="max"/>
        <color theme="0"/>
        <color theme="0"/>
      </colorScale>
    </cfRule>
    <cfRule type="expression" priority="3">
      <formula>$F$20</formula>
    </cfRule>
    <cfRule type="expression" dxfId="2573" priority="4">
      <formula>AW141&lt;0</formula>
    </cfRule>
  </conditionalFormatting>
  <conditionalFormatting sqref="AX110:AY111">
    <cfRule type="expression" dxfId="2572" priority="133">
      <formula>IF(AX110="Validar","Rojo","Verde")</formula>
    </cfRule>
  </conditionalFormatting>
  <conditionalFormatting sqref="AX117:AY123">
    <cfRule type="expression" dxfId="2571" priority="141">
      <formula>IF(AX117="Validar","Rojo","Verde")</formula>
    </cfRule>
  </conditionalFormatting>
  <conditionalFormatting sqref="AY41:AY67">
    <cfRule type="colorScale" priority="190">
      <colorScale>
        <cfvo type="min"/>
        <cfvo type="max"/>
        <color theme="0"/>
        <color theme="0"/>
      </colorScale>
    </cfRule>
    <cfRule type="expression" priority="191">
      <formula>#REF!</formula>
    </cfRule>
    <cfRule type="expression" dxfId="2570" priority="192">
      <formula>AX41&lt;0</formula>
    </cfRule>
  </conditionalFormatting>
  <conditionalFormatting sqref="AY41:AY68">
    <cfRule type="expression" dxfId="2569" priority="189">
      <formula>IF(AY41="Validar","Rojo","Verde")</formula>
    </cfRule>
  </conditionalFormatting>
  <conditionalFormatting sqref="AY68 AX83:AY83 AX92:AY92 AX103:AY103 AX107:AY107">
    <cfRule type="expression" priority="195">
      <formula>$F$24</formula>
    </cfRule>
  </conditionalFormatting>
  <conditionalFormatting sqref="AY68 AY83 AY92 AY103 AY107">
    <cfRule type="expression" dxfId="2568" priority="196">
      <formula>AX68&lt;0</formula>
    </cfRule>
  </conditionalFormatting>
  <conditionalFormatting sqref="AY70">
    <cfRule type="colorScale" priority="186">
      <colorScale>
        <cfvo type="min"/>
        <cfvo type="max"/>
        <color theme="0"/>
        <color theme="0"/>
      </colorScale>
    </cfRule>
    <cfRule type="expression" dxfId="2567" priority="188">
      <formula>AX70&lt;0</formula>
    </cfRule>
  </conditionalFormatting>
  <conditionalFormatting sqref="AY70:AY82">
    <cfRule type="expression" priority="183">
      <formula>#REF!</formula>
    </cfRule>
  </conditionalFormatting>
  <conditionalFormatting sqref="AY70:AY83">
    <cfRule type="expression" dxfId="2566" priority="181">
      <formula>IF(AY70="Validar","Rojo","Verde")</formula>
    </cfRule>
  </conditionalFormatting>
  <conditionalFormatting sqref="AY71:AY79">
    <cfRule type="colorScale" priority="182">
      <colorScale>
        <cfvo type="min"/>
        <cfvo type="max"/>
        <color theme="0"/>
        <color theme="0"/>
      </colorScale>
    </cfRule>
    <cfRule type="expression" dxfId="2565" priority="184">
      <formula>AX71&lt;0</formula>
    </cfRule>
  </conditionalFormatting>
  <conditionalFormatting sqref="AY80:AY82">
    <cfRule type="colorScale" priority="198">
      <colorScale>
        <cfvo type="min"/>
        <cfvo type="max"/>
        <color theme="0"/>
        <color theme="0"/>
      </colorScale>
    </cfRule>
    <cfRule type="expression" dxfId="2564" priority="200">
      <formula>AX80&lt;0</formula>
    </cfRule>
  </conditionalFormatting>
  <conditionalFormatting sqref="AY83 AY68 AY92 AY103 AY107">
    <cfRule type="colorScale" priority="194">
      <colorScale>
        <cfvo type="min"/>
        <cfvo type="max"/>
        <color theme="0"/>
        <color theme="0"/>
      </colorScale>
    </cfRule>
  </conditionalFormatting>
  <conditionalFormatting sqref="AY85">
    <cfRule type="colorScale" priority="178">
      <colorScale>
        <cfvo type="min"/>
        <cfvo type="max"/>
        <color theme="0"/>
        <color theme="0"/>
      </colorScale>
    </cfRule>
    <cfRule type="expression" dxfId="2563" priority="180">
      <formula>AX85&lt;0</formula>
    </cfRule>
  </conditionalFormatting>
  <conditionalFormatting sqref="AY85:AY91">
    <cfRule type="expression" priority="175">
      <formula>#REF!</formula>
    </cfRule>
  </conditionalFormatting>
  <conditionalFormatting sqref="AY85:AY92">
    <cfRule type="expression" dxfId="2562" priority="173">
      <formula>IF(AY85="Validar","Rojo","Verde")</formula>
    </cfRule>
  </conditionalFormatting>
  <conditionalFormatting sqref="AY86:AY91">
    <cfRule type="colorScale" priority="174">
      <colorScale>
        <cfvo type="min"/>
        <cfvo type="max"/>
        <color theme="0"/>
        <color theme="0"/>
      </colorScale>
    </cfRule>
    <cfRule type="expression" dxfId="2561" priority="176">
      <formula>AX86&lt;0</formula>
    </cfRule>
  </conditionalFormatting>
  <conditionalFormatting sqref="AY94">
    <cfRule type="colorScale" priority="170">
      <colorScale>
        <cfvo type="min"/>
        <cfvo type="max"/>
        <color theme="0"/>
        <color theme="0"/>
      </colorScale>
    </cfRule>
    <cfRule type="expression" dxfId="2560" priority="172">
      <formula>AX94&lt;0</formula>
    </cfRule>
  </conditionalFormatting>
  <conditionalFormatting sqref="AY94:AY102">
    <cfRule type="expression" priority="159">
      <formula>#REF!</formula>
    </cfRule>
  </conditionalFormatting>
  <conditionalFormatting sqref="AY94:AY103">
    <cfRule type="expression" dxfId="2559" priority="157">
      <formula>IF(AY94="Validar","Rojo","Verde")</formula>
    </cfRule>
  </conditionalFormatting>
  <conditionalFormatting sqref="AY95:AY100">
    <cfRule type="colorScale" priority="166">
      <colorScale>
        <cfvo type="min"/>
        <cfvo type="max"/>
        <color theme="0"/>
        <color theme="0"/>
      </colorScale>
    </cfRule>
    <cfRule type="expression" dxfId="2558" priority="168">
      <formula>AX95&lt;0</formula>
    </cfRule>
  </conditionalFormatting>
  <conditionalFormatting sqref="AY101">
    <cfRule type="colorScale" priority="162">
      <colorScale>
        <cfvo type="min"/>
        <cfvo type="max"/>
        <color theme="0"/>
        <color theme="0"/>
      </colorScale>
    </cfRule>
    <cfRule type="expression" dxfId="2557" priority="164">
      <formula>AX101&lt;0</formula>
    </cfRule>
  </conditionalFormatting>
  <conditionalFormatting sqref="AY102">
    <cfRule type="colorScale" priority="158">
      <colorScale>
        <cfvo type="min"/>
        <cfvo type="max"/>
        <color theme="0"/>
        <color theme="0"/>
      </colorScale>
    </cfRule>
    <cfRule type="expression" dxfId="2556" priority="160">
      <formula>AX102&lt;0</formula>
    </cfRule>
  </conditionalFormatting>
  <conditionalFormatting sqref="AY105">
    <cfRule type="colorScale" priority="154">
      <colorScale>
        <cfvo type="min"/>
        <cfvo type="max"/>
        <color theme="0"/>
        <color theme="0"/>
      </colorScale>
    </cfRule>
    <cfRule type="expression" dxfId="2555" priority="156">
      <formula>AX105&lt;0</formula>
    </cfRule>
  </conditionalFormatting>
  <conditionalFormatting sqref="AY105:AY106">
    <cfRule type="expression" priority="151">
      <formula>#REF!</formula>
    </cfRule>
  </conditionalFormatting>
  <conditionalFormatting sqref="AY105:AY107">
    <cfRule type="expression" dxfId="2554" priority="149">
      <formula>IF(AY105="Validar","Rojo","Verde")</formula>
    </cfRule>
  </conditionalFormatting>
  <conditionalFormatting sqref="AY106">
    <cfRule type="colorScale" priority="150">
      <colorScale>
        <cfvo type="min"/>
        <cfvo type="max"/>
        <color theme="0"/>
        <color theme="0"/>
      </colorScale>
    </cfRule>
    <cfRule type="expression" dxfId="2553" priority="152">
      <formula>AX106&lt;0</formula>
    </cfRule>
  </conditionalFormatting>
  <conditionalFormatting sqref="AY110">
    <cfRule type="colorScale" priority="138">
      <colorScale>
        <cfvo type="min"/>
        <cfvo type="max"/>
        <color theme="0"/>
        <color theme="0"/>
      </colorScale>
    </cfRule>
    <cfRule type="expression" dxfId="2552" priority="140">
      <formula>AX110&lt;0</formula>
    </cfRule>
  </conditionalFormatting>
  <conditionalFormatting sqref="AY110:AY111">
    <cfRule type="expression" priority="135">
      <formula>#REF!</formula>
    </cfRule>
  </conditionalFormatting>
  <conditionalFormatting sqref="AY111">
    <cfRule type="colorScale" priority="134">
      <colorScale>
        <cfvo type="min"/>
        <cfvo type="max"/>
        <color theme="0"/>
        <color theme="0"/>
      </colorScale>
    </cfRule>
    <cfRule type="expression" dxfId="2551" priority="136">
      <formula>AX111&lt;0</formula>
    </cfRule>
  </conditionalFormatting>
  <conditionalFormatting sqref="AY117">
    <cfRule type="colorScale" priority="146">
      <colorScale>
        <cfvo type="min"/>
        <cfvo type="max"/>
        <color theme="0"/>
        <color theme="0"/>
      </colorScale>
    </cfRule>
    <cfRule type="expression" dxfId="2550" priority="148">
      <formula>AX117&lt;0</formula>
    </cfRule>
  </conditionalFormatting>
  <conditionalFormatting sqref="AY117:AY123">
    <cfRule type="expression" priority="143">
      <formula>#REF!</formula>
    </cfRule>
  </conditionalFormatting>
  <conditionalFormatting sqref="AY118:AY123">
    <cfRule type="colorScale" priority="142">
      <colorScale>
        <cfvo type="min"/>
        <cfvo type="max"/>
        <color theme="0"/>
        <color theme="0"/>
      </colorScale>
    </cfRule>
    <cfRule type="expression" dxfId="2549" priority="144">
      <formula>AX118&lt;0</formula>
    </cfRule>
  </conditionalFormatting>
  <conditionalFormatting sqref="AY126:AY135">
    <cfRule type="expression" dxfId="2548" priority="201">
      <formula>IF(AY126="Validar","Rojo","Verde")</formula>
    </cfRule>
    <cfRule type="colorScale" priority="202">
      <colorScale>
        <cfvo type="min"/>
        <cfvo type="max"/>
        <color theme="0"/>
        <color theme="0"/>
      </colorScale>
    </cfRule>
    <cfRule type="expression" priority="203">
      <formula>$F$24</formula>
    </cfRule>
    <cfRule type="expression" dxfId="2547" priority="204">
      <formula>AX126&lt;0</formula>
    </cfRule>
  </conditionalFormatting>
  <conditionalFormatting sqref="BA6:BA10">
    <cfRule type="colorScale" priority="298">
      <colorScale>
        <cfvo type="min"/>
        <cfvo type="max"/>
        <color theme="0"/>
        <color theme="0"/>
      </colorScale>
    </cfRule>
    <cfRule type="expression" dxfId="2546" priority="300">
      <formula>AZ6&lt;0</formula>
    </cfRule>
  </conditionalFormatting>
  <conditionalFormatting sqref="BA6:BA21">
    <cfRule type="expression" dxfId="2545" priority="245">
      <formula>IF(BA6="Validar","Rojo","Verde")</formula>
    </cfRule>
    <cfRule type="expression" priority="247">
      <formula>#REF!</formula>
    </cfRule>
  </conditionalFormatting>
  <conditionalFormatting sqref="BA11">
    <cfRule type="colorScale" priority="254">
      <colorScale>
        <cfvo type="min"/>
        <cfvo type="max"/>
        <color theme="0"/>
        <color theme="0"/>
      </colorScale>
    </cfRule>
    <cfRule type="expression" dxfId="2544" priority="256">
      <formula>AZ11&lt;0</formula>
    </cfRule>
  </conditionalFormatting>
  <conditionalFormatting sqref="BA12:BA15">
    <cfRule type="colorScale" priority="294">
      <colorScale>
        <cfvo type="min"/>
        <cfvo type="max"/>
        <color theme="0"/>
        <color theme="0"/>
      </colorScale>
    </cfRule>
    <cfRule type="expression" dxfId="2543" priority="296">
      <formula>AZ12&lt;0</formula>
    </cfRule>
  </conditionalFormatting>
  <conditionalFormatting sqref="BA16">
    <cfRule type="colorScale" priority="250">
      <colorScale>
        <cfvo type="min"/>
        <cfvo type="max"/>
        <color theme="0"/>
        <color theme="0"/>
      </colorScale>
    </cfRule>
    <cfRule type="expression" dxfId="2542" priority="252">
      <formula>AZ16&lt;0</formula>
    </cfRule>
  </conditionalFormatting>
  <conditionalFormatting sqref="BA17:BA18">
    <cfRule type="colorScale" priority="290">
      <colorScale>
        <cfvo type="min"/>
        <cfvo type="max"/>
        <color theme="0"/>
        <color theme="0"/>
      </colorScale>
    </cfRule>
    <cfRule type="expression" dxfId="2541" priority="292">
      <formula>AZ17&lt;0</formula>
    </cfRule>
  </conditionalFormatting>
  <conditionalFormatting sqref="BA19">
    <cfRule type="colorScale" priority="246">
      <colorScale>
        <cfvo type="min"/>
        <cfvo type="max"/>
        <color theme="0"/>
        <color theme="0"/>
      </colorScale>
    </cfRule>
    <cfRule type="expression" dxfId="2540" priority="248">
      <formula>AZ19&lt;0</formula>
    </cfRule>
  </conditionalFormatting>
  <conditionalFormatting sqref="BA20:BA21">
    <cfRule type="colorScale" priority="286">
      <colorScale>
        <cfvo type="min"/>
        <cfvo type="max"/>
        <color theme="0"/>
        <color theme="0"/>
      </colorScale>
    </cfRule>
    <cfRule type="expression" dxfId="2539" priority="288">
      <formula>AZ20&lt;0</formula>
    </cfRule>
  </conditionalFormatting>
  <conditionalFormatting sqref="BA24">
    <cfRule type="colorScale" priority="242">
      <colorScale>
        <cfvo type="min"/>
        <cfvo type="max"/>
        <color theme="0"/>
        <color theme="0"/>
      </colorScale>
    </cfRule>
    <cfRule type="expression" dxfId="2538" priority="244">
      <formula>AZ24&lt;0</formula>
    </cfRule>
  </conditionalFormatting>
  <conditionalFormatting sqref="BA24:BA32">
    <cfRule type="expression" dxfId="2537" priority="233">
      <formula>IF(BA24="Validar","Rojo","Verde")</formula>
    </cfRule>
    <cfRule type="expression" priority="235">
      <formula>#REF!</formula>
    </cfRule>
  </conditionalFormatting>
  <conditionalFormatting sqref="BA25">
    <cfRule type="colorScale" priority="282">
      <colorScale>
        <cfvo type="min"/>
        <cfvo type="max"/>
        <color theme="0"/>
        <color theme="0"/>
      </colorScale>
    </cfRule>
    <cfRule type="expression" dxfId="2536" priority="284">
      <formula>AZ25&lt;0</formula>
    </cfRule>
  </conditionalFormatting>
  <conditionalFormatting sqref="BA26">
    <cfRule type="colorScale" priority="278">
      <colorScale>
        <cfvo type="min"/>
        <cfvo type="max"/>
        <color theme="0"/>
        <color theme="0"/>
      </colorScale>
    </cfRule>
    <cfRule type="expression" dxfId="2535" priority="280">
      <formula>AZ26&lt;0</formula>
    </cfRule>
  </conditionalFormatting>
  <conditionalFormatting sqref="BA27">
    <cfRule type="colorScale" priority="238">
      <colorScale>
        <cfvo type="min"/>
        <cfvo type="max"/>
        <color theme="0"/>
        <color theme="0"/>
      </colorScale>
    </cfRule>
    <cfRule type="expression" dxfId="2534" priority="240">
      <formula>AZ27&lt;0</formula>
    </cfRule>
  </conditionalFormatting>
  <conditionalFormatting sqref="BA28">
    <cfRule type="colorScale" priority="274">
      <colorScale>
        <cfvo type="min"/>
        <cfvo type="max"/>
        <color theme="0"/>
        <color theme="0"/>
      </colorScale>
    </cfRule>
    <cfRule type="expression" dxfId="2533" priority="276">
      <formula>AZ28&lt;0</formula>
    </cfRule>
  </conditionalFormatting>
  <conditionalFormatting sqref="BA29">
    <cfRule type="colorScale" priority="270">
      <colorScale>
        <cfvo type="min"/>
        <cfvo type="max"/>
        <color theme="0"/>
        <color theme="0"/>
      </colorScale>
    </cfRule>
    <cfRule type="expression" dxfId="2532" priority="272">
      <formula>AZ29&lt;0</formula>
    </cfRule>
  </conditionalFormatting>
  <conditionalFormatting sqref="BA30">
    <cfRule type="colorScale" priority="234">
      <colorScale>
        <cfvo type="min"/>
        <cfvo type="max"/>
        <color theme="0"/>
        <color theme="0"/>
      </colorScale>
    </cfRule>
    <cfRule type="expression" dxfId="2531" priority="236">
      <formula>AZ30&lt;0</formula>
    </cfRule>
  </conditionalFormatting>
  <conditionalFormatting sqref="BA31">
    <cfRule type="colorScale" priority="266">
      <colorScale>
        <cfvo type="min"/>
        <cfvo type="max"/>
        <color theme="0"/>
        <color theme="0"/>
      </colorScale>
    </cfRule>
    <cfRule type="expression" dxfId="2530" priority="268">
      <formula>AZ31&lt;0</formula>
    </cfRule>
  </conditionalFormatting>
  <conditionalFormatting sqref="BA32">
    <cfRule type="colorScale" priority="262">
      <colorScale>
        <cfvo type="min"/>
        <cfvo type="max"/>
        <color theme="0"/>
        <color theme="0"/>
      </colorScale>
    </cfRule>
    <cfRule type="expression" dxfId="2529" priority="264">
      <formula>AZ32&lt;0</formula>
    </cfRule>
  </conditionalFormatting>
  <conditionalFormatting sqref="BA40">
    <cfRule type="colorScale" priority="230">
      <colorScale>
        <cfvo type="min"/>
        <cfvo type="max"/>
        <color theme="0"/>
        <color theme="0"/>
      </colorScale>
    </cfRule>
    <cfRule type="expression" priority="231">
      <formula>#REF!</formula>
    </cfRule>
    <cfRule type="expression" dxfId="2528" priority="232">
      <formula>AZ40&lt;0</formula>
    </cfRule>
  </conditionalFormatting>
  <conditionalFormatting sqref="BA40:BA107">
    <cfRule type="expression" dxfId="2527" priority="209">
      <formula>IF(BA40="Validar","Rojo","Verde")</formula>
    </cfRule>
  </conditionalFormatting>
  <conditionalFormatting sqref="BA41:BA68">
    <cfRule type="colorScale" priority="258">
      <colorScale>
        <cfvo type="min"/>
        <cfvo type="max"/>
        <color theme="0"/>
        <color theme="0"/>
      </colorScale>
    </cfRule>
    <cfRule type="expression" priority="259">
      <formula>$F$20</formula>
    </cfRule>
    <cfRule type="expression" dxfId="2526" priority="260">
      <formula>AZ41&lt;0</formula>
    </cfRule>
  </conditionalFormatting>
  <conditionalFormatting sqref="BA69">
    <cfRule type="colorScale" priority="226">
      <colorScale>
        <cfvo type="min"/>
        <cfvo type="max"/>
        <color theme="0"/>
        <color theme="0"/>
      </colorScale>
    </cfRule>
    <cfRule type="expression" priority="227">
      <formula>#REF!</formula>
    </cfRule>
    <cfRule type="expression" dxfId="2525" priority="228">
      <formula>AZ69&lt;0</formula>
    </cfRule>
  </conditionalFormatting>
  <conditionalFormatting sqref="BA70:BA82">
    <cfRule type="colorScale" priority="306">
      <colorScale>
        <cfvo type="min"/>
        <cfvo type="max"/>
        <color theme="0"/>
        <color theme="0"/>
      </colorScale>
    </cfRule>
    <cfRule type="expression" priority="307">
      <formula>$F$20</formula>
    </cfRule>
    <cfRule type="expression" dxfId="2524" priority="308">
      <formula>AZ70&lt;0</formula>
    </cfRule>
  </conditionalFormatting>
  <conditionalFormatting sqref="BA83 BA92 BA103 BA107">
    <cfRule type="expression" priority="303">
      <formula>$F$24</formula>
    </cfRule>
    <cfRule type="expression" dxfId="2523" priority="304">
      <formula>AZ83&lt;0</formula>
    </cfRule>
  </conditionalFormatting>
  <conditionalFormatting sqref="BA84">
    <cfRule type="colorScale" priority="210">
      <colorScale>
        <cfvo type="min"/>
        <cfvo type="max"/>
        <color theme="0"/>
        <color theme="0"/>
      </colorScale>
    </cfRule>
    <cfRule type="expression" priority="211">
      <formula>#REF!</formula>
    </cfRule>
    <cfRule type="expression" dxfId="2522" priority="212">
      <formula>AZ84&lt;0</formula>
    </cfRule>
  </conditionalFormatting>
  <conditionalFormatting sqref="BA85:BA91">
    <cfRule type="colorScale" priority="310">
      <colorScale>
        <cfvo type="min"/>
        <cfvo type="max"/>
        <color theme="0"/>
        <color theme="0"/>
      </colorScale>
    </cfRule>
    <cfRule type="expression" priority="311">
      <formula>$F$20</formula>
    </cfRule>
    <cfRule type="expression" dxfId="2521" priority="312">
      <formula>AZ85&lt;0</formula>
    </cfRule>
  </conditionalFormatting>
  <conditionalFormatting sqref="BA92 BA83 BA103 BA107">
    <cfRule type="colorScale" priority="302">
      <colorScale>
        <cfvo type="min"/>
        <cfvo type="max"/>
        <color theme="0"/>
        <color theme="0"/>
      </colorScale>
    </cfRule>
  </conditionalFormatting>
  <conditionalFormatting sqref="BA93">
    <cfRule type="colorScale" priority="222">
      <colorScale>
        <cfvo type="min"/>
        <cfvo type="max"/>
        <color theme="0"/>
        <color theme="0"/>
      </colorScale>
    </cfRule>
    <cfRule type="expression" priority="223">
      <formula>#REF!</formula>
    </cfRule>
    <cfRule type="expression" dxfId="2520" priority="224">
      <formula>AZ93&lt;0</formula>
    </cfRule>
  </conditionalFormatting>
  <conditionalFormatting sqref="BA94:BA102">
    <cfRule type="colorScale" priority="314">
      <colorScale>
        <cfvo type="min"/>
        <cfvo type="max"/>
        <color theme="0"/>
        <color theme="0"/>
      </colorScale>
    </cfRule>
    <cfRule type="expression" priority="315">
      <formula>$F$20</formula>
    </cfRule>
    <cfRule type="expression" dxfId="2519" priority="316">
      <formula>AZ94&lt;0</formula>
    </cfRule>
  </conditionalFormatting>
  <conditionalFormatting sqref="BA104">
    <cfRule type="colorScale" priority="218">
      <colorScale>
        <cfvo type="min"/>
        <cfvo type="max"/>
        <color theme="0"/>
        <color theme="0"/>
      </colorScale>
    </cfRule>
    <cfRule type="expression" priority="219">
      <formula>#REF!</formula>
    </cfRule>
    <cfRule type="expression" dxfId="2518" priority="220">
      <formula>AZ104&lt;0</formula>
    </cfRule>
  </conditionalFormatting>
  <conditionalFormatting sqref="BA105:BA106">
    <cfRule type="colorScale" priority="318">
      <colorScale>
        <cfvo type="min"/>
        <cfvo type="max"/>
        <color theme="0"/>
        <color theme="0"/>
      </colorScale>
    </cfRule>
    <cfRule type="expression" priority="319">
      <formula>$F$20</formula>
    </cfRule>
    <cfRule type="expression" dxfId="2517" priority="320">
      <formula>AZ105&lt;0</formula>
    </cfRule>
  </conditionalFormatting>
  <conditionalFormatting sqref="BA110">
    <cfRule type="colorScale" priority="322">
      <colorScale>
        <cfvo type="min"/>
        <cfvo type="max"/>
        <color theme="0"/>
        <color theme="0"/>
      </colorScale>
    </cfRule>
    <cfRule type="expression" dxfId="2516" priority="324">
      <formula>AZ110&lt;0</formula>
    </cfRule>
  </conditionalFormatting>
  <conditionalFormatting sqref="BA110:BA111">
    <cfRule type="expression" priority="207">
      <formula>$F$20</formula>
    </cfRule>
  </conditionalFormatting>
  <conditionalFormatting sqref="BA111">
    <cfRule type="colorScale" priority="206">
      <colorScale>
        <cfvo type="min"/>
        <cfvo type="max"/>
        <color theme="0"/>
        <color theme="0"/>
      </colorScale>
    </cfRule>
    <cfRule type="expression" dxfId="2515" priority="208">
      <formula>AZ111&lt;0</formula>
    </cfRule>
  </conditionalFormatting>
  <conditionalFormatting sqref="BA117:BA123">
    <cfRule type="colorScale" priority="330">
      <colorScale>
        <cfvo type="min"/>
        <cfvo type="max"/>
        <color theme="0"/>
        <color theme="0"/>
      </colorScale>
    </cfRule>
    <cfRule type="expression" priority="331">
      <formula>$F$20</formula>
    </cfRule>
    <cfRule type="expression" dxfId="2514" priority="332">
      <formula>AZ117&lt;0</formula>
    </cfRule>
  </conditionalFormatting>
  <conditionalFormatting sqref="BA125">
    <cfRule type="colorScale" priority="214">
      <colorScale>
        <cfvo type="min"/>
        <cfvo type="max"/>
        <color theme="0"/>
        <color theme="0"/>
      </colorScale>
    </cfRule>
    <cfRule type="expression" priority="215">
      <formula>#REF!</formula>
    </cfRule>
    <cfRule type="expression" dxfId="2513" priority="216">
      <formula>AZ125&lt;0</formula>
    </cfRule>
  </conditionalFormatting>
  <conditionalFormatting sqref="BA125:BA135">
    <cfRule type="expression" dxfId="2512" priority="213">
      <formula>IF(BA125="Validar","Rojo","Verde")</formula>
    </cfRule>
  </conditionalFormatting>
  <conditionalFormatting sqref="BA126:BA132">
    <cfRule type="colorScale" priority="334">
      <colorScale>
        <cfvo type="min"/>
        <cfvo type="max"/>
        <color theme="0"/>
        <color theme="0"/>
      </colorScale>
    </cfRule>
    <cfRule type="expression" dxfId="2511" priority="336">
      <formula>AZ126&lt;0</formula>
    </cfRule>
  </conditionalFormatting>
  <conditionalFormatting sqref="BA126:BA134">
    <cfRule type="expression" priority="335">
      <formula>$F$20</formula>
    </cfRule>
  </conditionalFormatting>
  <conditionalFormatting sqref="BA133:BA134">
    <cfRule type="colorScale" priority="338">
      <colorScale>
        <cfvo type="min"/>
        <cfvo type="max"/>
        <color theme="0"/>
        <color theme="0"/>
      </colorScale>
    </cfRule>
    <cfRule type="expression" dxfId="2510" priority="340">
      <formula>AZ133&lt;0</formula>
    </cfRule>
  </conditionalFormatting>
  <conditionalFormatting sqref="BA135">
    <cfRule type="colorScale" priority="326">
      <colorScale>
        <cfvo type="min"/>
        <cfvo type="max"/>
        <color theme="0"/>
        <color theme="0"/>
      </colorScale>
    </cfRule>
    <cfRule type="expression" priority="327">
      <formula>$F$24</formula>
    </cfRule>
    <cfRule type="expression" dxfId="2509" priority="328">
      <formula>AZ135&lt;0</formula>
    </cfRule>
  </conditionalFormatting>
  <conditionalFormatting sqref="BA110:BB111">
    <cfRule type="expression" dxfId="2508" priority="13">
      <formula>IF(BA110="Validar","Rojo","Verde")</formula>
    </cfRule>
  </conditionalFormatting>
  <conditionalFormatting sqref="BA117:BB123">
    <cfRule type="expression" dxfId="2507" priority="73">
      <formula>IF(BA117="Validar","Rojo","Verde")</formula>
    </cfRule>
  </conditionalFormatting>
  <conditionalFormatting sqref="BB6">
    <cfRule type="colorScale" priority="110">
      <colorScale>
        <cfvo type="min"/>
        <cfvo type="max"/>
        <color theme="0"/>
        <color theme="0"/>
      </colorScale>
    </cfRule>
    <cfRule type="expression" dxfId="2506" priority="112">
      <formula>BA6&lt;0</formula>
    </cfRule>
  </conditionalFormatting>
  <conditionalFormatting sqref="BB6:BB17">
    <cfRule type="expression" dxfId="2505" priority="61">
      <formula>IF(BB6="Validar","Rojo","Verde")</formula>
    </cfRule>
    <cfRule type="expression" priority="63">
      <formula>#REF!</formula>
    </cfRule>
  </conditionalFormatting>
  <conditionalFormatting sqref="BB7:BB10">
    <cfRule type="colorScale" priority="126">
      <colorScale>
        <cfvo type="min"/>
        <cfvo type="max"/>
        <color theme="0"/>
        <color theme="0"/>
      </colorScale>
    </cfRule>
    <cfRule type="expression" dxfId="2504" priority="128">
      <formula>BA7&lt;0</formula>
    </cfRule>
  </conditionalFormatting>
  <conditionalFormatting sqref="BB11">
    <cfRule type="colorScale" priority="66">
      <colorScale>
        <cfvo type="min"/>
        <cfvo type="max"/>
        <color theme="0"/>
        <color theme="0"/>
      </colorScale>
    </cfRule>
    <cfRule type="expression" dxfId="2503" priority="68">
      <formula>BA11&lt;0</formula>
    </cfRule>
  </conditionalFormatting>
  <conditionalFormatting sqref="BB12:BB15">
    <cfRule type="colorScale" priority="122">
      <colorScale>
        <cfvo type="min"/>
        <cfvo type="max"/>
        <color theme="0"/>
        <color theme="0"/>
      </colorScale>
    </cfRule>
    <cfRule type="expression" dxfId="2502" priority="124">
      <formula>BA12&lt;0</formula>
    </cfRule>
  </conditionalFormatting>
  <conditionalFormatting sqref="BB16">
    <cfRule type="colorScale" priority="62">
      <colorScale>
        <cfvo type="min"/>
        <cfvo type="max"/>
        <color theme="0"/>
        <color theme="0"/>
      </colorScale>
    </cfRule>
    <cfRule type="expression" dxfId="2501" priority="64">
      <formula>BA16&lt;0</formula>
    </cfRule>
  </conditionalFormatting>
  <conditionalFormatting sqref="BB17">
    <cfRule type="colorScale" priority="118">
      <colorScale>
        <cfvo type="min"/>
        <cfvo type="max"/>
        <color theme="0"/>
        <color theme="0"/>
      </colorScale>
    </cfRule>
    <cfRule type="expression" dxfId="2500" priority="120">
      <formula>BA17&lt;0</formula>
    </cfRule>
  </conditionalFormatting>
  <conditionalFormatting sqref="BB19">
    <cfRule type="colorScale" priority="58">
      <colorScale>
        <cfvo type="min"/>
        <cfvo type="max"/>
        <color theme="0"/>
        <color theme="0"/>
      </colorScale>
    </cfRule>
    <cfRule type="expression" dxfId="2499" priority="60">
      <formula>BA19&lt;0</formula>
    </cfRule>
  </conditionalFormatting>
  <conditionalFormatting sqref="BB19:BB20">
    <cfRule type="expression" dxfId="2498" priority="57">
      <formula>IF(BB19="Validar","Rojo","Verde")</formula>
    </cfRule>
    <cfRule type="expression" priority="59">
      <formula>#REF!</formula>
    </cfRule>
  </conditionalFormatting>
  <conditionalFormatting sqref="BB20">
    <cfRule type="colorScale" priority="114">
      <colorScale>
        <cfvo type="min"/>
        <cfvo type="max"/>
        <color theme="0"/>
        <color theme="0"/>
      </colorScale>
    </cfRule>
    <cfRule type="expression" dxfId="2497" priority="116">
      <formula>BA20&lt;0</formula>
    </cfRule>
  </conditionalFormatting>
  <conditionalFormatting sqref="BB24">
    <cfRule type="colorScale" priority="54">
      <colorScale>
        <cfvo type="min"/>
        <cfvo type="max"/>
        <color theme="0"/>
        <color theme="0"/>
      </colorScale>
    </cfRule>
    <cfRule type="expression" dxfId="2496" priority="56">
      <formula>BA24&lt;0</formula>
    </cfRule>
  </conditionalFormatting>
  <conditionalFormatting sqref="BB24:BB25">
    <cfRule type="expression" dxfId="2495" priority="53">
      <formula>IF(BB24="Validar","Rojo","Verde")</formula>
    </cfRule>
    <cfRule type="expression" priority="55">
      <formula>#REF!</formula>
    </cfRule>
  </conditionalFormatting>
  <conditionalFormatting sqref="BB25">
    <cfRule type="colorScale" priority="106">
      <colorScale>
        <cfvo type="min"/>
        <cfvo type="max"/>
        <color theme="0"/>
        <color theme="0"/>
      </colorScale>
    </cfRule>
    <cfRule type="expression" dxfId="2494" priority="108">
      <formula>BA25&lt;0</formula>
    </cfRule>
  </conditionalFormatting>
  <conditionalFormatting sqref="BB27">
    <cfRule type="colorScale" priority="50">
      <colorScale>
        <cfvo type="min"/>
        <cfvo type="max"/>
        <color theme="0"/>
        <color theme="0"/>
      </colorScale>
    </cfRule>
    <cfRule type="expression" dxfId="2493" priority="52">
      <formula>BA27&lt;0</formula>
    </cfRule>
  </conditionalFormatting>
  <conditionalFormatting sqref="BB27:BB28">
    <cfRule type="expression" dxfId="2492" priority="49">
      <formula>IF(BB27="Validar","Rojo","Verde")</formula>
    </cfRule>
    <cfRule type="expression" priority="51">
      <formula>#REF!</formula>
    </cfRule>
  </conditionalFormatting>
  <conditionalFormatting sqref="BB28">
    <cfRule type="colorScale" priority="102">
      <colorScale>
        <cfvo type="min"/>
        <cfvo type="max"/>
        <color theme="0"/>
        <color theme="0"/>
      </colorScale>
    </cfRule>
    <cfRule type="expression" dxfId="2491" priority="104">
      <formula>BA28&lt;0</formula>
    </cfRule>
  </conditionalFormatting>
  <conditionalFormatting sqref="BB30">
    <cfRule type="colorScale" priority="46">
      <colorScale>
        <cfvo type="min"/>
        <cfvo type="max"/>
        <color theme="0"/>
        <color theme="0"/>
      </colorScale>
    </cfRule>
    <cfRule type="expression" dxfId="2490" priority="48">
      <formula>BA30&lt;0</formula>
    </cfRule>
  </conditionalFormatting>
  <conditionalFormatting sqref="BB30:BB31">
    <cfRule type="expression" dxfId="2489" priority="45">
      <formula>IF(BB30="Validar","Rojo","Verde")</formula>
    </cfRule>
    <cfRule type="expression" priority="47">
      <formula>#REF!</formula>
    </cfRule>
  </conditionalFormatting>
  <conditionalFormatting sqref="BB31">
    <cfRule type="colorScale" priority="98">
      <colorScale>
        <cfvo type="min"/>
        <cfvo type="max"/>
        <color theme="0"/>
        <color theme="0"/>
      </colorScale>
    </cfRule>
    <cfRule type="expression" dxfId="2488" priority="100">
      <formula>BA31&lt;0</formula>
    </cfRule>
  </conditionalFormatting>
  <conditionalFormatting sqref="BB40">
    <cfRule type="colorScale" priority="42">
      <colorScale>
        <cfvo type="min"/>
        <cfvo type="max"/>
        <color theme="0"/>
        <color theme="0"/>
      </colorScale>
    </cfRule>
    <cfRule type="expression" dxfId="2487" priority="44">
      <formula>BA40&lt;0</formula>
    </cfRule>
  </conditionalFormatting>
  <conditionalFormatting sqref="BB40:BB67">
    <cfRule type="expression" dxfId="2486" priority="41">
      <formula>IF(BB40="Validar","Rojo","Verde")</formula>
    </cfRule>
    <cfRule type="expression" priority="43">
      <formula>#REF!</formula>
    </cfRule>
  </conditionalFormatting>
  <conditionalFormatting sqref="BB41:BB67">
    <cfRule type="colorScale" priority="94">
      <colorScale>
        <cfvo type="min"/>
        <cfvo type="max"/>
        <color theme="0"/>
        <color theme="0"/>
      </colorScale>
    </cfRule>
    <cfRule type="expression" dxfId="2485" priority="96">
      <formula>BA41&lt;0</formula>
    </cfRule>
  </conditionalFormatting>
  <conditionalFormatting sqref="BB69">
    <cfRule type="colorScale" priority="38">
      <colorScale>
        <cfvo type="min"/>
        <cfvo type="max"/>
        <color theme="0"/>
        <color theme="0"/>
      </colorScale>
    </cfRule>
    <cfRule type="expression" dxfId="2484" priority="40">
      <formula>BA69&lt;0</formula>
    </cfRule>
  </conditionalFormatting>
  <conditionalFormatting sqref="BB69:BB82">
    <cfRule type="expression" dxfId="2483" priority="37">
      <formula>IF(BB69="Validar","Rojo","Verde")</formula>
    </cfRule>
    <cfRule type="expression" priority="39">
      <formula>#REF!</formula>
    </cfRule>
  </conditionalFormatting>
  <conditionalFormatting sqref="BB70:BB82">
    <cfRule type="colorScale" priority="130">
      <colorScale>
        <cfvo type="min"/>
        <cfvo type="max"/>
        <color theme="0"/>
        <color theme="0"/>
      </colorScale>
    </cfRule>
    <cfRule type="expression" dxfId="2482" priority="132">
      <formula>BA70&lt;0</formula>
    </cfRule>
  </conditionalFormatting>
  <conditionalFormatting sqref="BB84">
    <cfRule type="colorScale" priority="21">
      <colorScale>
        <cfvo type="min"/>
        <cfvo type="max"/>
        <color theme="0"/>
        <color theme="0"/>
      </colorScale>
    </cfRule>
    <cfRule type="expression" dxfId="2481" priority="23">
      <formula>BA84&lt;0</formula>
    </cfRule>
  </conditionalFormatting>
  <conditionalFormatting sqref="BB84:BB91">
    <cfRule type="expression" dxfId="2480" priority="20">
      <formula>IF(BB84="Validar","Rojo","Verde")</formula>
    </cfRule>
    <cfRule type="expression" priority="22">
      <formula>#REF!</formula>
    </cfRule>
  </conditionalFormatting>
  <conditionalFormatting sqref="BB85:BB91">
    <cfRule type="colorScale" priority="90">
      <colorScale>
        <cfvo type="min"/>
        <cfvo type="max"/>
        <color theme="0"/>
        <color theme="0"/>
      </colorScale>
    </cfRule>
    <cfRule type="expression" dxfId="2479" priority="92">
      <formula>BA85&lt;0</formula>
    </cfRule>
  </conditionalFormatting>
  <conditionalFormatting sqref="BB93">
    <cfRule type="colorScale" priority="34">
      <colorScale>
        <cfvo type="min"/>
        <cfvo type="max"/>
        <color theme="0"/>
        <color theme="0"/>
      </colorScale>
    </cfRule>
    <cfRule type="expression" dxfId="2478" priority="36">
      <formula>BA93&lt;0</formula>
    </cfRule>
  </conditionalFormatting>
  <conditionalFormatting sqref="BB93:BB102">
    <cfRule type="expression" dxfId="2477" priority="33">
      <formula>IF(BB93="Validar","Rojo","Verde")</formula>
    </cfRule>
    <cfRule type="expression" priority="35">
      <formula>#REF!</formula>
    </cfRule>
  </conditionalFormatting>
  <conditionalFormatting sqref="BB94:BB102">
    <cfRule type="colorScale" priority="86">
      <colorScale>
        <cfvo type="min"/>
        <cfvo type="max"/>
        <color theme="0"/>
        <color theme="0"/>
      </colorScale>
    </cfRule>
    <cfRule type="expression" dxfId="2476" priority="88">
      <formula>BA94&lt;0</formula>
    </cfRule>
  </conditionalFormatting>
  <conditionalFormatting sqref="BB104">
    <cfRule type="colorScale" priority="30">
      <colorScale>
        <cfvo type="min"/>
        <cfvo type="max"/>
        <color theme="0"/>
        <color theme="0"/>
      </colorScale>
    </cfRule>
    <cfRule type="expression" dxfId="2475" priority="32">
      <formula>BA104&lt;0</formula>
    </cfRule>
  </conditionalFormatting>
  <conditionalFormatting sqref="BB104:BB106">
    <cfRule type="expression" dxfId="2474" priority="29">
      <formula>IF(BB104="Validar","Rojo","Verde")</formula>
    </cfRule>
    <cfRule type="expression" priority="31">
      <formula>#REF!</formula>
    </cfRule>
  </conditionalFormatting>
  <conditionalFormatting sqref="BB105:BB106">
    <cfRule type="colorScale" priority="82">
      <colorScale>
        <cfvo type="min"/>
        <cfvo type="max"/>
        <color theme="0"/>
        <color theme="0"/>
      </colorScale>
    </cfRule>
    <cfRule type="expression" dxfId="2473" priority="84">
      <formula>BA105&lt;0</formula>
    </cfRule>
  </conditionalFormatting>
  <conditionalFormatting sqref="BB110">
    <cfRule type="colorScale" priority="78">
      <colorScale>
        <cfvo type="min"/>
        <cfvo type="max"/>
        <color theme="0"/>
        <color theme="0"/>
      </colorScale>
    </cfRule>
    <cfRule type="expression" dxfId="2472" priority="80">
      <formula>BA110&lt;0</formula>
    </cfRule>
  </conditionalFormatting>
  <conditionalFormatting sqref="BB110:BB111">
    <cfRule type="expression" priority="15">
      <formula>#REF!</formula>
    </cfRule>
  </conditionalFormatting>
  <conditionalFormatting sqref="BB111">
    <cfRule type="colorScale" priority="14">
      <colorScale>
        <cfvo type="min"/>
        <cfvo type="max"/>
        <color theme="0"/>
        <color theme="0"/>
      </colorScale>
    </cfRule>
    <cfRule type="expression" dxfId="2471" priority="16">
      <formula>BA111&lt;0</formula>
    </cfRule>
  </conditionalFormatting>
  <conditionalFormatting sqref="BB117:BB123">
    <cfRule type="colorScale" priority="74">
      <colorScale>
        <cfvo type="min"/>
        <cfvo type="max"/>
        <color theme="0"/>
        <color theme="0"/>
      </colorScale>
    </cfRule>
    <cfRule type="expression" priority="75">
      <formula>#REF!</formula>
    </cfRule>
    <cfRule type="expression" dxfId="2470" priority="76">
      <formula>BA117&lt;0</formula>
    </cfRule>
  </conditionalFormatting>
  <conditionalFormatting sqref="BB125">
    <cfRule type="colorScale" priority="26">
      <colorScale>
        <cfvo type="min"/>
        <cfvo type="max"/>
        <color theme="0"/>
        <color theme="0"/>
      </colorScale>
    </cfRule>
    <cfRule type="expression" dxfId="2469" priority="28">
      <formula>BA125&lt;0</formula>
    </cfRule>
  </conditionalFormatting>
  <conditionalFormatting sqref="BB125:BB134">
    <cfRule type="expression" dxfId="2468" priority="25">
      <formula>IF(BB125="Validar","Rojo","Verde")</formula>
    </cfRule>
    <cfRule type="expression" priority="27">
      <formula>#REF!</formula>
    </cfRule>
  </conditionalFormatting>
  <conditionalFormatting sqref="BB126:BB134">
    <cfRule type="colorScale" priority="70">
      <colorScale>
        <cfvo type="min"/>
        <cfvo type="max"/>
        <color theme="0"/>
        <color theme="0"/>
      </colorScale>
    </cfRule>
    <cfRule type="expression" dxfId="2467" priority="72">
      <formula>BA126&lt;0</formula>
    </cfRule>
  </conditionalFormatting>
  <pageMargins left="0.7" right="0.7" top="0.75" bottom="0.75" header="0.3" footer="0.3"/>
  <pageSetup paperSize="9" orientation="portrait" r:id="rId1"/>
  <headerFooter>
    <oddHeader>&amp;LElaborado por:&amp;CCarmen Eugenia Quintero Q.</oddHead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84" id="{1FB70EB2-A215-4A07-AD36-6FC2FE28D0E0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</x14:iconSet>
          </x14:cfRule>
          <xm:sqref>K4</xm:sqref>
        </x14:conditionalFormatting>
        <x14:conditionalFormatting xmlns:xm="http://schemas.microsoft.com/office/excel/2006/main">
          <x14:cfRule type="iconSet" priority="2583" id="{F75A1843-AD92-464E-B7F1-BE8EC50DC60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K5:K83 K85:K108 K110 K113:K139</xm:sqref>
        </x14:conditionalFormatting>
        <x14:conditionalFormatting xmlns:xm="http://schemas.microsoft.com/office/excel/2006/main">
          <x14:cfRule type="iconSet" priority="2549" id="{19F91168-F639-4E2C-B256-7BAEF3EA394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K84</xm:sqref>
        </x14:conditionalFormatting>
        <x14:conditionalFormatting xmlns:xm="http://schemas.microsoft.com/office/excel/2006/main">
          <x14:cfRule type="iconSet" priority="2543" id="{D6C878E9-A6D7-4976-A6BD-0E67768D9AA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K109</xm:sqref>
        </x14:conditionalFormatting>
        <x14:conditionalFormatting xmlns:xm="http://schemas.microsoft.com/office/excel/2006/main">
          <x14:cfRule type="iconSet" priority="2483" id="{8D5C1B68-CBC3-40AD-8286-F6D308B58E3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K111</xm:sqref>
        </x14:conditionalFormatting>
        <x14:conditionalFormatting xmlns:xm="http://schemas.microsoft.com/office/excel/2006/main">
          <x14:cfRule type="iconSet" priority="2541" id="{D7497456-B220-4DEE-9E8B-89E7C990FCE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K112</xm:sqref>
        </x14:conditionalFormatting>
        <x14:conditionalFormatting xmlns:xm="http://schemas.microsoft.com/office/excel/2006/main">
          <x14:cfRule type="iconSet" priority="11" id="{5645FBC8-12EF-41DF-8331-5917A396BFC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K142</xm:sqref>
        </x14:conditionalFormatting>
        <x14:conditionalFormatting xmlns:xm="http://schemas.microsoft.com/office/excel/2006/main">
          <x14:cfRule type="iconSet" priority="2582" id="{62927FCE-6BFD-4B12-A683-9A34707B9FD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R5:R83 R85:R108 R110 R113:R139</xm:sqref>
        </x14:conditionalFormatting>
        <x14:conditionalFormatting xmlns:xm="http://schemas.microsoft.com/office/excel/2006/main">
          <x14:cfRule type="iconSet" priority="2544" id="{60AF9B39-D438-4258-9B99-2375FB3E0E8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R84</xm:sqref>
        </x14:conditionalFormatting>
        <x14:conditionalFormatting xmlns:xm="http://schemas.microsoft.com/office/excel/2006/main">
          <x14:cfRule type="iconSet" priority="2542" id="{192EB907-AF9D-4B90-A4D8-849E3AB0BE0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R109</xm:sqref>
        </x14:conditionalFormatting>
        <x14:conditionalFormatting xmlns:xm="http://schemas.microsoft.com/office/excel/2006/main">
          <x14:cfRule type="iconSet" priority="2478" id="{F60F40F9-9918-437B-BBB9-6B3957419EB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R111</xm:sqref>
        </x14:conditionalFormatting>
        <x14:conditionalFormatting xmlns:xm="http://schemas.microsoft.com/office/excel/2006/main">
          <x14:cfRule type="iconSet" priority="2540" id="{A8AC0F0F-B26B-459D-82CA-2A1696A439C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R112</xm:sqref>
        </x14:conditionalFormatting>
        <x14:conditionalFormatting xmlns:xm="http://schemas.microsoft.com/office/excel/2006/main">
          <x14:cfRule type="iconSet" priority="10" id="{F7507B83-F3EC-4ED3-ABAB-901DA867865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R142</xm:sqref>
        </x14:conditionalFormatting>
        <x14:conditionalFormatting xmlns:xm="http://schemas.microsoft.com/office/excel/2006/main">
          <x14:cfRule type="iconSet" priority="610" id="{C936E146-1968-4C4C-BDB1-E3F5AC710AD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X5:X83 X85:X108 X110 X113:X139</xm:sqref>
        </x14:conditionalFormatting>
        <x14:conditionalFormatting xmlns:xm="http://schemas.microsoft.com/office/excel/2006/main">
          <x14:cfRule type="iconSet" priority="605" id="{F4DBE04E-8352-474D-95A7-B410B455D31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X84</xm:sqref>
        </x14:conditionalFormatting>
        <x14:conditionalFormatting xmlns:xm="http://schemas.microsoft.com/office/excel/2006/main">
          <x14:cfRule type="iconSet" priority="604" id="{087F39AC-D20A-45BB-B5B1-A66EC8DAAD3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X109</xm:sqref>
        </x14:conditionalFormatting>
        <x14:conditionalFormatting xmlns:xm="http://schemas.microsoft.com/office/excel/2006/main">
          <x14:cfRule type="iconSet" priority="598" id="{C29197D8-5834-4EA8-AC06-D5D5109FB79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X111</xm:sqref>
        </x14:conditionalFormatting>
        <x14:conditionalFormatting xmlns:xm="http://schemas.microsoft.com/office/excel/2006/main">
          <x14:cfRule type="iconSet" priority="603" id="{1831203F-5C50-4A29-A9A8-C225F2E3F0B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X112</xm:sqref>
        </x14:conditionalFormatting>
        <x14:conditionalFormatting xmlns:xm="http://schemas.microsoft.com/office/excel/2006/main">
          <x14:cfRule type="iconSet" priority="6" id="{86E69C1D-951A-4C1C-85E9-F49F30AC717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X142</xm:sqref>
        </x14:conditionalFormatting>
        <x14:conditionalFormatting xmlns:xm="http://schemas.microsoft.com/office/excel/2006/main">
          <x14:cfRule type="iconSet" priority="1949" id="{86EA67E6-244C-4B16-96E2-3FC457A02FB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AB5:AB83 AB85:AB108 AB110 AB113:AB139</xm:sqref>
        </x14:conditionalFormatting>
        <x14:conditionalFormatting xmlns:xm="http://schemas.microsoft.com/office/excel/2006/main">
          <x14:cfRule type="iconSet" priority="1944" id="{6B4C8C53-D3CC-41A2-960E-E2CDA98E32A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AB84</xm:sqref>
        </x14:conditionalFormatting>
        <x14:conditionalFormatting xmlns:xm="http://schemas.microsoft.com/office/excel/2006/main">
          <x14:cfRule type="iconSet" priority="1943" id="{A8D31EFA-32FE-4833-AA39-46F3E0F1A1D2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AB109</xm:sqref>
        </x14:conditionalFormatting>
        <x14:conditionalFormatting xmlns:xm="http://schemas.microsoft.com/office/excel/2006/main">
          <x14:cfRule type="iconSet" priority="1937" id="{A738FE9B-16FA-41CC-8678-5DCA715C7DA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AB111</xm:sqref>
        </x14:conditionalFormatting>
        <x14:conditionalFormatting xmlns:xm="http://schemas.microsoft.com/office/excel/2006/main">
          <x14:cfRule type="iconSet" priority="1942" id="{9D586D27-8784-4409-8025-78A476FC747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AB112</xm:sqref>
        </x14:conditionalFormatting>
        <x14:conditionalFormatting xmlns:xm="http://schemas.microsoft.com/office/excel/2006/main">
          <x14:cfRule type="iconSet" priority="9" id="{5B26AEDB-B96A-4C5F-856F-938EE108F2D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AB142</xm:sqref>
        </x14:conditionalFormatting>
        <x14:conditionalFormatting xmlns:xm="http://schemas.microsoft.com/office/excel/2006/main">
          <x14:cfRule type="iconSet" priority="1408" id="{88177A6B-C182-4E84-9294-2ED6B506D65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AI5:AI83 AI85:AI108 AI110 AI113:AI139</xm:sqref>
        </x14:conditionalFormatting>
        <x14:conditionalFormatting xmlns:xm="http://schemas.microsoft.com/office/excel/2006/main">
          <x14:cfRule type="iconSet" priority="1403" id="{5B4D055F-0851-4820-A116-66C125BD920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AI84</xm:sqref>
        </x14:conditionalFormatting>
        <x14:conditionalFormatting xmlns:xm="http://schemas.microsoft.com/office/excel/2006/main">
          <x14:cfRule type="iconSet" priority="1402" id="{4DF109BC-E90F-4224-8DEF-B9A01CCD97A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AI109</xm:sqref>
        </x14:conditionalFormatting>
        <x14:conditionalFormatting xmlns:xm="http://schemas.microsoft.com/office/excel/2006/main">
          <x14:cfRule type="iconSet" priority="1396" id="{AFCD99A3-497A-459E-BF10-3BB8A38301F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AI111</xm:sqref>
        </x14:conditionalFormatting>
        <x14:conditionalFormatting xmlns:xm="http://schemas.microsoft.com/office/excel/2006/main">
          <x14:cfRule type="iconSet" priority="1401" id="{ACA941FB-25AB-4846-8C75-A6221DAAE2AE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AI112</xm:sqref>
        </x14:conditionalFormatting>
        <x14:conditionalFormatting xmlns:xm="http://schemas.microsoft.com/office/excel/2006/main">
          <x14:cfRule type="iconSet" priority="8" id="{BC4FFB16-7037-416D-BF61-D374C6B885C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AI142</xm:sqref>
        </x14:conditionalFormatting>
        <x14:conditionalFormatting xmlns:xm="http://schemas.microsoft.com/office/excel/2006/main">
          <x14:cfRule type="iconSet" priority="867" id="{87D2F7D2-BF58-4B42-90A9-7904FEE3D16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AP5:AP83 AP85:AP108 AP110 AP113:AP139</xm:sqref>
        </x14:conditionalFormatting>
        <x14:conditionalFormatting xmlns:xm="http://schemas.microsoft.com/office/excel/2006/main">
          <x14:cfRule type="iconSet" priority="862" id="{EE07C9C5-AC86-46B3-9E9C-04BC8EAA774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AP84</xm:sqref>
        </x14:conditionalFormatting>
        <x14:conditionalFormatting xmlns:xm="http://schemas.microsoft.com/office/excel/2006/main">
          <x14:cfRule type="iconSet" priority="861" id="{228EB864-2BDF-405E-845B-CC350E19BEB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AP109</xm:sqref>
        </x14:conditionalFormatting>
        <x14:conditionalFormatting xmlns:xm="http://schemas.microsoft.com/office/excel/2006/main">
          <x14:cfRule type="iconSet" priority="855" id="{F8466279-B025-4683-B1E7-8D3EE6CB41B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AP111</xm:sqref>
        </x14:conditionalFormatting>
        <x14:conditionalFormatting xmlns:xm="http://schemas.microsoft.com/office/excel/2006/main">
          <x14:cfRule type="iconSet" priority="860" id="{69605168-3A32-4393-A6F4-7EFEBD7436B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AP112</xm:sqref>
        </x14:conditionalFormatting>
        <x14:conditionalFormatting xmlns:xm="http://schemas.microsoft.com/office/excel/2006/main">
          <x14:cfRule type="iconSet" priority="7" id="{7A6BD8B3-A7DE-4CB8-9E15-B77A412295B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AP142</xm:sqref>
        </x14:conditionalFormatting>
        <x14:conditionalFormatting xmlns:xm="http://schemas.microsoft.com/office/excel/2006/main">
          <x14:cfRule type="iconSet" priority="489" id="{1EC16356-161B-4A90-831C-7DD8C4418F3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AV5:AV83 AV85:AV108 AV110 AV113:AV139</xm:sqref>
        </x14:conditionalFormatting>
        <x14:conditionalFormatting xmlns:xm="http://schemas.microsoft.com/office/excel/2006/main">
          <x14:cfRule type="iconSet" priority="484" id="{0E9C15CA-B903-47CC-AEC4-A4A1CB84D87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AV84</xm:sqref>
        </x14:conditionalFormatting>
        <x14:conditionalFormatting xmlns:xm="http://schemas.microsoft.com/office/excel/2006/main">
          <x14:cfRule type="iconSet" priority="483" id="{C6ED7719-EBF7-4A84-864F-91A2AAD2450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AV109</xm:sqref>
        </x14:conditionalFormatting>
        <x14:conditionalFormatting xmlns:xm="http://schemas.microsoft.com/office/excel/2006/main">
          <x14:cfRule type="iconSet" priority="477" id="{6D17E024-DA5C-4F8D-B4AD-A5D9710C7058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AV111</xm:sqref>
        </x14:conditionalFormatting>
        <x14:conditionalFormatting xmlns:xm="http://schemas.microsoft.com/office/excel/2006/main">
          <x14:cfRule type="iconSet" priority="482" id="{51E15331-92E4-451D-AED0-C8BC4DBB69D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AV112</xm:sqref>
        </x14:conditionalFormatting>
        <x14:conditionalFormatting xmlns:xm="http://schemas.microsoft.com/office/excel/2006/main">
          <x14:cfRule type="iconSet" priority="5" id="{B849785A-24E6-4C39-9A34-E28B46F8DEA5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AV142</xm:sqref>
        </x14:conditionalFormatting>
        <x14:conditionalFormatting xmlns:xm="http://schemas.microsoft.com/office/excel/2006/main">
          <x14:cfRule type="iconSet" priority="24" id="{B8E04039-2B14-4B44-AED7-B844ACDC7553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BB5:BB83 BB85:BB108 BB110 BB113:BB139</xm:sqref>
        </x14:conditionalFormatting>
        <x14:conditionalFormatting xmlns:xm="http://schemas.microsoft.com/office/excel/2006/main">
          <x14:cfRule type="iconSet" priority="19" id="{F1663DDA-3D64-4856-8D56-272AD1FB0DCD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BB84</xm:sqref>
        </x14:conditionalFormatting>
        <x14:conditionalFormatting xmlns:xm="http://schemas.microsoft.com/office/excel/2006/main">
          <x14:cfRule type="iconSet" priority="18" id="{ACF8FC60-DC93-40EB-880D-44AEBE24BCD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BB109</xm:sqref>
        </x14:conditionalFormatting>
        <x14:conditionalFormatting xmlns:xm="http://schemas.microsoft.com/office/excel/2006/main">
          <x14:cfRule type="iconSet" priority="12" id="{C1142542-7530-48BC-BACA-6BCC68F7B6B6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BB111</xm:sqref>
        </x14:conditionalFormatting>
        <x14:conditionalFormatting xmlns:xm="http://schemas.microsoft.com/office/excel/2006/main">
          <x14:cfRule type="iconSet" priority="17" id="{053BE780-5EF0-40B8-BA63-A439FD6B2D5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BB112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EERR RODEO</vt:lpstr>
      <vt:lpstr>N EERR RODEO</vt:lpstr>
      <vt:lpstr>PRESUPUESTO ULTRAX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Eugenia</dc:creator>
  <cp:lastModifiedBy>t89984</cp:lastModifiedBy>
  <cp:lastPrinted>2020-05-26T19:34:23Z</cp:lastPrinted>
  <dcterms:created xsi:type="dcterms:W3CDTF">2020-05-08T21:23:01Z</dcterms:created>
  <dcterms:modified xsi:type="dcterms:W3CDTF">2026-06-06T01:48:45Z</dcterms:modified>
</cp:coreProperties>
</file>