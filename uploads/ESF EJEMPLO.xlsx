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andre\Desktop\"/>
    </mc:Choice>
  </mc:AlternateContent>
  <xr:revisionPtr revIDLastSave="0" documentId="13_ncr:1_{EF04A446-1486-4509-8471-CD1D456EC679}" xr6:coauthVersionLast="47" xr6:coauthVersionMax="47" xr10:uidLastSave="{00000000-0000-0000-0000-000000000000}"/>
  <bookViews>
    <workbookView xWindow="-120" yWindow="-120" windowWidth="29040" windowHeight="16440" tabRatio="800" activeTab="2" xr2:uid="{00000000-000D-0000-FFFF-FFFF00000000}"/>
  </bookViews>
  <sheets>
    <sheet name="ESF RODEO" sheetId="20" r:id="rId1"/>
    <sheet name="EERR RODEO" sheetId="25" r:id="rId2"/>
    <sheet name="N EERR" sheetId="28" r:id="rId3"/>
    <sheet name="N ESF" sheetId="29" r:id="rId4"/>
  </sheets>
  <externalReferences>
    <externalReference r:id="rId5"/>
  </externalReferences>
  <definedNames>
    <definedName name="_xlnm._FilterDatabase" localSheetId="2" hidden="1">'N EERR'!$A$3:$O$206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61" i="29" l="1"/>
  <c r="E5" i="29" l="1"/>
  <c r="F5" i="29"/>
  <c r="G5" i="29"/>
  <c r="H5" i="29"/>
  <c r="E7" i="29"/>
  <c r="F7" i="29"/>
  <c r="G7" i="29"/>
  <c r="H7" i="29"/>
  <c r="I7" i="29"/>
  <c r="E11" i="29"/>
  <c r="F11" i="29"/>
  <c r="G11" i="29"/>
  <c r="H11" i="29"/>
  <c r="I11" i="29"/>
  <c r="E17" i="29"/>
  <c r="F17" i="29"/>
  <c r="G17" i="29"/>
  <c r="H17" i="29"/>
  <c r="E35" i="29"/>
  <c r="F35" i="29"/>
  <c r="G35" i="29"/>
  <c r="E48" i="29"/>
  <c r="F48" i="29"/>
  <c r="G48" i="29"/>
  <c r="H48" i="29"/>
  <c r="I48" i="29"/>
  <c r="E62" i="29"/>
  <c r="F62" i="29"/>
  <c r="G62" i="29"/>
  <c r="H62" i="29"/>
  <c r="E67" i="29"/>
  <c r="F67" i="29"/>
  <c r="G67" i="29"/>
  <c r="E73" i="29"/>
  <c r="F73" i="29"/>
  <c r="F72" i="29" s="1"/>
  <c r="G73" i="29"/>
  <c r="H73" i="29"/>
  <c r="I73" i="29"/>
  <c r="E86" i="29"/>
  <c r="F86" i="29"/>
  <c r="G86" i="29"/>
  <c r="E92" i="29"/>
  <c r="F92" i="29"/>
  <c r="G92" i="29"/>
  <c r="H92" i="29"/>
  <c r="E98" i="29"/>
  <c r="F98" i="29"/>
  <c r="G98" i="29"/>
  <c r="H98" i="29"/>
  <c r="E102" i="29"/>
  <c r="F102" i="29"/>
  <c r="G102" i="29"/>
  <c r="H102" i="29"/>
  <c r="E110" i="29"/>
  <c r="F110" i="29"/>
  <c r="G110" i="29"/>
  <c r="G109" i="29" s="1"/>
  <c r="H110" i="29"/>
  <c r="E114" i="29"/>
  <c r="F114" i="29"/>
  <c r="G114" i="29"/>
  <c r="E119" i="29"/>
  <c r="E118" i="29" s="1"/>
  <c r="F119" i="29"/>
  <c r="G119" i="29"/>
  <c r="H119" i="29"/>
  <c r="E125" i="29"/>
  <c r="F125" i="29"/>
  <c r="G125" i="29"/>
  <c r="E131" i="29"/>
  <c r="F131" i="29"/>
  <c r="G131" i="29"/>
  <c r="E135" i="29"/>
  <c r="F135" i="29"/>
  <c r="G135" i="29"/>
  <c r="E137" i="29"/>
  <c r="F137" i="29"/>
  <c r="G137" i="29"/>
  <c r="E140" i="29"/>
  <c r="E139" i="29" s="1"/>
  <c r="F140" i="29"/>
  <c r="F139" i="29" s="1"/>
  <c r="G140" i="29"/>
  <c r="H140" i="29"/>
  <c r="E143" i="29"/>
  <c r="F143" i="29"/>
  <c r="G143" i="29"/>
  <c r="E148" i="29"/>
  <c r="F148" i="29"/>
  <c r="G148" i="29"/>
  <c r="E151" i="29"/>
  <c r="F151" i="29"/>
  <c r="F150" i="29" s="1"/>
  <c r="G151" i="29"/>
  <c r="H151" i="29"/>
  <c r="E153" i="29"/>
  <c r="F153" i="29"/>
  <c r="G153" i="29"/>
  <c r="E155" i="29"/>
  <c r="F155" i="29"/>
  <c r="G155" i="29"/>
  <c r="E158" i="29"/>
  <c r="F158" i="29"/>
  <c r="G158" i="29"/>
  <c r="E162" i="29"/>
  <c r="F162" i="29"/>
  <c r="G162" i="29"/>
  <c r="H162" i="29"/>
  <c r="E168" i="29"/>
  <c r="F168" i="29"/>
  <c r="G168" i="29"/>
  <c r="E175" i="29"/>
  <c r="E174" i="29" s="1"/>
  <c r="F175" i="29"/>
  <c r="G175" i="29"/>
  <c r="G174" i="29" s="1"/>
  <c r="H175" i="29"/>
  <c r="E194" i="29"/>
  <c r="F194" i="29"/>
  <c r="G194" i="29"/>
  <c r="H194" i="29"/>
  <c r="E201" i="29"/>
  <c r="F201" i="29"/>
  <c r="G201" i="29"/>
  <c r="E218" i="29"/>
  <c r="F218" i="29"/>
  <c r="G218" i="29"/>
  <c r="E227" i="29"/>
  <c r="F227" i="29"/>
  <c r="G227" i="29"/>
  <c r="E230" i="29"/>
  <c r="F230" i="29"/>
  <c r="F229" i="29" s="1"/>
  <c r="G230" i="29"/>
  <c r="E233" i="29"/>
  <c r="F233" i="29"/>
  <c r="G233" i="29"/>
  <c r="H233" i="29"/>
  <c r="E237" i="29"/>
  <c r="F237" i="29"/>
  <c r="G237" i="29"/>
  <c r="E241" i="29"/>
  <c r="F241" i="29"/>
  <c r="G241" i="29"/>
  <c r="E263" i="29"/>
  <c r="F263" i="29"/>
  <c r="G263" i="29"/>
  <c r="E270" i="29"/>
  <c r="F270" i="29"/>
  <c r="G270" i="29"/>
  <c r="E274" i="29"/>
  <c r="F274" i="29"/>
  <c r="G274" i="29"/>
  <c r="E278" i="29"/>
  <c r="F278" i="29"/>
  <c r="G278" i="29"/>
  <c r="H278" i="29"/>
  <c r="E282" i="29"/>
  <c r="F282" i="29"/>
  <c r="G282" i="29"/>
  <c r="E286" i="29"/>
  <c r="F286" i="29"/>
  <c r="G286" i="29"/>
  <c r="E290" i="29"/>
  <c r="F290" i="29"/>
  <c r="G290" i="29"/>
  <c r="E299" i="29"/>
  <c r="F299" i="29"/>
  <c r="G299" i="29"/>
  <c r="H299" i="29"/>
  <c r="E303" i="29"/>
  <c r="F303" i="29"/>
  <c r="G303" i="29"/>
  <c r="E308" i="29"/>
  <c r="F308" i="29"/>
  <c r="G308" i="29"/>
  <c r="H308" i="29"/>
  <c r="E314" i="29"/>
  <c r="F314" i="29"/>
  <c r="G314" i="29"/>
  <c r="E318" i="29"/>
  <c r="F318" i="29"/>
  <c r="G318" i="29"/>
  <c r="E324" i="29"/>
  <c r="F324" i="29"/>
  <c r="G324" i="29"/>
  <c r="E327" i="29"/>
  <c r="F327" i="29"/>
  <c r="G327" i="29"/>
  <c r="E331" i="29"/>
  <c r="F331" i="29"/>
  <c r="G331" i="29"/>
  <c r="E336" i="29"/>
  <c r="F336" i="29"/>
  <c r="G336" i="29"/>
  <c r="E339" i="29"/>
  <c r="F339" i="29"/>
  <c r="G339" i="29"/>
  <c r="E345" i="29"/>
  <c r="F345" i="29"/>
  <c r="E350" i="29"/>
  <c r="F350" i="29"/>
  <c r="G350" i="29"/>
  <c r="E353" i="29"/>
  <c r="F353" i="29"/>
  <c r="G353" i="29"/>
  <c r="E363" i="29"/>
  <c r="F363" i="29"/>
  <c r="E371" i="29"/>
  <c r="F371" i="29"/>
  <c r="F370" i="29" s="1"/>
  <c r="G371" i="29"/>
  <c r="E376" i="29"/>
  <c r="F376" i="29"/>
  <c r="G376" i="29"/>
  <c r="E382" i="29"/>
  <c r="F382" i="29"/>
  <c r="G382" i="29"/>
  <c r="H382" i="29"/>
  <c r="E386" i="29"/>
  <c r="F386" i="29"/>
  <c r="G386" i="29"/>
  <c r="E388" i="29"/>
  <c r="F388" i="29"/>
  <c r="E398" i="29"/>
  <c r="F398" i="29"/>
  <c r="E401" i="29"/>
  <c r="E400" i="29" s="1"/>
  <c r="F401" i="29"/>
  <c r="F400" i="29" s="1"/>
  <c r="G401" i="29"/>
  <c r="E403" i="29"/>
  <c r="F403" i="29"/>
  <c r="G403" i="29"/>
  <c r="E408" i="29"/>
  <c r="F408" i="29"/>
  <c r="E411" i="29"/>
  <c r="E410" i="29" s="1"/>
  <c r="F411" i="29"/>
  <c r="F410" i="29" s="1"/>
  <c r="G411" i="29"/>
  <c r="G410" i="29" s="1"/>
  <c r="E417" i="29"/>
  <c r="E416" i="29" s="1"/>
  <c r="E449" i="29" s="1"/>
  <c r="E420" i="29"/>
  <c r="F420" i="29"/>
  <c r="E445" i="29"/>
  <c r="E452" i="29"/>
  <c r="E454" i="29"/>
  <c r="E456" i="29"/>
  <c r="E460" i="29"/>
  <c r="G229" i="29" l="1"/>
  <c r="F118" i="29"/>
  <c r="E229" i="29"/>
  <c r="E295" i="29" s="1"/>
  <c r="F174" i="29"/>
  <c r="E150" i="29"/>
  <c r="F109" i="29"/>
  <c r="G161" i="29"/>
  <c r="E109" i="29"/>
  <c r="F161" i="29"/>
  <c r="E326" i="29"/>
  <c r="E161" i="29"/>
  <c r="G72" i="29"/>
  <c r="G150" i="29"/>
  <c r="E72" i="29"/>
  <c r="F326" i="29"/>
  <c r="G298" i="29"/>
  <c r="G4" i="29"/>
  <c r="E370" i="29"/>
  <c r="E414" i="29" s="1"/>
  <c r="E450" i="29" s="1"/>
  <c r="F298" i="29"/>
  <c r="F4" i="29"/>
  <c r="E298" i="29"/>
  <c r="G139" i="29"/>
  <c r="G118" i="29"/>
  <c r="E4" i="29"/>
  <c r="F452" i="29"/>
  <c r="F454" i="29"/>
  <c r="F456" i="29"/>
  <c r="F460" i="29"/>
  <c r="V5" i="25" l="1"/>
  <c r="B3" i="29" l="1"/>
  <c r="B3" i="28"/>
  <c r="B3" i="25"/>
  <c r="B3" i="20"/>
  <c r="B107" i="20" s="1"/>
  <c r="J107" i="20"/>
  <c r="I107" i="20"/>
  <c r="H107" i="20"/>
  <c r="G107" i="20"/>
  <c r="F107" i="20"/>
  <c r="E107" i="20"/>
  <c r="D107" i="20"/>
  <c r="C107" i="20"/>
  <c r="C143" i="29" l="1"/>
  <c r="D143" i="29"/>
  <c r="H143" i="29"/>
  <c r="I143" i="29"/>
  <c r="J143" i="29"/>
  <c r="K143" i="29"/>
  <c r="L143" i="29"/>
  <c r="M143" i="29"/>
  <c r="N143" i="29"/>
  <c r="B143" i="29"/>
  <c r="C5" i="28" l="1"/>
  <c r="D5" i="28"/>
  <c r="E5" i="28"/>
  <c r="F5" i="28"/>
  <c r="G5" i="28"/>
  <c r="H5" i="28"/>
  <c r="I5" i="28"/>
  <c r="J5" i="28"/>
  <c r="K5" i="28"/>
  <c r="L5" i="28"/>
  <c r="M5" i="28"/>
  <c r="N5" i="28"/>
  <c r="B5" i="28"/>
  <c r="O5" i="28" l="1"/>
  <c r="H18" i="28"/>
  <c r="H29" i="28"/>
  <c r="H38" i="28"/>
  <c r="H193" i="28" l="1"/>
  <c r="I193" i="28"/>
  <c r="J193" i="28"/>
  <c r="K193" i="28"/>
  <c r="L193" i="28"/>
  <c r="M193" i="28"/>
  <c r="N193" i="28"/>
  <c r="H188" i="28"/>
  <c r="I188" i="28"/>
  <c r="J188" i="28"/>
  <c r="K188" i="28"/>
  <c r="L188" i="28"/>
  <c r="M188" i="28"/>
  <c r="N188" i="28"/>
  <c r="H172" i="28"/>
  <c r="I172" i="28"/>
  <c r="J172" i="28"/>
  <c r="K172" i="28"/>
  <c r="L172" i="28"/>
  <c r="M172" i="28"/>
  <c r="N172" i="28"/>
  <c r="H139" i="28"/>
  <c r="I139" i="28"/>
  <c r="J139" i="28"/>
  <c r="K139" i="28"/>
  <c r="L139" i="28"/>
  <c r="M139" i="28"/>
  <c r="N139" i="28"/>
  <c r="H95" i="28"/>
  <c r="H37" i="28" s="1"/>
  <c r="H36" i="28" s="1"/>
  <c r="I95" i="28"/>
  <c r="J95" i="28"/>
  <c r="K95" i="28"/>
  <c r="L95" i="28"/>
  <c r="M95" i="28"/>
  <c r="N95" i="28"/>
  <c r="I38" i="28"/>
  <c r="J38" i="28"/>
  <c r="K38" i="28"/>
  <c r="L38" i="28"/>
  <c r="M38" i="28"/>
  <c r="N38" i="28"/>
  <c r="I29" i="28"/>
  <c r="J29" i="28"/>
  <c r="K29" i="28"/>
  <c r="L29" i="28"/>
  <c r="M29" i="28"/>
  <c r="N29" i="28"/>
  <c r="I18" i="28"/>
  <c r="J18" i="28"/>
  <c r="K18" i="28"/>
  <c r="L18" i="28"/>
  <c r="M18" i="28"/>
  <c r="N18" i="28"/>
  <c r="L4" i="28"/>
  <c r="M4" i="28"/>
  <c r="N4" i="28"/>
  <c r="M34" i="28" l="1"/>
  <c r="J37" i="28"/>
  <c r="N37" i="28"/>
  <c r="N36" i="28" s="1"/>
  <c r="L34" i="28"/>
  <c r="M37" i="28"/>
  <c r="M36" i="28" s="1"/>
  <c r="L37" i="28"/>
  <c r="L36" i="28" s="1"/>
  <c r="I37" i="28"/>
  <c r="N34" i="28"/>
  <c r="K37" i="28"/>
  <c r="J116" i="20"/>
  <c r="H116" i="20"/>
  <c r="F116" i="20"/>
  <c r="CO65" i="25" l="1"/>
  <c r="CO66" i="25"/>
  <c r="CH65" i="25"/>
  <c r="CH66" i="25"/>
  <c r="CA65" i="25"/>
  <c r="CA66" i="25"/>
  <c r="BQ65" i="25"/>
  <c r="BQ66" i="25"/>
  <c r="BJ65" i="25"/>
  <c r="BJ66" i="25"/>
  <c r="BC65" i="25"/>
  <c r="BC66" i="25"/>
  <c r="AM65" i="25"/>
  <c r="AM66" i="25"/>
  <c r="AF65" i="25"/>
  <c r="AF66" i="25"/>
  <c r="Y66" i="25"/>
  <c r="Y65" i="25"/>
  <c r="O65" i="25"/>
  <c r="O66" i="25"/>
  <c r="H66" i="25"/>
  <c r="H65" i="25"/>
  <c r="E65" i="25"/>
  <c r="E66" i="25"/>
  <c r="B66" i="25"/>
  <c r="B65" i="25"/>
  <c r="H462" i="29" l="1"/>
  <c r="K462" i="29"/>
  <c r="J462" i="29"/>
  <c r="I462" i="29"/>
  <c r="G462" i="29"/>
  <c r="F462" i="29"/>
  <c r="D462" i="29"/>
  <c r="C462" i="29"/>
  <c r="B462" i="29"/>
  <c r="B460" i="29"/>
  <c r="K460" i="29"/>
  <c r="J460" i="29"/>
  <c r="I460" i="29"/>
  <c r="H460" i="29"/>
  <c r="G460" i="29"/>
  <c r="D460" i="29"/>
  <c r="C460" i="29"/>
  <c r="K456" i="29"/>
  <c r="J456" i="29"/>
  <c r="I456" i="29"/>
  <c r="H456" i="29"/>
  <c r="G456" i="29"/>
  <c r="D456" i="29"/>
  <c r="C456" i="29"/>
  <c r="B456" i="29"/>
  <c r="K454" i="29"/>
  <c r="J454" i="29"/>
  <c r="I454" i="29"/>
  <c r="H454" i="29"/>
  <c r="G454" i="29"/>
  <c r="D454" i="29"/>
  <c r="C454" i="29"/>
  <c r="B454" i="29"/>
  <c r="K452" i="29"/>
  <c r="J452" i="29"/>
  <c r="I452" i="29"/>
  <c r="H452" i="29"/>
  <c r="G452" i="29"/>
  <c r="D452" i="29"/>
  <c r="C452" i="29"/>
  <c r="B452" i="29"/>
  <c r="K445" i="29"/>
  <c r="J445" i="29"/>
  <c r="I445" i="29"/>
  <c r="H445" i="29"/>
  <c r="G445" i="29"/>
  <c r="F445" i="29"/>
  <c r="F416" i="29" s="1"/>
  <c r="F449" i="29" s="1"/>
  <c r="D445" i="29"/>
  <c r="C445" i="29"/>
  <c r="B445" i="29"/>
  <c r="K420" i="29"/>
  <c r="J420" i="29"/>
  <c r="I420" i="29"/>
  <c r="H420" i="29"/>
  <c r="G420" i="29"/>
  <c r="D420" i="29"/>
  <c r="C420" i="29"/>
  <c r="B420" i="29"/>
  <c r="K417" i="29"/>
  <c r="K416" i="29" s="1"/>
  <c r="K449" i="29" s="1"/>
  <c r="J417" i="29"/>
  <c r="I417" i="29"/>
  <c r="H417" i="29"/>
  <c r="H416" i="29" s="1"/>
  <c r="H449" i="29" s="1"/>
  <c r="G417" i="29"/>
  <c r="G416" i="29" s="1"/>
  <c r="G449" i="29" s="1"/>
  <c r="F417" i="29"/>
  <c r="D417" i="29"/>
  <c r="C417" i="29"/>
  <c r="B417" i="29"/>
  <c r="K411" i="29"/>
  <c r="J411" i="29"/>
  <c r="J410" i="29" s="1"/>
  <c r="I411" i="29"/>
  <c r="H411" i="29"/>
  <c r="D411" i="29"/>
  <c r="D410" i="29" s="1"/>
  <c r="C411" i="29"/>
  <c r="C410" i="29" s="1"/>
  <c r="B411" i="29"/>
  <c r="B410" i="29" s="1"/>
  <c r="K410" i="29"/>
  <c r="I410" i="29"/>
  <c r="H410" i="29"/>
  <c r="K408" i="29"/>
  <c r="J408" i="29"/>
  <c r="I408" i="29"/>
  <c r="H408" i="29"/>
  <c r="G408" i="29"/>
  <c r="G400" i="29" s="1"/>
  <c r="D408" i="29"/>
  <c r="C408" i="29"/>
  <c r="B408" i="29"/>
  <c r="K403" i="29"/>
  <c r="J403" i="29"/>
  <c r="I403" i="29"/>
  <c r="H403" i="29"/>
  <c r="D403" i="29"/>
  <c r="C403" i="29"/>
  <c r="B403" i="29"/>
  <c r="K401" i="29"/>
  <c r="J401" i="29"/>
  <c r="I401" i="29"/>
  <c r="I400" i="29" s="1"/>
  <c r="H401" i="29"/>
  <c r="D401" i="29"/>
  <c r="C401" i="29"/>
  <c r="B401" i="29"/>
  <c r="K398" i="29"/>
  <c r="J398" i="29"/>
  <c r="I398" i="29"/>
  <c r="H398" i="29"/>
  <c r="G398" i="29"/>
  <c r="D398" i="29"/>
  <c r="C398" i="29"/>
  <c r="B398" i="29"/>
  <c r="K388" i="29"/>
  <c r="J388" i="29"/>
  <c r="I388" i="29"/>
  <c r="H388" i="29"/>
  <c r="G388" i="29"/>
  <c r="D388" i="29"/>
  <c r="C388" i="29"/>
  <c r="B388" i="29"/>
  <c r="K386" i="29"/>
  <c r="J386" i="29"/>
  <c r="I386" i="29"/>
  <c r="H386" i="29"/>
  <c r="D386" i="29"/>
  <c r="C386" i="29"/>
  <c r="B386" i="29"/>
  <c r="K382" i="29"/>
  <c r="J382" i="29"/>
  <c r="I382" i="29"/>
  <c r="D382" i="29"/>
  <c r="C382" i="29"/>
  <c r="B382" i="29"/>
  <c r="K376" i="29"/>
  <c r="J376" i="29"/>
  <c r="I376" i="29"/>
  <c r="H376" i="29"/>
  <c r="D376" i="29"/>
  <c r="C376" i="29"/>
  <c r="B376" i="29"/>
  <c r="K371" i="29"/>
  <c r="J371" i="29"/>
  <c r="I371" i="29"/>
  <c r="H371" i="29"/>
  <c r="D371" i="29"/>
  <c r="C371" i="29"/>
  <c r="B371" i="29"/>
  <c r="B370" i="29" s="1"/>
  <c r="K363" i="29"/>
  <c r="J363" i="29"/>
  <c r="I363" i="29"/>
  <c r="H363" i="29"/>
  <c r="G363" i="29"/>
  <c r="D363" i="29"/>
  <c r="C363" i="29"/>
  <c r="B363" i="29"/>
  <c r="K353" i="29"/>
  <c r="J353" i="29"/>
  <c r="I353" i="29"/>
  <c r="H353" i="29"/>
  <c r="D353" i="29"/>
  <c r="C353" i="29"/>
  <c r="B353" i="29"/>
  <c r="K350" i="29"/>
  <c r="J350" i="29"/>
  <c r="I350" i="29"/>
  <c r="H350" i="29"/>
  <c r="D350" i="29"/>
  <c r="C350" i="29"/>
  <c r="B350" i="29"/>
  <c r="K345" i="29"/>
  <c r="J345" i="29"/>
  <c r="I345" i="29"/>
  <c r="H345" i="29"/>
  <c r="G345" i="29"/>
  <c r="G326" i="29" s="1"/>
  <c r="D345" i="29"/>
  <c r="C345" i="29"/>
  <c r="B345" i="29"/>
  <c r="K339" i="29"/>
  <c r="J339" i="29"/>
  <c r="I339" i="29"/>
  <c r="H339" i="29"/>
  <c r="D339" i="29"/>
  <c r="C339" i="29"/>
  <c r="B339" i="29"/>
  <c r="K336" i="29"/>
  <c r="J336" i="29"/>
  <c r="I336" i="29"/>
  <c r="H336" i="29"/>
  <c r="D336" i="29"/>
  <c r="C336" i="29"/>
  <c r="B336" i="29"/>
  <c r="K331" i="29"/>
  <c r="J331" i="29"/>
  <c r="I331" i="29"/>
  <c r="H331" i="29"/>
  <c r="D331" i="29"/>
  <c r="C331" i="29"/>
  <c r="B331" i="29"/>
  <c r="K327" i="29"/>
  <c r="J327" i="29"/>
  <c r="I327" i="29"/>
  <c r="H327" i="29"/>
  <c r="D327" i="29"/>
  <c r="C327" i="29"/>
  <c r="B327" i="29"/>
  <c r="K324" i="29"/>
  <c r="J324" i="29"/>
  <c r="I324" i="29"/>
  <c r="H324" i="29"/>
  <c r="D324" i="29"/>
  <c r="C324" i="29"/>
  <c r="B324" i="29"/>
  <c r="K318" i="29"/>
  <c r="J318" i="29"/>
  <c r="I318" i="29"/>
  <c r="H318" i="29"/>
  <c r="D318" i="29"/>
  <c r="C318" i="29"/>
  <c r="B318" i="29"/>
  <c r="K314" i="29"/>
  <c r="J314" i="29"/>
  <c r="I314" i="29"/>
  <c r="H314" i="29"/>
  <c r="D314" i="29"/>
  <c r="C314" i="29"/>
  <c r="B314" i="29"/>
  <c r="K308" i="29"/>
  <c r="J308" i="29"/>
  <c r="I308" i="29"/>
  <c r="D308" i="29"/>
  <c r="C308" i="29"/>
  <c r="B308" i="29"/>
  <c r="K303" i="29"/>
  <c r="J303" i="29"/>
  <c r="I303" i="29"/>
  <c r="H303" i="29"/>
  <c r="D303" i="29"/>
  <c r="C303" i="29"/>
  <c r="B303" i="29"/>
  <c r="K299" i="29"/>
  <c r="J299" i="29"/>
  <c r="I299" i="29"/>
  <c r="D299" i="29"/>
  <c r="C299" i="29"/>
  <c r="B299" i="29"/>
  <c r="K290" i="29"/>
  <c r="J290" i="29"/>
  <c r="I290" i="29"/>
  <c r="H290" i="29"/>
  <c r="D290" i="29"/>
  <c r="C290" i="29"/>
  <c r="B290" i="29"/>
  <c r="K286" i="29"/>
  <c r="J286" i="29"/>
  <c r="I286" i="29"/>
  <c r="H286" i="29"/>
  <c r="D286" i="29"/>
  <c r="C286" i="29"/>
  <c r="B286" i="29"/>
  <c r="K282" i="29"/>
  <c r="J282" i="29"/>
  <c r="I282" i="29"/>
  <c r="H282" i="29"/>
  <c r="D282" i="29"/>
  <c r="C282" i="29"/>
  <c r="B282" i="29"/>
  <c r="K278" i="29"/>
  <c r="J278" i="29"/>
  <c r="I278" i="29"/>
  <c r="D278" i="29"/>
  <c r="C278" i="29"/>
  <c r="B278" i="29"/>
  <c r="K274" i="29"/>
  <c r="J274" i="29"/>
  <c r="I274" i="29"/>
  <c r="H274" i="29"/>
  <c r="D274" i="29"/>
  <c r="C274" i="29"/>
  <c r="B274" i="29"/>
  <c r="K270" i="29"/>
  <c r="J270" i="29"/>
  <c r="I270" i="29"/>
  <c r="H270" i="29"/>
  <c r="D270" i="29"/>
  <c r="C270" i="29"/>
  <c r="B270" i="29"/>
  <c r="K263" i="29"/>
  <c r="J263" i="29"/>
  <c r="I263" i="29"/>
  <c r="H263" i="29"/>
  <c r="H229" i="29" s="1"/>
  <c r="D263" i="29"/>
  <c r="C263" i="29"/>
  <c r="B263" i="29"/>
  <c r="K241" i="29"/>
  <c r="J241" i="29"/>
  <c r="I241" i="29"/>
  <c r="H241" i="29"/>
  <c r="D241" i="29"/>
  <c r="C241" i="29"/>
  <c r="B241" i="29"/>
  <c r="K237" i="29"/>
  <c r="J237" i="29"/>
  <c r="I237" i="29"/>
  <c r="H237" i="29"/>
  <c r="D237" i="29"/>
  <c r="C237" i="29"/>
  <c r="B237" i="29"/>
  <c r="K233" i="29"/>
  <c r="J233" i="29"/>
  <c r="I233" i="29"/>
  <c r="D233" i="29"/>
  <c r="C233" i="29"/>
  <c r="B233" i="29"/>
  <c r="K230" i="29"/>
  <c r="J230" i="29"/>
  <c r="I230" i="29"/>
  <c r="H230" i="29"/>
  <c r="D230" i="29"/>
  <c r="C230" i="29"/>
  <c r="B230" i="29"/>
  <c r="K227" i="29"/>
  <c r="J227" i="29"/>
  <c r="I227" i="29"/>
  <c r="H227" i="29"/>
  <c r="D227" i="29"/>
  <c r="C227" i="29"/>
  <c r="B227" i="29"/>
  <c r="K218" i="29"/>
  <c r="J218" i="29"/>
  <c r="I218" i="29"/>
  <c r="H218" i="29"/>
  <c r="D218" i="29"/>
  <c r="C218" i="29"/>
  <c r="B218" i="29"/>
  <c r="K201" i="29"/>
  <c r="J201" i="29"/>
  <c r="I201" i="29"/>
  <c r="H201" i="29"/>
  <c r="H174" i="29" s="1"/>
  <c r="D201" i="29"/>
  <c r="C201" i="29"/>
  <c r="B201" i="29"/>
  <c r="K194" i="29"/>
  <c r="J194" i="29"/>
  <c r="I194" i="29"/>
  <c r="D194" i="29"/>
  <c r="C194" i="29"/>
  <c r="B194" i="29"/>
  <c r="K175" i="29"/>
  <c r="J175" i="29"/>
  <c r="I175" i="29"/>
  <c r="D175" i="29"/>
  <c r="D174" i="29" s="1"/>
  <c r="C175" i="29"/>
  <c r="C174" i="29" s="1"/>
  <c r="B175" i="29"/>
  <c r="K168" i="29"/>
  <c r="J168" i="29"/>
  <c r="I168" i="29"/>
  <c r="H168" i="29"/>
  <c r="H161" i="29" s="1"/>
  <c r="D168" i="29"/>
  <c r="C168" i="29"/>
  <c r="B168" i="29"/>
  <c r="K162" i="29"/>
  <c r="J162" i="29"/>
  <c r="I162" i="29"/>
  <c r="D162" i="29"/>
  <c r="C162" i="29"/>
  <c r="B162" i="29"/>
  <c r="K158" i="29"/>
  <c r="J158" i="29"/>
  <c r="I158" i="29"/>
  <c r="H158" i="29"/>
  <c r="D158" i="29"/>
  <c r="C158" i="29"/>
  <c r="B158" i="29"/>
  <c r="K155" i="29"/>
  <c r="J155" i="29"/>
  <c r="I155" i="29"/>
  <c r="H155" i="29"/>
  <c r="D155" i="29"/>
  <c r="C155" i="29"/>
  <c r="B155" i="29"/>
  <c r="K153" i="29"/>
  <c r="J153" i="29"/>
  <c r="I153" i="29"/>
  <c r="H153" i="29"/>
  <c r="D153" i="29"/>
  <c r="C153" i="29"/>
  <c r="B153" i="29"/>
  <c r="K151" i="29"/>
  <c r="J151" i="29"/>
  <c r="I151" i="29"/>
  <c r="D151" i="29"/>
  <c r="C151" i="29"/>
  <c r="B151" i="29"/>
  <c r="K148" i="29"/>
  <c r="J148" i="29"/>
  <c r="I148" i="29"/>
  <c r="H148" i="29"/>
  <c r="H139" i="29" s="1"/>
  <c r="D148" i="29"/>
  <c r="C148" i="29"/>
  <c r="C139" i="29" s="1"/>
  <c r="B148" i="29"/>
  <c r="K140" i="29"/>
  <c r="K139" i="29" s="1"/>
  <c r="J140" i="29"/>
  <c r="J139" i="29" s="1"/>
  <c r="I140" i="29"/>
  <c r="D140" i="29"/>
  <c r="C140" i="29"/>
  <c r="B140" i="29"/>
  <c r="K137" i="29"/>
  <c r="J137" i="29"/>
  <c r="I137" i="29"/>
  <c r="H137" i="29"/>
  <c r="D137" i="29"/>
  <c r="C137" i="29"/>
  <c r="B137" i="29"/>
  <c r="K135" i="29"/>
  <c r="J135" i="29"/>
  <c r="I135" i="29"/>
  <c r="H135" i="29"/>
  <c r="D135" i="29"/>
  <c r="C135" i="29"/>
  <c r="B135" i="29"/>
  <c r="K131" i="29"/>
  <c r="J131" i="29"/>
  <c r="I131" i="29"/>
  <c r="H131" i="29"/>
  <c r="D131" i="29"/>
  <c r="C131" i="29"/>
  <c r="B131" i="29"/>
  <c r="K125" i="29"/>
  <c r="J125" i="29"/>
  <c r="I125" i="29"/>
  <c r="H125" i="29"/>
  <c r="D125" i="29"/>
  <c r="C125" i="29"/>
  <c r="B125" i="29"/>
  <c r="K119" i="29"/>
  <c r="J119" i="29"/>
  <c r="I119" i="29"/>
  <c r="D119" i="29"/>
  <c r="C119" i="29"/>
  <c r="B119" i="29"/>
  <c r="K114" i="29"/>
  <c r="J114" i="29"/>
  <c r="I114" i="29"/>
  <c r="H114" i="29"/>
  <c r="H109" i="29" s="1"/>
  <c r="D114" i="29"/>
  <c r="C114" i="29"/>
  <c r="B114" i="29"/>
  <c r="K110" i="29"/>
  <c r="J110" i="29"/>
  <c r="I110" i="29"/>
  <c r="D110" i="29"/>
  <c r="C110" i="29"/>
  <c r="B110" i="29"/>
  <c r="K102" i="29"/>
  <c r="J102" i="29"/>
  <c r="I102" i="29"/>
  <c r="D102" i="29"/>
  <c r="C102" i="29"/>
  <c r="B102" i="29"/>
  <c r="K98" i="29"/>
  <c r="J98" i="29"/>
  <c r="I98" i="29"/>
  <c r="D98" i="29"/>
  <c r="C98" i="29"/>
  <c r="B98" i="29"/>
  <c r="K92" i="29"/>
  <c r="J92" i="29"/>
  <c r="I92" i="29"/>
  <c r="D92" i="29"/>
  <c r="C92" i="29"/>
  <c r="B92" i="29"/>
  <c r="K86" i="29"/>
  <c r="J86" i="29"/>
  <c r="I86" i="29"/>
  <c r="H86" i="29"/>
  <c r="H72" i="29" s="1"/>
  <c r="D86" i="29"/>
  <c r="C86" i="29"/>
  <c r="B86" i="29"/>
  <c r="K73" i="29"/>
  <c r="K72" i="29" s="1"/>
  <c r="J73" i="29"/>
  <c r="D73" i="29"/>
  <c r="C73" i="29"/>
  <c r="B73" i="29"/>
  <c r="K67" i="29"/>
  <c r="J67" i="29"/>
  <c r="I67" i="29"/>
  <c r="H67" i="29"/>
  <c r="D67" i="29"/>
  <c r="C67" i="29"/>
  <c r="B67" i="29"/>
  <c r="K62" i="29"/>
  <c r="J62" i="29"/>
  <c r="I62" i="29"/>
  <c r="D62" i="29"/>
  <c r="C62" i="29"/>
  <c r="B62" i="29"/>
  <c r="K48" i="29"/>
  <c r="J48" i="29"/>
  <c r="D48" i="29"/>
  <c r="C48" i="29"/>
  <c r="B48" i="29"/>
  <c r="K35" i="29"/>
  <c r="J35" i="29"/>
  <c r="I35" i="29"/>
  <c r="H35" i="29"/>
  <c r="H4" i="29" s="1"/>
  <c r="D35" i="29"/>
  <c r="C35" i="29"/>
  <c r="B35" i="29"/>
  <c r="K17" i="29"/>
  <c r="J17" i="29"/>
  <c r="I17" i="29"/>
  <c r="D17" i="29"/>
  <c r="C17" i="29"/>
  <c r="B17" i="29"/>
  <c r="K11" i="29"/>
  <c r="J11" i="29"/>
  <c r="D11" i="29"/>
  <c r="C11" i="29"/>
  <c r="B11" i="29"/>
  <c r="K7" i="29"/>
  <c r="J7" i="29"/>
  <c r="D7" i="29"/>
  <c r="C7" i="29"/>
  <c r="B7" i="29"/>
  <c r="K5" i="29"/>
  <c r="J5" i="29"/>
  <c r="I5" i="29"/>
  <c r="D5" i="29"/>
  <c r="C5" i="29"/>
  <c r="B5" i="29"/>
  <c r="K36" i="28"/>
  <c r="J36" i="28"/>
  <c r="I36" i="28"/>
  <c r="B193" i="28"/>
  <c r="B188" i="28"/>
  <c r="B172" i="28"/>
  <c r="B139" i="28"/>
  <c r="B95" i="28"/>
  <c r="B38" i="28"/>
  <c r="B29" i="28"/>
  <c r="K4" i="28"/>
  <c r="K34" i="28" s="1"/>
  <c r="J4" i="28"/>
  <c r="J34" i="28" s="1"/>
  <c r="I4" i="28"/>
  <c r="I34" i="28" s="1"/>
  <c r="H4" i="28"/>
  <c r="H34" i="28" s="1"/>
  <c r="G4" i="28"/>
  <c r="F4" i="28"/>
  <c r="E4" i="28"/>
  <c r="D4" i="28"/>
  <c r="C4" i="28"/>
  <c r="B18" i="28"/>
  <c r="B118" i="29" l="1"/>
  <c r="K370" i="29"/>
  <c r="I72" i="29"/>
  <c r="C464" i="29"/>
  <c r="B150" i="29"/>
  <c r="H298" i="29"/>
  <c r="I118" i="29"/>
  <c r="K118" i="29"/>
  <c r="B139" i="29"/>
  <c r="H118" i="29"/>
  <c r="H172" i="29" s="1"/>
  <c r="C109" i="29"/>
  <c r="C416" i="29"/>
  <c r="C449" i="29" s="1"/>
  <c r="H150" i="29"/>
  <c r="K326" i="29"/>
  <c r="B37" i="28"/>
  <c r="B36" i="28" s="1"/>
  <c r="B72" i="29"/>
  <c r="D109" i="29"/>
  <c r="G370" i="29"/>
  <c r="D400" i="29"/>
  <c r="I370" i="29"/>
  <c r="J150" i="29"/>
  <c r="I416" i="29"/>
  <c r="I449" i="29" s="1"/>
  <c r="I109" i="29"/>
  <c r="I174" i="29"/>
  <c r="G414" i="29"/>
  <c r="G450" i="29" s="1"/>
  <c r="G465" i="29" s="1"/>
  <c r="D298" i="29"/>
  <c r="C370" i="29"/>
  <c r="D139" i="29"/>
  <c r="I139" i="29"/>
  <c r="D150" i="29"/>
  <c r="I150" i="29"/>
  <c r="C150" i="29"/>
  <c r="K150" i="29"/>
  <c r="J326" i="29"/>
  <c r="I326" i="29"/>
  <c r="C326" i="29"/>
  <c r="J400" i="29"/>
  <c r="C400" i="29"/>
  <c r="H400" i="29"/>
  <c r="D72" i="29"/>
  <c r="K109" i="29"/>
  <c r="C118" i="29"/>
  <c r="J161" i="29"/>
  <c r="I229" i="29"/>
  <c r="I295" i="29" s="1"/>
  <c r="J370" i="29"/>
  <c r="B400" i="29"/>
  <c r="K400" i="29"/>
  <c r="J416" i="29"/>
  <c r="J449" i="29" s="1"/>
  <c r="B4" i="29"/>
  <c r="F172" i="29"/>
  <c r="I298" i="29"/>
  <c r="I414" i="29" s="1"/>
  <c r="B326" i="29"/>
  <c r="H326" i="29"/>
  <c r="H370" i="29"/>
  <c r="H414" i="29" s="1"/>
  <c r="H450" i="29" s="1"/>
  <c r="B416" i="29"/>
  <c r="B449" i="29" s="1"/>
  <c r="H464" i="29"/>
  <c r="H295" i="29"/>
  <c r="J4" i="29"/>
  <c r="I4" i="29"/>
  <c r="J118" i="29"/>
  <c r="D161" i="29"/>
  <c r="K4" i="29"/>
  <c r="K172" i="29" s="1"/>
  <c r="J109" i="29"/>
  <c r="B161" i="29"/>
  <c r="K161" i="29"/>
  <c r="F295" i="29"/>
  <c r="J174" i="29"/>
  <c r="D229" i="29"/>
  <c r="D295" i="29" s="1"/>
  <c r="F414" i="29"/>
  <c r="F450" i="29" s="1"/>
  <c r="J298" i="29"/>
  <c r="D326" i="29"/>
  <c r="D370" i="29"/>
  <c r="D416" i="29"/>
  <c r="D449" i="29" s="1"/>
  <c r="C4" i="29"/>
  <c r="G172" i="29"/>
  <c r="J72" i="29"/>
  <c r="C72" i="29"/>
  <c r="B109" i="29"/>
  <c r="C161" i="29"/>
  <c r="B174" i="29"/>
  <c r="G295" i="29"/>
  <c r="K174" i="29"/>
  <c r="B298" i="29"/>
  <c r="B464" i="29"/>
  <c r="G464" i="29"/>
  <c r="K464" i="29"/>
  <c r="I464" i="29"/>
  <c r="D464" i="29"/>
  <c r="F464" i="29"/>
  <c r="J464" i="29"/>
  <c r="C298" i="29"/>
  <c r="C414" i="29" s="1"/>
  <c r="C450" i="29" s="1"/>
  <c r="C465" i="29" s="1"/>
  <c r="K298" i="29"/>
  <c r="C229" i="29"/>
  <c r="C295" i="29" s="1"/>
  <c r="K229" i="29"/>
  <c r="K295" i="29" s="1"/>
  <c r="B229" i="29"/>
  <c r="B295" i="29" s="1"/>
  <c r="J229" i="29"/>
  <c r="I161" i="29"/>
  <c r="D118" i="29"/>
  <c r="E172" i="29"/>
  <c r="E296" i="29" s="1"/>
  <c r="D4" i="29"/>
  <c r="I172" i="29" l="1"/>
  <c r="I296" i="29" s="1"/>
  <c r="H465" i="29"/>
  <c r="K296" i="29"/>
  <c r="D414" i="29"/>
  <c r="D450" i="29" s="1"/>
  <c r="I450" i="29"/>
  <c r="I465" i="29" s="1"/>
  <c r="K414" i="29"/>
  <c r="K450" i="29" s="1"/>
  <c r="K465" i="29" s="1"/>
  <c r="J172" i="29"/>
  <c r="J296" i="29" s="1"/>
  <c r="J414" i="29"/>
  <c r="J450" i="29" s="1"/>
  <c r="J465" i="29" s="1"/>
  <c r="F296" i="29"/>
  <c r="G296" i="29"/>
  <c r="B414" i="29"/>
  <c r="B450" i="29" s="1"/>
  <c r="B465" i="29" s="1"/>
  <c r="B172" i="29"/>
  <c r="B296" i="29" s="1"/>
  <c r="B466" i="29" s="1"/>
  <c r="C172" i="29"/>
  <c r="C296" i="29" s="1"/>
  <c r="C466" i="29" s="1"/>
  <c r="J295" i="29"/>
  <c r="I466" i="29"/>
  <c r="D465" i="29"/>
  <c r="F465" i="29"/>
  <c r="D172" i="29"/>
  <c r="D296" i="29" s="1"/>
  <c r="CO14" i="25"/>
  <c r="CH14" i="25"/>
  <c r="CA14" i="25"/>
  <c r="BQ14" i="25"/>
  <c r="BJ14" i="25"/>
  <c r="BC14" i="25"/>
  <c r="AM14" i="25"/>
  <c r="AF14" i="25"/>
  <c r="Y14" i="25"/>
  <c r="O14" i="25"/>
  <c r="H14" i="25"/>
  <c r="E14" i="25"/>
  <c r="B14" i="25"/>
  <c r="J466" i="29" l="1"/>
  <c r="K466" i="29"/>
  <c r="F466" i="29"/>
  <c r="G466" i="29"/>
  <c r="H296" i="29"/>
  <c r="H466" i="29" s="1"/>
  <c r="D466" i="29"/>
  <c r="L14" i="25"/>
  <c r="S14" i="25" s="1"/>
  <c r="AC14" i="25" s="1"/>
  <c r="AJ14" i="25" s="1"/>
  <c r="AQ14" i="25" s="1"/>
  <c r="BG14" i="25" s="1"/>
  <c r="BN14" i="25" s="1"/>
  <c r="BU14" i="25" s="1"/>
  <c r="CE14" i="25" s="1"/>
  <c r="CL14" i="25" s="1"/>
  <c r="CS14" i="25" s="1"/>
  <c r="CD14" i="25" l="1"/>
  <c r="BF14" i="25"/>
  <c r="V14" i="25"/>
  <c r="X14" i="25" s="1"/>
  <c r="R14" i="25"/>
  <c r="K14" i="25" l="1"/>
  <c r="AB14" i="25"/>
  <c r="BM14" i="25"/>
  <c r="CR14" i="25"/>
  <c r="AT14" i="25"/>
  <c r="AV14" i="25" s="1"/>
  <c r="BT14" i="25"/>
  <c r="CK14" i="25"/>
  <c r="AI14" i="25"/>
  <c r="AP14" i="25"/>
  <c r="AZ14" i="25" l="1"/>
  <c r="BX14" i="25" s="1"/>
  <c r="BZ14" i="25" s="1"/>
  <c r="AW14" i="25"/>
  <c r="CV14" i="25" l="1"/>
  <c r="CX14" i="25" s="1"/>
  <c r="BB14" i="25"/>
  <c r="E15" i="20"/>
  <c r="C15" i="20" l="1"/>
  <c r="N17" i="29" l="1"/>
  <c r="M17" i="29"/>
  <c r="L17" i="29"/>
  <c r="L411" i="29"/>
  <c r="M411" i="29"/>
  <c r="N411" i="29"/>
  <c r="L363" i="29"/>
  <c r="M363" i="29"/>
  <c r="N363" i="29"/>
  <c r="E204" i="28" l="1"/>
  <c r="E206" i="28" s="1"/>
  <c r="D204" i="28" l="1"/>
  <c r="D206" i="28" s="1"/>
  <c r="C204" i="28"/>
  <c r="C206" i="28" s="1"/>
  <c r="G204" i="28"/>
  <c r="G206" i="28" s="1"/>
  <c r="F204" i="28"/>
  <c r="F206" i="28" s="1"/>
  <c r="K204" i="28"/>
  <c r="K206" i="28" s="1"/>
  <c r="I204" i="28"/>
  <c r="I206" i="28" s="1"/>
  <c r="H204" i="28"/>
  <c r="H206" i="28" s="1"/>
  <c r="J204" i="28"/>
  <c r="J206" i="28" s="1"/>
  <c r="I90" i="20" l="1"/>
  <c r="I77" i="20"/>
  <c r="I9" i="20"/>
  <c r="K97" i="20" l="1"/>
  <c r="K91" i="20"/>
  <c r="J97" i="20"/>
  <c r="J91" i="20"/>
  <c r="H97" i="20"/>
  <c r="H91" i="20"/>
  <c r="F97" i="20"/>
  <c r="F91" i="20"/>
  <c r="F15" i="20"/>
  <c r="D97" i="20"/>
  <c r="D91" i="20"/>
  <c r="CO138" i="25"/>
  <c r="CO134" i="25"/>
  <c r="CO133" i="25"/>
  <c r="CO132" i="25"/>
  <c r="CO131" i="25"/>
  <c r="CO130" i="25"/>
  <c r="CO129" i="25"/>
  <c r="CO128" i="25"/>
  <c r="CO127" i="25"/>
  <c r="CO126" i="25"/>
  <c r="CO123" i="25"/>
  <c r="CO122" i="25"/>
  <c r="CO121" i="25"/>
  <c r="CO120" i="25"/>
  <c r="CO119" i="25"/>
  <c r="CO118" i="25"/>
  <c r="CO117" i="25"/>
  <c r="CO111" i="25"/>
  <c r="CO110" i="25"/>
  <c r="CO106" i="25"/>
  <c r="CO105" i="25"/>
  <c r="CO102" i="25"/>
  <c r="CO101" i="25"/>
  <c r="CO100" i="25"/>
  <c r="CO99" i="25"/>
  <c r="CO98" i="25"/>
  <c r="CO97" i="25"/>
  <c r="CO96" i="25"/>
  <c r="CO95" i="25"/>
  <c r="CO94" i="25"/>
  <c r="CO91" i="25"/>
  <c r="CO90" i="25"/>
  <c r="CO89" i="25"/>
  <c r="CO88" i="25"/>
  <c r="CO87" i="25"/>
  <c r="CO86" i="25"/>
  <c r="CO85" i="25"/>
  <c r="CO84" i="25"/>
  <c r="CO81" i="25"/>
  <c r="CO80" i="25"/>
  <c r="CO79" i="25"/>
  <c r="CO78" i="25"/>
  <c r="CO77" i="25"/>
  <c r="CO76" i="25"/>
  <c r="CO75" i="25"/>
  <c r="CO74" i="25"/>
  <c r="CO73" i="25"/>
  <c r="CO72" i="25"/>
  <c r="CO71" i="25"/>
  <c r="CO70" i="25"/>
  <c r="CO69" i="25"/>
  <c r="CO64" i="25"/>
  <c r="CO63" i="25"/>
  <c r="CO62" i="25"/>
  <c r="CO61" i="25"/>
  <c r="CO60" i="25"/>
  <c r="CO59" i="25"/>
  <c r="CO58" i="25"/>
  <c r="CO57" i="25"/>
  <c r="CO56" i="25"/>
  <c r="CO55" i="25"/>
  <c r="CO54" i="25"/>
  <c r="CO53" i="25"/>
  <c r="CO52" i="25"/>
  <c r="CO51" i="25"/>
  <c r="CO50" i="25"/>
  <c r="CO49" i="25"/>
  <c r="CO48" i="25"/>
  <c r="CO47" i="25"/>
  <c r="CO46" i="25"/>
  <c r="CO45" i="25"/>
  <c r="CO44" i="25"/>
  <c r="CO43" i="25"/>
  <c r="CO42" i="25"/>
  <c r="CO41" i="25"/>
  <c r="CO40" i="25"/>
  <c r="CO30" i="25"/>
  <c r="CO29" i="25" s="1"/>
  <c r="CO27" i="25"/>
  <c r="CO24" i="25"/>
  <c r="CO23" i="25" s="1"/>
  <c r="CO19" i="25"/>
  <c r="CO18" i="25" s="1"/>
  <c r="CO16" i="25"/>
  <c r="CO15" i="25" s="1"/>
  <c r="CO13" i="25"/>
  <c r="CO12" i="25"/>
  <c r="CO11" i="25"/>
  <c r="CO8" i="25"/>
  <c r="CO7" i="25"/>
  <c r="CO6" i="25"/>
  <c r="CH138" i="25"/>
  <c r="CH134" i="25"/>
  <c r="CR134" i="25" s="1"/>
  <c r="CH133" i="25"/>
  <c r="CR133" i="25" s="1"/>
  <c r="CH132" i="25"/>
  <c r="CH131" i="25"/>
  <c r="CH130" i="25"/>
  <c r="CR130" i="25" s="1"/>
  <c r="CH129" i="25"/>
  <c r="CH128" i="25"/>
  <c r="CH127" i="25"/>
  <c r="CH126" i="25"/>
  <c r="CH123" i="25"/>
  <c r="CR123" i="25" s="1"/>
  <c r="CH122" i="25"/>
  <c r="CR122" i="25" s="1"/>
  <c r="CH121" i="25"/>
  <c r="CH120" i="25"/>
  <c r="CR120" i="25" s="1"/>
  <c r="CH119" i="25"/>
  <c r="CH118" i="25"/>
  <c r="CR118" i="25" s="1"/>
  <c r="CH117" i="25"/>
  <c r="CH111" i="25"/>
  <c r="CH110" i="25"/>
  <c r="CH106" i="25"/>
  <c r="CR106" i="25" s="1"/>
  <c r="CH105" i="25"/>
  <c r="CH102" i="25"/>
  <c r="CR102" i="25" s="1"/>
  <c r="CH101" i="25"/>
  <c r="CH100" i="25"/>
  <c r="CH99" i="25"/>
  <c r="CH98" i="25"/>
  <c r="CH97" i="25"/>
  <c r="CH96" i="25"/>
  <c r="CR96" i="25" s="1"/>
  <c r="CH95" i="25"/>
  <c r="CH94" i="25"/>
  <c r="CH91" i="25"/>
  <c r="CH90" i="25"/>
  <c r="CH89" i="25"/>
  <c r="CH88" i="25"/>
  <c r="CR88" i="25" s="1"/>
  <c r="CH87" i="25"/>
  <c r="CR87" i="25" s="1"/>
  <c r="CH86" i="25"/>
  <c r="CR86" i="25" s="1"/>
  <c r="CH85" i="25"/>
  <c r="CH84" i="25"/>
  <c r="CR84" i="25" s="1"/>
  <c r="CH81" i="25"/>
  <c r="CH80" i="25"/>
  <c r="CH79" i="25"/>
  <c r="CH78" i="25"/>
  <c r="CH77" i="25"/>
  <c r="CH76" i="25"/>
  <c r="CH75" i="25"/>
  <c r="CH74" i="25"/>
  <c r="CR74" i="25" s="1"/>
  <c r="CH73" i="25"/>
  <c r="CH72" i="25"/>
  <c r="CR72" i="25" s="1"/>
  <c r="CH71" i="25"/>
  <c r="CH70" i="25"/>
  <c r="CH69" i="25"/>
  <c r="CR65" i="25"/>
  <c r="CH64" i="25"/>
  <c r="CH63" i="25"/>
  <c r="CR63" i="25" s="1"/>
  <c r="CH62" i="25"/>
  <c r="CR62" i="25" s="1"/>
  <c r="CH61" i="25"/>
  <c r="CH60" i="25"/>
  <c r="CH59" i="25"/>
  <c r="CH58" i="25"/>
  <c r="CH57" i="25"/>
  <c r="CH56" i="25"/>
  <c r="CR56" i="25" s="1"/>
  <c r="CH55" i="25"/>
  <c r="CR55" i="25" s="1"/>
  <c r="CH54" i="25"/>
  <c r="CR54" i="25" s="1"/>
  <c r="CH53" i="25"/>
  <c r="CR53" i="25" s="1"/>
  <c r="CH52" i="25"/>
  <c r="CR52" i="25" s="1"/>
  <c r="CH51" i="25"/>
  <c r="CR51" i="25" s="1"/>
  <c r="CH50" i="25"/>
  <c r="CH49" i="25"/>
  <c r="CR49" i="25" s="1"/>
  <c r="CH48" i="25"/>
  <c r="CH47" i="25"/>
  <c r="CR47" i="25" s="1"/>
  <c r="CH46" i="25"/>
  <c r="CR46" i="25" s="1"/>
  <c r="CH45" i="25"/>
  <c r="CH44" i="25"/>
  <c r="CH43" i="25"/>
  <c r="CH42" i="25"/>
  <c r="CH41" i="25"/>
  <c r="CH40" i="25"/>
  <c r="CR40" i="25" s="1"/>
  <c r="CH30" i="25"/>
  <c r="CR30" i="25" s="1"/>
  <c r="CH27" i="25"/>
  <c r="CR27" i="25" s="1"/>
  <c r="CH24" i="25"/>
  <c r="CH23" i="25" s="1"/>
  <c r="CH19" i="25"/>
  <c r="CH16" i="25"/>
  <c r="CR16" i="25" s="1"/>
  <c r="CH13" i="25"/>
  <c r="CR13" i="25" s="1"/>
  <c r="CH12" i="25"/>
  <c r="CR12" i="25" s="1"/>
  <c r="CH11" i="25"/>
  <c r="CH8" i="25"/>
  <c r="CH7" i="25"/>
  <c r="CR7" i="25" s="1"/>
  <c r="CH6" i="25"/>
  <c r="CA138" i="25"/>
  <c r="CA134" i="25"/>
  <c r="CA133" i="25"/>
  <c r="CK133" i="25" s="1"/>
  <c r="CA132" i="25"/>
  <c r="CA131" i="25"/>
  <c r="CK131" i="25" s="1"/>
  <c r="CA130" i="25"/>
  <c r="CA129" i="25"/>
  <c r="CA128" i="25"/>
  <c r="CA127" i="25"/>
  <c r="CK127" i="25" s="1"/>
  <c r="CA126" i="25"/>
  <c r="CA123" i="25"/>
  <c r="CK123" i="25" s="1"/>
  <c r="CA122" i="25"/>
  <c r="CA121" i="25"/>
  <c r="CA120" i="25"/>
  <c r="CK120" i="25" s="1"/>
  <c r="CA119" i="25"/>
  <c r="CA118" i="25"/>
  <c r="CA117" i="25"/>
  <c r="CA111" i="25"/>
  <c r="CA110" i="25"/>
  <c r="CK110" i="25" s="1"/>
  <c r="CA106" i="25"/>
  <c r="CA105" i="25"/>
  <c r="CK105" i="25" s="1"/>
  <c r="CA102" i="25"/>
  <c r="CA101" i="25"/>
  <c r="CK101" i="25" s="1"/>
  <c r="CA100" i="25"/>
  <c r="CA99" i="25"/>
  <c r="CK99" i="25" s="1"/>
  <c r="CA98" i="25"/>
  <c r="CA97" i="25"/>
  <c r="CK97" i="25" s="1"/>
  <c r="CA96" i="25"/>
  <c r="CK96" i="25" s="1"/>
  <c r="CA95" i="25"/>
  <c r="CA94" i="25"/>
  <c r="CA91" i="25"/>
  <c r="CA90" i="25"/>
  <c r="CA89" i="25"/>
  <c r="CA88" i="25"/>
  <c r="CA87" i="25"/>
  <c r="CK87" i="25" s="1"/>
  <c r="CA86" i="25"/>
  <c r="CA85" i="25"/>
  <c r="CA84" i="25"/>
  <c r="CK84" i="25" s="1"/>
  <c r="CA81" i="25"/>
  <c r="CK81" i="25" s="1"/>
  <c r="CA80" i="25"/>
  <c r="CK80" i="25" s="1"/>
  <c r="CA79" i="25"/>
  <c r="CK79" i="25" s="1"/>
  <c r="CA78" i="25"/>
  <c r="CK78" i="25" s="1"/>
  <c r="CA77" i="25"/>
  <c r="CA76" i="25"/>
  <c r="CK76" i="25" s="1"/>
  <c r="CA75" i="25"/>
  <c r="CA74" i="25"/>
  <c r="CK74" i="25" s="1"/>
  <c r="CA73" i="25"/>
  <c r="CK73" i="25" s="1"/>
  <c r="CA72" i="25"/>
  <c r="CA71" i="25"/>
  <c r="CA70" i="25"/>
  <c r="CA69" i="25"/>
  <c r="CK69" i="25" s="1"/>
  <c r="CK65" i="25"/>
  <c r="CA64" i="25"/>
  <c r="CK64" i="25" s="1"/>
  <c r="CA63" i="25"/>
  <c r="CK63" i="25" s="1"/>
  <c r="CA62" i="25"/>
  <c r="CA61" i="25"/>
  <c r="CA60" i="25"/>
  <c r="CK60" i="25" s="1"/>
  <c r="CA59" i="25"/>
  <c r="CK59" i="25" s="1"/>
  <c r="CA58" i="25"/>
  <c r="CA57" i="25"/>
  <c r="CK57" i="25" s="1"/>
  <c r="CA56" i="25"/>
  <c r="CA55" i="25"/>
  <c r="CA54" i="25"/>
  <c r="CA53" i="25"/>
  <c r="CA52" i="25"/>
  <c r="CA51" i="25"/>
  <c r="CA50" i="25"/>
  <c r="CA49" i="25"/>
  <c r="CA48" i="25"/>
  <c r="CK48" i="25" s="1"/>
  <c r="CA47" i="25"/>
  <c r="CK47" i="25" s="1"/>
  <c r="CA46" i="25"/>
  <c r="CA45" i="25"/>
  <c r="CA44" i="25"/>
  <c r="CK44" i="25" s="1"/>
  <c r="CA43" i="25"/>
  <c r="CK43" i="25" s="1"/>
  <c r="CA42" i="25"/>
  <c r="CA41" i="25"/>
  <c r="CA40" i="25"/>
  <c r="CA30" i="25"/>
  <c r="CA27" i="25"/>
  <c r="CA26" i="25" s="1"/>
  <c r="CA24" i="25"/>
  <c r="CA19" i="25"/>
  <c r="CA18" i="25" s="1"/>
  <c r="CA16" i="25"/>
  <c r="CA13" i="25"/>
  <c r="CA12" i="25"/>
  <c r="CA11" i="25"/>
  <c r="CK11" i="25" s="1"/>
  <c r="CA8" i="25"/>
  <c r="CA7" i="25"/>
  <c r="CK7" i="25" s="1"/>
  <c r="CA6" i="25"/>
  <c r="BQ138" i="25"/>
  <c r="CD138" i="25" s="1"/>
  <c r="BQ134" i="25"/>
  <c r="BQ133" i="25"/>
  <c r="CD133" i="25" s="1"/>
  <c r="BQ132" i="25"/>
  <c r="CD132" i="25" s="1"/>
  <c r="BQ131" i="25"/>
  <c r="BQ130" i="25"/>
  <c r="BQ129" i="25"/>
  <c r="BQ128" i="25"/>
  <c r="BQ127" i="25"/>
  <c r="BQ126" i="25"/>
  <c r="BQ123" i="25"/>
  <c r="BQ122" i="25"/>
  <c r="BQ121" i="25"/>
  <c r="CD121" i="25" s="1"/>
  <c r="BQ120" i="25"/>
  <c r="CD120" i="25" s="1"/>
  <c r="BQ119" i="25"/>
  <c r="BQ118" i="25"/>
  <c r="CD118" i="25" s="1"/>
  <c r="BQ117" i="25"/>
  <c r="BQ111" i="25"/>
  <c r="BT111" i="25" s="1"/>
  <c r="BQ110" i="25"/>
  <c r="BT110" i="25" s="1"/>
  <c r="BQ106" i="25"/>
  <c r="BQ105" i="25"/>
  <c r="BQ102" i="25"/>
  <c r="BQ101" i="25"/>
  <c r="BQ100" i="25"/>
  <c r="BQ99" i="25"/>
  <c r="BQ98" i="25"/>
  <c r="BQ97" i="25"/>
  <c r="BQ96" i="25"/>
  <c r="BQ95" i="25"/>
  <c r="CD95" i="25" s="1"/>
  <c r="BQ94" i="25"/>
  <c r="BQ91" i="25"/>
  <c r="BQ90" i="25"/>
  <c r="CD90" i="25" s="1"/>
  <c r="BQ89" i="25"/>
  <c r="BQ88" i="25"/>
  <c r="CD88" i="25" s="1"/>
  <c r="BQ87" i="25"/>
  <c r="BQ86" i="25"/>
  <c r="CD86" i="25" s="1"/>
  <c r="BQ85" i="25"/>
  <c r="BQ84" i="25"/>
  <c r="BQ81" i="25"/>
  <c r="BQ80" i="25"/>
  <c r="BQ79" i="25"/>
  <c r="BQ78" i="25"/>
  <c r="BQ77" i="25"/>
  <c r="BQ76" i="25"/>
  <c r="BQ75" i="25"/>
  <c r="CD75" i="25" s="1"/>
  <c r="BQ74" i="25"/>
  <c r="BQ73" i="25"/>
  <c r="BQ72" i="25"/>
  <c r="BQ71" i="25"/>
  <c r="CD71" i="25" s="1"/>
  <c r="BQ70" i="25"/>
  <c r="CD70" i="25" s="1"/>
  <c r="BQ69" i="25"/>
  <c r="CD69" i="25" s="1"/>
  <c r="BQ64" i="25"/>
  <c r="CD64" i="25" s="1"/>
  <c r="BQ63" i="25"/>
  <c r="BQ62" i="25"/>
  <c r="BQ61" i="25"/>
  <c r="BQ60" i="25"/>
  <c r="BQ59" i="25"/>
  <c r="BQ58" i="25"/>
  <c r="BQ57" i="25"/>
  <c r="BQ56" i="25"/>
  <c r="CD56" i="25" s="1"/>
  <c r="BQ55" i="25"/>
  <c r="BQ54" i="25"/>
  <c r="BQ53" i="25"/>
  <c r="BQ52" i="25"/>
  <c r="CD52" i="25" s="1"/>
  <c r="BQ51" i="25"/>
  <c r="BQ50" i="25"/>
  <c r="BQ49" i="25"/>
  <c r="BQ48" i="25"/>
  <c r="CD48" i="25" s="1"/>
  <c r="BQ47" i="25"/>
  <c r="BQ46" i="25"/>
  <c r="BQ45" i="25"/>
  <c r="BQ44" i="25"/>
  <c r="BQ43" i="25"/>
  <c r="BQ42" i="25"/>
  <c r="BQ41" i="25"/>
  <c r="BQ40" i="25"/>
  <c r="CD40" i="25" s="1"/>
  <c r="BQ30" i="25"/>
  <c r="BQ27" i="25"/>
  <c r="BQ26" i="25" s="1"/>
  <c r="BQ24" i="25"/>
  <c r="BQ23" i="25" s="1"/>
  <c r="BQ19" i="25"/>
  <c r="BQ18" i="25" s="1"/>
  <c r="BQ16" i="25"/>
  <c r="BQ13" i="25"/>
  <c r="CD13" i="25" s="1"/>
  <c r="BQ12" i="25"/>
  <c r="BQ11" i="25"/>
  <c r="BQ8" i="25"/>
  <c r="BQ7" i="25"/>
  <c r="CD7" i="25" s="1"/>
  <c r="BQ6" i="25"/>
  <c r="BJ138" i="25"/>
  <c r="BJ134" i="25"/>
  <c r="BJ133" i="25"/>
  <c r="BJ132" i="25"/>
  <c r="BJ131" i="25"/>
  <c r="BJ130" i="25"/>
  <c r="BJ129" i="25"/>
  <c r="BT129" i="25" s="1"/>
  <c r="BJ128" i="25"/>
  <c r="BJ127" i="25"/>
  <c r="BJ126" i="25"/>
  <c r="BJ123" i="25"/>
  <c r="BT123" i="25" s="1"/>
  <c r="BJ122" i="25"/>
  <c r="BJ121" i="25"/>
  <c r="BT121" i="25" s="1"/>
  <c r="BJ120" i="25"/>
  <c r="BJ119" i="25"/>
  <c r="BT119" i="25" s="1"/>
  <c r="BJ118" i="25"/>
  <c r="BJ117" i="25"/>
  <c r="BJ111" i="25"/>
  <c r="BJ110" i="25"/>
  <c r="BJ106" i="25"/>
  <c r="BJ105" i="25"/>
  <c r="BJ102" i="25"/>
  <c r="BJ101" i="25"/>
  <c r="BJ100" i="25"/>
  <c r="BJ99" i="25"/>
  <c r="BJ98" i="25"/>
  <c r="BJ97" i="25"/>
  <c r="BT97" i="25" s="1"/>
  <c r="BJ96" i="25"/>
  <c r="BJ95" i="25"/>
  <c r="BJ94" i="25"/>
  <c r="BJ91" i="25"/>
  <c r="BT91" i="25" s="1"/>
  <c r="BJ90" i="25"/>
  <c r="BJ89" i="25"/>
  <c r="BJ88" i="25"/>
  <c r="BJ87" i="25"/>
  <c r="BJ86" i="25"/>
  <c r="BJ85" i="25"/>
  <c r="BJ84" i="25"/>
  <c r="BJ81" i="25"/>
  <c r="BJ80" i="25"/>
  <c r="BJ79" i="25"/>
  <c r="BJ78" i="25"/>
  <c r="BJ77" i="25"/>
  <c r="BT77" i="25" s="1"/>
  <c r="BJ76" i="25"/>
  <c r="BJ75" i="25"/>
  <c r="BJ74" i="25"/>
  <c r="BJ73" i="25"/>
  <c r="BT73" i="25" s="1"/>
  <c r="BJ72" i="25"/>
  <c r="BJ71" i="25"/>
  <c r="BJ70" i="25"/>
  <c r="BJ69" i="25"/>
  <c r="BT65" i="25"/>
  <c r="BJ64" i="25"/>
  <c r="BJ63" i="25"/>
  <c r="BT63" i="25" s="1"/>
  <c r="BJ62" i="25"/>
  <c r="BT62" i="25" s="1"/>
  <c r="BJ61" i="25"/>
  <c r="BJ60" i="25"/>
  <c r="BT60" i="25" s="1"/>
  <c r="BJ59" i="25"/>
  <c r="BJ58" i="25"/>
  <c r="BT58" i="25" s="1"/>
  <c r="BJ57" i="25"/>
  <c r="BT57" i="25" s="1"/>
  <c r="BJ56" i="25"/>
  <c r="BT56" i="25" s="1"/>
  <c r="BJ55" i="25"/>
  <c r="BJ54" i="25"/>
  <c r="BT54" i="25" s="1"/>
  <c r="BJ53" i="25"/>
  <c r="BJ52" i="25"/>
  <c r="BJ51" i="25"/>
  <c r="BJ50" i="25"/>
  <c r="BJ49" i="25"/>
  <c r="BJ48" i="25"/>
  <c r="BJ47" i="25"/>
  <c r="BT47" i="25" s="1"/>
  <c r="BJ46" i="25"/>
  <c r="BT46" i="25" s="1"/>
  <c r="BJ45" i="25"/>
  <c r="BT45" i="25" s="1"/>
  <c r="BJ44" i="25"/>
  <c r="BT44" i="25" s="1"/>
  <c r="BJ43" i="25"/>
  <c r="BJ42" i="25"/>
  <c r="BT42" i="25" s="1"/>
  <c r="BJ41" i="25"/>
  <c r="BT41" i="25" s="1"/>
  <c r="BJ40" i="25"/>
  <c r="BT40" i="25" s="1"/>
  <c r="BJ30" i="25"/>
  <c r="BJ27" i="25"/>
  <c r="BT27" i="25" s="1"/>
  <c r="BJ24" i="25"/>
  <c r="BJ23" i="25" s="1"/>
  <c r="BJ19" i="25"/>
  <c r="BJ16" i="25"/>
  <c r="BJ13" i="25"/>
  <c r="BJ12" i="25"/>
  <c r="BJ11" i="25"/>
  <c r="BJ8" i="25"/>
  <c r="BJ7" i="25"/>
  <c r="BT7" i="25" s="1"/>
  <c r="BJ6" i="25"/>
  <c r="BC138" i="25"/>
  <c r="BM138" i="25" s="1"/>
  <c r="BC134" i="25"/>
  <c r="BC133" i="25"/>
  <c r="BM133" i="25" s="1"/>
  <c r="BC132" i="25"/>
  <c r="BM132" i="25" s="1"/>
  <c r="BC131" i="25"/>
  <c r="BM131" i="25" s="1"/>
  <c r="BC130" i="25"/>
  <c r="BC129" i="25"/>
  <c r="BM129" i="25" s="1"/>
  <c r="BC128" i="25"/>
  <c r="BC127" i="25"/>
  <c r="BC126" i="25"/>
  <c r="BC123" i="25"/>
  <c r="BC122" i="25"/>
  <c r="BC121" i="25"/>
  <c r="BC120" i="25"/>
  <c r="BC119" i="25"/>
  <c r="BM119" i="25" s="1"/>
  <c r="BC118" i="25"/>
  <c r="BC117" i="25"/>
  <c r="BC111" i="25"/>
  <c r="BC110" i="25"/>
  <c r="BM110" i="25" s="1"/>
  <c r="BC106" i="25"/>
  <c r="BC105" i="25"/>
  <c r="BM105" i="25" s="1"/>
  <c r="BC102" i="25"/>
  <c r="BC101" i="25"/>
  <c r="BM101" i="25" s="1"/>
  <c r="BC100" i="25"/>
  <c r="BC99" i="25"/>
  <c r="BC98" i="25"/>
  <c r="BC97" i="25"/>
  <c r="BC96" i="25"/>
  <c r="BC95" i="25"/>
  <c r="BC94" i="25"/>
  <c r="BC91" i="25"/>
  <c r="BM91" i="25" s="1"/>
  <c r="BC90" i="25"/>
  <c r="BM90" i="25" s="1"/>
  <c r="BC89" i="25"/>
  <c r="BC88" i="25"/>
  <c r="BC87" i="25"/>
  <c r="BM87" i="25" s="1"/>
  <c r="BC86" i="25"/>
  <c r="BM86" i="25" s="1"/>
  <c r="BC85" i="25"/>
  <c r="BC84" i="25"/>
  <c r="BC81" i="25"/>
  <c r="BC80" i="25"/>
  <c r="BC79" i="25"/>
  <c r="BC78" i="25"/>
  <c r="BC77" i="25"/>
  <c r="BC76" i="25"/>
  <c r="BC75" i="25"/>
  <c r="BC74" i="25"/>
  <c r="BM74" i="25" s="1"/>
  <c r="BC73" i="25"/>
  <c r="BC72" i="25"/>
  <c r="BC71" i="25"/>
  <c r="BC70" i="25"/>
  <c r="BM70" i="25" s="1"/>
  <c r="BC69" i="25"/>
  <c r="BM69" i="25" s="1"/>
  <c r="BM65" i="25"/>
  <c r="BC64" i="25"/>
  <c r="BM64" i="25" s="1"/>
  <c r="BC63" i="25"/>
  <c r="BC62" i="25"/>
  <c r="BC61" i="25"/>
  <c r="BC60" i="25"/>
  <c r="BC59" i="25"/>
  <c r="BC58" i="25"/>
  <c r="BC57" i="25"/>
  <c r="BC56" i="25"/>
  <c r="BC55" i="25"/>
  <c r="BM55" i="25" s="1"/>
  <c r="BC54" i="25"/>
  <c r="BC53" i="25"/>
  <c r="BM53" i="25" s="1"/>
  <c r="BC52" i="25"/>
  <c r="BM52" i="25" s="1"/>
  <c r="BC51" i="25"/>
  <c r="BC50" i="25"/>
  <c r="BC49" i="25"/>
  <c r="BM49" i="25" s="1"/>
  <c r="BC48" i="25"/>
  <c r="BM48" i="25" s="1"/>
  <c r="BC47" i="25"/>
  <c r="BC46" i="25"/>
  <c r="BC45" i="25"/>
  <c r="BC44" i="25"/>
  <c r="BC43" i="25"/>
  <c r="BC42" i="25"/>
  <c r="BC41" i="25"/>
  <c r="BC40" i="25"/>
  <c r="BC30" i="25"/>
  <c r="BC29" i="25" s="1"/>
  <c r="BC27" i="25"/>
  <c r="BC26" i="25" s="1"/>
  <c r="BC24" i="25"/>
  <c r="BM24" i="25" s="1"/>
  <c r="BC19" i="25"/>
  <c r="BC16" i="25"/>
  <c r="BC15" i="25" s="1"/>
  <c r="BD30" i="25" s="1"/>
  <c r="BC13" i="25"/>
  <c r="BC12" i="25"/>
  <c r="BC11" i="25"/>
  <c r="BM11" i="25" s="1"/>
  <c r="BC8" i="25"/>
  <c r="BC7" i="25"/>
  <c r="BM7" i="25" s="1"/>
  <c r="BC6" i="25"/>
  <c r="AM138" i="25"/>
  <c r="AM134" i="25"/>
  <c r="AM133" i="25"/>
  <c r="AM132" i="25"/>
  <c r="AM131" i="25"/>
  <c r="AM130" i="25"/>
  <c r="AM129" i="25"/>
  <c r="BF129" i="25" s="1"/>
  <c r="AM128" i="25"/>
  <c r="BF128" i="25" s="1"/>
  <c r="AM127" i="25"/>
  <c r="AM126" i="25"/>
  <c r="AM123" i="25"/>
  <c r="BF123" i="25" s="1"/>
  <c r="AM122" i="25"/>
  <c r="AM121" i="25"/>
  <c r="BF121" i="25" s="1"/>
  <c r="AM120" i="25"/>
  <c r="AM119" i="25"/>
  <c r="BF119" i="25" s="1"/>
  <c r="AM118" i="25"/>
  <c r="AM117" i="25"/>
  <c r="AM111" i="25"/>
  <c r="AM110" i="25"/>
  <c r="AM106" i="25"/>
  <c r="AM105" i="25"/>
  <c r="AM102" i="25"/>
  <c r="AM101" i="25"/>
  <c r="BF101" i="25" s="1"/>
  <c r="AM100" i="25"/>
  <c r="BF100" i="25" s="1"/>
  <c r="AM99" i="25"/>
  <c r="AM98" i="25"/>
  <c r="AM97" i="25"/>
  <c r="BF97" i="25" s="1"/>
  <c r="AM96" i="25"/>
  <c r="AM95" i="25"/>
  <c r="AM94" i="25"/>
  <c r="AM91" i="25"/>
  <c r="BF91" i="25" s="1"/>
  <c r="AM90" i="25"/>
  <c r="BF90" i="25" s="1"/>
  <c r="AM89" i="25"/>
  <c r="AM88" i="25"/>
  <c r="AM87" i="25"/>
  <c r="AM86" i="25"/>
  <c r="AM85" i="25"/>
  <c r="AM84" i="25"/>
  <c r="AM81" i="25"/>
  <c r="BF81" i="25" s="1"/>
  <c r="AM80" i="25"/>
  <c r="AM79" i="25"/>
  <c r="BF79" i="25" s="1"/>
  <c r="AM78" i="25"/>
  <c r="BF78" i="25" s="1"/>
  <c r="AM77" i="25"/>
  <c r="BF77" i="25" s="1"/>
  <c r="AM76" i="25"/>
  <c r="BF76" i="25" s="1"/>
  <c r="AM75" i="25"/>
  <c r="BF75" i="25" s="1"/>
  <c r="AM74" i="25"/>
  <c r="AM73" i="25"/>
  <c r="BF73" i="25" s="1"/>
  <c r="AM72" i="25"/>
  <c r="BF72" i="25" s="1"/>
  <c r="AM71" i="25"/>
  <c r="AM70" i="25"/>
  <c r="AM69" i="25"/>
  <c r="AM64" i="25"/>
  <c r="AM63" i="25"/>
  <c r="AM62" i="25"/>
  <c r="AM61" i="25"/>
  <c r="BF61" i="25" s="1"/>
  <c r="AM60" i="25"/>
  <c r="AM59" i="25"/>
  <c r="AM58" i="25"/>
  <c r="AM57" i="25"/>
  <c r="BF57" i="25" s="1"/>
  <c r="AM56" i="25"/>
  <c r="AM55" i="25"/>
  <c r="AM54" i="25"/>
  <c r="AM53" i="25"/>
  <c r="BF53" i="25" s="1"/>
  <c r="AM52" i="25"/>
  <c r="AM51" i="25"/>
  <c r="AM50" i="25"/>
  <c r="AM49" i="25"/>
  <c r="AM48" i="25"/>
  <c r="AM47" i="25"/>
  <c r="AM46" i="25"/>
  <c r="AM45" i="25"/>
  <c r="BF45" i="25" s="1"/>
  <c r="AM44" i="25"/>
  <c r="AM43" i="25"/>
  <c r="AM42" i="25"/>
  <c r="AM41" i="25"/>
  <c r="AM40" i="25"/>
  <c r="AM30" i="25"/>
  <c r="AM29" i="25" s="1"/>
  <c r="AM27" i="25"/>
  <c r="AM24" i="25"/>
  <c r="AM19" i="25"/>
  <c r="AM16" i="25"/>
  <c r="AM13" i="25"/>
  <c r="AM12" i="25"/>
  <c r="AM11" i="25"/>
  <c r="AM8" i="25"/>
  <c r="AM7" i="25"/>
  <c r="AM6" i="25"/>
  <c r="CO26" i="25"/>
  <c r="CR76" i="25"/>
  <c r="CH26" i="25"/>
  <c r="BQ29" i="25"/>
  <c r="BQ15" i="25"/>
  <c r="BJ29" i="25"/>
  <c r="BJ15" i="25"/>
  <c r="BK30" i="25" s="1"/>
  <c r="AM26" i="25"/>
  <c r="AM15" i="25"/>
  <c r="AF138" i="25"/>
  <c r="AF134" i="25"/>
  <c r="AP134" i="25" s="1"/>
  <c r="AF133" i="25"/>
  <c r="AF132" i="25"/>
  <c r="AF131" i="25"/>
  <c r="AF130" i="25"/>
  <c r="AF129" i="25"/>
  <c r="AF128" i="25"/>
  <c r="AF127" i="25"/>
  <c r="AF126" i="25"/>
  <c r="AP126" i="25" s="1"/>
  <c r="AF123" i="25"/>
  <c r="AF122" i="25"/>
  <c r="AF121" i="25"/>
  <c r="AF120" i="25"/>
  <c r="AP120" i="25" s="1"/>
  <c r="AF119" i="25"/>
  <c r="AP119" i="25" s="1"/>
  <c r="AF118" i="25"/>
  <c r="AF117" i="25"/>
  <c r="AF111" i="25"/>
  <c r="AP111" i="25" s="1"/>
  <c r="AF110" i="25"/>
  <c r="AF106" i="25"/>
  <c r="AF105" i="25"/>
  <c r="AF102" i="25"/>
  <c r="AF101" i="25"/>
  <c r="AF100" i="25"/>
  <c r="AF99" i="25"/>
  <c r="AF98" i="25"/>
  <c r="AF97" i="25"/>
  <c r="AF96" i="25"/>
  <c r="AF95" i="25"/>
  <c r="AF94" i="25"/>
  <c r="AP94" i="25" s="1"/>
  <c r="AF91" i="25"/>
  <c r="AF90" i="25"/>
  <c r="AF89" i="25"/>
  <c r="AF88" i="25"/>
  <c r="AF87" i="25"/>
  <c r="AF86" i="25"/>
  <c r="AF85" i="25"/>
  <c r="AF84" i="25"/>
  <c r="AF81" i="25"/>
  <c r="AP81" i="25" s="1"/>
  <c r="AF80" i="25"/>
  <c r="AF79" i="25"/>
  <c r="AF78" i="25"/>
  <c r="AP78" i="25" s="1"/>
  <c r="AF77" i="25"/>
  <c r="AP77" i="25" s="1"/>
  <c r="AF76" i="25"/>
  <c r="AF75" i="25"/>
  <c r="AF74" i="25"/>
  <c r="AF73" i="25"/>
  <c r="AP73" i="25" s="1"/>
  <c r="AF72" i="25"/>
  <c r="AF71" i="25"/>
  <c r="AF70" i="25"/>
  <c r="AF69" i="25"/>
  <c r="AF64" i="25"/>
  <c r="AF63" i="25"/>
  <c r="AF62" i="25"/>
  <c r="AF61" i="25"/>
  <c r="AF60" i="25"/>
  <c r="AF59" i="25"/>
  <c r="AF58" i="25"/>
  <c r="AF57" i="25"/>
  <c r="AF56" i="25"/>
  <c r="AF55" i="25"/>
  <c r="AF54" i="25"/>
  <c r="AF53" i="25"/>
  <c r="AF52" i="25"/>
  <c r="AF51" i="25"/>
  <c r="AF50" i="25"/>
  <c r="AF49" i="25"/>
  <c r="AF48" i="25"/>
  <c r="AF47" i="25"/>
  <c r="AF46" i="25"/>
  <c r="AF45" i="25"/>
  <c r="AF44" i="25"/>
  <c r="AF43" i="25"/>
  <c r="AF42" i="25"/>
  <c r="AF41" i="25"/>
  <c r="AF40" i="25"/>
  <c r="AF30" i="25"/>
  <c r="AF27" i="25"/>
  <c r="AP27" i="25" s="1"/>
  <c r="AF24" i="25"/>
  <c r="AF19" i="25"/>
  <c r="AF16" i="25"/>
  <c r="AF15" i="25" s="1"/>
  <c r="AF13" i="25"/>
  <c r="AP13" i="25" s="1"/>
  <c r="AF12" i="25"/>
  <c r="AF11" i="25"/>
  <c r="AF8" i="25"/>
  <c r="AF7" i="25"/>
  <c r="AF6" i="25"/>
  <c r="AF18" i="25"/>
  <c r="Y138" i="25"/>
  <c r="Y134" i="25"/>
  <c r="Y133" i="25"/>
  <c r="Y132" i="25"/>
  <c r="Y131" i="25"/>
  <c r="Y130" i="25"/>
  <c r="Y129" i="25"/>
  <c r="Y128" i="25"/>
  <c r="Y127" i="25"/>
  <c r="Y126" i="25"/>
  <c r="Y123" i="25"/>
  <c r="Y122" i="25"/>
  <c r="Y121" i="25"/>
  <c r="Y120" i="25"/>
  <c r="Y119" i="25"/>
  <c r="Y118" i="25"/>
  <c r="Y117" i="25"/>
  <c r="Y111" i="25"/>
  <c r="Y110" i="25"/>
  <c r="Y106" i="25"/>
  <c r="Y105" i="25"/>
  <c r="Y102" i="25"/>
  <c r="AI102" i="25" s="1"/>
  <c r="Y101" i="25"/>
  <c r="Y100" i="25"/>
  <c r="Y99" i="25"/>
  <c r="Y98" i="25"/>
  <c r="Y97" i="25"/>
  <c r="Y96" i="25"/>
  <c r="Y95" i="25"/>
  <c r="AI95" i="25" s="1"/>
  <c r="Y94" i="25"/>
  <c r="Y91" i="25"/>
  <c r="Y90" i="25"/>
  <c r="Y89" i="25"/>
  <c r="Y88" i="25"/>
  <c r="Y87" i="25"/>
  <c r="Y86" i="25"/>
  <c r="Y85" i="25"/>
  <c r="Y84" i="25"/>
  <c r="AI84" i="25" s="1"/>
  <c r="Y81" i="25"/>
  <c r="Y80" i="25"/>
  <c r="Y79" i="25"/>
  <c r="Y78" i="25"/>
  <c r="Y77" i="25"/>
  <c r="Y76" i="25"/>
  <c r="Y75" i="25"/>
  <c r="Y74" i="25"/>
  <c r="Y73" i="25"/>
  <c r="Y72" i="25"/>
  <c r="Y71" i="25"/>
  <c r="Y70" i="25"/>
  <c r="Y69" i="25"/>
  <c r="Y64" i="25"/>
  <c r="AI64" i="25" s="1"/>
  <c r="Y63" i="25"/>
  <c r="Y62" i="25"/>
  <c r="Y61" i="25"/>
  <c r="Y60" i="25"/>
  <c r="Y59" i="25"/>
  <c r="Y58" i="25"/>
  <c r="Y57" i="25"/>
  <c r="Y56" i="25"/>
  <c r="Y55" i="25"/>
  <c r="Y54" i="25"/>
  <c r="Y53" i="25"/>
  <c r="Y52" i="25"/>
  <c r="Y51" i="25"/>
  <c r="Y50" i="25"/>
  <c r="Y49" i="25"/>
  <c r="Y48" i="25"/>
  <c r="AI48" i="25" s="1"/>
  <c r="Y47" i="25"/>
  <c r="Y46" i="25"/>
  <c r="Y45" i="25"/>
  <c r="Y44" i="25"/>
  <c r="Y43" i="25"/>
  <c r="Y42" i="25"/>
  <c r="Y41" i="25"/>
  <c r="Y40" i="25"/>
  <c r="Y30" i="25"/>
  <c r="Y27" i="25"/>
  <c r="Y26" i="25" s="1"/>
  <c r="Y24" i="25"/>
  <c r="Y19" i="25"/>
  <c r="AI19" i="25" s="1"/>
  <c r="Y16" i="25"/>
  <c r="Y15" i="25" s="1"/>
  <c r="Y13" i="25"/>
  <c r="Y12" i="25"/>
  <c r="Y11" i="25"/>
  <c r="Y8" i="25"/>
  <c r="Y7" i="25"/>
  <c r="Y6" i="25"/>
  <c r="CX115" i="25"/>
  <c r="CX37" i="25"/>
  <c r="CR136" i="25"/>
  <c r="CR135" i="25"/>
  <c r="CR119" i="25"/>
  <c r="CR115" i="25"/>
  <c r="CR108" i="25"/>
  <c r="CR107" i="25"/>
  <c r="CR103" i="25"/>
  <c r="CR101" i="25"/>
  <c r="CR92" i="25"/>
  <c r="CR82" i="25"/>
  <c r="CR67" i="25"/>
  <c r="CR66" i="25"/>
  <c r="CR37" i="25"/>
  <c r="CR32" i="25"/>
  <c r="CR31" i="25"/>
  <c r="CR28" i="25"/>
  <c r="CR25" i="25"/>
  <c r="CR21" i="25"/>
  <c r="CR20" i="25"/>
  <c r="CR17" i="25"/>
  <c r="CR9" i="25"/>
  <c r="CK136" i="25"/>
  <c r="CK135" i="25"/>
  <c r="CK115" i="25"/>
  <c r="CK108" i="25"/>
  <c r="CK107" i="25"/>
  <c r="CK103" i="25"/>
  <c r="CK92" i="25"/>
  <c r="CK91" i="25"/>
  <c r="CK82" i="25"/>
  <c r="CK67" i="25"/>
  <c r="CK66" i="25"/>
  <c r="CK37" i="25"/>
  <c r="CK32" i="25"/>
  <c r="CK31" i="25"/>
  <c r="CK28" i="25"/>
  <c r="CK27" i="25"/>
  <c r="CK25" i="25"/>
  <c r="CK21" i="25"/>
  <c r="CK20" i="25"/>
  <c r="CK17" i="25"/>
  <c r="CK9" i="25"/>
  <c r="CD136" i="25"/>
  <c r="CD135" i="25"/>
  <c r="CD129" i="25"/>
  <c r="CD119" i="25"/>
  <c r="CD108" i="25"/>
  <c r="CD107" i="25"/>
  <c r="CD103" i="25"/>
  <c r="CD92" i="25"/>
  <c r="CD91" i="25"/>
  <c r="CD82" i="25"/>
  <c r="CD74" i="25"/>
  <c r="CD67" i="25"/>
  <c r="CD66" i="25"/>
  <c r="CD43" i="25"/>
  <c r="CD32" i="25"/>
  <c r="CD31" i="25"/>
  <c r="CD28" i="25"/>
  <c r="CD25" i="25"/>
  <c r="CD21" i="25"/>
  <c r="CD20" i="25"/>
  <c r="CD17" i="25"/>
  <c r="CD9" i="25"/>
  <c r="BZ115" i="25"/>
  <c r="BZ37" i="25"/>
  <c r="BT136" i="25"/>
  <c r="BT135" i="25"/>
  <c r="BT115" i="25"/>
  <c r="BT108" i="25"/>
  <c r="BT107" i="25"/>
  <c r="BT103" i="25"/>
  <c r="BT101" i="25"/>
  <c r="BT92" i="25"/>
  <c r="BT82" i="25"/>
  <c r="BT67" i="25"/>
  <c r="BT66" i="25"/>
  <c r="BT59" i="25"/>
  <c r="BT55" i="25"/>
  <c r="BT51" i="25"/>
  <c r="BT43" i="25"/>
  <c r="BT37" i="25"/>
  <c r="BT32" i="25"/>
  <c r="BT31" i="25"/>
  <c r="BT30" i="25"/>
  <c r="BT28" i="25"/>
  <c r="BT25" i="25"/>
  <c r="BT21" i="25"/>
  <c r="BT20" i="25"/>
  <c r="BT17" i="25"/>
  <c r="BT16" i="25"/>
  <c r="BT9" i="25"/>
  <c r="BM136" i="25"/>
  <c r="BM135" i="25"/>
  <c r="BM120" i="25"/>
  <c r="BM115" i="25"/>
  <c r="BM111" i="25"/>
  <c r="BM108" i="25"/>
  <c r="BM107" i="25"/>
  <c r="BM103" i="25"/>
  <c r="BM92" i="25"/>
  <c r="BM88" i="25"/>
  <c r="BM82" i="25"/>
  <c r="BM67" i="25"/>
  <c r="BM66" i="25"/>
  <c r="BM51" i="25"/>
  <c r="BM43" i="25"/>
  <c r="BM37" i="25"/>
  <c r="BM32" i="25"/>
  <c r="BM31" i="25"/>
  <c r="BM30" i="25"/>
  <c r="BM28" i="25"/>
  <c r="BM25" i="25"/>
  <c r="BM21" i="25"/>
  <c r="BM20" i="25"/>
  <c r="BM17" i="25"/>
  <c r="BM9" i="25"/>
  <c r="BF136" i="25"/>
  <c r="BF135" i="25"/>
  <c r="BF111" i="25"/>
  <c r="BF108" i="25"/>
  <c r="BF107" i="25"/>
  <c r="BF103" i="25"/>
  <c r="BF92" i="25"/>
  <c r="BF82" i="25"/>
  <c r="BF67" i="25"/>
  <c r="BF66" i="25"/>
  <c r="BF51" i="25"/>
  <c r="BF47" i="25"/>
  <c r="BF43" i="25"/>
  <c r="BF32" i="25"/>
  <c r="BF31" i="25"/>
  <c r="BF28" i="25"/>
  <c r="BF25" i="25"/>
  <c r="BF21" i="25"/>
  <c r="BF20" i="25"/>
  <c r="BF17" i="25"/>
  <c r="BF9" i="25"/>
  <c r="BB103" i="25"/>
  <c r="BB32" i="25"/>
  <c r="AP136" i="25"/>
  <c r="AP135" i="25"/>
  <c r="AP115" i="25"/>
  <c r="AP108" i="25"/>
  <c r="AP107" i="25"/>
  <c r="AP103" i="25"/>
  <c r="AP92" i="25"/>
  <c r="AP82" i="25"/>
  <c r="AP67" i="25"/>
  <c r="AP66" i="25"/>
  <c r="AP43" i="25"/>
  <c r="AP37" i="25"/>
  <c r="AP32" i="25"/>
  <c r="AP31" i="25"/>
  <c r="AP28" i="25"/>
  <c r="AP25" i="25"/>
  <c r="AP21" i="25"/>
  <c r="AP20" i="25"/>
  <c r="AP17" i="25"/>
  <c r="AP9" i="25"/>
  <c r="AI136" i="25"/>
  <c r="AI135" i="25"/>
  <c r="AI127" i="25"/>
  <c r="AI115" i="25"/>
  <c r="AI108" i="25"/>
  <c r="AI107" i="25"/>
  <c r="AI105" i="25"/>
  <c r="AI103" i="25"/>
  <c r="AI92" i="25"/>
  <c r="AI82" i="25"/>
  <c r="AI67" i="25"/>
  <c r="AI66" i="25"/>
  <c r="AI52" i="25"/>
  <c r="AI37" i="25"/>
  <c r="AI32" i="25"/>
  <c r="AI31" i="25"/>
  <c r="AI28" i="25"/>
  <c r="AI25" i="25"/>
  <c r="AI21" i="25"/>
  <c r="AI20" i="25"/>
  <c r="AI17" i="25"/>
  <c r="AI9" i="25"/>
  <c r="AB136" i="25"/>
  <c r="AB135" i="25"/>
  <c r="AB108" i="25"/>
  <c r="AB107" i="25"/>
  <c r="AB103" i="25"/>
  <c r="AB92" i="25"/>
  <c r="AB82" i="25"/>
  <c r="AB67" i="25"/>
  <c r="AB66" i="25"/>
  <c r="AB32" i="25"/>
  <c r="AB31" i="25"/>
  <c r="AB28" i="25"/>
  <c r="AB25" i="25"/>
  <c r="AB21" i="25"/>
  <c r="AB20" i="25"/>
  <c r="AB17" i="25"/>
  <c r="AB9" i="25"/>
  <c r="X136" i="25"/>
  <c r="X135" i="25"/>
  <c r="X108" i="25"/>
  <c r="X107" i="25"/>
  <c r="X103" i="25"/>
  <c r="X92" i="25"/>
  <c r="X82" i="25"/>
  <c r="X67" i="25"/>
  <c r="X32" i="25"/>
  <c r="X31" i="25"/>
  <c r="X28" i="25"/>
  <c r="X25" i="25"/>
  <c r="X21" i="25"/>
  <c r="X20" i="25"/>
  <c r="X17" i="25"/>
  <c r="X9" i="25"/>
  <c r="R136" i="25"/>
  <c r="R135" i="25"/>
  <c r="R108" i="25"/>
  <c r="R107" i="25"/>
  <c r="R103" i="25"/>
  <c r="R92" i="25"/>
  <c r="R82" i="25"/>
  <c r="R67" i="25"/>
  <c r="R66" i="25"/>
  <c r="R31" i="25"/>
  <c r="R28" i="25"/>
  <c r="R25" i="25"/>
  <c r="R21" i="25"/>
  <c r="R20" i="25"/>
  <c r="R17" i="25"/>
  <c r="R9" i="25"/>
  <c r="K136" i="25"/>
  <c r="K135" i="25"/>
  <c r="K108" i="25"/>
  <c r="K107" i="25"/>
  <c r="K103" i="25"/>
  <c r="K92" i="25"/>
  <c r="K82" i="25"/>
  <c r="K67" i="25"/>
  <c r="K66" i="25"/>
  <c r="K32" i="25"/>
  <c r="K31" i="25"/>
  <c r="K28" i="25"/>
  <c r="K25" i="25"/>
  <c r="K21" i="25"/>
  <c r="K20" i="25"/>
  <c r="K17" i="25"/>
  <c r="K9" i="25"/>
  <c r="AP102" i="25" l="1"/>
  <c r="AP130" i="25"/>
  <c r="AM5" i="25"/>
  <c r="CR111" i="25"/>
  <c r="CR70" i="25"/>
  <c r="BF105" i="25"/>
  <c r="BF131" i="25"/>
  <c r="BM56" i="25"/>
  <c r="BM75" i="25"/>
  <c r="BM95" i="25"/>
  <c r="BM121" i="25"/>
  <c r="BT48" i="25"/>
  <c r="CD122" i="25"/>
  <c r="CK49" i="25"/>
  <c r="CK132" i="25"/>
  <c r="BM57" i="25"/>
  <c r="BF69" i="25"/>
  <c r="BF87" i="25"/>
  <c r="BF110" i="25"/>
  <c r="BF133" i="25"/>
  <c r="BM77" i="25"/>
  <c r="BM97" i="25"/>
  <c r="BM123" i="25"/>
  <c r="BT50" i="25"/>
  <c r="BT87" i="25"/>
  <c r="BT133" i="25"/>
  <c r="CD78" i="25"/>
  <c r="CD16" i="25"/>
  <c r="CD51" i="25"/>
  <c r="CK70" i="25"/>
  <c r="CK88" i="25"/>
  <c r="CK111" i="25"/>
  <c r="CR43" i="25"/>
  <c r="CR59" i="25"/>
  <c r="CR78" i="25"/>
  <c r="CR98" i="25"/>
  <c r="BM96" i="25"/>
  <c r="BT49" i="25"/>
  <c r="BF30" i="25"/>
  <c r="AI99" i="25"/>
  <c r="BF70" i="25"/>
  <c r="BF88" i="25"/>
  <c r="BM59" i="25"/>
  <c r="BM78" i="25"/>
  <c r="BT88" i="25"/>
  <c r="CD79" i="25"/>
  <c r="CD99" i="25"/>
  <c r="CD127" i="25"/>
  <c r="CK52" i="25"/>
  <c r="CK71" i="25"/>
  <c r="CK89" i="25"/>
  <c r="CK117" i="25"/>
  <c r="CK138" i="25"/>
  <c r="CR44" i="25"/>
  <c r="CR60" i="25"/>
  <c r="Y18" i="25"/>
  <c r="AI44" i="25"/>
  <c r="AI60" i="25"/>
  <c r="BM44" i="25"/>
  <c r="BM60" i="25"/>
  <c r="BM79" i="25"/>
  <c r="BM99" i="25"/>
  <c r="BT52" i="25"/>
  <c r="BT138" i="25"/>
  <c r="CD44" i="25"/>
  <c r="CD60" i="25"/>
  <c r="CD100" i="25"/>
  <c r="CK24" i="25"/>
  <c r="CK53" i="25"/>
  <c r="CK90" i="25"/>
  <c r="CR45" i="25"/>
  <c r="CR61" i="25"/>
  <c r="CR80" i="25"/>
  <c r="CR100" i="25"/>
  <c r="Y5" i="25"/>
  <c r="AI5" i="25" s="1"/>
  <c r="BF52" i="25"/>
  <c r="BM41" i="25"/>
  <c r="BT12" i="25"/>
  <c r="BT84" i="25"/>
  <c r="CD30" i="25"/>
  <c r="CD55" i="25"/>
  <c r="CO93" i="25"/>
  <c r="BF132" i="25"/>
  <c r="CD77" i="25"/>
  <c r="CR58" i="25"/>
  <c r="AI85" i="25"/>
  <c r="AP30" i="25"/>
  <c r="BF74" i="25"/>
  <c r="BF120" i="25"/>
  <c r="BM84" i="25"/>
  <c r="CD105" i="25"/>
  <c r="CD131" i="25"/>
  <c r="CK40" i="25"/>
  <c r="CK56" i="25"/>
  <c r="CK75" i="25"/>
  <c r="CK121" i="25"/>
  <c r="CR11" i="25"/>
  <c r="CR48" i="25"/>
  <c r="CR64" i="25"/>
  <c r="AF5" i="25"/>
  <c r="AP5" i="25" s="1"/>
  <c r="BF84" i="25"/>
  <c r="CD59" i="25"/>
  <c r="CH15" i="25"/>
  <c r="CR105" i="25"/>
  <c r="BF16" i="25"/>
  <c r="BF59" i="25"/>
  <c r="BM16" i="25"/>
  <c r="BF8" i="25"/>
  <c r="BT75" i="25"/>
  <c r="BT79" i="25"/>
  <c r="BT95" i="25"/>
  <c r="BT99" i="25"/>
  <c r="CA5" i="25"/>
  <c r="CR6" i="25"/>
  <c r="CH5" i="25"/>
  <c r="CO5" i="25"/>
  <c r="CD111" i="25"/>
  <c r="CK51" i="25"/>
  <c r="CH29" i="25"/>
  <c r="BC5" i="25"/>
  <c r="BT6" i="25"/>
  <c r="BJ5" i="25"/>
  <c r="BT96" i="25"/>
  <c r="BT106" i="25"/>
  <c r="BT122" i="25"/>
  <c r="BT128" i="25"/>
  <c r="BT132" i="25"/>
  <c r="BQ5" i="25"/>
  <c r="CD5" i="25" s="1"/>
  <c r="CD12" i="25"/>
  <c r="CD45" i="25"/>
  <c r="CD53" i="25"/>
  <c r="CD57" i="25"/>
  <c r="CD61" i="25"/>
  <c r="CR69" i="25"/>
  <c r="CR73" i="25"/>
  <c r="CR77" i="25"/>
  <c r="CR81" i="25"/>
  <c r="CR97" i="25"/>
  <c r="CR110" i="25"/>
  <c r="BF13" i="25"/>
  <c r="BF27" i="25"/>
  <c r="BT120" i="25"/>
  <c r="CR117" i="25"/>
  <c r="CR121" i="25"/>
  <c r="CK119" i="25"/>
  <c r="CA93" i="25"/>
  <c r="CR95" i="25"/>
  <c r="CR99" i="25"/>
  <c r="CD97" i="25"/>
  <c r="CD84" i="25"/>
  <c r="CR90" i="25"/>
  <c r="AP87" i="25"/>
  <c r="AP91" i="25"/>
  <c r="AP110" i="25"/>
  <c r="CD87" i="25"/>
  <c r="CD110" i="25"/>
  <c r="BT70" i="25"/>
  <c r="BT74" i="25"/>
  <c r="BT78" i="25"/>
  <c r="CR71" i="25"/>
  <c r="CR75" i="25"/>
  <c r="CR79" i="25"/>
  <c r="BT72" i="25"/>
  <c r="BT76" i="25"/>
  <c r="CD47" i="25"/>
  <c r="CD63" i="25"/>
  <c r="CK55" i="25"/>
  <c r="BM27" i="25"/>
  <c r="CD27" i="25"/>
  <c r="CK30" i="25"/>
  <c r="CA29" i="25"/>
  <c r="BJ26" i="25"/>
  <c r="CI30" i="25"/>
  <c r="CD26" i="25"/>
  <c r="CR127" i="25"/>
  <c r="CR131" i="25"/>
  <c r="BT127" i="25"/>
  <c r="BT131" i="25"/>
  <c r="CR128" i="25"/>
  <c r="CR132" i="25"/>
  <c r="CK129" i="25"/>
  <c r="BF7" i="25"/>
  <c r="CK16" i="25"/>
  <c r="CA15" i="25"/>
  <c r="CR138" i="25"/>
  <c r="CR91" i="25"/>
  <c r="CR129" i="25"/>
  <c r="CK77" i="25"/>
  <c r="CA23" i="25"/>
  <c r="CD23" i="25" s="1"/>
  <c r="CD73" i="25"/>
  <c r="CD123" i="25"/>
  <c r="AI58" i="25"/>
  <c r="BM47" i="25"/>
  <c r="BT117" i="25"/>
  <c r="BT105" i="25"/>
  <c r="BT90" i="25"/>
  <c r="BT71" i="25"/>
  <c r="BM117" i="25"/>
  <c r="BM81" i="25"/>
  <c r="BM127" i="25"/>
  <c r="BF99" i="25"/>
  <c r="CA104" i="25"/>
  <c r="CO104" i="25"/>
  <c r="BT81" i="25"/>
  <c r="AI73" i="25"/>
  <c r="AI81" i="25"/>
  <c r="AI50" i="25"/>
  <c r="BF63" i="25"/>
  <c r="CD81" i="25"/>
  <c r="BT69" i="25"/>
  <c r="BT64" i="25"/>
  <c r="BF55" i="25"/>
  <c r="BT11" i="25"/>
  <c r="BM73" i="25"/>
  <c r="BM63" i="25"/>
  <c r="BF64" i="25"/>
  <c r="BM71" i="25"/>
  <c r="AP42" i="25"/>
  <c r="AP58" i="25"/>
  <c r="AP74" i="25"/>
  <c r="CA116" i="25"/>
  <c r="CO116" i="25"/>
  <c r="CD101" i="25"/>
  <c r="CK95" i="25"/>
  <c r="CR50" i="25"/>
  <c r="AP138" i="25"/>
  <c r="CA83" i="25"/>
  <c r="CO83" i="25"/>
  <c r="AI87" i="25"/>
  <c r="AI91" i="25"/>
  <c r="AI110" i="25"/>
  <c r="CO68" i="25"/>
  <c r="AP51" i="25"/>
  <c r="AP55" i="25"/>
  <c r="AP59" i="25"/>
  <c r="BC39" i="25"/>
  <c r="CA39" i="25"/>
  <c r="CR41" i="25"/>
  <c r="CR57" i="25"/>
  <c r="AP50" i="25"/>
  <c r="AP54" i="25"/>
  <c r="CA125" i="25"/>
  <c r="CO125" i="25"/>
  <c r="CI29" i="25"/>
  <c r="BQ10" i="25"/>
  <c r="BR26" i="25" s="1"/>
  <c r="AI13" i="25"/>
  <c r="AN8" i="25"/>
  <c r="CB24" i="25"/>
  <c r="CA10" i="25"/>
  <c r="CB27" i="25" s="1"/>
  <c r="CO33" i="25"/>
  <c r="CP33" i="25" s="1"/>
  <c r="CO10" i="25"/>
  <c r="CO34" i="25" s="1"/>
  <c r="CP34" i="25" s="1"/>
  <c r="BQ116" i="25"/>
  <c r="AP85" i="25"/>
  <c r="AP89" i="25"/>
  <c r="AP40" i="25"/>
  <c r="AP64" i="25"/>
  <c r="CO22" i="25"/>
  <c r="AI8" i="25"/>
  <c r="AI43" i="25"/>
  <c r="AI47" i="25"/>
  <c r="AI63" i="25"/>
  <c r="AI70" i="25"/>
  <c r="AI78" i="25"/>
  <c r="AI98" i="25"/>
  <c r="AG30" i="25"/>
  <c r="AI59" i="25"/>
  <c r="AI120" i="25"/>
  <c r="AP16" i="25"/>
  <c r="AP47" i="25"/>
  <c r="AP70" i="25"/>
  <c r="AP98" i="25"/>
  <c r="BF40" i="25"/>
  <c r="CD117" i="25"/>
  <c r="AI51" i="25"/>
  <c r="AI74" i="25"/>
  <c r="AI111" i="25"/>
  <c r="AI126" i="25"/>
  <c r="AI134" i="25"/>
  <c r="AF29" i="25"/>
  <c r="BC104" i="25"/>
  <c r="BQ39" i="25"/>
  <c r="BQ68" i="25"/>
  <c r="BQ93" i="25"/>
  <c r="CD93" i="25" s="1"/>
  <c r="BQ104" i="25"/>
  <c r="CD104" i="25" s="1"/>
  <c r="AP8" i="25"/>
  <c r="AP63" i="25"/>
  <c r="AP99" i="25"/>
  <c r="BM40" i="25"/>
  <c r="AI11" i="25"/>
  <c r="AI40" i="25"/>
  <c r="AI56" i="25"/>
  <c r="AI89" i="25"/>
  <c r="AI131" i="25"/>
  <c r="AI138" i="25"/>
  <c r="AF39" i="25"/>
  <c r="AP72" i="25"/>
  <c r="AP76" i="25"/>
  <c r="AP90" i="25"/>
  <c r="AF93" i="25"/>
  <c r="AP118" i="25"/>
  <c r="AP122" i="25"/>
  <c r="AF125" i="25"/>
  <c r="BF138" i="25"/>
  <c r="AI16" i="25"/>
  <c r="AI55" i="25"/>
  <c r="AI130" i="25"/>
  <c r="CD11" i="25"/>
  <c r="AI42" i="25"/>
  <c r="AI46" i="25"/>
  <c r="AI62" i="25"/>
  <c r="AI69" i="25"/>
  <c r="AI77" i="25"/>
  <c r="AI123" i="25"/>
  <c r="BF11" i="25"/>
  <c r="AP11" i="25"/>
  <c r="AM18" i="25"/>
  <c r="AP18" i="25" s="1"/>
  <c r="AP19" i="25"/>
  <c r="AP44" i="25"/>
  <c r="BF44" i="25"/>
  <c r="AP48" i="25"/>
  <c r="BF48" i="25"/>
  <c r="AP56" i="25"/>
  <c r="BF56" i="25"/>
  <c r="AP60" i="25"/>
  <c r="BF60" i="25"/>
  <c r="AM68" i="25"/>
  <c r="BF71" i="25"/>
  <c r="BF95" i="25"/>
  <c r="AP95" i="25"/>
  <c r="AM116" i="25"/>
  <c r="BF117" i="25"/>
  <c r="AP127" i="25"/>
  <c r="BF127" i="25"/>
  <c r="AP52" i="25"/>
  <c r="AP105" i="25"/>
  <c r="AP131" i="25"/>
  <c r="AP97" i="25"/>
  <c r="AI97" i="25"/>
  <c r="BT29" i="25"/>
  <c r="AP6" i="25"/>
  <c r="AM10" i="25"/>
  <c r="AN26" i="25" s="1"/>
  <c r="BF24" i="25"/>
  <c r="AM23" i="25"/>
  <c r="AM22" i="25" s="1"/>
  <c r="AM39" i="25"/>
  <c r="AP80" i="25"/>
  <c r="AP86" i="25"/>
  <c r="AM93" i="25"/>
  <c r="AM104" i="25"/>
  <c r="BF106" i="25"/>
  <c r="BM61" i="25"/>
  <c r="BM100" i="25"/>
  <c r="BQ22" i="25"/>
  <c r="BT80" i="25"/>
  <c r="AI27" i="25"/>
  <c r="AI54" i="25"/>
  <c r="AP46" i="25"/>
  <c r="AP62" i="25"/>
  <c r="AP69" i="25"/>
  <c r="AP123" i="25"/>
  <c r="Y29" i="25"/>
  <c r="Z29" i="25" s="1"/>
  <c r="AI30" i="25"/>
  <c r="AF26" i="25"/>
  <c r="AI26" i="25" s="1"/>
  <c r="AI119" i="25"/>
  <c r="BK23" i="25"/>
  <c r="Z8" i="25"/>
  <c r="Y10" i="25"/>
  <c r="Z27" i="25" s="1"/>
  <c r="AI72" i="25"/>
  <c r="AI76" i="25"/>
  <c r="AI80" i="25"/>
  <c r="Y83" i="25"/>
  <c r="AI90" i="25"/>
  <c r="AI96" i="25"/>
  <c r="Y125" i="25"/>
  <c r="AI132" i="25"/>
  <c r="AI18" i="25"/>
  <c r="BC68" i="25"/>
  <c r="BQ83" i="25"/>
  <c r="BQ125" i="25"/>
  <c r="CD125" i="25" s="1"/>
  <c r="CO39" i="25"/>
  <c r="CR23" i="25"/>
  <c r="CK6" i="25"/>
  <c r="CK12" i="25"/>
  <c r="CH35" i="25"/>
  <c r="CI35" i="25" s="1"/>
  <c r="CH104" i="25"/>
  <c r="CK45" i="25"/>
  <c r="CR24" i="25"/>
  <c r="CR29" i="25"/>
  <c r="CH68" i="25"/>
  <c r="CK61" i="25"/>
  <c r="CK100" i="25"/>
  <c r="CK106" i="25"/>
  <c r="CK128" i="25"/>
  <c r="CK72" i="25"/>
  <c r="CD49" i="25"/>
  <c r="CD128" i="25"/>
  <c r="CK41" i="25"/>
  <c r="CD65" i="25"/>
  <c r="CK23" i="25"/>
  <c r="CK86" i="25"/>
  <c r="CD24" i="25"/>
  <c r="CD6" i="25"/>
  <c r="CD106" i="25"/>
  <c r="BT53" i="25"/>
  <c r="CD41" i="25"/>
  <c r="CD96" i="25"/>
  <c r="BT86" i="25"/>
  <c r="BJ22" i="25"/>
  <c r="BT23" i="25"/>
  <c r="BT24" i="25"/>
  <c r="BJ10" i="25"/>
  <c r="BJ34" i="25" s="1"/>
  <c r="BJ68" i="25"/>
  <c r="BJ104" i="25"/>
  <c r="BM6" i="25"/>
  <c r="BM12" i="25"/>
  <c r="BM45" i="25"/>
  <c r="BT61" i="25"/>
  <c r="BT100" i="25"/>
  <c r="BJ39" i="25"/>
  <c r="BM106" i="25"/>
  <c r="BM128" i="25"/>
  <c r="BM29" i="25"/>
  <c r="BF29" i="25"/>
  <c r="BF6" i="25"/>
  <c r="BF49" i="25"/>
  <c r="BC23" i="25"/>
  <c r="BF65" i="25"/>
  <c r="BF12" i="25"/>
  <c r="BF96" i="25"/>
  <c r="AM83" i="25"/>
  <c r="AM125" i="25"/>
  <c r="AP96" i="25"/>
  <c r="AP128" i="25"/>
  <c r="BF41" i="25"/>
  <c r="BF80" i="25"/>
  <c r="BF86" i="25"/>
  <c r="CO35" i="25"/>
  <c r="CP35" i="25" s="1"/>
  <c r="CP30" i="25"/>
  <c r="CR15" i="25"/>
  <c r="CP29" i="25"/>
  <c r="CH83" i="25"/>
  <c r="CK85" i="25"/>
  <c r="CK122" i="25"/>
  <c r="CH22" i="25"/>
  <c r="CR26" i="25"/>
  <c r="CH39" i="25"/>
  <c r="CR42" i="25"/>
  <c r="CR8" i="25"/>
  <c r="CR85" i="25"/>
  <c r="CR89" i="25"/>
  <c r="CH18" i="25"/>
  <c r="CR18" i="25" s="1"/>
  <c r="CR19" i="25"/>
  <c r="CH125" i="25"/>
  <c r="CR126" i="25"/>
  <c r="CK13" i="25"/>
  <c r="CH10" i="25"/>
  <c r="CH93" i="25"/>
  <c r="CR94" i="25"/>
  <c r="CH116" i="25"/>
  <c r="CR116" i="25" s="1"/>
  <c r="CK42" i="25"/>
  <c r="CK46" i="25"/>
  <c r="CK50" i="25"/>
  <c r="CK54" i="25"/>
  <c r="CK58" i="25"/>
  <c r="CK62" i="25"/>
  <c r="CK98" i="25"/>
  <c r="CK102" i="25"/>
  <c r="CK130" i="25"/>
  <c r="CK134" i="25"/>
  <c r="CK8" i="25"/>
  <c r="CK26" i="25"/>
  <c r="CB8" i="25"/>
  <c r="CA35" i="25"/>
  <c r="CK15" i="25"/>
  <c r="CB30" i="25"/>
  <c r="CA68" i="25"/>
  <c r="CK94" i="25"/>
  <c r="CK118" i="25"/>
  <c r="CK126" i="25"/>
  <c r="CD8" i="25"/>
  <c r="CD98" i="25"/>
  <c r="CD102" i="25"/>
  <c r="CK19" i="25"/>
  <c r="CD18" i="25"/>
  <c r="CD89" i="25"/>
  <c r="CD130" i="25"/>
  <c r="CD134" i="25"/>
  <c r="CD42" i="25"/>
  <c r="CD46" i="25"/>
  <c r="CD50" i="25"/>
  <c r="CD54" i="25"/>
  <c r="CD58" i="25"/>
  <c r="CD62" i="25"/>
  <c r="CD72" i="25"/>
  <c r="CD76" i="25"/>
  <c r="CD80" i="25"/>
  <c r="BR30" i="25"/>
  <c r="BQ35" i="25"/>
  <c r="BR29" i="25"/>
  <c r="CD15" i="25"/>
  <c r="CD19" i="25"/>
  <c r="BT13" i="25"/>
  <c r="CD85" i="25"/>
  <c r="CD126" i="25"/>
  <c r="BT8" i="25"/>
  <c r="BT26" i="25"/>
  <c r="BT98" i="25"/>
  <c r="BT102" i="25"/>
  <c r="BT130" i="25"/>
  <c r="BT134" i="25"/>
  <c r="CD94" i="25"/>
  <c r="BT89" i="25"/>
  <c r="BJ93" i="25"/>
  <c r="BT94" i="25"/>
  <c r="BJ116" i="25"/>
  <c r="BT118" i="25"/>
  <c r="BJ83" i="25"/>
  <c r="BT85" i="25"/>
  <c r="BT15" i="25"/>
  <c r="BM15" i="25"/>
  <c r="BJ35" i="25"/>
  <c r="BK29" i="25"/>
  <c r="BJ125" i="25"/>
  <c r="BT126" i="25"/>
  <c r="BM72" i="25"/>
  <c r="BM76" i="25"/>
  <c r="BM80" i="25"/>
  <c r="BJ18" i="25"/>
  <c r="BT18" i="25" s="1"/>
  <c r="BT19" i="25"/>
  <c r="BM19" i="25"/>
  <c r="BM13" i="25"/>
  <c r="BM8" i="25"/>
  <c r="BM26" i="25"/>
  <c r="BC93" i="25"/>
  <c r="BM94" i="25"/>
  <c r="BF94" i="25"/>
  <c r="BM98" i="25"/>
  <c r="BF98" i="25"/>
  <c r="BM102" i="25"/>
  <c r="BF102" i="25"/>
  <c r="BM122" i="25"/>
  <c r="BF122" i="25"/>
  <c r="BD29" i="25"/>
  <c r="BC35" i="25"/>
  <c r="BM42" i="25"/>
  <c r="BF42" i="25"/>
  <c r="BM46" i="25"/>
  <c r="BF46" i="25"/>
  <c r="BM50" i="25"/>
  <c r="BF50" i="25"/>
  <c r="BM54" i="25"/>
  <c r="BF54" i="25"/>
  <c r="BM58" i="25"/>
  <c r="BF58" i="25"/>
  <c r="BM62" i="25"/>
  <c r="BF62" i="25"/>
  <c r="BC125" i="25"/>
  <c r="BM126" i="25"/>
  <c r="BF126" i="25"/>
  <c r="BM130" i="25"/>
  <c r="BF130" i="25"/>
  <c r="BM134" i="25"/>
  <c r="BF134" i="25"/>
  <c r="BM118" i="25"/>
  <c r="BF118" i="25"/>
  <c r="BC116" i="25"/>
  <c r="BC83" i="25"/>
  <c r="BM85" i="25"/>
  <c r="BF85" i="25"/>
  <c r="BM89" i="25"/>
  <c r="BF89" i="25"/>
  <c r="BC10" i="25"/>
  <c r="BC18" i="25"/>
  <c r="BF19" i="25"/>
  <c r="AN29" i="25"/>
  <c r="AM35" i="25"/>
  <c r="BF15" i="25"/>
  <c r="AN30" i="25"/>
  <c r="BF26" i="25"/>
  <c r="AP100" i="25"/>
  <c r="AP106" i="25"/>
  <c r="AP132" i="25"/>
  <c r="AI100" i="25"/>
  <c r="AI7" i="25"/>
  <c r="AP7" i="25"/>
  <c r="AF23" i="25"/>
  <c r="AP24" i="25"/>
  <c r="AI71" i="25"/>
  <c r="AP71" i="25"/>
  <c r="AI75" i="25"/>
  <c r="AP75" i="25"/>
  <c r="AP79" i="25"/>
  <c r="AI79" i="25"/>
  <c r="AP15" i="25"/>
  <c r="AP41" i="25"/>
  <c r="AI41" i="25"/>
  <c r="AP45" i="25"/>
  <c r="AI45" i="25"/>
  <c r="AP49" i="25"/>
  <c r="AI49" i="25"/>
  <c r="AP53" i="25"/>
  <c r="AI53" i="25"/>
  <c r="AP57" i="25"/>
  <c r="AI57" i="25"/>
  <c r="AP61" i="25"/>
  <c r="AI61" i="25"/>
  <c r="AP65" i="25"/>
  <c r="AI65" i="25"/>
  <c r="AF104" i="25"/>
  <c r="AP129" i="25"/>
  <c r="AI129" i="25"/>
  <c r="AP133" i="25"/>
  <c r="AI133" i="25"/>
  <c r="AF10" i="25"/>
  <c r="AP29" i="25"/>
  <c r="AF68" i="25"/>
  <c r="AF116" i="25"/>
  <c r="AP117" i="25"/>
  <c r="AI117" i="25"/>
  <c r="AP121" i="25"/>
  <c r="AI121" i="25"/>
  <c r="AP12" i="25"/>
  <c r="AI12" i="25"/>
  <c r="AF83" i="25"/>
  <c r="AP84" i="25"/>
  <c r="AI88" i="25"/>
  <c r="AP88" i="25"/>
  <c r="AP101" i="25"/>
  <c r="AI101" i="25"/>
  <c r="AI24" i="25"/>
  <c r="AI86" i="25"/>
  <c r="AI106" i="25"/>
  <c r="Y39" i="25"/>
  <c r="AI6" i="25"/>
  <c r="Y23" i="25"/>
  <c r="Y68" i="25"/>
  <c r="Y104" i="25"/>
  <c r="AI15" i="25"/>
  <c r="AI128" i="25"/>
  <c r="AI122" i="25"/>
  <c r="AI118" i="25"/>
  <c r="Y93" i="25"/>
  <c r="AI94" i="25"/>
  <c r="Y116" i="25"/>
  <c r="Z30" i="25"/>
  <c r="O138" i="25"/>
  <c r="AB138" i="25" s="1"/>
  <c r="O134" i="25"/>
  <c r="AB134" i="25" s="1"/>
  <c r="O133" i="25"/>
  <c r="AB133" i="25" s="1"/>
  <c r="O132" i="25"/>
  <c r="AB132" i="25" s="1"/>
  <c r="O131" i="25"/>
  <c r="AB131" i="25" s="1"/>
  <c r="O130" i="25"/>
  <c r="AB130" i="25" s="1"/>
  <c r="O129" i="25"/>
  <c r="AB129" i="25" s="1"/>
  <c r="O128" i="25"/>
  <c r="O127" i="25"/>
  <c r="AB127" i="25" s="1"/>
  <c r="O126" i="25"/>
  <c r="AB126" i="25" s="1"/>
  <c r="O123" i="25"/>
  <c r="AB123" i="25" s="1"/>
  <c r="O122" i="25"/>
  <c r="AB122" i="25" s="1"/>
  <c r="O121" i="25"/>
  <c r="AB121" i="25" s="1"/>
  <c r="O120" i="25"/>
  <c r="AB120" i="25" s="1"/>
  <c r="O119" i="25"/>
  <c r="AB119" i="25" s="1"/>
  <c r="O118" i="25"/>
  <c r="O117" i="25"/>
  <c r="AB117" i="25" s="1"/>
  <c r="O111" i="25"/>
  <c r="AB111" i="25" s="1"/>
  <c r="O110" i="25"/>
  <c r="AB110" i="25" s="1"/>
  <c r="O106" i="25"/>
  <c r="AB106" i="25" s="1"/>
  <c r="O105" i="25"/>
  <c r="AB105" i="25" s="1"/>
  <c r="O102" i="25"/>
  <c r="AB102" i="25" s="1"/>
  <c r="O101" i="25"/>
  <c r="AB101" i="25" s="1"/>
  <c r="O100" i="25"/>
  <c r="AB100" i="25" s="1"/>
  <c r="O99" i="25"/>
  <c r="AB99" i="25" s="1"/>
  <c r="O98" i="25"/>
  <c r="AB98" i="25" s="1"/>
  <c r="O97" i="25"/>
  <c r="AB97" i="25" s="1"/>
  <c r="O96" i="25"/>
  <c r="O95" i="25"/>
  <c r="AB95" i="25" s="1"/>
  <c r="O94" i="25"/>
  <c r="AB94" i="25" s="1"/>
  <c r="O91" i="25"/>
  <c r="AB91" i="25" s="1"/>
  <c r="O90" i="25"/>
  <c r="AB90" i="25" s="1"/>
  <c r="O89" i="25"/>
  <c r="AB89" i="25" s="1"/>
  <c r="O88" i="25"/>
  <c r="AB88" i="25" s="1"/>
  <c r="O87" i="25"/>
  <c r="AB87" i="25" s="1"/>
  <c r="O86" i="25"/>
  <c r="O85" i="25"/>
  <c r="AB85" i="25" s="1"/>
  <c r="O84" i="25"/>
  <c r="AB84" i="25" s="1"/>
  <c r="O81" i="25"/>
  <c r="AB81" i="25" s="1"/>
  <c r="O80" i="25"/>
  <c r="AB80" i="25" s="1"/>
  <c r="O79" i="25"/>
  <c r="AB79" i="25" s="1"/>
  <c r="O78" i="25"/>
  <c r="AB78" i="25" s="1"/>
  <c r="O77" i="25"/>
  <c r="AB77" i="25" s="1"/>
  <c r="O76" i="25"/>
  <c r="AB76" i="25" s="1"/>
  <c r="O75" i="25"/>
  <c r="AB75" i="25" s="1"/>
  <c r="O74" i="25"/>
  <c r="AB74" i="25" s="1"/>
  <c r="O73" i="25"/>
  <c r="AB73" i="25" s="1"/>
  <c r="O72" i="25"/>
  <c r="O71" i="25"/>
  <c r="AB71" i="25" s="1"/>
  <c r="O70" i="25"/>
  <c r="AB70" i="25" s="1"/>
  <c r="O69" i="25"/>
  <c r="AB69" i="25" s="1"/>
  <c r="AB65" i="25"/>
  <c r="O64" i="25"/>
  <c r="AB64" i="25" s="1"/>
  <c r="O63" i="25"/>
  <c r="AB63" i="25" s="1"/>
  <c r="O62" i="25"/>
  <c r="AB62" i="25" s="1"/>
  <c r="O61" i="25"/>
  <c r="AB61" i="25" s="1"/>
  <c r="O60" i="25"/>
  <c r="AB60" i="25" s="1"/>
  <c r="O59" i="25"/>
  <c r="AB59" i="25" s="1"/>
  <c r="O58" i="25"/>
  <c r="AB58" i="25" s="1"/>
  <c r="O57" i="25"/>
  <c r="AB57" i="25" s="1"/>
  <c r="O56" i="25"/>
  <c r="AB56" i="25" s="1"/>
  <c r="O55" i="25"/>
  <c r="AB55" i="25" s="1"/>
  <c r="O54" i="25"/>
  <c r="AB54" i="25" s="1"/>
  <c r="O53" i="25"/>
  <c r="AB53" i="25" s="1"/>
  <c r="O52" i="25"/>
  <c r="AB52" i="25" s="1"/>
  <c r="O51" i="25"/>
  <c r="AB51" i="25" s="1"/>
  <c r="O50" i="25"/>
  <c r="AB50" i="25" s="1"/>
  <c r="O49" i="25"/>
  <c r="AB49" i="25" s="1"/>
  <c r="O48" i="25"/>
  <c r="AB48" i="25" s="1"/>
  <c r="O47" i="25"/>
  <c r="AB47" i="25" s="1"/>
  <c r="O46" i="25"/>
  <c r="AB46" i="25" s="1"/>
  <c r="O45" i="25"/>
  <c r="AB45" i="25" s="1"/>
  <c r="O44" i="25"/>
  <c r="AB44" i="25" s="1"/>
  <c r="O43" i="25"/>
  <c r="AB43" i="25" s="1"/>
  <c r="O42" i="25"/>
  <c r="AB42" i="25" s="1"/>
  <c r="O41" i="25"/>
  <c r="O40" i="25"/>
  <c r="AB40" i="25" s="1"/>
  <c r="O30" i="25"/>
  <c r="AB30" i="25" s="1"/>
  <c r="O27" i="25"/>
  <c r="AB27" i="25" s="1"/>
  <c r="O24" i="25"/>
  <c r="O19" i="25"/>
  <c r="AB19" i="25" s="1"/>
  <c r="O16" i="25"/>
  <c r="AB16" i="25" s="1"/>
  <c r="O13" i="25"/>
  <c r="AB13" i="25" s="1"/>
  <c r="O12" i="25"/>
  <c r="O11" i="25"/>
  <c r="AB11" i="25" s="1"/>
  <c r="O8" i="25"/>
  <c r="AB8" i="25" s="1"/>
  <c r="O7" i="25"/>
  <c r="AB7" i="25" s="1"/>
  <c r="O6" i="25"/>
  <c r="BR8" i="25" l="1"/>
  <c r="BM5" i="25"/>
  <c r="CK5" i="25"/>
  <c r="CA22" i="25"/>
  <c r="O5" i="25"/>
  <c r="AB5" i="25" s="1"/>
  <c r="BT5" i="25"/>
  <c r="CR5" i="25"/>
  <c r="BF5" i="25"/>
  <c r="BK24" i="25"/>
  <c r="CB29" i="25"/>
  <c r="CD29" i="25"/>
  <c r="CD35" i="25"/>
  <c r="CK29" i="25"/>
  <c r="CD22" i="25"/>
  <c r="CK68" i="25"/>
  <c r="CA34" i="25"/>
  <c r="CB34" i="25" s="1"/>
  <c r="AN23" i="25"/>
  <c r="AN24" i="25"/>
  <c r="CB26" i="25"/>
  <c r="CK10" i="25"/>
  <c r="BT104" i="25"/>
  <c r="CR22" i="25"/>
  <c r="CR104" i="25"/>
  <c r="BF104" i="25"/>
  <c r="O26" i="25"/>
  <c r="AB26" i="25" s="1"/>
  <c r="BK8" i="25"/>
  <c r="CP24" i="25"/>
  <c r="AP104" i="25"/>
  <c r="Z24" i="25"/>
  <c r="BT116" i="25"/>
  <c r="CD116" i="25"/>
  <c r="BR23" i="25"/>
  <c r="BQ33" i="25"/>
  <c r="BR33" i="25" s="1"/>
  <c r="BR24" i="25"/>
  <c r="CR83" i="25"/>
  <c r="CD68" i="25"/>
  <c r="O29" i="25"/>
  <c r="Y35" i="25"/>
  <c r="Z35" i="25" s="1"/>
  <c r="CK35" i="25"/>
  <c r="CP8" i="25"/>
  <c r="CP23" i="25"/>
  <c r="BT22" i="25"/>
  <c r="CD83" i="25"/>
  <c r="BT125" i="25"/>
  <c r="BD23" i="25"/>
  <c r="BD8" i="25"/>
  <c r="BD24" i="25"/>
  <c r="BF39" i="25"/>
  <c r="BQ34" i="25"/>
  <c r="AM34" i="25"/>
  <c r="AN34" i="25" s="1"/>
  <c r="AI83" i="25"/>
  <c r="CD10" i="25"/>
  <c r="AN27" i="25"/>
  <c r="CP26" i="25"/>
  <c r="BQ4" i="25"/>
  <c r="BR27" i="25"/>
  <c r="BM68" i="25"/>
  <c r="CR68" i="25"/>
  <c r="CO38" i="25"/>
  <c r="CO124" i="25" s="1"/>
  <c r="CQ121" i="25" s="1"/>
  <c r="CD39" i="25"/>
  <c r="CP27" i="25"/>
  <c r="CO4" i="25"/>
  <c r="CP19" i="25" s="1"/>
  <c r="CA33" i="25"/>
  <c r="CA4" i="25"/>
  <c r="CB23" i="25"/>
  <c r="AI125" i="25"/>
  <c r="BF68" i="25"/>
  <c r="AP125" i="25"/>
  <c r="AP116" i="25"/>
  <c r="BM104" i="25"/>
  <c r="AP68" i="25"/>
  <c r="BT68" i="25"/>
  <c r="AM33" i="25"/>
  <c r="AN33" i="25" s="1"/>
  <c r="CR35" i="25"/>
  <c r="Z26" i="25"/>
  <c r="Y34" i="25"/>
  <c r="Z34" i="25" s="1"/>
  <c r="AI10" i="25"/>
  <c r="AM4" i="25"/>
  <c r="CB35" i="25"/>
  <c r="BM35" i="25"/>
  <c r="BM116" i="25"/>
  <c r="BT39" i="25"/>
  <c r="AB29" i="25"/>
  <c r="AM38" i="25"/>
  <c r="BQ38" i="25"/>
  <c r="BQ124" i="25" s="1"/>
  <c r="AP93" i="25"/>
  <c r="AP39" i="25"/>
  <c r="AI29" i="25"/>
  <c r="O104" i="25"/>
  <c r="AB104" i="25" s="1"/>
  <c r="Y33" i="25"/>
  <c r="Z33" i="25" s="1"/>
  <c r="AP83" i="25"/>
  <c r="BT83" i="25"/>
  <c r="BT93" i="25"/>
  <c r="Y4" i="25"/>
  <c r="Z122" i="25" s="1"/>
  <c r="AF35" i="25"/>
  <c r="AP26" i="25"/>
  <c r="AG29" i="25"/>
  <c r="O15" i="25"/>
  <c r="AB15" i="25" s="1"/>
  <c r="BF35" i="25"/>
  <c r="O23" i="25"/>
  <c r="AB23" i="25" s="1"/>
  <c r="AB24" i="25"/>
  <c r="O18" i="25"/>
  <c r="AB18" i="25" s="1"/>
  <c r="AB6" i="25"/>
  <c r="O10" i="25"/>
  <c r="AB12" i="25"/>
  <c r="O39" i="25"/>
  <c r="AB39" i="25" s="1"/>
  <c r="AB41" i="25"/>
  <c r="O83" i="25"/>
  <c r="AB83" i="25" s="1"/>
  <c r="AB86" i="25"/>
  <c r="O93" i="25"/>
  <c r="AB93" i="25" s="1"/>
  <c r="AB96" i="25"/>
  <c r="O116" i="25"/>
  <c r="AB116" i="25" s="1"/>
  <c r="AB118" i="25"/>
  <c r="O125" i="25"/>
  <c r="AB125" i="25" s="1"/>
  <c r="AB128" i="25"/>
  <c r="O68" i="25"/>
  <c r="AB68" i="25" s="1"/>
  <c r="AB72" i="25"/>
  <c r="BJ38" i="25"/>
  <c r="BJ124" i="25" s="1"/>
  <c r="CK83" i="25"/>
  <c r="CK104" i="25"/>
  <c r="CK22" i="25"/>
  <c r="CK116" i="25"/>
  <c r="BT35" i="25"/>
  <c r="BK26" i="25"/>
  <c r="BK27" i="25"/>
  <c r="BT10" i="25"/>
  <c r="BM39" i="25"/>
  <c r="BJ33" i="25"/>
  <c r="BC4" i="25"/>
  <c r="BC22" i="25"/>
  <c r="BM23" i="25"/>
  <c r="BF23" i="25"/>
  <c r="CI23" i="25"/>
  <c r="CI24" i="25"/>
  <c r="CH33" i="25"/>
  <c r="CR33" i="25" s="1"/>
  <c r="CH4" i="25"/>
  <c r="CI8" i="25"/>
  <c r="CK18" i="25"/>
  <c r="CK125" i="25"/>
  <c r="CR125" i="25"/>
  <c r="CR39" i="25"/>
  <c r="CH38" i="25"/>
  <c r="CH34" i="25"/>
  <c r="CR34" i="25" s="1"/>
  <c r="CR10" i="25"/>
  <c r="CI27" i="25"/>
  <c r="CI26" i="25"/>
  <c r="CK39" i="25"/>
  <c r="CK93" i="25"/>
  <c r="CR93" i="25"/>
  <c r="CA38" i="25"/>
  <c r="BR35" i="25"/>
  <c r="BJ4" i="25"/>
  <c r="BK35" i="25"/>
  <c r="BK34" i="25"/>
  <c r="BM93" i="25"/>
  <c r="BF93" i="25"/>
  <c r="BM10" i="25"/>
  <c r="BD27" i="25"/>
  <c r="BC34" i="25"/>
  <c r="BM34" i="25" s="1"/>
  <c r="BD26" i="25"/>
  <c r="BF83" i="25"/>
  <c r="BM83" i="25"/>
  <c r="BC38" i="25"/>
  <c r="BM125" i="25"/>
  <c r="BF125" i="25"/>
  <c r="BF10" i="25"/>
  <c r="BF116" i="25"/>
  <c r="BM18" i="25"/>
  <c r="BF18" i="25"/>
  <c r="BD35" i="25"/>
  <c r="BC33" i="25"/>
  <c r="BD33" i="25" s="1"/>
  <c r="AN35" i="25"/>
  <c r="AF34" i="25"/>
  <c r="AP10" i="25"/>
  <c r="AG27" i="25"/>
  <c r="AG26" i="25"/>
  <c r="AF22" i="25"/>
  <c r="AP22" i="25" s="1"/>
  <c r="AP23" i="25"/>
  <c r="AF33" i="25"/>
  <c r="AG33" i="25" s="1"/>
  <c r="AF4" i="25"/>
  <c r="AG23" i="25"/>
  <c r="AG24" i="25"/>
  <c r="AG8" i="25"/>
  <c r="AF38" i="25"/>
  <c r="Y22" i="25"/>
  <c r="AI23" i="25"/>
  <c r="AI104" i="25"/>
  <c r="AI39" i="25"/>
  <c r="Z23" i="25"/>
  <c r="AI68" i="25"/>
  <c r="AI93" i="25"/>
  <c r="AI116" i="25"/>
  <c r="Y38" i="25"/>
  <c r="CP116" i="25" l="1"/>
  <c r="CP39" i="25"/>
  <c r="CP77" i="25"/>
  <c r="CP63" i="25"/>
  <c r="CP106" i="25"/>
  <c r="CP74" i="25"/>
  <c r="CD34" i="25"/>
  <c r="AG14" i="25"/>
  <c r="AG5" i="25"/>
  <c r="BK14" i="25"/>
  <c r="BK5" i="25"/>
  <c r="CI14" i="25"/>
  <c r="CI5" i="25"/>
  <c r="CB45" i="25"/>
  <c r="CB5" i="25"/>
  <c r="CP41" i="25"/>
  <c r="BR14" i="25"/>
  <c r="BR5" i="25"/>
  <c r="Z61" i="25"/>
  <c r="Z5" i="25"/>
  <c r="AN50" i="25"/>
  <c r="AN5" i="25"/>
  <c r="CP14" i="25"/>
  <c r="CP5" i="25"/>
  <c r="BD68" i="25"/>
  <c r="BD5" i="25"/>
  <c r="CB102" i="25"/>
  <c r="AN129" i="25"/>
  <c r="O22" i="25"/>
  <c r="AB22" i="25" s="1"/>
  <c r="BR50" i="25"/>
  <c r="BR49" i="25"/>
  <c r="BT33" i="25"/>
  <c r="CB75" i="25"/>
  <c r="CQ38" i="25"/>
  <c r="CQ53" i="25"/>
  <c r="CQ106" i="25"/>
  <c r="CQ71" i="25"/>
  <c r="CQ87" i="25"/>
  <c r="CP47" i="25"/>
  <c r="CP80" i="25"/>
  <c r="CP44" i="25"/>
  <c r="CP133" i="25"/>
  <c r="CP57" i="25"/>
  <c r="CP98" i="25"/>
  <c r="CP69" i="25"/>
  <c r="CQ61" i="25"/>
  <c r="CQ96" i="25"/>
  <c r="CQ46" i="25"/>
  <c r="CQ79" i="25"/>
  <c r="CQ123" i="25"/>
  <c r="CQ111" i="25"/>
  <c r="CQ70" i="25"/>
  <c r="CQ105" i="25"/>
  <c r="CQ54" i="25"/>
  <c r="CQ88" i="25"/>
  <c r="CP6" i="25"/>
  <c r="CP49" i="25"/>
  <c r="CP65" i="25"/>
  <c r="CP83" i="25"/>
  <c r="CP12" i="25"/>
  <c r="CP52" i="25"/>
  <c r="CP86" i="25"/>
  <c r="CP134" i="25"/>
  <c r="CQ45" i="25"/>
  <c r="CQ78" i="25"/>
  <c r="CQ122" i="25"/>
  <c r="CQ62" i="25"/>
  <c r="CQ97" i="25"/>
  <c r="CP55" i="25"/>
  <c r="CP72" i="25"/>
  <c r="CP89" i="25"/>
  <c r="CP132" i="25"/>
  <c r="CP60" i="25"/>
  <c r="CP95" i="25"/>
  <c r="CQ39" i="25"/>
  <c r="CQ47" i="25"/>
  <c r="CQ55" i="25"/>
  <c r="CQ63" i="25"/>
  <c r="CQ72" i="25"/>
  <c r="CQ80" i="25"/>
  <c r="CQ89" i="25"/>
  <c r="CQ98" i="25"/>
  <c r="CQ116" i="25"/>
  <c r="CQ124" i="25"/>
  <c r="CQ40" i="25"/>
  <c r="CQ48" i="25"/>
  <c r="CQ56" i="25"/>
  <c r="CQ64" i="25"/>
  <c r="CQ73" i="25"/>
  <c r="CQ81" i="25"/>
  <c r="CQ90" i="25"/>
  <c r="CQ99" i="25"/>
  <c r="CQ117" i="25"/>
  <c r="CP124" i="25"/>
  <c r="CQ41" i="25"/>
  <c r="CQ49" i="25"/>
  <c r="CQ57" i="25"/>
  <c r="CQ65" i="25"/>
  <c r="CQ74" i="25"/>
  <c r="CQ83" i="25"/>
  <c r="CQ91" i="25"/>
  <c r="CQ100" i="25"/>
  <c r="CQ118" i="25"/>
  <c r="CQ110" i="25"/>
  <c r="CQ42" i="25"/>
  <c r="CQ50" i="25"/>
  <c r="CQ58" i="25"/>
  <c r="CQ66" i="25"/>
  <c r="CQ75" i="25"/>
  <c r="CQ84" i="25"/>
  <c r="CQ93" i="25"/>
  <c r="CQ101" i="25"/>
  <c r="CQ119" i="25"/>
  <c r="CQ43" i="25"/>
  <c r="CQ51" i="25"/>
  <c r="CQ59" i="25"/>
  <c r="CQ68" i="25"/>
  <c r="CQ76" i="25"/>
  <c r="CQ85" i="25"/>
  <c r="CQ94" i="25"/>
  <c r="CQ102" i="25"/>
  <c r="CQ120" i="25"/>
  <c r="CQ138" i="25"/>
  <c r="CQ44" i="25"/>
  <c r="CQ52" i="25"/>
  <c r="CQ60" i="25"/>
  <c r="CQ69" i="25"/>
  <c r="CQ77" i="25"/>
  <c r="CQ86" i="25"/>
  <c r="CQ95" i="25"/>
  <c r="CQ104" i="25"/>
  <c r="AN89" i="25"/>
  <c r="AN84" i="25"/>
  <c r="AI35" i="25"/>
  <c r="CP91" i="25"/>
  <c r="CP100" i="25"/>
  <c r="CP118" i="25"/>
  <c r="CP127" i="25"/>
  <c r="CP18" i="25"/>
  <c r="CP138" i="25"/>
  <c r="CP38" i="25"/>
  <c r="CP46" i="25"/>
  <c r="CP54" i="25"/>
  <c r="CP62" i="25"/>
  <c r="CP71" i="25"/>
  <c r="CP79" i="25"/>
  <c r="CP88" i="25"/>
  <c r="CP97" i="25"/>
  <c r="CP119" i="25"/>
  <c r="CP15" i="25"/>
  <c r="Z46" i="25"/>
  <c r="AN61" i="25"/>
  <c r="AN91" i="25"/>
  <c r="CP11" i="25"/>
  <c r="CP43" i="25"/>
  <c r="CP51" i="25"/>
  <c r="CP59" i="25"/>
  <c r="CP68" i="25"/>
  <c r="CP76" i="25"/>
  <c r="CP85" i="25"/>
  <c r="CP94" i="25"/>
  <c r="CP102" i="25"/>
  <c r="CP120" i="25"/>
  <c r="CP131" i="25"/>
  <c r="CP110" i="25"/>
  <c r="CP4" i="25"/>
  <c r="CP40" i="25"/>
  <c r="CP48" i="25"/>
  <c r="CP56" i="25"/>
  <c r="CP64" i="25"/>
  <c r="CP73" i="25"/>
  <c r="CP81" i="25"/>
  <c r="CP90" i="25"/>
  <c r="CP101" i="25"/>
  <c r="CP121" i="25"/>
  <c r="CP22" i="25"/>
  <c r="CB125" i="25"/>
  <c r="CP16" i="25"/>
  <c r="CP45" i="25"/>
  <c r="CP53" i="25"/>
  <c r="CP61" i="25"/>
  <c r="CP70" i="25"/>
  <c r="CP78" i="25"/>
  <c r="CP87" i="25"/>
  <c r="CP96" i="25"/>
  <c r="CP105" i="25"/>
  <c r="CP122" i="25"/>
  <c r="CP7" i="25"/>
  <c r="CP128" i="25"/>
  <c r="CP13" i="25"/>
  <c r="CP42" i="25"/>
  <c r="CP50" i="25"/>
  <c r="CP58" i="25"/>
  <c r="CP66" i="25"/>
  <c r="CP75" i="25"/>
  <c r="CP84" i="25"/>
  <c r="CP93" i="25"/>
  <c r="CP104" i="25"/>
  <c r="CP129" i="25"/>
  <c r="CP130" i="25"/>
  <c r="CB104" i="25"/>
  <c r="CB65" i="25"/>
  <c r="CB42" i="25"/>
  <c r="CB48" i="25"/>
  <c r="CB69" i="25"/>
  <c r="CB6" i="25"/>
  <c r="CB118" i="25"/>
  <c r="CB68" i="25"/>
  <c r="BR34" i="25"/>
  <c r="CB13" i="25"/>
  <c r="CB119" i="25"/>
  <c r="CB63" i="25"/>
  <c r="CD33" i="25"/>
  <c r="BR131" i="25"/>
  <c r="BD50" i="25"/>
  <c r="AP34" i="25"/>
  <c r="BT34" i="25"/>
  <c r="CB16" i="25"/>
  <c r="CB95" i="25"/>
  <c r="CB60" i="25"/>
  <c r="CB128" i="25"/>
  <c r="CB94" i="25"/>
  <c r="CB57" i="25"/>
  <c r="CB15" i="25"/>
  <c r="CB101" i="25"/>
  <c r="CB66" i="25"/>
  <c r="CB4" i="25"/>
  <c r="CB100" i="25"/>
  <c r="CB55" i="25"/>
  <c r="CB90" i="25"/>
  <c r="CB18" i="25"/>
  <c r="CB22" i="25"/>
  <c r="CB133" i="25"/>
  <c r="CB86" i="25"/>
  <c r="CB52" i="25"/>
  <c r="CB7" i="25"/>
  <c r="CB85" i="25"/>
  <c r="CB49" i="25"/>
  <c r="CB134" i="25"/>
  <c r="CB93" i="25"/>
  <c r="CB58" i="25"/>
  <c r="CB110" i="25"/>
  <c r="CB91" i="25"/>
  <c r="CB47" i="25"/>
  <c r="CB81" i="25"/>
  <c r="CB127" i="25"/>
  <c r="CB121" i="25"/>
  <c r="CB77" i="25"/>
  <c r="CB44" i="25"/>
  <c r="CB120" i="25"/>
  <c r="CB76" i="25"/>
  <c r="CB41" i="25"/>
  <c r="CB129" i="25"/>
  <c r="CB84" i="25"/>
  <c r="CB50" i="25"/>
  <c r="CB131" i="25"/>
  <c r="CB83" i="25"/>
  <c r="CB56" i="25"/>
  <c r="CB72" i="25"/>
  <c r="BR48" i="25"/>
  <c r="BR57" i="25"/>
  <c r="BR99" i="25"/>
  <c r="BR44" i="25"/>
  <c r="BR134" i="25"/>
  <c r="BR83" i="25"/>
  <c r="BR138" i="25"/>
  <c r="BR77" i="25"/>
  <c r="BR119" i="25"/>
  <c r="BR91" i="25"/>
  <c r="BD129" i="25"/>
  <c r="BD85" i="25"/>
  <c r="BD134" i="25"/>
  <c r="BD128" i="25"/>
  <c r="BD84" i="25"/>
  <c r="BD51" i="25"/>
  <c r="BC36" i="25"/>
  <c r="BD36" i="25" s="1"/>
  <c r="BD66" i="25"/>
  <c r="BD102" i="25"/>
  <c r="BD101" i="25"/>
  <c r="AG35" i="25"/>
  <c r="CB33" i="25"/>
  <c r="CP123" i="25"/>
  <c r="CP111" i="25"/>
  <c r="CO36" i="25"/>
  <c r="CP36" i="25" s="1"/>
  <c r="CP99" i="25"/>
  <c r="CP117" i="25"/>
  <c r="CP125" i="25"/>
  <c r="CP10" i="25"/>
  <c r="CP126" i="25"/>
  <c r="BR13" i="25"/>
  <c r="BR81" i="25"/>
  <c r="BR6" i="25"/>
  <c r="BR65" i="25"/>
  <c r="BR100" i="25"/>
  <c r="BR121" i="25"/>
  <c r="BR71" i="25"/>
  <c r="BR22" i="25"/>
  <c r="BR41" i="25"/>
  <c r="BR74" i="25"/>
  <c r="BR118" i="25"/>
  <c r="BR18" i="25"/>
  <c r="CB80" i="25"/>
  <c r="CB74" i="25"/>
  <c r="CB39" i="25"/>
  <c r="CB117" i="25"/>
  <c r="CB73" i="25"/>
  <c r="CB40" i="25"/>
  <c r="CB116" i="25"/>
  <c r="CB61" i="25"/>
  <c r="CB130" i="25"/>
  <c r="CB99" i="25"/>
  <c r="CB64" i="25"/>
  <c r="CB138" i="25"/>
  <c r="CB98" i="25"/>
  <c r="BR52" i="25"/>
  <c r="BR86" i="25"/>
  <c r="BR46" i="25"/>
  <c r="BR79" i="25"/>
  <c r="BR66" i="25"/>
  <c r="BR56" i="25"/>
  <c r="BR111" i="25"/>
  <c r="BR93" i="25"/>
  <c r="BR123" i="25"/>
  <c r="BR11" i="25"/>
  <c r="BR43" i="25"/>
  <c r="BR51" i="25"/>
  <c r="BR59" i="25"/>
  <c r="BR68" i="25"/>
  <c r="BR76" i="25"/>
  <c r="BR85" i="25"/>
  <c r="BR94" i="25"/>
  <c r="BR102" i="25"/>
  <c r="BR120" i="25"/>
  <c r="CD4" i="25"/>
  <c r="BR104" i="25"/>
  <c r="BR129" i="25"/>
  <c r="BR110" i="25"/>
  <c r="BQ36" i="25"/>
  <c r="BR36" i="25" s="1"/>
  <c r="BD131" i="25"/>
  <c r="BD14" i="25"/>
  <c r="BR42" i="25"/>
  <c r="BR60" i="25"/>
  <c r="BR58" i="25"/>
  <c r="BR54" i="25"/>
  <c r="BR88" i="25"/>
  <c r="BR19" i="25"/>
  <c r="BR64" i="25"/>
  <c r="BR10" i="25"/>
  <c r="BR126" i="25"/>
  <c r="BR97" i="25"/>
  <c r="BR125" i="25"/>
  <c r="BR16" i="25"/>
  <c r="BR45" i="25"/>
  <c r="BR53" i="25"/>
  <c r="BR61" i="25"/>
  <c r="BR70" i="25"/>
  <c r="BR78" i="25"/>
  <c r="BR87" i="25"/>
  <c r="BR96" i="25"/>
  <c r="BR105" i="25"/>
  <c r="BR122" i="25"/>
  <c r="BR90" i="25"/>
  <c r="BR106" i="25"/>
  <c r="BR7" i="25"/>
  <c r="BR128" i="25"/>
  <c r="Z116" i="25"/>
  <c r="Z14" i="25"/>
  <c r="AM36" i="25"/>
  <c r="AM109" i="25" s="1"/>
  <c r="AN14" i="25"/>
  <c r="CB53" i="25"/>
  <c r="CB14" i="25"/>
  <c r="BR75" i="25"/>
  <c r="BR69" i="25"/>
  <c r="BR84" i="25"/>
  <c r="BR62" i="25"/>
  <c r="BR4" i="25"/>
  <c r="BR40" i="25"/>
  <c r="BR73" i="25"/>
  <c r="BR15" i="25"/>
  <c r="BR130" i="25"/>
  <c r="BR101" i="25"/>
  <c r="BR133" i="25"/>
  <c r="BR39" i="25"/>
  <c r="BR47" i="25"/>
  <c r="BR55" i="25"/>
  <c r="BR63" i="25"/>
  <c r="BR72" i="25"/>
  <c r="BR80" i="25"/>
  <c r="BR89" i="25"/>
  <c r="BR98" i="25"/>
  <c r="BR116" i="25"/>
  <c r="BR127" i="25"/>
  <c r="BR95" i="25"/>
  <c r="BR117" i="25"/>
  <c r="BR12" i="25"/>
  <c r="BR132" i="25"/>
  <c r="BR124" i="25"/>
  <c r="CB89" i="25"/>
  <c r="CB10" i="25"/>
  <c r="CB97" i="25"/>
  <c r="CB62" i="25"/>
  <c r="CB132" i="25"/>
  <c r="CB96" i="25"/>
  <c r="CB59" i="25"/>
  <c r="CA36" i="25"/>
  <c r="CB36" i="25" s="1"/>
  <c r="CB88" i="25"/>
  <c r="CB54" i="25"/>
  <c r="CB12" i="25"/>
  <c r="CB87" i="25"/>
  <c r="CB51" i="25"/>
  <c r="CB126" i="25"/>
  <c r="CB123" i="25"/>
  <c r="CB79" i="25"/>
  <c r="CB46" i="25"/>
  <c r="CB122" i="25"/>
  <c r="CB78" i="25"/>
  <c r="CB43" i="25"/>
  <c r="CB106" i="25"/>
  <c r="CB71" i="25"/>
  <c r="CB19" i="25"/>
  <c r="CB105" i="25"/>
  <c r="CB70" i="25"/>
  <c r="CB11" i="25"/>
  <c r="CB111" i="25"/>
  <c r="AP33" i="25"/>
  <c r="AP35" i="25"/>
  <c r="CK33" i="25"/>
  <c r="Z98" i="25"/>
  <c r="Z121" i="25"/>
  <c r="Z45" i="25"/>
  <c r="AN7" i="25"/>
  <c r="AN87" i="25"/>
  <c r="AN58" i="25"/>
  <c r="AN93" i="25"/>
  <c r="AN126" i="25"/>
  <c r="AN118" i="25"/>
  <c r="BK33" i="25"/>
  <c r="Z79" i="25"/>
  <c r="Z11" i="25"/>
  <c r="Z97" i="25"/>
  <c r="Z10" i="25"/>
  <c r="AN45" i="25"/>
  <c r="AN128" i="25"/>
  <c r="AN4" i="25"/>
  <c r="AN66" i="25"/>
  <c r="AN101" i="25"/>
  <c r="AN6" i="25"/>
  <c r="Z62" i="25"/>
  <c r="Z78" i="25"/>
  <c r="AN65" i="25"/>
  <c r="AN16" i="25"/>
  <c r="AN42" i="25"/>
  <c r="AN75" i="25"/>
  <c r="AN119" i="25"/>
  <c r="AN63" i="25"/>
  <c r="P29" i="25"/>
  <c r="BR38" i="25"/>
  <c r="BT38" i="25"/>
  <c r="CD38" i="25"/>
  <c r="Z118" i="25"/>
  <c r="Z94" i="25"/>
  <c r="Z75" i="25"/>
  <c r="Z58" i="25"/>
  <c r="Z42" i="25"/>
  <c r="Z6" i="25"/>
  <c r="Z134" i="25"/>
  <c r="Z117" i="25"/>
  <c r="Z91" i="25"/>
  <c r="Z74" i="25"/>
  <c r="Z57" i="25"/>
  <c r="Z41" i="25"/>
  <c r="AN10" i="25"/>
  <c r="AN47" i="25"/>
  <c r="AN72" i="25"/>
  <c r="AN96" i="25"/>
  <c r="AN12" i="25"/>
  <c r="AN132" i="25"/>
  <c r="AN41" i="25"/>
  <c r="AN68" i="25"/>
  <c r="AN94" i="25"/>
  <c r="AN13" i="25"/>
  <c r="AN44" i="25"/>
  <c r="AN52" i="25"/>
  <c r="AN60" i="25"/>
  <c r="AN69" i="25"/>
  <c r="AN77" i="25"/>
  <c r="AN86" i="25"/>
  <c r="AN95" i="25"/>
  <c r="AN104" i="25"/>
  <c r="AN121" i="25"/>
  <c r="AN133" i="25"/>
  <c r="AN130" i="25"/>
  <c r="AN43" i="25"/>
  <c r="AN70" i="25"/>
  <c r="AN98" i="25"/>
  <c r="AN127" i="25"/>
  <c r="BM33" i="25"/>
  <c r="P30" i="25"/>
  <c r="Z131" i="25"/>
  <c r="Z88" i="25"/>
  <c r="Z71" i="25"/>
  <c r="Z54" i="25"/>
  <c r="Z130" i="25"/>
  <c r="Z106" i="25"/>
  <c r="Z87" i="25"/>
  <c r="Z70" i="25"/>
  <c r="Z53" i="25"/>
  <c r="Z22" i="25"/>
  <c r="AN11" i="25"/>
  <c r="AN53" i="25"/>
  <c r="AN76" i="25"/>
  <c r="AN100" i="25"/>
  <c r="AN18" i="25"/>
  <c r="AN138" i="25"/>
  <c r="AN49" i="25"/>
  <c r="AN74" i="25"/>
  <c r="AN102" i="25"/>
  <c r="AN19" i="25"/>
  <c r="AN46" i="25"/>
  <c r="AN54" i="25"/>
  <c r="AN62" i="25"/>
  <c r="AN71" i="25"/>
  <c r="AN79" i="25"/>
  <c r="AN88" i="25"/>
  <c r="AN97" i="25"/>
  <c r="AN106" i="25"/>
  <c r="AN123" i="25"/>
  <c r="AN22" i="25"/>
  <c r="AN134" i="25"/>
  <c r="AN51" i="25"/>
  <c r="AN80" i="25"/>
  <c r="AN105" i="25"/>
  <c r="AN131" i="25"/>
  <c r="O35" i="25"/>
  <c r="AB35" i="25" s="1"/>
  <c r="AN38" i="25"/>
  <c r="Y36" i="25"/>
  <c r="Z36" i="25" s="1"/>
  <c r="Z110" i="25"/>
  <c r="Z93" i="25"/>
  <c r="Z127" i="25"/>
  <c r="Z102" i="25"/>
  <c r="Z84" i="25"/>
  <c r="Z66" i="25"/>
  <c r="Z50" i="25"/>
  <c r="Z16" i="25"/>
  <c r="Z126" i="25"/>
  <c r="Z101" i="25"/>
  <c r="Z83" i="25"/>
  <c r="Z65" i="25"/>
  <c r="Z49" i="25"/>
  <c r="Z15" i="25"/>
  <c r="AN39" i="25"/>
  <c r="AN59" i="25"/>
  <c r="AN83" i="25"/>
  <c r="AN120" i="25"/>
  <c r="AN110" i="25"/>
  <c r="AN15" i="25"/>
  <c r="AN55" i="25"/>
  <c r="AN78" i="25"/>
  <c r="AN122" i="25"/>
  <c r="AN40" i="25"/>
  <c r="AN48" i="25"/>
  <c r="AN56" i="25"/>
  <c r="AN64" i="25"/>
  <c r="AN73" i="25"/>
  <c r="AN81" i="25"/>
  <c r="AN90" i="25"/>
  <c r="AN99" i="25"/>
  <c r="AN117" i="25"/>
  <c r="AN125" i="25"/>
  <c r="AN111" i="25"/>
  <c r="AN57" i="25"/>
  <c r="AN85" i="25"/>
  <c r="AN116" i="25"/>
  <c r="BD7" i="25"/>
  <c r="BD10" i="25"/>
  <c r="BD52" i="25"/>
  <c r="BD69" i="25"/>
  <c r="BD86" i="25"/>
  <c r="BD104" i="25"/>
  <c r="BD133" i="25"/>
  <c r="BD16" i="25"/>
  <c r="BD53" i="25"/>
  <c r="BD70" i="25"/>
  <c r="BD87" i="25"/>
  <c r="BD105" i="25"/>
  <c r="O33" i="25"/>
  <c r="AB33" i="25" s="1"/>
  <c r="AM124" i="25"/>
  <c r="AN124" i="25" s="1"/>
  <c r="BF38" i="25"/>
  <c r="BD12" i="25"/>
  <c r="BD42" i="25"/>
  <c r="BD58" i="25"/>
  <c r="BD75" i="25"/>
  <c r="BD93" i="25"/>
  <c r="BD119" i="25"/>
  <c r="BD22" i="25"/>
  <c r="BD43" i="25"/>
  <c r="BD59" i="25"/>
  <c r="BD76" i="25"/>
  <c r="BD94" i="25"/>
  <c r="BD120" i="25"/>
  <c r="BD6" i="25"/>
  <c r="BD110" i="25"/>
  <c r="BD44" i="25"/>
  <c r="BD60" i="25"/>
  <c r="BD77" i="25"/>
  <c r="BD95" i="25"/>
  <c r="BD121" i="25"/>
  <c r="BD111" i="25"/>
  <c r="BD45" i="25"/>
  <c r="BD61" i="25"/>
  <c r="BD78" i="25"/>
  <c r="BD96" i="25"/>
  <c r="BD122" i="25"/>
  <c r="O4" i="25"/>
  <c r="BD11" i="25"/>
  <c r="BD132" i="25"/>
  <c r="BD4" i="25"/>
  <c r="BD18" i="25"/>
  <c r="BD46" i="25"/>
  <c r="BD54" i="25"/>
  <c r="BD62" i="25"/>
  <c r="BD71" i="25"/>
  <c r="BD79" i="25"/>
  <c r="BD88" i="25"/>
  <c r="BD97" i="25"/>
  <c r="BD106" i="25"/>
  <c r="BD123" i="25"/>
  <c r="BM4" i="25"/>
  <c r="BD126" i="25"/>
  <c r="BD39" i="25"/>
  <c r="BD47" i="25"/>
  <c r="BD55" i="25"/>
  <c r="BD63" i="25"/>
  <c r="BD72" i="25"/>
  <c r="BD80" i="25"/>
  <c r="BD89" i="25"/>
  <c r="BD98" i="25"/>
  <c r="BD116" i="25"/>
  <c r="BD127" i="25"/>
  <c r="BF4" i="25"/>
  <c r="BD19" i="25"/>
  <c r="BD138" i="25"/>
  <c r="BD13" i="25"/>
  <c r="BD40" i="25"/>
  <c r="BD48" i="25"/>
  <c r="BD56" i="25"/>
  <c r="BD64" i="25"/>
  <c r="BD73" i="25"/>
  <c r="BD81" i="25"/>
  <c r="BD90" i="25"/>
  <c r="BD99" i="25"/>
  <c r="BD117" i="25"/>
  <c r="BD125" i="25"/>
  <c r="BD15" i="25"/>
  <c r="BD130" i="25"/>
  <c r="BD41" i="25"/>
  <c r="BD49" i="25"/>
  <c r="BD57" i="25"/>
  <c r="BD65" i="25"/>
  <c r="BD74" i="25"/>
  <c r="BD83" i="25"/>
  <c r="BD91" i="25"/>
  <c r="BD100" i="25"/>
  <c r="BD118" i="25"/>
  <c r="Z138" i="25"/>
  <c r="Z128" i="25"/>
  <c r="Z119" i="25"/>
  <c r="Z100" i="25"/>
  <c r="Z90" i="25"/>
  <c r="Z81" i="25"/>
  <c r="Z73" i="25"/>
  <c r="Z64" i="25"/>
  <c r="Z56" i="25"/>
  <c r="Z48" i="25"/>
  <c r="Z40" i="25"/>
  <c r="Z19" i="25"/>
  <c r="Z59" i="25"/>
  <c r="Z12" i="25"/>
  <c r="Z133" i="25"/>
  <c r="Z125" i="25"/>
  <c r="Z111" i="25"/>
  <c r="Z99" i="25"/>
  <c r="Z89" i="25"/>
  <c r="Z80" i="25"/>
  <c r="Z72" i="25"/>
  <c r="Z63" i="25"/>
  <c r="Z55" i="25"/>
  <c r="Z47" i="25"/>
  <c r="Z39" i="25"/>
  <c r="Z18" i="25"/>
  <c r="Z7" i="25"/>
  <c r="Z129" i="25"/>
  <c r="Z104" i="25"/>
  <c r="Z85" i="25"/>
  <c r="Z76" i="25"/>
  <c r="Z51" i="25"/>
  <c r="Z132" i="25"/>
  <c r="Z123" i="25"/>
  <c r="Z105" i="25"/>
  <c r="Z96" i="25"/>
  <c r="Z86" i="25"/>
  <c r="Z77" i="25"/>
  <c r="Z69" i="25"/>
  <c r="Z60" i="25"/>
  <c r="Z52" i="25"/>
  <c r="Z44" i="25"/>
  <c r="Z13" i="25"/>
  <c r="Z4" i="25"/>
  <c r="Z120" i="25"/>
  <c r="Z95" i="25"/>
  <c r="Z68" i="25"/>
  <c r="Z43" i="25"/>
  <c r="O34" i="25"/>
  <c r="AB34" i="25" s="1"/>
  <c r="AB10" i="25"/>
  <c r="P27" i="25"/>
  <c r="P26" i="25"/>
  <c r="O38" i="25"/>
  <c r="O124" i="25" s="1"/>
  <c r="P24" i="25"/>
  <c r="P8" i="25"/>
  <c r="P23" i="25"/>
  <c r="CK34" i="25"/>
  <c r="CI34" i="25"/>
  <c r="BM22" i="25"/>
  <c r="BF22" i="25"/>
  <c r="CO109" i="25"/>
  <c r="CI33" i="25"/>
  <c r="CH36" i="25"/>
  <c r="CI36" i="25" s="1"/>
  <c r="CR4" i="25"/>
  <c r="CI138" i="25"/>
  <c r="CI132" i="25"/>
  <c r="CI128" i="25"/>
  <c r="CI110" i="25"/>
  <c r="CI131" i="25"/>
  <c r="CI127" i="25"/>
  <c r="CI122" i="25"/>
  <c r="CI120" i="25"/>
  <c r="CI118" i="25"/>
  <c r="CI116" i="25"/>
  <c r="CI105" i="25"/>
  <c r="CI102" i="25"/>
  <c r="CI100" i="25"/>
  <c r="CI98" i="25"/>
  <c r="CI134" i="25"/>
  <c r="CI130" i="25"/>
  <c r="CI126" i="25"/>
  <c r="CI111" i="25"/>
  <c r="CI133" i="25"/>
  <c r="CI121" i="25"/>
  <c r="CI99" i="25"/>
  <c r="CI94" i="25"/>
  <c r="CI89" i="25"/>
  <c r="CI85" i="25"/>
  <c r="CI80" i="25"/>
  <c r="CI77" i="25"/>
  <c r="CI72" i="25"/>
  <c r="CI69" i="25"/>
  <c r="CI63" i="25"/>
  <c r="CI60" i="25"/>
  <c r="CI55" i="25"/>
  <c r="CI52" i="25"/>
  <c r="CI47" i="25"/>
  <c r="CI44" i="25"/>
  <c r="CI39" i="25"/>
  <c r="CI16" i="25"/>
  <c r="CI11" i="25"/>
  <c r="CI6" i="25"/>
  <c r="CI123" i="25"/>
  <c r="CI95" i="25"/>
  <c r="CI86" i="25"/>
  <c r="CI78" i="25"/>
  <c r="CI70" i="25"/>
  <c r="CI50" i="25"/>
  <c r="CI45" i="25"/>
  <c r="CI129" i="25"/>
  <c r="CI119" i="25"/>
  <c r="CI106" i="25"/>
  <c r="CI97" i="25"/>
  <c r="CI93" i="25"/>
  <c r="CI88" i="25"/>
  <c r="CI84" i="25"/>
  <c r="CI79" i="25"/>
  <c r="CI74" i="25"/>
  <c r="CI71" i="25"/>
  <c r="CI65" i="25"/>
  <c r="CI62" i="25"/>
  <c r="CI57" i="25"/>
  <c r="CI54" i="25"/>
  <c r="CI49" i="25"/>
  <c r="CI46" i="25"/>
  <c r="CI41" i="25"/>
  <c r="CI22" i="25"/>
  <c r="CI15" i="25"/>
  <c r="CI10" i="25"/>
  <c r="CI101" i="25"/>
  <c r="CI90" i="25"/>
  <c r="CI81" i="25"/>
  <c r="CI75" i="25"/>
  <c r="CI66" i="25"/>
  <c r="CI58" i="25"/>
  <c r="CI53" i="25"/>
  <c r="CI42" i="25"/>
  <c r="CI12" i="25"/>
  <c r="CI7" i="25"/>
  <c r="CI125" i="25"/>
  <c r="CI117" i="25"/>
  <c r="CI104" i="25"/>
  <c r="CI96" i="25"/>
  <c r="CI91" i="25"/>
  <c r="CI87" i="25"/>
  <c r="CI83" i="25"/>
  <c r="CI76" i="25"/>
  <c r="CI73" i="25"/>
  <c r="CI68" i="25"/>
  <c r="CI64" i="25"/>
  <c r="CI59" i="25"/>
  <c r="CI56" i="25"/>
  <c r="CI51" i="25"/>
  <c r="CI48" i="25"/>
  <c r="CI43" i="25"/>
  <c r="CI40" i="25"/>
  <c r="CI38" i="25"/>
  <c r="CI19" i="25"/>
  <c r="CI13" i="25"/>
  <c r="CI4" i="25"/>
  <c r="CI61" i="25"/>
  <c r="CI18" i="25"/>
  <c r="CK4" i="25"/>
  <c r="CH124" i="25"/>
  <c r="CR38" i="25"/>
  <c r="CA124" i="25"/>
  <c r="CK38" i="25"/>
  <c r="CB38" i="25"/>
  <c r="BS124" i="25"/>
  <c r="BS122" i="25"/>
  <c r="BS120" i="25"/>
  <c r="BS118" i="25"/>
  <c r="BS116" i="25"/>
  <c r="BS105" i="25"/>
  <c r="BS102" i="25"/>
  <c r="BS100" i="25"/>
  <c r="BS98" i="25"/>
  <c r="BS96" i="25"/>
  <c r="BS94" i="25"/>
  <c r="BS91" i="25"/>
  <c r="BS89" i="25"/>
  <c r="BS87" i="25"/>
  <c r="BS85" i="25"/>
  <c r="BS83" i="25"/>
  <c r="BS80" i="25"/>
  <c r="BS78" i="25"/>
  <c r="BS76" i="25"/>
  <c r="BS74" i="25"/>
  <c r="BS72" i="25"/>
  <c r="BS70" i="25"/>
  <c r="BS68" i="25"/>
  <c r="BS65" i="25"/>
  <c r="BS63" i="25"/>
  <c r="BS61" i="25"/>
  <c r="BS59" i="25"/>
  <c r="BS57" i="25"/>
  <c r="BS55" i="25"/>
  <c r="BS53" i="25"/>
  <c r="BS51" i="25"/>
  <c r="BS49" i="25"/>
  <c r="BS47" i="25"/>
  <c r="BS45" i="25"/>
  <c r="BS43" i="25"/>
  <c r="BS41" i="25"/>
  <c r="BS39" i="25"/>
  <c r="BS138" i="25"/>
  <c r="BS111" i="25"/>
  <c r="BS110" i="25"/>
  <c r="BS123" i="25"/>
  <c r="BS121" i="25"/>
  <c r="BS119" i="25"/>
  <c r="BS117" i="25"/>
  <c r="BS106" i="25"/>
  <c r="BS104" i="25"/>
  <c r="BS101" i="25"/>
  <c r="BS99" i="25"/>
  <c r="BS97" i="25"/>
  <c r="BS95" i="25"/>
  <c r="BS93" i="25"/>
  <c r="BS90" i="25"/>
  <c r="BS88" i="25"/>
  <c r="BS86" i="25"/>
  <c r="BS84" i="25"/>
  <c r="BS81" i="25"/>
  <c r="BS79" i="25"/>
  <c r="BS77" i="25"/>
  <c r="BS75" i="25"/>
  <c r="BS73" i="25"/>
  <c r="BS71" i="25"/>
  <c r="BS69" i="25"/>
  <c r="BS66" i="25"/>
  <c r="BS64" i="25"/>
  <c r="BS62" i="25"/>
  <c r="BS60" i="25"/>
  <c r="BS58" i="25"/>
  <c r="BS56" i="25"/>
  <c r="BS54" i="25"/>
  <c r="BS52" i="25"/>
  <c r="BS50" i="25"/>
  <c r="BS48" i="25"/>
  <c r="BS46" i="25"/>
  <c r="BS44" i="25"/>
  <c r="BS42" i="25"/>
  <c r="BS40" i="25"/>
  <c r="BS38" i="25"/>
  <c r="BJ36" i="25"/>
  <c r="BK36" i="25" s="1"/>
  <c r="BK131" i="25"/>
  <c r="BK127" i="25"/>
  <c r="BK124" i="25"/>
  <c r="BK122" i="25"/>
  <c r="BK120" i="25"/>
  <c r="BK118" i="25"/>
  <c r="BK116" i="25"/>
  <c r="BK105" i="25"/>
  <c r="BK102" i="25"/>
  <c r="BK100" i="25"/>
  <c r="BK98" i="25"/>
  <c r="BK96" i="25"/>
  <c r="BK94" i="25"/>
  <c r="BK91" i="25"/>
  <c r="BK89" i="25"/>
  <c r="BK87" i="25"/>
  <c r="BK85" i="25"/>
  <c r="BK83" i="25"/>
  <c r="BK80" i="25"/>
  <c r="BK78" i="25"/>
  <c r="BK76" i="25"/>
  <c r="BK74" i="25"/>
  <c r="BK72" i="25"/>
  <c r="BK70" i="25"/>
  <c r="BK68" i="25"/>
  <c r="BK65" i="25"/>
  <c r="BK63" i="25"/>
  <c r="BK61" i="25"/>
  <c r="BK59" i="25"/>
  <c r="BK57" i="25"/>
  <c r="BK55" i="25"/>
  <c r="BK53" i="25"/>
  <c r="BK51" i="25"/>
  <c r="BK49" i="25"/>
  <c r="BK47" i="25"/>
  <c r="BK45" i="25"/>
  <c r="BK43" i="25"/>
  <c r="BK41" i="25"/>
  <c r="BK39" i="25"/>
  <c r="BK16" i="25"/>
  <c r="BK11" i="25"/>
  <c r="BK6" i="25"/>
  <c r="BK134" i="25"/>
  <c r="BK130" i="25"/>
  <c r="BK126" i="25"/>
  <c r="BK111" i="25"/>
  <c r="BK138" i="25"/>
  <c r="BK128" i="25"/>
  <c r="BK69" i="25"/>
  <c r="BK60" i="25"/>
  <c r="BK52" i="25"/>
  <c r="BK44" i="25"/>
  <c r="BK15" i="25"/>
  <c r="BK133" i="25"/>
  <c r="BK121" i="25"/>
  <c r="BK95" i="25"/>
  <c r="BK86" i="25"/>
  <c r="BK77" i="25"/>
  <c r="BK62" i="25"/>
  <c r="BK46" i="25"/>
  <c r="BK38" i="25"/>
  <c r="BK22" i="25"/>
  <c r="BK13" i="25"/>
  <c r="BK7" i="25"/>
  <c r="BK119" i="25"/>
  <c r="BK97" i="25"/>
  <c r="BK79" i="25"/>
  <c r="BK4" i="25"/>
  <c r="BK125" i="25"/>
  <c r="BK117" i="25"/>
  <c r="BK104" i="25"/>
  <c r="BK99" i="25"/>
  <c r="BK90" i="25"/>
  <c r="BK81" i="25"/>
  <c r="BK71" i="25"/>
  <c r="BK54" i="25"/>
  <c r="BK123" i="25"/>
  <c r="BK101" i="25"/>
  <c r="BK93" i="25"/>
  <c r="BK84" i="25"/>
  <c r="BK42" i="25"/>
  <c r="BK18" i="25"/>
  <c r="BK10" i="25"/>
  <c r="BK132" i="25"/>
  <c r="BK110" i="25"/>
  <c r="BK73" i="25"/>
  <c r="BK64" i="25"/>
  <c r="BK56" i="25"/>
  <c r="BK48" i="25"/>
  <c r="BK40" i="25"/>
  <c r="BK19" i="25"/>
  <c r="BK12" i="25"/>
  <c r="BT4" i="25"/>
  <c r="BK129" i="25"/>
  <c r="BK106" i="25"/>
  <c r="BK88" i="25"/>
  <c r="BK75" i="25"/>
  <c r="BK66" i="25"/>
  <c r="BK58" i="25"/>
  <c r="BK50" i="25"/>
  <c r="BL111" i="25"/>
  <c r="BL119" i="25"/>
  <c r="BL106" i="25"/>
  <c r="BL101" i="25"/>
  <c r="BL97" i="25"/>
  <c r="BL93" i="25"/>
  <c r="BL88" i="25"/>
  <c r="BL84" i="25"/>
  <c r="BL79" i="25"/>
  <c r="BL75" i="25"/>
  <c r="BL123" i="25"/>
  <c r="BL121" i="25"/>
  <c r="BL117" i="25"/>
  <c r="BL104" i="25"/>
  <c r="BL99" i="25"/>
  <c r="BL95" i="25"/>
  <c r="BL90" i="25"/>
  <c r="BL86" i="25"/>
  <c r="BL81" i="25"/>
  <c r="BL77" i="25"/>
  <c r="BL122" i="25"/>
  <c r="BL118" i="25"/>
  <c r="BL105" i="25"/>
  <c r="BL100" i="25"/>
  <c r="BL96" i="25"/>
  <c r="BL91" i="25"/>
  <c r="BL87" i="25"/>
  <c r="BL83" i="25"/>
  <c r="BL78" i="25"/>
  <c r="BL74" i="25"/>
  <c r="BL71" i="25"/>
  <c r="BL65" i="25"/>
  <c r="BL62" i="25"/>
  <c r="BL57" i="25"/>
  <c r="BL54" i="25"/>
  <c r="BL49" i="25"/>
  <c r="BL46" i="25"/>
  <c r="BL41" i="25"/>
  <c r="BL38" i="25"/>
  <c r="BL110" i="25"/>
  <c r="BL68" i="25"/>
  <c r="BL56" i="25"/>
  <c r="BL51" i="25"/>
  <c r="BL43" i="25"/>
  <c r="BL138" i="25"/>
  <c r="BL72" i="25"/>
  <c r="BL60" i="25"/>
  <c r="BL52" i="25"/>
  <c r="BL39" i="25"/>
  <c r="BL73" i="25"/>
  <c r="BL64" i="25"/>
  <c r="BL59" i="25"/>
  <c r="BL48" i="25"/>
  <c r="BL40" i="25"/>
  <c r="BL69" i="25"/>
  <c r="BL63" i="25"/>
  <c r="BL55" i="25"/>
  <c r="BL47" i="25"/>
  <c r="BT124" i="25"/>
  <c r="BL124" i="25"/>
  <c r="BL120" i="25"/>
  <c r="BL116" i="25"/>
  <c r="BL102" i="25"/>
  <c r="BL98" i="25"/>
  <c r="BL94" i="25"/>
  <c r="BL89" i="25"/>
  <c r="BL85" i="25"/>
  <c r="BL80" i="25"/>
  <c r="BL76" i="25"/>
  <c r="BL70" i="25"/>
  <c r="BL66" i="25"/>
  <c r="BL61" i="25"/>
  <c r="BL58" i="25"/>
  <c r="BL53" i="25"/>
  <c r="BL50" i="25"/>
  <c r="BL45" i="25"/>
  <c r="BL42" i="25"/>
  <c r="BL44" i="25"/>
  <c r="BM38" i="25"/>
  <c r="BC124" i="25"/>
  <c r="BF33" i="25"/>
  <c r="BF34" i="25"/>
  <c r="BD34" i="25"/>
  <c r="BD38" i="25"/>
  <c r="AI33" i="25"/>
  <c r="AG131" i="25"/>
  <c r="AG127" i="25"/>
  <c r="AG122" i="25"/>
  <c r="AG120" i="25"/>
  <c r="AG118" i="25"/>
  <c r="AG116" i="25"/>
  <c r="AG105" i="25"/>
  <c r="AG102" i="25"/>
  <c r="AG100" i="25"/>
  <c r="AG98" i="25"/>
  <c r="AG96" i="25"/>
  <c r="AG94" i="25"/>
  <c r="AG91" i="25"/>
  <c r="AG89" i="25"/>
  <c r="AG87" i="25"/>
  <c r="AG85" i="25"/>
  <c r="AG83" i="25"/>
  <c r="AG80" i="25"/>
  <c r="AG78" i="25"/>
  <c r="AG76" i="25"/>
  <c r="AG74" i="25"/>
  <c r="AG72" i="25"/>
  <c r="AG70" i="25"/>
  <c r="AG68" i="25"/>
  <c r="AG65" i="25"/>
  <c r="AG63" i="25"/>
  <c r="AG61" i="25"/>
  <c r="AG59" i="25"/>
  <c r="AG57" i="25"/>
  <c r="AG55" i="25"/>
  <c r="AG53" i="25"/>
  <c r="AG51" i="25"/>
  <c r="AG49" i="25"/>
  <c r="AG47" i="25"/>
  <c r="AG45" i="25"/>
  <c r="AP4" i="25"/>
  <c r="AG134" i="25"/>
  <c r="AG130" i="25"/>
  <c r="AG126" i="25"/>
  <c r="AG111" i="25"/>
  <c r="AG133" i="25"/>
  <c r="AG129" i="25"/>
  <c r="AG125" i="25"/>
  <c r="AG123" i="25"/>
  <c r="AG121" i="25"/>
  <c r="AG119" i="25"/>
  <c r="AG117" i="25"/>
  <c r="AG106" i="25"/>
  <c r="AG104" i="25"/>
  <c r="AG101" i="25"/>
  <c r="AG99" i="25"/>
  <c r="AG97" i="25"/>
  <c r="AG95" i="25"/>
  <c r="AG93" i="25"/>
  <c r="AG90" i="25"/>
  <c r="AG88" i="25"/>
  <c r="AG86" i="25"/>
  <c r="AG84" i="25"/>
  <c r="AG81" i="25"/>
  <c r="AG79" i="25"/>
  <c r="AG77" i="25"/>
  <c r="AG75" i="25"/>
  <c r="AG73" i="25"/>
  <c r="AG71" i="25"/>
  <c r="AG69" i="25"/>
  <c r="AG66" i="25"/>
  <c r="AG64" i="25"/>
  <c r="AG62" i="25"/>
  <c r="AG60" i="25"/>
  <c r="AG58" i="25"/>
  <c r="AG56" i="25"/>
  <c r="AG54" i="25"/>
  <c r="AG52" i="25"/>
  <c r="AG50" i="25"/>
  <c r="AG48" i="25"/>
  <c r="AG46" i="25"/>
  <c r="AG44" i="25"/>
  <c r="AG42" i="25"/>
  <c r="AF36" i="25"/>
  <c r="AG36" i="25" s="1"/>
  <c r="AG128" i="25"/>
  <c r="AG41" i="25"/>
  <c r="AG39" i="25"/>
  <c r="AG16" i="25"/>
  <c r="AG11" i="25"/>
  <c r="AG6" i="25"/>
  <c r="AG43" i="25"/>
  <c r="AG22" i="25"/>
  <c r="AG15" i="25"/>
  <c r="AG10" i="25"/>
  <c r="AG138" i="25"/>
  <c r="AG40" i="25"/>
  <c r="AG38" i="25"/>
  <c r="AG19" i="25"/>
  <c r="AG13" i="25"/>
  <c r="AG4" i="25"/>
  <c r="AG132" i="25"/>
  <c r="AG110" i="25"/>
  <c r="AG18" i="25"/>
  <c r="AG12" i="25"/>
  <c r="AG7" i="25"/>
  <c r="AI4" i="25"/>
  <c r="AI34" i="25"/>
  <c r="AF124" i="25"/>
  <c r="AP38" i="25"/>
  <c r="AG34" i="25"/>
  <c r="AI22" i="25"/>
  <c r="Y124" i="25"/>
  <c r="AI38" i="25"/>
  <c r="Z38" i="25"/>
  <c r="P87" i="25" l="1"/>
  <c r="P5" i="25"/>
  <c r="P104" i="25"/>
  <c r="BC113" i="25"/>
  <c r="AB38" i="25"/>
  <c r="P15" i="25"/>
  <c r="P54" i="25"/>
  <c r="AM113" i="25"/>
  <c r="BF113" i="25" s="1"/>
  <c r="P6" i="25"/>
  <c r="P71" i="25"/>
  <c r="P131" i="25"/>
  <c r="P130" i="25"/>
  <c r="P76" i="25"/>
  <c r="P16" i="25"/>
  <c r="P70" i="25"/>
  <c r="P94" i="25"/>
  <c r="P52" i="25"/>
  <c r="AO81" i="25"/>
  <c r="CO113" i="25"/>
  <c r="CP113" i="25" s="1"/>
  <c r="BQ113" i="25"/>
  <c r="BR113" i="25" s="1"/>
  <c r="CO114" i="25"/>
  <c r="CP114" i="25" s="1"/>
  <c r="BQ109" i="25"/>
  <c r="BQ112" i="25" s="1"/>
  <c r="BQ114" i="25"/>
  <c r="BC109" i="25"/>
  <c r="BD109" i="25" s="1"/>
  <c r="BC114" i="25"/>
  <c r="BD114" i="25" s="1"/>
  <c r="Y113" i="25"/>
  <c r="Z113" i="25" s="1"/>
  <c r="AN36" i="25"/>
  <c r="BF36" i="25"/>
  <c r="AM114" i="25"/>
  <c r="P126" i="25"/>
  <c r="P14" i="25"/>
  <c r="CA109" i="25"/>
  <c r="CB109" i="25" s="1"/>
  <c r="CA113" i="25"/>
  <c r="CB113" i="25" s="1"/>
  <c r="CD36" i="25"/>
  <c r="CA114" i="25"/>
  <c r="CB114" i="25" s="1"/>
  <c r="P43" i="25"/>
  <c r="P121" i="25"/>
  <c r="P88" i="25"/>
  <c r="P69" i="25"/>
  <c r="P18" i="25"/>
  <c r="P105" i="25"/>
  <c r="P59" i="25"/>
  <c r="P13" i="25"/>
  <c r="P106" i="25"/>
  <c r="P86" i="25"/>
  <c r="P53" i="25"/>
  <c r="P127" i="25"/>
  <c r="CA112" i="25"/>
  <c r="CA137" i="25" s="1"/>
  <c r="Y114" i="25"/>
  <c r="Z114" i="25" s="1"/>
  <c r="Y109" i="25"/>
  <c r="Y112" i="25" s="1"/>
  <c r="P33" i="25"/>
  <c r="P12" i="25"/>
  <c r="P48" i="25"/>
  <c r="P64" i="25"/>
  <c r="P81" i="25"/>
  <c r="P99" i="25"/>
  <c r="P128" i="25"/>
  <c r="P41" i="25"/>
  <c r="P57" i="25"/>
  <c r="P74" i="25"/>
  <c r="P91" i="25"/>
  <c r="P119" i="25"/>
  <c r="P39" i="25"/>
  <c r="P55" i="25"/>
  <c r="P72" i="25"/>
  <c r="P89" i="25"/>
  <c r="P117" i="25"/>
  <c r="P138" i="25"/>
  <c r="P42" i="25"/>
  <c r="P58" i="25"/>
  <c r="P75" i="25"/>
  <c r="P93" i="25"/>
  <c r="P110" i="25"/>
  <c r="P132" i="25"/>
  <c r="P22" i="25"/>
  <c r="P134" i="25"/>
  <c r="P19" i="25"/>
  <c r="P51" i="25"/>
  <c r="P68" i="25"/>
  <c r="P85" i="25"/>
  <c r="P102" i="25"/>
  <c r="P133" i="25"/>
  <c r="P46" i="25"/>
  <c r="P62" i="25"/>
  <c r="P79" i="25"/>
  <c r="P97" i="25"/>
  <c r="P122" i="25"/>
  <c r="P44" i="25"/>
  <c r="P60" i="25"/>
  <c r="P77" i="25"/>
  <c r="P95" i="25"/>
  <c r="P120" i="25"/>
  <c r="P4" i="25"/>
  <c r="P45" i="25"/>
  <c r="P61" i="25"/>
  <c r="P78" i="25"/>
  <c r="P96" i="25"/>
  <c r="P118" i="25"/>
  <c r="P111" i="25"/>
  <c r="O36" i="25"/>
  <c r="O113" i="25" s="1"/>
  <c r="P113" i="25" s="1"/>
  <c r="AB4" i="25"/>
  <c r="P40" i="25"/>
  <c r="P56" i="25"/>
  <c r="P73" i="25"/>
  <c r="P90" i="25"/>
  <c r="P116" i="25"/>
  <c r="P7" i="25"/>
  <c r="P49" i="25"/>
  <c r="P65" i="25"/>
  <c r="P83" i="25"/>
  <c r="P100" i="25"/>
  <c r="P129" i="25"/>
  <c r="P47" i="25"/>
  <c r="P63" i="25"/>
  <c r="P80" i="25"/>
  <c r="P98" i="25"/>
  <c r="P125" i="25"/>
  <c r="P11" i="25"/>
  <c r="P50" i="25"/>
  <c r="P66" i="25"/>
  <c r="P84" i="25"/>
  <c r="P101" i="25"/>
  <c r="P123" i="25"/>
  <c r="P10" i="25"/>
  <c r="AO63" i="25"/>
  <c r="AO98" i="25"/>
  <c r="AO48" i="25"/>
  <c r="AO116" i="25"/>
  <c r="AO72" i="25"/>
  <c r="AO56" i="25"/>
  <c r="AO47" i="25"/>
  <c r="AO80" i="25"/>
  <c r="AO124" i="25"/>
  <c r="AO64" i="25"/>
  <c r="AO99" i="25"/>
  <c r="AO39" i="25"/>
  <c r="AO90" i="25"/>
  <c r="AO55" i="25"/>
  <c r="AO89" i="25"/>
  <c r="AO40" i="25"/>
  <c r="AO73" i="25"/>
  <c r="AO117" i="25"/>
  <c r="AO41" i="25"/>
  <c r="AO49" i="25"/>
  <c r="AO57" i="25"/>
  <c r="AO65" i="25"/>
  <c r="AO74" i="25"/>
  <c r="AO83" i="25"/>
  <c r="AO91" i="25"/>
  <c r="AO100" i="25"/>
  <c r="AO118" i="25"/>
  <c r="AO110" i="25"/>
  <c r="AO42" i="25"/>
  <c r="AO50" i="25"/>
  <c r="AO58" i="25"/>
  <c r="AO66" i="25"/>
  <c r="AO75" i="25"/>
  <c r="AO84" i="25"/>
  <c r="AO93" i="25"/>
  <c r="AO101" i="25"/>
  <c r="AO119" i="25"/>
  <c r="AO43" i="25"/>
  <c r="AO51" i="25"/>
  <c r="AO59" i="25"/>
  <c r="AO68" i="25"/>
  <c r="AO76" i="25"/>
  <c r="AO85" i="25"/>
  <c r="AO94" i="25"/>
  <c r="AO102" i="25"/>
  <c r="AO120" i="25"/>
  <c r="AO138" i="25"/>
  <c r="AO44" i="25"/>
  <c r="AO52" i="25"/>
  <c r="AO60" i="25"/>
  <c r="AO69" i="25"/>
  <c r="AO77" i="25"/>
  <c r="AO86" i="25"/>
  <c r="AO95" i="25"/>
  <c r="AO104" i="25"/>
  <c r="AO121" i="25"/>
  <c r="AO111" i="25"/>
  <c r="AO45" i="25"/>
  <c r="AO53" i="25"/>
  <c r="AO61" i="25"/>
  <c r="AO70" i="25"/>
  <c r="AO78" i="25"/>
  <c r="AO87" i="25"/>
  <c r="AO96" i="25"/>
  <c r="AO105" i="25"/>
  <c r="AO122" i="25"/>
  <c r="AO38" i="25"/>
  <c r="AO46" i="25"/>
  <c r="AO54" i="25"/>
  <c r="AO62" i="25"/>
  <c r="AO71" i="25"/>
  <c r="AO79" i="25"/>
  <c r="AO88" i="25"/>
  <c r="AO97" i="25"/>
  <c r="AO106" i="25"/>
  <c r="AO123" i="25"/>
  <c r="BF124" i="25"/>
  <c r="BM36" i="25"/>
  <c r="P35" i="25"/>
  <c r="P34" i="25"/>
  <c r="P38" i="25"/>
  <c r="Q123" i="25"/>
  <c r="Q121" i="25"/>
  <c r="Q119" i="25"/>
  <c r="Q117" i="25"/>
  <c r="Q106" i="25"/>
  <c r="Q104" i="25"/>
  <c r="Q101" i="25"/>
  <c r="Q99" i="25"/>
  <c r="Q97" i="25"/>
  <c r="Q95" i="25"/>
  <c r="Q93" i="25"/>
  <c r="Q90" i="25"/>
  <c r="Q88" i="25"/>
  <c r="Q86" i="25"/>
  <c r="Q84" i="25"/>
  <c r="Q81" i="25"/>
  <c r="Q79" i="25"/>
  <c r="Q77" i="25"/>
  <c r="Q75" i="25"/>
  <c r="Q73" i="25"/>
  <c r="Q71" i="25"/>
  <c r="Q69" i="25"/>
  <c r="Q66" i="25"/>
  <c r="Q64" i="25"/>
  <c r="Q62" i="25"/>
  <c r="Q60" i="25"/>
  <c r="Q58" i="25"/>
  <c r="Q56" i="25"/>
  <c r="Q54" i="25"/>
  <c r="Q52" i="25"/>
  <c r="Q50" i="25"/>
  <c r="Q48" i="25"/>
  <c r="Q46" i="25"/>
  <c r="Q44" i="25"/>
  <c r="Q42" i="25"/>
  <c r="Q40" i="25"/>
  <c r="Q38" i="25"/>
  <c r="Q138" i="25"/>
  <c r="Q120" i="25"/>
  <c r="Q98" i="25"/>
  <c r="Q89" i="25"/>
  <c r="Q80" i="25"/>
  <c r="Q72" i="25"/>
  <c r="Q63" i="25"/>
  <c r="Q55" i="25"/>
  <c r="Q47" i="25"/>
  <c r="Q39" i="25"/>
  <c r="Q122" i="25"/>
  <c r="Q100" i="25"/>
  <c r="Q91" i="25"/>
  <c r="Q83" i="25"/>
  <c r="Q74" i="25"/>
  <c r="Q65" i="25"/>
  <c r="Q57" i="25"/>
  <c r="Q49" i="25"/>
  <c r="Q41" i="25"/>
  <c r="Q124" i="25"/>
  <c r="Q116" i="25"/>
  <c r="Q111" i="25"/>
  <c r="Q102" i="25"/>
  <c r="Q94" i="25"/>
  <c r="Q85" i="25"/>
  <c r="Q76" i="25"/>
  <c r="Q68" i="25"/>
  <c r="Q59" i="25"/>
  <c r="Q51" i="25"/>
  <c r="Q43" i="25"/>
  <c r="Q118" i="25"/>
  <c r="Q110" i="25"/>
  <c r="Q105" i="25"/>
  <c r="Q96" i="25"/>
  <c r="Q87" i="25"/>
  <c r="Q78" i="25"/>
  <c r="Q70" i="25"/>
  <c r="Q61" i="25"/>
  <c r="Q53" i="25"/>
  <c r="Q45" i="25"/>
  <c r="P124" i="25"/>
  <c r="CO112" i="25"/>
  <c r="CP109" i="25"/>
  <c r="CR124" i="25"/>
  <c r="CJ124" i="25"/>
  <c r="CJ122" i="25"/>
  <c r="CJ120" i="25"/>
  <c r="CJ118" i="25"/>
  <c r="CJ116" i="25"/>
  <c r="CJ105" i="25"/>
  <c r="CJ102" i="25"/>
  <c r="CJ100" i="25"/>
  <c r="CJ98" i="25"/>
  <c r="CJ96" i="25"/>
  <c r="CJ94" i="25"/>
  <c r="CJ91" i="25"/>
  <c r="CJ89" i="25"/>
  <c r="CJ87" i="25"/>
  <c r="CJ85" i="25"/>
  <c r="CJ83" i="25"/>
  <c r="CJ80" i="25"/>
  <c r="CJ111" i="25"/>
  <c r="CJ123" i="25"/>
  <c r="CJ121" i="25"/>
  <c r="CJ119" i="25"/>
  <c r="CJ117" i="25"/>
  <c r="CJ106" i="25"/>
  <c r="CJ104" i="25"/>
  <c r="CJ101" i="25"/>
  <c r="CJ99" i="25"/>
  <c r="CJ97" i="25"/>
  <c r="CJ95" i="25"/>
  <c r="CJ93" i="25"/>
  <c r="CJ90" i="25"/>
  <c r="CJ88" i="25"/>
  <c r="CJ86" i="25"/>
  <c r="CJ84" i="25"/>
  <c r="CJ81" i="25"/>
  <c r="CJ79" i="25"/>
  <c r="CJ77" i="25"/>
  <c r="CJ75" i="25"/>
  <c r="CJ73" i="25"/>
  <c r="CJ71" i="25"/>
  <c r="CJ69" i="25"/>
  <c r="CJ66" i="25"/>
  <c r="CJ64" i="25"/>
  <c r="CJ62" i="25"/>
  <c r="CJ60" i="25"/>
  <c r="CJ58" i="25"/>
  <c r="CJ56" i="25"/>
  <c r="CJ54" i="25"/>
  <c r="CJ52" i="25"/>
  <c r="CJ50" i="25"/>
  <c r="CJ48" i="25"/>
  <c r="CJ46" i="25"/>
  <c r="CJ44" i="25"/>
  <c r="CJ42" i="25"/>
  <c r="CJ40" i="25"/>
  <c r="CJ110" i="25"/>
  <c r="CJ74" i="25"/>
  <c r="CJ65" i="25"/>
  <c r="CJ57" i="25"/>
  <c r="CJ49" i="25"/>
  <c r="CJ41" i="25"/>
  <c r="CJ63" i="25"/>
  <c r="CJ55" i="25"/>
  <c r="CJ39" i="25"/>
  <c r="CJ76" i="25"/>
  <c r="CJ68" i="25"/>
  <c r="CJ59" i="25"/>
  <c r="CJ51" i="25"/>
  <c r="CJ43" i="25"/>
  <c r="CJ38" i="25"/>
  <c r="CJ138" i="25"/>
  <c r="CJ72" i="25"/>
  <c r="CJ47" i="25"/>
  <c r="CJ78" i="25"/>
  <c r="CJ70" i="25"/>
  <c r="CJ61" i="25"/>
  <c r="CJ53" i="25"/>
  <c r="CJ45" i="25"/>
  <c r="CI124" i="25"/>
  <c r="CR36" i="25"/>
  <c r="CH114" i="25"/>
  <c r="CH109" i="25"/>
  <c r="CH113" i="25"/>
  <c r="CK36" i="25"/>
  <c r="CK124" i="25"/>
  <c r="CC138" i="25"/>
  <c r="CC110" i="25"/>
  <c r="CC124" i="25"/>
  <c r="CC122" i="25"/>
  <c r="CC120" i="25"/>
  <c r="CC118" i="25"/>
  <c r="CC116" i="25"/>
  <c r="CC105" i="25"/>
  <c r="CC102" i="25"/>
  <c r="CC100" i="25"/>
  <c r="CC98" i="25"/>
  <c r="CC96" i="25"/>
  <c r="CC94" i="25"/>
  <c r="CC91" i="25"/>
  <c r="CC89" i="25"/>
  <c r="CC87" i="25"/>
  <c r="CC85" i="25"/>
  <c r="CC83" i="25"/>
  <c r="CC80" i="25"/>
  <c r="CC78" i="25"/>
  <c r="CC76" i="25"/>
  <c r="CC74" i="25"/>
  <c r="CC72" i="25"/>
  <c r="CC70" i="25"/>
  <c r="CC68" i="25"/>
  <c r="CC65" i="25"/>
  <c r="CC63" i="25"/>
  <c r="CC61" i="25"/>
  <c r="CC59" i="25"/>
  <c r="CC57" i="25"/>
  <c r="CC55" i="25"/>
  <c r="CC53" i="25"/>
  <c r="CC51" i="25"/>
  <c r="CC49" i="25"/>
  <c r="CC47" i="25"/>
  <c r="CC45" i="25"/>
  <c r="CC43" i="25"/>
  <c r="CC41" i="25"/>
  <c r="CC39" i="25"/>
  <c r="CC111" i="25"/>
  <c r="CC123" i="25"/>
  <c r="CC101" i="25"/>
  <c r="CC93" i="25"/>
  <c r="CC84" i="25"/>
  <c r="CC75" i="25"/>
  <c r="CC66" i="25"/>
  <c r="CC58" i="25"/>
  <c r="CC50" i="25"/>
  <c r="CC42" i="25"/>
  <c r="CC95" i="25"/>
  <c r="CC77" i="25"/>
  <c r="CC60" i="25"/>
  <c r="CC44" i="25"/>
  <c r="CC121" i="25"/>
  <c r="CC99" i="25"/>
  <c r="CC90" i="25"/>
  <c r="CC81" i="25"/>
  <c r="CC73" i="25"/>
  <c r="CC64" i="25"/>
  <c r="CC56" i="25"/>
  <c r="CC48" i="25"/>
  <c r="CC40" i="25"/>
  <c r="CC119" i="25"/>
  <c r="CC106" i="25"/>
  <c r="CC97" i="25"/>
  <c r="CC88" i="25"/>
  <c r="CC79" i="25"/>
  <c r="CC71" i="25"/>
  <c r="CC62" i="25"/>
  <c r="CC54" i="25"/>
  <c r="CC46" i="25"/>
  <c r="CC38" i="25"/>
  <c r="CC117" i="25"/>
  <c r="CC104" i="25"/>
  <c r="CC86" i="25"/>
  <c r="CC69" i="25"/>
  <c r="CC52" i="25"/>
  <c r="CB124" i="25"/>
  <c r="CD124" i="25"/>
  <c r="BR114" i="25"/>
  <c r="BJ114" i="25"/>
  <c r="BJ109" i="25"/>
  <c r="BJ113" i="25"/>
  <c r="BT36" i="25"/>
  <c r="BD113" i="25"/>
  <c r="BE111" i="25"/>
  <c r="BE123" i="25"/>
  <c r="BE121" i="25"/>
  <c r="BE119" i="25"/>
  <c r="BE117" i="25"/>
  <c r="BE106" i="25"/>
  <c r="BE104" i="25"/>
  <c r="BE101" i="25"/>
  <c r="BE99" i="25"/>
  <c r="BE97" i="25"/>
  <c r="BE95" i="25"/>
  <c r="BE93" i="25"/>
  <c r="BE90" i="25"/>
  <c r="BE88" i="25"/>
  <c r="BE86" i="25"/>
  <c r="BE84" i="25"/>
  <c r="BE81" i="25"/>
  <c r="BE79" i="25"/>
  <c r="BE77" i="25"/>
  <c r="BE75" i="25"/>
  <c r="BE73" i="25"/>
  <c r="BE71" i="25"/>
  <c r="BE69" i="25"/>
  <c r="BE66" i="25"/>
  <c r="BE64" i="25"/>
  <c r="BE62" i="25"/>
  <c r="BE60" i="25"/>
  <c r="BE58" i="25"/>
  <c r="BE56" i="25"/>
  <c r="BE54" i="25"/>
  <c r="BE52" i="25"/>
  <c r="BE50" i="25"/>
  <c r="BE48" i="25"/>
  <c r="BE46" i="25"/>
  <c r="BE44" i="25"/>
  <c r="BE42" i="25"/>
  <c r="BE40" i="25"/>
  <c r="BE38" i="25"/>
  <c r="BM124" i="25"/>
  <c r="BE138" i="25"/>
  <c r="BE110" i="25"/>
  <c r="BE124" i="25"/>
  <c r="BE116" i="25"/>
  <c r="BE102" i="25"/>
  <c r="BE94" i="25"/>
  <c r="BE85" i="25"/>
  <c r="BE76" i="25"/>
  <c r="BE68" i="25"/>
  <c r="BE59" i="25"/>
  <c r="BE51" i="25"/>
  <c r="BE43" i="25"/>
  <c r="BE122" i="25"/>
  <c r="BE100" i="25"/>
  <c r="BE91" i="25"/>
  <c r="BE74" i="25"/>
  <c r="BE57" i="25"/>
  <c r="BE49" i="25"/>
  <c r="BE120" i="25"/>
  <c r="BE98" i="25"/>
  <c r="BE89" i="25"/>
  <c r="BE80" i="25"/>
  <c r="BE72" i="25"/>
  <c r="BE63" i="25"/>
  <c r="BE55" i="25"/>
  <c r="BE47" i="25"/>
  <c r="BE39" i="25"/>
  <c r="BE53" i="25"/>
  <c r="BE83" i="25"/>
  <c r="BE65" i="25"/>
  <c r="BE41" i="25"/>
  <c r="BE118" i="25"/>
  <c r="BE105" i="25"/>
  <c r="BE96" i="25"/>
  <c r="BE87" i="25"/>
  <c r="BE78" i="25"/>
  <c r="BE70" i="25"/>
  <c r="BE61" i="25"/>
  <c r="BE45" i="25"/>
  <c r="BD124" i="25"/>
  <c r="AM112" i="25"/>
  <c r="AN109" i="25"/>
  <c r="AF114" i="25"/>
  <c r="AP36" i="25"/>
  <c r="AF113" i="25"/>
  <c r="AF109" i="25"/>
  <c r="AI36" i="25"/>
  <c r="AH111" i="25"/>
  <c r="AP124" i="25"/>
  <c r="AH123" i="25"/>
  <c r="AH121" i="25"/>
  <c r="AH119" i="25"/>
  <c r="AH117" i="25"/>
  <c r="AH106" i="25"/>
  <c r="AH104" i="25"/>
  <c r="AH101" i="25"/>
  <c r="AH99" i="25"/>
  <c r="AH97" i="25"/>
  <c r="AH95" i="25"/>
  <c r="AH93" i="25"/>
  <c r="AH90" i="25"/>
  <c r="AH88" i="25"/>
  <c r="AH86" i="25"/>
  <c r="AH84" i="25"/>
  <c r="AH81" i="25"/>
  <c r="AH79" i="25"/>
  <c r="AH77" i="25"/>
  <c r="AH75" i="25"/>
  <c r="AH73" i="25"/>
  <c r="AH71" i="25"/>
  <c r="AH69" i="25"/>
  <c r="AH66" i="25"/>
  <c r="AH64" i="25"/>
  <c r="AH62" i="25"/>
  <c r="AH60" i="25"/>
  <c r="AH58" i="25"/>
  <c r="AH56" i="25"/>
  <c r="AH54" i="25"/>
  <c r="AH52" i="25"/>
  <c r="AH50" i="25"/>
  <c r="AH138" i="25"/>
  <c r="AH110" i="25"/>
  <c r="AH118" i="25"/>
  <c r="AH105" i="25"/>
  <c r="AH96" i="25"/>
  <c r="AH87" i="25"/>
  <c r="AH78" i="25"/>
  <c r="AH70" i="25"/>
  <c r="AH61" i="25"/>
  <c r="AH53" i="25"/>
  <c r="AH47" i="25"/>
  <c r="AH43" i="25"/>
  <c r="AH124" i="25"/>
  <c r="AH116" i="25"/>
  <c r="AH102" i="25"/>
  <c r="AH94" i="25"/>
  <c r="AH85" i="25"/>
  <c r="AH76" i="25"/>
  <c r="AH68" i="25"/>
  <c r="AH59" i="25"/>
  <c r="AH51" i="25"/>
  <c r="AH46" i="25"/>
  <c r="AH40" i="25"/>
  <c r="AH38" i="25"/>
  <c r="AH122" i="25"/>
  <c r="AH100" i="25"/>
  <c r="AH91" i="25"/>
  <c r="AH83" i="25"/>
  <c r="AH74" i="25"/>
  <c r="AH65" i="25"/>
  <c r="AH57" i="25"/>
  <c r="AH49" i="25"/>
  <c r="AH45" i="25"/>
  <c r="AH42" i="25"/>
  <c r="AH120" i="25"/>
  <c r="AH98" i="25"/>
  <c r="AH89" i="25"/>
  <c r="AH80" i="25"/>
  <c r="AH72" i="25"/>
  <c r="AH63" i="25"/>
  <c r="AH55" i="25"/>
  <c r="AH48" i="25"/>
  <c r="AH44" i="25"/>
  <c r="AH41" i="25"/>
  <c r="AH39" i="25"/>
  <c r="AG124" i="25"/>
  <c r="AI124" i="25"/>
  <c r="AB124" i="25"/>
  <c r="AA138" i="25"/>
  <c r="AA110" i="25"/>
  <c r="AA101" i="25"/>
  <c r="AA95" i="25"/>
  <c r="AA88" i="25"/>
  <c r="AA84" i="25"/>
  <c r="AA75" i="25"/>
  <c r="AA69" i="25"/>
  <c r="AA62" i="25"/>
  <c r="AA56" i="25"/>
  <c r="AA50" i="25"/>
  <c r="AA46" i="25"/>
  <c r="AA124" i="25"/>
  <c r="AA122" i="25"/>
  <c r="AA120" i="25"/>
  <c r="AA118" i="25"/>
  <c r="AA116" i="25"/>
  <c r="AA105" i="25"/>
  <c r="AA102" i="25"/>
  <c r="AA100" i="25"/>
  <c r="AA98" i="25"/>
  <c r="AA96" i="25"/>
  <c r="AA94" i="25"/>
  <c r="AA91" i="25"/>
  <c r="AA89" i="25"/>
  <c r="AA87" i="25"/>
  <c r="AA85" i="25"/>
  <c r="AA83" i="25"/>
  <c r="AA80" i="25"/>
  <c r="AA78" i="25"/>
  <c r="AA76" i="25"/>
  <c r="AA74" i="25"/>
  <c r="AA72" i="25"/>
  <c r="AA70" i="25"/>
  <c r="AA68" i="25"/>
  <c r="AA65" i="25"/>
  <c r="AA63" i="25"/>
  <c r="AA61" i="25"/>
  <c r="AA59" i="25"/>
  <c r="AA57" i="25"/>
  <c r="AA55" i="25"/>
  <c r="AA53" i="25"/>
  <c r="AA51" i="25"/>
  <c r="AA49" i="25"/>
  <c r="AA47" i="25"/>
  <c r="AA45" i="25"/>
  <c r="AA43" i="25"/>
  <c r="AA41" i="25"/>
  <c r="AA39" i="25"/>
  <c r="AA121" i="25"/>
  <c r="AA119" i="25"/>
  <c r="AA97" i="25"/>
  <c r="AA90" i="25"/>
  <c r="AA81" i="25"/>
  <c r="AA77" i="25"/>
  <c r="AA73" i="25"/>
  <c r="AA64" i="25"/>
  <c r="AA60" i="25"/>
  <c r="AA54" i="25"/>
  <c r="AA48" i="25"/>
  <c r="AA40" i="25"/>
  <c r="Z124" i="25"/>
  <c r="AA111" i="25"/>
  <c r="AA123" i="25"/>
  <c r="AA117" i="25"/>
  <c r="AA106" i="25"/>
  <c r="AA104" i="25"/>
  <c r="AA99" i="25"/>
  <c r="AA93" i="25"/>
  <c r="AA86" i="25"/>
  <c r="AA79" i="25"/>
  <c r="AA71" i="25"/>
  <c r="AA66" i="25"/>
  <c r="AA58" i="25"/>
  <c r="AA52" i="25"/>
  <c r="AA44" i="25"/>
  <c r="AA42" i="25"/>
  <c r="AA38" i="25"/>
  <c r="BM113" i="25" l="1"/>
  <c r="AN113" i="25"/>
  <c r="BC112" i="25"/>
  <c r="BC137" i="25" s="1"/>
  <c r="BF109" i="25"/>
  <c r="BM109" i="25"/>
  <c r="BR109" i="25"/>
  <c r="AI113" i="25"/>
  <c r="BM114" i="25"/>
  <c r="BF114" i="25"/>
  <c r="AN114" i="25"/>
  <c r="CD109" i="25"/>
  <c r="AB113" i="25"/>
  <c r="AI114" i="25"/>
  <c r="O114" i="25"/>
  <c r="CD113" i="25"/>
  <c r="AB36" i="25"/>
  <c r="CD114" i="25"/>
  <c r="CB112" i="25"/>
  <c r="O109" i="25"/>
  <c r="O112" i="25" s="1"/>
  <c r="AB112" i="25" s="1"/>
  <c r="Z109" i="25"/>
  <c r="P36" i="25"/>
  <c r="CO137" i="25"/>
  <c r="CP112" i="25"/>
  <c r="CR113" i="25"/>
  <c r="CI113" i="25"/>
  <c r="CK113" i="25"/>
  <c r="CH112" i="25"/>
  <c r="CR109" i="25"/>
  <c r="CI109" i="25"/>
  <c r="CK109" i="25"/>
  <c r="CR114" i="25"/>
  <c r="CI114" i="25"/>
  <c r="CK114" i="25"/>
  <c r="CA139" i="25"/>
  <c r="CB137" i="25"/>
  <c r="BQ137" i="25"/>
  <c r="CD112" i="25"/>
  <c r="BR112" i="25"/>
  <c r="BT113" i="25"/>
  <c r="BK113" i="25"/>
  <c r="BJ112" i="25"/>
  <c r="BT109" i="25"/>
  <c r="BK109" i="25"/>
  <c r="BT114" i="25"/>
  <c r="BK114" i="25"/>
  <c r="AM137" i="25"/>
  <c r="AN112" i="25"/>
  <c r="AP113" i="25"/>
  <c r="AG113" i="25"/>
  <c r="AP109" i="25"/>
  <c r="AF112" i="25"/>
  <c r="AI112" i="25" s="1"/>
  <c r="AG109" i="25"/>
  <c r="AI109" i="25"/>
  <c r="AP114" i="25"/>
  <c r="AG114" i="25"/>
  <c r="Y137" i="25"/>
  <c r="Z112" i="25"/>
  <c r="H138" i="25"/>
  <c r="R138" i="25" s="1"/>
  <c r="H134" i="25"/>
  <c r="R134" i="25" s="1"/>
  <c r="H133" i="25"/>
  <c r="R133" i="25" s="1"/>
  <c r="H132" i="25"/>
  <c r="R132" i="25" s="1"/>
  <c r="H131" i="25"/>
  <c r="R131" i="25" s="1"/>
  <c r="H130" i="25"/>
  <c r="R130" i="25" s="1"/>
  <c r="H129" i="25"/>
  <c r="R129" i="25" s="1"/>
  <c r="H128" i="25"/>
  <c r="H127" i="25"/>
  <c r="R127" i="25" s="1"/>
  <c r="H126" i="25"/>
  <c r="R126" i="25" s="1"/>
  <c r="H123" i="25"/>
  <c r="R123" i="25" s="1"/>
  <c r="H122" i="25"/>
  <c r="R122" i="25" s="1"/>
  <c r="H121" i="25"/>
  <c r="R121" i="25" s="1"/>
  <c r="H120" i="25"/>
  <c r="R120" i="25" s="1"/>
  <c r="H119" i="25"/>
  <c r="R119" i="25" s="1"/>
  <c r="H118" i="25"/>
  <c r="H117" i="25"/>
  <c r="R117" i="25" s="1"/>
  <c r="H111" i="25"/>
  <c r="R111" i="25" s="1"/>
  <c r="H110" i="25"/>
  <c r="R110" i="25" s="1"/>
  <c r="H106" i="25"/>
  <c r="H105" i="25"/>
  <c r="R105" i="25" s="1"/>
  <c r="H102" i="25"/>
  <c r="R102" i="25" s="1"/>
  <c r="H101" i="25"/>
  <c r="R101" i="25" s="1"/>
  <c r="H100" i="25"/>
  <c r="R100" i="25" s="1"/>
  <c r="H99" i="25"/>
  <c r="R99" i="25" s="1"/>
  <c r="H98" i="25"/>
  <c r="R98" i="25" s="1"/>
  <c r="H97" i="25"/>
  <c r="R97" i="25" s="1"/>
  <c r="H96" i="25"/>
  <c r="R96" i="25" s="1"/>
  <c r="H95" i="25"/>
  <c r="R95" i="25" s="1"/>
  <c r="H94" i="25"/>
  <c r="R94" i="25" s="1"/>
  <c r="H91" i="25"/>
  <c r="R91" i="25" s="1"/>
  <c r="H90" i="25"/>
  <c r="R90" i="25" s="1"/>
  <c r="H89" i="25"/>
  <c r="R89" i="25" s="1"/>
  <c r="H88" i="25"/>
  <c r="R88" i="25" s="1"/>
  <c r="H87" i="25"/>
  <c r="R87" i="25" s="1"/>
  <c r="H86" i="25"/>
  <c r="H85" i="25"/>
  <c r="R85" i="25" s="1"/>
  <c r="H84" i="25"/>
  <c r="R84" i="25" s="1"/>
  <c r="H81" i="25"/>
  <c r="R81" i="25" s="1"/>
  <c r="H80" i="25"/>
  <c r="R80" i="25" s="1"/>
  <c r="H79" i="25"/>
  <c r="R79" i="25" s="1"/>
  <c r="H78" i="25"/>
  <c r="R78" i="25" s="1"/>
  <c r="H77" i="25"/>
  <c r="R77" i="25" s="1"/>
  <c r="H76" i="25"/>
  <c r="R76" i="25" s="1"/>
  <c r="H75" i="25"/>
  <c r="R75" i="25" s="1"/>
  <c r="H74" i="25"/>
  <c r="R74" i="25" s="1"/>
  <c r="H73" i="25"/>
  <c r="R73" i="25" s="1"/>
  <c r="H72" i="25"/>
  <c r="R72" i="25" s="1"/>
  <c r="H71" i="25"/>
  <c r="R71" i="25" s="1"/>
  <c r="H70" i="25"/>
  <c r="R70" i="25" s="1"/>
  <c r="H69" i="25"/>
  <c r="R65" i="25"/>
  <c r="H64" i="25"/>
  <c r="R64" i="25" s="1"/>
  <c r="H63" i="25"/>
  <c r="R63" i="25" s="1"/>
  <c r="H62" i="25"/>
  <c r="R62" i="25" s="1"/>
  <c r="H61" i="25"/>
  <c r="R61" i="25" s="1"/>
  <c r="H60" i="25"/>
  <c r="R60" i="25" s="1"/>
  <c r="H59" i="25"/>
  <c r="R59" i="25" s="1"/>
  <c r="H58" i="25"/>
  <c r="R58" i="25" s="1"/>
  <c r="H57" i="25"/>
  <c r="R57" i="25" s="1"/>
  <c r="H56" i="25"/>
  <c r="R56" i="25" s="1"/>
  <c r="H55" i="25"/>
  <c r="R55" i="25" s="1"/>
  <c r="H54" i="25"/>
  <c r="R54" i="25" s="1"/>
  <c r="H53" i="25"/>
  <c r="R53" i="25" s="1"/>
  <c r="H52" i="25"/>
  <c r="R52" i="25" s="1"/>
  <c r="H51" i="25"/>
  <c r="R51" i="25" s="1"/>
  <c r="H50" i="25"/>
  <c r="R50" i="25" s="1"/>
  <c r="H49" i="25"/>
  <c r="R49" i="25" s="1"/>
  <c r="H48" i="25"/>
  <c r="R48" i="25" s="1"/>
  <c r="H47" i="25"/>
  <c r="R47" i="25" s="1"/>
  <c r="H46" i="25"/>
  <c r="R46" i="25" s="1"/>
  <c r="H45" i="25"/>
  <c r="R45" i="25" s="1"/>
  <c r="H44" i="25"/>
  <c r="R44" i="25" s="1"/>
  <c r="H43" i="25"/>
  <c r="R43" i="25" s="1"/>
  <c r="H42" i="25"/>
  <c r="R42" i="25" s="1"/>
  <c r="H41" i="25"/>
  <c r="H40" i="25"/>
  <c r="R40" i="25" s="1"/>
  <c r="H30" i="25"/>
  <c r="R30" i="25" s="1"/>
  <c r="H27" i="25"/>
  <c r="H24" i="25"/>
  <c r="H19" i="25"/>
  <c r="R19" i="25" s="1"/>
  <c r="H16" i="25"/>
  <c r="R16" i="25" s="1"/>
  <c r="H13" i="25"/>
  <c r="R13" i="25" s="1"/>
  <c r="H12" i="25"/>
  <c r="H11" i="25"/>
  <c r="R11" i="25" s="1"/>
  <c r="H8" i="25"/>
  <c r="R8" i="25" s="1"/>
  <c r="H7" i="25"/>
  <c r="R7" i="25" s="1"/>
  <c r="H6" i="25"/>
  <c r="H5" i="25" l="1"/>
  <c r="R5" i="25" s="1"/>
  <c r="H15" i="25"/>
  <c r="I30" i="25" s="1"/>
  <c r="BF112" i="25"/>
  <c r="BM112" i="25"/>
  <c r="BD112" i="25"/>
  <c r="H29" i="25"/>
  <c r="R29" i="25" s="1"/>
  <c r="P114" i="25"/>
  <c r="AB114" i="25"/>
  <c r="AB109" i="25"/>
  <c r="P109" i="25"/>
  <c r="H93" i="25"/>
  <c r="R93" i="25" s="1"/>
  <c r="H104" i="25"/>
  <c r="R104" i="25" s="1"/>
  <c r="R106" i="25"/>
  <c r="H116" i="25"/>
  <c r="R116" i="25" s="1"/>
  <c r="R118" i="25"/>
  <c r="H125" i="25"/>
  <c r="R125" i="25" s="1"/>
  <c r="R128" i="25"/>
  <c r="R15" i="25"/>
  <c r="H23" i="25"/>
  <c r="R24" i="25"/>
  <c r="H39" i="25"/>
  <c r="R41" i="25"/>
  <c r="H83" i="25"/>
  <c r="R83" i="25" s="1"/>
  <c r="R86" i="25"/>
  <c r="H18" i="25"/>
  <c r="R18" i="25" s="1"/>
  <c r="H26" i="25"/>
  <c r="R26" i="25" s="1"/>
  <c r="R27" i="25"/>
  <c r="H68" i="25"/>
  <c r="R68" i="25" s="1"/>
  <c r="R69" i="25"/>
  <c r="R6" i="25"/>
  <c r="H10" i="25"/>
  <c r="R12" i="25"/>
  <c r="O137" i="25"/>
  <c r="AB137" i="25" s="1"/>
  <c r="P112" i="25"/>
  <c r="CO139" i="25"/>
  <c r="CP139" i="25" s="1"/>
  <c r="CP137" i="25"/>
  <c r="CR112" i="25"/>
  <c r="CH137" i="25"/>
  <c r="CI112" i="25"/>
  <c r="CK112" i="25"/>
  <c r="CB139" i="25"/>
  <c r="BQ139" i="25"/>
  <c r="CD137" i="25"/>
  <c r="BR137" i="25"/>
  <c r="BJ137" i="25"/>
  <c r="BM137" i="25" s="1"/>
  <c r="BT112" i="25"/>
  <c r="BK112" i="25"/>
  <c r="BC139" i="25"/>
  <c r="BD137" i="25"/>
  <c r="AM139" i="25"/>
  <c r="BF137" i="25"/>
  <c r="AN137" i="25"/>
  <c r="AF137" i="25"/>
  <c r="AI137" i="25" s="1"/>
  <c r="AP112" i="25"/>
  <c r="AG112" i="25"/>
  <c r="Y139" i="25"/>
  <c r="Z137" i="25"/>
  <c r="E6" i="25"/>
  <c r="B6" i="25"/>
  <c r="E138" i="25"/>
  <c r="K138" i="25" s="1"/>
  <c r="E134" i="25"/>
  <c r="K134" i="25" s="1"/>
  <c r="E133" i="25"/>
  <c r="K133" i="25" s="1"/>
  <c r="E132" i="25"/>
  <c r="K132" i="25" s="1"/>
  <c r="E131" i="25"/>
  <c r="K131" i="25" s="1"/>
  <c r="E130" i="25"/>
  <c r="K130" i="25" s="1"/>
  <c r="E129" i="25"/>
  <c r="K129" i="25" s="1"/>
  <c r="E128" i="25"/>
  <c r="K128" i="25" s="1"/>
  <c r="E127" i="25"/>
  <c r="K127" i="25" s="1"/>
  <c r="E126" i="25"/>
  <c r="E123" i="25"/>
  <c r="K123" i="25" s="1"/>
  <c r="E122" i="25"/>
  <c r="K122" i="25" s="1"/>
  <c r="E121" i="25"/>
  <c r="K121" i="25" s="1"/>
  <c r="E120" i="25"/>
  <c r="K120" i="25" s="1"/>
  <c r="E119" i="25"/>
  <c r="E118" i="25"/>
  <c r="K118" i="25" s="1"/>
  <c r="E117" i="25"/>
  <c r="K117" i="25" s="1"/>
  <c r="E111" i="25"/>
  <c r="K111" i="25" s="1"/>
  <c r="E110" i="25"/>
  <c r="K110" i="25" s="1"/>
  <c r="E106" i="25"/>
  <c r="K106" i="25" s="1"/>
  <c r="E105" i="25"/>
  <c r="K105" i="25" s="1"/>
  <c r="E102" i="25"/>
  <c r="K102" i="25" s="1"/>
  <c r="E101" i="25"/>
  <c r="K101" i="25" s="1"/>
  <c r="E100" i="25"/>
  <c r="K100" i="25" s="1"/>
  <c r="E99" i="25"/>
  <c r="K99" i="25" s="1"/>
  <c r="E98" i="25"/>
  <c r="K98" i="25" s="1"/>
  <c r="E97" i="25"/>
  <c r="K97" i="25" s="1"/>
  <c r="E96" i="25"/>
  <c r="K96" i="25" s="1"/>
  <c r="E95" i="25"/>
  <c r="K95" i="25" s="1"/>
  <c r="E94" i="25"/>
  <c r="E91" i="25"/>
  <c r="K91" i="25" s="1"/>
  <c r="E90" i="25"/>
  <c r="K90" i="25" s="1"/>
  <c r="E89" i="25"/>
  <c r="K89" i="25" s="1"/>
  <c r="E88" i="25"/>
  <c r="K88" i="25" s="1"/>
  <c r="E87" i="25"/>
  <c r="K87" i="25" s="1"/>
  <c r="E86" i="25"/>
  <c r="K86" i="25" s="1"/>
  <c r="E85" i="25"/>
  <c r="K85" i="25" s="1"/>
  <c r="E84" i="25"/>
  <c r="E81" i="25"/>
  <c r="K81" i="25" s="1"/>
  <c r="E80" i="25"/>
  <c r="K80" i="25" s="1"/>
  <c r="E79" i="25"/>
  <c r="K79" i="25" s="1"/>
  <c r="E78" i="25"/>
  <c r="K78" i="25" s="1"/>
  <c r="E77" i="25"/>
  <c r="K77" i="25" s="1"/>
  <c r="E76" i="25"/>
  <c r="K76" i="25" s="1"/>
  <c r="E75" i="25"/>
  <c r="K75" i="25" s="1"/>
  <c r="E74" i="25"/>
  <c r="K74" i="25" s="1"/>
  <c r="E73" i="25"/>
  <c r="K73" i="25" s="1"/>
  <c r="E72" i="25"/>
  <c r="K72" i="25" s="1"/>
  <c r="E71" i="25"/>
  <c r="K71" i="25" s="1"/>
  <c r="E70" i="25"/>
  <c r="K70" i="25" s="1"/>
  <c r="E69" i="25"/>
  <c r="K65" i="25"/>
  <c r="E64" i="25"/>
  <c r="K64" i="25" s="1"/>
  <c r="E63" i="25"/>
  <c r="K63" i="25" s="1"/>
  <c r="E62" i="25"/>
  <c r="K62" i="25" s="1"/>
  <c r="E61" i="25"/>
  <c r="K61" i="25" s="1"/>
  <c r="E60" i="25"/>
  <c r="K60" i="25" s="1"/>
  <c r="E59" i="25"/>
  <c r="K59" i="25" s="1"/>
  <c r="E58" i="25"/>
  <c r="K58" i="25" s="1"/>
  <c r="E57" i="25"/>
  <c r="K57" i="25" s="1"/>
  <c r="E56" i="25"/>
  <c r="K56" i="25" s="1"/>
  <c r="E55" i="25"/>
  <c r="K55" i="25" s="1"/>
  <c r="E54" i="25"/>
  <c r="K54" i="25" s="1"/>
  <c r="E53" i="25"/>
  <c r="K53" i="25" s="1"/>
  <c r="E52" i="25"/>
  <c r="K52" i="25" s="1"/>
  <c r="E51" i="25"/>
  <c r="K51" i="25" s="1"/>
  <c r="E50" i="25"/>
  <c r="K50" i="25" s="1"/>
  <c r="E49" i="25"/>
  <c r="K49" i="25" s="1"/>
  <c r="E48" i="25"/>
  <c r="K48" i="25" s="1"/>
  <c r="E47" i="25"/>
  <c r="K47" i="25" s="1"/>
  <c r="E46" i="25"/>
  <c r="K46" i="25" s="1"/>
  <c r="E45" i="25"/>
  <c r="K45" i="25" s="1"/>
  <c r="E44" i="25"/>
  <c r="K44" i="25" s="1"/>
  <c r="E43" i="25"/>
  <c r="K43" i="25" s="1"/>
  <c r="E42" i="25"/>
  <c r="K42" i="25" s="1"/>
  <c r="E41" i="25"/>
  <c r="K41" i="25" s="1"/>
  <c r="E40" i="25"/>
  <c r="K40" i="25" s="1"/>
  <c r="E30" i="25"/>
  <c r="E27" i="25"/>
  <c r="E24" i="25"/>
  <c r="K24" i="25" s="1"/>
  <c r="E19" i="25"/>
  <c r="K19" i="25" s="1"/>
  <c r="E16" i="25"/>
  <c r="E13" i="25"/>
  <c r="E12" i="25"/>
  <c r="K12" i="25" s="1"/>
  <c r="E11" i="25"/>
  <c r="K11" i="25" s="1"/>
  <c r="E8" i="25"/>
  <c r="K8" i="25" s="1"/>
  <c r="E7" i="25"/>
  <c r="K7" i="25" s="1"/>
  <c r="H35" i="25" l="1"/>
  <c r="R35" i="25" s="1"/>
  <c r="K6" i="25"/>
  <c r="E5" i="25"/>
  <c r="K5" i="25" s="1"/>
  <c r="I29" i="25"/>
  <c r="E18" i="25"/>
  <c r="K18" i="25" s="1"/>
  <c r="E104" i="25"/>
  <c r="K104" i="25" s="1"/>
  <c r="I35" i="25"/>
  <c r="H22" i="25"/>
  <c r="R22" i="25" s="1"/>
  <c r="R23" i="25"/>
  <c r="E26" i="25"/>
  <c r="K26" i="25" s="1"/>
  <c r="K27" i="25"/>
  <c r="E68" i="25"/>
  <c r="K68" i="25" s="1"/>
  <c r="K69" i="25"/>
  <c r="E116" i="25"/>
  <c r="K116" i="25" s="1"/>
  <c r="K119" i="25"/>
  <c r="O139" i="25"/>
  <c r="P139" i="25" s="1"/>
  <c r="P137" i="25"/>
  <c r="H33" i="25"/>
  <c r="R33" i="25" s="1"/>
  <c r="I8" i="25"/>
  <c r="I24" i="25"/>
  <c r="I23" i="25"/>
  <c r="E10" i="25"/>
  <c r="K13" i="25"/>
  <c r="E23" i="25"/>
  <c r="K23" i="25" s="1"/>
  <c r="E15" i="25"/>
  <c r="K16" i="25"/>
  <c r="E29" i="25"/>
  <c r="K29" i="25" s="1"/>
  <c r="K30" i="25"/>
  <c r="E83" i="25"/>
  <c r="K83" i="25" s="1"/>
  <c r="K84" i="25"/>
  <c r="E93" i="25"/>
  <c r="K93" i="25" s="1"/>
  <c r="K94" i="25"/>
  <c r="E125" i="25"/>
  <c r="K125" i="25" s="1"/>
  <c r="K126" i="25"/>
  <c r="H38" i="25"/>
  <c r="R39" i="25"/>
  <c r="E39" i="25"/>
  <c r="K39" i="25" s="1"/>
  <c r="H34" i="25"/>
  <c r="R34" i="25" s="1"/>
  <c r="R10" i="25"/>
  <c r="I27" i="25"/>
  <c r="I26" i="25"/>
  <c r="CH139" i="25"/>
  <c r="CR137" i="25"/>
  <c r="CI137" i="25"/>
  <c r="CK137" i="25"/>
  <c r="CD139" i="25"/>
  <c r="BR139" i="25"/>
  <c r="BJ139" i="25"/>
  <c r="BM139" i="25" s="1"/>
  <c r="BT137" i="25"/>
  <c r="BK137" i="25"/>
  <c r="BD139" i="25"/>
  <c r="BF139" i="25"/>
  <c r="AN139" i="25"/>
  <c r="AP137" i="25"/>
  <c r="AG137" i="25"/>
  <c r="Z139" i="25"/>
  <c r="M462" i="29"/>
  <c r="L462" i="29"/>
  <c r="N460" i="29"/>
  <c r="I103" i="20" s="1"/>
  <c r="M460" i="29"/>
  <c r="L460" i="29"/>
  <c r="G103" i="20"/>
  <c r="E103" i="20"/>
  <c r="C103" i="20"/>
  <c r="B103" i="20"/>
  <c r="C102" i="20"/>
  <c r="E102" i="20"/>
  <c r="G102" i="20"/>
  <c r="L456" i="29"/>
  <c r="M456" i="29"/>
  <c r="N456" i="29"/>
  <c r="I102" i="20" s="1"/>
  <c r="B102" i="20"/>
  <c r="N454" i="29"/>
  <c r="I101" i="20" s="1"/>
  <c r="M454" i="29"/>
  <c r="L454" i="29"/>
  <c r="G101" i="20"/>
  <c r="E101" i="20"/>
  <c r="C101" i="20"/>
  <c r="B101" i="20"/>
  <c r="C100" i="20"/>
  <c r="E100" i="20"/>
  <c r="G100" i="20"/>
  <c r="L452" i="29"/>
  <c r="M452" i="29"/>
  <c r="N452" i="29"/>
  <c r="C96" i="20"/>
  <c r="E96" i="20"/>
  <c r="G96" i="20"/>
  <c r="L445" i="29"/>
  <c r="M445" i="29"/>
  <c r="N445" i="29"/>
  <c r="I96" i="20" s="1"/>
  <c r="B96" i="20"/>
  <c r="E95" i="20"/>
  <c r="L420" i="29"/>
  <c r="M420" i="29"/>
  <c r="N420" i="29"/>
  <c r="I95" i="20" s="1"/>
  <c r="C94" i="20"/>
  <c r="G94" i="20"/>
  <c r="L417" i="29"/>
  <c r="M417" i="29"/>
  <c r="N417" i="29"/>
  <c r="I94" i="20" s="1"/>
  <c r="B94" i="20"/>
  <c r="L464" i="29" l="1"/>
  <c r="J103" i="20"/>
  <c r="AB139" i="25"/>
  <c r="I100" i="20"/>
  <c r="J100" i="20" s="1"/>
  <c r="F96" i="20"/>
  <c r="H102" i="20"/>
  <c r="B100" i="20"/>
  <c r="D100" i="20" s="1"/>
  <c r="H103" i="20"/>
  <c r="H100" i="20"/>
  <c r="I33" i="25"/>
  <c r="H124" i="25"/>
  <c r="R38" i="25"/>
  <c r="E38" i="25"/>
  <c r="E35" i="25"/>
  <c r="K35" i="25" s="1"/>
  <c r="K15" i="25"/>
  <c r="F30" i="25"/>
  <c r="F29" i="25"/>
  <c r="E22" i="25"/>
  <c r="K22" i="25" s="1"/>
  <c r="E34" i="25"/>
  <c r="K34" i="25" s="1"/>
  <c r="K10" i="25"/>
  <c r="F27" i="25"/>
  <c r="F26" i="25"/>
  <c r="E33" i="25"/>
  <c r="K33" i="25" s="1"/>
  <c r="F24" i="25"/>
  <c r="F23" i="25"/>
  <c r="F8" i="25"/>
  <c r="I34" i="25"/>
  <c r="N416" i="29"/>
  <c r="N449" i="29" s="1"/>
  <c r="B95" i="20"/>
  <c r="G95" i="20"/>
  <c r="H96" i="20"/>
  <c r="F100" i="20"/>
  <c r="J101" i="20"/>
  <c r="D102" i="20"/>
  <c r="K102" i="20"/>
  <c r="J102" i="20"/>
  <c r="F103" i="20"/>
  <c r="J94" i="20"/>
  <c r="D96" i="20"/>
  <c r="K96" i="20"/>
  <c r="H101" i="20"/>
  <c r="D103" i="20"/>
  <c r="K103" i="20"/>
  <c r="M464" i="29"/>
  <c r="K94" i="20"/>
  <c r="D94" i="20"/>
  <c r="D101" i="20"/>
  <c r="K101" i="20"/>
  <c r="J96" i="20"/>
  <c r="L416" i="29"/>
  <c r="L449" i="29" s="1"/>
  <c r="E94" i="20"/>
  <c r="M416" i="29"/>
  <c r="M449" i="29" s="1"/>
  <c r="I93" i="20"/>
  <c r="I92" i="20" s="1"/>
  <c r="C95" i="20"/>
  <c r="F95" i="20" s="1"/>
  <c r="F101" i="20"/>
  <c r="F102" i="20"/>
  <c r="CR139" i="25"/>
  <c r="CI139" i="25"/>
  <c r="CK139" i="25"/>
  <c r="BT139" i="25"/>
  <c r="BK139" i="25"/>
  <c r="C13" i="20"/>
  <c r="E13" i="20"/>
  <c r="G13" i="20"/>
  <c r="L67" i="29"/>
  <c r="M67" i="29"/>
  <c r="N67" i="29"/>
  <c r="I13" i="20" s="1"/>
  <c r="B13" i="20"/>
  <c r="C12" i="20"/>
  <c r="E12" i="20"/>
  <c r="G12" i="20"/>
  <c r="L62" i="29"/>
  <c r="M62" i="29"/>
  <c r="N62" i="29"/>
  <c r="I12" i="20" s="1"/>
  <c r="B12" i="20"/>
  <c r="C11" i="20"/>
  <c r="E11" i="20"/>
  <c r="G11" i="20"/>
  <c r="L48" i="29"/>
  <c r="M48" i="29"/>
  <c r="N48" i="29"/>
  <c r="I11" i="20" s="1"/>
  <c r="B11" i="20"/>
  <c r="C10" i="20"/>
  <c r="E10" i="20"/>
  <c r="G10" i="20"/>
  <c r="L35" i="29"/>
  <c r="M35" i="29"/>
  <c r="N35" i="29"/>
  <c r="I10" i="20" s="1"/>
  <c r="B10" i="20"/>
  <c r="C9" i="20"/>
  <c r="E9" i="20"/>
  <c r="G9" i="20"/>
  <c r="B9" i="20"/>
  <c r="C8" i="20"/>
  <c r="E8" i="20"/>
  <c r="G8" i="20"/>
  <c r="L11" i="29"/>
  <c r="M11" i="29"/>
  <c r="N11" i="29"/>
  <c r="I8" i="20" s="1"/>
  <c r="B8" i="20"/>
  <c r="C6" i="20"/>
  <c r="E6" i="20"/>
  <c r="L5" i="29"/>
  <c r="M5" i="29"/>
  <c r="N5" i="29"/>
  <c r="B6" i="20"/>
  <c r="C7" i="20"/>
  <c r="E7" i="20"/>
  <c r="G7" i="20"/>
  <c r="L7" i="29"/>
  <c r="M7" i="29"/>
  <c r="N7" i="29"/>
  <c r="I7" i="20" s="1"/>
  <c r="L410" i="29"/>
  <c r="N410" i="29"/>
  <c r="C88" i="20"/>
  <c r="E88" i="20"/>
  <c r="G88" i="20"/>
  <c r="L408" i="29"/>
  <c r="M408" i="29"/>
  <c r="N408" i="29"/>
  <c r="I88" i="20" s="1"/>
  <c r="B88" i="20"/>
  <c r="B87" i="20"/>
  <c r="C87" i="20"/>
  <c r="E87" i="20"/>
  <c r="G87" i="20"/>
  <c r="L403" i="29"/>
  <c r="M403" i="29"/>
  <c r="N403" i="29"/>
  <c r="I87" i="20" s="1"/>
  <c r="C86" i="20"/>
  <c r="E86" i="20"/>
  <c r="G86" i="20"/>
  <c r="L401" i="29"/>
  <c r="M401" i="29"/>
  <c r="N401" i="29"/>
  <c r="I86" i="20" s="1"/>
  <c r="C84" i="20"/>
  <c r="E84" i="20"/>
  <c r="G84" i="20"/>
  <c r="L398" i="29"/>
  <c r="M398" i="29"/>
  <c r="N398" i="29"/>
  <c r="I84" i="20" s="1"/>
  <c r="B84" i="20"/>
  <c r="C83" i="20"/>
  <c r="E83" i="20"/>
  <c r="G83" i="20"/>
  <c r="L388" i="29"/>
  <c r="M388" i="29"/>
  <c r="N388" i="29"/>
  <c r="I83" i="20" s="1"/>
  <c r="B83" i="20"/>
  <c r="C82" i="20"/>
  <c r="E82" i="20"/>
  <c r="G82" i="20"/>
  <c r="L386" i="29"/>
  <c r="M386" i="29"/>
  <c r="N386" i="29"/>
  <c r="I82" i="20" s="1"/>
  <c r="B82" i="20"/>
  <c r="C81" i="20"/>
  <c r="E81" i="20"/>
  <c r="G81" i="20"/>
  <c r="L382" i="29"/>
  <c r="M382" i="29"/>
  <c r="N382" i="29"/>
  <c r="I81" i="20" s="1"/>
  <c r="B81" i="20"/>
  <c r="C80" i="20"/>
  <c r="E80" i="20"/>
  <c r="G80" i="20"/>
  <c r="L376" i="29"/>
  <c r="M376" i="29"/>
  <c r="N376" i="29"/>
  <c r="I80" i="20" s="1"/>
  <c r="B80" i="20"/>
  <c r="C79" i="20"/>
  <c r="E79" i="20"/>
  <c r="G79" i="20"/>
  <c r="L371" i="29"/>
  <c r="M371" i="29"/>
  <c r="N371" i="29"/>
  <c r="I79" i="20" s="1"/>
  <c r="C77" i="20"/>
  <c r="E77" i="20"/>
  <c r="G77" i="20"/>
  <c r="J77" i="20" s="1"/>
  <c r="B77" i="20"/>
  <c r="C76" i="20"/>
  <c r="E76" i="20"/>
  <c r="G76" i="20"/>
  <c r="L353" i="29"/>
  <c r="M353" i="29"/>
  <c r="N353" i="29"/>
  <c r="I76" i="20" s="1"/>
  <c r="B76" i="20"/>
  <c r="C75" i="20"/>
  <c r="E75" i="20"/>
  <c r="G75" i="20"/>
  <c r="L350" i="29"/>
  <c r="M350" i="29"/>
  <c r="N350" i="29"/>
  <c r="I75" i="20" s="1"/>
  <c r="B75" i="20"/>
  <c r="C74" i="20"/>
  <c r="E74" i="20"/>
  <c r="G74" i="20"/>
  <c r="L345" i="29"/>
  <c r="M345" i="29"/>
  <c r="N345" i="29"/>
  <c r="I74" i="20" s="1"/>
  <c r="B74" i="20"/>
  <c r="C73" i="20"/>
  <c r="E73" i="20"/>
  <c r="G73" i="20"/>
  <c r="L339" i="29"/>
  <c r="M339" i="29"/>
  <c r="N339" i="29"/>
  <c r="I73" i="20" s="1"/>
  <c r="B73" i="20"/>
  <c r="C72" i="20"/>
  <c r="E72" i="20"/>
  <c r="G72" i="20"/>
  <c r="L336" i="29"/>
  <c r="M336" i="29"/>
  <c r="N336" i="29"/>
  <c r="I72" i="20" s="1"/>
  <c r="B72" i="20"/>
  <c r="C71" i="20"/>
  <c r="E71" i="20"/>
  <c r="G71" i="20"/>
  <c r="L331" i="29"/>
  <c r="M331" i="29"/>
  <c r="N331" i="29"/>
  <c r="I71" i="20" s="1"/>
  <c r="B71" i="20"/>
  <c r="C70" i="20"/>
  <c r="E70" i="20"/>
  <c r="G70" i="20"/>
  <c r="L327" i="29"/>
  <c r="M327" i="29"/>
  <c r="N327" i="29"/>
  <c r="I70" i="20" s="1"/>
  <c r="C68" i="20"/>
  <c r="E68" i="20"/>
  <c r="G68" i="20"/>
  <c r="L324" i="29"/>
  <c r="M324" i="29"/>
  <c r="N324" i="29"/>
  <c r="I68" i="20" s="1"/>
  <c r="B68" i="20"/>
  <c r="C67" i="20"/>
  <c r="E67" i="20"/>
  <c r="G67" i="20"/>
  <c r="L318" i="29"/>
  <c r="M318" i="29"/>
  <c r="N318" i="29"/>
  <c r="I67" i="20" s="1"/>
  <c r="B67" i="20"/>
  <c r="C66" i="20"/>
  <c r="E66" i="20"/>
  <c r="G66" i="20"/>
  <c r="L314" i="29"/>
  <c r="M314" i="29"/>
  <c r="N314" i="29"/>
  <c r="I66" i="20" s="1"/>
  <c r="B66" i="20"/>
  <c r="C65" i="20"/>
  <c r="E65" i="20"/>
  <c r="G65" i="20"/>
  <c r="L308" i="29"/>
  <c r="M308" i="29"/>
  <c r="N308" i="29"/>
  <c r="I65" i="20" s="1"/>
  <c r="B65" i="20"/>
  <c r="C64" i="20"/>
  <c r="E64" i="20"/>
  <c r="G64" i="20"/>
  <c r="L303" i="29"/>
  <c r="M303" i="29"/>
  <c r="N303" i="29"/>
  <c r="I64" i="20" s="1"/>
  <c r="B64" i="20"/>
  <c r="C63" i="20"/>
  <c r="E63" i="20"/>
  <c r="G63" i="20"/>
  <c r="L299" i="29"/>
  <c r="M299" i="29"/>
  <c r="N299" i="29"/>
  <c r="I63" i="20" s="1"/>
  <c r="C59" i="20"/>
  <c r="E59" i="20"/>
  <c r="G59" i="20"/>
  <c r="L290" i="29"/>
  <c r="M290" i="29"/>
  <c r="N290" i="29"/>
  <c r="I59" i="20" s="1"/>
  <c r="B59" i="20"/>
  <c r="C58" i="20"/>
  <c r="E58" i="20"/>
  <c r="G58" i="20"/>
  <c r="L286" i="29"/>
  <c r="M286" i="29"/>
  <c r="N286" i="29"/>
  <c r="I58" i="20" s="1"/>
  <c r="B58" i="20"/>
  <c r="B57" i="20"/>
  <c r="C57" i="20"/>
  <c r="E57" i="20"/>
  <c r="G57" i="20"/>
  <c r="L282" i="29"/>
  <c r="M282" i="29"/>
  <c r="N282" i="29"/>
  <c r="I57" i="20" s="1"/>
  <c r="C56" i="20"/>
  <c r="E56" i="20"/>
  <c r="G56" i="20"/>
  <c r="L278" i="29"/>
  <c r="M278" i="29"/>
  <c r="N278" i="29"/>
  <c r="I56" i="20" s="1"/>
  <c r="B56" i="20"/>
  <c r="C55" i="20"/>
  <c r="E55" i="20"/>
  <c r="G55" i="20"/>
  <c r="L274" i="29"/>
  <c r="M274" i="29"/>
  <c r="N274" i="29"/>
  <c r="I55" i="20" s="1"/>
  <c r="B55" i="20"/>
  <c r="C54" i="20"/>
  <c r="E54" i="20"/>
  <c r="G54" i="20"/>
  <c r="L270" i="29"/>
  <c r="M270" i="29"/>
  <c r="N270" i="29"/>
  <c r="I54" i="20" s="1"/>
  <c r="B54" i="20"/>
  <c r="C53" i="20"/>
  <c r="E53" i="20"/>
  <c r="G53" i="20"/>
  <c r="L263" i="29"/>
  <c r="M263" i="29"/>
  <c r="N263" i="29"/>
  <c r="I53" i="20" s="1"/>
  <c r="B53" i="20"/>
  <c r="C52" i="20"/>
  <c r="E52" i="20"/>
  <c r="G52" i="20"/>
  <c r="L241" i="29"/>
  <c r="M241" i="29"/>
  <c r="N241" i="29"/>
  <c r="I52" i="20" s="1"/>
  <c r="B52" i="20"/>
  <c r="B51" i="20"/>
  <c r="C51" i="20"/>
  <c r="E51" i="20"/>
  <c r="G51" i="20"/>
  <c r="L237" i="29"/>
  <c r="M237" i="29"/>
  <c r="N237" i="29"/>
  <c r="I51" i="20" s="1"/>
  <c r="C50" i="20"/>
  <c r="E50" i="20"/>
  <c r="G50" i="20"/>
  <c r="L233" i="29"/>
  <c r="M233" i="29"/>
  <c r="N233" i="29"/>
  <c r="I50" i="20" s="1"/>
  <c r="C49" i="20"/>
  <c r="E49" i="20"/>
  <c r="G49" i="20"/>
  <c r="L230" i="29"/>
  <c r="M230" i="29"/>
  <c r="N230" i="29"/>
  <c r="I49" i="20" s="1"/>
  <c r="B49" i="20"/>
  <c r="C47" i="20"/>
  <c r="E47" i="20"/>
  <c r="G47" i="20"/>
  <c r="L227" i="29"/>
  <c r="M227" i="29"/>
  <c r="N227" i="29"/>
  <c r="I47" i="20" s="1"/>
  <c r="B47" i="20"/>
  <c r="C46" i="20"/>
  <c r="E46" i="20"/>
  <c r="G46" i="20"/>
  <c r="L218" i="29"/>
  <c r="M218" i="29"/>
  <c r="N218" i="29"/>
  <c r="I46" i="20" s="1"/>
  <c r="B46" i="20"/>
  <c r="B45" i="20"/>
  <c r="C45" i="20"/>
  <c r="E45" i="20"/>
  <c r="G45" i="20"/>
  <c r="L201" i="29"/>
  <c r="M201" i="29"/>
  <c r="N201" i="29"/>
  <c r="I45" i="20" s="1"/>
  <c r="B44" i="20"/>
  <c r="C44" i="20"/>
  <c r="E44" i="20"/>
  <c r="G44" i="20"/>
  <c r="L194" i="29"/>
  <c r="M194" i="29"/>
  <c r="N194" i="29"/>
  <c r="I44" i="20" s="1"/>
  <c r="C43" i="20"/>
  <c r="E43" i="20"/>
  <c r="G43" i="20"/>
  <c r="L175" i="29"/>
  <c r="M175" i="29"/>
  <c r="N175" i="29"/>
  <c r="I43" i="20" s="1"/>
  <c r="C40" i="20"/>
  <c r="E40" i="20"/>
  <c r="G40" i="20"/>
  <c r="L168" i="29"/>
  <c r="M168" i="29"/>
  <c r="N168" i="29"/>
  <c r="I40" i="20" s="1"/>
  <c r="B40" i="20"/>
  <c r="C39" i="20"/>
  <c r="E39" i="20"/>
  <c r="G39" i="20"/>
  <c r="L162" i="29"/>
  <c r="M162" i="29"/>
  <c r="N162" i="29"/>
  <c r="I39" i="20" s="1"/>
  <c r="C37" i="20"/>
  <c r="E37" i="20"/>
  <c r="G37" i="20"/>
  <c r="L158" i="29"/>
  <c r="M158" i="29"/>
  <c r="N158" i="29"/>
  <c r="I37" i="20" s="1"/>
  <c r="B37" i="20"/>
  <c r="C36" i="20"/>
  <c r="E36" i="20"/>
  <c r="G36" i="20"/>
  <c r="L155" i="29"/>
  <c r="M155" i="29"/>
  <c r="N155" i="29"/>
  <c r="I36" i="20" s="1"/>
  <c r="B36" i="20"/>
  <c r="C35" i="20"/>
  <c r="E35" i="20"/>
  <c r="G35" i="20"/>
  <c r="L153" i="29"/>
  <c r="M153" i="29"/>
  <c r="N153" i="29"/>
  <c r="I35" i="20" s="1"/>
  <c r="B35" i="20"/>
  <c r="C34" i="20"/>
  <c r="E34" i="20"/>
  <c r="G34" i="20"/>
  <c r="L151" i="29"/>
  <c r="M151" i="29"/>
  <c r="N151" i="29"/>
  <c r="I34" i="20" s="1"/>
  <c r="L148" i="29"/>
  <c r="M148" i="29"/>
  <c r="N148" i="29"/>
  <c r="C28" i="20"/>
  <c r="E28" i="20"/>
  <c r="G28" i="20"/>
  <c r="L137" i="29"/>
  <c r="M137" i="29"/>
  <c r="N137" i="29"/>
  <c r="I28" i="20" s="1"/>
  <c r="B28" i="20"/>
  <c r="B27" i="20"/>
  <c r="C30" i="20"/>
  <c r="E30" i="20"/>
  <c r="G30" i="20"/>
  <c r="L140" i="29"/>
  <c r="M140" i="29"/>
  <c r="N140" i="29"/>
  <c r="I30" i="20" s="1"/>
  <c r="C27" i="20"/>
  <c r="E27" i="20"/>
  <c r="G27" i="20"/>
  <c r="L135" i="29"/>
  <c r="M135" i="29"/>
  <c r="N135" i="29"/>
  <c r="I27" i="20" s="1"/>
  <c r="C26" i="20"/>
  <c r="E26" i="20"/>
  <c r="G26" i="20"/>
  <c r="L131" i="29"/>
  <c r="M131" i="29"/>
  <c r="N131" i="29"/>
  <c r="I26" i="20" s="1"/>
  <c r="B26" i="20"/>
  <c r="C25" i="20"/>
  <c r="E25" i="20"/>
  <c r="G25" i="20"/>
  <c r="L125" i="29"/>
  <c r="M125" i="29"/>
  <c r="N125" i="29"/>
  <c r="I25" i="20" s="1"/>
  <c r="B25" i="20"/>
  <c r="C24" i="20"/>
  <c r="E24" i="20"/>
  <c r="G24" i="20"/>
  <c r="L119" i="29"/>
  <c r="M119" i="29"/>
  <c r="N119" i="29"/>
  <c r="I24" i="20" s="1"/>
  <c r="N114" i="29"/>
  <c r="I22" i="20" s="1"/>
  <c r="M114" i="29"/>
  <c r="L114" i="29"/>
  <c r="G22" i="20"/>
  <c r="E22" i="20"/>
  <c r="C22" i="20"/>
  <c r="B22" i="20"/>
  <c r="N110" i="29"/>
  <c r="M110" i="29"/>
  <c r="L110" i="29"/>
  <c r="N102" i="29"/>
  <c r="I19" i="20" s="1"/>
  <c r="M102" i="29"/>
  <c r="L102" i="29"/>
  <c r="G19" i="20"/>
  <c r="E19" i="20"/>
  <c r="C19" i="20"/>
  <c r="B19" i="20"/>
  <c r="N98" i="29"/>
  <c r="I18" i="20" s="1"/>
  <c r="M98" i="29"/>
  <c r="L98" i="29"/>
  <c r="G18" i="20"/>
  <c r="E18" i="20"/>
  <c r="C18" i="20"/>
  <c r="B18" i="20"/>
  <c r="N92" i="29"/>
  <c r="I17" i="20" s="1"/>
  <c r="M92" i="29"/>
  <c r="L92" i="29"/>
  <c r="G17" i="20"/>
  <c r="E17" i="20"/>
  <c r="C17" i="20"/>
  <c r="B17" i="20"/>
  <c r="N86" i="29"/>
  <c r="I16" i="20" s="1"/>
  <c r="M86" i="29"/>
  <c r="L86" i="29"/>
  <c r="G16" i="20"/>
  <c r="E16" i="20"/>
  <c r="C16" i="20"/>
  <c r="B16" i="20"/>
  <c r="N73" i="29"/>
  <c r="I15" i="20" s="1"/>
  <c r="M73" i="29"/>
  <c r="L73" i="29"/>
  <c r="G15" i="20"/>
  <c r="B15" i="20"/>
  <c r="F33" i="25" l="1"/>
  <c r="K100" i="20"/>
  <c r="J11" i="20"/>
  <c r="J51" i="20"/>
  <c r="J19" i="20"/>
  <c r="J79" i="20"/>
  <c r="J83" i="20"/>
  <c r="L109" i="29"/>
  <c r="J16" i="20"/>
  <c r="K15" i="20"/>
  <c r="D15" i="20"/>
  <c r="H15" i="20"/>
  <c r="J15" i="20"/>
  <c r="L4" i="29"/>
  <c r="B43" i="20"/>
  <c r="D43" i="20" s="1"/>
  <c r="J82" i="20"/>
  <c r="N4" i="29"/>
  <c r="I6" i="20"/>
  <c r="I5" i="20" s="1"/>
  <c r="J8" i="20"/>
  <c r="I42" i="20"/>
  <c r="J45" i="20"/>
  <c r="M4" i="29"/>
  <c r="J12" i="20"/>
  <c r="B30" i="20"/>
  <c r="D30" i="20" s="1"/>
  <c r="J30" i="20"/>
  <c r="I31" i="20"/>
  <c r="I32" i="20"/>
  <c r="J50" i="20"/>
  <c r="J54" i="20"/>
  <c r="J58" i="20"/>
  <c r="J65" i="20"/>
  <c r="J70" i="20"/>
  <c r="J74" i="20"/>
  <c r="N109" i="29"/>
  <c r="I21" i="20"/>
  <c r="I20" i="20" s="1"/>
  <c r="B24" i="20"/>
  <c r="D24" i="20" s="1"/>
  <c r="J27" i="20"/>
  <c r="J37" i="20"/>
  <c r="J49" i="20"/>
  <c r="J53" i="20"/>
  <c r="J64" i="20"/>
  <c r="J68" i="20"/>
  <c r="J73" i="20"/>
  <c r="B79" i="20"/>
  <c r="K79" i="20" s="1"/>
  <c r="I85" i="20"/>
  <c r="J88" i="20"/>
  <c r="H25" i="20"/>
  <c r="H28" i="20"/>
  <c r="H58" i="20"/>
  <c r="H65" i="20"/>
  <c r="B86" i="20"/>
  <c r="K86" i="20" s="1"/>
  <c r="F10" i="20"/>
  <c r="F34" i="25"/>
  <c r="H51" i="20"/>
  <c r="H70" i="20"/>
  <c r="F71" i="20"/>
  <c r="H74" i="20"/>
  <c r="F75" i="20"/>
  <c r="H79" i="20"/>
  <c r="F80" i="20"/>
  <c r="F17" i="20"/>
  <c r="H30" i="20"/>
  <c r="H56" i="20"/>
  <c r="H57" i="20"/>
  <c r="F64" i="20"/>
  <c r="H67" i="20"/>
  <c r="F68" i="20"/>
  <c r="F73" i="20"/>
  <c r="F77" i="20"/>
  <c r="F82" i="20"/>
  <c r="H87" i="20"/>
  <c r="H24" i="20"/>
  <c r="H54" i="20"/>
  <c r="H83" i="20"/>
  <c r="F84" i="20"/>
  <c r="H35" i="20"/>
  <c r="H44" i="20"/>
  <c r="H46" i="20"/>
  <c r="H55" i="20"/>
  <c r="H59" i="20"/>
  <c r="H66" i="20"/>
  <c r="H71" i="20"/>
  <c r="H75" i="20"/>
  <c r="H80" i="20"/>
  <c r="H84" i="20"/>
  <c r="B70" i="20"/>
  <c r="K70" i="20" s="1"/>
  <c r="B63" i="20"/>
  <c r="K63" i="20" s="1"/>
  <c r="B50" i="20"/>
  <c r="K50" i="20" s="1"/>
  <c r="B39" i="20"/>
  <c r="D39" i="20" s="1"/>
  <c r="B34" i="20"/>
  <c r="D34" i="20" s="1"/>
  <c r="B7" i="20"/>
  <c r="D7" i="20" s="1"/>
  <c r="H88" i="20"/>
  <c r="H76" i="20"/>
  <c r="H50" i="20"/>
  <c r="H40" i="20"/>
  <c r="H18" i="20"/>
  <c r="H12" i="20"/>
  <c r="H10" i="20"/>
  <c r="H8" i="20"/>
  <c r="G6" i="20"/>
  <c r="G5" i="20" s="1"/>
  <c r="F36" i="20"/>
  <c r="F47" i="20"/>
  <c r="F52" i="20"/>
  <c r="F56" i="20"/>
  <c r="F57" i="20"/>
  <c r="F63" i="20"/>
  <c r="F67" i="20"/>
  <c r="F22" i="20"/>
  <c r="F13" i="20"/>
  <c r="F25" i="20"/>
  <c r="F28" i="20"/>
  <c r="F26" i="20"/>
  <c r="F27" i="20"/>
  <c r="F35" i="20"/>
  <c r="F40" i="20"/>
  <c r="F44" i="20"/>
  <c r="F46" i="20"/>
  <c r="F55" i="20"/>
  <c r="F59" i="20"/>
  <c r="F66" i="20"/>
  <c r="F6" i="20"/>
  <c r="F11" i="20"/>
  <c r="F72" i="20"/>
  <c r="F76" i="20"/>
  <c r="F81" i="20"/>
  <c r="F87" i="20"/>
  <c r="F35" i="25"/>
  <c r="E124" i="25"/>
  <c r="K38" i="25"/>
  <c r="R124" i="25"/>
  <c r="J124" i="25"/>
  <c r="J122" i="25"/>
  <c r="J120" i="25"/>
  <c r="J118" i="25"/>
  <c r="J116" i="25"/>
  <c r="J105" i="25"/>
  <c r="J102" i="25"/>
  <c r="J100" i="25"/>
  <c r="J98" i="25"/>
  <c r="J96" i="25"/>
  <c r="J94" i="25"/>
  <c r="J91" i="25"/>
  <c r="J89" i="25"/>
  <c r="J87" i="25"/>
  <c r="J85" i="25"/>
  <c r="J83" i="25"/>
  <c r="J121" i="25"/>
  <c r="J99" i="25"/>
  <c r="J90" i="25"/>
  <c r="J81" i="25"/>
  <c r="J79" i="25"/>
  <c r="J77" i="25"/>
  <c r="J75" i="25"/>
  <c r="J73" i="25"/>
  <c r="J71" i="25"/>
  <c r="J69" i="25"/>
  <c r="J66" i="25"/>
  <c r="J64" i="25"/>
  <c r="J62" i="25"/>
  <c r="J60" i="25"/>
  <c r="J58" i="25"/>
  <c r="J56" i="25"/>
  <c r="J54" i="25"/>
  <c r="J52" i="25"/>
  <c r="J50" i="25"/>
  <c r="J48" i="25"/>
  <c r="J46" i="25"/>
  <c r="J44" i="25"/>
  <c r="J42" i="25"/>
  <c r="J40" i="25"/>
  <c r="J38" i="25"/>
  <c r="J123" i="25"/>
  <c r="J110" i="25"/>
  <c r="J101" i="25"/>
  <c r="J93" i="25"/>
  <c r="J84" i="25"/>
  <c r="J138" i="25"/>
  <c r="J117" i="25"/>
  <c r="J104" i="25"/>
  <c r="J95" i="25"/>
  <c r="J86" i="25"/>
  <c r="J80" i="25"/>
  <c r="J78" i="25"/>
  <c r="J76" i="25"/>
  <c r="J74" i="25"/>
  <c r="J72" i="25"/>
  <c r="J70" i="25"/>
  <c r="J68" i="25"/>
  <c r="J65" i="25"/>
  <c r="J63" i="25"/>
  <c r="J61" i="25"/>
  <c r="J59" i="25"/>
  <c r="J57" i="25"/>
  <c r="J55" i="25"/>
  <c r="J53" i="25"/>
  <c r="J51" i="25"/>
  <c r="J49" i="25"/>
  <c r="J47" i="25"/>
  <c r="J45" i="25"/>
  <c r="J43" i="25"/>
  <c r="J41" i="25"/>
  <c r="J39" i="25"/>
  <c r="J119" i="25"/>
  <c r="J111" i="25"/>
  <c r="J106" i="25"/>
  <c r="J97" i="25"/>
  <c r="J88" i="25"/>
  <c r="C93" i="20"/>
  <c r="C92" i="20" s="1"/>
  <c r="D16" i="20"/>
  <c r="K16" i="20"/>
  <c r="D26" i="20"/>
  <c r="K26" i="20"/>
  <c r="G23" i="20"/>
  <c r="J26" i="20"/>
  <c r="E33" i="20"/>
  <c r="H34" i="20"/>
  <c r="K37" i="20"/>
  <c r="D37" i="20"/>
  <c r="K49" i="20"/>
  <c r="D49" i="20"/>
  <c r="K57" i="20"/>
  <c r="D57" i="20"/>
  <c r="K64" i="20"/>
  <c r="D64" i="20"/>
  <c r="C90" i="20"/>
  <c r="K6" i="20"/>
  <c r="D6" i="20"/>
  <c r="J95" i="20"/>
  <c r="D54" i="20"/>
  <c r="K54" i="20"/>
  <c r="K58" i="20"/>
  <c r="D58" i="20"/>
  <c r="I62" i="20"/>
  <c r="D65" i="20"/>
  <c r="K65" i="20"/>
  <c r="D74" i="20"/>
  <c r="K74" i="20"/>
  <c r="D83" i="20"/>
  <c r="K83" i="20"/>
  <c r="C85" i="20"/>
  <c r="F86" i="20"/>
  <c r="K88" i="20"/>
  <c r="D88" i="20"/>
  <c r="E90" i="20"/>
  <c r="F7" i="20"/>
  <c r="K8" i="20"/>
  <c r="D8" i="20"/>
  <c r="H9" i="20"/>
  <c r="K12" i="20"/>
  <c r="D12" i="20"/>
  <c r="H13" i="20"/>
  <c r="C23" i="20"/>
  <c r="F24" i="20"/>
  <c r="G31" i="20"/>
  <c r="G32" i="20"/>
  <c r="E38" i="20"/>
  <c r="H39" i="20"/>
  <c r="C42" i="20"/>
  <c r="F43" i="20"/>
  <c r="K44" i="20"/>
  <c r="D44" i="20"/>
  <c r="K77" i="20"/>
  <c r="D77" i="20"/>
  <c r="K82" i="20"/>
  <c r="D82" i="20"/>
  <c r="M410" i="29"/>
  <c r="I89" i="20"/>
  <c r="F18" i="20"/>
  <c r="G33" i="20"/>
  <c r="J34" i="20"/>
  <c r="D45" i="20"/>
  <c r="K45" i="20"/>
  <c r="E14" i="20"/>
  <c r="H16" i="20"/>
  <c r="G14" i="20"/>
  <c r="J17" i="20"/>
  <c r="K18" i="20"/>
  <c r="D18" i="20"/>
  <c r="F19" i="20"/>
  <c r="E21" i="20"/>
  <c r="J22" i="20"/>
  <c r="J24" i="20"/>
  <c r="I23" i="20"/>
  <c r="K27" i="20"/>
  <c r="D27" i="20"/>
  <c r="M139" i="29"/>
  <c r="C31" i="20"/>
  <c r="C32" i="20"/>
  <c r="D35" i="20"/>
  <c r="K35" i="20"/>
  <c r="J35" i="20"/>
  <c r="H36" i="20"/>
  <c r="F37" i="20"/>
  <c r="D40" i="20"/>
  <c r="K40" i="20"/>
  <c r="J40" i="20"/>
  <c r="G42" i="20"/>
  <c r="J43" i="20"/>
  <c r="J44" i="20"/>
  <c r="F45" i="20"/>
  <c r="D46" i="20"/>
  <c r="K46" i="20"/>
  <c r="J46" i="20"/>
  <c r="H47" i="20"/>
  <c r="F49" i="20"/>
  <c r="D51" i="20"/>
  <c r="K51" i="20"/>
  <c r="H52" i="20"/>
  <c r="F53" i="20"/>
  <c r="D55" i="20"/>
  <c r="K55" i="20"/>
  <c r="J55" i="20"/>
  <c r="D59" i="20"/>
  <c r="K59" i="20"/>
  <c r="J59" i="20"/>
  <c r="E62" i="20"/>
  <c r="H63" i="20"/>
  <c r="D66" i="20"/>
  <c r="K66" i="20"/>
  <c r="J66" i="20"/>
  <c r="D71" i="20"/>
  <c r="K71" i="20"/>
  <c r="J71" i="20"/>
  <c r="E69" i="20"/>
  <c r="H72" i="20"/>
  <c r="D75" i="20"/>
  <c r="K75" i="20"/>
  <c r="J75" i="20"/>
  <c r="D80" i="20"/>
  <c r="K80" i="20"/>
  <c r="J80" i="20"/>
  <c r="E78" i="20"/>
  <c r="H81" i="20"/>
  <c r="D84" i="20"/>
  <c r="K84" i="20"/>
  <c r="J84" i="20"/>
  <c r="E85" i="20"/>
  <c r="H86" i="20"/>
  <c r="B90" i="20"/>
  <c r="G90" i="20"/>
  <c r="E5" i="20"/>
  <c r="H7" i="20"/>
  <c r="K9" i="20"/>
  <c r="D9" i="20"/>
  <c r="J9" i="20"/>
  <c r="D13" i="20"/>
  <c r="K13" i="20"/>
  <c r="J13" i="20"/>
  <c r="K95" i="20"/>
  <c r="D95" i="20"/>
  <c r="B21" i="20"/>
  <c r="B31" i="20"/>
  <c r="B32" i="20"/>
  <c r="K53" i="20"/>
  <c r="D53" i="20"/>
  <c r="K68" i="20"/>
  <c r="D68" i="20"/>
  <c r="K73" i="20"/>
  <c r="D73" i="20"/>
  <c r="K87" i="20"/>
  <c r="D87" i="20"/>
  <c r="C5" i="20"/>
  <c r="F9" i="20"/>
  <c r="D11" i="20"/>
  <c r="K11" i="20"/>
  <c r="K17" i="20"/>
  <c r="D17" i="20"/>
  <c r="H19" i="20"/>
  <c r="G21" i="20"/>
  <c r="K22" i="20"/>
  <c r="D22" i="20"/>
  <c r="G38" i="20"/>
  <c r="J39" i="20"/>
  <c r="E42" i="20"/>
  <c r="H43" i="20"/>
  <c r="C14" i="20"/>
  <c r="F16" i="20"/>
  <c r="I14" i="20"/>
  <c r="H17" i="20"/>
  <c r="J18" i="20"/>
  <c r="D19" i="20"/>
  <c r="K19" i="20"/>
  <c r="C21" i="20"/>
  <c r="M109" i="29"/>
  <c r="H22" i="20"/>
  <c r="D25" i="20"/>
  <c r="K25" i="20"/>
  <c r="J25" i="20"/>
  <c r="E23" i="20"/>
  <c r="H26" i="20"/>
  <c r="H27" i="20"/>
  <c r="F30" i="20"/>
  <c r="K28" i="20"/>
  <c r="D28" i="20"/>
  <c r="J28" i="20"/>
  <c r="E31" i="20"/>
  <c r="E32" i="20"/>
  <c r="I33" i="20"/>
  <c r="C33" i="20"/>
  <c r="F34" i="20"/>
  <c r="D36" i="20"/>
  <c r="K36" i="20"/>
  <c r="J36" i="20"/>
  <c r="H37" i="20"/>
  <c r="I38" i="20"/>
  <c r="C38" i="20"/>
  <c r="F39" i="20"/>
  <c r="H45" i="20"/>
  <c r="D47" i="20"/>
  <c r="K47" i="20"/>
  <c r="J47" i="20"/>
  <c r="E48" i="20"/>
  <c r="H49" i="20"/>
  <c r="I48" i="20"/>
  <c r="C48" i="20"/>
  <c r="F50" i="20"/>
  <c r="F51" i="20"/>
  <c r="D52" i="20"/>
  <c r="K52" i="20"/>
  <c r="G48" i="20"/>
  <c r="J52" i="20"/>
  <c r="H53" i="20"/>
  <c r="F54" i="20"/>
  <c r="D56" i="20"/>
  <c r="K56" i="20"/>
  <c r="J56" i="20"/>
  <c r="J57" i="20"/>
  <c r="F58" i="20"/>
  <c r="D63" i="20"/>
  <c r="G62" i="20"/>
  <c r="J63" i="20"/>
  <c r="H64" i="20"/>
  <c r="C62" i="20"/>
  <c r="F65" i="20"/>
  <c r="D67" i="20"/>
  <c r="K67" i="20"/>
  <c r="J67" i="20"/>
  <c r="H68" i="20"/>
  <c r="I69" i="20"/>
  <c r="C69" i="20"/>
  <c r="F70" i="20"/>
  <c r="D72" i="20"/>
  <c r="K72" i="20"/>
  <c r="G69" i="20"/>
  <c r="J72" i="20"/>
  <c r="H73" i="20"/>
  <c r="F74" i="20"/>
  <c r="D76" i="20"/>
  <c r="K76" i="20"/>
  <c r="J76" i="20"/>
  <c r="H77" i="20"/>
  <c r="I78" i="20"/>
  <c r="C78" i="20"/>
  <c r="F79" i="20"/>
  <c r="D81" i="20"/>
  <c r="K81" i="20"/>
  <c r="G78" i="20"/>
  <c r="J81" i="20"/>
  <c r="H82" i="20"/>
  <c r="F83" i="20"/>
  <c r="G85" i="20"/>
  <c r="J86" i="20"/>
  <c r="J87" i="20"/>
  <c r="F88" i="20"/>
  <c r="J7" i="20"/>
  <c r="F8" i="20"/>
  <c r="D10" i="20"/>
  <c r="K10" i="20"/>
  <c r="J10" i="20"/>
  <c r="H11" i="20"/>
  <c r="F12" i="20"/>
  <c r="E93" i="20"/>
  <c r="E92" i="20" s="1"/>
  <c r="H94" i="20"/>
  <c r="F94" i="20"/>
  <c r="H95" i="20"/>
  <c r="G93" i="20"/>
  <c r="G92" i="20" s="1"/>
  <c r="L298" i="29"/>
  <c r="N326" i="29"/>
  <c r="N370" i="29"/>
  <c r="L400" i="29"/>
  <c r="M326" i="29"/>
  <c r="M370" i="29"/>
  <c r="M229" i="29"/>
  <c r="N229" i="29"/>
  <c r="N298" i="29"/>
  <c r="L326" i="29"/>
  <c r="L370" i="29"/>
  <c r="N400" i="29"/>
  <c r="L229" i="29"/>
  <c r="M298" i="29"/>
  <c r="M400" i="29"/>
  <c r="L174" i="29"/>
  <c r="M174" i="29"/>
  <c r="N174" i="29"/>
  <c r="L161" i="29"/>
  <c r="M161" i="29"/>
  <c r="N118" i="29"/>
  <c r="N150" i="29"/>
  <c r="L139" i="29"/>
  <c r="M118" i="29"/>
  <c r="L150" i="29"/>
  <c r="M150" i="29"/>
  <c r="N161" i="29"/>
  <c r="N72" i="29"/>
  <c r="L118" i="29"/>
  <c r="N139" i="29"/>
  <c r="L72" i="29"/>
  <c r="M72" i="29"/>
  <c r="D86" i="20" l="1"/>
  <c r="D79" i="20"/>
  <c r="D50" i="20"/>
  <c r="J32" i="20"/>
  <c r="M295" i="29"/>
  <c r="I41" i="20"/>
  <c r="J6" i="20"/>
  <c r="I29" i="20"/>
  <c r="K43" i="20"/>
  <c r="K7" i="20"/>
  <c r="K39" i="20"/>
  <c r="K30" i="20"/>
  <c r="K24" i="20"/>
  <c r="N172" i="29"/>
  <c r="L172" i="29"/>
  <c r="M172" i="29"/>
  <c r="K34" i="20"/>
  <c r="D70" i="20"/>
  <c r="H6" i="20"/>
  <c r="F31" i="20"/>
  <c r="K124" i="25"/>
  <c r="G138" i="25"/>
  <c r="G110" i="25"/>
  <c r="G41" i="25"/>
  <c r="G39" i="25"/>
  <c r="G124" i="25"/>
  <c r="G122" i="25"/>
  <c r="G120" i="25"/>
  <c r="G118" i="25"/>
  <c r="G116" i="25"/>
  <c r="G105" i="25"/>
  <c r="G102" i="25"/>
  <c r="G100" i="25"/>
  <c r="G98" i="25"/>
  <c r="G96" i="25"/>
  <c r="G94" i="25"/>
  <c r="G91" i="25"/>
  <c r="G89" i="25"/>
  <c r="G87" i="25"/>
  <c r="G85" i="25"/>
  <c r="G83" i="25"/>
  <c r="G80" i="25"/>
  <c r="G78" i="25"/>
  <c r="G76" i="25"/>
  <c r="G74" i="25"/>
  <c r="G72" i="25"/>
  <c r="G70" i="25"/>
  <c r="G68" i="25"/>
  <c r="G65" i="25"/>
  <c r="G63" i="25"/>
  <c r="G61" i="25"/>
  <c r="G59" i="25"/>
  <c r="G57" i="25"/>
  <c r="G55" i="25"/>
  <c r="G53" i="25"/>
  <c r="G51" i="25"/>
  <c r="G49" i="25"/>
  <c r="G47" i="25"/>
  <c r="G45" i="25"/>
  <c r="G43" i="25"/>
  <c r="G42" i="25"/>
  <c r="G111" i="25"/>
  <c r="G40" i="25"/>
  <c r="G38" i="25"/>
  <c r="G106" i="25"/>
  <c r="G117" i="25"/>
  <c r="G104" i="25"/>
  <c r="G95" i="25"/>
  <c r="G86" i="25"/>
  <c r="G77" i="25"/>
  <c r="G69" i="25"/>
  <c r="G60" i="25"/>
  <c r="G52" i="25"/>
  <c r="G44" i="25"/>
  <c r="G99" i="25"/>
  <c r="G81" i="25"/>
  <c r="G56" i="25"/>
  <c r="G119" i="25"/>
  <c r="G97" i="25"/>
  <c r="G79" i="25"/>
  <c r="G71" i="25"/>
  <c r="G62" i="25"/>
  <c r="G46" i="25"/>
  <c r="G123" i="25"/>
  <c r="G101" i="25"/>
  <c r="G93" i="25"/>
  <c r="G84" i="25"/>
  <c r="G75" i="25"/>
  <c r="G66" i="25"/>
  <c r="G58" i="25"/>
  <c r="G50" i="25"/>
  <c r="G121" i="25"/>
  <c r="G90" i="25"/>
  <c r="G73" i="25"/>
  <c r="G64" i="25"/>
  <c r="G48" i="25"/>
  <c r="G88" i="25"/>
  <c r="G54" i="25"/>
  <c r="G20" i="20"/>
  <c r="J21" i="20"/>
  <c r="H32" i="20"/>
  <c r="K32" i="20"/>
  <c r="D32" i="20"/>
  <c r="G29" i="20"/>
  <c r="J31" i="20"/>
  <c r="C89" i="20"/>
  <c r="C61" i="20" s="1"/>
  <c r="F90" i="20"/>
  <c r="E29" i="20"/>
  <c r="H31" i="20"/>
  <c r="D31" i="20"/>
  <c r="K31" i="20"/>
  <c r="I4" i="20"/>
  <c r="G41" i="20"/>
  <c r="E20" i="20"/>
  <c r="H21" i="20"/>
  <c r="D21" i="20"/>
  <c r="K21" i="20"/>
  <c r="G89" i="20"/>
  <c r="G61" i="20" s="1"/>
  <c r="G127" i="20" s="1"/>
  <c r="J90" i="20"/>
  <c r="C41" i="20"/>
  <c r="C29" i="20"/>
  <c r="C20" i="20"/>
  <c r="F21" i="20"/>
  <c r="E41" i="20"/>
  <c r="D90" i="20"/>
  <c r="K90" i="20"/>
  <c r="F32" i="20"/>
  <c r="E89" i="20"/>
  <c r="E61" i="20" s="1"/>
  <c r="H90" i="20"/>
  <c r="I61" i="20"/>
  <c r="N414" i="29"/>
  <c r="N450" i="29" s="1"/>
  <c r="L414" i="29"/>
  <c r="L450" i="29" s="1"/>
  <c r="L465" i="29" s="1"/>
  <c r="N295" i="29"/>
  <c r="M414" i="29"/>
  <c r="M450" i="29" s="1"/>
  <c r="M465" i="29" s="1"/>
  <c r="L295" i="29"/>
  <c r="M296" i="29" l="1"/>
  <c r="K124" i="20"/>
  <c r="I60" i="20"/>
  <c r="G4" i="20"/>
  <c r="G124" i="20" s="1"/>
  <c r="M466" i="29"/>
  <c r="I98" i="20"/>
  <c r="I124" i="20"/>
  <c r="C98" i="20"/>
  <c r="E98" i="20"/>
  <c r="G98" i="20"/>
  <c r="E4" i="20"/>
  <c r="E60" i="20" s="1"/>
  <c r="C4" i="20"/>
  <c r="C60" i="20" s="1"/>
  <c r="L296" i="29"/>
  <c r="L466" i="29" s="1"/>
  <c r="N296" i="29"/>
  <c r="G60" i="20" l="1"/>
  <c r="E124" i="20"/>
  <c r="H124" i="20" s="1"/>
  <c r="C124" i="20"/>
  <c r="J124" i="20"/>
  <c r="B138" i="25"/>
  <c r="B116" i="20" s="1"/>
  <c r="B127" i="25"/>
  <c r="B128" i="25"/>
  <c r="B129" i="25"/>
  <c r="B130" i="25"/>
  <c r="B131" i="25"/>
  <c r="B132" i="25"/>
  <c r="B133" i="25"/>
  <c r="B134" i="25"/>
  <c r="B126" i="25"/>
  <c r="B123" i="25"/>
  <c r="B118" i="25"/>
  <c r="B119" i="25"/>
  <c r="B120" i="25"/>
  <c r="B121" i="25"/>
  <c r="B122" i="25"/>
  <c r="B117" i="25"/>
  <c r="B111" i="25"/>
  <c r="B110" i="25"/>
  <c r="B106" i="25"/>
  <c r="B105" i="25"/>
  <c r="B99" i="25"/>
  <c r="B100" i="25"/>
  <c r="B101" i="25"/>
  <c r="B102" i="25"/>
  <c r="B98" i="25"/>
  <c r="B97" i="25"/>
  <c r="B96" i="25"/>
  <c r="B95" i="25"/>
  <c r="B94" i="25"/>
  <c r="B91" i="25"/>
  <c r="B90" i="25"/>
  <c r="B89" i="25"/>
  <c r="B88" i="25"/>
  <c r="B87" i="25"/>
  <c r="B86" i="25"/>
  <c r="B85" i="25"/>
  <c r="B84" i="25"/>
  <c r="B81" i="25"/>
  <c r="B80" i="25"/>
  <c r="B79" i="25"/>
  <c r="B78" i="25"/>
  <c r="B77" i="25"/>
  <c r="B76" i="25"/>
  <c r="B75" i="25"/>
  <c r="B74" i="25"/>
  <c r="B73" i="25"/>
  <c r="B72" i="25"/>
  <c r="B71" i="25"/>
  <c r="B69" i="25"/>
  <c r="B70" i="25"/>
  <c r="B64" i="25"/>
  <c r="B63" i="25"/>
  <c r="B62" i="25"/>
  <c r="B61" i="25"/>
  <c r="B60" i="25"/>
  <c r="B58" i="25"/>
  <c r="B59" i="25"/>
  <c r="B41" i="25"/>
  <c r="B42" i="25"/>
  <c r="B43" i="25"/>
  <c r="B44" i="25"/>
  <c r="B45" i="25"/>
  <c r="B46" i="25"/>
  <c r="B47" i="25"/>
  <c r="B48" i="25"/>
  <c r="B49" i="25"/>
  <c r="B50" i="25"/>
  <c r="B51" i="25"/>
  <c r="B52" i="25"/>
  <c r="B53" i="25"/>
  <c r="B54" i="25"/>
  <c r="B55" i="25"/>
  <c r="B56" i="25"/>
  <c r="B57" i="25"/>
  <c r="B40" i="25"/>
  <c r="B30" i="25"/>
  <c r="B27" i="25"/>
  <c r="B24" i="25"/>
  <c r="B19" i="25"/>
  <c r="B16" i="25"/>
  <c r="B12" i="25"/>
  <c r="B13" i="25"/>
  <c r="B11" i="25"/>
  <c r="B8" i="25"/>
  <c r="B7" i="25"/>
  <c r="B5" i="25" s="1"/>
  <c r="B4" i="28"/>
  <c r="B34" i="28" s="1"/>
  <c r="F124" i="20" l="1"/>
  <c r="B204" i="28"/>
  <c r="B206" i="28" s="1"/>
  <c r="O205" i="28"/>
  <c r="CS138" i="25" s="1"/>
  <c r="O203" i="28"/>
  <c r="O196" i="28"/>
  <c r="O197" i="28"/>
  <c r="O198" i="28"/>
  <c r="O199" i="28"/>
  <c r="O200" i="28"/>
  <c r="O201" i="28"/>
  <c r="O202" i="28"/>
  <c r="O175" i="28"/>
  <c r="O176" i="28"/>
  <c r="O177" i="28"/>
  <c r="O178" i="28"/>
  <c r="O179" i="28"/>
  <c r="O180" i="28"/>
  <c r="O181" i="28"/>
  <c r="O182" i="28"/>
  <c r="O183" i="28"/>
  <c r="O184" i="28"/>
  <c r="O185" i="28"/>
  <c r="O186" i="28"/>
  <c r="O187" i="28"/>
  <c r="O153" i="28"/>
  <c r="O154" i="28"/>
  <c r="O155" i="28"/>
  <c r="O156" i="28"/>
  <c r="O157" i="28"/>
  <c r="O158" i="28"/>
  <c r="O159" i="28"/>
  <c r="O160" i="28"/>
  <c r="O161" i="28"/>
  <c r="O162" i="28"/>
  <c r="O163" i="28"/>
  <c r="O164" i="28"/>
  <c r="O165" i="28"/>
  <c r="O166" i="28"/>
  <c r="O167" i="28"/>
  <c r="O168" i="28"/>
  <c r="O169" i="28"/>
  <c r="O170" i="28"/>
  <c r="O171" i="28"/>
  <c r="AT91" i="25"/>
  <c r="AZ91" i="25" s="1"/>
  <c r="L91" i="25"/>
  <c r="S91" i="25" s="1"/>
  <c r="O142" i="28"/>
  <c r="O143" i="28"/>
  <c r="O144" i="28"/>
  <c r="O145" i="28"/>
  <c r="O146" i="28"/>
  <c r="O147" i="28"/>
  <c r="O148" i="28"/>
  <c r="O149" i="28"/>
  <c r="O150" i="28"/>
  <c r="O151" i="28"/>
  <c r="O152" i="28"/>
  <c r="O98" i="28"/>
  <c r="O99" i="28"/>
  <c r="O100" i="28"/>
  <c r="O101" i="28"/>
  <c r="O102" i="28"/>
  <c r="O103" i="28"/>
  <c r="O104" i="28"/>
  <c r="O105" i="28"/>
  <c r="O106" i="28"/>
  <c r="O107" i="28"/>
  <c r="O108" i="28"/>
  <c r="O109" i="28"/>
  <c r="O110" i="28"/>
  <c r="O111" i="28"/>
  <c r="O112" i="28"/>
  <c r="O113" i="28"/>
  <c r="O114" i="28"/>
  <c r="O115" i="28"/>
  <c r="O116" i="28"/>
  <c r="O117" i="28"/>
  <c r="O118" i="28"/>
  <c r="O119" i="28"/>
  <c r="O120" i="28"/>
  <c r="O121" i="28"/>
  <c r="O122" i="28"/>
  <c r="O123" i="28"/>
  <c r="O124" i="28"/>
  <c r="O125" i="28"/>
  <c r="O126" i="28"/>
  <c r="O127" i="28"/>
  <c r="O128" i="28"/>
  <c r="O129" i="28"/>
  <c r="O130" i="28"/>
  <c r="O131" i="28"/>
  <c r="O132" i="28"/>
  <c r="O133" i="28"/>
  <c r="O134" i="28"/>
  <c r="O135" i="28"/>
  <c r="O136" i="28"/>
  <c r="O137" i="28"/>
  <c r="O138" i="28"/>
  <c r="O41" i="28"/>
  <c r="O42" i="28"/>
  <c r="O43" i="28"/>
  <c r="O44" i="28"/>
  <c r="O45" i="28"/>
  <c r="O46" i="28"/>
  <c r="O47" i="28"/>
  <c r="O48" i="28"/>
  <c r="O49" i="28"/>
  <c r="O50" i="28"/>
  <c r="O51" i="28"/>
  <c r="O52" i="28"/>
  <c r="O53" i="28"/>
  <c r="O54" i="28"/>
  <c r="O55" i="28"/>
  <c r="O56" i="28"/>
  <c r="O57" i="28"/>
  <c r="O58" i="28"/>
  <c r="O59" i="28"/>
  <c r="O60" i="28"/>
  <c r="O61" i="28"/>
  <c r="O62" i="28"/>
  <c r="O63" i="28"/>
  <c r="O64" i="28"/>
  <c r="O65" i="28"/>
  <c r="O66" i="28"/>
  <c r="O67" i="28"/>
  <c r="O68" i="28"/>
  <c r="O69" i="28"/>
  <c r="O70" i="28"/>
  <c r="O71" i="28"/>
  <c r="O72" i="28"/>
  <c r="O73" i="28"/>
  <c r="O74" i="28"/>
  <c r="O75" i="28"/>
  <c r="O76" i="28"/>
  <c r="O77" i="28"/>
  <c r="O78" i="28"/>
  <c r="O79" i="28"/>
  <c r="O80" i="28"/>
  <c r="O81" i="28"/>
  <c r="O82" i="28"/>
  <c r="O83" i="28"/>
  <c r="O84" i="28"/>
  <c r="O85" i="28"/>
  <c r="O86" i="28"/>
  <c r="O87" i="28"/>
  <c r="O88" i="28"/>
  <c r="O89" i="28"/>
  <c r="O90" i="28"/>
  <c r="O91" i="28"/>
  <c r="O92" i="28"/>
  <c r="O93" i="28"/>
  <c r="O94" i="28"/>
  <c r="O31" i="28"/>
  <c r="O32" i="28"/>
  <c r="O33" i="28"/>
  <c r="O20" i="28"/>
  <c r="O21" i="28"/>
  <c r="O22" i="28"/>
  <c r="O23" i="28"/>
  <c r="O24" i="28"/>
  <c r="O25" i="28"/>
  <c r="O26" i="28"/>
  <c r="O27" i="28"/>
  <c r="O28" i="28"/>
  <c r="O7" i="28"/>
  <c r="O8" i="28"/>
  <c r="O9" i="28"/>
  <c r="O10" i="28"/>
  <c r="O11" i="28"/>
  <c r="O12" i="28"/>
  <c r="O13" i="28"/>
  <c r="O14" i="28"/>
  <c r="O15" i="28"/>
  <c r="O16" i="28"/>
  <c r="O17" i="28"/>
  <c r="O19" i="28"/>
  <c r="O6" i="28"/>
  <c r="O30" i="28"/>
  <c r="O35" i="28"/>
  <c r="O39" i="28"/>
  <c r="O40" i="28"/>
  <c r="O96" i="28"/>
  <c r="O97" i="28"/>
  <c r="O140" i="28"/>
  <c r="O141" i="28"/>
  <c r="O173" i="28"/>
  <c r="O174" i="28"/>
  <c r="O189" i="28"/>
  <c r="O190" i="28"/>
  <c r="O191" i="28"/>
  <c r="O192" i="28"/>
  <c r="O194" i="28"/>
  <c r="O195" i="28"/>
  <c r="K116" i="20" l="1"/>
  <c r="L116" i="20" s="1"/>
  <c r="O172" i="28"/>
  <c r="O95" i="28"/>
  <c r="O29" i="28"/>
  <c r="O193" i="28"/>
  <c r="O188" i="28"/>
  <c r="O139" i="28"/>
  <c r="O38" i="28"/>
  <c r="O18" i="28"/>
  <c r="X91" i="25"/>
  <c r="AC91" i="25"/>
  <c r="AJ91" i="25" s="1"/>
  <c r="AQ91" i="25" s="1"/>
  <c r="CV91" i="25"/>
  <c r="BX91" i="25"/>
  <c r="O37" i="28" l="1"/>
  <c r="O36" i="28" s="1"/>
  <c r="O4" i="28"/>
  <c r="O34" i="28" s="1"/>
  <c r="AV91" i="25"/>
  <c r="BG91" i="25"/>
  <c r="BN91" i="25" s="1"/>
  <c r="BU91" i="25" s="1"/>
  <c r="BZ91" i="25" s="1"/>
  <c r="AW91" i="25"/>
  <c r="BB91" i="25" s="1"/>
  <c r="L204" i="28"/>
  <c r="M204" i="28"/>
  <c r="N204" i="28"/>
  <c r="O204" i="28" l="1"/>
  <c r="O206" i="28" s="1"/>
  <c r="CE91" i="25"/>
  <c r="CL91" i="25" s="1"/>
  <c r="CS91" i="25" s="1"/>
  <c r="CX91" i="25" s="1"/>
  <c r="L206" i="28"/>
  <c r="M206" i="28" l="1"/>
  <c r="N206" i="28"/>
  <c r="K129" i="20" l="1"/>
  <c r="L138" i="20"/>
  <c r="I129" i="20"/>
  <c r="G129" i="20"/>
  <c r="E129" i="20"/>
  <c r="C129" i="20"/>
  <c r="B129" i="20"/>
  <c r="L107" i="20"/>
  <c r="J138" i="20"/>
  <c r="H138" i="20"/>
  <c r="J89" i="20"/>
  <c r="J85" i="20"/>
  <c r="J78" i="20"/>
  <c r="J69" i="20"/>
  <c r="J62" i="20"/>
  <c r="J48" i="20"/>
  <c r="J42" i="20"/>
  <c r="J38" i="20"/>
  <c r="J29" i="20"/>
  <c r="J23" i="20"/>
  <c r="J20" i="20"/>
  <c r="J14" i="20" l="1"/>
  <c r="J33" i="20"/>
  <c r="J92" i="20"/>
  <c r="J93" i="20"/>
  <c r="J5" i="20"/>
  <c r="J61" i="20"/>
  <c r="J41" i="20"/>
  <c r="K127" i="20"/>
  <c r="I127" i="20" l="1"/>
  <c r="G126" i="20"/>
  <c r="J4" i="20"/>
  <c r="K126" i="20"/>
  <c r="I126" i="20"/>
  <c r="J126" i="20" l="1"/>
  <c r="J127" i="20"/>
  <c r="J60" i="20"/>
  <c r="J98" i="20"/>
  <c r="CL108" i="25"/>
  <c r="CS108" i="25" s="1"/>
  <c r="CL82" i="25"/>
  <c r="CS82" i="25" s="1"/>
  <c r="CL67" i="25"/>
  <c r="CS67" i="25" s="1"/>
  <c r="CL32" i="25"/>
  <c r="CS32" i="25" s="1"/>
  <c r="CX32" i="25" s="1"/>
  <c r="CL21" i="25"/>
  <c r="CS21" i="25" s="1"/>
  <c r="CL20" i="25"/>
  <c r="CS20" i="25" s="1"/>
  <c r="CL17" i="25"/>
  <c r="CS17" i="25" s="1"/>
  <c r="CL9" i="25"/>
  <c r="CS9" i="25" s="1"/>
  <c r="CL25" i="25" l="1"/>
  <c r="CL31" i="25"/>
  <c r="CS31" i="25" s="1"/>
  <c r="CL28" i="25"/>
  <c r="CL107" i="25"/>
  <c r="CS107" i="25" s="1"/>
  <c r="CL135" i="25"/>
  <c r="CS135" i="25" s="1"/>
  <c r="CL136" i="25"/>
  <c r="CS136" i="25" s="1"/>
  <c r="CS25" i="25" l="1"/>
  <c r="CS28" i="25"/>
  <c r="BG32" i="25"/>
  <c r="BN32" i="25" l="1"/>
  <c r="BU32" i="25" s="1"/>
  <c r="BZ32" i="25" s="1"/>
  <c r="F138" i="20" l="1"/>
  <c r="H93" i="20" l="1"/>
  <c r="H89" i="20"/>
  <c r="H85" i="20"/>
  <c r="H78" i="20"/>
  <c r="H69" i="20"/>
  <c r="H62" i="20"/>
  <c r="H48" i="20"/>
  <c r="H42" i="20"/>
  <c r="H38" i="20"/>
  <c r="H29" i="20"/>
  <c r="H23" i="20"/>
  <c r="H20" i="20"/>
  <c r="H5" i="20" l="1"/>
  <c r="H14" i="20"/>
  <c r="H33" i="20"/>
  <c r="H92" i="20"/>
  <c r="H41" i="20"/>
  <c r="H61" i="20"/>
  <c r="E126" i="20" l="1"/>
  <c r="H126" i="20" s="1"/>
  <c r="H4" i="20"/>
  <c r="E127" i="20"/>
  <c r="H127" i="20" s="1"/>
  <c r="H98" i="20"/>
  <c r="H60" i="20"/>
  <c r="V24" i="25"/>
  <c r="AT136" i="25" l="1"/>
  <c r="AZ136" i="25" s="1"/>
  <c r="BB136" i="25" s="1"/>
  <c r="AT135" i="25"/>
  <c r="AZ135" i="25" s="1"/>
  <c r="BB135" i="25" s="1"/>
  <c r="AT134" i="25"/>
  <c r="AZ134" i="25" s="1"/>
  <c r="AT133" i="25"/>
  <c r="AZ133" i="25" s="1"/>
  <c r="AT132" i="25"/>
  <c r="AZ132" i="25" s="1"/>
  <c r="AT131" i="25"/>
  <c r="AZ131" i="25" s="1"/>
  <c r="AT130" i="25"/>
  <c r="AZ130" i="25" s="1"/>
  <c r="AT129" i="25"/>
  <c r="AZ129" i="25" s="1"/>
  <c r="AT128" i="25"/>
  <c r="AZ128" i="25" s="1"/>
  <c r="AT127" i="25"/>
  <c r="AZ127" i="25" s="1"/>
  <c r="AT126" i="25"/>
  <c r="AZ126" i="25" s="1"/>
  <c r="AT123" i="25"/>
  <c r="AZ123" i="25" s="1"/>
  <c r="AT122" i="25"/>
  <c r="AZ122" i="25" s="1"/>
  <c r="AT121" i="25"/>
  <c r="AZ121" i="25" s="1"/>
  <c r="AT119" i="25"/>
  <c r="AZ119" i="25" s="1"/>
  <c r="AT118" i="25"/>
  <c r="AZ118" i="25" s="1"/>
  <c r="AT111" i="25"/>
  <c r="AT110" i="25"/>
  <c r="AZ110" i="25" s="1"/>
  <c r="AT108" i="25"/>
  <c r="AZ108" i="25" s="1"/>
  <c r="BB108" i="25" s="1"/>
  <c r="AT107" i="25"/>
  <c r="AZ107" i="25" s="1"/>
  <c r="AT106" i="25"/>
  <c r="AZ106" i="25" s="1"/>
  <c r="AT105" i="25"/>
  <c r="AZ105" i="25" s="1"/>
  <c r="AT102" i="25"/>
  <c r="AZ102" i="25" s="1"/>
  <c r="AT101" i="25"/>
  <c r="AZ101" i="25" s="1"/>
  <c r="AT100" i="25"/>
  <c r="AZ100" i="25" s="1"/>
  <c r="AT99" i="25"/>
  <c r="AZ99" i="25" s="1"/>
  <c r="AT98" i="25"/>
  <c r="AZ98" i="25" s="1"/>
  <c r="AT97" i="25"/>
  <c r="AZ97" i="25" s="1"/>
  <c r="AT96" i="25"/>
  <c r="AZ96" i="25" s="1"/>
  <c r="AT94" i="25"/>
  <c r="AZ94" i="25" s="1"/>
  <c r="AT92" i="25"/>
  <c r="AZ92" i="25" s="1"/>
  <c r="AT90" i="25"/>
  <c r="AZ90" i="25" s="1"/>
  <c r="AT89" i="25"/>
  <c r="AZ89" i="25" s="1"/>
  <c r="AT88" i="25"/>
  <c r="AZ88" i="25" s="1"/>
  <c r="AT87" i="25"/>
  <c r="AZ87" i="25" s="1"/>
  <c r="AT85" i="25"/>
  <c r="AZ85" i="25" s="1"/>
  <c r="AT84" i="25"/>
  <c r="AZ84" i="25" s="1"/>
  <c r="AT82" i="25"/>
  <c r="AZ82" i="25" s="1"/>
  <c r="AT76" i="25"/>
  <c r="AZ76" i="25" s="1"/>
  <c r="AT67" i="25"/>
  <c r="AZ67" i="25" s="1"/>
  <c r="AT66" i="25"/>
  <c r="AZ66" i="25" s="1"/>
  <c r="AT64" i="25"/>
  <c r="AZ64" i="25" s="1"/>
  <c r="AT62" i="25"/>
  <c r="AZ62" i="25" s="1"/>
  <c r="AT61" i="25"/>
  <c r="AZ61" i="25" s="1"/>
  <c r="AT58" i="25"/>
  <c r="AZ58" i="25" s="1"/>
  <c r="AT57" i="25"/>
  <c r="AZ57" i="25" s="1"/>
  <c r="AT56" i="25"/>
  <c r="AZ56" i="25" s="1"/>
  <c r="AT55" i="25"/>
  <c r="AZ55" i="25" s="1"/>
  <c r="AT54" i="25"/>
  <c r="AZ54" i="25" s="1"/>
  <c r="AT52" i="25"/>
  <c r="AZ52" i="25" s="1"/>
  <c r="AT50" i="25"/>
  <c r="AZ50" i="25" s="1"/>
  <c r="AT49" i="25"/>
  <c r="AZ49" i="25" s="1"/>
  <c r="AT31" i="25"/>
  <c r="AZ31" i="25" s="1"/>
  <c r="AT30" i="25"/>
  <c r="AZ30" i="25" s="1"/>
  <c r="AT28" i="25"/>
  <c r="AZ28" i="25" s="1"/>
  <c r="AT27" i="25"/>
  <c r="AT25" i="25"/>
  <c r="AZ25" i="25" s="1"/>
  <c r="AT24" i="25"/>
  <c r="AZ24" i="25" s="1"/>
  <c r="AT21" i="25"/>
  <c r="AT20" i="25"/>
  <c r="AT19" i="25"/>
  <c r="AZ19" i="25" s="1"/>
  <c r="AT17" i="25"/>
  <c r="AZ17" i="25" s="1"/>
  <c r="AT16" i="25"/>
  <c r="AZ16" i="25" s="1"/>
  <c r="AT13" i="25"/>
  <c r="AZ13" i="25" s="1"/>
  <c r="AT12" i="25"/>
  <c r="AZ12" i="25" s="1"/>
  <c r="AT11" i="25"/>
  <c r="AZ11" i="25" s="1"/>
  <c r="AT9" i="25"/>
  <c r="AZ9" i="25" s="1"/>
  <c r="BB9" i="25" s="1"/>
  <c r="AT8" i="25"/>
  <c r="AZ8" i="25" s="1"/>
  <c r="AT7" i="25"/>
  <c r="AZ7" i="25" s="1"/>
  <c r="AT6" i="25"/>
  <c r="AZ6" i="25" l="1"/>
  <c r="AZ5" i="25" s="1"/>
  <c r="AT5" i="25"/>
  <c r="BX52" i="25"/>
  <c r="CV52" i="25"/>
  <c r="CV85" i="25"/>
  <c r="BX85" i="25"/>
  <c r="CV9" i="25"/>
  <c r="CX9" i="25" s="1"/>
  <c r="BX9" i="25"/>
  <c r="BX13" i="25"/>
  <c r="CV13" i="25"/>
  <c r="BX17" i="25"/>
  <c r="CV17" i="25"/>
  <c r="CX17" i="25" s="1"/>
  <c r="CV30" i="25"/>
  <c r="BX30" i="25"/>
  <c r="CV50" i="25"/>
  <c r="BX50" i="25"/>
  <c r="BX56" i="25"/>
  <c r="CV56" i="25"/>
  <c r="CV62" i="25"/>
  <c r="BX62" i="25"/>
  <c r="CV84" i="25"/>
  <c r="BX84" i="25"/>
  <c r="CV89" i="25"/>
  <c r="BX89" i="25"/>
  <c r="CV94" i="25"/>
  <c r="BX94" i="25"/>
  <c r="CV99" i="25"/>
  <c r="BX99" i="25"/>
  <c r="CV108" i="25"/>
  <c r="CX108" i="25" s="1"/>
  <c r="BX108" i="25"/>
  <c r="CV118" i="25"/>
  <c r="BX118" i="25"/>
  <c r="BX123" i="25"/>
  <c r="CV123" i="25"/>
  <c r="CV128" i="25"/>
  <c r="BX128" i="25"/>
  <c r="CV132" i="25"/>
  <c r="BX132" i="25"/>
  <c r="CV136" i="25"/>
  <c r="CX136" i="25" s="1"/>
  <c r="BX136" i="25"/>
  <c r="CV31" i="25"/>
  <c r="BX31" i="25"/>
  <c r="BX64" i="25"/>
  <c r="CV64" i="25"/>
  <c r="BX90" i="25"/>
  <c r="CV90" i="25"/>
  <c r="BX100" i="25"/>
  <c r="CV100" i="25"/>
  <c r="CV105" i="25"/>
  <c r="BX105" i="25"/>
  <c r="BX119" i="25"/>
  <c r="CV119" i="25"/>
  <c r="BX129" i="25"/>
  <c r="CV129" i="25"/>
  <c r="BX133" i="25"/>
  <c r="CV133" i="25"/>
  <c r="BX7" i="25"/>
  <c r="CV7" i="25"/>
  <c r="CV11" i="25"/>
  <c r="BX11" i="25"/>
  <c r="CV19" i="25"/>
  <c r="BX19" i="25"/>
  <c r="CV24" i="25"/>
  <c r="BX24" i="25"/>
  <c r="BX28" i="25"/>
  <c r="CV28" i="25"/>
  <c r="CX28" i="25" s="1"/>
  <c r="CV54" i="25"/>
  <c r="BX54" i="25"/>
  <c r="CV58" i="25"/>
  <c r="BX58" i="25"/>
  <c r="CV66" i="25"/>
  <c r="BX66" i="25"/>
  <c r="BX82" i="25"/>
  <c r="CV82" i="25"/>
  <c r="CX82" i="25" s="1"/>
  <c r="BX87" i="25"/>
  <c r="CV87" i="25"/>
  <c r="BX92" i="25"/>
  <c r="CV92" i="25"/>
  <c r="BX97" i="25"/>
  <c r="CV97" i="25"/>
  <c r="BX101" i="25"/>
  <c r="CV101" i="25"/>
  <c r="BX106" i="25"/>
  <c r="CV106" i="25"/>
  <c r="CV121" i="25"/>
  <c r="BX121" i="25"/>
  <c r="BX126" i="25"/>
  <c r="CV126" i="25"/>
  <c r="BX130" i="25"/>
  <c r="CV130" i="25"/>
  <c r="BX134" i="25"/>
  <c r="CV134" i="25"/>
  <c r="CV6" i="25"/>
  <c r="BX6" i="25"/>
  <c r="BX5" i="25" s="1"/>
  <c r="BX57" i="25"/>
  <c r="CV57" i="25"/>
  <c r="CV76" i="25"/>
  <c r="BX76" i="25"/>
  <c r="BX96" i="25"/>
  <c r="CV96" i="25"/>
  <c r="CV110" i="25"/>
  <c r="BX110" i="25"/>
  <c r="BX8" i="25"/>
  <c r="CV8" i="25"/>
  <c r="BX12" i="25"/>
  <c r="CV12" i="25"/>
  <c r="BX16" i="25"/>
  <c r="BX15" i="25" s="1"/>
  <c r="CV16" i="25"/>
  <c r="CV15" i="25" s="1"/>
  <c r="CV25" i="25"/>
  <c r="CX25" i="25" s="1"/>
  <c r="BX25" i="25"/>
  <c r="BX49" i="25"/>
  <c r="CV49" i="25"/>
  <c r="CV55" i="25"/>
  <c r="BX55" i="25"/>
  <c r="BX61" i="25"/>
  <c r="CV61" i="25"/>
  <c r="CV67" i="25"/>
  <c r="CX67" i="25" s="1"/>
  <c r="BX67" i="25"/>
  <c r="CV88" i="25"/>
  <c r="BX88" i="25"/>
  <c r="CV98" i="25"/>
  <c r="BX98" i="25"/>
  <c r="CV102" i="25"/>
  <c r="BX102" i="25"/>
  <c r="BX107" i="25"/>
  <c r="CV107" i="25"/>
  <c r="CX107" i="25" s="1"/>
  <c r="CV122" i="25"/>
  <c r="BX122" i="25"/>
  <c r="CV127" i="25"/>
  <c r="BX127" i="25"/>
  <c r="CV131" i="25"/>
  <c r="BX131" i="25"/>
  <c r="CV135" i="25"/>
  <c r="CX135" i="25" s="1"/>
  <c r="BX135" i="25"/>
  <c r="AZ29" i="25"/>
  <c r="AZ21" i="25"/>
  <c r="AZ23" i="25"/>
  <c r="AZ111" i="25"/>
  <c r="AZ125" i="25"/>
  <c r="AZ104" i="25"/>
  <c r="AT26" i="25"/>
  <c r="AZ27" i="25"/>
  <c r="AZ15" i="25"/>
  <c r="AZ10" i="25"/>
  <c r="AT18" i="25"/>
  <c r="AZ20" i="25"/>
  <c r="AT125" i="25"/>
  <c r="AT29" i="25"/>
  <c r="AT15" i="25"/>
  <c r="AT23" i="25"/>
  <c r="AT10" i="25"/>
  <c r="AT104" i="25"/>
  <c r="BX104" i="25" l="1"/>
  <c r="CV5" i="25"/>
  <c r="CV29" i="25"/>
  <c r="CW29" i="25" s="1"/>
  <c r="CX31" i="25"/>
  <c r="CW30" i="25"/>
  <c r="BA23" i="25"/>
  <c r="BA8" i="25"/>
  <c r="BA24" i="25"/>
  <c r="BY30" i="25"/>
  <c r="AU27" i="25"/>
  <c r="AU26" i="25"/>
  <c r="AU24" i="25"/>
  <c r="AU23" i="25"/>
  <c r="AU8" i="25"/>
  <c r="BA29" i="25"/>
  <c r="BA30" i="25"/>
  <c r="AU30" i="25"/>
  <c r="AU29" i="25"/>
  <c r="BA27" i="25"/>
  <c r="CV104" i="25"/>
  <c r="BX27" i="25"/>
  <c r="BX26" i="25" s="1"/>
  <c r="CV27" i="25"/>
  <c r="CV26" i="25" s="1"/>
  <c r="CV35" i="25"/>
  <c r="CW35" i="25" s="1"/>
  <c r="BX29" i="25"/>
  <c r="BX35" i="25" s="1"/>
  <c r="BY35" i="25" s="1"/>
  <c r="BX23" i="25"/>
  <c r="CV20" i="25"/>
  <c r="BX20" i="25"/>
  <c r="BX18" i="25" s="1"/>
  <c r="BX21" i="25"/>
  <c r="CV21" i="25"/>
  <c r="CX21" i="25" s="1"/>
  <c r="BX10" i="25"/>
  <c r="BX111" i="25"/>
  <c r="CV111" i="25"/>
  <c r="BX125" i="25"/>
  <c r="CV23" i="25"/>
  <c r="CV10" i="25"/>
  <c r="CV125" i="25"/>
  <c r="AZ18" i="25"/>
  <c r="AZ33" i="25" s="1"/>
  <c r="AZ26" i="25"/>
  <c r="BA26" i="25" s="1"/>
  <c r="AZ35" i="25"/>
  <c r="BA35" i="25" s="1"/>
  <c r="AT35" i="25"/>
  <c r="AU35" i="25" s="1"/>
  <c r="AT33" i="25"/>
  <c r="AU33" i="25" s="1"/>
  <c r="AT4" i="25"/>
  <c r="AT34" i="25"/>
  <c r="AU34" i="25" s="1"/>
  <c r="AT22" i="25"/>
  <c r="AJ136" i="25"/>
  <c r="AJ135" i="25"/>
  <c r="AJ108" i="25"/>
  <c r="AJ107" i="25"/>
  <c r="AJ92" i="25"/>
  <c r="AQ92" i="25" s="1"/>
  <c r="AJ82" i="25"/>
  <c r="AJ67" i="25"/>
  <c r="AJ32" i="25"/>
  <c r="AQ32" i="25" s="1"/>
  <c r="AV32" i="25" s="1"/>
  <c r="AJ31" i="25"/>
  <c r="AJ28" i="25"/>
  <c r="AJ25" i="25"/>
  <c r="AJ21" i="25"/>
  <c r="AQ21" i="25" s="1"/>
  <c r="AV21" i="25" s="1"/>
  <c r="AJ20" i="25"/>
  <c r="AJ17" i="25"/>
  <c r="AJ9" i="25"/>
  <c r="AU14" i="25" l="1"/>
  <c r="AU5" i="25"/>
  <c r="BY29" i="25"/>
  <c r="CW8" i="25"/>
  <c r="CW24" i="25"/>
  <c r="CW23" i="25"/>
  <c r="AU132" i="25"/>
  <c r="AU128" i="25"/>
  <c r="AU111" i="25"/>
  <c r="AU105" i="25"/>
  <c r="AU100" i="25"/>
  <c r="AU96" i="25"/>
  <c r="AU91" i="25"/>
  <c r="AU87" i="25"/>
  <c r="AU61" i="25"/>
  <c r="AU57" i="25"/>
  <c r="AU49" i="25"/>
  <c r="AU131" i="25"/>
  <c r="AU127" i="25"/>
  <c r="AU123" i="25"/>
  <c r="AU119" i="25"/>
  <c r="AU110" i="25"/>
  <c r="AU104" i="25"/>
  <c r="AU99" i="25"/>
  <c r="AU90" i="25"/>
  <c r="AU64" i="25"/>
  <c r="AU56" i="25"/>
  <c r="AU52" i="25"/>
  <c r="AU134" i="25"/>
  <c r="AU130" i="25"/>
  <c r="AU126" i="25"/>
  <c r="AU122" i="25"/>
  <c r="AU118" i="25"/>
  <c r="AU102" i="25"/>
  <c r="AU98" i="25"/>
  <c r="AU94" i="25"/>
  <c r="AU89" i="25"/>
  <c r="AU85" i="25"/>
  <c r="AU76" i="25"/>
  <c r="AU55" i="25"/>
  <c r="AU129" i="25"/>
  <c r="AU58" i="25"/>
  <c r="AU18" i="25"/>
  <c r="AU12" i="25"/>
  <c r="AU7" i="25"/>
  <c r="AU125" i="25"/>
  <c r="AU106" i="25"/>
  <c r="AU88" i="25"/>
  <c r="AU54" i="25"/>
  <c r="AU16" i="25"/>
  <c r="AU11" i="25"/>
  <c r="AU6" i="25"/>
  <c r="AU121" i="25"/>
  <c r="AU101" i="25"/>
  <c r="AU84" i="25"/>
  <c r="AU66" i="25"/>
  <c r="AU50" i="25"/>
  <c r="AU22" i="25"/>
  <c r="AU10" i="25"/>
  <c r="AU97" i="25"/>
  <c r="AU62" i="25"/>
  <c r="AU19" i="25"/>
  <c r="AU4" i="25"/>
  <c r="AU15" i="25"/>
  <c r="AU133" i="25"/>
  <c r="AU13" i="25"/>
  <c r="BX34" i="25"/>
  <c r="BY34" i="25" s="1"/>
  <c r="BY27" i="25"/>
  <c r="BY26" i="25"/>
  <c r="CV18" i="25"/>
  <c r="CX20" i="25"/>
  <c r="BY8" i="25"/>
  <c r="BY24" i="25"/>
  <c r="BY23" i="25"/>
  <c r="CW26" i="25"/>
  <c r="CW27" i="25"/>
  <c r="AZ4" i="25"/>
  <c r="BA33" i="25"/>
  <c r="BG92" i="25"/>
  <c r="BN92" i="25" s="1"/>
  <c r="BU92" i="25" s="1"/>
  <c r="AV92" i="25"/>
  <c r="CV34" i="25"/>
  <c r="CW34" i="25" s="1"/>
  <c r="CV22" i="25"/>
  <c r="BX22" i="25"/>
  <c r="BX33" i="25"/>
  <c r="BY33" i="25" s="1"/>
  <c r="BX4" i="25"/>
  <c r="AZ34" i="25"/>
  <c r="BA34" i="25" s="1"/>
  <c r="AZ22" i="25"/>
  <c r="BG21" i="25"/>
  <c r="AW21" i="25"/>
  <c r="BB21" i="25" s="1"/>
  <c r="AQ135" i="25"/>
  <c r="AQ136" i="25"/>
  <c r="AQ108" i="25"/>
  <c r="AQ107" i="25"/>
  <c r="AV107" i="25" s="1"/>
  <c r="AQ82" i="25"/>
  <c r="AV82" i="25" s="1"/>
  <c r="AQ67" i="25"/>
  <c r="AV67" i="25" s="1"/>
  <c r="AQ25" i="25"/>
  <c r="AV25" i="25" s="1"/>
  <c r="AQ28" i="25"/>
  <c r="AV28" i="25" s="1"/>
  <c r="AQ31" i="25"/>
  <c r="AV31" i="25" s="1"/>
  <c r="AQ17" i="25"/>
  <c r="AV17" i="25" s="1"/>
  <c r="AQ9" i="25"/>
  <c r="AQ20" i="25"/>
  <c r="AV20" i="25" s="1"/>
  <c r="AW92" i="25"/>
  <c r="BB92" i="25" s="1"/>
  <c r="AT36" i="25"/>
  <c r="AU36" i="25" s="1"/>
  <c r="BY14" i="25" l="1"/>
  <c r="BY5" i="25"/>
  <c r="BA14" i="25"/>
  <c r="BA5" i="25"/>
  <c r="BY134" i="25"/>
  <c r="BY130" i="25"/>
  <c r="BY126" i="25"/>
  <c r="BY122" i="25"/>
  <c r="BY118" i="25"/>
  <c r="BY102" i="25"/>
  <c r="BY98" i="25"/>
  <c r="BY94" i="25"/>
  <c r="BY89" i="25"/>
  <c r="BY85" i="25"/>
  <c r="BY76" i="25"/>
  <c r="BY55" i="25"/>
  <c r="BY22" i="25"/>
  <c r="BY15" i="25"/>
  <c r="BY10" i="25"/>
  <c r="BY133" i="25"/>
  <c r="BY129" i="25"/>
  <c r="BY125" i="25"/>
  <c r="BY121" i="25"/>
  <c r="BY106" i="25"/>
  <c r="BY101" i="25"/>
  <c r="BY97" i="25"/>
  <c r="BY88" i="25"/>
  <c r="BY84" i="25"/>
  <c r="BY66" i="25"/>
  <c r="BY62" i="25"/>
  <c r="BY58" i="25"/>
  <c r="BY54" i="25"/>
  <c r="BY50" i="25"/>
  <c r="BY19" i="25"/>
  <c r="BY13" i="25"/>
  <c r="BY4" i="25"/>
  <c r="BY132" i="25"/>
  <c r="BY128" i="25"/>
  <c r="BY111" i="25"/>
  <c r="BY105" i="25"/>
  <c r="BY100" i="25"/>
  <c r="BY96" i="25"/>
  <c r="BY91" i="25"/>
  <c r="BY87" i="25"/>
  <c r="BY61" i="25"/>
  <c r="BY57" i="25"/>
  <c r="BY49" i="25"/>
  <c r="BY18" i="25"/>
  <c r="BY12" i="25"/>
  <c r="BY7" i="25"/>
  <c r="BY119" i="25"/>
  <c r="BY99" i="25"/>
  <c r="BY64" i="25"/>
  <c r="BY6" i="25"/>
  <c r="BY131" i="25"/>
  <c r="BY127" i="25"/>
  <c r="BY110" i="25"/>
  <c r="BY90" i="25"/>
  <c r="BY56" i="25"/>
  <c r="BY16" i="25"/>
  <c r="BY123" i="25"/>
  <c r="BY52" i="25"/>
  <c r="BY104" i="25"/>
  <c r="BY11" i="25"/>
  <c r="CV33" i="25"/>
  <c r="CW33" i="25" s="1"/>
  <c r="CV4" i="25"/>
  <c r="BA131" i="25"/>
  <c r="BA127" i="25"/>
  <c r="BA123" i="25"/>
  <c r="BA119" i="25"/>
  <c r="BA110" i="25"/>
  <c r="BA104" i="25"/>
  <c r="BA99" i="25"/>
  <c r="BA90" i="25"/>
  <c r="BA64" i="25"/>
  <c r="BA56" i="25"/>
  <c r="BA52" i="25"/>
  <c r="BA16" i="25"/>
  <c r="BA11" i="25"/>
  <c r="BA6" i="25"/>
  <c r="BA134" i="25"/>
  <c r="BA130" i="25"/>
  <c r="BA126" i="25"/>
  <c r="BA122" i="25"/>
  <c r="BA118" i="25"/>
  <c r="BA102" i="25"/>
  <c r="BA98" i="25"/>
  <c r="BA94" i="25"/>
  <c r="BA89" i="25"/>
  <c r="BA85" i="25"/>
  <c r="BA76" i="25"/>
  <c r="BA55" i="25"/>
  <c r="BA22" i="25"/>
  <c r="BA15" i="25"/>
  <c r="BA10" i="25"/>
  <c r="BA133" i="25"/>
  <c r="BA129" i="25"/>
  <c r="BA125" i="25"/>
  <c r="BA121" i="25"/>
  <c r="BA106" i="25"/>
  <c r="BA101" i="25"/>
  <c r="BA97" i="25"/>
  <c r="BA88" i="25"/>
  <c r="BA84" i="25"/>
  <c r="BA66" i="25"/>
  <c r="BA62" i="25"/>
  <c r="BA58" i="25"/>
  <c r="BA54" i="25"/>
  <c r="BA50" i="25"/>
  <c r="BA19" i="25"/>
  <c r="BA13" i="25"/>
  <c r="BA4" i="25"/>
  <c r="BA105" i="25"/>
  <c r="BA87" i="25"/>
  <c r="BA12" i="25"/>
  <c r="BA100" i="25"/>
  <c r="BA49" i="25"/>
  <c r="BA7" i="25"/>
  <c r="BA132" i="25"/>
  <c r="BA96" i="25"/>
  <c r="BA61" i="25"/>
  <c r="BA111" i="25"/>
  <c r="BA91" i="25"/>
  <c r="BA18" i="25"/>
  <c r="BA57" i="25"/>
  <c r="BA128" i="25"/>
  <c r="BG136" i="25"/>
  <c r="BN136" i="25" s="1"/>
  <c r="BU136" i="25" s="1"/>
  <c r="BZ136" i="25" s="1"/>
  <c r="AV136" i="25"/>
  <c r="BG135" i="25"/>
  <c r="BN135" i="25" s="1"/>
  <c r="BU135" i="25" s="1"/>
  <c r="BZ135" i="25" s="1"/>
  <c r="AV135" i="25"/>
  <c r="BZ92" i="25"/>
  <c r="CE92" i="25"/>
  <c r="CL92" i="25" s="1"/>
  <c r="CS92" i="25" s="1"/>
  <c r="CX92" i="25" s="1"/>
  <c r="BG9" i="25"/>
  <c r="BN9" i="25" s="1"/>
  <c r="BU9" i="25" s="1"/>
  <c r="BZ9" i="25" s="1"/>
  <c r="AV9" i="25"/>
  <c r="BG108" i="25"/>
  <c r="BN108" i="25" s="1"/>
  <c r="BU108" i="25" s="1"/>
  <c r="BZ108" i="25" s="1"/>
  <c r="AV108" i="25"/>
  <c r="BX36" i="25"/>
  <c r="BY36" i="25" s="1"/>
  <c r="BN21" i="25"/>
  <c r="BU21" i="25" s="1"/>
  <c r="BZ21" i="25" s="1"/>
  <c r="AZ36" i="25"/>
  <c r="BA36" i="25" s="1"/>
  <c r="BG107" i="25"/>
  <c r="AW107" i="25"/>
  <c r="BB107" i="25" s="1"/>
  <c r="BG82" i="25"/>
  <c r="AW82" i="25"/>
  <c r="BB82" i="25" s="1"/>
  <c r="BG67" i="25"/>
  <c r="AW67" i="25"/>
  <c r="BB67" i="25" s="1"/>
  <c r="BG28" i="25"/>
  <c r="AW28" i="25"/>
  <c r="BB28" i="25" s="1"/>
  <c r="BG31" i="25"/>
  <c r="AW31" i="25"/>
  <c r="BB31" i="25" s="1"/>
  <c r="BG25" i="25"/>
  <c r="AW25" i="25"/>
  <c r="BB25" i="25" s="1"/>
  <c r="BG20" i="25"/>
  <c r="AW20" i="25"/>
  <c r="BB20" i="25" s="1"/>
  <c r="BG17" i="25"/>
  <c r="AW17" i="25"/>
  <c r="BB17" i="25" s="1"/>
  <c r="CW14" i="25" l="1"/>
  <c r="CW5" i="25"/>
  <c r="CV36" i="25"/>
  <c r="CW36" i="25" s="1"/>
  <c r="CW133" i="25"/>
  <c r="CW129" i="25"/>
  <c r="CW125" i="25"/>
  <c r="CW121" i="25"/>
  <c r="CW106" i="25"/>
  <c r="CW101" i="25"/>
  <c r="CW97" i="25"/>
  <c r="CW88" i="25"/>
  <c r="CW84" i="25"/>
  <c r="CW66" i="25"/>
  <c r="CW62" i="25"/>
  <c r="CW58" i="25"/>
  <c r="CW54" i="25"/>
  <c r="CW50" i="25"/>
  <c r="CW19" i="25"/>
  <c r="CW13" i="25"/>
  <c r="CW4" i="25"/>
  <c r="CW132" i="25"/>
  <c r="CW128" i="25"/>
  <c r="CW111" i="25"/>
  <c r="CW105" i="25"/>
  <c r="CW100" i="25"/>
  <c r="CW96" i="25"/>
  <c r="CW91" i="25"/>
  <c r="CW87" i="25"/>
  <c r="CW61" i="25"/>
  <c r="CW57" i="25"/>
  <c r="CW49" i="25"/>
  <c r="CW18" i="25"/>
  <c r="CW12" i="25"/>
  <c r="CW7" i="25"/>
  <c r="CW131" i="25"/>
  <c r="CW127" i="25"/>
  <c r="CW123" i="25"/>
  <c r="CW119" i="25"/>
  <c r="CW110" i="25"/>
  <c r="CW126" i="25"/>
  <c r="CW98" i="25"/>
  <c r="CW89" i="25"/>
  <c r="CW55" i="25"/>
  <c r="CW15" i="25"/>
  <c r="CW118" i="25"/>
  <c r="CW94" i="25"/>
  <c r="CW56" i="25"/>
  <c r="CW122" i="25"/>
  <c r="CW104" i="25"/>
  <c r="CW52" i="25"/>
  <c r="CW11" i="25"/>
  <c r="CW102" i="25"/>
  <c r="CW76" i="25"/>
  <c r="CW22" i="25"/>
  <c r="CW130" i="25"/>
  <c r="CW90" i="25"/>
  <c r="CW64" i="25"/>
  <c r="CW16" i="25"/>
  <c r="CW134" i="25"/>
  <c r="CW85" i="25"/>
  <c r="CW10" i="25"/>
  <c r="CW99" i="25"/>
  <c r="CW6" i="25"/>
  <c r="BN107" i="25"/>
  <c r="BU107" i="25" s="1"/>
  <c r="BZ107" i="25" s="1"/>
  <c r="BN82" i="25"/>
  <c r="BU82" i="25" s="1"/>
  <c r="BZ82" i="25" s="1"/>
  <c r="BN67" i="25"/>
  <c r="BU67" i="25" s="1"/>
  <c r="BZ67" i="25" s="1"/>
  <c r="BN31" i="25"/>
  <c r="BU31" i="25" s="1"/>
  <c r="BZ31" i="25" s="1"/>
  <c r="BN25" i="25"/>
  <c r="BU25" i="25" s="1"/>
  <c r="BZ25" i="25" s="1"/>
  <c r="BN28" i="25"/>
  <c r="BU28" i="25" s="1"/>
  <c r="BZ28" i="25" s="1"/>
  <c r="BN20" i="25"/>
  <c r="BU20" i="25" s="1"/>
  <c r="BZ20" i="25" s="1"/>
  <c r="BN17" i="25"/>
  <c r="BU17" i="25" s="1"/>
  <c r="BZ17" i="25" s="1"/>
  <c r="AC103" i="25" l="1"/>
  <c r="AJ103" i="25" l="1"/>
  <c r="F78" i="20"/>
  <c r="B78" i="20"/>
  <c r="K78" i="20" l="1"/>
  <c r="D78" i="20"/>
  <c r="AQ103" i="25"/>
  <c r="AF139" i="25"/>
  <c r="B23" i="20"/>
  <c r="F23" i="20"/>
  <c r="K23" i="20" l="1"/>
  <c r="D23" i="20"/>
  <c r="AP139" i="25"/>
  <c r="AG139" i="25"/>
  <c r="AI139" i="25"/>
  <c r="BG103" i="25"/>
  <c r="BN103" i="25" s="1"/>
  <c r="BU103" i="25" s="1"/>
  <c r="BZ103" i="25" s="1"/>
  <c r="AV103" i="25"/>
  <c r="D138" i="20"/>
  <c r="CE103" i="25" l="1"/>
  <c r="CL103" i="25" l="1"/>
  <c r="CS103" i="25" s="1"/>
  <c r="CX103" i="25" s="1"/>
  <c r="AT44" i="25"/>
  <c r="AU44" i="25" s="1"/>
  <c r="AT60" i="25"/>
  <c r="AU60" i="25" s="1"/>
  <c r="AT74" i="25"/>
  <c r="AU74" i="25" s="1"/>
  <c r="AT42" i="25"/>
  <c r="AU42" i="25" s="1"/>
  <c r="AT46" i="25"/>
  <c r="AU46" i="25" s="1"/>
  <c r="AT53" i="25"/>
  <c r="AU53" i="25" s="1"/>
  <c r="AT65" i="25"/>
  <c r="AU65" i="25" s="1"/>
  <c r="AT72" i="25"/>
  <c r="AU72" i="25" s="1"/>
  <c r="AT77" i="25"/>
  <c r="AU77" i="25" s="1"/>
  <c r="AT81" i="25"/>
  <c r="AU81" i="25" s="1"/>
  <c r="AT120" i="25"/>
  <c r="AU120" i="25" s="1"/>
  <c r="AT40" i="25"/>
  <c r="AU40" i="25" s="1"/>
  <c r="AT79" i="25"/>
  <c r="AU79" i="25" s="1"/>
  <c r="AT43" i="25"/>
  <c r="AU43" i="25" s="1"/>
  <c r="AT47" i="25"/>
  <c r="AU47" i="25" s="1"/>
  <c r="AT59" i="25"/>
  <c r="AU59" i="25" s="1"/>
  <c r="AT69" i="25"/>
  <c r="AU69" i="25" s="1"/>
  <c r="AT73" i="25"/>
  <c r="AU73" i="25" s="1"/>
  <c r="AT78" i="25"/>
  <c r="AU78" i="25" s="1"/>
  <c r="AT86" i="25"/>
  <c r="AU86" i="25" s="1"/>
  <c r="AT138" i="25"/>
  <c r="AU138" i="25" s="1"/>
  <c r="AT48" i="25"/>
  <c r="AU48" i="25" s="1"/>
  <c r="AT95" i="25"/>
  <c r="AU95" i="25" s="1"/>
  <c r="AT41" i="25"/>
  <c r="AU41" i="25" s="1"/>
  <c r="AT45" i="25"/>
  <c r="AU45" i="25" s="1"/>
  <c r="AT51" i="25"/>
  <c r="AU51" i="25" s="1"/>
  <c r="AT63" i="25"/>
  <c r="AU63" i="25" s="1"/>
  <c r="AT71" i="25"/>
  <c r="AU71" i="25" s="1"/>
  <c r="AT75" i="25"/>
  <c r="AU75" i="25" s="1"/>
  <c r="AT80" i="25"/>
  <c r="AU80" i="25" s="1"/>
  <c r="AT117" i="25"/>
  <c r="AU117" i="25" s="1"/>
  <c r="AT70" i="25"/>
  <c r="AZ70" i="25" l="1"/>
  <c r="BA70" i="25" s="1"/>
  <c r="AU70" i="25"/>
  <c r="AZ75" i="25"/>
  <c r="BA75" i="25" s="1"/>
  <c r="AZ80" i="25"/>
  <c r="BA80" i="25" s="1"/>
  <c r="AZ71" i="25"/>
  <c r="BA71" i="25" s="1"/>
  <c r="AZ41" i="25"/>
  <c r="BA41" i="25" s="1"/>
  <c r="AZ48" i="25"/>
  <c r="BA48" i="25" s="1"/>
  <c r="AZ51" i="25"/>
  <c r="BA51" i="25" s="1"/>
  <c r="AZ86" i="25"/>
  <c r="BA86" i="25" s="1"/>
  <c r="AT83" i="25"/>
  <c r="AU83" i="25" s="1"/>
  <c r="AZ73" i="25"/>
  <c r="BA73" i="25" s="1"/>
  <c r="AZ59" i="25"/>
  <c r="BA59" i="25" s="1"/>
  <c r="AZ43" i="25"/>
  <c r="BA43" i="25" s="1"/>
  <c r="AZ40" i="25"/>
  <c r="BA40" i="25" s="1"/>
  <c r="AT39" i="25"/>
  <c r="AU39" i="25" s="1"/>
  <c r="AZ81" i="25"/>
  <c r="BA81" i="25" s="1"/>
  <c r="AZ72" i="25"/>
  <c r="BA72" i="25" s="1"/>
  <c r="AZ53" i="25"/>
  <c r="BA53" i="25" s="1"/>
  <c r="AZ42" i="25"/>
  <c r="BA42" i="25" s="1"/>
  <c r="AZ60" i="25"/>
  <c r="BA60" i="25" s="1"/>
  <c r="AZ117" i="25"/>
  <c r="BA117" i="25" s="1"/>
  <c r="AT116" i="25"/>
  <c r="AU116" i="25" s="1"/>
  <c r="AZ63" i="25"/>
  <c r="BA63" i="25" s="1"/>
  <c r="AZ45" i="25"/>
  <c r="BA45" i="25" s="1"/>
  <c r="AZ95" i="25"/>
  <c r="BA95" i="25" s="1"/>
  <c r="AT93" i="25"/>
  <c r="AU93" i="25" s="1"/>
  <c r="AZ138" i="25"/>
  <c r="AZ78" i="25"/>
  <c r="BA78" i="25" s="1"/>
  <c r="AZ69" i="25"/>
  <c r="BA69" i="25" s="1"/>
  <c r="AZ47" i="25"/>
  <c r="BA47" i="25" s="1"/>
  <c r="AZ79" i="25"/>
  <c r="BA79" i="25" s="1"/>
  <c r="AZ120" i="25"/>
  <c r="BA120" i="25" s="1"/>
  <c r="AZ77" i="25"/>
  <c r="BA77" i="25" s="1"/>
  <c r="AZ65" i="25"/>
  <c r="BA65" i="25" s="1"/>
  <c r="AZ46" i="25"/>
  <c r="BA46" i="25" s="1"/>
  <c r="AZ74" i="25"/>
  <c r="BA74" i="25" s="1"/>
  <c r="AZ44" i="25"/>
  <c r="BA44" i="25" s="1"/>
  <c r="AT68" i="25"/>
  <c r="AU68" i="25" s="1"/>
  <c r="F62" i="20"/>
  <c r="B62" i="20"/>
  <c r="BB138" i="25" l="1"/>
  <c r="BA138" i="25"/>
  <c r="CV70" i="25"/>
  <c r="CW70" i="25" s="1"/>
  <c r="BX70" i="25"/>
  <c r="BY70" i="25" s="1"/>
  <c r="K62" i="20"/>
  <c r="D62" i="20"/>
  <c r="CV95" i="25"/>
  <c r="BX95" i="25"/>
  <c r="CV63" i="25"/>
  <c r="CW63" i="25" s="1"/>
  <c r="BX63" i="25"/>
  <c r="BY63" i="25" s="1"/>
  <c r="BX40" i="25"/>
  <c r="BY40" i="25" s="1"/>
  <c r="CV40" i="25"/>
  <c r="CW40" i="25" s="1"/>
  <c r="CV59" i="25"/>
  <c r="CW59" i="25" s="1"/>
  <c r="BX59" i="25"/>
  <c r="BY59" i="25" s="1"/>
  <c r="BX44" i="25"/>
  <c r="BY44" i="25" s="1"/>
  <c r="CV44" i="25"/>
  <c r="CW44" i="25" s="1"/>
  <c r="CV46" i="25"/>
  <c r="CW46" i="25" s="1"/>
  <c r="BX46" i="25"/>
  <c r="BY46" i="25" s="1"/>
  <c r="BX77" i="25"/>
  <c r="BY77" i="25" s="1"/>
  <c r="CV77" i="25"/>
  <c r="CW77" i="25" s="1"/>
  <c r="CV79" i="25"/>
  <c r="CW79" i="25" s="1"/>
  <c r="BX79" i="25"/>
  <c r="BY79" i="25" s="1"/>
  <c r="BX69" i="25"/>
  <c r="BY69" i="25" s="1"/>
  <c r="CV69" i="25"/>
  <c r="CW69" i="25" s="1"/>
  <c r="BX138" i="25"/>
  <c r="BY138" i="25" s="1"/>
  <c r="CV138" i="25"/>
  <c r="BX60" i="25"/>
  <c r="BY60" i="25" s="1"/>
  <c r="CV60" i="25"/>
  <c r="CW60" i="25" s="1"/>
  <c r="BX53" i="25"/>
  <c r="BY53" i="25" s="1"/>
  <c r="CV53" i="25"/>
  <c r="CW53" i="25" s="1"/>
  <c r="BX81" i="25"/>
  <c r="BY81" i="25" s="1"/>
  <c r="CV81" i="25"/>
  <c r="CW81" i="25" s="1"/>
  <c r="BX86" i="25"/>
  <c r="CV86" i="25"/>
  <c r="BX48" i="25"/>
  <c r="BY48" i="25" s="1"/>
  <c r="CV48" i="25"/>
  <c r="CW48" i="25" s="1"/>
  <c r="CV71" i="25"/>
  <c r="CW71" i="25" s="1"/>
  <c r="BX71" i="25"/>
  <c r="BY71" i="25" s="1"/>
  <c r="CV75" i="25"/>
  <c r="CW75" i="25" s="1"/>
  <c r="BX75" i="25"/>
  <c r="BY75" i="25" s="1"/>
  <c r="BX45" i="25"/>
  <c r="BY45" i="25" s="1"/>
  <c r="CV45" i="25"/>
  <c r="CW45" i="25" s="1"/>
  <c r="CV43" i="25"/>
  <c r="CW43" i="25" s="1"/>
  <c r="BX43" i="25"/>
  <c r="BY43" i="25" s="1"/>
  <c r="BX73" i="25"/>
  <c r="BY73" i="25" s="1"/>
  <c r="CV73" i="25"/>
  <c r="CW73" i="25" s="1"/>
  <c r="BX74" i="25"/>
  <c r="BY74" i="25" s="1"/>
  <c r="CV74" i="25"/>
  <c r="CW74" i="25" s="1"/>
  <c r="BX65" i="25"/>
  <c r="BY65" i="25" s="1"/>
  <c r="CV65" i="25"/>
  <c r="CW65" i="25" s="1"/>
  <c r="BX120" i="25"/>
  <c r="BY120" i="25" s="1"/>
  <c r="CV120" i="25"/>
  <c r="CW120" i="25" s="1"/>
  <c r="CV47" i="25"/>
  <c r="CW47" i="25" s="1"/>
  <c r="BX47" i="25"/>
  <c r="BY47" i="25" s="1"/>
  <c r="BX78" i="25"/>
  <c r="BY78" i="25" s="1"/>
  <c r="CV78" i="25"/>
  <c r="CW78" i="25" s="1"/>
  <c r="CV117" i="25"/>
  <c r="BX117" i="25"/>
  <c r="CV42" i="25"/>
  <c r="CW42" i="25" s="1"/>
  <c r="BX42" i="25"/>
  <c r="BY42" i="25" s="1"/>
  <c r="CV72" i="25"/>
  <c r="CW72" i="25" s="1"/>
  <c r="BX72" i="25"/>
  <c r="BY72" i="25" s="1"/>
  <c r="CV51" i="25"/>
  <c r="CW51" i="25" s="1"/>
  <c r="BX51" i="25"/>
  <c r="BY51" i="25" s="1"/>
  <c r="BX41" i="25"/>
  <c r="BY41" i="25" s="1"/>
  <c r="CV41" i="25"/>
  <c r="CV80" i="25"/>
  <c r="CW80" i="25" s="1"/>
  <c r="BX80" i="25"/>
  <c r="BY80" i="25" s="1"/>
  <c r="AZ68" i="25"/>
  <c r="BA68" i="25" s="1"/>
  <c r="AZ93" i="25"/>
  <c r="BA93" i="25" s="1"/>
  <c r="AZ39" i="25"/>
  <c r="BA39" i="25" s="1"/>
  <c r="AZ116" i="25"/>
  <c r="BA116" i="25" s="1"/>
  <c r="AZ83" i="25"/>
  <c r="BA83" i="25" s="1"/>
  <c r="AT38" i="25"/>
  <c r="AU38" i="25" s="1"/>
  <c r="CX138" i="25" l="1"/>
  <c r="CW138" i="25"/>
  <c r="BX116" i="25"/>
  <c r="BY116" i="25" s="1"/>
  <c r="BY117" i="25"/>
  <c r="CV116" i="25"/>
  <c r="CW116" i="25" s="1"/>
  <c r="CW117" i="25"/>
  <c r="CV93" i="25"/>
  <c r="CW93" i="25" s="1"/>
  <c r="CW95" i="25"/>
  <c r="BX93" i="25"/>
  <c r="BY93" i="25" s="1"/>
  <c r="BY95" i="25"/>
  <c r="CV83" i="25"/>
  <c r="CW83" i="25" s="1"/>
  <c r="CW86" i="25"/>
  <c r="BX83" i="25"/>
  <c r="BY83" i="25" s="1"/>
  <c r="BY86" i="25"/>
  <c r="CV39" i="25"/>
  <c r="CW39" i="25" s="1"/>
  <c r="CW41" i="25"/>
  <c r="CV68" i="25"/>
  <c r="CW68" i="25" s="1"/>
  <c r="BX68" i="25"/>
  <c r="BY68" i="25" s="1"/>
  <c r="BX39" i="25"/>
  <c r="BY39" i="25" s="1"/>
  <c r="AZ38" i="25"/>
  <c r="BA38" i="25" s="1"/>
  <c r="AT124" i="25"/>
  <c r="AT113" i="25"/>
  <c r="AU113" i="25" s="1"/>
  <c r="AT114" i="25"/>
  <c r="AU114" i="25" s="1"/>
  <c r="AT109" i="25"/>
  <c r="AU109" i="25" s="1"/>
  <c r="AU124" i="25" l="1"/>
  <c r="CV38" i="25"/>
  <c r="CW38" i="25" s="1"/>
  <c r="BX38" i="25"/>
  <c r="AZ113" i="25"/>
  <c r="BA113" i="25" s="1"/>
  <c r="AZ109" i="25"/>
  <c r="BA109" i="25" s="1"/>
  <c r="AZ124" i="25"/>
  <c r="AZ114" i="25"/>
  <c r="BA114" i="25" s="1"/>
  <c r="AT112" i="25"/>
  <c r="AU112" i="25" s="1"/>
  <c r="V125" i="25"/>
  <c r="V104" i="25"/>
  <c r="V93" i="25"/>
  <c r="V29" i="25"/>
  <c r="V26" i="25"/>
  <c r="V18" i="25"/>
  <c r="V15" i="25"/>
  <c r="CV113" i="25" l="1"/>
  <c r="CW113" i="25" s="1"/>
  <c r="CV114" i="25"/>
  <c r="CW114" i="25" s="1"/>
  <c r="CV109" i="25"/>
  <c r="CV112" i="25" s="1"/>
  <c r="CV124" i="25"/>
  <c r="CW124" i="25" s="1"/>
  <c r="BA124" i="25"/>
  <c r="BY38" i="25"/>
  <c r="W30" i="25"/>
  <c r="W29" i="25"/>
  <c r="BX124" i="25"/>
  <c r="BY124" i="25" s="1"/>
  <c r="BX113" i="25"/>
  <c r="BY113" i="25" s="1"/>
  <c r="BX109" i="25"/>
  <c r="BX114" i="25"/>
  <c r="BY114" i="25" s="1"/>
  <c r="AZ112" i="25"/>
  <c r="AT137" i="25"/>
  <c r="AU137" i="25" s="1"/>
  <c r="V116" i="25"/>
  <c r="V83" i="25"/>
  <c r="V68" i="25"/>
  <c r="V39" i="25"/>
  <c r="V10" i="25"/>
  <c r="V35" i="25"/>
  <c r="W35" i="25" s="1"/>
  <c r="CW109" i="25" l="1"/>
  <c r="BX112" i="25"/>
  <c r="BY109" i="25"/>
  <c r="CV137" i="25"/>
  <c r="CW112" i="25"/>
  <c r="W26" i="25"/>
  <c r="W27" i="25"/>
  <c r="AZ137" i="25"/>
  <c r="BA137" i="25" s="1"/>
  <c r="BA112" i="25"/>
  <c r="W8" i="25"/>
  <c r="W24" i="25"/>
  <c r="AT139" i="25"/>
  <c r="AU139" i="25" s="1"/>
  <c r="V34" i="25"/>
  <c r="W34" i="25" s="1"/>
  <c r="V38" i="25"/>
  <c r="V4" i="25"/>
  <c r="W14" i="25" l="1"/>
  <c r="W5" i="25"/>
  <c r="CV139" i="25"/>
  <c r="CW139" i="25" s="1"/>
  <c r="CW137" i="25"/>
  <c r="W133" i="25"/>
  <c r="W129" i="25"/>
  <c r="W125" i="25"/>
  <c r="W121" i="25"/>
  <c r="W117" i="25"/>
  <c r="W106" i="25"/>
  <c r="W101" i="25"/>
  <c r="W97" i="25"/>
  <c r="W93" i="25"/>
  <c r="W88" i="25"/>
  <c r="W84" i="25"/>
  <c r="W79" i="25"/>
  <c r="W75" i="25"/>
  <c r="W71" i="25"/>
  <c r="W66" i="25"/>
  <c r="W62" i="25"/>
  <c r="W58" i="25"/>
  <c r="W54" i="25"/>
  <c r="W50" i="25"/>
  <c r="W46" i="25"/>
  <c r="W42" i="25"/>
  <c r="W38" i="25"/>
  <c r="W19" i="25"/>
  <c r="W13" i="25"/>
  <c r="W4" i="25"/>
  <c r="W134" i="25"/>
  <c r="W126" i="25"/>
  <c r="W102" i="25"/>
  <c r="W89" i="25"/>
  <c r="W80" i="25"/>
  <c r="W68" i="25"/>
  <c r="W55" i="25"/>
  <c r="W43" i="25"/>
  <c r="W15" i="25"/>
  <c r="W138" i="25"/>
  <c r="W132" i="25"/>
  <c r="W128" i="25"/>
  <c r="W120" i="25"/>
  <c r="W116" i="25"/>
  <c r="W111" i="25"/>
  <c r="W105" i="25"/>
  <c r="W100" i="25"/>
  <c r="W96" i="25"/>
  <c r="W91" i="25"/>
  <c r="W87" i="25"/>
  <c r="W83" i="25"/>
  <c r="W78" i="25"/>
  <c r="W74" i="25"/>
  <c r="W70" i="25"/>
  <c r="W65" i="25"/>
  <c r="W61" i="25"/>
  <c r="W57" i="25"/>
  <c r="W53" i="25"/>
  <c r="W49" i="25"/>
  <c r="W45" i="25"/>
  <c r="W41" i="25"/>
  <c r="W18" i="25"/>
  <c r="W12" i="25"/>
  <c r="W7" i="25"/>
  <c r="W130" i="25"/>
  <c r="W122" i="25"/>
  <c r="W98" i="25"/>
  <c r="W85" i="25"/>
  <c r="W72" i="25"/>
  <c r="W59" i="25"/>
  <c r="W47" i="25"/>
  <c r="W39" i="25"/>
  <c r="W10" i="25"/>
  <c r="W131" i="25"/>
  <c r="W127" i="25"/>
  <c r="W123" i="25"/>
  <c r="W119" i="25"/>
  <c r="W110" i="25"/>
  <c r="W104" i="25"/>
  <c r="W99" i="25"/>
  <c r="W95" i="25"/>
  <c r="W90" i="25"/>
  <c r="W86" i="25"/>
  <c r="W81" i="25"/>
  <c r="W77" i="25"/>
  <c r="W73" i="25"/>
  <c r="W69" i="25"/>
  <c r="W64" i="25"/>
  <c r="W60" i="25"/>
  <c r="W56" i="25"/>
  <c r="W52" i="25"/>
  <c r="W48" i="25"/>
  <c r="W44" i="25"/>
  <c r="W40" i="25"/>
  <c r="W16" i="25"/>
  <c r="W11" i="25"/>
  <c r="W6" i="25"/>
  <c r="W118" i="25"/>
  <c r="W94" i="25"/>
  <c r="W76" i="25"/>
  <c r="W63" i="25"/>
  <c r="W51" i="25"/>
  <c r="AZ139" i="25"/>
  <c r="BA139" i="25" s="1"/>
  <c r="BX137" i="25"/>
  <c r="BY112" i="25"/>
  <c r="V124" i="25"/>
  <c r="V140" i="25" s="1"/>
  <c r="H4" i="25"/>
  <c r="I14" i="25" l="1"/>
  <c r="I5" i="25"/>
  <c r="W124" i="25"/>
  <c r="BX139" i="25"/>
  <c r="BY139" i="25" s="1"/>
  <c r="BY137" i="25"/>
  <c r="H36" i="25"/>
  <c r="R36" i="25" s="1"/>
  <c r="R4" i="25"/>
  <c r="I138" i="25"/>
  <c r="I132" i="25"/>
  <c r="I128" i="25"/>
  <c r="I110" i="25"/>
  <c r="I134" i="25"/>
  <c r="I129" i="25"/>
  <c r="I124" i="25"/>
  <c r="I119" i="25"/>
  <c r="I116" i="25"/>
  <c r="I111" i="25"/>
  <c r="I106" i="25"/>
  <c r="I102" i="25"/>
  <c r="I97" i="25"/>
  <c r="I94" i="25"/>
  <c r="I88" i="25"/>
  <c r="I85" i="25"/>
  <c r="I22" i="25"/>
  <c r="I15" i="25"/>
  <c r="I10" i="25"/>
  <c r="I133" i="25"/>
  <c r="I127" i="25"/>
  <c r="I121" i="25"/>
  <c r="I118" i="25"/>
  <c r="I105" i="25"/>
  <c r="I99" i="25"/>
  <c r="I96" i="25"/>
  <c r="I90" i="25"/>
  <c r="I87" i="25"/>
  <c r="I81" i="25"/>
  <c r="I79" i="25"/>
  <c r="I77" i="25"/>
  <c r="I75" i="25"/>
  <c r="I73" i="25"/>
  <c r="I71" i="25"/>
  <c r="I69" i="25"/>
  <c r="I66" i="25"/>
  <c r="I64" i="25"/>
  <c r="I62" i="25"/>
  <c r="I60" i="25"/>
  <c r="I58" i="25"/>
  <c r="I56" i="25"/>
  <c r="I54" i="25"/>
  <c r="I52" i="25"/>
  <c r="I50" i="25"/>
  <c r="I48" i="25"/>
  <c r="I46" i="25"/>
  <c r="I44" i="25"/>
  <c r="I42" i="25"/>
  <c r="I40" i="25"/>
  <c r="I38" i="25"/>
  <c r="I19" i="25"/>
  <c r="I13" i="25"/>
  <c r="I4" i="25"/>
  <c r="I131" i="25"/>
  <c r="I126" i="25"/>
  <c r="I123" i="25"/>
  <c r="I120" i="25"/>
  <c r="I101" i="25"/>
  <c r="I98" i="25"/>
  <c r="I93" i="25"/>
  <c r="I89" i="25"/>
  <c r="I84" i="25"/>
  <c r="I18" i="25"/>
  <c r="I12" i="25"/>
  <c r="I7" i="25"/>
  <c r="I130" i="25"/>
  <c r="I125" i="25"/>
  <c r="I122" i="25"/>
  <c r="I117" i="25"/>
  <c r="I104" i="25"/>
  <c r="I100" i="25"/>
  <c r="I95" i="25"/>
  <c r="I91" i="25"/>
  <c r="I86" i="25"/>
  <c r="I83" i="25"/>
  <c r="I80" i="25"/>
  <c r="I78" i="25"/>
  <c r="I76" i="25"/>
  <c r="I74" i="25"/>
  <c r="I72" i="25"/>
  <c r="I70" i="25"/>
  <c r="I68" i="25"/>
  <c r="I65" i="25"/>
  <c r="I63" i="25"/>
  <c r="I61" i="25"/>
  <c r="I59" i="25"/>
  <c r="I51" i="25"/>
  <c r="I43" i="25"/>
  <c r="I6" i="25"/>
  <c r="I47" i="25"/>
  <c r="I16" i="25"/>
  <c r="I53" i="25"/>
  <c r="I57" i="25"/>
  <c r="I49" i="25"/>
  <c r="I41" i="25"/>
  <c r="I55" i="25"/>
  <c r="I39" i="25"/>
  <c r="I45" i="25"/>
  <c r="I11" i="25"/>
  <c r="E4" i="25"/>
  <c r="F14" i="25" l="1"/>
  <c r="F5" i="25"/>
  <c r="H109" i="25"/>
  <c r="H112" i="25" s="1"/>
  <c r="H113" i="25"/>
  <c r="F133" i="25"/>
  <c r="F129" i="25"/>
  <c r="F125" i="25"/>
  <c r="F123" i="25"/>
  <c r="F121" i="25"/>
  <c r="F119" i="25"/>
  <c r="F117" i="25"/>
  <c r="F106" i="25"/>
  <c r="F104" i="25"/>
  <c r="F101" i="25"/>
  <c r="F99" i="25"/>
  <c r="F97" i="25"/>
  <c r="F95" i="25"/>
  <c r="F93" i="25"/>
  <c r="F90" i="25"/>
  <c r="F88" i="25"/>
  <c r="F86" i="25"/>
  <c r="F84" i="25"/>
  <c r="F81" i="25"/>
  <c r="F79" i="25"/>
  <c r="F77" i="25"/>
  <c r="F75" i="25"/>
  <c r="F73" i="25"/>
  <c r="F71" i="25"/>
  <c r="F69" i="25"/>
  <c r="F66" i="25"/>
  <c r="F64" i="25"/>
  <c r="F62" i="25"/>
  <c r="F60" i="25"/>
  <c r="F58" i="25"/>
  <c r="F56" i="25"/>
  <c r="F54" i="25"/>
  <c r="F52" i="25"/>
  <c r="F50" i="25"/>
  <c r="F48" i="25"/>
  <c r="F46" i="25"/>
  <c r="F44" i="25"/>
  <c r="F18" i="25"/>
  <c r="F12" i="25"/>
  <c r="F7" i="25"/>
  <c r="F138" i="25"/>
  <c r="F132" i="25"/>
  <c r="F128" i="25"/>
  <c r="F110" i="25"/>
  <c r="F41" i="25"/>
  <c r="F39" i="25"/>
  <c r="F16" i="25"/>
  <c r="F11" i="25"/>
  <c r="F6" i="25"/>
  <c r="F131" i="25"/>
  <c r="F127" i="25"/>
  <c r="F124" i="25"/>
  <c r="F122" i="25"/>
  <c r="F120" i="25"/>
  <c r="F118" i="25"/>
  <c r="F116" i="25"/>
  <c r="F105" i="25"/>
  <c r="F102" i="25"/>
  <c r="F100" i="25"/>
  <c r="F98" i="25"/>
  <c r="F96" i="25"/>
  <c r="F94" i="25"/>
  <c r="F91" i="25"/>
  <c r="F89" i="25"/>
  <c r="F87" i="25"/>
  <c r="F85" i="25"/>
  <c r="F83" i="25"/>
  <c r="F80" i="25"/>
  <c r="F78" i="25"/>
  <c r="F76" i="25"/>
  <c r="F74" i="25"/>
  <c r="F72" i="25"/>
  <c r="F70" i="25"/>
  <c r="F68" i="25"/>
  <c r="F65" i="25"/>
  <c r="F63" i="25"/>
  <c r="F61" i="25"/>
  <c r="F59" i="25"/>
  <c r="F57" i="25"/>
  <c r="F55" i="25"/>
  <c r="F53" i="25"/>
  <c r="F51" i="25"/>
  <c r="F49" i="25"/>
  <c r="F47" i="25"/>
  <c r="F45" i="25"/>
  <c r="F43" i="25"/>
  <c r="F22" i="25"/>
  <c r="F15" i="25"/>
  <c r="F10" i="25"/>
  <c r="K4" i="25"/>
  <c r="F126" i="25"/>
  <c r="F134" i="25"/>
  <c r="F40" i="25"/>
  <c r="F19" i="25"/>
  <c r="F13" i="25"/>
  <c r="F42" i="25"/>
  <c r="F4" i="25"/>
  <c r="F111" i="25"/>
  <c r="F130" i="25"/>
  <c r="F38" i="25"/>
  <c r="H114" i="25"/>
  <c r="I36" i="25"/>
  <c r="E36" i="25"/>
  <c r="K36" i="25" s="1"/>
  <c r="B83" i="25"/>
  <c r="L111" i="25"/>
  <c r="S111" i="25" s="1"/>
  <c r="X111" i="25" s="1"/>
  <c r="I109" i="25" l="1"/>
  <c r="R109" i="25"/>
  <c r="R114" i="25"/>
  <c r="I114" i="25"/>
  <c r="R113" i="25"/>
  <c r="I113" i="25"/>
  <c r="F36" i="25"/>
  <c r="H137" i="25"/>
  <c r="R112" i="25"/>
  <c r="I112" i="25"/>
  <c r="E109" i="25"/>
  <c r="E114" i="25"/>
  <c r="E113" i="25"/>
  <c r="AC111" i="25"/>
  <c r="E112" i="25" l="1"/>
  <c r="K109" i="25"/>
  <c r="F109" i="25"/>
  <c r="K113" i="25"/>
  <c r="F113" i="25"/>
  <c r="K114" i="25"/>
  <c r="F114" i="25"/>
  <c r="H139" i="25"/>
  <c r="R137" i="25"/>
  <c r="I137" i="25"/>
  <c r="AJ111" i="25"/>
  <c r="AQ111" i="25" s="1"/>
  <c r="AV111" i="25" s="1"/>
  <c r="L138" i="25"/>
  <c r="S138" i="25" s="1"/>
  <c r="X138" i="25" s="1"/>
  <c r="L134" i="25"/>
  <c r="S134" i="25" s="1"/>
  <c r="X134" i="25" s="1"/>
  <c r="L133" i="25"/>
  <c r="S133" i="25" s="1"/>
  <c r="X133" i="25" s="1"/>
  <c r="L132" i="25"/>
  <c r="S132" i="25" s="1"/>
  <c r="X132" i="25" s="1"/>
  <c r="L131" i="25"/>
  <c r="S131" i="25" s="1"/>
  <c r="X131" i="25" s="1"/>
  <c r="L130" i="25"/>
  <c r="S130" i="25" s="1"/>
  <c r="X130" i="25" s="1"/>
  <c r="L129" i="25"/>
  <c r="S129" i="25" s="1"/>
  <c r="X129" i="25" s="1"/>
  <c r="L128" i="25"/>
  <c r="S128" i="25" s="1"/>
  <c r="X128" i="25" s="1"/>
  <c r="L127" i="25"/>
  <c r="S127" i="25" s="1"/>
  <c r="X127" i="25" s="1"/>
  <c r="L126" i="25"/>
  <c r="S126" i="25" s="1"/>
  <c r="X126" i="25" s="1"/>
  <c r="B125" i="25"/>
  <c r="L123" i="25"/>
  <c r="S123" i="25" s="1"/>
  <c r="X123" i="25" s="1"/>
  <c r="L122" i="25"/>
  <c r="S122" i="25" s="1"/>
  <c r="X122" i="25" s="1"/>
  <c r="L121" i="25"/>
  <c r="S121" i="25" s="1"/>
  <c r="X121" i="25" s="1"/>
  <c r="L120" i="25"/>
  <c r="S120" i="25" s="1"/>
  <c r="X120" i="25" s="1"/>
  <c r="L119" i="25"/>
  <c r="S119" i="25" s="1"/>
  <c r="X119" i="25" s="1"/>
  <c r="L118" i="25"/>
  <c r="S118" i="25" s="1"/>
  <c r="X118" i="25" s="1"/>
  <c r="L117" i="25"/>
  <c r="S117" i="25" s="1"/>
  <c r="X117" i="25" s="1"/>
  <c r="B116" i="25"/>
  <c r="L110" i="25"/>
  <c r="S110" i="25" s="1"/>
  <c r="X110" i="25" s="1"/>
  <c r="L106" i="25"/>
  <c r="L105" i="25"/>
  <c r="S105" i="25" s="1"/>
  <c r="X105" i="25" s="1"/>
  <c r="B104" i="25"/>
  <c r="L102" i="25"/>
  <c r="S102" i="25" s="1"/>
  <c r="X102" i="25" s="1"/>
  <c r="L101" i="25"/>
  <c r="S101" i="25" s="1"/>
  <c r="X101" i="25" s="1"/>
  <c r="L100" i="25"/>
  <c r="S100" i="25" s="1"/>
  <c r="X100" i="25" s="1"/>
  <c r="L99" i="25"/>
  <c r="S99" i="25" s="1"/>
  <c r="X99" i="25" s="1"/>
  <c r="L98" i="25"/>
  <c r="S98" i="25" s="1"/>
  <c r="X98" i="25" s="1"/>
  <c r="L97" i="25"/>
  <c r="S97" i="25" s="1"/>
  <c r="X97" i="25" s="1"/>
  <c r="L96" i="25"/>
  <c r="S96" i="25" s="1"/>
  <c r="X96" i="25" s="1"/>
  <c r="L95" i="25"/>
  <c r="S95" i="25" s="1"/>
  <c r="X95" i="25" s="1"/>
  <c r="L94" i="25"/>
  <c r="B93" i="25"/>
  <c r="L90" i="25"/>
  <c r="S90" i="25" s="1"/>
  <c r="L89" i="25"/>
  <c r="S89" i="25" s="1"/>
  <c r="X89" i="25" s="1"/>
  <c r="L88" i="25"/>
  <c r="S88" i="25" s="1"/>
  <c r="X88" i="25" s="1"/>
  <c r="L87" i="25"/>
  <c r="S87" i="25" s="1"/>
  <c r="X87" i="25" s="1"/>
  <c r="L86" i="25"/>
  <c r="S86" i="25" s="1"/>
  <c r="X86" i="25" s="1"/>
  <c r="L84" i="25"/>
  <c r="L81" i="25"/>
  <c r="S81" i="25" s="1"/>
  <c r="X81" i="25" s="1"/>
  <c r="L80" i="25"/>
  <c r="S80" i="25" s="1"/>
  <c r="X80" i="25" s="1"/>
  <c r="L79" i="25"/>
  <c r="S79" i="25" s="1"/>
  <c r="X79" i="25" s="1"/>
  <c r="L78" i="25"/>
  <c r="S78" i="25" s="1"/>
  <c r="X78" i="25" s="1"/>
  <c r="L77" i="25"/>
  <c r="S77" i="25" s="1"/>
  <c r="X77" i="25" s="1"/>
  <c r="L76" i="25"/>
  <c r="S76" i="25" s="1"/>
  <c r="X76" i="25" s="1"/>
  <c r="L75" i="25"/>
  <c r="S75" i="25" s="1"/>
  <c r="X75" i="25" s="1"/>
  <c r="L74" i="25"/>
  <c r="S74" i="25" s="1"/>
  <c r="X74" i="25" s="1"/>
  <c r="L73" i="25"/>
  <c r="S73" i="25" s="1"/>
  <c r="X73" i="25" s="1"/>
  <c r="L72" i="25"/>
  <c r="S72" i="25" s="1"/>
  <c r="X72" i="25" s="1"/>
  <c r="L71" i="25"/>
  <c r="S71" i="25" s="1"/>
  <c r="X71" i="25" s="1"/>
  <c r="L70" i="25"/>
  <c r="S70" i="25" s="1"/>
  <c r="X70" i="25" s="1"/>
  <c r="L69" i="25"/>
  <c r="S69" i="25" s="1"/>
  <c r="X69" i="25" s="1"/>
  <c r="B68" i="25"/>
  <c r="L66" i="25"/>
  <c r="S66" i="25" s="1"/>
  <c r="X66" i="25" s="1"/>
  <c r="L65" i="25"/>
  <c r="S65" i="25" s="1"/>
  <c r="X65" i="25" s="1"/>
  <c r="L64" i="25"/>
  <c r="S64" i="25" s="1"/>
  <c r="X64" i="25" s="1"/>
  <c r="L63" i="25"/>
  <c r="S63" i="25" s="1"/>
  <c r="X63" i="25" s="1"/>
  <c r="L62" i="25"/>
  <c r="S62" i="25" s="1"/>
  <c r="X62" i="25" s="1"/>
  <c r="L61" i="25"/>
  <c r="S61" i="25" s="1"/>
  <c r="X61" i="25" s="1"/>
  <c r="L60" i="25"/>
  <c r="S60" i="25" s="1"/>
  <c r="X60" i="25" s="1"/>
  <c r="L59" i="25"/>
  <c r="S59" i="25" s="1"/>
  <c r="X59" i="25" s="1"/>
  <c r="L58" i="25"/>
  <c r="S58" i="25" s="1"/>
  <c r="X58" i="25" s="1"/>
  <c r="L57" i="25"/>
  <c r="S57" i="25" s="1"/>
  <c r="X57" i="25" s="1"/>
  <c r="L56" i="25"/>
  <c r="S56" i="25" s="1"/>
  <c r="X56" i="25" s="1"/>
  <c r="L55" i="25"/>
  <c r="S55" i="25" s="1"/>
  <c r="X55" i="25" s="1"/>
  <c r="L54" i="25"/>
  <c r="S54" i="25" s="1"/>
  <c r="X54" i="25" s="1"/>
  <c r="L53" i="25"/>
  <c r="S53" i="25" s="1"/>
  <c r="X53" i="25" s="1"/>
  <c r="L52" i="25"/>
  <c r="S52" i="25" s="1"/>
  <c r="X52" i="25" s="1"/>
  <c r="L51" i="25"/>
  <c r="S51" i="25" s="1"/>
  <c r="X51" i="25" s="1"/>
  <c r="L50" i="25"/>
  <c r="S50" i="25" s="1"/>
  <c r="X50" i="25" s="1"/>
  <c r="L49" i="25"/>
  <c r="S49" i="25" s="1"/>
  <c r="X49" i="25" s="1"/>
  <c r="L48" i="25"/>
  <c r="S48" i="25" s="1"/>
  <c r="X48" i="25" s="1"/>
  <c r="L47" i="25"/>
  <c r="S47" i="25" s="1"/>
  <c r="X47" i="25" s="1"/>
  <c r="L46" i="25"/>
  <c r="S46" i="25" s="1"/>
  <c r="X46" i="25" s="1"/>
  <c r="L45" i="25"/>
  <c r="S45" i="25" s="1"/>
  <c r="X45" i="25" s="1"/>
  <c r="L44" i="25"/>
  <c r="S44" i="25" s="1"/>
  <c r="X44" i="25" s="1"/>
  <c r="L43" i="25"/>
  <c r="S43" i="25" s="1"/>
  <c r="X43" i="25" s="1"/>
  <c r="L42" i="25"/>
  <c r="L41" i="25"/>
  <c r="S41" i="25" s="1"/>
  <c r="X41" i="25" s="1"/>
  <c r="L40" i="25"/>
  <c r="S40" i="25" s="1"/>
  <c r="X40" i="25" s="1"/>
  <c r="B39" i="25"/>
  <c r="L30" i="25"/>
  <c r="S30" i="25" s="1"/>
  <c r="X30" i="25" s="1"/>
  <c r="B29" i="25"/>
  <c r="L27" i="25"/>
  <c r="S27" i="25" s="1"/>
  <c r="X27" i="25" s="1"/>
  <c r="B26" i="25"/>
  <c r="L24" i="25"/>
  <c r="B23" i="25"/>
  <c r="L19" i="25"/>
  <c r="B18" i="25"/>
  <c r="L16" i="25"/>
  <c r="B15" i="25"/>
  <c r="L13" i="25"/>
  <c r="L12" i="25"/>
  <c r="L11" i="25"/>
  <c r="B10" i="25"/>
  <c r="L8" i="25"/>
  <c r="L7" i="25"/>
  <c r="L6" i="25"/>
  <c r="S6" i="25" l="1"/>
  <c r="L5" i="25"/>
  <c r="B114" i="20"/>
  <c r="X90" i="25"/>
  <c r="AC90" i="25"/>
  <c r="C27" i="25"/>
  <c r="C26" i="25"/>
  <c r="C29" i="25"/>
  <c r="C30" i="25"/>
  <c r="C24" i="25"/>
  <c r="C23" i="25"/>
  <c r="C8" i="25"/>
  <c r="R139" i="25"/>
  <c r="I139" i="25"/>
  <c r="E137" i="25"/>
  <c r="K112" i="25"/>
  <c r="F112" i="25"/>
  <c r="AC110" i="25"/>
  <c r="AC138" i="25"/>
  <c r="BG111" i="25"/>
  <c r="AW111" i="25"/>
  <c r="BB111" i="25" s="1"/>
  <c r="S24" i="25"/>
  <c r="S7" i="25"/>
  <c r="S11" i="25"/>
  <c r="X11" i="25" s="1"/>
  <c r="S13" i="25"/>
  <c r="X13" i="25" s="1"/>
  <c r="S16" i="25"/>
  <c r="S19" i="25"/>
  <c r="S8" i="25"/>
  <c r="S12" i="25"/>
  <c r="X12" i="25" s="1"/>
  <c r="AC87" i="25"/>
  <c r="AC88" i="25"/>
  <c r="AC89" i="25"/>
  <c r="AC117" i="25"/>
  <c r="AC122" i="25"/>
  <c r="AC96" i="25"/>
  <c r="AC69" i="25"/>
  <c r="AC70" i="25"/>
  <c r="AC126" i="25"/>
  <c r="AC40" i="25"/>
  <c r="AC52" i="25"/>
  <c r="AC60" i="25"/>
  <c r="AC41" i="25"/>
  <c r="AC59" i="25"/>
  <c r="AC63" i="25"/>
  <c r="AC46" i="25"/>
  <c r="AC66" i="25"/>
  <c r="AC27" i="25"/>
  <c r="AC26" i="25" s="1"/>
  <c r="AC30" i="25"/>
  <c r="AC105" i="25"/>
  <c r="AC86" i="25"/>
  <c r="AC120" i="25"/>
  <c r="AC119" i="25"/>
  <c r="AC123" i="25"/>
  <c r="AC118" i="25"/>
  <c r="AC121" i="25"/>
  <c r="AC98" i="25"/>
  <c r="AC102" i="25"/>
  <c r="AC97" i="25"/>
  <c r="AC101" i="25"/>
  <c r="AC95" i="25"/>
  <c r="AC99" i="25"/>
  <c r="AC100" i="25"/>
  <c r="AC45" i="25"/>
  <c r="AC53" i="25"/>
  <c r="AC61" i="25"/>
  <c r="AC44" i="25"/>
  <c r="AC48" i="25"/>
  <c r="AC56" i="25"/>
  <c r="AC64" i="25"/>
  <c r="AC49" i="25"/>
  <c r="AC43" i="25"/>
  <c r="AC47" i="25"/>
  <c r="AC51" i="25"/>
  <c r="AC55" i="25"/>
  <c r="AC57" i="25"/>
  <c r="AC65" i="25"/>
  <c r="AC50" i="25"/>
  <c r="AC54" i="25"/>
  <c r="AC58" i="25"/>
  <c r="AC62" i="25"/>
  <c r="AC71" i="25"/>
  <c r="AC74" i="25"/>
  <c r="AC78" i="25"/>
  <c r="AC75" i="25"/>
  <c r="AC73" i="25"/>
  <c r="AC77" i="25"/>
  <c r="AC81" i="25"/>
  <c r="AC79" i="25"/>
  <c r="AC72" i="25"/>
  <c r="AC76" i="25"/>
  <c r="AC80" i="25"/>
  <c r="AC129" i="25"/>
  <c r="AC133" i="25"/>
  <c r="AC128" i="25"/>
  <c r="AC132" i="25"/>
  <c r="AC127" i="25"/>
  <c r="AC131" i="25"/>
  <c r="AC130" i="25"/>
  <c r="AC134" i="25"/>
  <c r="V23" i="25"/>
  <c r="W23" i="25" s="1"/>
  <c r="L26" i="25"/>
  <c r="S125" i="25"/>
  <c r="L23" i="25"/>
  <c r="L29" i="25"/>
  <c r="L10" i="25"/>
  <c r="S84" i="25"/>
  <c r="X84" i="25" s="1"/>
  <c r="L93" i="25"/>
  <c r="L125" i="25"/>
  <c r="B38" i="25"/>
  <c r="S94" i="25"/>
  <c r="X94" i="25" s="1"/>
  <c r="L68" i="25"/>
  <c r="B22" i="25"/>
  <c r="B109" i="20" s="1"/>
  <c r="L18" i="25"/>
  <c r="L15" i="25"/>
  <c r="S29" i="25"/>
  <c r="X29" i="25" s="1"/>
  <c r="B35" i="25"/>
  <c r="C35" i="25" s="1"/>
  <c r="B34" i="25"/>
  <c r="C34" i="25" s="1"/>
  <c r="S26" i="25"/>
  <c r="X26" i="25" s="1"/>
  <c r="B33" i="25"/>
  <c r="C33" i="25" s="1"/>
  <c r="L39" i="25"/>
  <c r="S42" i="25"/>
  <c r="X42" i="25" s="1"/>
  <c r="S68" i="25"/>
  <c r="X68" i="25" s="1"/>
  <c r="B4" i="25"/>
  <c r="C5" i="25" s="1"/>
  <c r="L85" i="25"/>
  <c r="L83" i="25" s="1"/>
  <c r="S106" i="25"/>
  <c r="X106" i="25" s="1"/>
  <c r="L104" i="25"/>
  <c r="L116" i="25"/>
  <c r="S116" i="25"/>
  <c r="X116" i="25" s="1"/>
  <c r="X6" i="25" l="1"/>
  <c r="S5" i="25"/>
  <c r="X5" i="25" s="1"/>
  <c r="B131" i="20"/>
  <c r="B132" i="20"/>
  <c r="B133" i="20"/>
  <c r="B137" i="20"/>
  <c r="B134" i="20"/>
  <c r="B135" i="20"/>
  <c r="B136" i="20"/>
  <c r="C14" i="25"/>
  <c r="B130" i="20"/>
  <c r="CZ4" i="25"/>
  <c r="B112" i="20"/>
  <c r="CZ38" i="25"/>
  <c r="X125" i="25"/>
  <c r="C114" i="20"/>
  <c r="C6" i="25"/>
  <c r="C134" i="25"/>
  <c r="C130" i="25"/>
  <c r="C126" i="25"/>
  <c r="C122" i="25"/>
  <c r="C118" i="25"/>
  <c r="C102" i="25"/>
  <c r="C98" i="25"/>
  <c r="C94" i="25"/>
  <c r="C89" i="25"/>
  <c r="C85" i="25"/>
  <c r="C80" i="25"/>
  <c r="C76" i="25"/>
  <c r="C72" i="25"/>
  <c r="C68" i="25"/>
  <c r="C63" i="25"/>
  <c r="C59" i="25"/>
  <c r="C55" i="25"/>
  <c r="C51" i="25"/>
  <c r="C47" i="25"/>
  <c r="C43" i="25"/>
  <c r="C39" i="25"/>
  <c r="C22" i="25"/>
  <c r="C16" i="25"/>
  <c r="C11" i="25"/>
  <c r="C7" i="25"/>
  <c r="C133" i="25"/>
  <c r="C129" i="25"/>
  <c r="C125" i="25"/>
  <c r="C121" i="25"/>
  <c r="C117" i="25"/>
  <c r="C106" i="25"/>
  <c r="C101" i="25"/>
  <c r="C97" i="25"/>
  <c r="C93" i="25"/>
  <c r="C88" i="25"/>
  <c r="C84" i="25"/>
  <c r="C79" i="25"/>
  <c r="C75" i="25"/>
  <c r="C71" i="25"/>
  <c r="C66" i="25"/>
  <c r="C62" i="25"/>
  <c r="C58" i="25"/>
  <c r="C50" i="25"/>
  <c r="C46" i="25"/>
  <c r="C42" i="25"/>
  <c r="C38" i="25"/>
  <c r="C4" i="25"/>
  <c r="C15" i="25"/>
  <c r="C10" i="25"/>
  <c r="C49" i="25"/>
  <c r="C131" i="25"/>
  <c r="C90" i="25"/>
  <c r="C73" i="25"/>
  <c r="C60" i="25"/>
  <c r="C48" i="25"/>
  <c r="C12" i="25"/>
  <c r="C54" i="25"/>
  <c r="C127" i="25"/>
  <c r="C119" i="25"/>
  <c r="C104" i="25"/>
  <c r="C95" i="25"/>
  <c r="C81" i="25"/>
  <c r="C69" i="25"/>
  <c r="C56" i="25"/>
  <c r="C52" i="25"/>
  <c r="C18" i="25"/>
  <c r="C138" i="25"/>
  <c r="C132" i="25"/>
  <c r="C128" i="25"/>
  <c r="C120" i="25"/>
  <c r="C116" i="25"/>
  <c r="C111" i="25"/>
  <c r="C105" i="25"/>
  <c r="C100" i="25"/>
  <c r="C96" i="25"/>
  <c r="C91" i="25"/>
  <c r="C87" i="25"/>
  <c r="C83" i="25"/>
  <c r="C78" i="25"/>
  <c r="C74" i="25"/>
  <c r="C70" i="25"/>
  <c r="C65" i="25"/>
  <c r="C61" i="25"/>
  <c r="C57" i="25"/>
  <c r="C53" i="25"/>
  <c r="C45" i="25"/>
  <c r="C41" i="25"/>
  <c r="C19" i="25"/>
  <c r="C13" i="25"/>
  <c r="C123" i="25"/>
  <c r="C110" i="25"/>
  <c r="C99" i="25"/>
  <c r="C86" i="25"/>
  <c r="C77" i="25"/>
  <c r="C64" i="25"/>
  <c r="C44" i="25"/>
  <c r="C40" i="25"/>
  <c r="S18" i="25"/>
  <c r="X18" i="25" s="1"/>
  <c r="X19" i="25"/>
  <c r="AC7" i="25"/>
  <c r="AJ7" i="25" s="1"/>
  <c r="AQ7" i="25" s="1"/>
  <c r="AV7" i="25" s="1"/>
  <c r="X7" i="25"/>
  <c r="E139" i="25"/>
  <c r="K137" i="25"/>
  <c r="F137" i="25"/>
  <c r="M27" i="25"/>
  <c r="M26" i="25"/>
  <c r="AC8" i="25"/>
  <c r="AJ8" i="25" s="1"/>
  <c r="AQ8" i="25" s="1"/>
  <c r="AV8" i="25" s="1"/>
  <c r="X8" i="25"/>
  <c r="S15" i="25"/>
  <c r="S35" i="25" s="1"/>
  <c r="X35" i="25" s="1"/>
  <c r="X16" i="25"/>
  <c r="S23" i="25"/>
  <c r="X23" i="25" s="1"/>
  <c r="X24" i="25"/>
  <c r="M23" i="25"/>
  <c r="M24" i="25"/>
  <c r="M8" i="25"/>
  <c r="M29" i="25"/>
  <c r="M30" i="25"/>
  <c r="AC24" i="25"/>
  <c r="AC23" i="25" s="1"/>
  <c r="AC11" i="25"/>
  <c r="AJ11" i="25" s="1"/>
  <c r="AC16" i="25"/>
  <c r="AJ16" i="25" s="1"/>
  <c r="BN111" i="25"/>
  <c r="BU111" i="25" s="1"/>
  <c r="BZ111" i="25" s="1"/>
  <c r="AC12" i="25"/>
  <c r="AJ12" i="25" s="1"/>
  <c r="AQ12" i="25" s="1"/>
  <c r="AV12" i="25" s="1"/>
  <c r="AC19" i="25"/>
  <c r="AC18" i="25" s="1"/>
  <c r="AC29" i="25"/>
  <c r="AJ138" i="25"/>
  <c r="AQ138" i="25" s="1"/>
  <c r="AV138" i="25" s="1"/>
  <c r="AJ30" i="25"/>
  <c r="AJ29" i="25" s="1"/>
  <c r="AC13" i="25"/>
  <c r="AJ13" i="25" s="1"/>
  <c r="AQ13" i="25" s="1"/>
  <c r="AV13" i="25" s="1"/>
  <c r="AJ110" i="25"/>
  <c r="AQ110" i="25" s="1"/>
  <c r="AV110" i="25" s="1"/>
  <c r="S10" i="25"/>
  <c r="AC106" i="25"/>
  <c r="AC104" i="25" s="1"/>
  <c r="AJ105" i="25"/>
  <c r="AJ86" i="25"/>
  <c r="AQ86" i="25" s="1"/>
  <c r="AJ88" i="25"/>
  <c r="AQ88" i="25" s="1"/>
  <c r="AC84" i="25"/>
  <c r="AJ90" i="25"/>
  <c r="AQ90" i="25" s="1"/>
  <c r="AJ89" i="25"/>
  <c r="AQ89" i="25" s="1"/>
  <c r="AJ87" i="25"/>
  <c r="AQ87" i="25" s="1"/>
  <c r="AJ119" i="25"/>
  <c r="AJ121" i="25"/>
  <c r="AJ120" i="25"/>
  <c r="AJ122" i="25"/>
  <c r="AJ123" i="25"/>
  <c r="AJ117" i="25"/>
  <c r="AJ98" i="25"/>
  <c r="AJ101" i="25"/>
  <c r="AJ95" i="25"/>
  <c r="AJ100" i="25"/>
  <c r="AJ97" i="25"/>
  <c r="AJ99" i="25"/>
  <c r="AJ102" i="25"/>
  <c r="AJ96" i="25"/>
  <c r="AJ74" i="25"/>
  <c r="AJ72" i="25"/>
  <c r="AJ73" i="25"/>
  <c r="AJ71" i="25"/>
  <c r="AJ70" i="25"/>
  <c r="AJ76" i="25"/>
  <c r="AJ79" i="25"/>
  <c r="AJ75" i="25"/>
  <c r="AJ77" i="25"/>
  <c r="AJ80" i="25"/>
  <c r="AJ81" i="25"/>
  <c r="AJ78" i="25"/>
  <c r="AJ69" i="25"/>
  <c r="AJ131" i="25"/>
  <c r="AJ133" i="25"/>
  <c r="AJ128" i="25"/>
  <c r="AJ127" i="25"/>
  <c r="AJ129" i="25"/>
  <c r="AJ130" i="25"/>
  <c r="AJ134" i="25"/>
  <c r="AJ132" i="25"/>
  <c r="AJ126" i="25"/>
  <c r="AJ27" i="25"/>
  <c r="AJ57" i="25"/>
  <c r="AJ54" i="25"/>
  <c r="AJ55" i="25"/>
  <c r="AJ49" i="25"/>
  <c r="AJ44" i="25"/>
  <c r="AJ66" i="25"/>
  <c r="AJ63" i="25"/>
  <c r="AJ41" i="25"/>
  <c r="AJ52" i="25"/>
  <c r="AJ43" i="25"/>
  <c r="AJ45" i="25"/>
  <c r="AJ50" i="25"/>
  <c r="AJ51" i="25"/>
  <c r="AJ64" i="25"/>
  <c r="AJ61" i="25"/>
  <c r="AJ58" i="25"/>
  <c r="AJ48" i="25"/>
  <c r="AJ62" i="25"/>
  <c r="AJ65" i="25"/>
  <c r="AJ47" i="25"/>
  <c r="AJ56" i="25"/>
  <c r="AJ53" i="25"/>
  <c r="AJ46" i="25"/>
  <c r="AJ59" i="25"/>
  <c r="AJ60" i="25"/>
  <c r="AJ40" i="25"/>
  <c r="B108" i="20"/>
  <c r="AC6" i="25"/>
  <c r="AC116" i="25"/>
  <c r="AJ118" i="25"/>
  <c r="AC94" i="25"/>
  <c r="AC68" i="25"/>
  <c r="S39" i="25"/>
  <c r="X39" i="25" s="1"/>
  <c r="AC42" i="25"/>
  <c r="AC125" i="25"/>
  <c r="L22" i="25"/>
  <c r="V22" i="25"/>
  <c r="W22" i="25" s="1"/>
  <c r="V33" i="25"/>
  <c r="W33" i="25" s="1"/>
  <c r="L34" i="25"/>
  <c r="M34" i="25" s="1"/>
  <c r="L33" i="25"/>
  <c r="M33" i="25" s="1"/>
  <c r="L35" i="25"/>
  <c r="M35" i="25" s="1"/>
  <c r="S93" i="25"/>
  <c r="X93" i="25" s="1"/>
  <c r="L4" i="25"/>
  <c r="M5" i="25" s="1"/>
  <c r="B124" i="25"/>
  <c r="C124" i="25" s="1"/>
  <c r="B36" i="25"/>
  <c r="C36" i="25" s="1"/>
  <c r="L38" i="25"/>
  <c r="S85" i="25"/>
  <c r="X85" i="25" s="1"/>
  <c r="S104" i="25"/>
  <c r="X104" i="25" s="1"/>
  <c r="AC5" i="25" l="1"/>
  <c r="AD23" i="25" s="1"/>
  <c r="M14" i="25"/>
  <c r="S22" i="25"/>
  <c r="C120" i="20" s="1"/>
  <c r="D121" i="25"/>
  <c r="D42" i="25"/>
  <c r="D124" i="25"/>
  <c r="D120" i="25"/>
  <c r="D116" i="25"/>
  <c r="D105" i="25"/>
  <c r="D100" i="25"/>
  <c r="D96" i="25"/>
  <c r="D91" i="25"/>
  <c r="D87" i="25"/>
  <c r="D78" i="25"/>
  <c r="D74" i="25"/>
  <c r="D70" i="25"/>
  <c r="D61" i="25"/>
  <c r="D53" i="25"/>
  <c r="D41" i="25"/>
  <c r="D123" i="25"/>
  <c r="D119" i="25"/>
  <c r="D111" i="25"/>
  <c r="D104" i="25"/>
  <c r="D99" i="25"/>
  <c r="D95" i="25"/>
  <c r="D90" i="25"/>
  <c r="D86" i="25"/>
  <c r="D81" i="25"/>
  <c r="D77" i="25"/>
  <c r="D73" i="25"/>
  <c r="D69" i="25"/>
  <c r="D64" i="25"/>
  <c r="D60" i="25"/>
  <c r="D56" i="25"/>
  <c r="D52" i="25"/>
  <c r="D48" i="25"/>
  <c r="D44" i="25"/>
  <c r="D40" i="25"/>
  <c r="D122" i="25"/>
  <c r="D118" i="25"/>
  <c r="D110" i="25"/>
  <c r="D102" i="25"/>
  <c r="D98" i="25"/>
  <c r="D94" i="25"/>
  <c r="D89" i="25"/>
  <c r="D85" i="25"/>
  <c r="D80" i="25"/>
  <c r="D76" i="25"/>
  <c r="D72" i="25"/>
  <c r="D68" i="25"/>
  <c r="D63" i="25"/>
  <c r="D59" i="25"/>
  <c r="D55" i="25"/>
  <c r="D51" i="25"/>
  <c r="D47" i="25"/>
  <c r="D43" i="25"/>
  <c r="D39" i="25"/>
  <c r="D138" i="25"/>
  <c r="D117" i="25"/>
  <c r="D106" i="25"/>
  <c r="D101" i="25"/>
  <c r="D97" i="25"/>
  <c r="D93" i="25"/>
  <c r="D88" i="25"/>
  <c r="D84" i="25"/>
  <c r="D79" i="25"/>
  <c r="D75" i="25"/>
  <c r="D71" i="25"/>
  <c r="D66" i="25"/>
  <c r="D62" i="25"/>
  <c r="D58" i="25"/>
  <c r="D54" i="25"/>
  <c r="D50" i="25"/>
  <c r="D46" i="25"/>
  <c r="D38" i="25"/>
  <c r="D83" i="25"/>
  <c r="D65" i="25"/>
  <c r="D57" i="25"/>
  <c r="D49" i="25"/>
  <c r="D45" i="25"/>
  <c r="S33" i="25"/>
  <c r="X33" i="25" s="1"/>
  <c r="T23" i="25"/>
  <c r="T8" i="25"/>
  <c r="T24" i="25"/>
  <c r="M134" i="25"/>
  <c r="M130" i="25"/>
  <c r="M126" i="25"/>
  <c r="M133" i="25"/>
  <c r="M129" i="25"/>
  <c r="M125" i="25"/>
  <c r="M123" i="25"/>
  <c r="M121" i="25"/>
  <c r="M119" i="25"/>
  <c r="M117" i="25"/>
  <c r="M106" i="25"/>
  <c r="M104" i="25"/>
  <c r="M101" i="25"/>
  <c r="M99" i="25"/>
  <c r="M97" i="25"/>
  <c r="M95" i="25"/>
  <c r="M93" i="25"/>
  <c r="M90" i="25"/>
  <c r="M88" i="25"/>
  <c r="M86" i="25"/>
  <c r="M84" i="25"/>
  <c r="M81" i="25"/>
  <c r="M79" i="25"/>
  <c r="M77" i="25"/>
  <c r="M75" i="25"/>
  <c r="M73" i="25"/>
  <c r="M71" i="25"/>
  <c r="M69" i="25"/>
  <c r="M66" i="25"/>
  <c r="M64" i="25"/>
  <c r="M62" i="25"/>
  <c r="M60" i="25"/>
  <c r="M138" i="25"/>
  <c r="M132" i="25"/>
  <c r="M128" i="25"/>
  <c r="M110" i="25"/>
  <c r="M43" i="25"/>
  <c r="M41" i="25"/>
  <c r="M39" i="25"/>
  <c r="M16" i="25"/>
  <c r="M11" i="25"/>
  <c r="M6" i="25"/>
  <c r="M131" i="25"/>
  <c r="M127" i="25"/>
  <c r="M122" i="25"/>
  <c r="M120" i="25"/>
  <c r="M118" i="25"/>
  <c r="M116" i="25"/>
  <c r="M105" i="25"/>
  <c r="M102" i="25"/>
  <c r="M100" i="25"/>
  <c r="M98" i="25"/>
  <c r="M96" i="25"/>
  <c r="M94" i="25"/>
  <c r="M57" i="25"/>
  <c r="M52" i="25"/>
  <c r="M49" i="25"/>
  <c r="M38" i="25"/>
  <c r="M22" i="25"/>
  <c r="M13" i="25"/>
  <c r="M7" i="25"/>
  <c r="M89" i="25"/>
  <c r="M85" i="25"/>
  <c r="M80" i="25"/>
  <c r="M76" i="25"/>
  <c r="M72" i="25"/>
  <c r="M68" i="25"/>
  <c r="M63" i="25"/>
  <c r="M59" i="25"/>
  <c r="M54" i="25"/>
  <c r="M51" i="25"/>
  <c r="M46" i="25"/>
  <c r="M40" i="25"/>
  <c r="M19" i="25"/>
  <c r="M12" i="25"/>
  <c r="M56" i="25"/>
  <c r="M53" i="25"/>
  <c r="M48" i="25"/>
  <c r="M45" i="25"/>
  <c r="M42" i="25"/>
  <c r="M18" i="25"/>
  <c r="M10" i="25"/>
  <c r="M4" i="25"/>
  <c r="M111" i="25"/>
  <c r="M91" i="25"/>
  <c r="M87" i="25"/>
  <c r="M83" i="25"/>
  <c r="M78" i="25"/>
  <c r="M74" i="25"/>
  <c r="M70" i="25"/>
  <c r="M65" i="25"/>
  <c r="M61" i="25"/>
  <c r="M58" i="25"/>
  <c r="M55" i="25"/>
  <c r="M50" i="25"/>
  <c r="M47" i="25"/>
  <c r="M44" i="25"/>
  <c r="M15" i="25"/>
  <c r="AC15" i="25"/>
  <c r="AD29" i="25" s="1"/>
  <c r="X10" i="25"/>
  <c r="T27" i="25"/>
  <c r="T26" i="25"/>
  <c r="X15" i="25"/>
  <c r="T35" i="25"/>
  <c r="T29" i="25"/>
  <c r="T30" i="25"/>
  <c r="K139" i="25"/>
  <c r="F139" i="25"/>
  <c r="BG86" i="25"/>
  <c r="BN86" i="25" s="1"/>
  <c r="BU86" i="25" s="1"/>
  <c r="BZ86" i="25" s="1"/>
  <c r="AV86" i="25"/>
  <c r="BG90" i="25"/>
  <c r="BN90" i="25" s="1"/>
  <c r="BU90" i="25" s="1"/>
  <c r="BZ90" i="25" s="1"/>
  <c r="AV90" i="25"/>
  <c r="BG89" i="25"/>
  <c r="BN89" i="25" s="1"/>
  <c r="BU89" i="25" s="1"/>
  <c r="BZ89" i="25" s="1"/>
  <c r="AV89" i="25"/>
  <c r="AD8" i="25"/>
  <c r="BG87" i="25"/>
  <c r="BN87" i="25" s="1"/>
  <c r="BU87" i="25" s="1"/>
  <c r="BZ87" i="25" s="1"/>
  <c r="AV87" i="25"/>
  <c r="BG88" i="25"/>
  <c r="BN88" i="25" s="1"/>
  <c r="BU88" i="25" s="1"/>
  <c r="BZ88" i="25" s="1"/>
  <c r="AV88" i="25"/>
  <c r="AJ24" i="25"/>
  <c r="AJ23" i="25" s="1"/>
  <c r="B110" i="20"/>
  <c r="B113" i="20" s="1"/>
  <c r="B115" i="20" s="1"/>
  <c r="B117" i="20" s="1"/>
  <c r="S4" i="25"/>
  <c r="AC10" i="25"/>
  <c r="AQ30" i="25"/>
  <c r="BG30" i="25" s="1"/>
  <c r="CE111" i="25"/>
  <c r="AJ19" i="25"/>
  <c r="AJ18" i="25" s="1"/>
  <c r="BG138" i="25"/>
  <c r="BG110" i="25"/>
  <c r="AW110" i="25"/>
  <c r="BB110" i="25" s="1"/>
  <c r="AQ132" i="25"/>
  <c r="AV132" i="25" s="1"/>
  <c r="AQ130" i="25"/>
  <c r="AV130" i="25" s="1"/>
  <c r="AQ127" i="25"/>
  <c r="AV127" i="25" s="1"/>
  <c r="AQ133" i="25"/>
  <c r="AV133" i="25" s="1"/>
  <c r="AQ126" i="25"/>
  <c r="AV126" i="25" s="1"/>
  <c r="AJ125" i="25"/>
  <c r="AQ134" i="25"/>
  <c r="AV134" i="25" s="1"/>
  <c r="AQ129" i="25"/>
  <c r="AV129" i="25" s="1"/>
  <c r="AQ128" i="25"/>
  <c r="AV128" i="25" s="1"/>
  <c r="AQ131" i="25"/>
  <c r="AV131" i="25" s="1"/>
  <c r="AQ119" i="25"/>
  <c r="AV119" i="25" s="1"/>
  <c r="AQ123" i="25"/>
  <c r="AV123" i="25" s="1"/>
  <c r="AQ120" i="25"/>
  <c r="AV120" i="25" s="1"/>
  <c r="AQ118" i="25"/>
  <c r="AV118" i="25" s="1"/>
  <c r="AJ116" i="25"/>
  <c r="AQ117" i="25"/>
  <c r="AV117" i="25" s="1"/>
  <c r="AQ122" i="25"/>
  <c r="AV122" i="25" s="1"/>
  <c r="AQ121" i="25"/>
  <c r="AV121" i="25" s="1"/>
  <c r="AQ105" i="25"/>
  <c r="AV105" i="25" s="1"/>
  <c r="AQ97" i="25"/>
  <c r="AV97" i="25" s="1"/>
  <c r="AQ95" i="25"/>
  <c r="AV95" i="25" s="1"/>
  <c r="AQ102" i="25"/>
  <c r="AV102" i="25" s="1"/>
  <c r="AQ98" i="25"/>
  <c r="AV98" i="25" s="1"/>
  <c r="AQ96" i="25"/>
  <c r="AV96" i="25" s="1"/>
  <c r="AQ99" i="25"/>
  <c r="AV99" i="25" s="1"/>
  <c r="AQ100" i="25"/>
  <c r="AV100" i="25" s="1"/>
  <c r="AQ101" i="25"/>
  <c r="AV101" i="25" s="1"/>
  <c r="AQ69" i="25"/>
  <c r="AV69" i="25" s="1"/>
  <c r="AJ68" i="25"/>
  <c r="AQ81" i="25"/>
  <c r="AV81" i="25" s="1"/>
  <c r="AQ77" i="25"/>
  <c r="AV77" i="25" s="1"/>
  <c r="AQ79" i="25"/>
  <c r="AV79" i="25" s="1"/>
  <c r="AQ70" i="25"/>
  <c r="AV70" i="25" s="1"/>
  <c r="AQ73" i="25"/>
  <c r="AV73" i="25" s="1"/>
  <c r="AQ74" i="25"/>
  <c r="AV74" i="25" s="1"/>
  <c r="AQ78" i="25"/>
  <c r="AV78" i="25" s="1"/>
  <c r="AQ80" i="25"/>
  <c r="AV80" i="25" s="1"/>
  <c r="AQ75" i="25"/>
  <c r="AV75" i="25" s="1"/>
  <c r="AQ76" i="25"/>
  <c r="AV76" i="25" s="1"/>
  <c r="AQ71" i="25"/>
  <c r="AV71" i="25" s="1"/>
  <c r="AQ72" i="25"/>
  <c r="AV72" i="25" s="1"/>
  <c r="AQ60" i="25"/>
  <c r="AV60" i="25" s="1"/>
  <c r="AQ46" i="25"/>
  <c r="AV46" i="25" s="1"/>
  <c r="AQ56" i="25"/>
  <c r="AV56" i="25" s="1"/>
  <c r="AQ65" i="25"/>
  <c r="AV65" i="25" s="1"/>
  <c r="AQ48" i="25"/>
  <c r="AV48" i="25" s="1"/>
  <c r="AQ61" i="25"/>
  <c r="AV61" i="25" s="1"/>
  <c r="AQ51" i="25"/>
  <c r="AV51" i="25" s="1"/>
  <c r="AQ45" i="25"/>
  <c r="AV45" i="25" s="1"/>
  <c r="AQ63" i="25"/>
  <c r="AV63" i="25" s="1"/>
  <c r="AQ44" i="25"/>
  <c r="AV44" i="25" s="1"/>
  <c r="AQ55" i="25"/>
  <c r="AV55" i="25" s="1"/>
  <c r="AQ57" i="25"/>
  <c r="AV57" i="25" s="1"/>
  <c r="AQ40" i="25"/>
  <c r="AV40" i="25" s="1"/>
  <c r="AQ59" i="25"/>
  <c r="AV59" i="25" s="1"/>
  <c r="AQ53" i="25"/>
  <c r="AV53" i="25" s="1"/>
  <c r="AQ47" i="25"/>
  <c r="AV47" i="25" s="1"/>
  <c r="AQ62" i="25"/>
  <c r="AV62" i="25" s="1"/>
  <c r="AQ58" i="25"/>
  <c r="AV58" i="25" s="1"/>
  <c r="AQ64" i="25"/>
  <c r="AV64" i="25" s="1"/>
  <c r="AQ50" i="25"/>
  <c r="AV50" i="25" s="1"/>
  <c r="AQ43" i="25"/>
  <c r="AV43" i="25" s="1"/>
  <c r="AQ41" i="25"/>
  <c r="AV41" i="25" s="1"/>
  <c r="AQ66" i="25"/>
  <c r="AV66" i="25" s="1"/>
  <c r="AQ49" i="25"/>
  <c r="AV49" i="25" s="1"/>
  <c r="AQ54" i="25"/>
  <c r="AV54" i="25" s="1"/>
  <c r="AQ52" i="25"/>
  <c r="AV52" i="25" s="1"/>
  <c r="AQ27" i="25"/>
  <c r="AV27" i="25" s="1"/>
  <c r="AJ26" i="25"/>
  <c r="AQ11" i="25"/>
  <c r="AJ10" i="25"/>
  <c r="AJ15" i="25"/>
  <c r="AQ16" i="25"/>
  <c r="S34" i="25"/>
  <c r="X34" i="25" s="1"/>
  <c r="L36" i="25"/>
  <c r="M36" i="25" s="1"/>
  <c r="BG7" i="25"/>
  <c r="AW7" i="25"/>
  <c r="BB7" i="25" s="1"/>
  <c r="BG12" i="25"/>
  <c r="AW12" i="25"/>
  <c r="BB12" i="25" s="1"/>
  <c r="BG8" i="25"/>
  <c r="AW8" i="25"/>
  <c r="BB8" i="25" s="1"/>
  <c r="BG13" i="25"/>
  <c r="AW13" i="25"/>
  <c r="BB13" i="25" s="1"/>
  <c r="AJ106" i="25"/>
  <c r="AW87" i="25"/>
  <c r="BB87" i="25" s="1"/>
  <c r="AW90" i="25"/>
  <c r="BB90" i="25" s="1"/>
  <c r="AW88" i="25"/>
  <c r="BB88" i="25" s="1"/>
  <c r="AW89" i="25"/>
  <c r="BB89" i="25" s="1"/>
  <c r="AJ84" i="25"/>
  <c r="AW86" i="25"/>
  <c r="BB86" i="25" s="1"/>
  <c r="AJ6" i="25"/>
  <c r="AJ5" i="25" s="1"/>
  <c r="AC93" i="25"/>
  <c r="AJ94" i="25"/>
  <c r="AC39" i="25"/>
  <c r="AJ42" i="25"/>
  <c r="V36" i="25"/>
  <c r="AC22" i="25"/>
  <c r="S83" i="25"/>
  <c r="X83" i="25" s="1"/>
  <c r="AC85" i="25"/>
  <c r="B138" i="20"/>
  <c r="B109" i="25"/>
  <c r="L124" i="25"/>
  <c r="B114" i="25"/>
  <c r="C114" i="25" s="1"/>
  <c r="B113" i="25"/>
  <c r="C113" i="25" s="1"/>
  <c r="AD30" i="25" l="1"/>
  <c r="X22" i="25"/>
  <c r="C109" i="20"/>
  <c r="T14" i="25"/>
  <c r="T5" i="25"/>
  <c r="AC33" i="25"/>
  <c r="AD33" i="25" s="1"/>
  <c r="AD24" i="25"/>
  <c r="B118" i="20"/>
  <c r="AC35" i="25"/>
  <c r="AD35" i="25" s="1"/>
  <c r="AC4" i="25"/>
  <c r="AD128" i="25" s="1"/>
  <c r="T33" i="25"/>
  <c r="V113" i="25"/>
  <c r="W113" i="25" s="1"/>
  <c r="W36" i="25"/>
  <c r="B112" i="25"/>
  <c r="C112" i="25" s="1"/>
  <c r="C109" i="25"/>
  <c r="B111" i="20"/>
  <c r="N123" i="25"/>
  <c r="N121" i="25"/>
  <c r="N119" i="25"/>
  <c r="N117" i="25"/>
  <c r="N138" i="25"/>
  <c r="N110" i="25"/>
  <c r="N124" i="25"/>
  <c r="N122" i="25"/>
  <c r="N120" i="25"/>
  <c r="N118" i="25"/>
  <c r="N116" i="25"/>
  <c r="N105" i="25"/>
  <c r="N102" i="25"/>
  <c r="N100" i="25"/>
  <c r="N98" i="25"/>
  <c r="N96" i="25"/>
  <c r="N94" i="25"/>
  <c r="N91" i="25"/>
  <c r="N89" i="25"/>
  <c r="N87" i="25"/>
  <c r="N85" i="25"/>
  <c r="N83" i="25"/>
  <c r="N80" i="25"/>
  <c r="N78" i="25"/>
  <c r="N76" i="25"/>
  <c r="N74" i="25"/>
  <c r="N72" i="25"/>
  <c r="N70" i="25"/>
  <c r="N68" i="25"/>
  <c r="N65" i="25"/>
  <c r="N63" i="25"/>
  <c r="N61" i="25"/>
  <c r="N59" i="25"/>
  <c r="N57" i="25"/>
  <c r="N55" i="25"/>
  <c r="N53" i="25"/>
  <c r="N51" i="25"/>
  <c r="N49" i="25"/>
  <c r="N47" i="25"/>
  <c r="N45" i="25"/>
  <c r="N44" i="25"/>
  <c r="N111" i="25"/>
  <c r="N106" i="25"/>
  <c r="N97" i="25"/>
  <c r="N90" i="25"/>
  <c r="N86" i="25"/>
  <c r="N81" i="25"/>
  <c r="N77" i="25"/>
  <c r="N73" i="25"/>
  <c r="N69" i="25"/>
  <c r="N64" i="25"/>
  <c r="N60" i="25"/>
  <c r="N54" i="25"/>
  <c r="N46" i="25"/>
  <c r="N43" i="25"/>
  <c r="N40" i="25"/>
  <c r="N104" i="25"/>
  <c r="N95" i="25"/>
  <c r="N56" i="25"/>
  <c r="N48" i="25"/>
  <c r="N42" i="25"/>
  <c r="N101" i="25"/>
  <c r="N93" i="25"/>
  <c r="N88" i="25"/>
  <c r="N84" i="25"/>
  <c r="N79" i="25"/>
  <c r="N75" i="25"/>
  <c r="N71" i="25"/>
  <c r="N66" i="25"/>
  <c r="N62" i="25"/>
  <c r="N58" i="25"/>
  <c r="N50" i="25"/>
  <c r="N39" i="25"/>
  <c r="N99" i="25"/>
  <c r="N52" i="25"/>
  <c r="N41" i="25"/>
  <c r="N38" i="25"/>
  <c r="X4" i="25"/>
  <c r="T131" i="25"/>
  <c r="T127" i="25"/>
  <c r="T122" i="25"/>
  <c r="T120" i="25"/>
  <c r="T118" i="25"/>
  <c r="T116" i="25"/>
  <c r="T105" i="25"/>
  <c r="T102" i="25"/>
  <c r="T100" i="25"/>
  <c r="T98" i="25"/>
  <c r="T96" i="25"/>
  <c r="T94" i="25"/>
  <c r="T91" i="25"/>
  <c r="T89" i="25"/>
  <c r="T87" i="25"/>
  <c r="T85" i="25"/>
  <c r="T83" i="25"/>
  <c r="T80" i="25"/>
  <c r="T78" i="25"/>
  <c r="T76" i="25"/>
  <c r="T74" i="25"/>
  <c r="T72" i="25"/>
  <c r="T70" i="25"/>
  <c r="T68" i="25"/>
  <c r="T65" i="25"/>
  <c r="T63" i="25"/>
  <c r="T61" i="25"/>
  <c r="T59" i="25"/>
  <c r="T57" i="25"/>
  <c r="T55" i="25"/>
  <c r="T53" i="25"/>
  <c r="T51" i="25"/>
  <c r="T49" i="25"/>
  <c r="T47" i="25"/>
  <c r="T45" i="25"/>
  <c r="T43" i="25"/>
  <c r="T41" i="25"/>
  <c r="T39" i="25"/>
  <c r="T16" i="25"/>
  <c r="T11" i="25"/>
  <c r="T6" i="25"/>
  <c r="T134" i="25"/>
  <c r="T130" i="25"/>
  <c r="T126" i="25"/>
  <c r="T111" i="25"/>
  <c r="T22" i="25"/>
  <c r="T15" i="25"/>
  <c r="T10" i="25"/>
  <c r="T133" i="25"/>
  <c r="T129" i="25"/>
  <c r="T125" i="25"/>
  <c r="T123" i="25"/>
  <c r="T121" i="25"/>
  <c r="T119" i="25"/>
  <c r="T117" i="25"/>
  <c r="T106" i="25"/>
  <c r="T104" i="25"/>
  <c r="T101" i="25"/>
  <c r="T99" i="25"/>
  <c r="T97" i="25"/>
  <c r="T95" i="25"/>
  <c r="T93" i="25"/>
  <c r="T90" i="25"/>
  <c r="T88" i="25"/>
  <c r="T86" i="25"/>
  <c r="T84" i="25"/>
  <c r="T81" i="25"/>
  <c r="T79" i="25"/>
  <c r="T77" i="25"/>
  <c r="T75" i="25"/>
  <c r="T73" i="25"/>
  <c r="T71" i="25"/>
  <c r="T69" i="25"/>
  <c r="T66" i="25"/>
  <c r="T64" i="25"/>
  <c r="T62" i="25"/>
  <c r="T60" i="25"/>
  <c r="T58" i="25"/>
  <c r="T56" i="25"/>
  <c r="T54" i="25"/>
  <c r="T52" i="25"/>
  <c r="T50" i="25"/>
  <c r="T48" i="25"/>
  <c r="T46" i="25"/>
  <c r="T44" i="25"/>
  <c r="T42" i="25"/>
  <c r="T40" i="25"/>
  <c r="T19" i="25"/>
  <c r="T13" i="25"/>
  <c r="T4" i="25"/>
  <c r="T138" i="25"/>
  <c r="T132" i="25"/>
  <c r="T128" i="25"/>
  <c r="T110" i="25"/>
  <c r="T18" i="25"/>
  <c r="T12" i="25"/>
  <c r="T7" i="25"/>
  <c r="T34" i="25"/>
  <c r="M124" i="25"/>
  <c r="AQ24" i="25"/>
  <c r="AQ23" i="25" s="1"/>
  <c r="AV23" i="25" s="1"/>
  <c r="AQ10" i="25"/>
  <c r="AV11" i="25"/>
  <c r="AQ15" i="25"/>
  <c r="AV16" i="25"/>
  <c r="AW30" i="25"/>
  <c r="BB30" i="25" s="1"/>
  <c r="AV30" i="25"/>
  <c r="AD27" i="25"/>
  <c r="AD26" i="25"/>
  <c r="AK30" i="25"/>
  <c r="AK29" i="25"/>
  <c r="AK27" i="25"/>
  <c r="AK26" i="25"/>
  <c r="AQ19" i="25"/>
  <c r="BG19" i="25" s="1"/>
  <c r="BG18" i="25" s="1"/>
  <c r="AJ22" i="25"/>
  <c r="S36" i="25"/>
  <c r="X36" i="25" s="1"/>
  <c r="L113" i="25"/>
  <c r="M113" i="25" s="1"/>
  <c r="AC34" i="25"/>
  <c r="AD34" i="25" s="1"/>
  <c r="AQ29" i="25"/>
  <c r="AV29" i="25" s="1"/>
  <c r="BN110" i="25"/>
  <c r="BU110" i="25" s="1"/>
  <c r="BZ110" i="25" s="1"/>
  <c r="CL111" i="25"/>
  <c r="CS111" i="25" s="1"/>
  <c r="CX111" i="25" s="1"/>
  <c r="AW11" i="25"/>
  <c r="BB11" i="25" s="1"/>
  <c r="BN138" i="25"/>
  <c r="BU138" i="25" s="1"/>
  <c r="BZ138" i="25" s="1"/>
  <c r="CE90" i="25"/>
  <c r="CE86" i="25"/>
  <c r="CE88" i="25"/>
  <c r="CE87" i="25"/>
  <c r="CE89" i="25"/>
  <c r="BN12" i="25"/>
  <c r="BU12" i="25" s="1"/>
  <c r="BZ12" i="25" s="1"/>
  <c r="BN7" i="25"/>
  <c r="BU7" i="25" s="1"/>
  <c r="BZ7" i="25" s="1"/>
  <c r="BN8" i="25"/>
  <c r="BU8" i="25" s="1"/>
  <c r="BZ8" i="25" s="1"/>
  <c r="BN13" i="25"/>
  <c r="BU13" i="25" s="1"/>
  <c r="BZ13" i="25" s="1"/>
  <c r="BG11" i="25"/>
  <c r="BG29" i="25"/>
  <c r="BN30" i="25"/>
  <c r="BG133" i="25"/>
  <c r="AW133" i="25"/>
  <c r="BB133" i="25" s="1"/>
  <c r="BG130" i="25"/>
  <c r="AW130" i="25"/>
  <c r="BB130" i="25" s="1"/>
  <c r="BG131" i="25"/>
  <c r="AW131" i="25"/>
  <c r="BB131" i="25" s="1"/>
  <c r="BG129" i="25"/>
  <c r="AW129" i="25"/>
  <c r="BB129" i="25" s="1"/>
  <c r="BG126" i="25"/>
  <c r="BN126" i="25" s="1"/>
  <c r="AW126" i="25"/>
  <c r="BB126" i="25" s="1"/>
  <c r="BG127" i="25"/>
  <c r="AW127" i="25"/>
  <c r="BB127" i="25" s="1"/>
  <c r="BG132" i="25"/>
  <c r="AW132" i="25"/>
  <c r="BB132" i="25" s="1"/>
  <c r="AQ125" i="25"/>
  <c r="BG128" i="25"/>
  <c r="AW128" i="25"/>
  <c r="BB128" i="25" s="1"/>
  <c r="BG134" i="25"/>
  <c r="AW134" i="25"/>
  <c r="BB134" i="25" s="1"/>
  <c r="BG118" i="25"/>
  <c r="AW118" i="25"/>
  <c r="BB118" i="25" s="1"/>
  <c r="BG123" i="25"/>
  <c r="AW123" i="25"/>
  <c r="BB123" i="25" s="1"/>
  <c r="BG121" i="25"/>
  <c r="AW121" i="25"/>
  <c r="BB121" i="25" s="1"/>
  <c r="BG117" i="25"/>
  <c r="AW117" i="25"/>
  <c r="BB117" i="25" s="1"/>
  <c r="AQ116" i="25"/>
  <c r="BG120" i="25"/>
  <c r="AW120" i="25"/>
  <c r="BB120" i="25" s="1"/>
  <c r="BG119" i="25"/>
  <c r="AW119" i="25"/>
  <c r="BB119" i="25" s="1"/>
  <c r="BG122" i="25"/>
  <c r="AW122" i="25"/>
  <c r="BB122" i="25" s="1"/>
  <c r="AQ106" i="25"/>
  <c r="BG105" i="25"/>
  <c r="AW105" i="25"/>
  <c r="BB105" i="25" s="1"/>
  <c r="AJ104" i="25"/>
  <c r="AQ94" i="25"/>
  <c r="AV94" i="25" s="1"/>
  <c r="AJ93" i="25"/>
  <c r="BG101" i="25"/>
  <c r="AW101" i="25"/>
  <c r="BB101" i="25" s="1"/>
  <c r="BG98" i="25"/>
  <c r="AW98" i="25"/>
  <c r="BB98" i="25" s="1"/>
  <c r="BG95" i="25"/>
  <c r="AW95" i="25"/>
  <c r="BB95" i="25" s="1"/>
  <c r="BG100" i="25"/>
  <c r="AW100" i="25"/>
  <c r="BB100" i="25" s="1"/>
  <c r="BG96" i="25"/>
  <c r="AW96" i="25"/>
  <c r="BB96" i="25" s="1"/>
  <c r="BG102" i="25"/>
  <c r="AW102" i="25"/>
  <c r="BB102" i="25" s="1"/>
  <c r="BG97" i="25"/>
  <c r="AW97" i="25"/>
  <c r="BB97" i="25" s="1"/>
  <c r="BG99" i="25"/>
  <c r="AW99" i="25"/>
  <c r="BB99" i="25" s="1"/>
  <c r="AQ84" i="25"/>
  <c r="AV84" i="25" s="1"/>
  <c r="BG72" i="25"/>
  <c r="AW72" i="25"/>
  <c r="BB72" i="25" s="1"/>
  <c r="BG76" i="25"/>
  <c r="AW76" i="25"/>
  <c r="BB76" i="25" s="1"/>
  <c r="BG80" i="25"/>
  <c r="AW80" i="25"/>
  <c r="BB80" i="25" s="1"/>
  <c r="BG74" i="25"/>
  <c r="AW74" i="25"/>
  <c r="BB74" i="25" s="1"/>
  <c r="BG70" i="25"/>
  <c r="AW70" i="25"/>
  <c r="BB70" i="25" s="1"/>
  <c r="BG77" i="25"/>
  <c r="AW77" i="25"/>
  <c r="BB77" i="25" s="1"/>
  <c r="BG69" i="25"/>
  <c r="AW69" i="25"/>
  <c r="BB69" i="25" s="1"/>
  <c r="AQ68" i="25"/>
  <c r="AV68" i="25" s="1"/>
  <c r="BG71" i="25"/>
  <c r="AW71" i="25"/>
  <c r="BB71" i="25" s="1"/>
  <c r="BG75" i="25"/>
  <c r="AW75" i="25"/>
  <c r="BB75" i="25" s="1"/>
  <c r="BG78" i="25"/>
  <c r="AW78" i="25"/>
  <c r="BB78" i="25" s="1"/>
  <c r="BG73" i="25"/>
  <c r="AW73" i="25"/>
  <c r="BB73" i="25" s="1"/>
  <c r="BG79" i="25"/>
  <c r="AW79" i="25"/>
  <c r="BB79" i="25" s="1"/>
  <c r="BG81" i="25"/>
  <c r="AW81" i="25"/>
  <c r="BB81" i="25" s="1"/>
  <c r="BG57" i="25"/>
  <c r="AW57" i="25"/>
  <c r="BB57" i="25" s="1"/>
  <c r="BG44" i="25"/>
  <c r="AW44" i="25"/>
  <c r="BB44" i="25" s="1"/>
  <c r="BG45" i="25"/>
  <c r="AW45" i="25"/>
  <c r="BB45" i="25" s="1"/>
  <c r="BG61" i="25"/>
  <c r="AW61" i="25"/>
  <c r="BB61" i="25" s="1"/>
  <c r="BG65" i="25"/>
  <c r="AW65" i="25"/>
  <c r="BB65" i="25" s="1"/>
  <c r="BG46" i="25"/>
  <c r="AW46" i="25"/>
  <c r="BB46" i="25" s="1"/>
  <c r="AQ42" i="25"/>
  <c r="BG54" i="25"/>
  <c r="AW54" i="25"/>
  <c r="BB54" i="25" s="1"/>
  <c r="BG66" i="25"/>
  <c r="AW66" i="25"/>
  <c r="BB66" i="25" s="1"/>
  <c r="BG43" i="25"/>
  <c r="AW43" i="25"/>
  <c r="BB43" i="25" s="1"/>
  <c r="BG64" i="25"/>
  <c r="AW64" i="25"/>
  <c r="BB64" i="25" s="1"/>
  <c r="BG62" i="25"/>
  <c r="AW62" i="25"/>
  <c r="BB62" i="25" s="1"/>
  <c r="BG53" i="25"/>
  <c r="AW53" i="25"/>
  <c r="BB53" i="25" s="1"/>
  <c r="BG40" i="25"/>
  <c r="AW40" i="25"/>
  <c r="BB40" i="25" s="1"/>
  <c r="AJ39" i="25"/>
  <c r="BG55" i="25"/>
  <c r="AW55" i="25"/>
  <c r="BB55" i="25" s="1"/>
  <c r="BG63" i="25"/>
  <c r="AW63" i="25"/>
  <c r="BB63" i="25" s="1"/>
  <c r="BG51" i="25"/>
  <c r="AW51" i="25"/>
  <c r="BB51" i="25" s="1"/>
  <c r="BG48" i="25"/>
  <c r="AW48" i="25"/>
  <c r="BB48" i="25" s="1"/>
  <c r="BG56" i="25"/>
  <c r="AW56" i="25"/>
  <c r="BB56" i="25" s="1"/>
  <c r="BG60" i="25"/>
  <c r="AW60" i="25"/>
  <c r="BB60" i="25" s="1"/>
  <c r="BG52" i="25"/>
  <c r="AW52" i="25"/>
  <c r="BB52" i="25" s="1"/>
  <c r="BG49" i="25"/>
  <c r="AW49" i="25"/>
  <c r="BB49" i="25" s="1"/>
  <c r="BG41" i="25"/>
  <c r="AW41" i="25"/>
  <c r="BB41" i="25" s="1"/>
  <c r="BG50" i="25"/>
  <c r="AW50" i="25"/>
  <c r="BB50" i="25" s="1"/>
  <c r="BG58" i="25"/>
  <c r="AW58" i="25"/>
  <c r="BB58" i="25" s="1"/>
  <c r="BG47" i="25"/>
  <c r="AW47" i="25"/>
  <c r="BB47" i="25" s="1"/>
  <c r="BG59" i="25"/>
  <c r="AW59" i="25"/>
  <c r="BB59" i="25" s="1"/>
  <c r="AW29" i="25"/>
  <c r="BB29" i="25" s="1"/>
  <c r="AQ26" i="25"/>
  <c r="AV26" i="25" s="1"/>
  <c r="BG27" i="25"/>
  <c r="AW27" i="25"/>
  <c r="BB27" i="25" s="1"/>
  <c r="AQ6" i="25"/>
  <c r="AQ5" i="25" s="1"/>
  <c r="AV5" i="25" s="1"/>
  <c r="AW16" i="25"/>
  <c r="BG16" i="25"/>
  <c r="L114" i="25"/>
  <c r="M114" i="25" s="1"/>
  <c r="L109" i="25"/>
  <c r="AJ35" i="25"/>
  <c r="AK35" i="25" s="1"/>
  <c r="AJ34" i="25"/>
  <c r="AK34" i="25" s="1"/>
  <c r="V114" i="25"/>
  <c r="W114" i="25" s="1"/>
  <c r="C108" i="20"/>
  <c r="V109" i="25"/>
  <c r="W109" i="25" s="1"/>
  <c r="AC83" i="25"/>
  <c r="AJ85" i="25"/>
  <c r="AQ85" i="25" s="1"/>
  <c r="S38" i="25"/>
  <c r="AD14" i="25" l="1"/>
  <c r="AD5" i="25"/>
  <c r="AD83" i="25"/>
  <c r="AD39" i="25"/>
  <c r="AC36" i="25"/>
  <c r="AD36" i="25" s="1"/>
  <c r="AD52" i="25"/>
  <c r="AD110" i="25"/>
  <c r="AD60" i="25"/>
  <c r="AD45" i="25"/>
  <c r="AD42" i="25"/>
  <c r="AD56" i="25"/>
  <c r="AD15" i="25"/>
  <c r="AD72" i="25"/>
  <c r="AD118" i="25"/>
  <c r="AD76" i="25"/>
  <c r="AD91" i="25"/>
  <c r="AD75" i="25"/>
  <c r="AD121" i="25"/>
  <c r="AD79" i="25"/>
  <c r="AD130" i="25"/>
  <c r="AD55" i="25"/>
  <c r="AD93" i="25"/>
  <c r="AD64" i="25"/>
  <c r="AD74" i="25"/>
  <c r="AD43" i="25"/>
  <c r="AD111" i="25"/>
  <c r="AD4" i="25"/>
  <c r="AD58" i="25"/>
  <c r="AD98" i="25"/>
  <c r="AD70" i="25"/>
  <c r="AD86" i="25"/>
  <c r="AD46" i="25"/>
  <c r="AD116" i="25"/>
  <c r="C131" i="20"/>
  <c r="C135" i="20"/>
  <c r="C137" i="20"/>
  <c r="C130" i="20"/>
  <c r="C134" i="20"/>
  <c r="C132" i="20"/>
  <c r="C136" i="20"/>
  <c r="C133" i="20"/>
  <c r="AD125" i="25"/>
  <c r="AD16" i="25"/>
  <c r="AD50" i="25"/>
  <c r="AD66" i="25"/>
  <c r="AD84" i="25"/>
  <c r="AD126" i="25"/>
  <c r="AD19" i="25"/>
  <c r="AD96" i="25"/>
  <c r="AD49" i="25"/>
  <c r="AD122" i="25"/>
  <c r="AD6" i="25"/>
  <c r="AD62" i="25"/>
  <c r="AD97" i="25"/>
  <c r="AD7" i="25"/>
  <c r="AD100" i="25"/>
  <c r="AD10" i="25"/>
  <c r="AD47" i="25"/>
  <c r="AD63" i="25"/>
  <c r="AD80" i="25"/>
  <c r="AD123" i="25"/>
  <c r="AD90" i="25"/>
  <c r="AD44" i="25"/>
  <c r="AD117" i="25"/>
  <c r="AD78" i="25"/>
  <c r="AD59" i="25"/>
  <c r="AD94" i="25"/>
  <c r="AD134" i="25"/>
  <c r="AV116" i="25"/>
  <c r="E114" i="20"/>
  <c r="X38" i="25"/>
  <c r="C112" i="20"/>
  <c r="AV125" i="25"/>
  <c r="BG24" i="25"/>
  <c r="BN24" i="25" s="1"/>
  <c r="AW24" i="25"/>
  <c r="AW23" i="25" s="1"/>
  <c r="BB23" i="25" s="1"/>
  <c r="AV24" i="25"/>
  <c r="AD101" i="25"/>
  <c r="AD131" i="25"/>
  <c r="AD69" i="25"/>
  <c r="AD48" i="25"/>
  <c r="AD81" i="25"/>
  <c r="AD99" i="25"/>
  <c r="AD127" i="25"/>
  <c r="AD57" i="25"/>
  <c r="AD95" i="25"/>
  <c r="AD11" i="25"/>
  <c r="AD61" i="25"/>
  <c r="AD13" i="25"/>
  <c r="AD51" i="25"/>
  <c r="AD68" i="25"/>
  <c r="AD85" i="25"/>
  <c r="AD102" i="25"/>
  <c r="AD119" i="25"/>
  <c r="AD12" i="25"/>
  <c r="AD132" i="25"/>
  <c r="AD89" i="25"/>
  <c r="AD120" i="25"/>
  <c r="AD41" i="25"/>
  <c r="AD77" i="25"/>
  <c r="AD53" i="25"/>
  <c r="AD87" i="25"/>
  <c r="AD105" i="25"/>
  <c r="AD133" i="25"/>
  <c r="AD65" i="25"/>
  <c r="AD104" i="25"/>
  <c r="AD40" i="25"/>
  <c r="AD73" i="25"/>
  <c r="AD22" i="25"/>
  <c r="AD54" i="25"/>
  <c r="AD71" i="25"/>
  <c r="AD88" i="25"/>
  <c r="AD106" i="25"/>
  <c r="AD129" i="25"/>
  <c r="AD18" i="25"/>
  <c r="AD138" i="25"/>
  <c r="L112" i="25"/>
  <c r="M112" i="25" s="1"/>
  <c r="M109" i="25"/>
  <c r="T36" i="25"/>
  <c r="C111" i="20" s="1"/>
  <c r="T38" i="25"/>
  <c r="AW84" i="25"/>
  <c r="BB84" i="25" s="1"/>
  <c r="AV15" i="25"/>
  <c r="AR30" i="25"/>
  <c r="AR29" i="25"/>
  <c r="AQ34" i="25"/>
  <c r="AV34" i="25" s="1"/>
  <c r="AQ39" i="25"/>
  <c r="AV39" i="25" s="1"/>
  <c r="AV42" i="25"/>
  <c r="AV6" i="25"/>
  <c r="AQ104" i="25"/>
  <c r="AV104" i="25" s="1"/>
  <c r="AV106" i="25"/>
  <c r="BG85" i="25"/>
  <c r="BN85" i="25" s="1"/>
  <c r="BU85" i="25" s="1"/>
  <c r="BZ85" i="25" s="1"/>
  <c r="AV85" i="25"/>
  <c r="AQ93" i="25"/>
  <c r="AV93" i="25" s="1"/>
  <c r="AW15" i="25"/>
  <c r="AW35" i="25" s="1"/>
  <c r="BB35" i="25" s="1"/>
  <c r="BB16" i="25"/>
  <c r="AJ33" i="25"/>
  <c r="AK24" i="25"/>
  <c r="AK23" i="25"/>
  <c r="AK8" i="25"/>
  <c r="AK33" i="25"/>
  <c r="AQ18" i="25"/>
  <c r="AV18" i="25" s="1"/>
  <c r="AV19" i="25"/>
  <c r="AV10" i="25"/>
  <c r="AR27" i="25"/>
  <c r="AR26" i="25"/>
  <c r="AW19" i="25"/>
  <c r="AW10" i="25"/>
  <c r="CE110" i="25"/>
  <c r="CL110" i="25" s="1"/>
  <c r="CS110" i="25" s="1"/>
  <c r="CX110" i="25" s="1"/>
  <c r="BN19" i="25"/>
  <c r="BN18" i="25" s="1"/>
  <c r="AQ22" i="25"/>
  <c r="E109" i="20" s="1"/>
  <c r="AQ35" i="25"/>
  <c r="AV35" i="25" s="1"/>
  <c r="BN127" i="25"/>
  <c r="BN131" i="25"/>
  <c r="BU131" i="25" s="1"/>
  <c r="BZ131" i="25" s="1"/>
  <c r="BN133" i="25"/>
  <c r="BU133" i="25" s="1"/>
  <c r="BZ133" i="25" s="1"/>
  <c r="BN128" i="25"/>
  <c r="BU128" i="25" s="1"/>
  <c r="BZ128" i="25" s="1"/>
  <c r="BN134" i="25"/>
  <c r="BU134" i="25" s="1"/>
  <c r="BZ134" i="25" s="1"/>
  <c r="BN132" i="25"/>
  <c r="BU132" i="25" s="1"/>
  <c r="BZ132" i="25" s="1"/>
  <c r="BU126" i="25"/>
  <c r="BZ126" i="25" s="1"/>
  <c r="BN129" i="25"/>
  <c r="BU129" i="25" s="1"/>
  <c r="BZ129" i="25" s="1"/>
  <c r="BN130" i="25"/>
  <c r="BU130" i="25" s="1"/>
  <c r="BZ130" i="25" s="1"/>
  <c r="CE138" i="25"/>
  <c r="BN122" i="25"/>
  <c r="BU122" i="25" s="1"/>
  <c r="BZ122" i="25" s="1"/>
  <c r="BN120" i="25"/>
  <c r="BU120" i="25" s="1"/>
  <c r="BZ120" i="25" s="1"/>
  <c r="BN121" i="25"/>
  <c r="BU121" i="25" s="1"/>
  <c r="BZ121" i="25" s="1"/>
  <c r="BN118" i="25"/>
  <c r="BU118" i="25" s="1"/>
  <c r="BZ118" i="25" s="1"/>
  <c r="BN119" i="25"/>
  <c r="BU119" i="25" s="1"/>
  <c r="BZ119" i="25" s="1"/>
  <c r="BN117" i="25"/>
  <c r="BU117" i="25" s="1"/>
  <c r="BZ117" i="25" s="1"/>
  <c r="BN123" i="25"/>
  <c r="BU123" i="25" s="1"/>
  <c r="BZ123" i="25" s="1"/>
  <c r="BN105" i="25"/>
  <c r="BU105" i="25" s="1"/>
  <c r="BZ105" i="25" s="1"/>
  <c r="BN100" i="25"/>
  <c r="BU100" i="25" s="1"/>
  <c r="BZ100" i="25" s="1"/>
  <c r="BN101" i="25"/>
  <c r="BU101" i="25" s="1"/>
  <c r="BZ101" i="25" s="1"/>
  <c r="BN97" i="25"/>
  <c r="BU97" i="25" s="1"/>
  <c r="BZ97" i="25" s="1"/>
  <c r="BN96" i="25"/>
  <c r="BU96" i="25" s="1"/>
  <c r="BZ96" i="25" s="1"/>
  <c r="BN95" i="25"/>
  <c r="BU95" i="25" s="1"/>
  <c r="BZ95" i="25" s="1"/>
  <c r="BN98" i="25"/>
  <c r="BU98" i="25" s="1"/>
  <c r="BZ98" i="25" s="1"/>
  <c r="BN99" i="25"/>
  <c r="BU99" i="25" s="1"/>
  <c r="BZ99" i="25" s="1"/>
  <c r="BN102" i="25"/>
  <c r="BU102" i="25" s="1"/>
  <c r="BZ102" i="25" s="1"/>
  <c r="CL89" i="25"/>
  <c r="CS89" i="25" s="1"/>
  <c r="CX89" i="25" s="1"/>
  <c r="CL88" i="25"/>
  <c r="CS88" i="25" s="1"/>
  <c r="CX88" i="25" s="1"/>
  <c r="CL87" i="25"/>
  <c r="CS87" i="25" s="1"/>
  <c r="CX87" i="25" s="1"/>
  <c r="CL90" i="25"/>
  <c r="CL86" i="25"/>
  <c r="CS86" i="25" s="1"/>
  <c r="CX86" i="25" s="1"/>
  <c r="BN77" i="25"/>
  <c r="BU77" i="25" s="1"/>
  <c r="BZ77" i="25" s="1"/>
  <c r="BN74" i="25"/>
  <c r="BU74" i="25" s="1"/>
  <c r="BZ74" i="25" s="1"/>
  <c r="BN76" i="25"/>
  <c r="BU76" i="25" s="1"/>
  <c r="BZ76" i="25" s="1"/>
  <c r="BN69" i="25"/>
  <c r="BU69" i="25" s="1"/>
  <c r="BZ69" i="25" s="1"/>
  <c r="BN70" i="25"/>
  <c r="BU70" i="25" s="1"/>
  <c r="BZ70" i="25" s="1"/>
  <c r="BN80" i="25"/>
  <c r="BU80" i="25" s="1"/>
  <c r="BZ80" i="25" s="1"/>
  <c r="BN72" i="25"/>
  <c r="BU72" i="25" s="1"/>
  <c r="BZ72" i="25" s="1"/>
  <c r="BN81" i="25"/>
  <c r="BU81" i="25" s="1"/>
  <c r="BZ81" i="25" s="1"/>
  <c r="BN73" i="25"/>
  <c r="BU73" i="25" s="1"/>
  <c r="BZ73" i="25" s="1"/>
  <c r="BN75" i="25"/>
  <c r="BU75" i="25" s="1"/>
  <c r="BZ75" i="25" s="1"/>
  <c r="BN79" i="25"/>
  <c r="BU79" i="25" s="1"/>
  <c r="BZ79" i="25" s="1"/>
  <c r="BN78" i="25"/>
  <c r="BU78" i="25" s="1"/>
  <c r="BZ78" i="25" s="1"/>
  <c r="BN71" i="25"/>
  <c r="BU71" i="25" s="1"/>
  <c r="BZ71" i="25" s="1"/>
  <c r="BN59" i="25"/>
  <c r="BU59" i="25" s="1"/>
  <c r="BZ59" i="25" s="1"/>
  <c r="BN52" i="25"/>
  <c r="BU52" i="25" s="1"/>
  <c r="BZ52" i="25" s="1"/>
  <c r="BN61" i="25"/>
  <c r="BU61" i="25" s="1"/>
  <c r="BZ61" i="25" s="1"/>
  <c r="BN40" i="25"/>
  <c r="BU40" i="25" s="1"/>
  <c r="BZ40" i="25" s="1"/>
  <c r="BN62" i="25"/>
  <c r="BU62" i="25" s="1"/>
  <c r="BZ62" i="25" s="1"/>
  <c r="BN43" i="25"/>
  <c r="BU43" i="25" s="1"/>
  <c r="BZ43" i="25" s="1"/>
  <c r="BN54" i="25"/>
  <c r="BU54" i="25" s="1"/>
  <c r="BZ54" i="25" s="1"/>
  <c r="BN58" i="25"/>
  <c r="BU58" i="25" s="1"/>
  <c r="BZ58" i="25" s="1"/>
  <c r="BN51" i="25"/>
  <c r="BU51" i="25" s="1"/>
  <c r="BZ51" i="25" s="1"/>
  <c r="BN46" i="25"/>
  <c r="BU46" i="25" s="1"/>
  <c r="BZ46" i="25" s="1"/>
  <c r="BN44" i="25"/>
  <c r="BU44" i="25" s="1"/>
  <c r="BZ44" i="25" s="1"/>
  <c r="BN47" i="25"/>
  <c r="BU47" i="25" s="1"/>
  <c r="BZ47" i="25" s="1"/>
  <c r="BN50" i="25"/>
  <c r="BU50" i="25" s="1"/>
  <c r="BZ50" i="25" s="1"/>
  <c r="BN49" i="25"/>
  <c r="BU49" i="25" s="1"/>
  <c r="BZ49" i="25" s="1"/>
  <c r="BN60" i="25"/>
  <c r="BU60" i="25" s="1"/>
  <c r="BZ60" i="25" s="1"/>
  <c r="BN48" i="25"/>
  <c r="BU48" i="25" s="1"/>
  <c r="BZ48" i="25" s="1"/>
  <c r="BN63" i="25"/>
  <c r="BU63" i="25" s="1"/>
  <c r="BZ63" i="25" s="1"/>
  <c r="BN65" i="25"/>
  <c r="BU65" i="25" s="1"/>
  <c r="BZ65" i="25" s="1"/>
  <c r="BN45" i="25"/>
  <c r="BU45" i="25" s="1"/>
  <c r="BZ45" i="25" s="1"/>
  <c r="BN57" i="25"/>
  <c r="BU57" i="25" s="1"/>
  <c r="BZ57" i="25" s="1"/>
  <c r="BN41" i="25"/>
  <c r="BU41" i="25" s="1"/>
  <c r="BZ41" i="25" s="1"/>
  <c r="BN56" i="25"/>
  <c r="BU56" i="25" s="1"/>
  <c r="BZ56" i="25" s="1"/>
  <c r="BN55" i="25"/>
  <c r="BU55" i="25" s="1"/>
  <c r="BZ55" i="25" s="1"/>
  <c r="BN53" i="25"/>
  <c r="BU53" i="25" s="1"/>
  <c r="BZ53" i="25" s="1"/>
  <c r="BN64" i="25"/>
  <c r="BU64" i="25" s="1"/>
  <c r="BZ64" i="25" s="1"/>
  <c r="BN66" i="25"/>
  <c r="BU66" i="25" s="1"/>
  <c r="BZ66" i="25" s="1"/>
  <c r="BN29" i="25"/>
  <c r="BU30" i="25"/>
  <c r="BZ30" i="25" s="1"/>
  <c r="BN11" i="25"/>
  <c r="CE13" i="25"/>
  <c r="CE7" i="25"/>
  <c r="BG10" i="25"/>
  <c r="CE8" i="25"/>
  <c r="CE12" i="25"/>
  <c r="BG15" i="25"/>
  <c r="BN16" i="25"/>
  <c r="BG26" i="25"/>
  <c r="BN27" i="25"/>
  <c r="AW125" i="25"/>
  <c r="BB125" i="25" s="1"/>
  <c r="BG125" i="25"/>
  <c r="BG116" i="25"/>
  <c r="AW116" i="25"/>
  <c r="BB116" i="25" s="1"/>
  <c r="BG106" i="25"/>
  <c r="AW106" i="25"/>
  <c r="BB106" i="25" s="1"/>
  <c r="BG94" i="25"/>
  <c r="AW94" i="25"/>
  <c r="BB94" i="25" s="1"/>
  <c r="AJ83" i="25"/>
  <c r="AJ38" i="25" s="1"/>
  <c r="AJ124" i="25" s="1"/>
  <c r="AQ83" i="25"/>
  <c r="BG84" i="25"/>
  <c r="AW68" i="25"/>
  <c r="BB68" i="25" s="1"/>
  <c r="BG68" i="25"/>
  <c r="BG42" i="25"/>
  <c r="AW42" i="25"/>
  <c r="BB42" i="25" s="1"/>
  <c r="AW26" i="25"/>
  <c r="BB26" i="25" s="1"/>
  <c r="BG6" i="25"/>
  <c r="BG5" i="25" s="1"/>
  <c r="AW6" i="25"/>
  <c r="AW85" i="25"/>
  <c r="BB85" i="25" s="1"/>
  <c r="V112" i="25"/>
  <c r="W112" i="25" s="1"/>
  <c r="AJ4" i="25"/>
  <c r="AC38" i="25"/>
  <c r="C110" i="20"/>
  <c r="S109" i="25"/>
  <c r="S124" i="25"/>
  <c r="S114" i="25"/>
  <c r="S113" i="25"/>
  <c r="B137" i="25"/>
  <c r="C137" i="25" s="1"/>
  <c r="BB6" i="25" l="1"/>
  <c r="AW5" i="25"/>
  <c r="BB5" i="25" s="1"/>
  <c r="AK14" i="25"/>
  <c r="AK5" i="25"/>
  <c r="BG23" i="25"/>
  <c r="BB24" i="25"/>
  <c r="C113" i="20"/>
  <c r="F114" i="20"/>
  <c r="L137" i="25"/>
  <c r="M137" i="25" s="1"/>
  <c r="X114" i="25"/>
  <c r="T114" i="25"/>
  <c r="X113" i="25"/>
  <c r="T113" i="25"/>
  <c r="X109" i="25"/>
  <c r="T109" i="25"/>
  <c r="X124" i="25"/>
  <c r="U111" i="25"/>
  <c r="U123" i="25"/>
  <c r="U121" i="25"/>
  <c r="U119" i="25"/>
  <c r="U117" i="25"/>
  <c r="U106" i="25"/>
  <c r="U104" i="25"/>
  <c r="U101" i="25"/>
  <c r="U99" i="25"/>
  <c r="U97" i="25"/>
  <c r="U95" i="25"/>
  <c r="U93" i="25"/>
  <c r="U90" i="25"/>
  <c r="U88" i="25"/>
  <c r="U86" i="25"/>
  <c r="U84" i="25"/>
  <c r="U81" i="25"/>
  <c r="U79" i="25"/>
  <c r="U77" i="25"/>
  <c r="U75" i="25"/>
  <c r="U73" i="25"/>
  <c r="U71" i="25"/>
  <c r="U69" i="25"/>
  <c r="U66" i="25"/>
  <c r="U64" i="25"/>
  <c r="U62" i="25"/>
  <c r="U60" i="25"/>
  <c r="U58" i="25"/>
  <c r="U56" i="25"/>
  <c r="U54" i="25"/>
  <c r="U52" i="25"/>
  <c r="U50" i="25"/>
  <c r="U48" i="25"/>
  <c r="U46" i="25"/>
  <c r="U44" i="25"/>
  <c r="U42" i="25"/>
  <c r="U40" i="25"/>
  <c r="U38" i="25"/>
  <c r="U138" i="25"/>
  <c r="U110" i="25"/>
  <c r="U124" i="25"/>
  <c r="U122" i="25"/>
  <c r="U120" i="25"/>
  <c r="U118" i="25"/>
  <c r="U116" i="25"/>
  <c r="U105" i="25"/>
  <c r="U102" i="25"/>
  <c r="U100" i="25"/>
  <c r="U98" i="25"/>
  <c r="U96" i="25"/>
  <c r="U94" i="25"/>
  <c r="U91" i="25"/>
  <c r="U89" i="25"/>
  <c r="U87" i="25"/>
  <c r="U85" i="25"/>
  <c r="U83" i="25"/>
  <c r="U80" i="25"/>
  <c r="U78" i="25"/>
  <c r="U76" i="25"/>
  <c r="U74" i="25"/>
  <c r="U72" i="25"/>
  <c r="U70" i="25"/>
  <c r="U68" i="25"/>
  <c r="U65" i="25"/>
  <c r="U63" i="25"/>
  <c r="U61" i="25"/>
  <c r="U59" i="25"/>
  <c r="U57" i="25"/>
  <c r="U55" i="25"/>
  <c r="U53" i="25"/>
  <c r="U51" i="25"/>
  <c r="U49" i="25"/>
  <c r="U47" i="25"/>
  <c r="U45" i="25"/>
  <c r="U43" i="25"/>
  <c r="U41" i="25"/>
  <c r="U39" i="25"/>
  <c r="T124" i="25"/>
  <c r="AR34" i="25"/>
  <c r="AQ4" i="25"/>
  <c r="AR24" i="25"/>
  <c r="AR8" i="25"/>
  <c r="AR23" i="25"/>
  <c r="AC114" i="25"/>
  <c r="AD114" i="25" s="1"/>
  <c r="AD38" i="25"/>
  <c r="AQ33" i="25"/>
  <c r="AV33" i="25" s="1"/>
  <c r="AV22" i="25"/>
  <c r="BB10" i="25"/>
  <c r="AX27" i="25"/>
  <c r="AX26" i="25"/>
  <c r="BB15" i="25"/>
  <c r="AX30" i="25"/>
  <c r="AX35" i="25"/>
  <c r="AX29" i="25"/>
  <c r="AR35" i="25"/>
  <c r="AL138" i="25"/>
  <c r="AL118" i="25"/>
  <c r="AL116" i="25"/>
  <c r="AL105" i="25"/>
  <c r="AL102" i="25"/>
  <c r="AL100" i="25"/>
  <c r="AL98" i="25"/>
  <c r="AL96" i="25"/>
  <c r="AL94" i="25"/>
  <c r="AL91" i="25"/>
  <c r="AL89" i="25"/>
  <c r="AL87" i="25"/>
  <c r="AL85" i="25"/>
  <c r="AL83" i="25"/>
  <c r="AL80" i="25"/>
  <c r="AL78" i="25"/>
  <c r="AL76" i="25"/>
  <c r="AL74" i="25"/>
  <c r="AL72" i="25"/>
  <c r="AL70" i="25"/>
  <c r="AL68" i="25"/>
  <c r="AL65" i="25"/>
  <c r="AL63" i="25"/>
  <c r="AL61" i="25"/>
  <c r="AL59" i="25"/>
  <c r="AL57" i="25"/>
  <c r="AL55" i="25"/>
  <c r="AL53" i="25"/>
  <c r="AL51" i="25"/>
  <c r="AL49" i="25"/>
  <c r="AL47" i="25"/>
  <c r="AL45" i="25"/>
  <c r="AL43" i="25"/>
  <c r="AL41" i="25"/>
  <c r="AL39" i="25"/>
  <c r="AL124" i="25"/>
  <c r="AL99" i="25"/>
  <c r="AL90" i="25"/>
  <c r="AL81" i="25"/>
  <c r="AL73" i="25"/>
  <c r="AL64" i="25"/>
  <c r="AL56" i="25"/>
  <c r="AL48" i="25"/>
  <c r="AL40" i="25"/>
  <c r="AL71" i="25"/>
  <c r="AL46" i="25"/>
  <c r="AL38" i="25"/>
  <c r="AL120" i="25"/>
  <c r="AL121" i="25"/>
  <c r="AL110" i="25"/>
  <c r="AL101" i="25"/>
  <c r="AL93" i="25"/>
  <c r="AL84" i="25"/>
  <c r="AL75" i="25"/>
  <c r="AL66" i="25"/>
  <c r="AL58" i="25"/>
  <c r="AL50" i="25"/>
  <c r="AL42" i="25"/>
  <c r="AL122" i="25"/>
  <c r="AL106" i="25"/>
  <c r="AL97" i="25"/>
  <c r="AL123" i="25"/>
  <c r="AL117" i="25"/>
  <c r="AL104" i="25"/>
  <c r="AL95" i="25"/>
  <c r="AL86" i="25"/>
  <c r="AL77" i="25"/>
  <c r="AL69" i="25"/>
  <c r="AL60" i="25"/>
  <c r="AL52" i="25"/>
  <c r="AL44" i="25"/>
  <c r="AL119" i="25"/>
  <c r="AL111" i="25"/>
  <c r="AL88" i="25"/>
  <c r="AL79" i="25"/>
  <c r="AL62" i="25"/>
  <c r="AL54" i="25"/>
  <c r="AK133" i="25"/>
  <c r="AK129" i="25"/>
  <c r="AK125" i="25"/>
  <c r="AK123" i="25"/>
  <c r="AK121" i="25"/>
  <c r="AK110" i="25"/>
  <c r="AK18" i="25"/>
  <c r="AK12" i="25"/>
  <c r="AK7" i="25"/>
  <c r="AK130" i="25"/>
  <c r="AK122" i="25"/>
  <c r="AK119" i="25"/>
  <c r="AK116" i="25"/>
  <c r="AK111" i="25"/>
  <c r="AK106" i="25"/>
  <c r="AK102" i="25"/>
  <c r="AK97" i="25"/>
  <c r="AK94" i="25"/>
  <c r="AK88" i="25"/>
  <c r="AK85" i="25"/>
  <c r="AK79" i="25"/>
  <c r="AK76" i="25"/>
  <c r="AK71" i="25"/>
  <c r="AK68" i="25"/>
  <c r="AK62" i="25"/>
  <c r="AK59" i="25"/>
  <c r="AK54" i="25"/>
  <c r="AK51" i="25"/>
  <c r="AK46" i="25"/>
  <c r="AK43" i="25"/>
  <c r="AK38" i="25"/>
  <c r="AK22" i="25"/>
  <c r="AK13" i="25"/>
  <c r="AK6" i="25"/>
  <c r="AK131" i="25"/>
  <c r="AK117" i="25"/>
  <c r="AK104" i="25"/>
  <c r="AK95" i="25"/>
  <c r="AK86" i="25"/>
  <c r="AK77" i="25"/>
  <c r="AK57" i="25"/>
  <c r="AK15" i="25"/>
  <c r="AK134" i="25"/>
  <c r="AK128" i="25"/>
  <c r="AK124" i="25"/>
  <c r="AK118" i="25"/>
  <c r="AK105" i="25"/>
  <c r="AK99" i="25"/>
  <c r="AK96" i="25"/>
  <c r="AK90" i="25"/>
  <c r="AK87" i="25"/>
  <c r="AK81" i="25"/>
  <c r="AK78" i="25"/>
  <c r="AK73" i="25"/>
  <c r="AK70" i="25"/>
  <c r="AK64" i="25"/>
  <c r="AK61" i="25"/>
  <c r="AK56" i="25"/>
  <c r="AK53" i="25"/>
  <c r="AK48" i="25"/>
  <c r="AK45" i="25"/>
  <c r="AK40" i="25"/>
  <c r="AK19" i="25"/>
  <c r="AK11" i="25"/>
  <c r="AK138" i="25"/>
  <c r="AK91" i="25"/>
  <c r="AK83" i="25"/>
  <c r="AK74" i="25"/>
  <c r="AK65" i="25"/>
  <c r="AK60" i="25"/>
  <c r="AK52" i="25"/>
  <c r="AK44" i="25"/>
  <c r="AK132" i="25"/>
  <c r="AK127" i="25"/>
  <c r="AK120" i="25"/>
  <c r="AK101" i="25"/>
  <c r="AK98" i="25"/>
  <c r="AK93" i="25"/>
  <c r="AK89" i="25"/>
  <c r="AK84" i="25"/>
  <c r="AK80" i="25"/>
  <c r="AK75" i="25"/>
  <c r="AK72" i="25"/>
  <c r="AK66" i="25"/>
  <c r="AK63" i="25"/>
  <c r="AK58" i="25"/>
  <c r="AK55" i="25"/>
  <c r="AK50" i="25"/>
  <c r="AK47" i="25"/>
  <c r="AK42" i="25"/>
  <c r="AK39" i="25"/>
  <c r="AK16" i="25"/>
  <c r="AK10" i="25"/>
  <c r="AK4" i="25"/>
  <c r="AK126" i="25"/>
  <c r="AK100" i="25"/>
  <c r="AK69" i="25"/>
  <c r="AK49" i="25"/>
  <c r="AK41" i="25"/>
  <c r="BH27" i="25"/>
  <c r="BH26" i="25"/>
  <c r="AW18" i="25"/>
  <c r="BB18" i="25" s="1"/>
  <c r="BB19" i="25"/>
  <c r="AQ38" i="25"/>
  <c r="E112" i="20" s="1"/>
  <c r="AV83" i="25"/>
  <c r="BG35" i="25"/>
  <c r="BH35" i="25" s="1"/>
  <c r="BH30" i="25"/>
  <c r="BH29" i="25"/>
  <c r="BU19" i="25"/>
  <c r="BZ19" i="25" s="1"/>
  <c r="AJ36" i="25"/>
  <c r="AJ109" i="25" s="1"/>
  <c r="AJ112" i="25" s="1"/>
  <c r="AJ137" i="25" s="1"/>
  <c r="AJ139" i="25" s="1"/>
  <c r="AK139" i="25" s="1"/>
  <c r="CS90" i="25"/>
  <c r="CX90" i="25" s="1"/>
  <c r="BN116" i="25"/>
  <c r="BN68" i="25"/>
  <c r="BU127" i="25"/>
  <c r="BZ127" i="25" s="1"/>
  <c r="BN125" i="25"/>
  <c r="CL138" i="25"/>
  <c r="CE129" i="25"/>
  <c r="CE132" i="25"/>
  <c r="CE128" i="25"/>
  <c r="CE131" i="25"/>
  <c r="CE130" i="25"/>
  <c r="CE126" i="25"/>
  <c r="CE134" i="25"/>
  <c r="CE133" i="25"/>
  <c r="CE118" i="25"/>
  <c r="BU116" i="25"/>
  <c r="BZ116" i="25" s="1"/>
  <c r="CE117" i="25"/>
  <c r="CE120" i="25"/>
  <c r="CE123" i="25"/>
  <c r="CE119" i="25"/>
  <c r="CE121" i="25"/>
  <c r="CE122" i="25"/>
  <c r="BN106" i="25"/>
  <c r="CE105" i="25"/>
  <c r="CE102" i="25"/>
  <c r="CE98" i="25"/>
  <c r="CE96" i="25"/>
  <c r="CE101" i="25"/>
  <c r="CE99" i="25"/>
  <c r="CE95" i="25"/>
  <c r="CE97" i="25"/>
  <c r="CE100" i="25"/>
  <c r="CE85" i="25"/>
  <c r="CE71" i="25"/>
  <c r="CE79" i="25"/>
  <c r="CE72" i="25"/>
  <c r="CE77" i="25"/>
  <c r="CE73" i="25"/>
  <c r="CE70" i="25"/>
  <c r="CE76" i="25"/>
  <c r="CE78" i="25"/>
  <c r="CE75" i="25"/>
  <c r="CE81" i="25"/>
  <c r="CE80" i="25"/>
  <c r="BU68" i="25"/>
  <c r="BZ68" i="25" s="1"/>
  <c r="CE69" i="25"/>
  <c r="CE74" i="25"/>
  <c r="CE64" i="25"/>
  <c r="CE41" i="25"/>
  <c r="CE63" i="25"/>
  <c r="CE50" i="25"/>
  <c r="CE51" i="25"/>
  <c r="CE61" i="25"/>
  <c r="CE55" i="25"/>
  <c r="CE45" i="25"/>
  <c r="CE60" i="25"/>
  <c r="CE44" i="25"/>
  <c r="CE54" i="25"/>
  <c r="CE62" i="25"/>
  <c r="CE59" i="25"/>
  <c r="CE66" i="25"/>
  <c r="CE53" i="25"/>
  <c r="CE56" i="25"/>
  <c r="CE57" i="25"/>
  <c r="CE65" i="25"/>
  <c r="CE48" i="25"/>
  <c r="CE49" i="25"/>
  <c r="CE47" i="25"/>
  <c r="CE46" i="25"/>
  <c r="CE58" i="25"/>
  <c r="CE43" i="25"/>
  <c r="CE40" i="25"/>
  <c r="CE52" i="25"/>
  <c r="BU29" i="25"/>
  <c r="BZ29" i="25" s="1"/>
  <c r="CE30" i="25"/>
  <c r="AW34" i="25"/>
  <c r="BB34" i="25" s="1"/>
  <c r="BN26" i="25"/>
  <c r="BU27" i="25"/>
  <c r="BZ27" i="25" s="1"/>
  <c r="AW22" i="25"/>
  <c r="BB22" i="25" s="1"/>
  <c r="BG22" i="25"/>
  <c r="BN23" i="25"/>
  <c r="BU24" i="25"/>
  <c r="BZ24" i="25" s="1"/>
  <c r="CL12" i="25"/>
  <c r="CS12" i="25" s="1"/>
  <c r="CX12" i="25" s="1"/>
  <c r="CL13" i="25"/>
  <c r="CS13" i="25" s="1"/>
  <c r="CX13" i="25" s="1"/>
  <c r="CL8" i="25"/>
  <c r="CS8" i="25" s="1"/>
  <c r="CX8" i="25" s="1"/>
  <c r="BN15" i="25"/>
  <c r="BU16" i="25"/>
  <c r="BZ16" i="25" s="1"/>
  <c r="CL7" i="25"/>
  <c r="CS7" i="25" s="1"/>
  <c r="CX7" i="25" s="1"/>
  <c r="BN10" i="25"/>
  <c r="BU11" i="25"/>
  <c r="BZ11" i="25" s="1"/>
  <c r="BN6" i="25"/>
  <c r="BN5" i="25" s="1"/>
  <c r="BG39" i="25"/>
  <c r="BN42" i="25"/>
  <c r="BG93" i="25"/>
  <c r="BN94" i="25"/>
  <c r="BG34" i="25"/>
  <c r="BH34" i="25" s="1"/>
  <c r="BG104" i="25"/>
  <c r="C138" i="20"/>
  <c r="BG83" i="25"/>
  <c r="BN84" i="25"/>
  <c r="AW104" i="25"/>
  <c r="BB104" i="25" s="1"/>
  <c r="AW93" i="25"/>
  <c r="BB93" i="25" s="1"/>
  <c r="AW39" i="25"/>
  <c r="BB39" i="25" s="1"/>
  <c r="AW83" i="25"/>
  <c r="BB83" i="25" s="1"/>
  <c r="V137" i="25"/>
  <c r="AC109" i="25"/>
  <c r="AD109" i="25" s="1"/>
  <c r="AC113" i="25"/>
  <c r="AD113" i="25" s="1"/>
  <c r="AC124" i="25"/>
  <c r="S112" i="25"/>
  <c r="B139" i="25"/>
  <c r="E108" i="20" l="1"/>
  <c r="E131" i="20" s="1"/>
  <c r="AR5" i="25"/>
  <c r="E136" i="20"/>
  <c r="E133" i="20"/>
  <c r="E132" i="20"/>
  <c r="E137" i="20"/>
  <c r="AV38" i="25"/>
  <c r="C115" i="20"/>
  <c r="C117" i="20" s="1"/>
  <c r="L139" i="25"/>
  <c r="M139" i="25" s="1"/>
  <c r="AQ36" i="25"/>
  <c r="AV36" i="25" s="1"/>
  <c r="AR14" i="25"/>
  <c r="AQ124" i="25"/>
  <c r="AS121" i="25" s="1"/>
  <c r="V139" i="25"/>
  <c r="W139" i="25" s="1"/>
  <c r="W137" i="25"/>
  <c r="B104" i="20"/>
  <c r="C139" i="25"/>
  <c r="X112" i="25"/>
  <c r="T112" i="25"/>
  <c r="F109" i="20"/>
  <c r="AJ113" i="25"/>
  <c r="AK113" i="25" s="1"/>
  <c r="AK109" i="25"/>
  <c r="CE19" i="25"/>
  <c r="CE18" i="25" s="1"/>
  <c r="AK112" i="25"/>
  <c r="AR33" i="25"/>
  <c r="AE124" i="25"/>
  <c r="AE122" i="25"/>
  <c r="AE120" i="25"/>
  <c r="AE118" i="25"/>
  <c r="AE116" i="25"/>
  <c r="AE105" i="25"/>
  <c r="AE102" i="25"/>
  <c r="AE100" i="25"/>
  <c r="AE98" i="25"/>
  <c r="AE96" i="25"/>
  <c r="AE94" i="25"/>
  <c r="AE91" i="25"/>
  <c r="AE89" i="25"/>
  <c r="AE87" i="25"/>
  <c r="AE85" i="25"/>
  <c r="AE83" i="25"/>
  <c r="AE80" i="25"/>
  <c r="AE78" i="25"/>
  <c r="AE76" i="25"/>
  <c r="AE74" i="25"/>
  <c r="AE72" i="25"/>
  <c r="AE70" i="25"/>
  <c r="AE68" i="25"/>
  <c r="AE65" i="25"/>
  <c r="AE63" i="25"/>
  <c r="AE61" i="25"/>
  <c r="AE59" i="25"/>
  <c r="AE57" i="25"/>
  <c r="AE55" i="25"/>
  <c r="AE53" i="25"/>
  <c r="AE51" i="25"/>
  <c r="AE49" i="25"/>
  <c r="AE47" i="25"/>
  <c r="AE45" i="25"/>
  <c r="AE43" i="25"/>
  <c r="AE41" i="25"/>
  <c r="AE39" i="25"/>
  <c r="AE121" i="25"/>
  <c r="AE99" i="25"/>
  <c r="AE90" i="25"/>
  <c r="AE81" i="25"/>
  <c r="AE73" i="25"/>
  <c r="AE64" i="25"/>
  <c r="AE56" i="25"/>
  <c r="AE48" i="25"/>
  <c r="AE40" i="25"/>
  <c r="AE84" i="25"/>
  <c r="AE66" i="25"/>
  <c r="AE50" i="25"/>
  <c r="AE97" i="25"/>
  <c r="AE79" i="25"/>
  <c r="AE123" i="25"/>
  <c r="AE110" i="25"/>
  <c r="AE101" i="25"/>
  <c r="AE93" i="25"/>
  <c r="AE75" i="25"/>
  <c r="AE58" i="25"/>
  <c r="AE42" i="25"/>
  <c r="AE111" i="25"/>
  <c r="AE88" i="25"/>
  <c r="AE138" i="25"/>
  <c r="AE117" i="25"/>
  <c r="AE104" i="25"/>
  <c r="AE95" i="25"/>
  <c r="AE86" i="25"/>
  <c r="AE77" i="25"/>
  <c r="AE69" i="25"/>
  <c r="AE60" i="25"/>
  <c r="AE52" i="25"/>
  <c r="AE44" i="25"/>
  <c r="AE119" i="25"/>
  <c r="AE106" i="25"/>
  <c r="AE71" i="25"/>
  <c r="AE62" i="25"/>
  <c r="AE54" i="25"/>
  <c r="AE46" i="25"/>
  <c r="AE38" i="25"/>
  <c r="AD124" i="25"/>
  <c r="AX24" i="25"/>
  <c r="AX23" i="25"/>
  <c r="AX8" i="25"/>
  <c r="BN35" i="25"/>
  <c r="BO35" i="25" s="1"/>
  <c r="BO30" i="25"/>
  <c r="BO29" i="25"/>
  <c r="BU18" i="25"/>
  <c r="BZ18" i="25" s="1"/>
  <c r="BG33" i="25"/>
  <c r="BH33" i="25" s="1"/>
  <c r="BH24" i="25"/>
  <c r="BH23" i="25"/>
  <c r="BH8" i="25"/>
  <c r="BO26" i="25"/>
  <c r="BO27" i="25"/>
  <c r="AK137" i="25"/>
  <c r="AK36" i="25"/>
  <c r="AX34" i="25"/>
  <c r="AV4" i="25"/>
  <c r="AR134" i="25"/>
  <c r="AR130" i="25"/>
  <c r="AR126" i="25"/>
  <c r="AR111" i="25"/>
  <c r="AR22" i="25"/>
  <c r="AR133" i="25"/>
  <c r="AR129" i="25"/>
  <c r="AR125" i="25"/>
  <c r="AR123" i="25"/>
  <c r="AR121" i="25"/>
  <c r="AR119" i="25"/>
  <c r="AR117" i="25"/>
  <c r="AR106" i="25"/>
  <c r="AR104" i="25"/>
  <c r="AR101" i="25"/>
  <c r="AR99" i="25"/>
  <c r="AR97" i="25"/>
  <c r="AR95" i="25"/>
  <c r="AR93" i="25"/>
  <c r="AR90" i="25"/>
  <c r="AR88" i="25"/>
  <c r="AR86" i="25"/>
  <c r="AR84" i="25"/>
  <c r="AR81" i="25"/>
  <c r="AR79" i="25"/>
  <c r="AR77" i="25"/>
  <c r="AR75" i="25"/>
  <c r="AR73" i="25"/>
  <c r="AR71" i="25"/>
  <c r="AR69" i="25"/>
  <c r="AR66" i="25"/>
  <c r="AR64" i="25"/>
  <c r="AR62" i="25"/>
  <c r="AR60" i="25"/>
  <c r="AR58" i="25"/>
  <c r="AR56" i="25"/>
  <c r="AR54" i="25"/>
  <c r="AR52" i="25"/>
  <c r="AR50" i="25"/>
  <c r="AR48" i="25"/>
  <c r="AR46" i="25"/>
  <c r="AR44" i="25"/>
  <c r="AR42" i="25"/>
  <c r="AR40" i="25"/>
  <c r="AR38" i="25"/>
  <c r="AR19" i="25"/>
  <c r="AR13" i="25"/>
  <c r="AR138" i="25"/>
  <c r="AR132" i="25"/>
  <c r="AR128" i="25"/>
  <c r="AR110" i="25"/>
  <c r="AR18" i="25"/>
  <c r="AR12" i="25"/>
  <c r="AR7" i="25"/>
  <c r="AR127" i="25"/>
  <c r="AR118" i="25"/>
  <c r="AR105" i="25"/>
  <c r="AR96" i="25"/>
  <c r="AR87" i="25"/>
  <c r="AR78" i="25"/>
  <c r="AR70" i="25"/>
  <c r="AR61" i="25"/>
  <c r="AR53" i="25"/>
  <c r="AR45" i="25"/>
  <c r="AR15" i="25"/>
  <c r="AR6" i="25"/>
  <c r="AR120" i="25"/>
  <c r="AR89" i="25"/>
  <c r="AR55" i="25"/>
  <c r="AR39" i="25"/>
  <c r="AR116" i="25"/>
  <c r="AR102" i="25"/>
  <c r="AR94" i="25"/>
  <c r="AR85" i="25"/>
  <c r="AR76" i="25"/>
  <c r="AR68" i="25"/>
  <c r="AR59" i="25"/>
  <c r="AR51" i="25"/>
  <c r="AR43" i="25"/>
  <c r="AR11" i="25"/>
  <c r="AR98" i="25"/>
  <c r="AR72" i="25"/>
  <c r="AR47" i="25"/>
  <c r="AR122" i="25"/>
  <c r="AR100" i="25"/>
  <c r="AR91" i="25"/>
  <c r="AR83" i="25"/>
  <c r="AR74" i="25"/>
  <c r="AR65" i="25"/>
  <c r="AR57" i="25"/>
  <c r="AR49" i="25"/>
  <c r="AR41" i="25"/>
  <c r="AR10" i="25"/>
  <c r="AR4" i="25"/>
  <c r="AR131" i="25"/>
  <c r="AR80" i="25"/>
  <c r="AR63" i="25"/>
  <c r="AR16" i="25"/>
  <c r="BG4" i="25"/>
  <c r="AJ114" i="25"/>
  <c r="AK114" i="25" s="1"/>
  <c r="BU125" i="25"/>
  <c r="CE127" i="25"/>
  <c r="CE125" i="25" s="1"/>
  <c r="BN22" i="25"/>
  <c r="CL128" i="25"/>
  <c r="CS128" i="25" s="1"/>
  <c r="CX128" i="25" s="1"/>
  <c r="CL129" i="25"/>
  <c r="CS129" i="25" s="1"/>
  <c r="CX129" i="25" s="1"/>
  <c r="CL133" i="25"/>
  <c r="CS133" i="25" s="1"/>
  <c r="CX133" i="25" s="1"/>
  <c r="CL126" i="25"/>
  <c r="CL132" i="25"/>
  <c r="CS132" i="25" s="1"/>
  <c r="CX132" i="25" s="1"/>
  <c r="CL130" i="25"/>
  <c r="CS130" i="25" s="1"/>
  <c r="CX130" i="25" s="1"/>
  <c r="CL134" i="25"/>
  <c r="CS134" i="25" s="1"/>
  <c r="CX134" i="25" s="1"/>
  <c r="CL131" i="25"/>
  <c r="CS131" i="25" s="1"/>
  <c r="CX131" i="25" s="1"/>
  <c r="CL120" i="25"/>
  <c r="CS120" i="25" s="1"/>
  <c r="CX120" i="25" s="1"/>
  <c r="CL118" i="25"/>
  <c r="CS118" i="25" s="1"/>
  <c r="CX118" i="25" s="1"/>
  <c r="CL121" i="25"/>
  <c r="CS121" i="25" s="1"/>
  <c r="CX121" i="25" s="1"/>
  <c r="CL123" i="25"/>
  <c r="CS123" i="25" s="1"/>
  <c r="CX123" i="25" s="1"/>
  <c r="CL117" i="25"/>
  <c r="CE116" i="25"/>
  <c r="CL122" i="25"/>
  <c r="CS122" i="25" s="1"/>
  <c r="CX122" i="25" s="1"/>
  <c r="CL119" i="25"/>
  <c r="CS119" i="25" s="1"/>
  <c r="CX119" i="25" s="1"/>
  <c r="CL105" i="25"/>
  <c r="BN104" i="25"/>
  <c r="BU106" i="25"/>
  <c r="BZ106" i="25" s="1"/>
  <c r="CL100" i="25"/>
  <c r="CS100" i="25" s="1"/>
  <c r="CX100" i="25" s="1"/>
  <c r="CL96" i="25"/>
  <c r="CS96" i="25" s="1"/>
  <c r="CX96" i="25" s="1"/>
  <c r="BN93" i="25"/>
  <c r="BU94" i="25"/>
  <c r="BZ94" i="25" s="1"/>
  <c r="CL95" i="25"/>
  <c r="CS95" i="25" s="1"/>
  <c r="CX95" i="25" s="1"/>
  <c r="CL98" i="25"/>
  <c r="CS98" i="25" s="1"/>
  <c r="CX98" i="25" s="1"/>
  <c r="CL101" i="25"/>
  <c r="CS101" i="25" s="1"/>
  <c r="CX101" i="25" s="1"/>
  <c r="CL97" i="25"/>
  <c r="CS97" i="25" s="1"/>
  <c r="CX97" i="25" s="1"/>
  <c r="CL99" i="25"/>
  <c r="CS99" i="25" s="1"/>
  <c r="CX99" i="25" s="1"/>
  <c r="CL102" i="25"/>
  <c r="CS102" i="25" s="1"/>
  <c r="CX102" i="25" s="1"/>
  <c r="BN83" i="25"/>
  <c r="BU84" i="25"/>
  <c r="BZ84" i="25" s="1"/>
  <c r="CL85" i="25"/>
  <c r="CS85" i="25" s="1"/>
  <c r="CX85" i="25" s="1"/>
  <c r="CL74" i="25"/>
  <c r="CS74" i="25" s="1"/>
  <c r="CX74" i="25" s="1"/>
  <c r="CL80" i="25"/>
  <c r="CS80" i="25" s="1"/>
  <c r="CX80" i="25" s="1"/>
  <c r="CL75" i="25"/>
  <c r="CS75" i="25" s="1"/>
  <c r="CX75" i="25" s="1"/>
  <c r="CL76" i="25"/>
  <c r="CS76" i="25" s="1"/>
  <c r="CX76" i="25" s="1"/>
  <c r="CL73" i="25"/>
  <c r="CS73" i="25" s="1"/>
  <c r="CX73" i="25" s="1"/>
  <c r="CL72" i="25"/>
  <c r="CS72" i="25" s="1"/>
  <c r="CX72" i="25" s="1"/>
  <c r="CL71" i="25"/>
  <c r="CS71" i="25" s="1"/>
  <c r="CX71" i="25" s="1"/>
  <c r="CE68" i="25"/>
  <c r="CL69" i="25"/>
  <c r="CL81" i="25"/>
  <c r="CS81" i="25" s="1"/>
  <c r="CX81" i="25" s="1"/>
  <c r="CL78" i="25"/>
  <c r="CS78" i="25" s="1"/>
  <c r="CX78" i="25" s="1"/>
  <c r="CL70" i="25"/>
  <c r="CS70" i="25" s="1"/>
  <c r="CX70" i="25" s="1"/>
  <c r="CL77" i="25"/>
  <c r="CS77" i="25" s="1"/>
  <c r="CX77" i="25" s="1"/>
  <c r="CL79" i="25"/>
  <c r="CS79" i="25" s="1"/>
  <c r="CX79" i="25" s="1"/>
  <c r="CL43" i="25"/>
  <c r="CS43" i="25" s="1"/>
  <c r="CX43" i="25" s="1"/>
  <c r="CL46" i="25"/>
  <c r="CS46" i="25" s="1"/>
  <c r="CX46" i="25" s="1"/>
  <c r="CL56" i="25"/>
  <c r="CS56" i="25" s="1"/>
  <c r="CX56" i="25" s="1"/>
  <c r="CL62" i="25"/>
  <c r="CS62" i="25" s="1"/>
  <c r="CX62" i="25" s="1"/>
  <c r="CL45" i="25"/>
  <c r="CS45" i="25" s="1"/>
  <c r="CX45" i="25" s="1"/>
  <c r="CL41" i="25"/>
  <c r="CS41" i="25" s="1"/>
  <c r="CX41" i="25" s="1"/>
  <c r="CL52" i="25"/>
  <c r="CS52" i="25" s="1"/>
  <c r="CX52" i="25" s="1"/>
  <c r="CL49" i="25"/>
  <c r="CS49" i="25" s="1"/>
  <c r="CX49" i="25" s="1"/>
  <c r="CL65" i="25"/>
  <c r="CS65" i="25" s="1"/>
  <c r="CX65" i="25" s="1"/>
  <c r="CL66" i="25"/>
  <c r="CS66" i="25" s="1"/>
  <c r="CX66" i="25" s="1"/>
  <c r="CL44" i="25"/>
  <c r="CS44" i="25" s="1"/>
  <c r="CX44" i="25" s="1"/>
  <c r="CL61" i="25"/>
  <c r="CS61" i="25" s="1"/>
  <c r="CX61" i="25" s="1"/>
  <c r="CL50" i="25"/>
  <c r="CS50" i="25" s="1"/>
  <c r="CX50" i="25" s="1"/>
  <c r="BG38" i="25"/>
  <c r="BN39" i="25"/>
  <c r="BU42" i="25"/>
  <c r="BZ42" i="25" s="1"/>
  <c r="CL40" i="25"/>
  <c r="CL58" i="25"/>
  <c r="CS58" i="25" s="1"/>
  <c r="CX58" i="25" s="1"/>
  <c r="CL47" i="25"/>
  <c r="CS47" i="25" s="1"/>
  <c r="CX47" i="25" s="1"/>
  <c r="CL48" i="25"/>
  <c r="CS48" i="25" s="1"/>
  <c r="CX48" i="25" s="1"/>
  <c r="CL57" i="25"/>
  <c r="CS57" i="25" s="1"/>
  <c r="CX57" i="25" s="1"/>
  <c r="CL53" i="25"/>
  <c r="CS53" i="25" s="1"/>
  <c r="CX53" i="25" s="1"/>
  <c r="CL59" i="25"/>
  <c r="CS59" i="25" s="1"/>
  <c r="CX59" i="25" s="1"/>
  <c r="CL54" i="25"/>
  <c r="CS54" i="25" s="1"/>
  <c r="CX54" i="25" s="1"/>
  <c r="CL60" i="25"/>
  <c r="CS60" i="25" s="1"/>
  <c r="CX60" i="25" s="1"/>
  <c r="CL55" i="25"/>
  <c r="CS55" i="25" s="1"/>
  <c r="CX55" i="25" s="1"/>
  <c r="CL51" i="25"/>
  <c r="CS51" i="25" s="1"/>
  <c r="CX51" i="25" s="1"/>
  <c r="CL63" i="25"/>
  <c r="CS63" i="25" s="1"/>
  <c r="CX63" i="25" s="1"/>
  <c r="CL64" i="25"/>
  <c r="CS64" i="25" s="1"/>
  <c r="CX64" i="25" s="1"/>
  <c r="BU26" i="25"/>
  <c r="BZ26" i="25" s="1"/>
  <c r="CE27" i="25"/>
  <c r="CE29" i="25"/>
  <c r="CL30" i="25"/>
  <c r="BU23" i="25"/>
  <c r="G120" i="20" s="1"/>
  <c r="CE24" i="25"/>
  <c r="BN34" i="25"/>
  <c r="BO34" i="25" s="1"/>
  <c r="BU6" i="25"/>
  <c r="CE11" i="25"/>
  <c r="BU10" i="25"/>
  <c r="BU15" i="25"/>
  <c r="CE16" i="25"/>
  <c r="AW33" i="25"/>
  <c r="BB33" i="25" s="1"/>
  <c r="AW4" i="25"/>
  <c r="AC112" i="25"/>
  <c r="AD112" i="25" s="1"/>
  <c r="S137" i="25"/>
  <c r="E463" i="29" s="1"/>
  <c r="E462" i="29" s="1"/>
  <c r="E464" i="29" s="1"/>
  <c r="E465" i="29" s="1"/>
  <c r="E466" i="29" s="1"/>
  <c r="CL19" i="25" l="1"/>
  <c r="BZ6" i="25"/>
  <c r="BU5" i="25"/>
  <c r="BZ5" i="25" s="1"/>
  <c r="AX14" i="25"/>
  <c r="AX5" i="25"/>
  <c r="E135" i="20"/>
  <c r="E134" i="20"/>
  <c r="BH14" i="25"/>
  <c r="BH5" i="25"/>
  <c r="AS111" i="25"/>
  <c r="AS98" i="25"/>
  <c r="C118" i="20"/>
  <c r="AR124" i="25"/>
  <c r="AS54" i="25"/>
  <c r="AS87" i="25"/>
  <c r="AS53" i="25"/>
  <c r="AS123" i="25"/>
  <c r="AS63" i="25"/>
  <c r="AS105" i="25"/>
  <c r="AS70" i="25"/>
  <c r="AS38" i="25"/>
  <c r="AV124" i="25"/>
  <c r="AS62" i="25"/>
  <c r="AR36" i="25"/>
  <c r="AS47" i="25"/>
  <c r="AS80" i="25"/>
  <c r="AS124" i="25"/>
  <c r="AS79" i="25"/>
  <c r="AS88" i="25"/>
  <c r="AS39" i="25"/>
  <c r="AS55" i="25"/>
  <c r="AS72" i="25"/>
  <c r="AS89" i="25"/>
  <c r="AS116" i="25"/>
  <c r="AS46" i="25"/>
  <c r="AS64" i="25"/>
  <c r="AS97" i="25"/>
  <c r="AS45" i="25"/>
  <c r="AS61" i="25"/>
  <c r="AS78" i="25"/>
  <c r="AS96" i="25"/>
  <c r="AS122" i="25"/>
  <c r="AS48" i="25"/>
  <c r="AS71" i="25"/>
  <c r="AS99" i="25"/>
  <c r="AS81" i="25"/>
  <c r="AS106" i="25"/>
  <c r="F112" i="20"/>
  <c r="AS40" i="25"/>
  <c r="AS56" i="25"/>
  <c r="AS73" i="25"/>
  <c r="AS90" i="25"/>
  <c r="AS117" i="25"/>
  <c r="BZ125" i="25"/>
  <c r="G114" i="20"/>
  <c r="AS41" i="25"/>
  <c r="AS49" i="25"/>
  <c r="AS57" i="25"/>
  <c r="AS65" i="25"/>
  <c r="AS74" i="25"/>
  <c r="AS83" i="25"/>
  <c r="AS91" i="25"/>
  <c r="AS100" i="25"/>
  <c r="AS118" i="25"/>
  <c r="AS110" i="25"/>
  <c r="AS42" i="25"/>
  <c r="AS50" i="25"/>
  <c r="AS58" i="25"/>
  <c r="AS66" i="25"/>
  <c r="AS75" i="25"/>
  <c r="AS84" i="25"/>
  <c r="AS93" i="25"/>
  <c r="AS101" i="25"/>
  <c r="AS119" i="25"/>
  <c r="AS43" i="25"/>
  <c r="AS51" i="25"/>
  <c r="AS59" i="25"/>
  <c r="AS68" i="25"/>
  <c r="AS76" i="25"/>
  <c r="AS85" i="25"/>
  <c r="AS94" i="25"/>
  <c r="AS102" i="25"/>
  <c r="AS120" i="25"/>
  <c r="AS138" i="25"/>
  <c r="AS44" i="25"/>
  <c r="AS52" i="25"/>
  <c r="AS60" i="25"/>
  <c r="AS69" i="25"/>
  <c r="AS77" i="25"/>
  <c r="AS86" i="25"/>
  <c r="AS95" i="25"/>
  <c r="AS104" i="25"/>
  <c r="AQ114" i="25"/>
  <c r="AQ113" i="25"/>
  <c r="AQ109" i="25"/>
  <c r="AV109" i="25" s="1"/>
  <c r="E123" i="20"/>
  <c r="X137" i="25"/>
  <c r="T137" i="25"/>
  <c r="F108" i="20"/>
  <c r="BZ15" i="25"/>
  <c r="BV30" i="25"/>
  <c r="BV29" i="25"/>
  <c r="BB4" i="25"/>
  <c r="AX138" i="25"/>
  <c r="AX132" i="25"/>
  <c r="AX128" i="25"/>
  <c r="AX110" i="25"/>
  <c r="AX18" i="25"/>
  <c r="AX12" i="25"/>
  <c r="AX7" i="25"/>
  <c r="AX131" i="25"/>
  <c r="AX127" i="25"/>
  <c r="AX122" i="25"/>
  <c r="AX120" i="25"/>
  <c r="AX118" i="25"/>
  <c r="AX116" i="25"/>
  <c r="AX105" i="25"/>
  <c r="AX102" i="25"/>
  <c r="AX100" i="25"/>
  <c r="AX98" i="25"/>
  <c r="AX96" i="25"/>
  <c r="AX94" i="25"/>
  <c r="AX91" i="25"/>
  <c r="AX89" i="25"/>
  <c r="AX87" i="25"/>
  <c r="AX85" i="25"/>
  <c r="AX83" i="25"/>
  <c r="AX80" i="25"/>
  <c r="AX78" i="25"/>
  <c r="AX76" i="25"/>
  <c r="AX74" i="25"/>
  <c r="AX72" i="25"/>
  <c r="AX70" i="25"/>
  <c r="AX68" i="25"/>
  <c r="AX65" i="25"/>
  <c r="AX63" i="25"/>
  <c r="AX61" i="25"/>
  <c r="AX59" i="25"/>
  <c r="AX57" i="25"/>
  <c r="AX55" i="25"/>
  <c r="AX53" i="25"/>
  <c r="AX51" i="25"/>
  <c r="AX49" i="25"/>
  <c r="AX47" i="25"/>
  <c r="AX45" i="25"/>
  <c r="AX43" i="25"/>
  <c r="AX41" i="25"/>
  <c r="AX39" i="25"/>
  <c r="AX16" i="25"/>
  <c r="AX11" i="25"/>
  <c r="AX6" i="25"/>
  <c r="AX134" i="25"/>
  <c r="AX130" i="25"/>
  <c r="AX126" i="25"/>
  <c r="AX111" i="25"/>
  <c r="AX22" i="25"/>
  <c r="AX15" i="25"/>
  <c r="AX10" i="25"/>
  <c r="AX125" i="25"/>
  <c r="AX117" i="25"/>
  <c r="AX104" i="25"/>
  <c r="AX95" i="25"/>
  <c r="AX86" i="25"/>
  <c r="AX77" i="25"/>
  <c r="AX69" i="25"/>
  <c r="AX60" i="25"/>
  <c r="AX52" i="25"/>
  <c r="AX44" i="25"/>
  <c r="AX119" i="25"/>
  <c r="AX97" i="25"/>
  <c r="AX71" i="25"/>
  <c r="AX54" i="25"/>
  <c r="AX123" i="25"/>
  <c r="AX101" i="25"/>
  <c r="AX93" i="25"/>
  <c r="AX84" i="25"/>
  <c r="AX75" i="25"/>
  <c r="AX66" i="25"/>
  <c r="AX58" i="25"/>
  <c r="AX50" i="25"/>
  <c r="AX42" i="25"/>
  <c r="AX4" i="25"/>
  <c r="AX106" i="25"/>
  <c r="AX88" i="25"/>
  <c r="AX62" i="25"/>
  <c r="AX13" i="25"/>
  <c r="AX133" i="25"/>
  <c r="AX121" i="25"/>
  <c r="AX99" i="25"/>
  <c r="AX90" i="25"/>
  <c r="AX81" i="25"/>
  <c r="AX73" i="25"/>
  <c r="AX64" i="25"/>
  <c r="AX56" i="25"/>
  <c r="AX48" i="25"/>
  <c r="AX40" i="25"/>
  <c r="AX19" i="25"/>
  <c r="AX129" i="25"/>
  <c r="AX79" i="25"/>
  <c r="AX46" i="25"/>
  <c r="BZ10" i="25"/>
  <c r="BV27" i="25"/>
  <c r="BV26" i="25"/>
  <c r="BZ23" i="25"/>
  <c r="BH133" i="25"/>
  <c r="BH129" i="25"/>
  <c r="BH125" i="25"/>
  <c r="BH123" i="25"/>
  <c r="BH121" i="25"/>
  <c r="BH119" i="25"/>
  <c r="BH117" i="25"/>
  <c r="BH106" i="25"/>
  <c r="BH104" i="25"/>
  <c r="BH101" i="25"/>
  <c r="BH138" i="25"/>
  <c r="BH132" i="25"/>
  <c r="BH128" i="25"/>
  <c r="BH110" i="25"/>
  <c r="BH131" i="25"/>
  <c r="BH127" i="25"/>
  <c r="BH122" i="25"/>
  <c r="BH120" i="25"/>
  <c r="BH118" i="25"/>
  <c r="BH116" i="25"/>
  <c r="BH105" i="25"/>
  <c r="BH102" i="25"/>
  <c r="BH100" i="25"/>
  <c r="BH98" i="25"/>
  <c r="BH96" i="25"/>
  <c r="BH94" i="25"/>
  <c r="BH91" i="25"/>
  <c r="BH89" i="25"/>
  <c r="BH87" i="25"/>
  <c r="BH126" i="25"/>
  <c r="BH97" i="25"/>
  <c r="BH88" i="25"/>
  <c r="BH18" i="25"/>
  <c r="BH12" i="25"/>
  <c r="BH7" i="25"/>
  <c r="BH99" i="25"/>
  <c r="BH90" i="25"/>
  <c r="BH85" i="25"/>
  <c r="BH83" i="25"/>
  <c r="BH80" i="25"/>
  <c r="BH78" i="25"/>
  <c r="BH76" i="25"/>
  <c r="BH74" i="25"/>
  <c r="BH72" i="25"/>
  <c r="BH70" i="25"/>
  <c r="BH68" i="25"/>
  <c r="BH65" i="25"/>
  <c r="BH63" i="25"/>
  <c r="BH61" i="25"/>
  <c r="BH59" i="25"/>
  <c r="BH57" i="25"/>
  <c r="BH55" i="25"/>
  <c r="BH53" i="25"/>
  <c r="BH51" i="25"/>
  <c r="BH49" i="25"/>
  <c r="BH47" i="25"/>
  <c r="BH45" i="25"/>
  <c r="BH43" i="25"/>
  <c r="BH41" i="25"/>
  <c r="BH39" i="25"/>
  <c r="BH16" i="25"/>
  <c r="BH11" i="25"/>
  <c r="BH6" i="25"/>
  <c r="BH134" i="25"/>
  <c r="BH111" i="25"/>
  <c r="BH93" i="25"/>
  <c r="BH22" i="25"/>
  <c r="BH15" i="25"/>
  <c r="BH10" i="25"/>
  <c r="BH79" i="25"/>
  <c r="BH71" i="25"/>
  <c r="BH62" i="25"/>
  <c r="BH54" i="25"/>
  <c r="BH46" i="25"/>
  <c r="BH38" i="25"/>
  <c r="BH13" i="25"/>
  <c r="BH81" i="25"/>
  <c r="BH73" i="25"/>
  <c r="BH64" i="25"/>
  <c r="BH48" i="25"/>
  <c r="BH40" i="25"/>
  <c r="BH19" i="25"/>
  <c r="BH130" i="25"/>
  <c r="BH86" i="25"/>
  <c r="BH77" i="25"/>
  <c r="BH69" i="25"/>
  <c r="BH60" i="25"/>
  <c r="BH52" i="25"/>
  <c r="BH44" i="25"/>
  <c r="BH56" i="25"/>
  <c r="BH95" i="25"/>
  <c r="BH84" i="25"/>
  <c r="BH75" i="25"/>
  <c r="BH66" i="25"/>
  <c r="BH58" i="25"/>
  <c r="BH50" i="25"/>
  <c r="BH42" i="25"/>
  <c r="BH4" i="25"/>
  <c r="BO8" i="25"/>
  <c r="BO24" i="25"/>
  <c r="BO23" i="25"/>
  <c r="AX33" i="25"/>
  <c r="BG36" i="25"/>
  <c r="BG109" i="25" s="1"/>
  <c r="BH109" i="25" s="1"/>
  <c r="BN33" i="25"/>
  <c r="BO33" i="25" s="1"/>
  <c r="B139" i="20"/>
  <c r="B140" i="20" s="1"/>
  <c r="E130" i="20"/>
  <c r="E110" i="20"/>
  <c r="E113" i="20" s="1"/>
  <c r="CL127" i="25"/>
  <c r="CS127" i="25" s="1"/>
  <c r="CX127" i="25" s="1"/>
  <c r="BN4" i="25"/>
  <c r="CS126" i="25"/>
  <c r="CX126" i="25" s="1"/>
  <c r="CS117" i="25"/>
  <c r="CX117" i="25" s="1"/>
  <c r="CL116" i="25"/>
  <c r="CS105" i="25"/>
  <c r="CX105" i="25" s="1"/>
  <c r="BN38" i="25"/>
  <c r="BN124" i="25" s="1"/>
  <c r="CE106" i="25"/>
  <c r="BU104" i="25"/>
  <c r="BZ104" i="25" s="1"/>
  <c r="CE94" i="25"/>
  <c r="BU93" i="25"/>
  <c r="BZ93" i="25" s="1"/>
  <c r="CE84" i="25"/>
  <c r="BU83" i="25"/>
  <c r="BZ83" i="25" s="1"/>
  <c r="CS69" i="25"/>
  <c r="CX69" i="25" s="1"/>
  <c r="CL68" i="25"/>
  <c r="BG124" i="25"/>
  <c r="CE42" i="25"/>
  <c r="BU39" i="25"/>
  <c r="BZ39" i="25" s="1"/>
  <c r="CS40" i="25"/>
  <c r="CX40" i="25" s="1"/>
  <c r="CL24" i="25"/>
  <c r="CE23" i="25"/>
  <c r="CL27" i="25"/>
  <c r="CE26" i="25"/>
  <c r="CL29" i="25"/>
  <c r="CS30" i="25"/>
  <c r="CX30" i="25" s="1"/>
  <c r="BU22" i="25"/>
  <c r="BU35" i="25"/>
  <c r="BZ35" i="25" s="1"/>
  <c r="CE6" i="25"/>
  <c r="CE5" i="25" s="1"/>
  <c r="CE15" i="25"/>
  <c r="CL16" i="25"/>
  <c r="CL11" i="25"/>
  <c r="CE10" i="25"/>
  <c r="CS19" i="25"/>
  <c r="CX19" i="25" s="1"/>
  <c r="CL18" i="25"/>
  <c r="BU34" i="25"/>
  <c r="BZ34" i="25" s="1"/>
  <c r="AW36" i="25"/>
  <c r="BB36" i="25" s="1"/>
  <c r="AC137" i="25"/>
  <c r="AD137" i="25" s="1"/>
  <c r="AW38" i="25"/>
  <c r="BB38" i="25" s="1"/>
  <c r="B99" i="20"/>
  <c r="B119" i="20" s="1"/>
  <c r="S139" i="25"/>
  <c r="BO14" i="25" l="1"/>
  <c r="BO5" i="25"/>
  <c r="E115" i="20"/>
  <c r="E117" i="20" s="1"/>
  <c r="F113" i="20"/>
  <c r="H114" i="20"/>
  <c r="AV114" i="25"/>
  <c r="AR114" i="25"/>
  <c r="AQ112" i="25"/>
  <c r="AR109" i="25"/>
  <c r="AV113" i="25"/>
  <c r="AR113" i="25"/>
  <c r="BZ22" i="25"/>
  <c r="G109" i="20"/>
  <c r="C104" i="20"/>
  <c r="X139" i="25"/>
  <c r="T139" i="25"/>
  <c r="E111" i="20"/>
  <c r="F110" i="20"/>
  <c r="BH36" i="25"/>
  <c r="CF27" i="25"/>
  <c r="CF26" i="25"/>
  <c r="BV24" i="25"/>
  <c r="BV23" i="25"/>
  <c r="BV8" i="25"/>
  <c r="BO138" i="25"/>
  <c r="BO132" i="25"/>
  <c r="BO128" i="25"/>
  <c r="BO110" i="25"/>
  <c r="BO133" i="25"/>
  <c r="BO127" i="25"/>
  <c r="BO121" i="25"/>
  <c r="BO118" i="25"/>
  <c r="BO105" i="25"/>
  <c r="BO99" i="25"/>
  <c r="BO96" i="25"/>
  <c r="BO90" i="25"/>
  <c r="BO87" i="25"/>
  <c r="BO81" i="25"/>
  <c r="BO79" i="25"/>
  <c r="BO77" i="25"/>
  <c r="BO75" i="25"/>
  <c r="BO73" i="25"/>
  <c r="BO71" i="25"/>
  <c r="BO69" i="25"/>
  <c r="BO66" i="25"/>
  <c r="BO64" i="25"/>
  <c r="BO62" i="25"/>
  <c r="BO60" i="25"/>
  <c r="BO58" i="25"/>
  <c r="BO56" i="25"/>
  <c r="BO54" i="25"/>
  <c r="BO52" i="25"/>
  <c r="BO50" i="25"/>
  <c r="BO48" i="25"/>
  <c r="BO46" i="25"/>
  <c r="BO44" i="25"/>
  <c r="BO42" i="25"/>
  <c r="BO40" i="25"/>
  <c r="BO38" i="25"/>
  <c r="BO19" i="25"/>
  <c r="BO13" i="25"/>
  <c r="BO4" i="25"/>
  <c r="BO131" i="25"/>
  <c r="BO126" i="25"/>
  <c r="BO123" i="25"/>
  <c r="BO120" i="25"/>
  <c r="BO101" i="25"/>
  <c r="BO98" i="25"/>
  <c r="BO93" i="25"/>
  <c r="BO89" i="25"/>
  <c r="BO84" i="25"/>
  <c r="BO18" i="25"/>
  <c r="BO12" i="25"/>
  <c r="BO7" i="25"/>
  <c r="BO130" i="25"/>
  <c r="BO125" i="25"/>
  <c r="BO122" i="25"/>
  <c r="BO117" i="25"/>
  <c r="BO104" i="25"/>
  <c r="BO100" i="25"/>
  <c r="BO95" i="25"/>
  <c r="BO91" i="25"/>
  <c r="BO86" i="25"/>
  <c r="BO83" i="25"/>
  <c r="BO80" i="25"/>
  <c r="BO78" i="25"/>
  <c r="BO76" i="25"/>
  <c r="BO74" i="25"/>
  <c r="BO72" i="25"/>
  <c r="BO70" i="25"/>
  <c r="BO68" i="25"/>
  <c r="BO65" i="25"/>
  <c r="BO63" i="25"/>
  <c r="BO61" i="25"/>
  <c r="BO59" i="25"/>
  <c r="BO57" i="25"/>
  <c r="BO55" i="25"/>
  <c r="BO53" i="25"/>
  <c r="BO51" i="25"/>
  <c r="BO49" i="25"/>
  <c r="BO47" i="25"/>
  <c r="BO45" i="25"/>
  <c r="BO43" i="25"/>
  <c r="BO41" i="25"/>
  <c r="BO39" i="25"/>
  <c r="BO16" i="25"/>
  <c r="BO11" i="25"/>
  <c r="BO6" i="25"/>
  <c r="BO134" i="25"/>
  <c r="BO119" i="25"/>
  <c r="BO102" i="25"/>
  <c r="BO15" i="25"/>
  <c r="BO129" i="25"/>
  <c r="BO116" i="25"/>
  <c r="BO88" i="25"/>
  <c r="BO10" i="25"/>
  <c r="BO124" i="25"/>
  <c r="BO111" i="25"/>
  <c r="BO97" i="25"/>
  <c r="BO85" i="25"/>
  <c r="BO94" i="25"/>
  <c r="BO106" i="25"/>
  <c r="BO22" i="25"/>
  <c r="BV34" i="25"/>
  <c r="AX38" i="25"/>
  <c r="AX36" i="25"/>
  <c r="BV35" i="25"/>
  <c r="BI138" i="25"/>
  <c r="BI110" i="25"/>
  <c r="BI124" i="25"/>
  <c r="BI122" i="25"/>
  <c r="BI120" i="25"/>
  <c r="BI118" i="25"/>
  <c r="BI116" i="25"/>
  <c r="BI105" i="25"/>
  <c r="BI111" i="25"/>
  <c r="BI117" i="25"/>
  <c r="BI104" i="25"/>
  <c r="BI99" i="25"/>
  <c r="BI94" i="25"/>
  <c r="BI90" i="25"/>
  <c r="BI85" i="25"/>
  <c r="BI83" i="25"/>
  <c r="BI80" i="25"/>
  <c r="BI78" i="25"/>
  <c r="BI76" i="25"/>
  <c r="BI74" i="25"/>
  <c r="BI72" i="25"/>
  <c r="BI70" i="25"/>
  <c r="BI68" i="25"/>
  <c r="BI65" i="25"/>
  <c r="BI63" i="25"/>
  <c r="BI61" i="25"/>
  <c r="BI59" i="25"/>
  <c r="BI57" i="25"/>
  <c r="BI55" i="25"/>
  <c r="BI53" i="25"/>
  <c r="BI51" i="25"/>
  <c r="BI49" i="25"/>
  <c r="BI47" i="25"/>
  <c r="BI45" i="25"/>
  <c r="BI43" i="25"/>
  <c r="BI41" i="25"/>
  <c r="BI39" i="25"/>
  <c r="BI123" i="25"/>
  <c r="BI102" i="25"/>
  <c r="BI96" i="25"/>
  <c r="BI93" i="25"/>
  <c r="BI87" i="25"/>
  <c r="BI121" i="25"/>
  <c r="BI101" i="25"/>
  <c r="BI98" i="25"/>
  <c r="BI95" i="25"/>
  <c r="BI89" i="25"/>
  <c r="BI86" i="25"/>
  <c r="BI84" i="25"/>
  <c r="BI81" i="25"/>
  <c r="BI79" i="25"/>
  <c r="BI77" i="25"/>
  <c r="BI75" i="25"/>
  <c r="BI73" i="25"/>
  <c r="BI71" i="25"/>
  <c r="BI69" i="25"/>
  <c r="BI66" i="25"/>
  <c r="BI64" i="25"/>
  <c r="BI62" i="25"/>
  <c r="BI60" i="25"/>
  <c r="BI58" i="25"/>
  <c r="BI56" i="25"/>
  <c r="BI54" i="25"/>
  <c r="BI52" i="25"/>
  <c r="BI50" i="25"/>
  <c r="BI48" i="25"/>
  <c r="BI46" i="25"/>
  <c r="BI44" i="25"/>
  <c r="BI42" i="25"/>
  <c r="BI40" i="25"/>
  <c r="BI38" i="25"/>
  <c r="BI100" i="25"/>
  <c r="BI88" i="25"/>
  <c r="BI106" i="25"/>
  <c r="BI91" i="25"/>
  <c r="BI97" i="25"/>
  <c r="BI119" i="25"/>
  <c r="BH124" i="25"/>
  <c r="CF30" i="25"/>
  <c r="CF29" i="25"/>
  <c r="BP124" i="25"/>
  <c r="BP122" i="25"/>
  <c r="BP120" i="25"/>
  <c r="BP118" i="25"/>
  <c r="BP116" i="25"/>
  <c r="BP105" i="25"/>
  <c r="BP102" i="25"/>
  <c r="BP100" i="25"/>
  <c r="BP98" i="25"/>
  <c r="BP96" i="25"/>
  <c r="BP94" i="25"/>
  <c r="BP91" i="25"/>
  <c r="BP89" i="25"/>
  <c r="BP87" i="25"/>
  <c r="BP85" i="25"/>
  <c r="BP83" i="25"/>
  <c r="BP123" i="25"/>
  <c r="BP110" i="25"/>
  <c r="BP101" i="25"/>
  <c r="BP93" i="25"/>
  <c r="BP84" i="25"/>
  <c r="BP138" i="25"/>
  <c r="BP117" i="25"/>
  <c r="BP104" i="25"/>
  <c r="BP95" i="25"/>
  <c r="BP86" i="25"/>
  <c r="BP80" i="25"/>
  <c r="BP78" i="25"/>
  <c r="BP76" i="25"/>
  <c r="BP74" i="25"/>
  <c r="BP72" i="25"/>
  <c r="BP70" i="25"/>
  <c r="BP68" i="25"/>
  <c r="BP65" i="25"/>
  <c r="BP63" i="25"/>
  <c r="BP61" i="25"/>
  <c r="BP59" i="25"/>
  <c r="BP57" i="25"/>
  <c r="BP55" i="25"/>
  <c r="BP53" i="25"/>
  <c r="BP51" i="25"/>
  <c r="BP49" i="25"/>
  <c r="BP47" i="25"/>
  <c r="BP45" i="25"/>
  <c r="BP43" i="25"/>
  <c r="BP41" i="25"/>
  <c r="BP39" i="25"/>
  <c r="BP119" i="25"/>
  <c r="BP111" i="25"/>
  <c r="BP106" i="25"/>
  <c r="BP97" i="25"/>
  <c r="BP88" i="25"/>
  <c r="BP90" i="25"/>
  <c r="BP79" i="25"/>
  <c r="BP71" i="25"/>
  <c r="BP62" i="25"/>
  <c r="BP54" i="25"/>
  <c r="BP46" i="25"/>
  <c r="BP38" i="25"/>
  <c r="BP99" i="25"/>
  <c r="BP77" i="25"/>
  <c r="BP69" i="25"/>
  <c r="BP60" i="25"/>
  <c r="BP52" i="25"/>
  <c r="BP44" i="25"/>
  <c r="BP75" i="25"/>
  <c r="BP66" i="25"/>
  <c r="BP58" i="25"/>
  <c r="BP50" i="25"/>
  <c r="BP42" i="25"/>
  <c r="BP81" i="25"/>
  <c r="BP48" i="25"/>
  <c r="BP56" i="25"/>
  <c r="BP121" i="25"/>
  <c r="BP73" i="25"/>
  <c r="BP40" i="25"/>
  <c r="BP64" i="25"/>
  <c r="BG113" i="25"/>
  <c r="BH113" i="25" s="1"/>
  <c r="BG114" i="25"/>
  <c r="BH114" i="25" s="1"/>
  <c r="CL125" i="25"/>
  <c r="BN36" i="25"/>
  <c r="BN114" i="25" s="1"/>
  <c r="BO114" i="25" s="1"/>
  <c r="CS125" i="25"/>
  <c r="CX125" i="25" s="1"/>
  <c r="CS116" i="25"/>
  <c r="CL106" i="25"/>
  <c r="CE104" i="25"/>
  <c r="CE93" i="25"/>
  <c r="CL94" i="25"/>
  <c r="BG112" i="25"/>
  <c r="CE83" i="25"/>
  <c r="CL84" i="25"/>
  <c r="CS68" i="25"/>
  <c r="CX68" i="25" s="1"/>
  <c r="CL42" i="25"/>
  <c r="CE39" i="25"/>
  <c r="BU38" i="25"/>
  <c r="G112" i="20" s="1"/>
  <c r="CS29" i="25"/>
  <c r="CX29" i="25" s="1"/>
  <c r="CE22" i="25"/>
  <c r="CS27" i="25"/>
  <c r="CX27" i="25" s="1"/>
  <c r="CL26" i="25"/>
  <c r="CS24" i="25"/>
  <c r="CX24" i="25" s="1"/>
  <c r="CL23" i="25"/>
  <c r="CE34" i="25"/>
  <c r="CF34" i="25" s="1"/>
  <c r="CS16" i="25"/>
  <c r="CX16" i="25" s="1"/>
  <c r="CL15" i="25"/>
  <c r="CL6" i="25"/>
  <c r="CL5" i="25" s="1"/>
  <c r="CE35" i="25"/>
  <c r="CF35" i="25" s="1"/>
  <c r="CL10" i="25"/>
  <c r="CS11" i="25"/>
  <c r="CX11" i="25" s="1"/>
  <c r="BU4" i="25"/>
  <c r="BV5" i="25" s="1"/>
  <c r="BU33" i="25"/>
  <c r="BZ33" i="25" s="1"/>
  <c r="CS18" i="25"/>
  <c r="CX18" i="25" s="1"/>
  <c r="AC139" i="25"/>
  <c r="AD139" i="25" s="1"/>
  <c r="E138" i="20"/>
  <c r="AW124" i="25"/>
  <c r="AW113" i="25"/>
  <c r="AW109" i="25"/>
  <c r="AW114" i="25"/>
  <c r="E118" i="20" l="1"/>
  <c r="F117" i="20"/>
  <c r="CX116" i="25"/>
  <c r="K114" i="20"/>
  <c r="L114" i="20" s="1"/>
  <c r="I114" i="20"/>
  <c r="J114" i="20" s="1"/>
  <c r="BZ38" i="25"/>
  <c r="F115" i="20"/>
  <c r="AR112" i="25"/>
  <c r="AV112" i="25"/>
  <c r="AQ137" i="25"/>
  <c r="G108" i="20"/>
  <c r="BV14" i="25"/>
  <c r="D104" i="20"/>
  <c r="C99" i="20"/>
  <c r="C125" i="20" s="1"/>
  <c r="H109" i="20"/>
  <c r="F111" i="20"/>
  <c r="BN109" i="25"/>
  <c r="BO109" i="25" s="1"/>
  <c r="BB114" i="25"/>
  <c r="AX114" i="25"/>
  <c r="BB109" i="25"/>
  <c r="AX109" i="25"/>
  <c r="CM27" i="25"/>
  <c r="CM26" i="25"/>
  <c r="CM30" i="25"/>
  <c r="CM29" i="25"/>
  <c r="BG137" i="25"/>
  <c r="BH137" i="25" s="1"/>
  <c r="BH112" i="25"/>
  <c r="CF24" i="25"/>
  <c r="CF23" i="25"/>
  <c r="CF8" i="25"/>
  <c r="BB113" i="25"/>
  <c r="AX113" i="25"/>
  <c r="BV33" i="25"/>
  <c r="BB124" i="25"/>
  <c r="AY124" i="25"/>
  <c r="AY122" i="25"/>
  <c r="AY120" i="25"/>
  <c r="AY118" i="25"/>
  <c r="AY116" i="25"/>
  <c r="AY105" i="25"/>
  <c r="AY102" i="25"/>
  <c r="AY100" i="25"/>
  <c r="AY98" i="25"/>
  <c r="AY96" i="25"/>
  <c r="AY94" i="25"/>
  <c r="AY91" i="25"/>
  <c r="AY89" i="25"/>
  <c r="AY87" i="25"/>
  <c r="AY85" i="25"/>
  <c r="AY83" i="25"/>
  <c r="AY80" i="25"/>
  <c r="AY78" i="25"/>
  <c r="AY76" i="25"/>
  <c r="AY74" i="25"/>
  <c r="AY72" i="25"/>
  <c r="AY70" i="25"/>
  <c r="AY68" i="25"/>
  <c r="AY65" i="25"/>
  <c r="AY63" i="25"/>
  <c r="AY61" i="25"/>
  <c r="AY59" i="25"/>
  <c r="AY57" i="25"/>
  <c r="AY55" i="25"/>
  <c r="AY53" i="25"/>
  <c r="AY51" i="25"/>
  <c r="AY49" i="25"/>
  <c r="AY47" i="25"/>
  <c r="AY45" i="25"/>
  <c r="AY43" i="25"/>
  <c r="AY41" i="25"/>
  <c r="AY39" i="25"/>
  <c r="AY111" i="25"/>
  <c r="AY123" i="25"/>
  <c r="AY121" i="25"/>
  <c r="AY119" i="25"/>
  <c r="AY117" i="25"/>
  <c r="AY106" i="25"/>
  <c r="AY104" i="25"/>
  <c r="AY101" i="25"/>
  <c r="AY99" i="25"/>
  <c r="AY97" i="25"/>
  <c r="AY95" i="25"/>
  <c r="AY93" i="25"/>
  <c r="AY90" i="25"/>
  <c r="AY88" i="25"/>
  <c r="AY86" i="25"/>
  <c r="AY84" i="25"/>
  <c r="AY81" i="25"/>
  <c r="AY79" i="25"/>
  <c r="AY77" i="25"/>
  <c r="AY75" i="25"/>
  <c r="AY73" i="25"/>
  <c r="AY71" i="25"/>
  <c r="AY69" i="25"/>
  <c r="AY66" i="25"/>
  <c r="AY64" i="25"/>
  <c r="AY62" i="25"/>
  <c r="AY60" i="25"/>
  <c r="AY58" i="25"/>
  <c r="AY56" i="25"/>
  <c r="AY54" i="25"/>
  <c r="AY52" i="25"/>
  <c r="AY50" i="25"/>
  <c r="AY48" i="25"/>
  <c r="AY46" i="25"/>
  <c r="AY44" i="25"/>
  <c r="AY42" i="25"/>
  <c r="AY40" i="25"/>
  <c r="AY38" i="25"/>
  <c r="AY138" i="25"/>
  <c r="AY110" i="25"/>
  <c r="AX124" i="25"/>
  <c r="BZ4" i="25"/>
  <c r="BV138" i="25"/>
  <c r="BV132" i="25"/>
  <c r="BV128" i="25"/>
  <c r="BV110" i="25"/>
  <c r="BV18" i="25"/>
  <c r="BV12" i="25"/>
  <c r="BV7" i="25"/>
  <c r="BV133" i="25"/>
  <c r="BV127" i="25"/>
  <c r="BV121" i="25"/>
  <c r="BV118" i="25"/>
  <c r="BV105" i="25"/>
  <c r="BV99" i="25"/>
  <c r="BV96" i="25"/>
  <c r="BV90" i="25"/>
  <c r="BV87" i="25"/>
  <c r="BV81" i="25"/>
  <c r="BV78" i="25"/>
  <c r="BV73" i="25"/>
  <c r="BV70" i="25"/>
  <c r="BV64" i="25"/>
  <c r="BV61" i="25"/>
  <c r="BV56" i="25"/>
  <c r="BV53" i="25"/>
  <c r="BV48" i="25"/>
  <c r="BV45" i="25"/>
  <c r="BV40" i="25"/>
  <c r="BV19" i="25"/>
  <c r="BV11" i="25"/>
  <c r="BV131" i="25"/>
  <c r="BV126" i="25"/>
  <c r="BV123" i="25"/>
  <c r="BV120" i="25"/>
  <c r="BV101" i="25"/>
  <c r="BV98" i="25"/>
  <c r="BV93" i="25"/>
  <c r="BV89" i="25"/>
  <c r="BV84" i="25"/>
  <c r="BV80" i="25"/>
  <c r="BV75" i="25"/>
  <c r="BV72" i="25"/>
  <c r="BV66" i="25"/>
  <c r="BV63" i="25"/>
  <c r="BV58" i="25"/>
  <c r="BV55" i="25"/>
  <c r="BV50" i="25"/>
  <c r="BV47" i="25"/>
  <c r="BV42" i="25"/>
  <c r="BV39" i="25"/>
  <c r="BV16" i="25"/>
  <c r="BV10" i="25"/>
  <c r="BV4" i="25"/>
  <c r="BV130" i="25"/>
  <c r="BV125" i="25"/>
  <c r="BV122" i="25"/>
  <c r="BV117" i="25"/>
  <c r="BV104" i="25"/>
  <c r="BV100" i="25"/>
  <c r="BV95" i="25"/>
  <c r="BV91" i="25"/>
  <c r="BV86" i="25"/>
  <c r="BV83" i="25"/>
  <c r="BV77" i="25"/>
  <c r="BV74" i="25"/>
  <c r="BV69" i="25"/>
  <c r="BV65" i="25"/>
  <c r="BV60" i="25"/>
  <c r="BV57" i="25"/>
  <c r="BV52" i="25"/>
  <c r="BV49" i="25"/>
  <c r="BV44" i="25"/>
  <c r="BV41" i="25"/>
  <c r="BV15" i="25"/>
  <c r="BV111" i="25"/>
  <c r="BV97" i="25"/>
  <c r="BV85" i="25"/>
  <c r="BV62" i="25"/>
  <c r="BV51" i="25"/>
  <c r="BV13" i="25"/>
  <c r="BV106" i="25"/>
  <c r="BV94" i="25"/>
  <c r="BV71" i="25"/>
  <c r="BV59" i="25"/>
  <c r="BV38" i="25"/>
  <c r="BV6" i="25"/>
  <c r="BV134" i="25"/>
  <c r="BV119" i="25"/>
  <c r="BV102" i="25"/>
  <c r="BV79" i="25"/>
  <c r="BV68" i="25"/>
  <c r="BV46" i="25"/>
  <c r="BV54" i="25"/>
  <c r="BV116" i="25"/>
  <c r="BV88" i="25"/>
  <c r="BV43" i="25"/>
  <c r="BV129" i="25"/>
  <c r="BV76" i="25"/>
  <c r="BV22" i="25"/>
  <c r="BO36" i="25"/>
  <c r="C139" i="20"/>
  <c r="C140" i="20" s="1"/>
  <c r="BN113" i="25"/>
  <c r="BO113" i="25" s="1"/>
  <c r="CL22" i="25"/>
  <c r="CS106" i="25"/>
  <c r="CX106" i="25" s="1"/>
  <c r="CL104" i="25"/>
  <c r="CS94" i="25"/>
  <c r="CX94" i="25" s="1"/>
  <c r="CL93" i="25"/>
  <c r="CS84" i="25"/>
  <c r="CX84" i="25" s="1"/>
  <c r="CL83" i="25"/>
  <c r="CE38" i="25"/>
  <c r="BU124" i="25"/>
  <c r="CS42" i="25"/>
  <c r="CX42" i="25" s="1"/>
  <c r="CL39" i="25"/>
  <c r="CS26" i="25"/>
  <c r="CX26" i="25" s="1"/>
  <c r="CS23" i="25"/>
  <c r="I120" i="20" s="1"/>
  <c r="J120" i="20" s="1"/>
  <c r="CE33" i="25"/>
  <c r="CF33" i="25" s="1"/>
  <c r="CE4" i="25"/>
  <c r="CL34" i="25"/>
  <c r="CM34" i="25" s="1"/>
  <c r="BU36" i="25"/>
  <c r="BZ36" i="25" s="1"/>
  <c r="CL35" i="25"/>
  <c r="CM35" i="25" s="1"/>
  <c r="CS10" i="25"/>
  <c r="CS6" i="25"/>
  <c r="CS15" i="25"/>
  <c r="AW112" i="25"/>
  <c r="CX6" i="25" l="1"/>
  <c r="CS5" i="25"/>
  <c r="CX5" i="25" s="1"/>
  <c r="CF14" i="25"/>
  <c r="CF5" i="25"/>
  <c r="F118" i="20"/>
  <c r="H108" i="20"/>
  <c r="G133" i="20"/>
  <c r="G137" i="20"/>
  <c r="G131" i="20"/>
  <c r="G135" i="20"/>
  <c r="G132" i="20"/>
  <c r="G134" i="20"/>
  <c r="G136" i="20"/>
  <c r="H112" i="20"/>
  <c r="C119" i="20"/>
  <c r="BN112" i="25"/>
  <c r="BN137" i="25" s="1"/>
  <c r="AR137" i="25"/>
  <c r="AQ139" i="25"/>
  <c r="AV137" i="25"/>
  <c r="BG139" i="25"/>
  <c r="BH139" i="25" s="1"/>
  <c r="C105" i="20"/>
  <c r="G121" i="20"/>
  <c r="G123" i="20"/>
  <c r="CM24" i="25"/>
  <c r="CM23" i="25"/>
  <c r="CM8" i="25"/>
  <c r="CX10" i="25"/>
  <c r="CT27" i="25"/>
  <c r="CT26" i="25"/>
  <c r="BZ124" i="25"/>
  <c r="BW124" i="25"/>
  <c r="BW122" i="25"/>
  <c r="BW120" i="25"/>
  <c r="BW118" i="25"/>
  <c r="BW116" i="25"/>
  <c r="BW105" i="25"/>
  <c r="BW102" i="25"/>
  <c r="BW100" i="25"/>
  <c r="BW98" i="25"/>
  <c r="BW96" i="25"/>
  <c r="BW94" i="25"/>
  <c r="BW91" i="25"/>
  <c r="BW89" i="25"/>
  <c r="BW87" i="25"/>
  <c r="BW85" i="25"/>
  <c r="BW83" i="25"/>
  <c r="BW80" i="25"/>
  <c r="BW78" i="25"/>
  <c r="BW76" i="25"/>
  <c r="BW74" i="25"/>
  <c r="BW72" i="25"/>
  <c r="BW70" i="25"/>
  <c r="BW68" i="25"/>
  <c r="BW65" i="25"/>
  <c r="BW63" i="25"/>
  <c r="BW61" i="25"/>
  <c r="BW59" i="25"/>
  <c r="BW57" i="25"/>
  <c r="BW55" i="25"/>
  <c r="BW53" i="25"/>
  <c r="BW51" i="25"/>
  <c r="BW49" i="25"/>
  <c r="BW47" i="25"/>
  <c r="BW45" i="25"/>
  <c r="BW43" i="25"/>
  <c r="BW41" i="25"/>
  <c r="BW39" i="25"/>
  <c r="BW123" i="25"/>
  <c r="BW110" i="25"/>
  <c r="BW101" i="25"/>
  <c r="BW93" i="25"/>
  <c r="BW84" i="25"/>
  <c r="BW75" i="25"/>
  <c r="BW66" i="25"/>
  <c r="BW58" i="25"/>
  <c r="BW50" i="25"/>
  <c r="BW42" i="25"/>
  <c r="BW138" i="25"/>
  <c r="BW117" i="25"/>
  <c r="BW104" i="25"/>
  <c r="BW95" i="25"/>
  <c r="BW86" i="25"/>
  <c r="BW77" i="25"/>
  <c r="BW69" i="25"/>
  <c r="BW60" i="25"/>
  <c r="BW52" i="25"/>
  <c r="BW44" i="25"/>
  <c r="BW119" i="25"/>
  <c r="BW111" i="25"/>
  <c r="BW106" i="25"/>
  <c r="BW97" i="25"/>
  <c r="BW88" i="25"/>
  <c r="BW79" i="25"/>
  <c r="BW71" i="25"/>
  <c r="BW62" i="25"/>
  <c r="BW54" i="25"/>
  <c r="BW46" i="25"/>
  <c r="BW38" i="25"/>
  <c r="BW73" i="25"/>
  <c r="BW40" i="25"/>
  <c r="BW121" i="25"/>
  <c r="BW81" i="25"/>
  <c r="BW48" i="25"/>
  <c r="BW90" i="25"/>
  <c r="BW56" i="25"/>
  <c r="BW99" i="25"/>
  <c r="BW64" i="25"/>
  <c r="CX23" i="25"/>
  <c r="CX15" i="25"/>
  <c r="CT30" i="25"/>
  <c r="CT29" i="25"/>
  <c r="CF138" i="25"/>
  <c r="CF132" i="25"/>
  <c r="CF128" i="25"/>
  <c r="CF110" i="25"/>
  <c r="CF18" i="25"/>
  <c r="CF12" i="25"/>
  <c r="CF7" i="25"/>
  <c r="CF133" i="25"/>
  <c r="CF127" i="25"/>
  <c r="CF121" i="25"/>
  <c r="CF118" i="25"/>
  <c r="CF105" i="25"/>
  <c r="CF99" i="25"/>
  <c r="CF96" i="25"/>
  <c r="CF90" i="25"/>
  <c r="CF87" i="25"/>
  <c r="CF81" i="25"/>
  <c r="CF78" i="25"/>
  <c r="CF73" i="25"/>
  <c r="CF70" i="25"/>
  <c r="CF64" i="25"/>
  <c r="CF61" i="25"/>
  <c r="CF56" i="25"/>
  <c r="CF53" i="25"/>
  <c r="CF48" i="25"/>
  <c r="CF45" i="25"/>
  <c r="CF40" i="25"/>
  <c r="CF19" i="25"/>
  <c r="CF11" i="25"/>
  <c r="CF131" i="25"/>
  <c r="CF126" i="25"/>
  <c r="CF123" i="25"/>
  <c r="CF120" i="25"/>
  <c r="CF101" i="25"/>
  <c r="CF98" i="25"/>
  <c r="CF93" i="25"/>
  <c r="CF89" i="25"/>
  <c r="CF84" i="25"/>
  <c r="CF80" i="25"/>
  <c r="CF75" i="25"/>
  <c r="CF72" i="25"/>
  <c r="CF66" i="25"/>
  <c r="CF63" i="25"/>
  <c r="CF58" i="25"/>
  <c r="CF55" i="25"/>
  <c r="CF50" i="25"/>
  <c r="CF47" i="25"/>
  <c r="CF42" i="25"/>
  <c r="CF39" i="25"/>
  <c r="CF16" i="25"/>
  <c r="CF10" i="25"/>
  <c r="CF4" i="25"/>
  <c r="CF130" i="25"/>
  <c r="CF125" i="25"/>
  <c r="CF122" i="25"/>
  <c r="CF117" i="25"/>
  <c r="CF104" i="25"/>
  <c r="CF100" i="25"/>
  <c r="CF95" i="25"/>
  <c r="CF91" i="25"/>
  <c r="CF86" i="25"/>
  <c r="CF83" i="25"/>
  <c r="CF77" i="25"/>
  <c r="CF74" i="25"/>
  <c r="CF69" i="25"/>
  <c r="CF65" i="25"/>
  <c r="CF60" i="25"/>
  <c r="CF57" i="25"/>
  <c r="CF52" i="25"/>
  <c r="CF49" i="25"/>
  <c r="CF44" i="25"/>
  <c r="CF41" i="25"/>
  <c r="CF15" i="25"/>
  <c r="CF134" i="25"/>
  <c r="CF119" i="25"/>
  <c r="CF102" i="25"/>
  <c r="CF79" i="25"/>
  <c r="CF68" i="25"/>
  <c r="CF46" i="25"/>
  <c r="CF129" i="25"/>
  <c r="CF116" i="25"/>
  <c r="CF88" i="25"/>
  <c r="CF76" i="25"/>
  <c r="CF54" i="25"/>
  <c r="CF43" i="25"/>
  <c r="CF22" i="25"/>
  <c r="CF111" i="25"/>
  <c r="CF97" i="25"/>
  <c r="CF85" i="25"/>
  <c r="CF62" i="25"/>
  <c r="CF51" i="25"/>
  <c r="CF13" i="25"/>
  <c r="CF106" i="25"/>
  <c r="CF59" i="25"/>
  <c r="CF6" i="25"/>
  <c r="CF94" i="25"/>
  <c r="CF71" i="25"/>
  <c r="CF38" i="25"/>
  <c r="BB112" i="25"/>
  <c r="AX112" i="25"/>
  <c r="BV124" i="25"/>
  <c r="BV36" i="25"/>
  <c r="G130" i="20"/>
  <c r="G110" i="20"/>
  <c r="G113" i="20" s="1"/>
  <c r="CS104" i="25"/>
  <c r="CX104" i="25" s="1"/>
  <c r="CS93" i="25"/>
  <c r="CX93" i="25" s="1"/>
  <c r="CL38" i="25"/>
  <c r="CL124" i="25" s="1"/>
  <c r="CS83" i="25"/>
  <c r="CX83" i="25" s="1"/>
  <c r="CS39" i="25"/>
  <c r="CX39" i="25" s="1"/>
  <c r="CE124" i="25"/>
  <c r="CS22" i="25"/>
  <c r="CS35" i="25"/>
  <c r="CX35" i="25" s="1"/>
  <c r="BU113" i="25"/>
  <c r="BU109" i="25"/>
  <c r="BU114" i="25"/>
  <c r="CE36" i="25"/>
  <c r="CF36" i="25" s="1"/>
  <c r="CL33" i="25"/>
  <c r="CM33" i="25" s="1"/>
  <c r="CL4" i="25"/>
  <c r="CS34" i="25"/>
  <c r="CX34" i="25" s="1"/>
  <c r="AW137" i="25"/>
  <c r="F93" i="20"/>
  <c r="B93" i="20"/>
  <c r="B89" i="20"/>
  <c r="F89" i="20"/>
  <c r="F85" i="20"/>
  <c r="B85" i="20"/>
  <c r="F69" i="20"/>
  <c r="B69" i="20"/>
  <c r="F48" i="20"/>
  <c r="B48" i="20"/>
  <c r="B42" i="20"/>
  <c r="F42" i="20"/>
  <c r="F38" i="20"/>
  <c r="B38" i="20"/>
  <c r="CM14" i="25" l="1"/>
  <c r="CM5" i="25"/>
  <c r="H113" i="20"/>
  <c r="G115" i="20"/>
  <c r="BO112" i="25"/>
  <c r="AR139" i="25"/>
  <c r="AV139" i="25"/>
  <c r="E104" i="20"/>
  <c r="AQ140" i="25"/>
  <c r="BG140" i="25"/>
  <c r="CX22" i="25"/>
  <c r="I109" i="20"/>
  <c r="J109" i="20" s="1"/>
  <c r="K89" i="20"/>
  <c r="D89" i="20"/>
  <c r="G111" i="20"/>
  <c r="H110" i="20"/>
  <c r="K85" i="20"/>
  <c r="D85" i="20"/>
  <c r="D93" i="20"/>
  <c r="K93" i="20"/>
  <c r="K69" i="20"/>
  <c r="D69" i="20"/>
  <c r="D48" i="20"/>
  <c r="K48" i="20"/>
  <c r="K42" i="20"/>
  <c r="D42" i="20"/>
  <c r="K38" i="20"/>
  <c r="D38" i="20"/>
  <c r="BB137" i="25"/>
  <c r="AX137" i="25"/>
  <c r="CM134" i="25"/>
  <c r="CM130" i="25"/>
  <c r="CM126" i="25"/>
  <c r="CM111" i="25"/>
  <c r="CM133" i="25"/>
  <c r="CM129" i="25"/>
  <c r="CM125" i="25"/>
  <c r="CM123" i="25"/>
  <c r="CM121" i="25"/>
  <c r="CM119" i="25"/>
  <c r="CM117" i="25"/>
  <c r="CM106" i="25"/>
  <c r="CM104" i="25"/>
  <c r="CM101" i="25"/>
  <c r="CM99" i="25"/>
  <c r="CM138" i="25"/>
  <c r="CM132" i="25"/>
  <c r="CM128" i="25"/>
  <c r="CM110" i="25"/>
  <c r="CM122" i="25"/>
  <c r="CM100" i="25"/>
  <c r="CM18" i="25"/>
  <c r="CM12" i="25"/>
  <c r="CM7" i="25"/>
  <c r="CM131" i="25"/>
  <c r="CM118" i="25"/>
  <c r="CM102" i="25"/>
  <c r="CM96" i="25"/>
  <c r="CM90" i="25"/>
  <c r="CM87" i="25"/>
  <c r="CM81" i="25"/>
  <c r="CM78" i="25"/>
  <c r="CM73" i="25"/>
  <c r="CM70" i="25"/>
  <c r="CM64" i="25"/>
  <c r="CM61" i="25"/>
  <c r="CM56" i="25"/>
  <c r="CM53" i="25"/>
  <c r="CM48" i="25"/>
  <c r="CM45" i="25"/>
  <c r="CM40" i="25"/>
  <c r="CM19" i="25"/>
  <c r="CM11" i="25"/>
  <c r="CM127" i="25"/>
  <c r="CM116" i="25"/>
  <c r="CM98" i="25"/>
  <c r="CM93" i="25"/>
  <c r="CM89" i="25"/>
  <c r="CM84" i="25"/>
  <c r="CM80" i="25"/>
  <c r="CM75" i="25"/>
  <c r="CM72" i="25"/>
  <c r="CM66" i="25"/>
  <c r="CM63" i="25"/>
  <c r="CM58" i="25"/>
  <c r="CM55" i="25"/>
  <c r="CM50" i="25"/>
  <c r="CM47" i="25"/>
  <c r="CM42" i="25"/>
  <c r="CM39" i="25"/>
  <c r="CM16" i="25"/>
  <c r="CM10" i="25"/>
  <c r="CM4" i="25"/>
  <c r="CM124" i="25"/>
  <c r="CM95" i="25"/>
  <c r="CM91" i="25"/>
  <c r="CM86" i="25"/>
  <c r="CM83" i="25"/>
  <c r="CM77" i="25"/>
  <c r="CM74" i="25"/>
  <c r="CM69" i="25"/>
  <c r="CM65" i="25"/>
  <c r="CM60" i="25"/>
  <c r="CM57" i="25"/>
  <c r="CM52" i="25"/>
  <c r="CM49" i="25"/>
  <c r="CM44" i="25"/>
  <c r="CM41" i="25"/>
  <c r="CM15" i="25"/>
  <c r="CM97" i="25"/>
  <c r="CM85" i="25"/>
  <c r="CM62" i="25"/>
  <c r="CM51" i="25"/>
  <c r="CM13" i="25"/>
  <c r="CM94" i="25"/>
  <c r="CM71" i="25"/>
  <c r="CM59" i="25"/>
  <c r="CM38" i="25"/>
  <c r="CM6" i="25"/>
  <c r="CM120" i="25"/>
  <c r="CM79" i="25"/>
  <c r="CM68" i="25"/>
  <c r="CM46" i="25"/>
  <c r="CM76" i="25"/>
  <c r="CM22" i="25"/>
  <c r="CM88" i="25"/>
  <c r="CM105" i="25"/>
  <c r="CM54" i="25"/>
  <c r="CM43" i="25"/>
  <c r="BZ114" i="25"/>
  <c r="BV114" i="25"/>
  <c r="CT8" i="25"/>
  <c r="CT24" i="25"/>
  <c r="CT23" i="25"/>
  <c r="BZ109" i="25"/>
  <c r="BV109" i="25"/>
  <c r="CN123" i="25"/>
  <c r="CN121" i="25"/>
  <c r="CN119" i="25"/>
  <c r="CN117" i="25"/>
  <c r="CN106" i="25"/>
  <c r="CN104" i="25"/>
  <c r="CN101" i="25"/>
  <c r="CN99" i="25"/>
  <c r="CN138" i="25"/>
  <c r="CN110" i="25"/>
  <c r="CN124" i="25"/>
  <c r="CN122" i="25"/>
  <c r="CN120" i="25"/>
  <c r="CN118" i="25"/>
  <c r="CN116" i="25"/>
  <c r="CN105" i="25"/>
  <c r="CN102" i="25"/>
  <c r="CN100" i="25"/>
  <c r="CN98" i="25"/>
  <c r="CN111" i="25"/>
  <c r="CN96" i="25"/>
  <c r="CN94" i="25"/>
  <c r="CN91" i="25"/>
  <c r="CN89" i="25"/>
  <c r="CN87" i="25"/>
  <c r="CN85" i="25"/>
  <c r="CN83" i="25"/>
  <c r="CN80" i="25"/>
  <c r="CN78" i="25"/>
  <c r="CN76" i="25"/>
  <c r="CN74" i="25"/>
  <c r="CN72" i="25"/>
  <c r="CN70" i="25"/>
  <c r="CN68" i="25"/>
  <c r="CN65" i="25"/>
  <c r="CN63" i="25"/>
  <c r="CN61" i="25"/>
  <c r="CN59" i="25"/>
  <c r="CN57" i="25"/>
  <c r="CN55" i="25"/>
  <c r="CN53" i="25"/>
  <c r="CN51" i="25"/>
  <c r="CN49" i="25"/>
  <c r="CN47" i="25"/>
  <c r="CN45" i="25"/>
  <c r="CN43" i="25"/>
  <c r="CN41" i="25"/>
  <c r="CN39" i="25"/>
  <c r="CN93" i="25"/>
  <c r="CN84" i="25"/>
  <c r="CN75" i="25"/>
  <c r="CN66" i="25"/>
  <c r="CN58" i="25"/>
  <c r="CN50" i="25"/>
  <c r="CN42" i="25"/>
  <c r="CN95" i="25"/>
  <c r="CN86" i="25"/>
  <c r="CN77" i="25"/>
  <c r="CN69" i="25"/>
  <c r="CN60" i="25"/>
  <c r="CN52" i="25"/>
  <c r="CN44" i="25"/>
  <c r="CN97" i="25"/>
  <c r="CN88" i="25"/>
  <c r="CN79" i="25"/>
  <c r="CN71" i="25"/>
  <c r="CN62" i="25"/>
  <c r="CN54" i="25"/>
  <c r="CN46" i="25"/>
  <c r="CN38" i="25"/>
  <c r="CN73" i="25"/>
  <c r="CN40" i="25"/>
  <c r="CN81" i="25"/>
  <c r="CN48" i="25"/>
  <c r="CN90" i="25"/>
  <c r="CN56" i="25"/>
  <c r="CN64" i="25"/>
  <c r="CT34" i="25"/>
  <c r="BZ113" i="25"/>
  <c r="BV113" i="25"/>
  <c r="CG124" i="25"/>
  <c r="CG122" i="25"/>
  <c r="CG120" i="25"/>
  <c r="CG118" i="25"/>
  <c r="CG116" i="25"/>
  <c r="CG105" i="25"/>
  <c r="CG102" i="25"/>
  <c r="CG100" i="25"/>
  <c r="CG98" i="25"/>
  <c r="CG96" i="25"/>
  <c r="CG94" i="25"/>
  <c r="CG91" i="25"/>
  <c r="CG89" i="25"/>
  <c r="CG87" i="25"/>
  <c r="CG85" i="25"/>
  <c r="CG83" i="25"/>
  <c r="CG80" i="25"/>
  <c r="CG78" i="25"/>
  <c r="CG76" i="25"/>
  <c r="CG74" i="25"/>
  <c r="CG72" i="25"/>
  <c r="CG70" i="25"/>
  <c r="CG68" i="25"/>
  <c r="CG65" i="25"/>
  <c r="CG63" i="25"/>
  <c r="CG61" i="25"/>
  <c r="CG59" i="25"/>
  <c r="CG57" i="25"/>
  <c r="CG55" i="25"/>
  <c r="CG53" i="25"/>
  <c r="CG51" i="25"/>
  <c r="CG49" i="25"/>
  <c r="CG47" i="25"/>
  <c r="CG45" i="25"/>
  <c r="CG43" i="25"/>
  <c r="CG41" i="25"/>
  <c r="CG39" i="25"/>
  <c r="CG123" i="25"/>
  <c r="CG110" i="25"/>
  <c r="CG101" i="25"/>
  <c r="CG93" i="25"/>
  <c r="CG84" i="25"/>
  <c r="CG75" i="25"/>
  <c r="CG66" i="25"/>
  <c r="CG58" i="25"/>
  <c r="CG50" i="25"/>
  <c r="CG42" i="25"/>
  <c r="CG138" i="25"/>
  <c r="CG117" i="25"/>
  <c r="CG104" i="25"/>
  <c r="CG95" i="25"/>
  <c r="CG86" i="25"/>
  <c r="CG77" i="25"/>
  <c r="CG69" i="25"/>
  <c r="CG60" i="25"/>
  <c r="CG52" i="25"/>
  <c r="CG44" i="25"/>
  <c r="CG119" i="25"/>
  <c r="CG111" i="25"/>
  <c r="CG106" i="25"/>
  <c r="CG97" i="25"/>
  <c r="CG88" i="25"/>
  <c r="CG79" i="25"/>
  <c r="CG71" i="25"/>
  <c r="CG62" i="25"/>
  <c r="CG54" i="25"/>
  <c r="CG46" i="25"/>
  <c r="CG38" i="25"/>
  <c r="CG90" i="25"/>
  <c r="CG56" i="25"/>
  <c r="CG99" i="25"/>
  <c r="CG64" i="25"/>
  <c r="CG73" i="25"/>
  <c r="CG40" i="25"/>
  <c r="CG121" i="25"/>
  <c r="CG48" i="25"/>
  <c r="CG81" i="25"/>
  <c r="CF124" i="25"/>
  <c r="CT35" i="25"/>
  <c r="BN139" i="25"/>
  <c r="BO139" i="25" s="1"/>
  <c r="BO137" i="25"/>
  <c r="K109" i="20"/>
  <c r="G138" i="20"/>
  <c r="B92" i="20"/>
  <c r="F92" i="20"/>
  <c r="CS38" i="25"/>
  <c r="BU112" i="25"/>
  <c r="CS4" i="25"/>
  <c r="CS33" i="25"/>
  <c r="CX33" i="25" s="1"/>
  <c r="CL36" i="25"/>
  <c r="CM36" i="25" s="1"/>
  <c r="CE113" i="25"/>
  <c r="CF113" i="25" s="1"/>
  <c r="CE114" i="25"/>
  <c r="CF114" i="25" s="1"/>
  <c r="CE109" i="25"/>
  <c r="CF109" i="25" s="1"/>
  <c r="AW139" i="25"/>
  <c r="B61" i="20"/>
  <c r="F61" i="20"/>
  <c r="F41" i="20"/>
  <c r="B41" i="20"/>
  <c r="B33" i="20"/>
  <c r="B120" i="20" s="1"/>
  <c r="CY4" i="25" l="1"/>
  <c r="DA4" i="25" s="1"/>
  <c r="CT5" i="25"/>
  <c r="H115" i="20"/>
  <c r="G117" i="20"/>
  <c r="L109" i="20"/>
  <c r="K120" i="20"/>
  <c r="CX38" i="25"/>
  <c r="K112" i="20"/>
  <c r="I112" i="20"/>
  <c r="CY38" i="25"/>
  <c r="DA38" i="25" s="1"/>
  <c r="E139" i="20"/>
  <c r="E140" i="20" s="1"/>
  <c r="E99" i="20"/>
  <c r="E119" i="20" s="1"/>
  <c r="F104" i="20"/>
  <c r="I108" i="20"/>
  <c r="CT14" i="25"/>
  <c r="H111" i="20"/>
  <c r="E120" i="20"/>
  <c r="H120" i="20" s="1"/>
  <c r="F33" i="20"/>
  <c r="K92" i="20"/>
  <c r="D92" i="20"/>
  <c r="K61" i="20"/>
  <c r="D61" i="20"/>
  <c r="K41" i="20"/>
  <c r="D41" i="20"/>
  <c r="K33" i="20"/>
  <c r="D33" i="20"/>
  <c r="CX4" i="25"/>
  <c r="CT134" i="25"/>
  <c r="CT130" i="25"/>
  <c r="CT126" i="25"/>
  <c r="CT111" i="25"/>
  <c r="CT22" i="25"/>
  <c r="CT15" i="25"/>
  <c r="CT10" i="25"/>
  <c r="CT133" i="25"/>
  <c r="CT129" i="25"/>
  <c r="CT125" i="25"/>
  <c r="CT123" i="25"/>
  <c r="CT121" i="25"/>
  <c r="CT119" i="25"/>
  <c r="CT117" i="25"/>
  <c r="CT106" i="25"/>
  <c r="CT104" i="25"/>
  <c r="CT101" i="25"/>
  <c r="CT99" i="25"/>
  <c r="CT97" i="25"/>
  <c r="CT95" i="25"/>
  <c r="CT93" i="25"/>
  <c r="CT90" i="25"/>
  <c r="CT88" i="25"/>
  <c r="CT86" i="25"/>
  <c r="CT84" i="25"/>
  <c r="CT81" i="25"/>
  <c r="CT79" i="25"/>
  <c r="CT77" i="25"/>
  <c r="CT75" i="25"/>
  <c r="CT73" i="25"/>
  <c r="CT71" i="25"/>
  <c r="CT69" i="25"/>
  <c r="CT66" i="25"/>
  <c r="CT64" i="25"/>
  <c r="CT62" i="25"/>
  <c r="CT60" i="25"/>
  <c r="CT58" i="25"/>
  <c r="CT56" i="25"/>
  <c r="CT54" i="25"/>
  <c r="CT52" i="25"/>
  <c r="CT50" i="25"/>
  <c r="CT48" i="25"/>
  <c r="CT46" i="25"/>
  <c r="CT44" i="25"/>
  <c r="CT42" i="25"/>
  <c r="CT40" i="25"/>
  <c r="CT38" i="25"/>
  <c r="CT19" i="25"/>
  <c r="CT13" i="25"/>
  <c r="CT4" i="25"/>
  <c r="CT138" i="25"/>
  <c r="CT132" i="25"/>
  <c r="CT128" i="25"/>
  <c r="CT110" i="25"/>
  <c r="CT18" i="25"/>
  <c r="CT12" i="25"/>
  <c r="CT7" i="25"/>
  <c r="CT131" i="25"/>
  <c r="CT120" i="25"/>
  <c r="CT98" i="25"/>
  <c r="CT89" i="25"/>
  <c r="CT80" i="25"/>
  <c r="CT72" i="25"/>
  <c r="CT63" i="25"/>
  <c r="CT55" i="25"/>
  <c r="CT47" i="25"/>
  <c r="CT39" i="25"/>
  <c r="CT16" i="25"/>
  <c r="CT127" i="25"/>
  <c r="CT118" i="25"/>
  <c r="CT105" i="25"/>
  <c r="CT96" i="25"/>
  <c r="CT87" i="25"/>
  <c r="CT78" i="25"/>
  <c r="CT70" i="25"/>
  <c r="CT61" i="25"/>
  <c r="CT53" i="25"/>
  <c r="CT45" i="25"/>
  <c r="CT11" i="25"/>
  <c r="CT122" i="25"/>
  <c r="CT100" i="25"/>
  <c r="CT83" i="25"/>
  <c r="CT65" i="25"/>
  <c r="CT49" i="25"/>
  <c r="CT116" i="25"/>
  <c r="CT94" i="25"/>
  <c r="CT76" i="25"/>
  <c r="CT59" i="25"/>
  <c r="CT43" i="25"/>
  <c r="CT6" i="25"/>
  <c r="CT91" i="25"/>
  <c r="CT74" i="25"/>
  <c r="CT57" i="25"/>
  <c r="CT41" i="25"/>
  <c r="CT85" i="25"/>
  <c r="CT68" i="25"/>
  <c r="CT51" i="25"/>
  <c r="CT102" i="25"/>
  <c r="BZ112" i="25"/>
  <c r="BV112" i="25"/>
  <c r="BB139" i="25"/>
  <c r="AX139" i="25"/>
  <c r="CT33" i="25"/>
  <c r="K108" i="20"/>
  <c r="CS124" i="25"/>
  <c r="CL109" i="25"/>
  <c r="CM109" i="25" s="1"/>
  <c r="CL114" i="25"/>
  <c r="CM114" i="25" s="1"/>
  <c r="CL113" i="25"/>
  <c r="CM113" i="25" s="1"/>
  <c r="CE112" i="25"/>
  <c r="CF112" i="25" s="1"/>
  <c r="CS36" i="25"/>
  <c r="CX36" i="25" s="1"/>
  <c r="BU137" i="25"/>
  <c r="F98" i="20"/>
  <c r="B98" i="20"/>
  <c r="B125" i="20" s="1"/>
  <c r="B29" i="20"/>
  <c r="F29" i="20"/>
  <c r="B14" i="20"/>
  <c r="B20" i="20"/>
  <c r="B5" i="20"/>
  <c r="G118" i="20" l="1"/>
  <c r="H117" i="20"/>
  <c r="K134" i="20"/>
  <c r="K136" i="20"/>
  <c r="K133" i="20"/>
  <c r="K131" i="20"/>
  <c r="K135" i="20"/>
  <c r="K132" i="20"/>
  <c r="I132" i="20"/>
  <c r="I136" i="20"/>
  <c r="I133" i="20"/>
  <c r="I137" i="20"/>
  <c r="I134" i="20"/>
  <c r="I131" i="20"/>
  <c r="I135" i="20"/>
  <c r="CT124" i="25"/>
  <c r="E125" i="20"/>
  <c r="F125" i="20" s="1"/>
  <c r="L108" i="20"/>
  <c r="E105" i="20"/>
  <c r="E106" i="20" s="1"/>
  <c r="C123" i="20"/>
  <c r="F14" i="20"/>
  <c r="H123" i="20"/>
  <c r="C127" i="20"/>
  <c r="F127" i="20" s="1"/>
  <c r="F5" i="20"/>
  <c r="I121" i="20"/>
  <c r="J121" i="20" s="1"/>
  <c r="I123" i="20"/>
  <c r="J123" i="20" s="1"/>
  <c r="J108" i="20"/>
  <c r="F120" i="20"/>
  <c r="D98" i="20"/>
  <c r="K98" i="20"/>
  <c r="L120" i="20"/>
  <c r="D29" i="20"/>
  <c r="K29" i="20"/>
  <c r="K20" i="20"/>
  <c r="B123" i="20"/>
  <c r="K123" i="20"/>
  <c r="K14" i="20"/>
  <c r="D14" i="20"/>
  <c r="B127" i="20"/>
  <c r="K5" i="20"/>
  <c r="D5" i="20"/>
  <c r="BZ137" i="25"/>
  <c r="BV137" i="25"/>
  <c r="CX124" i="25"/>
  <c r="CU123" i="25"/>
  <c r="CU121" i="25"/>
  <c r="CU119" i="25"/>
  <c r="CU117" i="25"/>
  <c r="CU106" i="25"/>
  <c r="CU104" i="25"/>
  <c r="CU101" i="25"/>
  <c r="CU99" i="25"/>
  <c r="CU97" i="25"/>
  <c r="CU95" i="25"/>
  <c r="CU93" i="25"/>
  <c r="CU90" i="25"/>
  <c r="CU88" i="25"/>
  <c r="CU86" i="25"/>
  <c r="CU84" i="25"/>
  <c r="CU81" i="25"/>
  <c r="CU79" i="25"/>
  <c r="CU77" i="25"/>
  <c r="CU75" i="25"/>
  <c r="CU73" i="25"/>
  <c r="CU71" i="25"/>
  <c r="CU69" i="25"/>
  <c r="CU66" i="25"/>
  <c r="CU64" i="25"/>
  <c r="CU62" i="25"/>
  <c r="CU60" i="25"/>
  <c r="CU58" i="25"/>
  <c r="CU56" i="25"/>
  <c r="CU54" i="25"/>
  <c r="CU52" i="25"/>
  <c r="CU50" i="25"/>
  <c r="CU48" i="25"/>
  <c r="CU46" i="25"/>
  <c r="CU44" i="25"/>
  <c r="CU42" i="25"/>
  <c r="CU40" i="25"/>
  <c r="CU38" i="25"/>
  <c r="CU138" i="25"/>
  <c r="CU110" i="25"/>
  <c r="CU124" i="25"/>
  <c r="CU122" i="25"/>
  <c r="CU120" i="25"/>
  <c r="CU118" i="25"/>
  <c r="CU116" i="25"/>
  <c r="CU105" i="25"/>
  <c r="CU102" i="25"/>
  <c r="CU100" i="25"/>
  <c r="CU98" i="25"/>
  <c r="CU96" i="25"/>
  <c r="CU94" i="25"/>
  <c r="CU91" i="25"/>
  <c r="CU89" i="25"/>
  <c r="CU87" i="25"/>
  <c r="CU85" i="25"/>
  <c r="CU83" i="25"/>
  <c r="CU80" i="25"/>
  <c r="CU78" i="25"/>
  <c r="CU76" i="25"/>
  <c r="CU74" i="25"/>
  <c r="CU72" i="25"/>
  <c r="CU70" i="25"/>
  <c r="CU68" i="25"/>
  <c r="CU65" i="25"/>
  <c r="CU63" i="25"/>
  <c r="CU61" i="25"/>
  <c r="CU59" i="25"/>
  <c r="CU57" i="25"/>
  <c r="CU55" i="25"/>
  <c r="CU53" i="25"/>
  <c r="CU51" i="25"/>
  <c r="CU49" i="25"/>
  <c r="CU47" i="25"/>
  <c r="CU45" i="25"/>
  <c r="CU43" i="25"/>
  <c r="CU41" i="25"/>
  <c r="CU39" i="25"/>
  <c r="CU111" i="25"/>
  <c r="CT36" i="25"/>
  <c r="I130" i="20"/>
  <c r="I110" i="20"/>
  <c r="K130" i="20"/>
  <c r="K137" i="20"/>
  <c r="K110" i="20"/>
  <c r="CE137" i="25"/>
  <c r="CF137" i="25" s="1"/>
  <c r="BU139" i="25"/>
  <c r="CS113" i="25"/>
  <c r="CS109" i="25"/>
  <c r="CS114" i="25"/>
  <c r="CL112" i="25"/>
  <c r="CM112" i="25" s="1"/>
  <c r="B105" i="20"/>
  <c r="B4" i="20"/>
  <c r="F20" i="20"/>
  <c r="H118" i="20" l="1"/>
  <c r="I113" i="20"/>
  <c r="I115" i="20" s="1"/>
  <c r="I117" i="20" s="1"/>
  <c r="J112" i="20"/>
  <c r="K113" i="20"/>
  <c r="L112" i="20"/>
  <c r="B126" i="20"/>
  <c r="L126" i="20" s="1"/>
  <c r="B124" i="20"/>
  <c r="G104" i="20"/>
  <c r="F123" i="20"/>
  <c r="I111" i="20"/>
  <c r="J111" i="20" s="1"/>
  <c r="J110" i="20"/>
  <c r="K111" i="20"/>
  <c r="L111" i="20" s="1"/>
  <c r="L110" i="20"/>
  <c r="D20" i="20"/>
  <c r="L123" i="20"/>
  <c r="K4" i="20"/>
  <c r="L127" i="20"/>
  <c r="CX114" i="25"/>
  <c r="CT114" i="25"/>
  <c r="BZ139" i="25"/>
  <c r="BV139" i="25"/>
  <c r="CX109" i="25"/>
  <c r="CT109" i="25"/>
  <c r="CX113" i="25"/>
  <c r="CT113" i="25"/>
  <c r="K138" i="20"/>
  <c r="I138" i="20"/>
  <c r="CL137" i="25"/>
  <c r="CM137" i="25" s="1"/>
  <c r="CE139" i="25"/>
  <c r="CF139" i="25" s="1"/>
  <c r="CS112" i="25"/>
  <c r="D4" i="20"/>
  <c r="B60" i="20"/>
  <c r="K121" i="20" s="1"/>
  <c r="I118" i="20" l="1"/>
  <c r="J118" i="20" s="1"/>
  <c r="J117" i="20"/>
  <c r="K115" i="20"/>
  <c r="L113" i="20"/>
  <c r="J113" i="20"/>
  <c r="J115" i="20"/>
  <c r="G99" i="20"/>
  <c r="G125" i="20" s="1"/>
  <c r="H125" i="20" s="1"/>
  <c r="L124" i="20"/>
  <c r="H104" i="20"/>
  <c r="G122" i="20"/>
  <c r="C126" i="20"/>
  <c r="F126" i="20" s="1"/>
  <c r="F4" i="20"/>
  <c r="B122" i="20"/>
  <c r="B121" i="20"/>
  <c r="K60" i="20"/>
  <c r="CX112" i="25"/>
  <c r="CT112" i="25"/>
  <c r="G139" i="20"/>
  <c r="G140" i="20" s="1"/>
  <c r="CL139" i="25"/>
  <c r="CM139" i="25" s="1"/>
  <c r="CS137" i="25"/>
  <c r="B106" i="20"/>
  <c r="L115" i="20" l="1"/>
  <c r="K117" i="20"/>
  <c r="G105" i="20"/>
  <c r="G119" i="20"/>
  <c r="C121" i="20"/>
  <c r="F60" i="20"/>
  <c r="E121" i="20"/>
  <c r="H121" i="20" s="1"/>
  <c r="C122" i="20"/>
  <c r="E122" i="20"/>
  <c r="H122" i="20" s="1"/>
  <c r="D60" i="20"/>
  <c r="H99" i="20"/>
  <c r="L121" i="20"/>
  <c r="CX137" i="25"/>
  <c r="CT137" i="25"/>
  <c r="CS139" i="25"/>
  <c r="N462" i="29" s="1"/>
  <c r="N464" i="29" s="1"/>
  <c r="N465" i="29" s="1"/>
  <c r="N466" i="29" s="1"/>
  <c r="K118" i="20" l="1"/>
  <c r="L118" i="20" s="1"/>
  <c r="L117" i="20"/>
  <c r="I104" i="20"/>
  <c r="F121" i="20"/>
  <c r="F99" i="20"/>
  <c r="D99" i="20"/>
  <c r="H119" i="20"/>
  <c r="F122" i="20"/>
  <c r="H105" i="20"/>
  <c r="CX139" i="25"/>
  <c r="CT139" i="25"/>
  <c r="G106" i="20"/>
  <c r="J104" i="20" l="1"/>
  <c r="I99" i="20"/>
  <c r="F105" i="20"/>
  <c r="D105" i="20"/>
  <c r="I122" i="20"/>
  <c r="J122" i="20" s="1"/>
  <c r="K104" i="20"/>
  <c r="K122" i="20"/>
  <c r="L122" i="20" s="1"/>
  <c r="F119" i="20"/>
  <c r="K139" i="20"/>
  <c r="K140" i="20" s="1"/>
  <c r="I139" i="20"/>
  <c r="I140" i="20" s="1"/>
  <c r="C106" i="20"/>
  <c r="I125" i="20" l="1"/>
  <c r="J125" i="20" s="1"/>
  <c r="K125" i="20"/>
  <c r="I119" i="20"/>
  <c r="J119" i="20" s="1"/>
  <c r="K119" i="20"/>
  <c r="L119" i="20" s="1"/>
  <c r="I105" i="20"/>
  <c r="K99" i="20"/>
  <c r="L125" i="20" s="1"/>
  <c r="J99" i="20"/>
  <c r="K105" i="20" l="1"/>
  <c r="J105" i="20"/>
  <c r="I106"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Contabilidad</author>
  </authors>
  <commentList>
    <comment ref="A70" authorId="0" shapeId="0" xr:uid="{00000000-0006-0000-0000-000001000000}">
      <text>
        <r>
          <rPr>
            <b/>
            <sz val="9"/>
            <color indexed="81"/>
            <rFont val="Tahoma"/>
            <family val="2"/>
          </rPr>
          <t>Contabilidad:</t>
        </r>
        <r>
          <rPr>
            <sz val="9"/>
            <color indexed="81"/>
            <rFont val="Tahoma"/>
            <family val="2"/>
          </rPr>
          <t xml:space="preserve">
Terceros, vueltos y propinas</t>
        </r>
      </text>
    </comment>
    <comment ref="A118" authorId="0" shapeId="0" xr:uid="{00000000-0006-0000-0000-000002000000}">
      <text>
        <r>
          <rPr>
            <b/>
            <sz val="9"/>
            <color indexed="81"/>
            <rFont val="Tahoma"/>
            <family val="2"/>
          </rPr>
          <t>Contabilidad:</t>
        </r>
        <r>
          <rPr>
            <sz val="9"/>
            <color indexed="81"/>
            <rFont val="Tahoma"/>
            <family val="2"/>
          </rPr>
          <t xml:space="preserve">
Utilidad neta acum/ Ventas Netas acum</t>
        </r>
      </text>
    </comment>
    <comment ref="A119" authorId="0" shapeId="0" xr:uid="{00000000-0006-0000-0000-000003000000}">
      <text>
        <r>
          <rPr>
            <b/>
            <sz val="9"/>
            <color indexed="81"/>
            <rFont val="Tahoma"/>
            <family val="2"/>
          </rPr>
          <t>Contabilidad:</t>
        </r>
        <r>
          <rPr>
            <sz val="9"/>
            <color indexed="81"/>
            <rFont val="Tahoma"/>
            <family val="2"/>
          </rPr>
          <t xml:space="preserve">
Utilidad neta acum/ Patrimonio
Por cada $ invertido los socios ganan tantos $
Es lo que se gana por hacer una inversión, comparando la utilidad con la inversión
Mide el rendimiento que obtienen los accionistas por cada $ invertido. La rentabilidad que le ofrece a los socios el capital invertido en la empresa. La capacidad que tiene la empresa de remunerar a los accionistas
A&gt; ROE mayor será la rentabilidad de la empresa.
La rentabilidad del patrimonio (ROE por sus siglas en inglés) es un indicador financiero que mide la eficiencia con la que una empresa utiliza sus recursos propios (patrimonio) para generar ganancias.
Un ROE alto indica que la empresa está generando una buena cantidad de ganancias en relación con su inversión en patrimonio.
Un ROE bajo indica que la empresa no está utilizando sus recursos de manera eficiente o que está enfrentando dificultades financieras.</t>
        </r>
      </text>
    </comment>
    <comment ref="A120" authorId="0" shapeId="0" xr:uid="{00000000-0006-0000-0000-000004000000}">
      <text>
        <r>
          <rPr>
            <b/>
            <sz val="9"/>
            <color indexed="81"/>
            <rFont val="Tahoma"/>
            <family val="2"/>
          </rPr>
          <t>Contabilidad:</t>
        </r>
        <r>
          <rPr>
            <sz val="9"/>
            <color indexed="81"/>
            <rFont val="Tahoma"/>
            <family val="2"/>
          </rPr>
          <t xml:space="preserve">
Inv del período*meses transurridos/costo acum
Mide el número de meses de inventario disponible para la venta. A menor numero de meses mayor eficiencia
La empresa tarda tantos meses en vender todo su inventario </t>
        </r>
      </text>
    </comment>
    <comment ref="A121" authorId="0" shapeId="0" xr:uid="{00000000-0006-0000-0000-000005000000}">
      <text>
        <r>
          <rPr>
            <b/>
            <sz val="9"/>
            <color indexed="81"/>
            <rFont val="Tahoma"/>
            <family val="2"/>
          </rPr>
          <t>Contabilidad:</t>
        </r>
        <r>
          <rPr>
            <sz val="9"/>
            <color indexed="81"/>
            <rFont val="Tahoma"/>
            <family val="2"/>
          </rPr>
          <t xml:space="preserve">
Ventas Netas acum/ Activos
Mide la productividad (utilidad) de cuantos $ genera cada $ invertido en activos. 
La capacidad de los act de la empresa para generar renta por ellos mismos, sin importar el origen de la financiación. 
A &gt; valor &gt; será la eficiencia de la empresa
A &gt; utilidad  &gt;ROA, los activos están produciendo mayor rentabilidad
La eficiencia con la que una empresa utiliza sus activos netos para generar ingresos de ventas
Evaluar la necesitad de tener activos no esenciales, tener activos más eficientes o activos generadores de ingresos
Si la rotación de activos de tu empresa es inferior al promedio, esto podría indicar que la empresa está invirtiendo demasiado capital en activos y no está generando suficientes ventas para justificar esa inversión.
Por otro lado, si la rotación de activos de tu empresa es superior al promedio, esto podría indicar que la empresa está utilizando sus activos de manera eficiente y está generando suficientes ventas para justificar esa inversión.
la rotación de activos de la empresa se encuentra por debajo del promedio del sector, lo que podría indicar que la empresa está invirtiendo demasiado capital en activos y no está generando suficientes ventas para justificar esa inversión.</t>
        </r>
      </text>
    </comment>
    <comment ref="A122" authorId="0" shapeId="0" xr:uid="{00000000-0006-0000-0000-000006000000}">
      <text>
        <r>
          <rPr>
            <b/>
            <sz val="9"/>
            <color indexed="81"/>
            <rFont val="Tahoma"/>
            <family val="2"/>
          </rPr>
          <t>Contabilidad:</t>
        </r>
        <r>
          <rPr>
            <sz val="9"/>
            <color indexed="81"/>
            <rFont val="Tahoma"/>
            <family val="2"/>
          </rPr>
          <t xml:space="preserve">
Es un indicador financiero que mide la eficiencia con la que una empresa utiliza sus activos para generar utilidades.
Margen neto: Un mayor margen neto conduce a un ROA más alto.
Eficiencia operativa: Una menor rotación de activos (mayor inversión en inventario) puede reducir el ROA.
Apalancamiento financiero: Un mayor nivel de deuda (endeudamiento) puede aumentar el ROA, pero también incrementa el riesgo financiero.</t>
        </r>
      </text>
    </comment>
    <comment ref="A123" authorId="0" shapeId="0" xr:uid="{00000000-0006-0000-0000-000007000000}">
      <text>
        <r>
          <rPr>
            <b/>
            <sz val="9"/>
            <color indexed="81"/>
            <rFont val="Tahoma"/>
            <family val="2"/>
          </rPr>
          <t>Contabilidad:</t>
        </r>
        <r>
          <rPr>
            <sz val="9"/>
            <color indexed="81"/>
            <rFont val="Tahoma"/>
            <family val="2"/>
          </rPr>
          <t xml:space="preserve">
CXC del período/ingresos*numero de días transcurridos
Tiempo que tarda la empresa en cobrar las facturas. Días por período que la compania tarda en convertir en efectivo las CxC.
&gt; tiempo más lento se cobra o recolecta el dinero para el uso en la empresa</t>
        </r>
      </text>
    </comment>
    <comment ref="A124" authorId="0" shapeId="0" xr:uid="{00000000-0006-0000-0000-000008000000}">
      <text>
        <r>
          <rPr>
            <b/>
            <sz val="9"/>
            <color indexed="81"/>
            <rFont val="Tahoma"/>
            <family val="2"/>
          </rPr>
          <t>Contabilidad:</t>
        </r>
        <r>
          <rPr>
            <sz val="9"/>
            <color indexed="81"/>
            <rFont val="Tahoma"/>
            <family val="2"/>
          </rPr>
          <t xml:space="preserve">
Act corriente/ Pas corriente
Este ratio mide la capacidad de la empresa para pagar sus deudas a corto plazo utilizando sus activos más líquidos. Es el indicador clave de la solvencia a corto plazo o liquidez.
Por cada $1.00 de deuda a corto plazo, la empresa tiene $1.50 a $2.00 en activos fácilmente convertibles en efectivo.
si es 1 Vulnerable. Aunque teóricamente cubre sus deudas, no hay margen de seguridad (colchón). Cualquier retraso en la cobranza o caída en el valor de inventario podría llevar a problemas de liquidez.</t>
        </r>
      </text>
    </comment>
    <comment ref="A125" authorId="0" shapeId="0" xr:uid="{00000000-0006-0000-0000-000009000000}">
      <text>
        <r>
          <rPr>
            <b/>
            <sz val="9"/>
            <color indexed="81"/>
            <rFont val="Tahoma"/>
            <family val="2"/>
          </rPr>
          <t>Contabilidad:</t>
        </r>
        <r>
          <rPr>
            <sz val="9"/>
            <color indexed="81"/>
            <rFont val="Tahoma"/>
            <family val="2"/>
          </rPr>
          <t xml:space="preserve">
Total Pasivo/ Patrimonio
Esta es la fórmula clásica para medir el apalancamiento o la dependencia de la empresa de la financiación externa en comparación con los recursos que aportan sus dueños (capital propio).
¿Qué mide? La relación entre los recursos ajenos (deuda) y los recursos propios (patrimonio). Indica cuántos $ de deuda tiene la empresa por cada $ de capital propio.
Si es &gt; 1.0: Las deudas superan a los recursos propios. La empresa tiene mayor financiación ajena que propia, lo que implica un mayor riesgo financiero y menor autonomía.</t>
        </r>
      </text>
    </comment>
    <comment ref="A126" authorId="0" shapeId="0" xr:uid="{00000000-0006-0000-0000-00000A000000}">
      <text>
        <r>
          <rPr>
            <b/>
            <sz val="9"/>
            <color indexed="81"/>
            <rFont val="Tahoma"/>
            <family val="2"/>
          </rPr>
          <t>Contabilidad:</t>
        </r>
        <r>
          <rPr>
            <sz val="9"/>
            <color indexed="81"/>
            <rFont val="Tahoma"/>
            <family val="2"/>
          </rPr>
          <t xml:space="preserve">
(Act corriente-Inv)/Pas corriente
La capacidad de la empresa para cumplir con las obligaciones sin vender inventario
La empresa cuenta con tantos $ para cubrir  1$ de cada pasivo </t>
        </r>
      </text>
    </comment>
    <comment ref="A127" authorId="0" shapeId="0" xr:uid="{00000000-0006-0000-0000-00000B000000}">
      <text>
        <r>
          <rPr>
            <b/>
            <sz val="9"/>
            <color indexed="81"/>
            <rFont val="Tahoma"/>
            <family val="2"/>
          </rPr>
          <t>Contabilidad:</t>
        </r>
        <r>
          <rPr>
            <sz val="9"/>
            <color indexed="81"/>
            <rFont val="Tahoma"/>
            <family val="2"/>
          </rPr>
          <t xml:space="preserve">
Caja y bancos/Pas corriente
La capacidad de operación con los activos más liquidos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Contabilidad</author>
  </authors>
  <commentList>
    <comment ref="L95" authorId="0" shapeId="0" xr:uid="{00000000-0006-0000-0100-000001000000}">
      <text>
        <r>
          <rPr>
            <b/>
            <sz val="9"/>
            <color indexed="81"/>
            <rFont val="Tahoma"/>
            <family val="2"/>
          </rPr>
          <t>Contabilidad:</t>
        </r>
        <r>
          <rPr>
            <sz val="9"/>
            <color indexed="81"/>
            <rFont val="Tahoma"/>
            <family val="2"/>
          </rPr>
          <t xml:space="preserve">
CAF</t>
        </r>
      </text>
    </comment>
    <comment ref="A113" authorId="0" shapeId="0" xr:uid="{00000000-0006-0000-0100-00000200000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14" authorId="0" shapeId="0" xr:uid="{00000000-0006-0000-0100-000003000000}">
      <text>
        <r>
          <rPr>
            <b/>
            <sz val="9"/>
            <color indexed="81"/>
            <rFont val="Tahoma"/>
            <family val="2"/>
          </rPr>
          <t>Contabilidad:</t>
        </r>
        <r>
          <rPr>
            <sz val="9"/>
            <color indexed="81"/>
            <rFont val="Tahoma"/>
            <family val="2"/>
          </rPr>
          <t xml:space="preserve">
Permite comparar empresas de diferentes sectores y estructuras de capital, ya que elimina la influencia de factores financieros y fiscales dispares. 
Aísla el desempeño operativo de la empresa, permitiendo evaluar qué tan bien genera utilidades a partir de sus actividades principales. 
Ofrece una perspectiva sobre la capacidad de la empresa para cumplir con sus obligaciones financieras, como el pago de intereses y la amortización de deuda. 
Analisis sin considerar ciertos gastos especificos de una empresa</t>
        </r>
      </text>
    </comment>
    <comment ref="A138" authorId="0" shapeId="0" xr:uid="{00000000-0006-0000-0100-00000400000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Contabilidad</author>
  </authors>
  <commentList>
    <comment ref="A205" authorId="0" shapeId="0" xr:uid="{00000000-0006-0000-0200-000001000000}">
      <text>
        <r>
          <rPr>
            <b/>
            <sz val="9"/>
            <color indexed="81"/>
            <rFont val="Tahoma"/>
            <family val="2"/>
          </rPr>
          <t>Contabilidad:</t>
        </r>
        <r>
          <rPr>
            <sz val="9"/>
            <color indexed="81"/>
            <rFont val="Tahoma"/>
            <family val="2"/>
          </rPr>
          <t xml:space="preserve">
Según el total de ventas y las ventas de cada unidad de negocio se sacó el % de contribución de cada una
 Mayor 81,61%
Eventos 3,85%
Terracota 11,99%
Ucafe 2,54%</t>
        </r>
      </text>
    </comment>
  </commentList>
</comments>
</file>

<file path=xl/sharedStrings.xml><?xml version="1.0" encoding="utf-8"?>
<sst xmlns="http://schemas.openxmlformats.org/spreadsheetml/2006/main" count="1045" uniqueCount="799">
  <si>
    <t>Mantenimiento y reparaciones</t>
  </si>
  <si>
    <t>Otros gastos no asociados al costo</t>
  </si>
  <si>
    <t>Otros gastos de publicidad y promoción</t>
  </si>
  <si>
    <t xml:space="preserve">Gastos de servicios de telefonía e internet </t>
  </si>
  <si>
    <t>Gastos de alquiler del local</t>
  </si>
  <si>
    <t xml:space="preserve">Gastos de Condominio </t>
  </si>
  <si>
    <t>Gastos de asistencia outsorsing</t>
  </si>
  <si>
    <t>Gastos de alquiler de bienes muebles</t>
  </si>
  <si>
    <t>Gastos de artículos de oficina</t>
  </si>
  <si>
    <t xml:space="preserve">Gastos de artículos de limpieza e higiene </t>
  </si>
  <si>
    <t xml:space="preserve">Gastos de alimentos y bebidas </t>
  </si>
  <si>
    <t>Gastos de envíos y encomiendas administrativas</t>
  </si>
  <si>
    <t>Gastos de honorarios profesionales</t>
  </si>
  <si>
    <t xml:space="preserve">Gastos de estacionamiento </t>
  </si>
  <si>
    <t xml:space="preserve">Gastos de gestoría </t>
  </si>
  <si>
    <t xml:space="preserve">Gastos legales </t>
  </si>
  <si>
    <t>Gastos de taxi, transporte y/o delivery</t>
  </si>
  <si>
    <t xml:space="preserve">Gastos de suministros para taller </t>
  </si>
  <si>
    <t xml:space="preserve">Gastos de suministros del café </t>
  </si>
  <si>
    <t xml:space="preserve">Gastos por fiestas, festejos y/o reuniones </t>
  </si>
  <si>
    <t>Gastos de vigilancia</t>
  </si>
  <si>
    <t xml:space="preserve">Gastos de retenciones no descontadas </t>
  </si>
  <si>
    <t>Viáticos administrativos</t>
  </si>
  <si>
    <t>Gastos de seguro</t>
  </si>
  <si>
    <t>Gastos de impuestos, tasas y contribuciones</t>
  </si>
  <si>
    <t>Depreciaciones, deterioro y Amortización</t>
  </si>
  <si>
    <t xml:space="preserve">Gastos Bancarios </t>
  </si>
  <si>
    <t>Otros gastos de personal</t>
  </si>
  <si>
    <t>ISLR</t>
  </si>
  <si>
    <t>% Vtas</t>
  </si>
  <si>
    <t>% Gastos</t>
  </si>
  <si>
    <t>Pérdida en tasa cambiaria</t>
  </si>
  <si>
    <t>Multas</t>
  </si>
  <si>
    <t>PARTIDAS</t>
  </si>
  <si>
    <t>Ingresos por venta de mercancía</t>
  </si>
  <si>
    <t>Gastos de TI+I</t>
  </si>
  <si>
    <t>Devoluciones sobre ventas</t>
  </si>
  <si>
    <t>Total Ingresos</t>
  </si>
  <si>
    <t>ESTADO DE RESULTADOS</t>
  </si>
  <si>
    <t xml:space="preserve">Subtotal Ingresos por Venta de Mercancia </t>
  </si>
  <si>
    <t>Ingresos por servicios del café</t>
  </si>
  <si>
    <t>Ingresos por zona FIT</t>
  </si>
  <si>
    <t>Ingresos por fletes</t>
  </si>
  <si>
    <t xml:space="preserve">Subtotal Ingresos por Servicios </t>
  </si>
  <si>
    <t>Subtotal Ingresos por Eventos</t>
  </si>
  <si>
    <t>Ingresos por eventos</t>
  </si>
  <si>
    <t>Subtotal Ingresos por Taller</t>
  </si>
  <si>
    <t xml:space="preserve">Total Costo de Ventas </t>
  </si>
  <si>
    <t xml:space="preserve">Subtotal Costo de Ventas por Mercancia </t>
  </si>
  <si>
    <t>Costo de venta por mercancía</t>
  </si>
  <si>
    <t>Subtotal Costo de Ventas por Servicios</t>
  </si>
  <si>
    <t>Costo de venta por servicio del café</t>
  </si>
  <si>
    <t>Ingresos por taller</t>
  </si>
  <si>
    <t>Descuentos sobre ventas</t>
  </si>
  <si>
    <t>Subtotal Costo de Ventas por Eventos</t>
  </si>
  <si>
    <t>Costo de ventas por eventos</t>
  </si>
  <si>
    <t>Utilidad Bruta por Servicios</t>
  </si>
  <si>
    <t>Utilidad Bruta por Eventos</t>
  </si>
  <si>
    <t>Utilidad Bruta por Venta de Mercancia y Taller</t>
  </si>
  <si>
    <t>Utilidad Bruta</t>
  </si>
  <si>
    <t>Subtotal Gastos de Administración</t>
  </si>
  <si>
    <t>Gastos de servicios públicos (Agua, luz, Aseo Urbano)</t>
  </si>
  <si>
    <t>Subtotal Gastos de Recursos Humanos</t>
  </si>
  <si>
    <t>Gastos de sueldos y salarios empleados y directivos</t>
  </si>
  <si>
    <t>Gastos de personal externo</t>
  </si>
  <si>
    <t>Gastos de pasivos laborales vacaciones</t>
  </si>
  <si>
    <t>Gastos de pasivos laborales utilidades</t>
  </si>
  <si>
    <t>Gastos de pasivos laborales prestaciones e intereses</t>
  </si>
  <si>
    <t>Gastos de pasivos laborales aportes</t>
  </si>
  <si>
    <t>Gastos de complementos empleados y directivos</t>
  </si>
  <si>
    <t>Gastos de pasivos laborales bono de guardería</t>
  </si>
  <si>
    <t>Gastos de pasivos laborales HCM</t>
  </si>
  <si>
    <t>Gastos de salud y seguridad laboral</t>
  </si>
  <si>
    <t>Gastos de salud y seguridad laboral dotación</t>
  </si>
  <si>
    <t>Gastos de salud y seguridad laboral fiestas y agasajos</t>
  </si>
  <si>
    <t>Subtotal Gastos de Comercialización y Logistica</t>
  </si>
  <si>
    <t xml:space="preserve">Gastos de viáticos comerciales </t>
  </si>
  <si>
    <t>Gastos de fletes y envios no asociados al costo</t>
  </si>
  <si>
    <t>Gastos por combustible</t>
  </si>
  <si>
    <t>Gastos por garantia</t>
  </si>
  <si>
    <t>Gastos de representación</t>
  </si>
  <si>
    <t>Gastos por suscripciones</t>
  </si>
  <si>
    <t>Subtotal Gastos de Mercadeo</t>
  </si>
  <si>
    <t>Gastos de redes sociales</t>
  </si>
  <si>
    <t>Gastos de medios publicitarios</t>
  </si>
  <si>
    <t>Gastos de patrocinio y donación</t>
  </si>
  <si>
    <t>Gastos de viáticos por eventos</t>
  </si>
  <si>
    <t>Gastos de materiales y servicios por eventos</t>
  </si>
  <si>
    <t xml:space="preserve">Gastos de alimentos y bebidas por eventos </t>
  </si>
  <si>
    <t>Gastos de personal por eventos</t>
  </si>
  <si>
    <t>Gastos de patrocinio, donación y/o obseq por eventos</t>
  </si>
  <si>
    <t>Gastos de página web</t>
  </si>
  <si>
    <t>Gastos de desarrollo</t>
  </si>
  <si>
    <t>Utilidad antes de intereses, impuestos, depreciación y amortización (EBITDA)</t>
  </si>
  <si>
    <t>Utilidad antes de Intereses e Impuestos (EBIT)</t>
  </si>
  <si>
    <t>Faltante en Ventas</t>
  </si>
  <si>
    <t>Pérdida en venta de activos</t>
  </si>
  <si>
    <t>Pérdida en siniestro de activos</t>
  </si>
  <si>
    <t>Pérdida por diferencia en pagos</t>
  </si>
  <si>
    <t>Faltante de inventarios</t>
  </si>
  <si>
    <t>Otros Ingresos no Operacionales</t>
  </si>
  <si>
    <t>Total Gastos Operacionales</t>
  </si>
  <si>
    <t>Otros Gastos no Operacionales</t>
  </si>
  <si>
    <t>Total Gastos Operacionales y No Operacionales</t>
  </si>
  <si>
    <t>Ingresos por alquileres</t>
  </si>
  <si>
    <t>Ingresos por intereses</t>
  </si>
  <si>
    <t>Ingresos por comisiones</t>
  </si>
  <si>
    <t>Ingresos por servicios administrativos</t>
  </si>
  <si>
    <t>Sobrante en ventas</t>
  </si>
  <si>
    <t>Sobrante de inventarios</t>
  </si>
  <si>
    <t>Ganancia en venta de activos</t>
  </si>
  <si>
    <t>Ganancia por tasa cambiaria</t>
  </si>
  <si>
    <t>Ganancia por diferencias en pagos</t>
  </si>
  <si>
    <t>Utilidad Neta</t>
  </si>
  <si>
    <t>Utilidad Neta despues de ISLR</t>
  </si>
  <si>
    <t>Gastos de comisiones por ventas</t>
  </si>
  <si>
    <t xml:space="preserve">Gastos de intereses sobre préstamos </t>
  </si>
  <si>
    <t>Utilidad antes de Comisiones por Ventas</t>
  </si>
  <si>
    <t>Utilidad después de Comisiones por Ventas</t>
  </si>
  <si>
    <t>ENE</t>
  </si>
  <si>
    <t>FEB</t>
  </si>
  <si>
    <t>Vari Rel.</t>
  </si>
  <si>
    <t>MAR</t>
  </si>
  <si>
    <t>ACUM PPTO</t>
  </si>
  <si>
    <t>Var PPTO</t>
  </si>
  <si>
    <t>ACUM EJEC</t>
  </si>
  <si>
    <t>Efectivo y Equivalentes</t>
  </si>
  <si>
    <t>ACTIVOS CORRIENTES</t>
  </si>
  <si>
    <t>Caja en $</t>
  </si>
  <si>
    <t>Fondo en $</t>
  </si>
  <si>
    <t>Cuentas por Cobrar</t>
  </si>
  <si>
    <t>Otras Cuentas por Cobrar</t>
  </si>
  <si>
    <t>Vuelto por cobrar terceros</t>
  </si>
  <si>
    <t>Por sociedades</t>
  </si>
  <si>
    <t>Préstamos por Cobrar</t>
  </si>
  <si>
    <t>Anticipos</t>
  </si>
  <si>
    <t>A socios</t>
  </si>
  <si>
    <t>A proveedores</t>
  </si>
  <si>
    <t>A terceros</t>
  </si>
  <si>
    <t>A clientes</t>
  </si>
  <si>
    <t>A empresas relacionadas del grupo</t>
  </si>
  <si>
    <t>A empresas externas del grupo</t>
  </si>
  <si>
    <t>A empleados</t>
  </si>
  <si>
    <t>Inventarios</t>
  </si>
  <si>
    <t>De mercancía</t>
  </si>
  <si>
    <t>De suministros</t>
  </si>
  <si>
    <t>En tránsito</t>
  </si>
  <si>
    <t>A consignación</t>
  </si>
  <si>
    <t>Prepagados</t>
  </si>
  <si>
    <t>Gastos pagados por anticipado</t>
  </si>
  <si>
    <t>ESTADO DE SITUACIÓN FINANCIERA</t>
  </si>
  <si>
    <t>ACTIVOS NO CORRIENTES</t>
  </si>
  <si>
    <t>Anticipos LP</t>
  </si>
  <si>
    <t>Otros activos no corrientes</t>
  </si>
  <si>
    <t>Propiedades de inversión</t>
  </si>
  <si>
    <t>Préstamos por cobrar LP</t>
  </si>
  <si>
    <t>Otras cuentas por cobrar a LP</t>
  </si>
  <si>
    <t>Propiedades, Plantas y Equipos</t>
  </si>
  <si>
    <t>Terrenos</t>
  </si>
  <si>
    <t>Mobiliario y equipos</t>
  </si>
  <si>
    <t>Maquinaria y equipos</t>
  </si>
  <si>
    <t>Vehiculos</t>
  </si>
  <si>
    <t>Edificios y construcciones</t>
  </si>
  <si>
    <t>Materiales de eventos</t>
  </si>
  <si>
    <t>Herramientas</t>
  </si>
  <si>
    <t>Utensilios y equipos de cocina</t>
  </si>
  <si>
    <t>Equipamiento deportivo</t>
  </si>
  <si>
    <t>Software Odoo</t>
  </si>
  <si>
    <t>TOTAL ACTIVOS</t>
  </si>
  <si>
    <t>Cuentas por Pagar</t>
  </si>
  <si>
    <t xml:space="preserve">A proveedores </t>
  </si>
  <si>
    <t>Cuentas por pagar TDC y TDC</t>
  </si>
  <si>
    <t>A proveedores en consignación</t>
  </si>
  <si>
    <t>Otras cuentas por pagar</t>
  </si>
  <si>
    <t>Descuentos a empleados por pagar</t>
  </si>
  <si>
    <t>Retenciones laborales a pagar</t>
  </si>
  <si>
    <t>Aportes patronales por pagar</t>
  </si>
  <si>
    <t>Intereses por pagar</t>
  </si>
  <si>
    <t>Impuestos por pagar</t>
  </si>
  <si>
    <t>Dividendos por pagar</t>
  </si>
  <si>
    <t>Préstamos por Pagar</t>
  </si>
  <si>
    <t>Prestamos bancarios por pagar</t>
  </si>
  <si>
    <t xml:space="preserve">Otros prestamos por pagar </t>
  </si>
  <si>
    <t>De clientes</t>
  </si>
  <si>
    <t>De socios</t>
  </si>
  <si>
    <t>No reportados</t>
  </si>
  <si>
    <t>Provisiones</t>
  </si>
  <si>
    <t>PASIVOS CORRIENTES</t>
  </si>
  <si>
    <t>PASIVOS NO CORRIENTES</t>
  </si>
  <si>
    <t>Prestamos por pagar LP</t>
  </si>
  <si>
    <t>TOTAL PASIVOS</t>
  </si>
  <si>
    <t>PATRIMONIO</t>
  </si>
  <si>
    <t>Capital social</t>
  </si>
  <si>
    <t>Reservas legales y estatutarias</t>
  </si>
  <si>
    <t>Superavit por revaluacion</t>
  </si>
  <si>
    <t>Resultados acumulados</t>
  </si>
  <si>
    <t>Resultados del ejercicio</t>
  </si>
  <si>
    <t>TOTAL PASIVOS Y PATRIMONIO</t>
  </si>
  <si>
    <t>INDICADORES</t>
  </si>
  <si>
    <t xml:space="preserve">Impuestos </t>
  </si>
  <si>
    <t>Sueldos y Salarios por pagar</t>
  </si>
  <si>
    <t>Gastos de comisiones por ventas taller</t>
  </si>
  <si>
    <t>ROE (10% y 20%)</t>
  </si>
  <si>
    <t>Período de cobro (30 a 60 días max )</t>
  </si>
  <si>
    <t>DIVIDENDOS</t>
  </si>
  <si>
    <t>TOTAL DIVIDENDOS</t>
  </si>
  <si>
    <t>Resultado del ejercicio</t>
  </si>
  <si>
    <t>Utilidades reinvertidas</t>
  </si>
  <si>
    <t>% ACCIONES</t>
  </si>
  <si>
    <t>Prueba Ácida (entre 0,8 y 1)</t>
  </si>
  <si>
    <t>Prueba Defensiva (entre 0,5 Y 0,7)</t>
  </si>
  <si>
    <t>ABR</t>
  </si>
  <si>
    <t>Ingresos Brutos</t>
  </si>
  <si>
    <t>Costo de ventas</t>
  </si>
  <si>
    <t>Rotación de Inventarios (2 y 3 meses)</t>
  </si>
  <si>
    <t>Rotación de Activos (entre 1,5 a 2 veces al año)</t>
  </si>
  <si>
    <t>Margen Bruto (30% a 50%)</t>
  </si>
  <si>
    <t>Margen Neto (5% y 15%)</t>
  </si>
  <si>
    <t>Rentabilidad de Activos (ROA) (5% a 15%)</t>
  </si>
  <si>
    <t>MAY</t>
  </si>
  <si>
    <t>JUN</t>
  </si>
  <si>
    <t>PROM 6 EJEC</t>
  </si>
  <si>
    <t>PROM 6 PPTO</t>
  </si>
  <si>
    <t>JUL</t>
  </si>
  <si>
    <t>AGO</t>
  </si>
  <si>
    <t>SEPT</t>
  </si>
  <si>
    <t>OCT</t>
  </si>
  <si>
    <t>NOV</t>
  </si>
  <si>
    <t>DIC</t>
  </si>
  <si>
    <t>ANUAL</t>
  </si>
  <si>
    <t>Total Ingresos Operativos</t>
  </si>
  <si>
    <t>Ingresos por venta de mercancias</t>
  </si>
  <si>
    <t xml:space="preserve">Devoluciones sobre ventas </t>
  </si>
  <si>
    <t>Descuentos sobre ventas plan de fidelización</t>
  </si>
  <si>
    <t>Ingresos por servicios zona FIT</t>
  </si>
  <si>
    <t>Ingresos por servicios de fletes</t>
  </si>
  <si>
    <t>Ingresos por otros servicios</t>
  </si>
  <si>
    <t>Ingresos por Taller</t>
  </si>
  <si>
    <t>Total Ingresos No Operativos</t>
  </si>
  <si>
    <t xml:space="preserve">Costos de venta por mercancia </t>
  </si>
  <si>
    <t>Costos de venta por servicios del café</t>
  </si>
  <si>
    <t>Costos de venta por eventos</t>
  </si>
  <si>
    <t xml:space="preserve">Total Gastos </t>
  </si>
  <si>
    <t>Gastos de asistencia outsorcing</t>
  </si>
  <si>
    <t>Gastos de mantenimiento y reparación de mobiliario y equipo</t>
  </si>
  <si>
    <t>Gastos de mantenimiento y reparación de vehiculo</t>
  </si>
  <si>
    <t>Gastos de mantenimiento y reparación de edificaciones</t>
  </si>
  <si>
    <t>Gastos de mantenimiento y reparación a la propiedad alq.</t>
  </si>
  <si>
    <t>Gastos de mantenimiento y reparación de maquinaria y equipos</t>
  </si>
  <si>
    <t>Gastos de pasajes por viáticos administrativos</t>
  </si>
  <si>
    <t>Gastos de comida por viáticos administrativos</t>
  </si>
  <si>
    <t>Gastos de hospedaje por viáticos administrativos</t>
  </si>
  <si>
    <t>Gastos de transporte por viáticos administrativos</t>
  </si>
  <si>
    <t>Otros gastos de viáticos administrativos</t>
  </si>
  <si>
    <t>Gastos de seguro de edificaciones</t>
  </si>
  <si>
    <t>Gastos de seguro de vehiculos</t>
  </si>
  <si>
    <t>Gastos de patente vehicular</t>
  </si>
  <si>
    <t>Gastos de tasas de notaria y registro</t>
  </si>
  <si>
    <t>Gastos de impuesto por licencia de actividades economicas</t>
  </si>
  <si>
    <t>Gastos de impuesto por publicidad</t>
  </si>
  <si>
    <t>Gastos de tasa sencamer</t>
  </si>
  <si>
    <t>Gasto por impuesto a las pensiones</t>
  </si>
  <si>
    <t>Gasto por otras tasas</t>
  </si>
  <si>
    <t>Gastos de depreciación de mobiliario y equipo</t>
  </si>
  <si>
    <t xml:space="preserve">Gastos de depreciación de vehículos </t>
  </si>
  <si>
    <t>Gastos de depreciación de edificaciones</t>
  </si>
  <si>
    <t>Gastos de depreciación de maquinarias y equipos</t>
  </si>
  <si>
    <t>Gastos de deterioro de mobiliario y equipo</t>
  </si>
  <si>
    <t xml:space="preserve">Gastos de deterioro de vehículos </t>
  </si>
  <si>
    <t>Gastos de deterioro de edificaciones</t>
  </si>
  <si>
    <t>Gastos de deterioro de maquinarias y equipos</t>
  </si>
  <si>
    <t>Gastos de deterioro por cuentas incobrables</t>
  </si>
  <si>
    <t>Gastos de amortización de software</t>
  </si>
  <si>
    <t xml:space="preserve">Gastos de comisiones bancarias </t>
  </si>
  <si>
    <t xml:space="preserve">Gastos de IGTF </t>
  </si>
  <si>
    <t>Gastos de intereses de mora</t>
  </si>
  <si>
    <t>Gastos de intereses sobre préstamos de terceros</t>
  </si>
  <si>
    <t xml:space="preserve">Gastos de intereses sobre préstamos bancarios </t>
  </si>
  <si>
    <t xml:space="preserve">Gastos de sueldos y salarios empleados </t>
  </si>
  <si>
    <t>Gastos de sueldos y salarios directivos</t>
  </si>
  <si>
    <t xml:space="preserve">Gastos de horas extras, feriados y bono nocturno </t>
  </si>
  <si>
    <t>Gastos de complemento de sueldos y salarios empleados</t>
  </si>
  <si>
    <t>Gastos de complemento de sueldos y salarios directivos</t>
  </si>
  <si>
    <t>Gastos de Bono de alimentación empleados</t>
  </si>
  <si>
    <t>Gastos de Bono de alimentación directivos</t>
  </si>
  <si>
    <t xml:space="preserve">Gastos de vacaciones empleados </t>
  </si>
  <si>
    <t>Gastos de vacaciones directivos</t>
  </si>
  <si>
    <t>Gastos de complemento de vacaciones empleados</t>
  </si>
  <si>
    <t xml:space="preserve">Gastos de complemento de vacaciones directivos </t>
  </si>
  <si>
    <t xml:space="preserve">Gastos de otros bonos empleados </t>
  </si>
  <si>
    <t xml:space="preserve">Gastos de servicios de personal externo </t>
  </si>
  <si>
    <t xml:space="preserve">Gastos de bono vacacional empleados </t>
  </si>
  <si>
    <t>Gastos de bono vacacional directivos</t>
  </si>
  <si>
    <t>Gastos de complemento bono vacacional empleados</t>
  </si>
  <si>
    <t>Gastos de complemento bono vacacional directivos</t>
  </si>
  <si>
    <t xml:space="preserve">Gastos de utilidades empleados </t>
  </si>
  <si>
    <t>Gastos de utilidades directivos</t>
  </si>
  <si>
    <t>Gastos de complemento de utilidades empleados</t>
  </si>
  <si>
    <t>Gastos de complemento de utilidades directivos</t>
  </si>
  <si>
    <t xml:space="preserve">Gastos de prestaciones sociales empleados </t>
  </si>
  <si>
    <t>Gastos de prestaciones sociales directivos</t>
  </si>
  <si>
    <t xml:space="preserve">Gastos de complemento de prestaciones sociales empleados </t>
  </si>
  <si>
    <t>Gastos de complemento de prestaciones sociales directivos</t>
  </si>
  <si>
    <t>Gastos de intereses sobres prestaciones sociales empleados</t>
  </si>
  <si>
    <t>Gastos de intereses sobres prestaciones sociales directivos</t>
  </si>
  <si>
    <t xml:space="preserve">Gastos de complemento de intereses sobre prestaciones sociales empleados </t>
  </si>
  <si>
    <t>Gastos de complemento de intereses sobre prestaciones sociales directivos</t>
  </si>
  <si>
    <t xml:space="preserve">Gastos de aporte patronal IVSS </t>
  </si>
  <si>
    <t xml:space="preserve">Gastos de aporte patronal SPF </t>
  </si>
  <si>
    <t>Gastos de aporte patronal FAOV</t>
  </si>
  <si>
    <t>Gastos de aporte patronal INCES</t>
  </si>
  <si>
    <t>Gastos de bono de guardería</t>
  </si>
  <si>
    <t>Gastos de póliza HCM</t>
  </si>
  <si>
    <t xml:space="preserve">Gastos de salud y seguridad laboral </t>
  </si>
  <si>
    <t xml:space="preserve">Gastos de uniformes y dotación al personal </t>
  </si>
  <si>
    <t>Gastos de fiestas y agasajos al personal</t>
  </si>
  <si>
    <t>Gastos de donaciones y obsequios al personal</t>
  </si>
  <si>
    <t>Gastos de capacitación al personal</t>
  </si>
  <si>
    <t xml:space="preserve">Gastos de transporte del personal </t>
  </si>
  <si>
    <t>Gastos de pasajes por viáticos comerciales</t>
  </si>
  <si>
    <t>Gastos de comida por viáticos comerciales</t>
  </si>
  <si>
    <t>Gastos de hospedaje por viáticos comerciales</t>
  </si>
  <si>
    <t>Gastos de transporte por viáticos comerciales</t>
  </si>
  <si>
    <t>Otros gastos de viáticos comerciales</t>
  </si>
  <si>
    <t>Gastos de envíos/fletes en ventas y compras no incluidas en el costo</t>
  </si>
  <si>
    <t>Gastos de almacenaje sobre compras no incluídos en el costo</t>
  </si>
  <si>
    <t>Gastos de importación no incluídos en el costo</t>
  </si>
  <si>
    <t>Gastos de seguro de mercancía no incluídos en el costo</t>
  </si>
  <si>
    <t>Gastos de bolsas no incluídos en el costo</t>
  </si>
  <si>
    <t>Gastos de embalaje no incluídos en el costo</t>
  </si>
  <si>
    <t>Gastos de etiquetas no incluídos en el costo</t>
  </si>
  <si>
    <t>Gastos de armado de bicicletas no incluídos en el costo</t>
  </si>
  <si>
    <t>Gastos de títulos de propiedad no incluídos en el costo</t>
  </si>
  <si>
    <t xml:space="preserve">Gastos de comisiones empleados </t>
  </si>
  <si>
    <t>Gastos de comisiones empleados del taller</t>
  </si>
  <si>
    <t>Gastos de comisiones por venta de personal externo</t>
  </si>
  <si>
    <t>Gastos por gasolina</t>
  </si>
  <si>
    <t>Gastos por gasoil</t>
  </si>
  <si>
    <t>Gastos de garantías</t>
  </si>
  <si>
    <t>Gastos de suscripciones</t>
  </si>
  <si>
    <t>Gastos de alquiler Stand y/o ferias comerciales</t>
  </si>
  <si>
    <t>Gastos de pasajes Stand y/o ferias comerciales</t>
  </si>
  <si>
    <t>Gastos de viáticos comida Stand y/o ferias comerciales</t>
  </si>
  <si>
    <t>Gastos de viáticos hospedaje Stand y/o ferias comerciales</t>
  </si>
  <si>
    <t>Gastos de viáticos transporte Stand y/o ferias comerciales</t>
  </si>
  <si>
    <t>Gastos de otros viáticos Stand y/o ferias comerciales</t>
  </si>
  <si>
    <t>Gastos de publicidad Stand y/o ferias comerciales</t>
  </si>
  <si>
    <t>Gastos de premiaciones, donaciones Stand y/o ferias comerciales</t>
  </si>
  <si>
    <t>Gastos de Stand y/o ferias comerciales</t>
  </si>
  <si>
    <t>Gastos de impresiones de material gráfico</t>
  </si>
  <si>
    <t>Gastos de decoración</t>
  </si>
  <si>
    <t>Gastos de muestras y material POP</t>
  </si>
  <si>
    <t>Gastos de campañas y lanzamientos</t>
  </si>
  <si>
    <t>Gastos de patrocinio, donación y/o obsequios en efectivo</t>
  </si>
  <si>
    <t>Gastos de patrocinio, donación y/o obsequios en productos</t>
  </si>
  <si>
    <t>Gastos de viáticos por eventos organizados por la empresa</t>
  </si>
  <si>
    <t>Gastos de patrocinio, donación y/o obsequios por eventos</t>
  </si>
  <si>
    <t>Gastos de dominio de página web</t>
  </si>
  <si>
    <t>Gastos de servidores</t>
  </si>
  <si>
    <t>Gastos de software tecnológico</t>
  </si>
  <si>
    <t>Faltante y deterioro de inventarios</t>
  </si>
  <si>
    <t>Deterioro de inventarios</t>
  </si>
  <si>
    <t>ESTADO DE SITUACION FINANCIERA</t>
  </si>
  <si>
    <t>Efectivo y equivalentes</t>
  </si>
  <si>
    <t>Caja principal en Bs.</t>
  </si>
  <si>
    <t>Caja principal en $</t>
  </si>
  <si>
    <t>Caja principal en pesos cambio $</t>
  </si>
  <si>
    <t>Caja principal en euros cambio $</t>
  </si>
  <si>
    <t>Fondo de caja en tienda en Bs. Suc Piedemonte</t>
  </si>
  <si>
    <t>Fondo de caja en tienda en Bs. Suc Terracota</t>
  </si>
  <si>
    <t>Fondo de caja en tienda en Bs. Suc Barinas</t>
  </si>
  <si>
    <t>Fondo de caja en tienda en Bs. Suc Los Naranjos</t>
  </si>
  <si>
    <t>Fondo de caja en tienda en $ Suc Piedemonte</t>
  </si>
  <si>
    <t>Fondo de caja en tienda en $ Suc Terracota</t>
  </si>
  <si>
    <t>Fondo de caja en tienda en $ Suc Barinas</t>
  </si>
  <si>
    <t>Fondo de caja en tienda en $ Suc Los Naranjos</t>
  </si>
  <si>
    <t>Fondo de caja en tienda en euros cambio $ Suc Piedemonte</t>
  </si>
  <si>
    <t>Fondo de caja en tienda en euros cambio $ Suc Terracota</t>
  </si>
  <si>
    <t>Fondo de caja en tienda en euros cambio $ Suc Barinas</t>
  </si>
  <si>
    <t>Fondo de caja en tienda en euros cambio $ Suc Los Naranjos</t>
  </si>
  <si>
    <t>Fondo de caja en tienda en pesos cambio $ Suc Piedemonte</t>
  </si>
  <si>
    <t>Fondo de caja en tienda en pesos cambio $ Suc Terracota</t>
  </si>
  <si>
    <t>Fondo de caja en tienda en pesos cambio $ Suc Barinas</t>
  </si>
  <si>
    <t>Fondo de caja en tienda en pesos cambio $ Suc Los Naranjos</t>
  </si>
  <si>
    <t>Banco Mercantil</t>
  </si>
  <si>
    <t>Banco Banesco</t>
  </si>
  <si>
    <t>Banco de Venezuela</t>
  </si>
  <si>
    <t>Banco Venezolano de Credito</t>
  </si>
  <si>
    <t>Banco del Tesoro</t>
  </si>
  <si>
    <t>Bancamiga Cuenta Corriente</t>
  </si>
  <si>
    <t>Banco Provincial</t>
  </si>
  <si>
    <t>Banco Nacional de Crédito BNC</t>
  </si>
  <si>
    <t>Banco Bancamiga Sr Gilberto</t>
  </si>
  <si>
    <t>Banco transitorio migración Terracota</t>
  </si>
  <si>
    <t>Banco transitorio migración Barinas</t>
  </si>
  <si>
    <t>Bank Of America</t>
  </si>
  <si>
    <t>Banesco Panamá UX</t>
  </si>
  <si>
    <t>Banco Mercantil Cuenta en $</t>
  </si>
  <si>
    <t>Paypal</t>
  </si>
  <si>
    <t>Criptomonedas USDT</t>
  </si>
  <si>
    <t>Chase Bank, UX GROUP LLC</t>
  </si>
  <si>
    <t>Bancamiga Cash USD</t>
  </si>
  <si>
    <t>Bancamiga Moneda Extranjera USD</t>
  </si>
  <si>
    <t>Bancamiga Sr Gilberto Cash USD</t>
  </si>
  <si>
    <t>BNC Cash USD</t>
  </si>
  <si>
    <t>Amerant Camilo</t>
  </si>
  <si>
    <t>Banco Custodia Mercantil Camilo USD</t>
  </si>
  <si>
    <t>Efectivo en transito en Bs.</t>
  </si>
  <si>
    <t>Depositos en transito en Bs.</t>
  </si>
  <si>
    <t>Pagos del fondo en transito</t>
  </si>
  <si>
    <t>Pagos de facturas cashea en tránsito</t>
  </si>
  <si>
    <t>Efectivo en transito en $</t>
  </si>
  <si>
    <t>Depositos en transito en $</t>
  </si>
  <si>
    <t>Efectivo en transito por eventos</t>
  </si>
  <si>
    <t>Abonos o pagos en transito en $</t>
  </si>
  <si>
    <t>Cuentas por cobrar clientes</t>
  </si>
  <si>
    <t>Cuentas por cobrar AYM BIKE</t>
  </si>
  <si>
    <t>Cuentas por cobrar BAD APPLE</t>
  </si>
  <si>
    <t>Cuentas por cobrar ROYAL BIKE</t>
  </si>
  <si>
    <t>Cuentas por cobrar SPRINT BIKE</t>
  </si>
  <si>
    <t>Cuentas por cobrar TEAM BIKE</t>
  </si>
  <si>
    <t>Cuentas por cobrar TU BICI</t>
  </si>
  <si>
    <t>Cuentas por cobrar XTREME BIKE</t>
  </si>
  <si>
    <t>Cuentas por cobrar SU BICICLETA</t>
  </si>
  <si>
    <t>Cuentas por cobrar TOPBIKE</t>
  </si>
  <si>
    <t>Cuentas por cobrar UBIKE OSTDOOR SPORT C.A.</t>
  </si>
  <si>
    <t>Cuentas por cobrar DINO BIKE STORE C.A.</t>
  </si>
  <si>
    <t>Bancos en $</t>
  </si>
  <si>
    <t>Cuentas por cobrar empresas relacionadas</t>
  </si>
  <si>
    <t>Cuentas por cobrar PLUSUX</t>
  </si>
  <si>
    <t>Cuentas por cobrar UX BARINAS</t>
  </si>
  <si>
    <t>Cuentas por cobrar empresas externas del grupo</t>
  </si>
  <si>
    <t>Cuentas por cobrar UX CARACAS</t>
  </si>
  <si>
    <t>Cuentas por cobrar UX PUERTO ORDAZ</t>
  </si>
  <si>
    <t>Cuentas por cobrar UX VALENCIA</t>
  </si>
  <si>
    <t>Cuentas por cobrar UX LARA</t>
  </si>
  <si>
    <t>Cuentas por cobrar DRYFIELD</t>
  </si>
  <si>
    <t>Cuentas por cobrar socios</t>
  </si>
  <si>
    <t>Cuentas por cobrar Camilo Gonzalez</t>
  </si>
  <si>
    <t>Cuentas por cobrar Jenny Castro</t>
  </si>
  <si>
    <t>Cuentas por cobrar Alfonso Marquez</t>
  </si>
  <si>
    <t>Cuentas por cobrar empleados</t>
  </si>
  <si>
    <t>Cuentas por cobrar empleados ULTRABIKEX</t>
  </si>
  <si>
    <t>Cuentas por cobrar empleados DIUX</t>
  </si>
  <si>
    <t>Cuentas por cobrar empleados PLUSUX</t>
  </si>
  <si>
    <t>Cuentas por cobrar empleados UX BARINAS</t>
  </si>
  <si>
    <t>Otras cuentas por cobrar</t>
  </si>
  <si>
    <t>Cuentas por cobrar terceros</t>
  </si>
  <si>
    <t>Cuentas por Cobrar a proveedores por Garantias</t>
  </si>
  <si>
    <t>Cuentas por cobrar por sociedades</t>
  </si>
  <si>
    <t>Cuentas por cobrar sociedades Camilo</t>
  </si>
  <si>
    <t>Cuentas por cobrar sociedades Jenny</t>
  </si>
  <si>
    <t>Cuentas por cobrar sociedades Alfonso</t>
  </si>
  <si>
    <t>Prestamos por cobrar empresas relacionadas</t>
  </si>
  <si>
    <t>Prestamos por cobrar ULTRABIKEX</t>
  </si>
  <si>
    <t>Prestamos por cobrar DIUX</t>
  </si>
  <si>
    <t>Prestamos por cobrar PLUSUX</t>
  </si>
  <si>
    <t>Prestamos por cobrar UX BARINAS</t>
  </si>
  <si>
    <t>Prestamos por cobrar UBX</t>
  </si>
  <si>
    <t>Prestamos por cobrar empresas externas del grupo</t>
  </si>
  <si>
    <t>Prestamos por cobrar UX CARACAS</t>
  </si>
  <si>
    <t>Prestamos por cobrar Ux PUERTO ORDAZ</t>
  </si>
  <si>
    <t>Prestamos por cobrar UX VALENCIA</t>
  </si>
  <si>
    <t>Prestamos por cobrar UX LARA</t>
  </si>
  <si>
    <t>Prestamos por cobrar DRYFIELD</t>
  </si>
  <si>
    <t>Prestamos por cobrar socios</t>
  </si>
  <si>
    <t>Prestamos por cobrar Camilo Gonzalez</t>
  </si>
  <si>
    <t>Prestamos por cobrar Jenny Castro</t>
  </si>
  <si>
    <t>Prestamos por cobrar Alfonso Marquez</t>
  </si>
  <si>
    <t>Prestamos por cobrar empleados</t>
  </si>
  <si>
    <t xml:space="preserve">Otros prestamos por cobrar </t>
  </si>
  <si>
    <t>Prestamos por cobrar terceros</t>
  </si>
  <si>
    <t>Anticipos a proveedores</t>
  </si>
  <si>
    <t>Anticipos a proveedor Specialized</t>
  </si>
  <si>
    <t>Anticipos a socios</t>
  </si>
  <si>
    <t>Anticipos a Camilo Gonzalez</t>
  </si>
  <si>
    <t>Anticipos a Jenny Castro</t>
  </si>
  <si>
    <t>Anticipos a Alfonso Marquez</t>
  </si>
  <si>
    <t>Anticipos a Leonardo Roa</t>
  </si>
  <si>
    <t>Anticipos a empleados</t>
  </si>
  <si>
    <t>Inventario de mercancias</t>
  </si>
  <si>
    <t>Inventario de suministros</t>
  </si>
  <si>
    <t>Inventario de suministros del café</t>
  </si>
  <si>
    <t>Inventario en transito</t>
  </si>
  <si>
    <t>Inventario de mercancias en transito</t>
  </si>
  <si>
    <t>Inventario de suministros del café en transito</t>
  </si>
  <si>
    <t>Inventarios de Consignacion</t>
  </si>
  <si>
    <t>Inventarios de mercancías propias a consignación</t>
  </si>
  <si>
    <t xml:space="preserve">Prepagados </t>
  </si>
  <si>
    <t>Impuestos pagados por anticipado</t>
  </si>
  <si>
    <t>IVA credito fiscal</t>
  </si>
  <si>
    <t>Excedente de credito fiscal</t>
  </si>
  <si>
    <t>Retencion IVA de clientes</t>
  </si>
  <si>
    <t>Retenciones ISLR de clientes</t>
  </si>
  <si>
    <t>Anticipo de ISLR</t>
  </si>
  <si>
    <t>Seguros pagados por anticipado</t>
  </si>
  <si>
    <t>Intereses pagados por anticipado</t>
  </si>
  <si>
    <t>Alquileres pagados por anticipado</t>
  </si>
  <si>
    <t>Total Activos Corrientes</t>
  </si>
  <si>
    <t>Cuentas por cobrar clientes L.P.</t>
  </si>
  <si>
    <t>Cuentas por cobrar clientes Mayor y Ciclismo L.P.</t>
  </si>
  <si>
    <t>Cuentas por cobrar ULTRABIKEX L.P.</t>
  </si>
  <si>
    <t xml:space="preserve">Cuentas por cobrar DIUX L.P. </t>
  </si>
  <si>
    <t>Cuentas por cobrar PLUSUX L.P.</t>
  </si>
  <si>
    <t>Cuentas por cobrar UX BARINAS L.P.</t>
  </si>
  <si>
    <t>Cuentas por cobrar UX CARACAS L.P.</t>
  </si>
  <si>
    <t>Cuentas por cobrar UX PUERTO ORDAZ L.P.</t>
  </si>
  <si>
    <t>Cuentas por cobrar UX VALENCIA L.P.</t>
  </si>
  <si>
    <t>Cuentas por cobrar UX LARA L.P.</t>
  </si>
  <si>
    <t>Cuentas por cobrar DRYFIELD L.P.</t>
  </si>
  <si>
    <t>Cuentas por cobrar Camilo Gonzalez L.P.</t>
  </si>
  <si>
    <t>Cuentas por cobrar Jenny Castro L.P.</t>
  </si>
  <si>
    <t>Cuentas por cobrar Alfonso Marquez L.P.</t>
  </si>
  <si>
    <t>Cuentas por cobrar empleados L.P.</t>
  </si>
  <si>
    <t>Cuentas por cobrar empleados ULTRABIKEX L.P.</t>
  </si>
  <si>
    <t>Cuentas por cobrar empleados DIUX L.P.</t>
  </si>
  <si>
    <t>Cuentas por cobrar empleados PLUSUX L.P.</t>
  </si>
  <si>
    <t>Cuentas por cobrar empleados UX BARINAS L.P.</t>
  </si>
  <si>
    <t>Otras cuentas por cobrar L.P.</t>
  </si>
  <si>
    <t>Cuentas por cobrar terceros L.P.</t>
  </si>
  <si>
    <t>Vuelto por cobrar terceros L.P.</t>
  </si>
  <si>
    <t>Cuentas por cobrar sociedades Camilo L.P.</t>
  </si>
  <si>
    <t>Cuentas por cobrar sociedades Jenny L.P.</t>
  </si>
  <si>
    <t>Cuentas por cobrar sociedades Alfonso L.P.</t>
  </si>
  <si>
    <t>Cuentas por cobrar sociedades Otros Socios</t>
  </si>
  <si>
    <t>Prestamos por cobrar L.P.</t>
  </si>
  <si>
    <t>Prestamos por cobrar ULTRABIKEX L.P.</t>
  </si>
  <si>
    <t>Prestamos por cobrar DIUX L.P.</t>
  </si>
  <si>
    <t>Prestamos por cobrar PLUSUX L.P.</t>
  </si>
  <si>
    <t>Prestamos por cobrar UX BARINAS L.P.</t>
  </si>
  <si>
    <t>Prestamos por cobrar UBX L.P.</t>
  </si>
  <si>
    <t>Prestamos por cobrar UX CARACAS L.P.</t>
  </si>
  <si>
    <t>Prestamos por cobrar Ux PUERTO ORDAZ L.P.</t>
  </si>
  <si>
    <t>Prestamos por cobrar UX VALENCIA L.P.</t>
  </si>
  <si>
    <t>Prestamos por cobrar UX LARA L.P.</t>
  </si>
  <si>
    <t>Prestamos por cobrar DRYFIELD L.P.</t>
  </si>
  <si>
    <t>Prestamos por cobrar Camilo Gonzalez L.P.</t>
  </si>
  <si>
    <t>Prestamos por cobrar Jenny Castro L.P.</t>
  </si>
  <si>
    <t>Prestamos por cobrar Alfonso Marquez L.P.</t>
  </si>
  <si>
    <t>Prestamos por cobrar empleados L.P.</t>
  </si>
  <si>
    <t>Prestamos por cobrar tercercos L.P.</t>
  </si>
  <si>
    <t>Anticipos L.P.</t>
  </si>
  <si>
    <t>Anticipos a proveedores L.P.</t>
  </si>
  <si>
    <t>Anticipos a proveedor Specialized L.P.</t>
  </si>
  <si>
    <t>Anticipos Camilo Gonzalez L.P.</t>
  </si>
  <si>
    <t>Anticipos Jenny Castro L.P.</t>
  </si>
  <si>
    <t>Anticipos Alfonso Marquez L.P.</t>
  </si>
  <si>
    <t>Anticipos Leonardo Roa L.P.</t>
  </si>
  <si>
    <t>Anticipos a empleados L.P.</t>
  </si>
  <si>
    <t>Anticipos de prestaciones sociales L.P.</t>
  </si>
  <si>
    <t>Propiedades de Inversion</t>
  </si>
  <si>
    <t>Inversion en acciones</t>
  </si>
  <si>
    <t>Propiedad, planta y equipos</t>
  </si>
  <si>
    <t>Terreno</t>
  </si>
  <si>
    <t>Deterioro acum. Terreno</t>
  </si>
  <si>
    <t>Dep. Acum. Mob y Equipos</t>
  </si>
  <si>
    <t>Deterioro acum. Mob y Equipos</t>
  </si>
  <si>
    <t>Maquinarias y Equipos</t>
  </si>
  <si>
    <t>Dep. Acum. Maquinarias y equipos</t>
  </si>
  <si>
    <t>Det. Acum. Maquinarias y equipos</t>
  </si>
  <si>
    <t>Vehiculo Grand Cheroke año 2006</t>
  </si>
  <si>
    <t>Vehiculo Camion Cargo año 2006</t>
  </si>
  <si>
    <t>Moto</t>
  </si>
  <si>
    <t>Vehiculo Kangoo</t>
  </si>
  <si>
    <t>Vehículo Hilux</t>
  </si>
  <si>
    <t>Vehículo Toyota Vans</t>
  </si>
  <si>
    <t>Dep. Acum. Vehiculo Grand Cheroke año 2006</t>
  </si>
  <si>
    <t>Det. Acum. Vehiculo Grand Cheroke año 2006</t>
  </si>
  <si>
    <t>Dep. Acum. Vehiculo Orlando año 2014</t>
  </si>
  <si>
    <t>Det. Acum. Vehiculo Orlando año 2014</t>
  </si>
  <si>
    <t>Dep. Acum. Vehiculo Camion Cargo año 2006</t>
  </si>
  <si>
    <t>Det. Acum. Vehiculo Camion Cargo año 2006</t>
  </si>
  <si>
    <t>Dep. Acum. Moto</t>
  </si>
  <si>
    <t>Det. Acum. Moto</t>
  </si>
  <si>
    <t>Dep. Acum. Vehiculo Kangoo</t>
  </si>
  <si>
    <t>Det. Acum. Vehiculo Kangoo</t>
  </si>
  <si>
    <t>Dep. Acum. Vehículo Hilux</t>
  </si>
  <si>
    <t>Det. Acum. Vehículo Hilux</t>
  </si>
  <si>
    <t>Dep. Acum. Vehículo Toyota Vans</t>
  </si>
  <si>
    <t>Det. Acum. Vehículo Toyota Vans</t>
  </si>
  <si>
    <t>Local C.C Plaza Mayor LP-4</t>
  </si>
  <si>
    <t>Galpon Complejo Ind. y Com Gral. Avelino</t>
  </si>
  <si>
    <t>Dep. Acum. Local C.C Plaza Mayor LP-4</t>
  </si>
  <si>
    <t>Det. Acum. Local C.C Plaza Mayor LP-4</t>
  </si>
  <si>
    <t>Dep. Acum. Galpon Complejo Ind. y Com Gral. Avelino</t>
  </si>
  <si>
    <t>Det. Acum. Galpon Complejo Ind. y Com Gral. Avelino</t>
  </si>
  <si>
    <t>Materiales para eventos</t>
  </si>
  <si>
    <t>Dep. Acum. Materiales para eventos</t>
  </si>
  <si>
    <t>Det. Acum. Materiales para eventos</t>
  </si>
  <si>
    <t>Dep. Acum. Herramientas</t>
  </si>
  <si>
    <t>Det. Acum. Herramientas</t>
  </si>
  <si>
    <t>Dep. Acum. Utensilios y equipos de cocina</t>
  </si>
  <si>
    <t>Det. Acum. Utensilios y equipos de cocina</t>
  </si>
  <si>
    <t>Dep. Acum. Equipamiento deportivo</t>
  </si>
  <si>
    <t>Det. Acum. Equipamiento deportivo</t>
  </si>
  <si>
    <t>Mejoras en bienes arrendados</t>
  </si>
  <si>
    <t>Dep. Acum. Mejoras bienes arrendados</t>
  </si>
  <si>
    <t>Det. Acum. Mejoras bienes arrendados</t>
  </si>
  <si>
    <t>Amortización Acum Odoo</t>
  </si>
  <si>
    <t>Software CRM</t>
  </si>
  <si>
    <t>Amortización CRM</t>
  </si>
  <si>
    <t>Deudores comerciales a LP</t>
  </si>
  <si>
    <t>Software Odoo y Crm</t>
  </si>
  <si>
    <t>Mejoras a bienes arrendados</t>
  </si>
  <si>
    <t>Total Activos No Corrientes</t>
  </si>
  <si>
    <t xml:space="preserve">Total Activos </t>
  </si>
  <si>
    <t>Cuentas por pagar proveedores</t>
  </si>
  <si>
    <t>Cuentas por pagar proveedores nacionales</t>
  </si>
  <si>
    <t>Cuentas por pagar proveedores Internacionales</t>
  </si>
  <si>
    <t>Cuentas por pagar Specialized</t>
  </si>
  <si>
    <t>Cuentas por pagar</t>
  </si>
  <si>
    <t>Cuentas por pagar empresas relacionadas</t>
  </si>
  <si>
    <t>Cuentas por pagar UX BARINAS</t>
  </si>
  <si>
    <t>Cuentas por pagar empresas externas del grupo</t>
  </si>
  <si>
    <t>Cuentas por pagar UX CARACAS</t>
  </si>
  <si>
    <t>Cuentas por pagar UX PUERTO ORDAZ</t>
  </si>
  <si>
    <t>Cuentas por pagar UX VALENCIA</t>
  </si>
  <si>
    <t>Cuentas por pagar UX LARA</t>
  </si>
  <si>
    <t>Cuentas por pagar DRYFIELD</t>
  </si>
  <si>
    <t>Cuentas por pagar socios</t>
  </si>
  <si>
    <t>Cuentas por pagar Camilo Gonzalez</t>
  </si>
  <si>
    <t>Cuentas por pagar Jenny Castro</t>
  </si>
  <si>
    <t>Cuentas por pagar Alfonso Marquez</t>
  </si>
  <si>
    <t>Tarjeta de crédito Bofa Sra Zaida</t>
  </si>
  <si>
    <t>Tarjeta de crédito Bancamiga Camilo</t>
  </si>
  <si>
    <t>Tarjeta de débito Banesco Panamá Camilo</t>
  </si>
  <si>
    <t>Tarjeta de crédito BNC Camilo</t>
  </si>
  <si>
    <t>Cuentas por pagar a proveedores en consignacion</t>
  </si>
  <si>
    <t>Cuentas por pagar terceros</t>
  </si>
  <si>
    <t>Vuelto por pagar terceros</t>
  </si>
  <si>
    <t>Propinas por pagar</t>
  </si>
  <si>
    <t>Descuentos a empleados por pagar a ULTRABIKEX</t>
  </si>
  <si>
    <t>Descuentos a empleados por pagar a DIUX</t>
  </si>
  <si>
    <t>Descuentos a empleados por pagar a PLUSUX</t>
  </si>
  <si>
    <t>Descuentos a empleados por Pagar a UX BARINAS</t>
  </si>
  <si>
    <t>Sueldos y salarios por pagar</t>
  </si>
  <si>
    <t>Comisiones por pagar</t>
  </si>
  <si>
    <t>Retencion IVSS por pagar</t>
  </si>
  <si>
    <t>Retención SPf por pagar</t>
  </si>
  <si>
    <t>Retención FAOV por pagar</t>
  </si>
  <si>
    <t>Retención INCES por pagar</t>
  </si>
  <si>
    <t>Retención ARI por pagar</t>
  </si>
  <si>
    <t>Aporte IVSS por pagar</t>
  </si>
  <si>
    <t xml:space="preserve">Aporte SPF por pagar </t>
  </si>
  <si>
    <t>Aporte FAOV por pagar</t>
  </si>
  <si>
    <t>Aporte INCES por pagar</t>
  </si>
  <si>
    <t>Intereses bancarios por pagar</t>
  </si>
  <si>
    <t>Intereses sobre prestamos de terceros por pagar</t>
  </si>
  <si>
    <t>IVA debito fiscal</t>
  </si>
  <si>
    <t>IVA por pagar</t>
  </si>
  <si>
    <t>Retenciones IVA a proveedores</t>
  </si>
  <si>
    <t>Retenciones ISLR a proveedores</t>
  </si>
  <si>
    <t>Anticipo de ISLR por pagar</t>
  </si>
  <si>
    <t>ISLR Definitiva</t>
  </si>
  <si>
    <t>Impuestos municipales por pagar</t>
  </si>
  <si>
    <t>IGTF por pagar</t>
  </si>
  <si>
    <t>IGTF percibido por pagar</t>
  </si>
  <si>
    <t>Dividendos por pagar Camilo Gonzalez</t>
  </si>
  <si>
    <t>Dividendos por pagar Jenny Castro</t>
  </si>
  <si>
    <t>Dividendos por pagar Alfonso Marquez</t>
  </si>
  <si>
    <t>Dividendos por pagar Leonardo Roa</t>
  </si>
  <si>
    <t>Dividendos por pagar Gilberto Gonzalez Parra</t>
  </si>
  <si>
    <t>Prestamos por pagar</t>
  </si>
  <si>
    <t>Prestamos por pagar empresas relacionadas</t>
  </si>
  <si>
    <t>Prestamos por pagar ULTRABIKEX</t>
  </si>
  <si>
    <t>Prestamos por pagar DIUX</t>
  </si>
  <si>
    <t>Prestamos por pagar PLUSUX</t>
  </si>
  <si>
    <t>Prestamos por pagar UX BARINAS</t>
  </si>
  <si>
    <t>Prestamos por pagar empresas externas del grupo</t>
  </si>
  <si>
    <t>Prestamos por pagar UX CARACAS</t>
  </si>
  <si>
    <t>Prestamos por pagar Ux PUERTO ORDAZ</t>
  </si>
  <si>
    <t>Prestamos por pagar UX VALENCIA</t>
  </si>
  <si>
    <t>Prestamos por pagar UX LARA</t>
  </si>
  <si>
    <t>Prestamos por pagar DRYFIELD</t>
  </si>
  <si>
    <t>Prestamos por pagar socios</t>
  </si>
  <si>
    <t>Prestamos por pagar Camilo Gonzalez</t>
  </si>
  <si>
    <t>Prestamos por pagar Jenny Castro</t>
  </si>
  <si>
    <t>Prestamos por pagar Alfonso Marquez</t>
  </si>
  <si>
    <t>Prestamos por pagar empleados</t>
  </si>
  <si>
    <t>Prestamo Banco Mercantil por pagar</t>
  </si>
  <si>
    <t>Prestamo Banco Banesco por pagar</t>
  </si>
  <si>
    <t>Prestamo Banco de Venezuela por pagar</t>
  </si>
  <si>
    <t>Prestamo Banco Venezolano de Credito por pagar</t>
  </si>
  <si>
    <t>Prestamo Banco del Tesoro por pagar</t>
  </si>
  <si>
    <t>Prestamo Bancamiga por pagar</t>
  </si>
  <si>
    <t>Prestamo Bank Of America por pagar</t>
  </si>
  <si>
    <t>Prestamo Banesco Panamá UX por pagar</t>
  </si>
  <si>
    <t>Prestamo Chase Bank, UX GROUP LLC por pagar</t>
  </si>
  <si>
    <t>Prestamos por pagar terceros</t>
  </si>
  <si>
    <t>Anticipos de clientes</t>
  </si>
  <si>
    <t>Anticipos de socios</t>
  </si>
  <si>
    <t>Anticipos de Camilo Gonzalez</t>
  </si>
  <si>
    <t>Anticipos de Jenny Castro</t>
  </si>
  <si>
    <t>Anticipos de Alfonso Marquez</t>
  </si>
  <si>
    <t>Anticipos de Leonardo Roa</t>
  </si>
  <si>
    <t>Anticipos no reportados</t>
  </si>
  <si>
    <t>Anticipos de clientes no reportados</t>
  </si>
  <si>
    <t>Fondo de formación de empleados Plusux</t>
  </si>
  <si>
    <t>Provisiones para empleados</t>
  </si>
  <si>
    <t>Total Pasivos Corrientes</t>
  </si>
  <si>
    <t>Otras cuentas por pagar L.P.</t>
  </si>
  <si>
    <t>Intereses por pagar L.P.</t>
  </si>
  <si>
    <t>Intereses bancarios por pagar L.P.</t>
  </si>
  <si>
    <t>Intereses sobre prestamos de terceros por pagar L.P.</t>
  </si>
  <si>
    <t>Prestamos por pagar L.P.</t>
  </si>
  <si>
    <t>Prestamos por pagar ULTRABIKEX L.P.</t>
  </si>
  <si>
    <t>Prestamos por pagar DIUX L.P.</t>
  </si>
  <si>
    <t xml:space="preserve">Prestamos por pagar PLUSUX L.P. </t>
  </si>
  <si>
    <t>Prestamos por pagar UX BARINAS L.P.</t>
  </si>
  <si>
    <t>Prestamos por pagar UBX L.P.</t>
  </si>
  <si>
    <t>Prestamos por pagar UX CARACAS L.P.</t>
  </si>
  <si>
    <t>Prestamos por pagar Ux PUERTO ORDAZ L.P.</t>
  </si>
  <si>
    <t>Prestamos por pagar UX VALENCIA L.P.</t>
  </si>
  <si>
    <t>Prestamos por pagar UX LARA L.P.</t>
  </si>
  <si>
    <t>Prestamos por pagar DRYFIELD L.P.</t>
  </si>
  <si>
    <t>Prestamos por pagar Camilo Gonzalez L.P.</t>
  </si>
  <si>
    <t>Prestamos por pagar Jenny Castro L.P.</t>
  </si>
  <si>
    <t>Prestamos por pagar Alfonso Marquez L.P.</t>
  </si>
  <si>
    <t>Prestamos por pagar empleados L.P.</t>
  </si>
  <si>
    <t>Prestamo Banco Mercantil por pagar L.P</t>
  </si>
  <si>
    <t>Prestamo Banco Banesco por pagar L.P.</t>
  </si>
  <si>
    <t>Prestamo Banco de Venezuela por pagar L.P.</t>
  </si>
  <si>
    <t>Prestamo Banco Venezolano de Credito por pagar L.P.</t>
  </si>
  <si>
    <t>Prestamo Banco del Tesoro por pagar L.P.</t>
  </si>
  <si>
    <t>Prestamo Bancamiga por pagar L.P.</t>
  </si>
  <si>
    <t>Prestamo Bank Of America por pagar L.P.</t>
  </si>
  <si>
    <t>Prestamo Banesco Panamá UX por pagar L.P.</t>
  </si>
  <si>
    <t>Prestamo Chase Bank, UX GROUP LLC por pagar L.P.</t>
  </si>
  <si>
    <t>Prestamos por pagar terceros L.P.</t>
  </si>
  <si>
    <t>Provisiones L.P.</t>
  </si>
  <si>
    <t>Fondo de formación de empleados Plusux L.P.</t>
  </si>
  <si>
    <t>Prestaciones Sociales L.P.</t>
  </si>
  <si>
    <t>Intereses sobres Prestaciones sociales L.P.</t>
  </si>
  <si>
    <t>Intereses por pagar LP</t>
  </si>
  <si>
    <t>Fondos en $</t>
  </si>
  <si>
    <t>Cajas en $</t>
  </si>
  <si>
    <t>Bancos en transito en $</t>
  </si>
  <si>
    <t>Cajas en Bs</t>
  </si>
  <si>
    <t>Fondos en Bs</t>
  </si>
  <si>
    <t>Bancos en Bs</t>
  </si>
  <si>
    <t>Bancos en transito en Bs</t>
  </si>
  <si>
    <t>Caja en Bs</t>
  </si>
  <si>
    <t>Fondo en Bs</t>
  </si>
  <si>
    <t>Inventarios de mercancías de terceros a consignación</t>
  </si>
  <si>
    <t>Provisión para empleados</t>
  </si>
  <si>
    <t>Provisiones LP</t>
  </si>
  <si>
    <t>Total Pasivos No Corrientes</t>
  </si>
  <si>
    <t>Capital social suscrito y pagado</t>
  </si>
  <si>
    <t>Reserva legal</t>
  </si>
  <si>
    <t>Superavit por revaluacion de terrenos</t>
  </si>
  <si>
    <t>Superavit por revaluacion de vehiculos</t>
  </si>
  <si>
    <t>Superavit por revaluacion de edificios</t>
  </si>
  <si>
    <t>Utilidad o perdida acumulada</t>
  </si>
  <si>
    <t>Utilidad o perdida del ejercicio</t>
  </si>
  <si>
    <t>Total Patrimonio</t>
  </si>
  <si>
    <t xml:space="preserve">Total Pasivos </t>
  </si>
  <si>
    <t>Total Pasivos y Patrimonio</t>
  </si>
  <si>
    <t>Diferencia</t>
  </si>
  <si>
    <t>Cuentas por cobrar ULTRAX</t>
  </si>
  <si>
    <t>Vehiculo Chevrolet Vans</t>
  </si>
  <si>
    <t>Cuentas por pagar ULTRAX</t>
  </si>
  <si>
    <t>Ratio Corriente (entre 1,5 y 2)</t>
  </si>
  <si>
    <t>Ratio Endeudamiento (entre 0,4 y 0,6)</t>
  </si>
  <si>
    <t>Dividendos por pagar otros socios</t>
  </si>
  <si>
    <t>Fondo para viajes de auditoria</t>
  </si>
  <si>
    <t>Fondo de caja en mayor CCS en $</t>
  </si>
  <si>
    <t>Fondo de caja en tienda en euros cambio $</t>
  </si>
  <si>
    <t xml:space="preserve">Fondo de caja en tienda en pesos cambio $ </t>
  </si>
  <si>
    <t>Fondo de caja en mayor CCS en euros cambio $</t>
  </si>
  <si>
    <t>Fondo de caja en tienda en Bs</t>
  </si>
  <si>
    <t>Cuentas por cobrar DIUX</t>
  </si>
  <si>
    <t>Cuentas por pagar DIUX</t>
  </si>
  <si>
    <t>Gastos Operacionales</t>
  </si>
  <si>
    <t>Utilidad Neta operacional</t>
  </si>
  <si>
    <t>Otros Ingresos y gastos no operacionales</t>
  </si>
  <si>
    <t>Utilidad Neta antes de ISLR</t>
  </si>
  <si>
    <t>Cuentas por pagar ULTRABIKEX</t>
  </si>
  <si>
    <t>Camilo Gonzalez Parra</t>
  </si>
  <si>
    <t>Jenny Karina Castro Bravo</t>
  </si>
  <si>
    <t>Eddy Alfonso Márquez Sosa</t>
  </si>
  <si>
    <t>Leonardo Ali Roa Lobo</t>
  </si>
  <si>
    <t>Maria Graciela Guillen</t>
  </si>
  <si>
    <t>Gilberto Gonzalez Parra</t>
  </si>
  <si>
    <t>Luis Tascon</t>
  </si>
  <si>
    <t>Daniela Paz y Pedro Rangel</t>
  </si>
  <si>
    <t>Banco BNC Sr Gilberto</t>
  </si>
  <si>
    <t>Mercantil Panamá Ultrax</t>
  </si>
  <si>
    <t>Cuentas por cobrar ULTRABIKEX</t>
  </si>
  <si>
    <t>Cuentas por cobrar empleados ULTRAX</t>
  </si>
  <si>
    <t>Prestamos por cobrar ULTRAX L.P.</t>
  </si>
  <si>
    <t>Tarjeta de crédito Bancamiga Gilberto</t>
  </si>
  <si>
    <t>AÑO ACTUAL</t>
  </si>
  <si>
    <t xml:space="preserve">Q1 </t>
  </si>
  <si>
    <t xml:space="preserve">Q2 </t>
  </si>
  <si>
    <t xml:space="preserve">Q3 </t>
  </si>
  <si>
    <t xml:space="preserve">Q4 </t>
  </si>
  <si>
    <t>Vari Rel. actual vs anterior</t>
  </si>
  <si>
    <t xml:space="preserve">Si la diferencia entre activo menos pasivo y patrimonio no es 0 entonces se debe sumar en utilidad o perdida acumulada </t>
  </si>
  <si>
    <t>Fondo de caja en tienda en $ Suc Rodeo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</si>
</sst>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 #,##0.00_ ;_ * \-#,##0.00_ ;_ * &quot;-&quot;??_ ;_ @_ "/>
    <numFmt numFmtId="165" formatCode="_-* #,##0.00\ _€_-;\-* #,##0.00\ _€_-;_-* &quot;-&quot;??\ _€_-;_-@_-"/>
    <numFmt numFmtId="166" formatCode="0.0"/>
    <numFmt numFmtId="167" formatCode="_ * #,##0_ ;_ * \-#,##0_ ;_ * &quot;-&quot;??_ ;_ @_ "/>
    <numFmt numFmtId="168" formatCode="_ * #,##0.0_ ;_ * \-#,##0.0_ ;_ * &quot;-&quot;??_ ;_ @_ "/>
  </numFmts>
  <fonts count="16" x14ac:knownFonts="1">
    <font>
      <sz val="11"/>
      <color theme="1"/>
      <name val="Calibri"/>
      <family val="2"/>
      <scheme val="minor"/>
    </font>
    <font>
      <sz val="11"/>
      <color theme="1"/>
      <name val="Calibri"/>
      <family val="2"/>
      <scheme val="minor"/>
    </font>
    <font>
      <sz val="10"/>
      <name val="Calibri"/>
      <family val="2"/>
    </font>
    <font>
      <b/>
      <sz val="12"/>
      <name val="Calibri"/>
      <family val="2"/>
    </font>
    <font>
      <sz val="12"/>
      <name val="Calibri"/>
      <family val="2"/>
    </font>
    <font>
      <b/>
      <sz val="11"/>
      <color theme="0"/>
      <name val="Calibri"/>
      <family val="2"/>
    </font>
    <font>
      <sz val="9"/>
      <color indexed="81"/>
      <name val="Tahoma"/>
      <family val="2"/>
    </font>
    <font>
      <b/>
      <sz val="9"/>
      <color indexed="81"/>
      <name val="Tahoma"/>
      <family val="2"/>
    </font>
    <font>
      <b/>
      <sz val="11"/>
      <name val="Calibri"/>
      <family val="2"/>
    </font>
    <font>
      <sz val="11"/>
      <color rgb="FF000000"/>
      <name val="Calibri"/>
      <family val="2"/>
    </font>
    <font>
      <sz val="11"/>
      <name val="Calibri"/>
      <family val="2"/>
    </font>
    <font>
      <b/>
      <sz val="14"/>
      <color theme="0"/>
      <name val="Calibri"/>
      <family val="2"/>
    </font>
    <font>
      <sz val="9"/>
      <name val="Calibri"/>
      <family val="2"/>
    </font>
    <font>
      <b/>
      <sz val="14"/>
      <name val="Calibri"/>
      <family val="2"/>
    </font>
    <font>
      <b/>
      <sz val="13"/>
      <name val="Calibri"/>
      <family val="2"/>
    </font>
    <font>
      <b/>
      <sz val="11"/>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66FF66"/>
        <bgColor indexed="64"/>
      </patternFill>
    </fill>
    <fill>
      <patternFill patternType="solid">
        <fgColor theme="5" tint="0.39997558519241921"/>
        <bgColor indexed="64"/>
      </patternFill>
    </fill>
    <fill>
      <patternFill patternType="solid">
        <fgColor rgb="FF6AD9E8"/>
        <bgColor indexed="64"/>
      </patternFill>
    </fill>
    <fill>
      <patternFill patternType="solid">
        <fgColor theme="0" tint="-0.249977111117893"/>
        <bgColor indexed="64"/>
      </patternFill>
    </fill>
    <fill>
      <patternFill patternType="solid">
        <fgColor theme="8" tint="0.59999389629810485"/>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bottom/>
      <diagonal/>
    </border>
    <border>
      <left/>
      <right/>
      <top/>
      <bottom style="double">
        <color indexed="64"/>
      </bottom>
      <diagonal/>
    </border>
    <border>
      <left/>
      <right/>
      <top style="thin">
        <color indexed="64"/>
      </top>
      <bottom style="double">
        <color indexed="64"/>
      </bottom>
      <diagonal/>
    </border>
    <border>
      <left style="thin">
        <color indexed="64"/>
      </left>
      <right/>
      <top/>
      <bottom style="double">
        <color indexed="64"/>
      </bottom>
      <diagonal/>
    </border>
    <border>
      <left style="thin">
        <color indexed="64"/>
      </left>
      <right/>
      <top style="thin">
        <color indexed="64"/>
      </top>
      <bottom style="double">
        <color indexed="64"/>
      </bottom>
      <diagonal/>
    </border>
    <border>
      <left/>
      <right style="thin">
        <color indexed="64"/>
      </right>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double">
        <color indexed="64"/>
      </top>
      <bottom/>
      <diagonal/>
    </border>
  </borders>
  <cellStyleXfs count="6">
    <xf numFmtId="0" fontId="0" fillId="0" borderId="0"/>
    <xf numFmtId="9" fontId="1" fillId="0" borderId="0" applyFont="0" applyFill="0" applyBorder="0" applyAlignment="0" applyProtection="0"/>
    <xf numFmtId="164" fontId="1" fillId="0" borderId="0" applyFont="0" applyFill="0" applyBorder="0" applyAlignment="0" applyProtection="0"/>
    <xf numFmtId="0" fontId="1" fillId="0" borderId="0"/>
    <xf numFmtId="165" fontId="9" fillId="0" borderId="0" applyFont="0" applyFill="0" applyBorder="0" applyAlignment="0" applyProtection="0"/>
    <xf numFmtId="9" fontId="9" fillId="0" borderId="0" applyFont="0" applyFill="0" applyBorder="0" applyAlignment="0" applyProtection="0"/>
  </cellStyleXfs>
  <cellXfs count="227">
    <xf numFmtId="0" fontId="0" fillId="0" borderId="0" xfId="0"/>
    <xf numFmtId="0" fontId="4" fillId="2" borderId="0" xfId="0" applyFont="1" applyFill="1"/>
    <xf numFmtId="4" fontId="5" fillId="2" borderId="0" xfId="0" applyNumberFormat="1" applyFont="1" applyFill="1" applyAlignment="1">
      <alignment horizontal="left" vertical="center" wrapText="1"/>
    </xf>
    <xf numFmtId="0" fontId="10" fillId="2" borderId="0" xfId="0" applyFont="1" applyFill="1"/>
    <xf numFmtId="0" fontId="10" fillId="0" borderId="0" xfId="0" applyFont="1"/>
    <xf numFmtId="10" fontId="5" fillId="2" borderId="0" xfId="1" applyNumberFormat="1" applyFont="1" applyFill="1" applyBorder="1" applyAlignment="1">
      <alignment horizontal="center" vertical="center" wrapText="1"/>
    </xf>
    <xf numFmtId="4" fontId="8" fillId="2" borderId="0" xfId="0" applyNumberFormat="1" applyFont="1" applyFill="1"/>
    <xf numFmtId="10" fontId="8" fillId="2" borderId="0" xfId="1" applyNumberFormat="1" applyFont="1" applyFill="1" applyBorder="1" applyAlignment="1">
      <alignment horizontal="center" vertical="center" wrapText="1"/>
    </xf>
    <xf numFmtId="0" fontId="8" fillId="2" borderId="0" xfId="0" applyFont="1" applyFill="1"/>
    <xf numFmtId="3" fontId="10" fillId="0" borderId="0" xfId="0" applyNumberFormat="1" applyFont="1" applyAlignment="1">
      <alignment horizontal="left" indent="3"/>
    </xf>
    <xf numFmtId="4" fontId="3" fillId="2" borderId="0" xfId="0" applyNumberFormat="1" applyFont="1" applyFill="1" applyAlignment="1">
      <alignment horizontal="left" vertical="center" wrapText="1"/>
    </xf>
    <xf numFmtId="10" fontId="3" fillId="2" borderId="0" xfId="1" applyNumberFormat="1" applyFont="1" applyFill="1" applyBorder="1" applyAlignment="1">
      <alignment horizontal="center" vertical="center" wrapText="1"/>
    </xf>
    <xf numFmtId="164" fontId="10" fillId="2" borderId="0" xfId="0" applyNumberFormat="1" applyFont="1" applyFill="1" applyAlignment="1">
      <alignment horizontal="center" vertical="center"/>
    </xf>
    <xf numFmtId="10" fontId="10" fillId="2" borderId="0" xfId="1" applyNumberFormat="1" applyFont="1" applyFill="1" applyAlignment="1">
      <alignment horizontal="center" vertical="center"/>
    </xf>
    <xf numFmtId="10" fontId="10" fillId="0" borderId="0" xfId="1" applyNumberFormat="1" applyFont="1" applyFill="1" applyBorder="1" applyAlignment="1">
      <alignment horizontal="center" vertical="center"/>
    </xf>
    <xf numFmtId="10" fontId="10" fillId="2" borderId="0" xfId="1" applyNumberFormat="1" applyFont="1" applyFill="1" applyBorder="1" applyAlignment="1">
      <alignment horizontal="center" vertical="center"/>
    </xf>
    <xf numFmtId="164" fontId="10" fillId="0" borderId="0" xfId="0" applyNumberFormat="1" applyFont="1" applyAlignment="1">
      <alignment horizontal="center" vertical="center"/>
    </xf>
    <xf numFmtId="10" fontId="10" fillId="0" borderId="0" xfId="1" applyNumberFormat="1" applyFont="1" applyAlignment="1">
      <alignment horizontal="center" vertical="center"/>
    </xf>
    <xf numFmtId="4" fontId="10" fillId="2" borderId="0" xfId="0" applyNumberFormat="1" applyFont="1" applyFill="1"/>
    <xf numFmtId="3" fontId="3" fillId="6" borderId="12" xfId="0" applyNumberFormat="1" applyFont="1" applyFill="1" applyBorder="1" applyAlignment="1">
      <alignment horizontal="left" vertical="center" wrapText="1"/>
    </xf>
    <xf numFmtId="164" fontId="12" fillId="2" borderId="0" xfId="0" applyNumberFormat="1" applyFont="1" applyFill="1" applyAlignment="1">
      <alignment horizontal="center" vertical="center"/>
    </xf>
    <xf numFmtId="164" fontId="10" fillId="2" borderId="0" xfId="2" applyFont="1" applyFill="1" applyBorder="1"/>
    <xf numFmtId="164" fontId="10" fillId="2" borderId="0" xfId="0" applyNumberFormat="1" applyFont="1" applyFill="1"/>
    <xf numFmtId="164" fontId="4" fillId="2" borderId="0" xfId="2" applyFont="1" applyFill="1" applyBorder="1"/>
    <xf numFmtId="0" fontId="10" fillId="2" borderId="0" xfId="0" applyFont="1" applyFill="1" applyAlignment="1">
      <alignment horizontal="center"/>
    </xf>
    <xf numFmtId="166" fontId="10" fillId="2" borderId="0" xfId="0" applyNumberFormat="1" applyFont="1" applyFill="1"/>
    <xf numFmtId="0" fontId="8" fillId="0" borderId="0" xfId="0" applyFont="1"/>
    <xf numFmtId="3" fontId="10" fillId="0" borderId="0" xfId="0" applyNumberFormat="1" applyFont="1" applyAlignment="1">
      <alignment horizontal="left" indent="2"/>
    </xf>
    <xf numFmtId="10" fontId="2" fillId="2" borderId="0" xfId="1" applyNumberFormat="1" applyFont="1" applyFill="1" applyBorder="1" applyAlignment="1">
      <alignment horizontal="center" vertical="center"/>
    </xf>
    <xf numFmtId="10" fontId="10" fillId="0" borderId="0" xfId="1" applyNumberFormat="1" applyFont="1" applyBorder="1" applyAlignment="1">
      <alignment horizontal="center" vertical="center"/>
    </xf>
    <xf numFmtId="10" fontId="5" fillId="2" borderId="0" xfId="1" applyNumberFormat="1" applyFont="1" applyFill="1" applyBorder="1" applyAlignment="1">
      <alignment horizontal="center" vertical="center"/>
    </xf>
    <xf numFmtId="4" fontId="8" fillId="0" borderId="0" xfId="0" applyNumberFormat="1" applyFont="1"/>
    <xf numFmtId="10" fontId="3" fillId="2" borderId="0" xfId="1" applyNumberFormat="1" applyFont="1" applyFill="1" applyBorder="1" applyAlignment="1">
      <alignment horizontal="center" vertical="center"/>
    </xf>
    <xf numFmtId="10" fontId="3" fillId="6" borderId="12" xfId="1" applyNumberFormat="1" applyFont="1" applyFill="1" applyBorder="1" applyAlignment="1">
      <alignment horizontal="center" vertical="center" wrapText="1"/>
    </xf>
    <xf numFmtId="4" fontId="8" fillId="2" borderId="12" xfId="0" applyNumberFormat="1" applyFont="1" applyFill="1" applyBorder="1" applyAlignment="1">
      <alignment horizontal="left" vertical="center" wrapText="1" indent="1"/>
    </xf>
    <xf numFmtId="10" fontId="8" fillId="2" borderId="12" xfId="1" applyNumberFormat="1" applyFont="1" applyFill="1" applyBorder="1" applyAlignment="1">
      <alignment horizontal="center" vertical="center"/>
    </xf>
    <xf numFmtId="4" fontId="8" fillId="0" borderId="19" xfId="0" applyNumberFormat="1" applyFont="1" applyBorder="1"/>
    <xf numFmtId="10" fontId="3" fillId="6" borderId="13" xfId="1" applyNumberFormat="1" applyFont="1" applyFill="1" applyBorder="1" applyAlignment="1">
      <alignment horizontal="center" vertical="center" wrapText="1"/>
    </xf>
    <xf numFmtId="10" fontId="8" fillId="0" borderId="13" xfId="1" applyNumberFormat="1" applyFont="1" applyFill="1" applyBorder="1" applyAlignment="1">
      <alignment horizontal="center" vertical="center" wrapText="1"/>
    </xf>
    <xf numFmtId="10" fontId="10" fillId="0" borderId="18" xfId="1" applyNumberFormat="1" applyFont="1" applyFill="1" applyBorder="1" applyAlignment="1">
      <alignment horizontal="center" vertical="center"/>
    </xf>
    <xf numFmtId="10" fontId="5" fillId="2" borderId="18" xfId="1" applyNumberFormat="1" applyFont="1" applyFill="1" applyBorder="1" applyAlignment="1">
      <alignment horizontal="center" vertical="center" wrapText="1"/>
    </xf>
    <xf numFmtId="10" fontId="10" fillId="2" borderId="18" xfId="1" applyNumberFormat="1" applyFont="1" applyFill="1" applyBorder="1" applyAlignment="1">
      <alignment horizontal="center" vertical="center"/>
    </xf>
    <xf numFmtId="10" fontId="2" fillId="2" borderId="18" xfId="1" applyNumberFormat="1" applyFont="1" applyFill="1" applyBorder="1" applyAlignment="1">
      <alignment horizontal="center" vertical="center"/>
    </xf>
    <xf numFmtId="10" fontId="3" fillId="2" borderId="18" xfId="1" applyNumberFormat="1" applyFont="1" applyFill="1" applyBorder="1" applyAlignment="1">
      <alignment horizontal="center" vertical="center" wrapText="1"/>
    </xf>
    <xf numFmtId="0" fontId="8" fillId="2" borderId="0" xfId="0" applyFont="1" applyFill="1" applyAlignment="1">
      <alignment horizontal="left" vertical="center" wrapText="1"/>
    </xf>
    <xf numFmtId="0" fontId="8" fillId="2" borderId="0" xfId="1" applyNumberFormat="1" applyFont="1" applyFill="1" applyBorder="1" applyAlignment="1">
      <alignment horizontal="center" vertical="center" wrapText="1"/>
    </xf>
    <xf numFmtId="0" fontId="8" fillId="2" borderId="18" xfId="1" applyNumberFormat="1" applyFont="1" applyFill="1" applyBorder="1" applyAlignment="1">
      <alignment horizontal="center" vertical="center" wrapText="1"/>
    </xf>
    <xf numFmtId="0" fontId="3" fillId="0" borderId="14" xfId="0" applyFont="1" applyBorder="1" applyAlignment="1">
      <alignment horizontal="center" vertical="center" wrapText="1"/>
    </xf>
    <xf numFmtId="0" fontId="3" fillId="2" borderId="15" xfId="1" applyNumberFormat="1" applyFont="1" applyFill="1" applyBorder="1" applyAlignment="1">
      <alignment horizontal="center" vertical="center" wrapText="1"/>
    </xf>
    <xf numFmtId="0" fontId="3" fillId="2" borderId="0" xfId="0" applyFont="1" applyFill="1"/>
    <xf numFmtId="0" fontId="10" fillId="2" borderId="0" xfId="1" applyNumberFormat="1" applyFont="1" applyFill="1" applyBorder="1" applyAlignment="1">
      <alignment horizontal="center" vertical="center"/>
    </xf>
    <xf numFmtId="10" fontId="8" fillId="2" borderId="13" xfId="1" applyNumberFormat="1" applyFont="1" applyFill="1" applyBorder="1" applyAlignment="1">
      <alignment horizontal="center" vertical="center"/>
    </xf>
    <xf numFmtId="10" fontId="10" fillId="0" borderId="18" xfId="1" applyNumberFormat="1" applyFont="1" applyBorder="1" applyAlignment="1">
      <alignment horizontal="center" vertical="center"/>
    </xf>
    <xf numFmtId="10" fontId="5" fillId="2" borderId="18" xfId="1" applyNumberFormat="1" applyFont="1" applyFill="1" applyBorder="1" applyAlignment="1">
      <alignment horizontal="center" vertical="center"/>
    </xf>
    <xf numFmtId="10" fontId="3" fillId="2" borderId="18" xfId="1" applyNumberFormat="1" applyFont="1" applyFill="1" applyBorder="1" applyAlignment="1">
      <alignment horizontal="center" vertical="center"/>
    </xf>
    <xf numFmtId="3" fontId="3" fillId="2" borderId="3" xfId="0" applyNumberFormat="1" applyFont="1" applyFill="1" applyBorder="1" applyAlignment="1">
      <alignment horizontal="left" vertical="center" wrapText="1"/>
    </xf>
    <xf numFmtId="3" fontId="4" fillId="2" borderId="3" xfId="0" applyNumberFormat="1" applyFont="1" applyFill="1" applyBorder="1" applyAlignment="1">
      <alignment horizontal="left" vertical="center" wrapText="1" indent="1"/>
    </xf>
    <xf numFmtId="3" fontId="10" fillId="0" borderId="3" xfId="0" applyNumberFormat="1" applyFont="1" applyBorder="1" applyAlignment="1">
      <alignment horizontal="left" indent="3"/>
    </xf>
    <xf numFmtId="4" fontId="10" fillId="2" borderId="3" xfId="0" applyNumberFormat="1" applyFont="1" applyFill="1" applyBorder="1" applyAlignment="1">
      <alignment horizontal="left" vertical="center" wrapText="1" indent="3"/>
    </xf>
    <xf numFmtId="10" fontId="8" fillId="2" borderId="0" xfId="1" applyNumberFormat="1" applyFont="1" applyFill="1" applyBorder="1" applyAlignment="1">
      <alignment horizontal="center" vertical="center"/>
    </xf>
    <xf numFmtId="3" fontId="3" fillId="3" borderId="6" xfId="0" applyNumberFormat="1" applyFont="1" applyFill="1" applyBorder="1" applyAlignment="1">
      <alignment horizontal="center" vertical="center" wrapText="1"/>
    </xf>
    <xf numFmtId="0" fontId="3" fillId="3" borderId="7" xfId="0" applyFont="1" applyFill="1" applyBorder="1" applyAlignment="1">
      <alignment horizontal="center" vertical="center" wrapText="1"/>
    </xf>
    <xf numFmtId="0" fontId="4" fillId="2" borderId="4" xfId="0" applyFont="1" applyFill="1" applyBorder="1" applyAlignment="1">
      <alignment horizontal="center"/>
    </xf>
    <xf numFmtId="0" fontId="4" fillId="2" borderId="10" xfId="0" applyFont="1" applyFill="1" applyBorder="1" applyAlignment="1">
      <alignment horizontal="center"/>
    </xf>
    <xf numFmtId="0" fontId="3" fillId="3" borderId="8" xfId="0" applyFont="1" applyFill="1" applyBorder="1" applyAlignment="1">
      <alignment horizontal="center" vertical="center" wrapText="1"/>
    </xf>
    <xf numFmtId="0" fontId="10" fillId="2" borderId="4" xfId="0" applyFont="1" applyFill="1" applyBorder="1" applyAlignment="1">
      <alignment horizontal="center" vertical="center"/>
    </xf>
    <xf numFmtId="3" fontId="3" fillId="3" borderId="4" xfId="0" applyNumberFormat="1" applyFont="1" applyFill="1" applyBorder="1" applyAlignment="1">
      <alignment horizontal="center" vertical="center" wrapText="1"/>
    </xf>
    <xf numFmtId="0" fontId="10" fillId="2" borderId="10" xfId="0" applyFont="1" applyFill="1" applyBorder="1" applyAlignment="1">
      <alignment horizontal="center" vertical="center"/>
    </xf>
    <xf numFmtId="10" fontId="10" fillId="2" borderId="9" xfId="1" applyNumberFormat="1" applyFont="1" applyFill="1" applyBorder="1" applyAlignment="1">
      <alignment horizontal="center" vertical="center"/>
    </xf>
    <xf numFmtId="10" fontId="3" fillId="3" borderId="9" xfId="1" applyNumberFormat="1" applyFont="1" applyFill="1" applyBorder="1" applyAlignment="1">
      <alignment horizontal="center" vertical="center" wrapText="1"/>
    </xf>
    <xf numFmtId="10" fontId="10" fillId="2" borderId="16" xfId="1" applyNumberFormat="1" applyFont="1" applyFill="1" applyBorder="1" applyAlignment="1">
      <alignment horizontal="center" vertical="center"/>
    </xf>
    <xf numFmtId="164" fontId="10" fillId="2" borderId="0" xfId="2" applyFont="1" applyFill="1" applyAlignment="1">
      <alignment horizontal="center" vertical="center"/>
    </xf>
    <xf numFmtId="164" fontId="8" fillId="5" borderId="5" xfId="0" applyNumberFormat="1" applyFont="1" applyFill="1" applyBorder="1" applyAlignment="1">
      <alignment horizontal="center" vertical="center" wrapText="1"/>
    </xf>
    <xf numFmtId="164" fontId="8" fillId="7" borderId="0" xfId="2" applyFont="1" applyFill="1" applyAlignment="1">
      <alignment horizontal="center" vertical="center" wrapText="1"/>
    </xf>
    <xf numFmtId="164" fontId="8" fillId="5" borderId="5" xfId="2" applyFont="1" applyFill="1" applyBorder="1" applyAlignment="1">
      <alignment horizontal="center" vertical="center" wrapText="1"/>
    </xf>
    <xf numFmtId="164" fontId="8" fillId="8" borderId="0" xfId="2" applyFont="1" applyFill="1" applyAlignment="1">
      <alignment horizontal="center" vertical="center" wrapText="1"/>
    </xf>
    <xf numFmtId="164" fontId="3" fillId="6" borderId="3" xfId="0" applyNumberFormat="1" applyFont="1" applyFill="1" applyBorder="1" applyAlignment="1">
      <alignment horizontal="center" vertical="center" wrapText="1"/>
    </xf>
    <xf numFmtId="164" fontId="3" fillId="6" borderId="12" xfId="2" applyFont="1" applyFill="1" applyBorder="1" applyAlignment="1">
      <alignment horizontal="center" vertical="center" wrapText="1"/>
    </xf>
    <xf numFmtId="164" fontId="3" fillId="6" borderId="3" xfId="2" applyFont="1" applyFill="1" applyBorder="1" applyAlignment="1">
      <alignment horizontal="center" vertical="center" wrapText="1"/>
    </xf>
    <xf numFmtId="164" fontId="8" fillId="2" borderId="3" xfId="0" applyNumberFormat="1" applyFont="1" applyFill="1" applyBorder="1" applyAlignment="1">
      <alignment horizontal="center" vertical="center" wrapText="1"/>
    </xf>
    <xf numFmtId="164" fontId="8" fillId="2" borderId="12" xfId="2" applyFont="1" applyFill="1" applyBorder="1" applyAlignment="1">
      <alignment horizontal="center" vertical="center" wrapText="1"/>
    </xf>
    <xf numFmtId="164" fontId="8" fillId="2" borderId="3" xfId="2" applyFont="1" applyFill="1" applyBorder="1" applyAlignment="1">
      <alignment horizontal="center" vertical="center" wrapText="1"/>
    </xf>
    <xf numFmtId="164" fontId="10" fillId="0" borderId="5" xfId="0" applyNumberFormat="1" applyFont="1" applyBorder="1" applyAlignment="1">
      <alignment horizontal="center" vertical="center"/>
    </xf>
    <xf numFmtId="164" fontId="10" fillId="0" borderId="0" xfId="2" applyFont="1" applyAlignment="1">
      <alignment horizontal="center" vertical="center"/>
    </xf>
    <xf numFmtId="164" fontId="10" fillId="0" borderId="5" xfId="2" applyFont="1" applyBorder="1" applyAlignment="1">
      <alignment horizontal="center" vertical="center"/>
    </xf>
    <xf numFmtId="164" fontId="10" fillId="2" borderId="5" xfId="0" applyNumberFormat="1" applyFont="1" applyFill="1" applyBorder="1" applyAlignment="1">
      <alignment horizontal="center" vertical="center"/>
    </xf>
    <xf numFmtId="164" fontId="10" fillId="2" borderId="5" xfId="2" applyFont="1" applyFill="1" applyBorder="1" applyAlignment="1">
      <alignment horizontal="center" vertical="center"/>
    </xf>
    <xf numFmtId="164" fontId="5" fillId="2" borderId="5" xfId="0" applyNumberFormat="1" applyFont="1" applyFill="1" applyBorder="1" applyAlignment="1">
      <alignment horizontal="center" vertical="center"/>
    </xf>
    <xf numFmtId="164" fontId="5" fillId="2" borderId="0" xfId="2" applyFont="1" applyFill="1" applyAlignment="1">
      <alignment horizontal="center" vertical="center"/>
    </xf>
    <xf numFmtId="164" fontId="5" fillId="2" borderId="5" xfId="2" applyFont="1" applyFill="1" applyBorder="1" applyAlignment="1">
      <alignment horizontal="center" vertical="center"/>
    </xf>
    <xf numFmtId="164" fontId="3" fillId="2" borderId="5" xfId="0" applyNumberFormat="1" applyFont="1" applyFill="1" applyBorder="1" applyAlignment="1">
      <alignment horizontal="center" vertical="center"/>
    </xf>
    <xf numFmtId="164" fontId="3" fillId="2" borderId="0" xfId="2" applyFont="1" applyFill="1" applyAlignment="1">
      <alignment horizontal="center" vertical="center"/>
    </xf>
    <xf numFmtId="164" fontId="3" fillId="2" borderId="5" xfId="2" applyFont="1" applyFill="1" applyBorder="1" applyAlignment="1">
      <alignment horizontal="center" vertical="center"/>
    </xf>
    <xf numFmtId="0" fontId="11" fillId="4" borderId="0" xfId="0" applyFont="1" applyFill="1" applyAlignment="1">
      <alignment vertical="center"/>
    </xf>
    <xf numFmtId="0" fontId="8" fillId="2" borderId="29" xfId="1" applyNumberFormat="1" applyFont="1" applyFill="1" applyBorder="1" applyAlignment="1">
      <alignment horizontal="center" vertical="center" wrapText="1"/>
    </xf>
    <xf numFmtId="3" fontId="3" fillId="9" borderId="12" xfId="0" applyNumberFormat="1" applyFont="1" applyFill="1" applyBorder="1" applyAlignment="1">
      <alignment horizontal="left" vertical="center" wrapText="1"/>
    </xf>
    <xf numFmtId="164" fontId="3" fillId="9" borderId="3" xfId="0" applyNumberFormat="1" applyFont="1" applyFill="1" applyBorder="1" applyAlignment="1">
      <alignment horizontal="center" vertical="center" wrapText="1"/>
    </xf>
    <xf numFmtId="10" fontId="3" fillId="9" borderId="12" xfId="1" applyNumberFormat="1" applyFont="1" applyFill="1" applyBorder="1" applyAlignment="1">
      <alignment horizontal="center" vertical="center" wrapText="1"/>
    </xf>
    <xf numFmtId="10" fontId="3" fillId="9" borderId="13" xfId="1" applyNumberFormat="1" applyFont="1" applyFill="1" applyBorder="1" applyAlignment="1">
      <alignment horizontal="center" vertical="center" wrapText="1"/>
    </xf>
    <xf numFmtId="164" fontId="3" fillId="9" borderId="12" xfId="2" applyFont="1" applyFill="1" applyBorder="1" applyAlignment="1">
      <alignment horizontal="center" vertical="center" wrapText="1"/>
    </xf>
    <xf numFmtId="164" fontId="3" fillId="9" borderId="3" xfId="2" applyFont="1" applyFill="1" applyBorder="1" applyAlignment="1">
      <alignment horizontal="center" vertical="center" wrapText="1"/>
    </xf>
    <xf numFmtId="4" fontId="3" fillId="7" borderId="12" xfId="0" applyNumberFormat="1" applyFont="1" applyFill="1" applyBorder="1" applyAlignment="1">
      <alignment horizontal="left" vertical="center" wrapText="1"/>
    </xf>
    <xf numFmtId="164" fontId="3" fillId="7" borderId="3" xfId="0" applyNumberFormat="1" applyFont="1" applyFill="1" applyBorder="1" applyAlignment="1">
      <alignment horizontal="center" vertical="center"/>
    </xf>
    <xf numFmtId="10" fontId="3" fillId="7" borderId="12" xfId="1" applyNumberFormat="1" applyFont="1" applyFill="1" applyBorder="1" applyAlignment="1">
      <alignment horizontal="center" vertical="center" wrapText="1"/>
    </xf>
    <xf numFmtId="10" fontId="3" fillId="7" borderId="13" xfId="1" applyNumberFormat="1" applyFont="1" applyFill="1" applyBorder="1" applyAlignment="1">
      <alignment horizontal="center" vertical="center" wrapText="1"/>
    </xf>
    <xf numFmtId="164" fontId="3" fillId="7" borderId="12" xfId="2" applyFont="1" applyFill="1" applyBorder="1" applyAlignment="1">
      <alignment horizontal="center" vertical="center"/>
    </xf>
    <xf numFmtId="164" fontId="3" fillId="7" borderId="3" xfId="2" applyFont="1" applyFill="1" applyBorder="1" applyAlignment="1">
      <alignment horizontal="center" vertical="center"/>
    </xf>
    <xf numFmtId="4" fontId="3" fillId="7" borderId="19" xfId="0" applyNumberFormat="1" applyFont="1" applyFill="1" applyBorder="1" applyAlignment="1">
      <alignment horizontal="left" vertical="center" wrapText="1"/>
    </xf>
    <xf numFmtId="164" fontId="3" fillId="7" borderId="21" xfId="0" applyNumberFormat="1" applyFont="1" applyFill="1" applyBorder="1" applyAlignment="1">
      <alignment horizontal="center" vertical="center"/>
    </xf>
    <xf numFmtId="10" fontId="3" fillId="7" borderId="19" xfId="1" applyNumberFormat="1" applyFont="1" applyFill="1" applyBorder="1" applyAlignment="1">
      <alignment horizontal="center" vertical="center" wrapText="1"/>
    </xf>
    <xf numFmtId="10" fontId="3" fillId="7" borderId="23" xfId="1" applyNumberFormat="1" applyFont="1" applyFill="1" applyBorder="1" applyAlignment="1">
      <alignment horizontal="center" vertical="center" wrapText="1"/>
    </xf>
    <xf numFmtId="164" fontId="3" fillId="7" borderId="19" xfId="2" applyFont="1" applyFill="1" applyBorder="1" applyAlignment="1">
      <alignment horizontal="center" vertical="center"/>
    </xf>
    <xf numFmtId="164" fontId="3" fillId="7" borderId="21" xfId="2" applyFont="1" applyFill="1" applyBorder="1" applyAlignment="1">
      <alignment horizontal="center" vertical="center"/>
    </xf>
    <xf numFmtId="4" fontId="3" fillId="7" borderId="20" xfId="0" applyNumberFormat="1" applyFont="1" applyFill="1" applyBorder="1" applyAlignment="1">
      <alignment horizontal="left" vertical="center" wrapText="1"/>
    </xf>
    <xf numFmtId="164" fontId="3" fillId="7" borderId="22" xfId="0" applyNumberFormat="1" applyFont="1" applyFill="1" applyBorder="1" applyAlignment="1">
      <alignment horizontal="center" vertical="center"/>
    </xf>
    <xf numFmtId="10" fontId="3" fillId="7" borderId="20" xfId="1" applyNumberFormat="1" applyFont="1" applyFill="1" applyBorder="1" applyAlignment="1">
      <alignment horizontal="center" vertical="center" wrapText="1"/>
    </xf>
    <xf numFmtId="10" fontId="3" fillId="7" borderId="24" xfId="1" applyNumberFormat="1" applyFont="1" applyFill="1" applyBorder="1" applyAlignment="1">
      <alignment horizontal="center" vertical="center" wrapText="1"/>
    </xf>
    <xf numFmtId="164" fontId="3" fillId="7" borderId="20" xfId="2" applyFont="1" applyFill="1" applyBorder="1" applyAlignment="1">
      <alignment horizontal="center" vertical="center"/>
    </xf>
    <xf numFmtId="164" fontId="3" fillId="7" borderId="22" xfId="2" applyFont="1" applyFill="1" applyBorder="1" applyAlignment="1">
      <alignment horizontal="center" vertical="center"/>
    </xf>
    <xf numFmtId="3" fontId="3" fillId="5" borderId="12" xfId="0" applyNumberFormat="1" applyFont="1" applyFill="1" applyBorder="1" applyAlignment="1">
      <alignment horizontal="left" vertical="center" wrapText="1"/>
    </xf>
    <xf numFmtId="164" fontId="3" fillId="5" borderId="3" xfId="0" applyNumberFormat="1" applyFont="1" applyFill="1" applyBorder="1" applyAlignment="1">
      <alignment horizontal="center" vertical="center" wrapText="1"/>
    </xf>
    <xf numFmtId="10" fontId="3" fillId="5" borderId="12" xfId="1" applyNumberFormat="1" applyFont="1" applyFill="1" applyBorder="1" applyAlignment="1">
      <alignment horizontal="center" vertical="center" wrapText="1"/>
    </xf>
    <xf numFmtId="10" fontId="3" fillId="5" borderId="13" xfId="1" applyNumberFormat="1" applyFont="1" applyFill="1" applyBorder="1" applyAlignment="1">
      <alignment horizontal="center" vertical="center" wrapText="1"/>
    </xf>
    <xf numFmtId="164" fontId="3" fillId="5" borderId="12" xfId="2" applyFont="1" applyFill="1" applyBorder="1" applyAlignment="1">
      <alignment horizontal="center" vertical="center" wrapText="1"/>
    </xf>
    <xf numFmtId="164" fontId="3" fillId="5" borderId="3" xfId="2" applyFont="1" applyFill="1" applyBorder="1" applyAlignment="1">
      <alignment horizontal="center" vertical="center" wrapText="1"/>
    </xf>
    <xf numFmtId="3" fontId="3" fillId="2" borderId="0" xfId="0" applyNumberFormat="1" applyFont="1" applyFill="1" applyAlignment="1">
      <alignment horizontal="left" vertical="center" wrapText="1"/>
    </xf>
    <xf numFmtId="164" fontId="3" fillId="2" borderId="5" xfId="0" applyNumberFormat="1" applyFont="1" applyFill="1" applyBorder="1" applyAlignment="1">
      <alignment horizontal="center" vertical="center" wrapText="1"/>
    </xf>
    <xf numFmtId="164" fontId="3" fillId="2" borderId="0" xfId="2" applyFont="1" applyFill="1" applyAlignment="1">
      <alignment horizontal="center" vertical="center" wrapText="1"/>
    </xf>
    <xf numFmtId="164" fontId="3" fillId="2" borderId="5" xfId="2" applyFont="1" applyFill="1" applyBorder="1" applyAlignment="1">
      <alignment horizontal="center" vertical="center" wrapText="1"/>
    </xf>
    <xf numFmtId="4" fontId="13" fillId="7" borderId="20" xfId="0" applyNumberFormat="1" applyFont="1" applyFill="1" applyBorder="1" applyAlignment="1">
      <alignment horizontal="left" vertical="center" wrapText="1"/>
    </xf>
    <xf numFmtId="164" fontId="13" fillId="7" borderId="22" xfId="0" applyNumberFormat="1" applyFont="1" applyFill="1" applyBorder="1" applyAlignment="1">
      <alignment horizontal="center" vertical="center"/>
    </xf>
    <xf numFmtId="10" fontId="13" fillId="7" borderId="20" xfId="1" applyNumberFormat="1" applyFont="1" applyFill="1" applyBorder="1" applyAlignment="1">
      <alignment horizontal="center" vertical="center" wrapText="1"/>
    </xf>
    <xf numFmtId="10" fontId="13" fillId="7" borderId="24" xfId="1" applyNumberFormat="1" applyFont="1" applyFill="1" applyBorder="1" applyAlignment="1">
      <alignment horizontal="center" vertical="center" wrapText="1"/>
    </xf>
    <xf numFmtId="164" fontId="13" fillId="7" borderId="20" xfId="2" applyFont="1" applyFill="1" applyBorder="1" applyAlignment="1">
      <alignment horizontal="center" vertical="center"/>
    </xf>
    <xf numFmtId="164" fontId="13" fillId="7" borderId="22" xfId="2" applyFont="1" applyFill="1" applyBorder="1" applyAlignment="1">
      <alignment horizontal="center" vertical="center"/>
    </xf>
    <xf numFmtId="4" fontId="13" fillId="0" borderId="0" xfId="0" applyNumberFormat="1" applyFont="1"/>
    <xf numFmtId="4" fontId="13" fillId="0" borderId="19" xfId="0" applyNumberFormat="1" applyFont="1" applyBorder="1"/>
    <xf numFmtId="164" fontId="13" fillId="10" borderId="3" xfId="2" applyFont="1" applyFill="1" applyBorder="1" applyAlignment="1">
      <alignment horizontal="center" vertical="center" wrapText="1"/>
    </xf>
    <xf numFmtId="0" fontId="13" fillId="0" borderId="0" xfId="0" applyFont="1"/>
    <xf numFmtId="164" fontId="3" fillId="2" borderId="3" xfId="2" applyFont="1" applyFill="1" applyBorder="1" applyAlignment="1">
      <alignment horizontal="center" vertical="center" wrapText="1"/>
    </xf>
    <xf numFmtId="4" fontId="3" fillId="2" borderId="0" xfId="0" applyNumberFormat="1" applyFont="1" applyFill="1"/>
    <xf numFmtId="4" fontId="14" fillId="2" borderId="0" xfId="0" applyNumberFormat="1" applyFont="1" applyFill="1"/>
    <xf numFmtId="164" fontId="14" fillId="6" borderId="3" xfId="2" applyFont="1" applyFill="1" applyBorder="1" applyAlignment="1">
      <alignment horizontal="center" vertical="center" wrapText="1"/>
    </xf>
    <xf numFmtId="164" fontId="10" fillId="0" borderId="31" xfId="2" applyFont="1" applyBorder="1" applyAlignment="1">
      <alignment horizontal="center" vertical="center"/>
    </xf>
    <xf numFmtId="164" fontId="10" fillId="0" borderId="27" xfId="2" applyFont="1" applyBorder="1" applyAlignment="1">
      <alignment horizontal="center" vertical="center"/>
    </xf>
    <xf numFmtId="164" fontId="10" fillId="0" borderId="32" xfId="2" applyFont="1" applyBorder="1" applyAlignment="1">
      <alignment horizontal="center" vertical="center"/>
    </xf>
    <xf numFmtId="0" fontId="11" fillId="4" borderId="31" xfId="0" applyFont="1" applyFill="1" applyBorder="1" applyAlignment="1">
      <alignment vertical="center"/>
    </xf>
    <xf numFmtId="0" fontId="8" fillId="2" borderId="5" xfId="0" applyFont="1" applyFill="1" applyBorder="1" applyAlignment="1">
      <alignment horizontal="left" vertical="center" wrapText="1"/>
    </xf>
    <xf numFmtId="3" fontId="13" fillId="10" borderId="3" xfId="0" applyNumberFormat="1" applyFont="1" applyFill="1" applyBorder="1" applyAlignment="1">
      <alignment horizontal="left" vertical="center" wrapText="1"/>
    </xf>
    <xf numFmtId="164" fontId="13" fillId="10" borderId="1" xfId="2" applyFont="1" applyFill="1" applyBorder="1" applyAlignment="1">
      <alignment horizontal="center" vertical="center" wrapText="1"/>
    </xf>
    <xf numFmtId="3" fontId="10" fillId="0" borderId="5" xfId="0" applyNumberFormat="1" applyFont="1" applyBorder="1" applyAlignment="1">
      <alignment horizontal="left" indent="2"/>
    </xf>
    <xf numFmtId="3" fontId="10" fillId="0" borderId="5" xfId="0" applyNumberFormat="1" applyFont="1" applyBorder="1" applyAlignment="1">
      <alignment horizontal="left" indent="3"/>
    </xf>
    <xf numFmtId="4" fontId="5" fillId="2" borderId="5" xfId="0" applyNumberFormat="1" applyFont="1" applyFill="1" applyBorder="1" applyAlignment="1">
      <alignment horizontal="left" vertical="center" wrapText="1"/>
    </xf>
    <xf numFmtId="0" fontId="10" fillId="2" borderId="5" xfId="0" applyFont="1" applyFill="1" applyBorder="1"/>
    <xf numFmtId="164" fontId="10" fillId="2" borderId="32" xfId="2" applyFont="1" applyFill="1" applyBorder="1" applyAlignment="1">
      <alignment horizontal="center" vertical="center"/>
    </xf>
    <xf numFmtId="4" fontId="14" fillId="6" borderId="3" xfId="0" applyNumberFormat="1" applyFont="1" applyFill="1" applyBorder="1" applyAlignment="1">
      <alignment horizontal="left" vertical="center" wrapText="1" indent="1"/>
    </xf>
    <xf numFmtId="164" fontId="14" fillId="6" borderId="1" xfId="2" applyFont="1" applyFill="1" applyBorder="1" applyAlignment="1">
      <alignment horizontal="center" vertical="center" wrapText="1"/>
    </xf>
    <xf numFmtId="4" fontId="3" fillId="2" borderId="3" xfId="0" applyNumberFormat="1" applyFont="1" applyFill="1" applyBorder="1" applyAlignment="1">
      <alignment horizontal="left" vertical="center" wrapText="1" indent="2"/>
    </xf>
    <xf numFmtId="164" fontId="3" fillId="2" borderId="1" xfId="2" applyFont="1" applyFill="1" applyBorder="1" applyAlignment="1">
      <alignment horizontal="center" vertical="center" wrapText="1"/>
    </xf>
    <xf numFmtId="0" fontId="10" fillId="2" borderId="5" xfId="0" applyFont="1" applyFill="1" applyBorder="1" applyAlignment="1">
      <alignment horizontal="left" indent="1"/>
    </xf>
    <xf numFmtId="3" fontId="3" fillId="2" borderId="5" xfId="0" applyNumberFormat="1" applyFont="1" applyFill="1" applyBorder="1" applyAlignment="1">
      <alignment horizontal="left" vertical="center" wrapText="1"/>
    </xf>
    <xf numFmtId="164" fontId="3" fillId="2" borderId="32" xfId="2" applyFont="1" applyFill="1" applyBorder="1" applyAlignment="1">
      <alignment horizontal="center" vertical="center" wrapText="1"/>
    </xf>
    <xf numFmtId="4" fontId="13" fillId="7" borderId="3" xfId="0" applyNumberFormat="1" applyFont="1" applyFill="1" applyBorder="1" applyAlignment="1">
      <alignment horizontal="left" vertical="center" wrapText="1"/>
    </xf>
    <xf numFmtId="164" fontId="13" fillId="7" borderId="3" xfId="2" applyFont="1" applyFill="1" applyBorder="1" applyAlignment="1">
      <alignment horizontal="center" vertical="center"/>
    </xf>
    <xf numFmtId="164" fontId="13" fillId="7" borderId="1" xfId="2" applyFont="1" applyFill="1" applyBorder="1" applyAlignment="1">
      <alignment horizontal="center" vertical="center"/>
    </xf>
    <xf numFmtId="4" fontId="13" fillId="7" borderId="22" xfId="0" applyNumberFormat="1" applyFont="1" applyFill="1" applyBorder="1" applyAlignment="1">
      <alignment horizontal="left" vertical="center" wrapText="1"/>
    </xf>
    <xf numFmtId="164" fontId="13" fillId="7" borderId="34" xfId="2" applyFont="1" applyFill="1" applyBorder="1" applyAlignment="1">
      <alignment horizontal="center" vertical="center"/>
    </xf>
    <xf numFmtId="0" fontId="11" fillId="4" borderId="30" xfId="0" applyFont="1" applyFill="1" applyBorder="1" applyAlignment="1">
      <alignment vertical="center"/>
    </xf>
    <xf numFmtId="0" fontId="8" fillId="5" borderId="5" xfId="2" applyNumberFormat="1" applyFont="1" applyFill="1" applyBorder="1" applyAlignment="1">
      <alignment horizontal="center" vertical="center" wrapText="1"/>
    </xf>
    <xf numFmtId="0" fontId="10" fillId="2" borderId="0" xfId="0" applyFont="1" applyFill="1" applyAlignment="1">
      <alignment horizontal="left" indent="2"/>
    </xf>
    <xf numFmtId="0" fontId="0" fillId="0" borderId="0" xfId="0" applyAlignment="1">
      <alignment horizontal="left" wrapText="1" indent="2"/>
    </xf>
    <xf numFmtId="4" fontId="3" fillId="2" borderId="3" xfId="0" applyNumberFormat="1" applyFont="1" applyFill="1" applyBorder="1" applyAlignment="1">
      <alignment horizontal="left" vertical="center" wrapText="1" indent="1"/>
    </xf>
    <xf numFmtId="0" fontId="10" fillId="0" borderId="0" xfId="0" applyFont="1" applyAlignment="1">
      <alignment horizontal="left" indent="2"/>
    </xf>
    <xf numFmtId="3" fontId="3" fillId="2" borderId="3" xfId="0" applyNumberFormat="1" applyFont="1" applyFill="1" applyBorder="1" applyAlignment="1">
      <alignment horizontal="left" vertical="center" wrapText="1" indent="1"/>
    </xf>
    <xf numFmtId="0" fontId="15" fillId="0" borderId="0" xfId="0" applyFont="1" applyAlignment="1">
      <alignment horizontal="left" wrapText="1" indent="1"/>
    </xf>
    <xf numFmtId="4" fontId="13" fillId="5" borderId="22" xfId="0" applyNumberFormat="1" applyFont="1" applyFill="1" applyBorder="1" applyAlignment="1">
      <alignment horizontal="left" vertical="center" wrapText="1"/>
    </xf>
    <xf numFmtId="164" fontId="13" fillId="5" borderId="22" xfId="2" applyFont="1" applyFill="1" applyBorder="1" applyAlignment="1">
      <alignment horizontal="center" vertical="center"/>
    </xf>
    <xf numFmtId="4" fontId="13" fillId="9" borderId="22" xfId="0" applyNumberFormat="1" applyFont="1" applyFill="1" applyBorder="1" applyAlignment="1">
      <alignment horizontal="left" vertical="center" wrapText="1"/>
    </xf>
    <xf numFmtId="164" fontId="13" fillId="9" borderId="22" xfId="2" applyFont="1" applyFill="1" applyBorder="1" applyAlignment="1">
      <alignment horizontal="center" vertical="center"/>
    </xf>
    <xf numFmtId="0" fontId="8" fillId="7" borderId="0" xfId="2" applyNumberFormat="1" applyFont="1" applyFill="1" applyAlignment="1">
      <alignment horizontal="center" vertical="center" wrapText="1"/>
    </xf>
    <xf numFmtId="164" fontId="3" fillId="3" borderId="0" xfId="2" applyFont="1" applyFill="1" applyAlignment="1">
      <alignment horizontal="center" vertical="center" wrapText="1"/>
    </xf>
    <xf numFmtId="164" fontId="10" fillId="2" borderId="11" xfId="2" applyFont="1" applyFill="1" applyBorder="1" applyAlignment="1">
      <alignment horizontal="center" vertical="center"/>
    </xf>
    <xf numFmtId="164" fontId="10" fillId="2" borderId="0" xfId="0" applyNumberFormat="1" applyFont="1" applyFill="1" applyAlignment="1">
      <alignment horizontal="center" vertical="center" wrapText="1"/>
    </xf>
    <xf numFmtId="164" fontId="10" fillId="2" borderId="0" xfId="2" applyFont="1" applyFill="1" applyAlignment="1">
      <alignment horizontal="center" vertical="center" wrapText="1"/>
    </xf>
    <xf numFmtId="164" fontId="10" fillId="2" borderId="11" xfId="2" applyFont="1" applyFill="1" applyBorder="1" applyAlignment="1">
      <alignment horizontal="center" vertical="center" wrapText="1"/>
    </xf>
    <xf numFmtId="164" fontId="10" fillId="0" borderId="0" xfId="0" applyNumberFormat="1" applyFont="1" applyAlignment="1">
      <alignment horizontal="center" vertical="center" wrapText="1"/>
    </xf>
    <xf numFmtId="9" fontId="3" fillId="2" borderId="9" xfId="1" applyFont="1" applyFill="1" applyBorder="1" applyAlignment="1">
      <alignment horizontal="center" vertical="center" wrapText="1"/>
    </xf>
    <xf numFmtId="9" fontId="3" fillId="2" borderId="16" xfId="1" applyFont="1" applyFill="1" applyBorder="1" applyAlignment="1">
      <alignment horizontal="center" vertical="center" wrapText="1"/>
    </xf>
    <xf numFmtId="167" fontId="3" fillId="2" borderId="2" xfId="2" applyNumberFormat="1" applyFont="1" applyFill="1" applyBorder="1" applyAlignment="1">
      <alignment horizontal="center" vertical="center" wrapText="1"/>
    </xf>
    <xf numFmtId="167" fontId="10" fillId="0" borderId="2" xfId="2" applyNumberFormat="1" applyFont="1" applyBorder="1" applyAlignment="1">
      <alignment horizontal="center" vertical="center" wrapText="1"/>
    </xf>
    <xf numFmtId="167" fontId="10" fillId="2" borderId="2" xfId="2" applyNumberFormat="1" applyFont="1" applyFill="1" applyBorder="1" applyAlignment="1">
      <alignment horizontal="center" vertical="center" wrapText="1"/>
    </xf>
    <xf numFmtId="167" fontId="8" fillId="2" borderId="2" xfId="2" applyNumberFormat="1" applyFont="1" applyFill="1" applyBorder="1" applyAlignment="1">
      <alignment horizontal="center" vertical="center" wrapText="1"/>
    </xf>
    <xf numFmtId="167" fontId="4" fillId="2" borderId="2" xfId="2" applyNumberFormat="1" applyFont="1" applyFill="1" applyBorder="1" applyAlignment="1">
      <alignment horizontal="center" vertical="center" wrapText="1"/>
    </xf>
    <xf numFmtId="167" fontId="12" fillId="2" borderId="0" xfId="0" applyNumberFormat="1" applyFont="1" applyFill="1" applyAlignment="1">
      <alignment horizontal="center" vertical="center" wrapText="1"/>
    </xf>
    <xf numFmtId="167" fontId="12" fillId="2" borderId="0" xfId="0" applyNumberFormat="1" applyFont="1" applyFill="1" applyAlignment="1">
      <alignment horizontal="center" vertical="center"/>
    </xf>
    <xf numFmtId="9" fontId="3" fillId="2" borderId="25" xfId="1" applyFont="1" applyFill="1" applyBorder="1" applyAlignment="1">
      <alignment horizontal="center" vertical="center" wrapText="1"/>
    </xf>
    <xf numFmtId="9" fontId="4" fillId="2" borderId="25" xfId="1" applyFont="1" applyFill="1" applyBorder="1" applyAlignment="1">
      <alignment horizontal="center" vertical="center" wrapText="1"/>
    </xf>
    <xf numFmtId="168" fontId="4" fillId="2" borderId="0" xfId="2" applyNumberFormat="1" applyFont="1" applyFill="1" applyBorder="1" applyAlignment="1">
      <alignment horizontal="center" vertical="center"/>
    </xf>
    <xf numFmtId="168" fontId="4" fillId="2" borderId="11" xfId="2" applyNumberFormat="1" applyFont="1" applyFill="1" applyBorder="1" applyAlignment="1">
      <alignment horizontal="center" vertical="center"/>
    </xf>
    <xf numFmtId="0" fontId="3" fillId="3" borderId="35" xfId="0" applyFont="1" applyFill="1" applyBorder="1" applyAlignment="1">
      <alignment horizontal="center" vertical="center" wrapText="1"/>
    </xf>
    <xf numFmtId="167" fontId="4" fillId="2" borderId="36" xfId="2" applyNumberFormat="1" applyFont="1" applyFill="1" applyBorder="1" applyAlignment="1">
      <alignment horizontal="center" vertical="center" wrapText="1"/>
    </xf>
    <xf numFmtId="168" fontId="4" fillId="2" borderId="36" xfId="2" applyNumberFormat="1" applyFont="1" applyFill="1" applyBorder="1" applyAlignment="1">
      <alignment horizontal="center" vertical="center" wrapText="1"/>
    </xf>
    <xf numFmtId="168" fontId="4" fillId="2" borderId="37" xfId="2" applyNumberFormat="1" applyFont="1" applyFill="1" applyBorder="1" applyAlignment="1">
      <alignment horizontal="center" vertical="center" wrapText="1"/>
    </xf>
    <xf numFmtId="9" fontId="4" fillId="2" borderId="36" xfId="1" applyFont="1" applyFill="1" applyBorder="1" applyAlignment="1">
      <alignment horizontal="right" vertical="center" wrapText="1"/>
    </xf>
    <xf numFmtId="167" fontId="4" fillId="2" borderId="0" xfId="2" applyNumberFormat="1" applyFont="1" applyFill="1" applyBorder="1" applyAlignment="1">
      <alignment horizontal="right" vertical="center"/>
    </xf>
    <xf numFmtId="9" fontId="4" fillId="2" borderId="0" xfId="1" applyFont="1" applyFill="1" applyBorder="1" applyAlignment="1">
      <alignment horizontal="right" vertical="center"/>
    </xf>
    <xf numFmtId="168" fontId="4" fillId="2" borderId="0" xfId="2" applyNumberFormat="1" applyFont="1" applyFill="1" applyBorder="1" applyAlignment="1">
      <alignment horizontal="right" vertical="center"/>
    </xf>
    <xf numFmtId="164" fontId="10" fillId="0" borderId="28" xfId="2" applyFont="1" applyBorder="1" applyAlignment="1">
      <alignment horizontal="center" vertical="center"/>
    </xf>
    <xf numFmtId="3" fontId="3" fillId="7" borderId="3" xfId="0" applyNumberFormat="1" applyFont="1" applyFill="1" applyBorder="1" applyAlignment="1">
      <alignment horizontal="left" vertical="center" wrapText="1"/>
    </xf>
    <xf numFmtId="167" fontId="3" fillId="7" borderId="2" xfId="2" applyNumberFormat="1" applyFont="1" applyFill="1" applyBorder="1" applyAlignment="1">
      <alignment horizontal="center" vertical="center" wrapText="1"/>
    </xf>
    <xf numFmtId="9" fontId="3" fillId="7" borderId="25" xfId="1" applyFont="1" applyFill="1" applyBorder="1" applyAlignment="1">
      <alignment horizontal="center" vertical="center" wrapText="1"/>
    </xf>
    <xf numFmtId="3" fontId="3" fillId="11" borderId="3" xfId="0" applyNumberFormat="1" applyFont="1" applyFill="1" applyBorder="1" applyAlignment="1">
      <alignment horizontal="left" vertical="center" wrapText="1"/>
    </xf>
    <xf numFmtId="167" fontId="3" fillId="11" borderId="2" xfId="2" applyNumberFormat="1" applyFont="1" applyFill="1" applyBorder="1" applyAlignment="1">
      <alignment horizontal="center" vertical="center" wrapText="1"/>
    </xf>
    <xf numFmtId="9" fontId="3" fillId="11" borderId="25" xfId="1" applyFont="1" applyFill="1" applyBorder="1" applyAlignment="1">
      <alignment horizontal="center" vertical="center" wrapText="1"/>
    </xf>
    <xf numFmtId="3" fontId="3" fillId="5" borderId="3" xfId="0" applyNumberFormat="1" applyFont="1" applyFill="1" applyBorder="1" applyAlignment="1">
      <alignment horizontal="left" vertical="center" wrapText="1"/>
    </xf>
    <xf numFmtId="167" fontId="3" fillId="5" borderId="17" xfId="2" applyNumberFormat="1" applyFont="1" applyFill="1" applyBorder="1" applyAlignment="1">
      <alignment horizontal="center" vertical="center" wrapText="1"/>
    </xf>
    <xf numFmtId="9" fontId="3" fillId="5" borderId="26" xfId="1" applyFont="1" applyFill="1" applyBorder="1" applyAlignment="1">
      <alignment horizontal="center" vertical="center" wrapText="1"/>
    </xf>
    <xf numFmtId="10" fontId="10" fillId="2" borderId="0" xfId="1" applyNumberFormat="1" applyFont="1" applyFill="1"/>
    <xf numFmtId="10" fontId="8" fillId="0" borderId="0" xfId="1" applyNumberFormat="1" applyFont="1"/>
    <xf numFmtId="164" fontId="8" fillId="7" borderId="27" xfId="2" applyFont="1" applyFill="1" applyBorder="1" applyAlignment="1">
      <alignment horizontal="center" vertical="center" wrapText="1"/>
    </xf>
    <xf numFmtId="0" fontId="0" fillId="5" borderId="0" xfId="0" applyFill="1" applyAlignment="1">
      <alignment horizontal="left" wrapText="1" indent="2"/>
    </xf>
    <xf numFmtId="0" fontId="8" fillId="2" borderId="5" xfId="2" applyNumberFormat="1" applyFont="1" applyFill="1" applyBorder="1" applyAlignment="1">
      <alignment horizontal="center" vertical="center" wrapText="1"/>
    </xf>
    <xf numFmtId="0" fontId="13" fillId="5" borderId="38" xfId="0" applyFont="1" applyFill="1" applyBorder="1" applyAlignment="1">
      <alignment horizontal="center" wrapText="1"/>
    </xf>
    <xf numFmtId="164" fontId="11" fillId="4" borderId="30" xfId="2" applyFont="1" applyFill="1" applyBorder="1" applyAlignment="1">
      <alignment horizontal="center" vertical="center"/>
    </xf>
    <xf numFmtId="0" fontId="11" fillId="4" borderId="0" xfId="0" applyFont="1" applyFill="1" applyAlignment="1">
      <alignment horizontal="center" vertical="center"/>
    </xf>
    <xf numFmtId="4" fontId="11" fillId="4" borderId="0" xfId="0" applyNumberFormat="1" applyFont="1" applyFill="1" applyAlignment="1">
      <alignment horizontal="center" vertical="center"/>
    </xf>
    <xf numFmtId="164" fontId="11" fillId="4" borderId="33" xfId="2" applyFont="1" applyFill="1" applyBorder="1" applyAlignment="1">
      <alignment horizontal="center" vertical="center"/>
    </xf>
  </cellXfs>
  <cellStyles count="6">
    <cellStyle name="Millares" xfId="2" builtinId="3"/>
    <cellStyle name="Millares 3" xfId="4" xr:uid="{00000000-0005-0000-0000-000001000000}"/>
    <cellStyle name="Normal" xfId="0" builtinId="0"/>
    <cellStyle name="Normal 4" xfId="3" xr:uid="{00000000-0005-0000-0000-000003000000}"/>
    <cellStyle name="Porcentaje" xfId="1" builtinId="5"/>
    <cellStyle name="Porcentaje 4" xfId="5" xr:uid="{00000000-0005-0000-0000-000005000000}"/>
  </cellStyles>
  <dxfs count="2542">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numFmt numFmtId="0" formatCode="Genera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numFmt numFmtId="0" formatCode="General"/>
    </dxf>
    <dxf>
      <fill>
        <patternFill>
          <bgColor rgb="FFFC2222"/>
        </patternFill>
      </fill>
    </dxf>
    <dxf>
      <numFmt numFmtId="0" formatCode="General"/>
    </dxf>
    <dxf>
      <numFmt numFmtId="0" formatCode="Genera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fill>
        <patternFill>
          <bgColor rgb="FFFC2222"/>
        </patternFill>
      </fill>
    </dxf>
    <dxf>
      <numFmt numFmtId="0" formatCode="General"/>
    </dxf>
    <dxf>
      <fill>
        <patternFill>
          <bgColor rgb="FFFC2222"/>
        </patternFill>
      </fill>
    </dxf>
  </dxfs>
  <tableStyles count="0" defaultTableStyle="TableStyleMedium2" defaultPivotStyle="PivotStyleLight16"/>
  <colors>
    <mruColors>
      <color rgb="FF66FF66"/>
      <color rgb="FFFFFF99"/>
      <color rgb="FF6AD9E8"/>
      <color rgb="FFFC2222"/>
      <color rgb="FF31A5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Contabilidad/Dropbox/DEPARTAMENTO%20CONTABLE/EEFF%20EMPRESAS/EEFF%20GRUPO%20UX%202024/ULTRABIKEX%20C.A..xlsx" TargetMode="External"/><Relationship Id="rId1" Type="http://schemas.openxmlformats.org/officeDocument/2006/relationships/externalLinkPath" Target="/Users/Contabilidad/Dropbox/DEPARTAMENTO%20CONTABLE/EEFF%20EMPRESAS/EEFF%20GRUPO%20UX%202024/ULTRABIKEX%20C.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X BALANCE"/>
      <sheetName val="UX RESULTADOS"/>
      <sheetName val="MAYOR EERR"/>
      <sheetName val="EVENTOS EERR"/>
      <sheetName val="TERRACOTA EERR"/>
      <sheetName val="UCAFE EERR"/>
      <sheetName val="PRESUPUESTO MAYOR"/>
      <sheetName val="METAS"/>
      <sheetName val="Hoja1"/>
      <sheetName val="ANALISIS PROPUESTA"/>
    </sheetNames>
    <sheetDataSet>
      <sheetData sheetId="0"/>
      <sheetData sheetId="1"/>
      <sheetData sheetId="2">
        <row r="14">
          <cell r="V14"/>
        </row>
      </sheetData>
      <sheetData sheetId="3">
        <row r="14">
          <cell r="V14"/>
        </row>
      </sheetData>
      <sheetData sheetId="4">
        <row r="14">
          <cell r="V14"/>
        </row>
      </sheetData>
      <sheetData sheetId="5">
        <row r="14">
          <cell r="V14"/>
        </row>
      </sheetData>
      <sheetData sheetId="6"/>
      <sheetData sheetId="7"/>
      <sheetData sheetId="8"/>
      <sheetData sheetId="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R142"/>
  <sheetViews>
    <sheetView showGridLines="0" zoomScale="80" zoomScaleNormal="80" workbookViewId="0">
      <pane xSplit="1" ySplit="3" topLeftCell="B4" activePane="bottomRight" state="frozen"/>
      <selection activeCell="A124" sqref="A124"/>
      <selection pane="topRight" activeCell="A124" sqref="A124"/>
      <selection pane="bottomLeft" activeCell="A124" sqref="A124"/>
      <selection pane="bottomRight" activeCell="C106" sqref="C106"/>
    </sheetView>
  </sheetViews>
  <sheetFormatPr baseColWidth="10" defaultRowHeight="15" customHeight="1" outlineLevelRow="1" x14ac:dyDescent="0.25"/>
  <cols>
    <col min="1" max="1" width="50.42578125" style="4" customWidth="1"/>
    <col min="2" max="2" width="13.5703125" style="185" customWidth="1"/>
    <col min="3" max="3" width="14.28515625" style="16" customWidth="1"/>
    <col min="4" max="4" width="13.28515625" style="17" customWidth="1"/>
    <col min="5" max="5" width="14.28515625" style="16" customWidth="1"/>
    <col min="6" max="6" width="13.28515625" style="17" customWidth="1"/>
    <col min="7" max="7" width="12.140625" style="4" bestFit="1" customWidth="1"/>
    <col min="8" max="8" width="12.7109375" style="4" bestFit="1" customWidth="1"/>
    <col min="9" max="9" width="12.140625" style="4" bestFit="1" customWidth="1"/>
    <col min="10" max="10" width="12.7109375" style="4" bestFit="1" customWidth="1"/>
    <col min="11" max="11" width="15.28515625" style="4" customWidth="1"/>
    <col min="12" max="12" width="12.7109375" style="4" bestFit="1" customWidth="1"/>
    <col min="13" max="208" width="11.5703125" style="4"/>
    <col min="209" max="209" width="39.28515625" style="4" customWidth="1"/>
    <col min="210" max="464" width="11.5703125" style="4"/>
    <col min="465" max="465" width="39.28515625" style="4" customWidth="1"/>
    <col min="466" max="720" width="11.5703125" style="4"/>
    <col min="721" max="721" width="39.28515625" style="4" customWidth="1"/>
    <col min="722" max="976" width="11.5703125" style="4"/>
    <col min="977" max="977" width="39.28515625" style="4" customWidth="1"/>
    <col min="978" max="1232" width="11.5703125" style="4"/>
    <col min="1233" max="1233" width="39.28515625" style="4" customWidth="1"/>
    <col min="1234" max="1488" width="11.5703125" style="4"/>
    <col min="1489" max="1489" width="39.28515625" style="4" customWidth="1"/>
    <col min="1490" max="1744" width="11.5703125" style="4"/>
    <col min="1745" max="1745" width="39.28515625" style="4" customWidth="1"/>
    <col min="1746" max="2000" width="11.5703125" style="4"/>
    <col min="2001" max="2001" width="39.28515625" style="4" customWidth="1"/>
    <col min="2002" max="2256" width="11.5703125" style="4"/>
    <col min="2257" max="2257" width="39.28515625" style="4" customWidth="1"/>
    <col min="2258" max="2512" width="11.5703125" style="4"/>
    <col min="2513" max="2513" width="39.28515625" style="4" customWidth="1"/>
    <col min="2514" max="2768" width="11.5703125" style="4"/>
    <col min="2769" max="2769" width="39.28515625" style="4" customWidth="1"/>
    <col min="2770" max="3024" width="11.5703125" style="4"/>
    <col min="3025" max="3025" width="39.28515625" style="4" customWidth="1"/>
    <col min="3026" max="3280" width="11.5703125" style="4"/>
    <col min="3281" max="3281" width="39.28515625" style="4" customWidth="1"/>
    <col min="3282" max="3536" width="11.5703125" style="4"/>
    <col min="3537" max="3537" width="39.28515625" style="4" customWidth="1"/>
    <col min="3538" max="3792" width="11.5703125" style="4"/>
    <col min="3793" max="3793" width="39.28515625" style="4" customWidth="1"/>
    <col min="3794" max="4048" width="11.5703125" style="4"/>
    <col min="4049" max="4049" width="39.28515625" style="4" customWidth="1"/>
    <col min="4050" max="4304" width="11.5703125" style="4"/>
    <col min="4305" max="4305" width="39.28515625" style="4" customWidth="1"/>
    <col min="4306" max="4560" width="11.5703125" style="4"/>
    <col min="4561" max="4561" width="39.28515625" style="4" customWidth="1"/>
    <col min="4562" max="4816" width="11.5703125" style="4"/>
    <col min="4817" max="4817" width="39.28515625" style="4" customWidth="1"/>
    <col min="4818" max="5072" width="11.5703125" style="4"/>
    <col min="5073" max="5073" width="39.28515625" style="4" customWidth="1"/>
    <col min="5074" max="5328" width="11.5703125" style="4"/>
    <col min="5329" max="5329" width="39.28515625" style="4" customWidth="1"/>
    <col min="5330" max="5584" width="11.5703125" style="4"/>
    <col min="5585" max="5585" width="39.28515625" style="4" customWidth="1"/>
    <col min="5586" max="5840" width="11.5703125" style="4"/>
    <col min="5841" max="5841" width="39.28515625" style="4" customWidth="1"/>
    <col min="5842" max="6096" width="11.5703125" style="4"/>
    <col min="6097" max="6097" width="39.28515625" style="4" customWidth="1"/>
    <col min="6098" max="6352" width="11.5703125" style="4"/>
    <col min="6353" max="6353" width="39.28515625" style="4" customWidth="1"/>
    <col min="6354" max="6608" width="11.5703125" style="4"/>
    <col min="6609" max="6609" width="39.28515625" style="4" customWidth="1"/>
    <col min="6610" max="6864" width="11.5703125" style="4"/>
    <col min="6865" max="6865" width="39.28515625" style="4" customWidth="1"/>
    <col min="6866" max="7120" width="11.5703125" style="4"/>
    <col min="7121" max="7121" width="39.28515625" style="4" customWidth="1"/>
    <col min="7122" max="7376" width="11.5703125" style="4"/>
    <col min="7377" max="7377" width="39.28515625" style="4" customWidth="1"/>
    <col min="7378" max="7632" width="11.5703125" style="4"/>
    <col min="7633" max="7633" width="39.28515625" style="4" customWidth="1"/>
    <col min="7634" max="7888" width="11.5703125" style="4"/>
    <col min="7889" max="7889" width="39.28515625" style="4" customWidth="1"/>
    <col min="7890" max="8144" width="11.5703125" style="4"/>
    <col min="8145" max="8145" width="39.28515625" style="4" customWidth="1"/>
    <col min="8146" max="8400" width="11.5703125" style="4"/>
    <col min="8401" max="8401" width="39.28515625" style="4" customWidth="1"/>
    <col min="8402" max="8656" width="11.5703125" style="4"/>
    <col min="8657" max="8657" width="39.28515625" style="4" customWidth="1"/>
    <col min="8658" max="8912" width="11.5703125" style="4"/>
    <col min="8913" max="8913" width="39.28515625" style="4" customWidth="1"/>
    <col min="8914" max="9168" width="11.5703125" style="4"/>
    <col min="9169" max="9169" width="39.28515625" style="4" customWidth="1"/>
    <col min="9170" max="9424" width="11.5703125" style="4"/>
    <col min="9425" max="9425" width="39.28515625" style="4" customWidth="1"/>
    <col min="9426" max="9680" width="11.5703125" style="4"/>
    <col min="9681" max="9681" width="39.28515625" style="4" customWidth="1"/>
    <col min="9682" max="9936" width="11.5703125" style="4"/>
    <col min="9937" max="9937" width="39.28515625" style="4" customWidth="1"/>
    <col min="9938" max="10192" width="11.5703125" style="4"/>
    <col min="10193" max="10193" width="39.28515625" style="4" customWidth="1"/>
    <col min="10194" max="10448" width="11.5703125" style="4"/>
    <col min="10449" max="10449" width="39.28515625" style="4" customWidth="1"/>
    <col min="10450" max="10704" width="11.5703125" style="4"/>
    <col min="10705" max="10705" width="39.28515625" style="4" customWidth="1"/>
    <col min="10706" max="10960" width="11.5703125" style="4"/>
    <col min="10961" max="10961" width="39.28515625" style="4" customWidth="1"/>
    <col min="10962" max="11216" width="11.5703125" style="4"/>
    <col min="11217" max="11217" width="39.28515625" style="4" customWidth="1"/>
    <col min="11218" max="11472" width="11.5703125" style="4"/>
    <col min="11473" max="11473" width="39.28515625" style="4" customWidth="1"/>
    <col min="11474" max="11728" width="11.5703125" style="4"/>
    <col min="11729" max="11729" width="39.28515625" style="4" customWidth="1"/>
    <col min="11730" max="11984" width="11.5703125" style="4"/>
    <col min="11985" max="11985" width="39.28515625" style="4" customWidth="1"/>
    <col min="11986" max="12240" width="11.5703125" style="4"/>
    <col min="12241" max="12241" width="39.28515625" style="4" customWidth="1"/>
    <col min="12242" max="12496" width="11.5703125" style="4"/>
    <col min="12497" max="12497" width="39.28515625" style="4" customWidth="1"/>
    <col min="12498" max="12752" width="11.5703125" style="4"/>
    <col min="12753" max="12753" width="39.28515625" style="4" customWidth="1"/>
    <col min="12754" max="13008" width="11.5703125" style="4"/>
    <col min="13009" max="13009" width="39.28515625" style="4" customWidth="1"/>
    <col min="13010" max="13264" width="11.5703125" style="4"/>
    <col min="13265" max="13265" width="39.28515625" style="4" customWidth="1"/>
    <col min="13266" max="13520" width="11.5703125" style="4"/>
    <col min="13521" max="13521" width="39.28515625" style="4" customWidth="1"/>
    <col min="13522" max="13776" width="11.5703125" style="4"/>
    <col min="13777" max="13777" width="39.28515625" style="4" customWidth="1"/>
    <col min="13778" max="14032" width="11.5703125" style="4"/>
    <col min="14033" max="14033" width="39.28515625" style="4" customWidth="1"/>
    <col min="14034" max="14288" width="11.5703125" style="4"/>
    <col min="14289" max="14289" width="39.28515625" style="4" customWidth="1"/>
    <col min="14290" max="14544" width="11.5703125" style="4"/>
    <col min="14545" max="14545" width="39.28515625" style="4" customWidth="1"/>
    <col min="14546" max="14800" width="11.5703125" style="4"/>
    <col min="14801" max="14801" width="39.28515625" style="4" customWidth="1"/>
    <col min="14802" max="15056" width="11.5703125" style="4"/>
    <col min="15057" max="15057" width="39.28515625" style="4" customWidth="1"/>
    <col min="15058" max="15312" width="11.5703125" style="4"/>
    <col min="15313" max="15313" width="39.28515625" style="4" customWidth="1"/>
    <col min="15314" max="15538" width="11.5703125" style="4"/>
    <col min="15539" max="16384" width="11.42578125" style="4" customWidth="1"/>
  </cols>
  <sheetData>
    <row r="1" spans="1:11" s="3" customFormat="1" ht="15" customHeight="1" x14ac:dyDescent="0.25">
      <c r="B1" s="182"/>
      <c r="C1" s="12"/>
      <c r="D1" s="13"/>
      <c r="E1" s="12"/>
      <c r="F1" s="13"/>
    </row>
    <row r="2" spans="1:11" s="3" customFormat="1" ht="27" customHeight="1" thickBot="1" x14ac:dyDescent="0.3">
      <c r="A2" s="224" t="s">
        <v>150</v>
      </c>
      <c r="B2" s="224"/>
      <c r="C2" s="224"/>
      <c r="D2" s="224"/>
      <c r="E2" s="224"/>
      <c r="F2" s="224"/>
      <c r="G2" s="224"/>
      <c r="H2" s="224"/>
      <c r="I2" s="224"/>
      <c r="J2" s="224"/>
      <c r="K2" s="224"/>
    </row>
    <row r="3" spans="1:11" s="49" customFormat="1" ht="28.9" customHeight="1" x14ac:dyDescent="0.25">
      <c r="A3" s="55" t="s">
        <v>33</v>
      </c>
      <c r="B3" s="221">
        <f ca="1">IF(ISBLANK(A2),"",YEAR(TODAY())-1)</f>
        <v>2025</v>
      </c>
      <c r="C3" s="47" t="s">
        <v>792</v>
      </c>
      <c r="D3" s="48" t="s">
        <v>121</v>
      </c>
      <c r="E3" s="47" t="s">
        <v>793</v>
      </c>
      <c r="F3" s="48" t="s">
        <v>121</v>
      </c>
      <c r="G3" s="47" t="s">
        <v>794</v>
      </c>
      <c r="H3" s="48" t="s">
        <v>121</v>
      </c>
      <c r="I3" s="47" t="s">
        <v>795</v>
      </c>
      <c r="J3" s="48" t="s">
        <v>121</v>
      </c>
      <c r="K3" s="48" t="s">
        <v>796</v>
      </c>
    </row>
    <row r="4" spans="1:11" s="8" customFormat="1" ht="15" customHeight="1" x14ac:dyDescent="0.25">
      <c r="A4" s="208" t="s">
        <v>127</v>
      </c>
      <c r="B4" s="209">
        <f>+B5+B14+B20+B23+B29+B33+B38</f>
        <v>0</v>
      </c>
      <c r="C4" s="209">
        <f>+C5+C14+C20+C23+C29+C33+C38</f>
        <v>85150</v>
      </c>
      <c r="D4" s="210">
        <f t="shared" ref="D4:D35" si="0">IF(AND(B4=0,C4&gt;0),100%,IF(AND(B4&lt;0,C4&gt;=0),(B4-C4)/B4,IF(AND(B4&gt;0,C4&gt;0),(C4-B4)/B4,IF(AND(B4=0,C4&lt;=0),"",(C4-B4)/B4))))</f>
        <v>1</v>
      </c>
      <c r="E4" s="209">
        <f>+E5+E14+E20+E23+E29+E33+E38</f>
        <v>0</v>
      </c>
      <c r="F4" s="210">
        <f t="shared" ref="F4:F35" si="1">IF(AND(C4=0,E4&gt;0),100%,IF(AND(C4&lt;0,E4&gt;=0),(C4-E4)/C4,IF(AND(C4&gt;0,E4&gt;0),(E4-C4)/C4,IF(AND(C4=0,E4&lt;=0),"",(E4-C4)/C4))))</f>
        <v>-1</v>
      </c>
      <c r="G4" s="209">
        <f>+G5+G14+G20+G23+G29+G33+G38</f>
        <v>0</v>
      </c>
      <c r="H4" s="210" t="str">
        <f t="shared" ref="H4:H35" si="2">IF(AND(E4=0,G4&gt;0),100%,IF(AND(E4&lt;0,G4&gt;=0),(E4-G4)/E4,IF(AND(E4&gt;0,G4&gt;0),(G4-E4)/E4,IF(AND(E4=0,G4&lt;=0),"",(G4-E4)/E4))))</f>
        <v/>
      </c>
      <c r="I4" s="209">
        <f>+I5+I14+I20+I23+I29+I33+I38</f>
        <v>0</v>
      </c>
      <c r="J4" s="210" t="str">
        <f t="shared" ref="J4:J35" si="3">IF(AND(G4=0,I4&gt;0),100%,IF(AND(G4&lt;0,I4&gt;=0),(G4-I4)/G4,IF(AND(G4&gt;0,I4&gt;0),(I4-G4)/G4,IF(AND(G4=0,I4&lt;=0),"",(I4-G4)/G4))))</f>
        <v/>
      </c>
      <c r="K4" s="210" t="str">
        <f t="shared" ref="K4:K35" si="4">IF(AND(B4=0,I4&gt;0),100%,IF(AND(B4&lt;0,I4&gt;=0),(B4-I4)/B4,IF(AND(B4&gt;0,I4&gt;0),(I4-B4)/B4,IF(AND(B4=0,I4&lt;=0),"",(I4-B4)/B4))))</f>
        <v/>
      </c>
    </row>
    <row r="5" spans="1:11" s="8" customFormat="1" ht="15" customHeight="1" x14ac:dyDescent="0.25">
      <c r="A5" s="173" t="s">
        <v>126</v>
      </c>
      <c r="B5" s="188">
        <f>+SUM(B6:B13)</f>
        <v>0</v>
      </c>
      <c r="C5" s="188">
        <f>+SUM(C6:C13)</f>
        <v>17700</v>
      </c>
      <c r="D5" s="195">
        <f t="shared" si="0"/>
        <v>1</v>
      </c>
      <c r="E5" s="188">
        <f>+SUM(E6:E13)</f>
        <v>0</v>
      </c>
      <c r="F5" s="195">
        <f t="shared" si="1"/>
        <v>-1</v>
      </c>
      <c r="G5" s="188">
        <f>+SUM(G6:G13)</f>
        <v>0</v>
      </c>
      <c r="H5" s="195" t="str">
        <f t="shared" si="2"/>
        <v/>
      </c>
      <c r="I5" s="188">
        <f>+SUM(I6:I13)</f>
        <v>0</v>
      </c>
      <c r="J5" s="195" t="str">
        <f t="shared" si="3"/>
        <v/>
      </c>
      <c r="K5" s="195" t="str">
        <f t="shared" si="4"/>
        <v/>
      </c>
    </row>
    <row r="6" spans="1:11" ht="15" customHeight="1" outlineLevel="1" x14ac:dyDescent="0.25">
      <c r="A6" s="57" t="s">
        <v>737</v>
      </c>
      <c r="B6" s="189">
        <f>+'N ESF'!B5</f>
        <v>0</v>
      </c>
      <c r="C6" s="189">
        <f>+'N ESF'!E5</f>
        <v>10</v>
      </c>
      <c r="D6" s="196">
        <f t="shared" si="0"/>
        <v>1</v>
      </c>
      <c r="E6" s="189">
        <f>+'N ESF'!H5</f>
        <v>0</v>
      </c>
      <c r="F6" s="196">
        <f t="shared" si="1"/>
        <v>-1</v>
      </c>
      <c r="G6" s="189">
        <f>+'N ESF'!K5</f>
        <v>0</v>
      </c>
      <c r="H6" s="196" t="str">
        <f t="shared" si="2"/>
        <v/>
      </c>
      <c r="I6" s="189">
        <f>+'N ESF'!N5</f>
        <v>0</v>
      </c>
      <c r="J6" s="196" t="str">
        <f t="shared" si="3"/>
        <v/>
      </c>
      <c r="K6" s="196" t="str">
        <f t="shared" si="4"/>
        <v/>
      </c>
    </row>
    <row r="7" spans="1:11" ht="15" customHeight="1" outlineLevel="1" x14ac:dyDescent="0.25">
      <c r="A7" s="57" t="s">
        <v>735</v>
      </c>
      <c r="B7" s="189">
        <f>+'N ESF'!B7</f>
        <v>0</v>
      </c>
      <c r="C7" s="189">
        <f>+'N ESF'!E7</f>
        <v>90</v>
      </c>
      <c r="D7" s="196">
        <f t="shared" si="0"/>
        <v>1</v>
      </c>
      <c r="E7" s="189">
        <f>+'N ESF'!H7</f>
        <v>0</v>
      </c>
      <c r="F7" s="196">
        <f t="shared" si="1"/>
        <v>-1</v>
      </c>
      <c r="G7" s="189">
        <f>+'N ESF'!K7</f>
        <v>0</v>
      </c>
      <c r="H7" s="196" t="str">
        <f t="shared" si="2"/>
        <v/>
      </c>
      <c r="I7" s="189">
        <f>+'N ESF'!N7</f>
        <v>0</v>
      </c>
      <c r="J7" s="196" t="str">
        <f t="shared" si="3"/>
        <v/>
      </c>
      <c r="K7" s="196" t="str">
        <f t="shared" si="4"/>
        <v/>
      </c>
    </row>
    <row r="8" spans="1:11" ht="15" customHeight="1" outlineLevel="1" x14ac:dyDescent="0.25">
      <c r="A8" s="57" t="s">
        <v>738</v>
      </c>
      <c r="B8" s="189">
        <f>+'N ESF'!B11</f>
        <v>0</v>
      </c>
      <c r="C8" s="189">
        <f>+'N ESF'!E11</f>
        <v>350</v>
      </c>
      <c r="D8" s="196">
        <f t="shared" si="0"/>
        <v>1</v>
      </c>
      <c r="E8" s="189">
        <f>+'N ESF'!H11</f>
        <v>0</v>
      </c>
      <c r="F8" s="196">
        <f t="shared" si="1"/>
        <v>-1</v>
      </c>
      <c r="G8" s="189">
        <f>+'N ESF'!K11</f>
        <v>0</v>
      </c>
      <c r="H8" s="196" t="str">
        <f t="shared" si="2"/>
        <v/>
      </c>
      <c r="I8" s="189">
        <f>+'N ESF'!N11</f>
        <v>0</v>
      </c>
      <c r="J8" s="196" t="str">
        <f t="shared" si="3"/>
        <v/>
      </c>
      <c r="K8" s="196" t="str">
        <f t="shared" si="4"/>
        <v/>
      </c>
    </row>
    <row r="9" spans="1:11" ht="15" customHeight="1" outlineLevel="1" x14ac:dyDescent="0.25">
      <c r="A9" s="57" t="s">
        <v>734</v>
      </c>
      <c r="B9" s="189">
        <f>+'N ESF'!B17</f>
        <v>0</v>
      </c>
      <c r="C9" s="189">
        <f>+'N ESF'!E17</f>
        <v>3060</v>
      </c>
      <c r="D9" s="196">
        <f t="shared" si="0"/>
        <v>1</v>
      </c>
      <c r="E9" s="189">
        <f>+'N ESF'!H17</f>
        <v>0</v>
      </c>
      <c r="F9" s="196">
        <f t="shared" si="1"/>
        <v>-1</v>
      </c>
      <c r="G9" s="189">
        <f>+'N ESF'!K17</f>
        <v>0</v>
      </c>
      <c r="H9" s="196" t="str">
        <f t="shared" si="2"/>
        <v/>
      </c>
      <c r="I9" s="189">
        <f>+'N ESF'!N17</f>
        <v>0</v>
      </c>
      <c r="J9" s="196" t="str">
        <f t="shared" si="3"/>
        <v/>
      </c>
      <c r="K9" s="196" t="str">
        <f t="shared" si="4"/>
        <v/>
      </c>
    </row>
    <row r="10" spans="1:11" s="18" customFormat="1" ht="15" customHeight="1" outlineLevel="1" x14ac:dyDescent="0.25">
      <c r="A10" s="57" t="s">
        <v>739</v>
      </c>
      <c r="B10" s="190">
        <f>+'N ESF'!B35</f>
        <v>0</v>
      </c>
      <c r="C10" s="190">
        <f>+'N ESF'!E35</f>
        <v>3900</v>
      </c>
      <c r="D10" s="196">
        <f t="shared" si="0"/>
        <v>1</v>
      </c>
      <c r="E10" s="190">
        <f>+'N ESF'!H35</f>
        <v>0</v>
      </c>
      <c r="F10" s="196">
        <f t="shared" si="1"/>
        <v>-1</v>
      </c>
      <c r="G10" s="190">
        <f>+'N ESF'!K35</f>
        <v>0</v>
      </c>
      <c r="H10" s="196" t="str">
        <f t="shared" si="2"/>
        <v/>
      </c>
      <c r="I10" s="190">
        <f>+'N ESF'!N35</f>
        <v>0</v>
      </c>
      <c r="J10" s="196" t="str">
        <f t="shared" si="3"/>
        <v/>
      </c>
      <c r="K10" s="196" t="str">
        <f t="shared" si="4"/>
        <v/>
      </c>
    </row>
    <row r="11" spans="1:11" s="18" customFormat="1" ht="15" customHeight="1" outlineLevel="1" x14ac:dyDescent="0.25">
      <c r="A11" s="57" t="s">
        <v>427</v>
      </c>
      <c r="B11" s="190">
        <f>+'N ESF'!B48</f>
        <v>0</v>
      </c>
      <c r="C11" s="190">
        <f>+'N ESF'!E48</f>
        <v>5850</v>
      </c>
      <c r="D11" s="196">
        <f t="shared" si="0"/>
        <v>1</v>
      </c>
      <c r="E11" s="190">
        <f>+'N ESF'!H48</f>
        <v>0</v>
      </c>
      <c r="F11" s="196">
        <f t="shared" si="1"/>
        <v>-1</v>
      </c>
      <c r="G11" s="190">
        <f>+'N ESF'!K48</f>
        <v>0</v>
      </c>
      <c r="H11" s="196" t="str">
        <f t="shared" si="2"/>
        <v/>
      </c>
      <c r="I11" s="190">
        <f>+'N ESF'!N48</f>
        <v>0</v>
      </c>
      <c r="J11" s="196" t="str">
        <f t="shared" si="3"/>
        <v/>
      </c>
      <c r="K11" s="196" t="str">
        <f t="shared" si="4"/>
        <v/>
      </c>
    </row>
    <row r="12" spans="1:11" s="18" customFormat="1" ht="15" customHeight="1" outlineLevel="1" x14ac:dyDescent="0.25">
      <c r="A12" s="57" t="s">
        <v>740</v>
      </c>
      <c r="B12" s="190">
        <f>+'N ESF'!B62</f>
        <v>0</v>
      </c>
      <c r="C12" s="190">
        <f>+'N ESF'!E62</f>
        <v>2140</v>
      </c>
      <c r="D12" s="196">
        <f t="shared" si="0"/>
        <v>1</v>
      </c>
      <c r="E12" s="190">
        <f>+'N ESF'!H62</f>
        <v>0</v>
      </c>
      <c r="F12" s="196">
        <f t="shared" si="1"/>
        <v>-1</v>
      </c>
      <c r="G12" s="190">
        <f>+'N ESF'!K62</f>
        <v>0</v>
      </c>
      <c r="H12" s="196" t="str">
        <f t="shared" si="2"/>
        <v/>
      </c>
      <c r="I12" s="190">
        <f>+'N ESF'!N62</f>
        <v>0</v>
      </c>
      <c r="J12" s="196" t="str">
        <f t="shared" si="3"/>
        <v/>
      </c>
      <c r="K12" s="196" t="str">
        <f t="shared" si="4"/>
        <v/>
      </c>
    </row>
    <row r="13" spans="1:11" ht="15" customHeight="1" outlineLevel="1" x14ac:dyDescent="0.25">
      <c r="A13" s="57" t="s">
        <v>736</v>
      </c>
      <c r="B13" s="189">
        <f>+'N ESF'!B67</f>
        <v>0</v>
      </c>
      <c r="C13" s="189">
        <f>+'N ESF'!E67</f>
        <v>2300</v>
      </c>
      <c r="D13" s="196">
        <f t="shared" si="0"/>
        <v>1</v>
      </c>
      <c r="E13" s="189">
        <f>+'N ESF'!H67</f>
        <v>0</v>
      </c>
      <c r="F13" s="196">
        <f t="shared" si="1"/>
        <v>-1</v>
      </c>
      <c r="G13" s="189">
        <f>+'N ESF'!K67</f>
        <v>0</v>
      </c>
      <c r="H13" s="196" t="str">
        <f t="shared" si="2"/>
        <v/>
      </c>
      <c r="I13" s="189">
        <f>+'N ESF'!N67</f>
        <v>0</v>
      </c>
      <c r="J13" s="196" t="str">
        <f t="shared" si="3"/>
        <v/>
      </c>
      <c r="K13" s="196" t="str">
        <f t="shared" si="4"/>
        <v/>
      </c>
    </row>
    <row r="14" spans="1:11" s="8" customFormat="1" ht="15" customHeight="1" x14ac:dyDescent="0.25">
      <c r="A14" s="173" t="s">
        <v>130</v>
      </c>
      <c r="B14" s="188">
        <f>+SUM(B15:B19)</f>
        <v>0</v>
      </c>
      <c r="C14" s="188">
        <f>+SUM(C15:C19)</f>
        <v>21460</v>
      </c>
      <c r="D14" s="195">
        <f t="shared" si="0"/>
        <v>1</v>
      </c>
      <c r="E14" s="188">
        <f>+SUM(E15:E19)</f>
        <v>0</v>
      </c>
      <c r="F14" s="195">
        <f t="shared" si="1"/>
        <v>-1</v>
      </c>
      <c r="G14" s="188">
        <f>+SUM(G15:G19)</f>
        <v>0</v>
      </c>
      <c r="H14" s="195" t="str">
        <f t="shared" si="2"/>
        <v/>
      </c>
      <c r="I14" s="188">
        <f>+SUM(I15:I19)</f>
        <v>0</v>
      </c>
      <c r="J14" s="195" t="str">
        <f t="shared" si="3"/>
        <v/>
      </c>
      <c r="K14" s="195" t="str">
        <f t="shared" si="4"/>
        <v/>
      </c>
    </row>
    <row r="15" spans="1:11" s="6" customFormat="1" ht="15" customHeight="1" outlineLevel="1" x14ac:dyDescent="0.25">
      <c r="A15" s="58" t="s">
        <v>139</v>
      </c>
      <c r="B15" s="190">
        <f>+'N ESF'!B73</f>
        <v>0</v>
      </c>
      <c r="C15" s="190">
        <f>+'N ESF'!E73</f>
        <v>7860</v>
      </c>
      <c r="D15" s="196">
        <f t="shared" si="0"/>
        <v>1</v>
      </c>
      <c r="E15" s="190">
        <f>+'N ESF'!H73</f>
        <v>0</v>
      </c>
      <c r="F15" s="196">
        <f t="shared" si="1"/>
        <v>-1</v>
      </c>
      <c r="G15" s="190">
        <f>+'N ESF'!K73</f>
        <v>0</v>
      </c>
      <c r="H15" s="196" t="str">
        <f t="shared" si="2"/>
        <v/>
      </c>
      <c r="I15" s="190">
        <f>+'N ESF'!N73</f>
        <v>0</v>
      </c>
      <c r="J15" s="196" t="str">
        <f t="shared" si="3"/>
        <v/>
      </c>
      <c r="K15" s="196" t="str">
        <f t="shared" si="4"/>
        <v/>
      </c>
    </row>
    <row r="16" spans="1:11" ht="15" customHeight="1" outlineLevel="1" x14ac:dyDescent="0.25">
      <c r="A16" s="57" t="s">
        <v>140</v>
      </c>
      <c r="B16" s="189">
        <f>+'N ESF'!B86</f>
        <v>0</v>
      </c>
      <c r="C16" s="189">
        <f>+'N ESF'!E86</f>
        <v>2940</v>
      </c>
      <c r="D16" s="196">
        <f t="shared" si="0"/>
        <v>1</v>
      </c>
      <c r="E16" s="189">
        <f>+'N ESF'!H86</f>
        <v>0</v>
      </c>
      <c r="F16" s="196">
        <f t="shared" si="1"/>
        <v>-1</v>
      </c>
      <c r="G16" s="189">
        <f>+'N ESF'!K86</f>
        <v>0</v>
      </c>
      <c r="H16" s="196" t="str">
        <f t="shared" si="2"/>
        <v/>
      </c>
      <c r="I16" s="189">
        <f>+'N ESF'!N86</f>
        <v>0</v>
      </c>
      <c r="J16" s="196" t="str">
        <f t="shared" si="3"/>
        <v/>
      </c>
      <c r="K16" s="196" t="str">
        <f t="shared" si="4"/>
        <v/>
      </c>
    </row>
    <row r="17" spans="1:11" ht="15" customHeight="1" outlineLevel="1" x14ac:dyDescent="0.25">
      <c r="A17" s="57" t="s">
        <v>141</v>
      </c>
      <c r="B17" s="189">
        <f>+'N ESF'!B92</f>
        <v>0</v>
      </c>
      <c r="C17" s="189">
        <f>+'N ESF'!E92</f>
        <v>3900</v>
      </c>
      <c r="D17" s="196">
        <f t="shared" si="0"/>
        <v>1</v>
      </c>
      <c r="E17" s="189">
        <f>+'N ESF'!H92</f>
        <v>0</v>
      </c>
      <c r="F17" s="196">
        <f t="shared" si="1"/>
        <v>-1</v>
      </c>
      <c r="G17" s="189">
        <f>+'N ESF'!K92</f>
        <v>0</v>
      </c>
      <c r="H17" s="196" t="str">
        <f t="shared" si="2"/>
        <v/>
      </c>
      <c r="I17" s="189">
        <f>+'N ESF'!N92</f>
        <v>0</v>
      </c>
      <c r="J17" s="196" t="str">
        <f t="shared" si="3"/>
        <v/>
      </c>
      <c r="K17" s="196" t="str">
        <f t="shared" si="4"/>
        <v/>
      </c>
    </row>
    <row r="18" spans="1:11" s="6" customFormat="1" ht="15" customHeight="1" outlineLevel="1" x14ac:dyDescent="0.25">
      <c r="A18" s="57" t="s">
        <v>136</v>
      </c>
      <c r="B18" s="190">
        <f>+'N ESF'!B98</f>
        <v>0</v>
      </c>
      <c r="C18" s="190">
        <f>+'N ESF'!E98</f>
        <v>2460</v>
      </c>
      <c r="D18" s="196">
        <f t="shared" si="0"/>
        <v>1</v>
      </c>
      <c r="E18" s="190">
        <f>+'N ESF'!H98</f>
        <v>0</v>
      </c>
      <c r="F18" s="196">
        <f t="shared" si="1"/>
        <v>-1</v>
      </c>
      <c r="G18" s="190">
        <f>+'N ESF'!K98</f>
        <v>0</v>
      </c>
      <c r="H18" s="196" t="str">
        <f t="shared" si="2"/>
        <v/>
      </c>
      <c r="I18" s="190">
        <f>+'N ESF'!N98</f>
        <v>0</v>
      </c>
      <c r="J18" s="196" t="str">
        <f t="shared" si="3"/>
        <v/>
      </c>
      <c r="K18" s="196" t="str">
        <f t="shared" si="4"/>
        <v/>
      </c>
    </row>
    <row r="19" spans="1:11" ht="15" customHeight="1" outlineLevel="1" x14ac:dyDescent="0.25">
      <c r="A19" s="57" t="s">
        <v>142</v>
      </c>
      <c r="B19" s="189">
        <f>+'N ESF'!B102</f>
        <v>0</v>
      </c>
      <c r="C19" s="189">
        <f>+'N ESF'!E102</f>
        <v>4300</v>
      </c>
      <c r="D19" s="196">
        <f t="shared" si="0"/>
        <v>1</v>
      </c>
      <c r="E19" s="189">
        <f>+'N ESF'!H102</f>
        <v>0</v>
      </c>
      <c r="F19" s="196">
        <f t="shared" si="1"/>
        <v>-1</v>
      </c>
      <c r="G19" s="189">
        <f>+'N ESF'!K102</f>
        <v>0</v>
      </c>
      <c r="H19" s="196" t="str">
        <f t="shared" si="2"/>
        <v/>
      </c>
      <c r="I19" s="189">
        <f>+'N ESF'!N102</f>
        <v>0</v>
      </c>
      <c r="J19" s="196" t="str">
        <f t="shared" si="3"/>
        <v/>
      </c>
      <c r="K19" s="196" t="str">
        <f t="shared" si="4"/>
        <v/>
      </c>
    </row>
    <row r="20" spans="1:11" s="8" customFormat="1" ht="15" customHeight="1" x14ac:dyDescent="0.25">
      <c r="A20" s="173" t="s">
        <v>131</v>
      </c>
      <c r="B20" s="188">
        <f>+SUM(B21:B22)</f>
        <v>0</v>
      </c>
      <c r="C20" s="188">
        <f>+SUM(C21:C22)</f>
        <v>5490</v>
      </c>
      <c r="D20" s="195">
        <f t="shared" si="0"/>
        <v>1</v>
      </c>
      <c r="E20" s="188">
        <f>+SUM(E21:E22)</f>
        <v>0</v>
      </c>
      <c r="F20" s="195">
        <f t="shared" si="1"/>
        <v>-1</v>
      </c>
      <c r="G20" s="188">
        <f>+SUM(G21:G22)</f>
        <v>0</v>
      </c>
      <c r="H20" s="195" t="str">
        <f t="shared" si="2"/>
        <v/>
      </c>
      <c r="I20" s="188">
        <f>+SUM(I21:I22)</f>
        <v>0</v>
      </c>
      <c r="J20" s="195" t="str">
        <f t="shared" si="3"/>
        <v/>
      </c>
      <c r="K20" s="195" t="str">
        <f t="shared" si="4"/>
        <v/>
      </c>
    </row>
    <row r="21" spans="1:11" s="6" customFormat="1" ht="15" customHeight="1" outlineLevel="1" x14ac:dyDescent="0.25">
      <c r="A21" s="58" t="s">
        <v>446</v>
      </c>
      <c r="B21" s="190">
        <f>+'N ESF'!B110</f>
        <v>0</v>
      </c>
      <c r="C21" s="190">
        <f>+'N ESF'!E110</f>
        <v>2700</v>
      </c>
      <c r="D21" s="196">
        <f t="shared" si="0"/>
        <v>1</v>
      </c>
      <c r="E21" s="190">
        <f>+'N ESF'!H110</f>
        <v>0</v>
      </c>
      <c r="F21" s="196">
        <f t="shared" si="1"/>
        <v>-1</v>
      </c>
      <c r="G21" s="190">
        <f>+'N ESF'!K110</f>
        <v>0</v>
      </c>
      <c r="H21" s="196" t="str">
        <f t="shared" si="2"/>
        <v/>
      </c>
      <c r="I21" s="190">
        <f>+'N ESF'!N110</f>
        <v>0</v>
      </c>
      <c r="J21" s="196" t="str">
        <f t="shared" si="3"/>
        <v/>
      </c>
      <c r="K21" s="196" t="str">
        <f t="shared" si="4"/>
        <v/>
      </c>
    </row>
    <row r="22" spans="1:11" s="6" customFormat="1" ht="15" customHeight="1" outlineLevel="1" x14ac:dyDescent="0.25">
      <c r="A22" s="57" t="s">
        <v>133</v>
      </c>
      <c r="B22" s="191">
        <f>+'N ESF'!B114</f>
        <v>0</v>
      </c>
      <c r="C22" s="191">
        <f>+'N ESF'!E114</f>
        <v>2790</v>
      </c>
      <c r="D22" s="196">
        <f t="shared" si="0"/>
        <v>1</v>
      </c>
      <c r="E22" s="191">
        <f>+'N ESF'!H114</f>
        <v>0</v>
      </c>
      <c r="F22" s="196">
        <f t="shared" si="1"/>
        <v>-1</v>
      </c>
      <c r="G22" s="191">
        <f>+'N ESF'!K114</f>
        <v>0</v>
      </c>
      <c r="H22" s="196" t="str">
        <f t="shared" si="2"/>
        <v/>
      </c>
      <c r="I22" s="191">
        <f>+'N ESF'!N114</f>
        <v>0</v>
      </c>
      <c r="J22" s="196" t="str">
        <f t="shared" si="3"/>
        <v/>
      </c>
      <c r="K22" s="196" t="str">
        <f t="shared" si="4"/>
        <v/>
      </c>
    </row>
    <row r="23" spans="1:11" s="8" customFormat="1" ht="15" customHeight="1" x14ac:dyDescent="0.25">
      <c r="A23" s="173" t="s">
        <v>134</v>
      </c>
      <c r="B23" s="188">
        <f>+SUM(B24:B28)</f>
        <v>0</v>
      </c>
      <c r="C23" s="188">
        <f>+SUM(C24:C28)</f>
        <v>15300</v>
      </c>
      <c r="D23" s="195">
        <f t="shared" si="0"/>
        <v>1</v>
      </c>
      <c r="E23" s="188">
        <f>+SUM(E24:E28)</f>
        <v>0</v>
      </c>
      <c r="F23" s="195">
        <f t="shared" si="1"/>
        <v>-1</v>
      </c>
      <c r="G23" s="188">
        <f>+SUM(G24:G28)</f>
        <v>0</v>
      </c>
      <c r="H23" s="195" t="str">
        <f t="shared" si="2"/>
        <v/>
      </c>
      <c r="I23" s="188">
        <f>+SUM(I24:I28)</f>
        <v>0</v>
      </c>
      <c r="J23" s="195" t="str">
        <f t="shared" si="3"/>
        <v/>
      </c>
      <c r="K23" s="195" t="str">
        <f t="shared" si="4"/>
        <v/>
      </c>
    </row>
    <row r="24" spans="1:11" s="6" customFormat="1" ht="15" customHeight="1" outlineLevel="1" x14ac:dyDescent="0.25">
      <c r="A24" s="58" t="s">
        <v>140</v>
      </c>
      <c r="B24" s="190">
        <f>+'N ESF'!B119</f>
        <v>0</v>
      </c>
      <c r="C24" s="190">
        <f>+'N ESF'!E119</f>
        <v>4850</v>
      </c>
      <c r="D24" s="196">
        <f t="shared" si="0"/>
        <v>1</v>
      </c>
      <c r="E24" s="190">
        <f>+'N ESF'!H119</f>
        <v>0</v>
      </c>
      <c r="F24" s="196">
        <f t="shared" si="1"/>
        <v>-1</v>
      </c>
      <c r="G24" s="190">
        <f>+'N ESF'!K119</f>
        <v>0</v>
      </c>
      <c r="H24" s="196" t="str">
        <f t="shared" si="2"/>
        <v/>
      </c>
      <c r="I24" s="190">
        <f>+'N ESF'!N119</f>
        <v>0</v>
      </c>
      <c r="J24" s="196" t="str">
        <f t="shared" si="3"/>
        <v/>
      </c>
      <c r="K24" s="196" t="str">
        <f t="shared" si="4"/>
        <v/>
      </c>
    </row>
    <row r="25" spans="1:11" ht="15" customHeight="1" outlineLevel="1" x14ac:dyDescent="0.25">
      <c r="A25" s="57" t="s">
        <v>141</v>
      </c>
      <c r="B25" s="190">
        <f>+'N ESF'!B125</f>
        <v>0</v>
      </c>
      <c r="C25" s="190">
        <f>+'N ESF'!E125</f>
        <v>5100</v>
      </c>
      <c r="D25" s="196">
        <f t="shared" si="0"/>
        <v>1</v>
      </c>
      <c r="E25" s="190">
        <f>+'N ESF'!H125</f>
        <v>0</v>
      </c>
      <c r="F25" s="196">
        <f t="shared" si="1"/>
        <v>-1</v>
      </c>
      <c r="G25" s="190">
        <f>+'N ESF'!K125</f>
        <v>0</v>
      </c>
      <c r="H25" s="196" t="str">
        <f t="shared" si="2"/>
        <v/>
      </c>
      <c r="I25" s="190">
        <f>+'N ESF'!N125</f>
        <v>0</v>
      </c>
      <c r="J25" s="196" t="str">
        <f t="shared" si="3"/>
        <v/>
      </c>
      <c r="K25" s="196" t="str">
        <f t="shared" si="4"/>
        <v/>
      </c>
    </row>
    <row r="26" spans="1:11" ht="15" customHeight="1" outlineLevel="1" x14ac:dyDescent="0.25">
      <c r="A26" s="57" t="s">
        <v>136</v>
      </c>
      <c r="B26" s="189">
        <f>+'N ESF'!B131</f>
        <v>0</v>
      </c>
      <c r="C26" s="189">
        <f>+'N ESF'!E131</f>
        <v>3180</v>
      </c>
      <c r="D26" s="196">
        <f t="shared" si="0"/>
        <v>1</v>
      </c>
      <c r="E26" s="189">
        <f>+'N ESF'!H131</f>
        <v>0</v>
      </c>
      <c r="F26" s="196">
        <f t="shared" si="1"/>
        <v>-1</v>
      </c>
      <c r="G26" s="189">
        <f>+'N ESF'!K131</f>
        <v>0</v>
      </c>
      <c r="H26" s="196" t="str">
        <f t="shared" si="2"/>
        <v/>
      </c>
      <c r="I26" s="189">
        <f>+'N ESF'!N131</f>
        <v>0</v>
      </c>
      <c r="J26" s="196" t="str">
        <f t="shared" si="3"/>
        <v/>
      </c>
      <c r="K26" s="196" t="str">
        <f t="shared" si="4"/>
        <v/>
      </c>
    </row>
    <row r="27" spans="1:11" s="6" customFormat="1" ht="15" customHeight="1" outlineLevel="1" x14ac:dyDescent="0.25">
      <c r="A27" s="57" t="s">
        <v>142</v>
      </c>
      <c r="B27" s="190">
        <f>+'N ESF'!B135</f>
        <v>0</v>
      </c>
      <c r="C27" s="190">
        <f>+'N ESF'!E135</f>
        <v>1080</v>
      </c>
      <c r="D27" s="196">
        <f t="shared" si="0"/>
        <v>1</v>
      </c>
      <c r="E27" s="190">
        <f>+'N ESF'!H135</f>
        <v>0</v>
      </c>
      <c r="F27" s="196">
        <f t="shared" si="1"/>
        <v>-1</v>
      </c>
      <c r="G27" s="190">
        <f>+'N ESF'!K135</f>
        <v>0</v>
      </c>
      <c r="H27" s="196" t="str">
        <f t="shared" si="2"/>
        <v/>
      </c>
      <c r="I27" s="190">
        <f>+'N ESF'!N135</f>
        <v>0</v>
      </c>
      <c r="J27" s="196" t="str">
        <f t="shared" si="3"/>
        <v/>
      </c>
      <c r="K27" s="196" t="str">
        <f t="shared" si="4"/>
        <v/>
      </c>
    </row>
    <row r="28" spans="1:11" s="6" customFormat="1" ht="15" customHeight="1" outlineLevel="1" x14ac:dyDescent="0.25">
      <c r="A28" s="58" t="s">
        <v>138</v>
      </c>
      <c r="B28" s="190">
        <f>+'N ESF'!B137</f>
        <v>0</v>
      </c>
      <c r="C28" s="190">
        <f>+'N ESF'!E137</f>
        <v>1090</v>
      </c>
      <c r="D28" s="196">
        <f t="shared" si="0"/>
        <v>1</v>
      </c>
      <c r="E28" s="190">
        <f>+'N ESF'!H137</f>
        <v>0</v>
      </c>
      <c r="F28" s="196">
        <f t="shared" si="1"/>
        <v>-1</v>
      </c>
      <c r="G28" s="190">
        <f>+'N ESF'!K137</f>
        <v>0</v>
      </c>
      <c r="H28" s="196" t="str">
        <f t="shared" si="2"/>
        <v/>
      </c>
      <c r="I28" s="190">
        <f>+'N ESF'!N137</f>
        <v>0</v>
      </c>
      <c r="J28" s="196" t="str">
        <f t="shared" si="3"/>
        <v/>
      </c>
      <c r="K28" s="196" t="str">
        <f t="shared" si="4"/>
        <v/>
      </c>
    </row>
    <row r="29" spans="1:11" s="8" customFormat="1" ht="15" customHeight="1" x14ac:dyDescent="0.25">
      <c r="A29" s="173" t="s">
        <v>135</v>
      </c>
      <c r="B29" s="188">
        <f>+SUM(B30:B32)</f>
        <v>0</v>
      </c>
      <c r="C29" s="188">
        <f>+SUM(C30:C32)</f>
        <v>7910</v>
      </c>
      <c r="D29" s="195">
        <f t="shared" si="0"/>
        <v>1</v>
      </c>
      <c r="E29" s="188">
        <f>+SUM(E30:E32)</f>
        <v>0</v>
      </c>
      <c r="F29" s="195">
        <f t="shared" si="1"/>
        <v>-1</v>
      </c>
      <c r="G29" s="188">
        <f>+SUM(G30:G32)</f>
        <v>0</v>
      </c>
      <c r="H29" s="195" t="str">
        <f t="shared" si="2"/>
        <v/>
      </c>
      <c r="I29" s="188">
        <f>+SUM(I30:I32)</f>
        <v>0</v>
      </c>
      <c r="J29" s="195" t="str">
        <f t="shared" si="3"/>
        <v/>
      </c>
      <c r="K29" s="195" t="str">
        <f t="shared" si="4"/>
        <v/>
      </c>
    </row>
    <row r="30" spans="1:11" s="6" customFormat="1" ht="15" customHeight="1" outlineLevel="1" x14ac:dyDescent="0.25">
      <c r="A30" s="58" t="s">
        <v>137</v>
      </c>
      <c r="B30" s="190">
        <f>+'N ESF'!B140</f>
        <v>0</v>
      </c>
      <c r="C30" s="190">
        <f>+'N ESF'!E140</f>
        <v>2210</v>
      </c>
      <c r="D30" s="196">
        <f t="shared" si="0"/>
        <v>1</v>
      </c>
      <c r="E30" s="190">
        <f>+'N ESF'!H140</f>
        <v>0</v>
      </c>
      <c r="F30" s="196">
        <f t="shared" si="1"/>
        <v>-1</v>
      </c>
      <c r="G30" s="190">
        <f>+'N ESF'!K140</f>
        <v>0</v>
      </c>
      <c r="H30" s="196" t="str">
        <f t="shared" si="2"/>
        <v/>
      </c>
      <c r="I30" s="190">
        <f>+'N ESF'!N140</f>
        <v>0</v>
      </c>
      <c r="J30" s="196" t="str">
        <f t="shared" si="3"/>
        <v/>
      </c>
      <c r="K30" s="196" t="str">
        <f t="shared" si="4"/>
        <v/>
      </c>
    </row>
    <row r="31" spans="1:11" ht="15" customHeight="1" outlineLevel="1" x14ac:dyDescent="0.25">
      <c r="A31" s="57" t="s">
        <v>136</v>
      </c>
      <c r="B31" s="189">
        <f>+'N ESF'!B143</f>
        <v>0</v>
      </c>
      <c r="C31" s="189">
        <f>+'N ESF'!E143</f>
        <v>4540</v>
      </c>
      <c r="D31" s="196">
        <f t="shared" si="0"/>
        <v>1</v>
      </c>
      <c r="E31" s="189">
        <f>+'N ESF'!H143</f>
        <v>0</v>
      </c>
      <c r="F31" s="196">
        <f t="shared" si="1"/>
        <v>-1</v>
      </c>
      <c r="G31" s="189">
        <f>+'N ESF'!K143</f>
        <v>0</v>
      </c>
      <c r="H31" s="196" t="str">
        <f t="shared" si="2"/>
        <v/>
      </c>
      <c r="I31" s="189">
        <f>+'N ESF'!N143</f>
        <v>0</v>
      </c>
      <c r="J31" s="196" t="str">
        <f t="shared" si="3"/>
        <v/>
      </c>
      <c r="K31" s="196" t="str">
        <f t="shared" si="4"/>
        <v/>
      </c>
    </row>
    <row r="32" spans="1:11" ht="15" customHeight="1" outlineLevel="1" x14ac:dyDescent="0.25">
      <c r="A32" s="57" t="s">
        <v>142</v>
      </c>
      <c r="B32" s="189">
        <f>+'N ESF'!B148</f>
        <v>0</v>
      </c>
      <c r="C32" s="189">
        <f>+'N ESF'!E148</f>
        <v>1160</v>
      </c>
      <c r="D32" s="196">
        <f t="shared" si="0"/>
        <v>1</v>
      </c>
      <c r="E32" s="189">
        <f>+'N ESF'!H148</f>
        <v>0</v>
      </c>
      <c r="F32" s="196">
        <f t="shared" si="1"/>
        <v>-1</v>
      </c>
      <c r="G32" s="189">
        <f>+'N ESF'!K148</f>
        <v>0</v>
      </c>
      <c r="H32" s="196" t="str">
        <f t="shared" si="2"/>
        <v/>
      </c>
      <c r="I32" s="189">
        <f>+'N ESF'!N148</f>
        <v>0</v>
      </c>
      <c r="J32" s="196" t="str">
        <f t="shared" si="3"/>
        <v/>
      </c>
      <c r="K32" s="196" t="str">
        <f t="shared" si="4"/>
        <v/>
      </c>
    </row>
    <row r="33" spans="1:11" s="8" customFormat="1" ht="15" customHeight="1" x14ac:dyDescent="0.25">
      <c r="A33" s="173" t="s">
        <v>143</v>
      </c>
      <c r="B33" s="188">
        <f>+SUM(B34:B37)</f>
        <v>0</v>
      </c>
      <c r="C33" s="188">
        <f>+SUM(C34:C37)</f>
        <v>7170</v>
      </c>
      <c r="D33" s="195">
        <f t="shared" si="0"/>
        <v>1</v>
      </c>
      <c r="E33" s="188">
        <f>+SUM(E34:E37)</f>
        <v>0</v>
      </c>
      <c r="F33" s="195">
        <f t="shared" si="1"/>
        <v>-1</v>
      </c>
      <c r="G33" s="188">
        <f>+SUM(G34:G37)</f>
        <v>0</v>
      </c>
      <c r="H33" s="195" t="str">
        <f t="shared" si="2"/>
        <v/>
      </c>
      <c r="I33" s="188">
        <f>+SUM(I34:I37)</f>
        <v>0</v>
      </c>
      <c r="J33" s="195" t="str">
        <f t="shared" si="3"/>
        <v/>
      </c>
      <c r="K33" s="195" t="str">
        <f t="shared" si="4"/>
        <v/>
      </c>
    </row>
    <row r="34" spans="1:11" s="6" customFormat="1" ht="15" customHeight="1" outlineLevel="1" x14ac:dyDescent="0.25">
      <c r="A34" s="58" t="s">
        <v>144</v>
      </c>
      <c r="B34" s="190">
        <f>+'N ESF'!B151</f>
        <v>0</v>
      </c>
      <c r="C34" s="190">
        <f>+'N ESF'!E151</f>
        <v>1170</v>
      </c>
      <c r="D34" s="196">
        <f t="shared" si="0"/>
        <v>1</v>
      </c>
      <c r="E34" s="190">
        <f>+'N ESF'!H151</f>
        <v>0</v>
      </c>
      <c r="F34" s="196">
        <f t="shared" si="1"/>
        <v>-1</v>
      </c>
      <c r="G34" s="190">
        <f>+'N ESF'!K151</f>
        <v>0</v>
      </c>
      <c r="H34" s="196" t="str">
        <f t="shared" si="2"/>
        <v/>
      </c>
      <c r="I34" s="190">
        <f>+'N ESF'!N151</f>
        <v>0</v>
      </c>
      <c r="J34" s="196" t="str">
        <f t="shared" si="3"/>
        <v/>
      </c>
      <c r="K34" s="196" t="str">
        <f t="shared" si="4"/>
        <v/>
      </c>
    </row>
    <row r="35" spans="1:11" ht="15" customHeight="1" outlineLevel="1" x14ac:dyDescent="0.25">
      <c r="A35" s="57" t="s">
        <v>145</v>
      </c>
      <c r="B35" s="189">
        <f>+'N ESF'!B153</f>
        <v>0</v>
      </c>
      <c r="C35" s="189">
        <f>+'N ESF'!E153</f>
        <v>1180</v>
      </c>
      <c r="D35" s="196">
        <f t="shared" si="0"/>
        <v>1</v>
      </c>
      <c r="E35" s="189">
        <f>+'N ESF'!H153</f>
        <v>0</v>
      </c>
      <c r="F35" s="196">
        <f t="shared" si="1"/>
        <v>-1</v>
      </c>
      <c r="G35" s="189">
        <f>+'N ESF'!K153</f>
        <v>0</v>
      </c>
      <c r="H35" s="196" t="str">
        <f t="shared" si="2"/>
        <v/>
      </c>
      <c r="I35" s="189">
        <f>+'N ESF'!N153</f>
        <v>0</v>
      </c>
      <c r="J35" s="196" t="str">
        <f t="shared" si="3"/>
        <v/>
      </c>
      <c r="K35" s="196" t="str">
        <f t="shared" si="4"/>
        <v/>
      </c>
    </row>
    <row r="36" spans="1:11" ht="15" customHeight="1" outlineLevel="1" x14ac:dyDescent="0.25">
      <c r="A36" s="57" t="s">
        <v>146</v>
      </c>
      <c r="B36" s="189">
        <f>+'N ESF'!B155</f>
        <v>0</v>
      </c>
      <c r="C36" s="189">
        <f>+'N ESF'!E155</f>
        <v>2390</v>
      </c>
      <c r="D36" s="196">
        <f t="shared" ref="D36:D67" si="5">IF(AND(B36=0,C36&gt;0),100%,IF(AND(B36&lt;0,C36&gt;=0),(B36-C36)/B36,IF(AND(B36&gt;0,C36&gt;0),(C36-B36)/B36,IF(AND(B36=0,C36&lt;=0),"",(C36-B36)/B36))))</f>
        <v>1</v>
      </c>
      <c r="E36" s="189">
        <f>+'N ESF'!H155</f>
        <v>0</v>
      </c>
      <c r="F36" s="196">
        <f t="shared" ref="F36:F67" si="6">IF(AND(C36=0,E36&gt;0),100%,IF(AND(C36&lt;0,E36&gt;=0),(C36-E36)/C36,IF(AND(C36&gt;0,E36&gt;0),(E36-C36)/C36,IF(AND(C36=0,E36&lt;=0),"",(E36-C36)/C36))))</f>
        <v>-1</v>
      </c>
      <c r="G36" s="189">
        <f>+'N ESF'!K155</f>
        <v>0</v>
      </c>
      <c r="H36" s="196" t="str">
        <f t="shared" ref="H36:H67" si="7">IF(AND(E36=0,G36&gt;0),100%,IF(AND(E36&lt;0,G36&gt;=0),(E36-G36)/E36,IF(AND(E36&gt;0,G36&gt;0),(G36-E36)/E36,IF(AND(E36=0,G36&lt;=0),"",(G36-E36)/E36))))</f>
        <v/>
      </c>
      <c r="I36" s="189">
        <f>+'N ESF'!N155</f>
        <v>0</v>
      </c>
      <c r="J36" s="196" t="str">
        <f t="shared" ref="J36:J67" si="8">IF(AND(G36=0,I36&gt;0),100%,IF(AND(G36&lt;0,I36&gt;=0),(G36-I36)/G36,IF(AND(G36&gt;0,I36&gt;0),(I36-G36)/G36,IF(AND(G36=0,I36&lt;=0),"",(I36-G36)/G36))))</f>
        <v/>
      </c>
      <c r="K36" s="196" t="str">
        <f t="shared" ref="K36:K67" si="9">IF(AND(B36=0,I36&gt;0),100%,IF(AND(B36&lt;0,I36&gt;=0),(B36-I36)/B36,IF(AND(B36&gt;0,I36&gt;0),(I36-B36)/B36,IF(AND(B36=0,I36&lt;=0),"",(I36-B36)/B36))))</f>
        <v/>
      </c>
    </row>
    <row r="37" spans="1:11" s="6" customFormat="1" ht="15" customHeight="1" outlineLevel="1" x14ac:dyDescent="0.25">
      <c r="A37" s="57" t="s">
        <v>147</v>
      </c>
      <c r="B37" s="189">
        <f>+'N ESF'!B158</f>
        <v>0</v>
      </c>
      <c r="C37" s="189">
        <f>+'N ESF'!E158</f>
        <v>2430</v>
      </c>
      <c r="D37" s="196">
        <f t="shared" si="5"/>
        <v>1</v>
      </c>
      <c r="E37" s="189">
        <f>+'N ESF'!H158</f>
        <v>0</v>
      </c>
      <c r="F37" s="196">
        <f t="shared" si="6"/>
        <v>-1</v>
      </c>
      <c r="G37" s="189">
        <f>+'N ESF'!K158</f>
        <v>0</v>
      </c>
      <c r="H37" s="196" t="str">
        <f t="shared" si="7"/>
        <v/>
      </c>
      <c r="I37" s="189">
        <f>+'N ESF'!N158</f>
        <v>0</v>
      </c>
      <c r="J37" s="196" t="str">
        <f t="shared" si="8"/>
        <v/>
      </c>
      <c r="K37" s="196" t="str">
        <f t="shared" si="9"/>
        <v/>
      </c>
    </row>
    <row r="38" spans="1:11" s="8" customFormat="1" ht="15" customHeight="1" x14ac:dyDescent="0.25">
      <c r="A38" s="173" t="s">
        <v>148</v>
      </c>
      <c r="B38" s="188">
        <f>+SUM(B39:B40)</f>
        <v>0</v>
      </c>
      <c r="C38" s="188">
        <f>+SUM(C39:C40)</f>
        <v>10120</v>
      </c>
      <c r="D38" s="195">
        <f t="shared" si="5"/>
        <v>1</v>
      </c>
      <c r="E38" s="188">
        <f>+SUM(E39:E40)</f>
        <v>0</v>
      </c>
      <c r="F38" s="195">
        <f t="shared" si="6"/>
        <v>-1</v>
      </c>
      <c r="G38" s="188">
        <f>+SUM(G39:G40)</f>
        <v>0</v>
      </c>
      <c r="H38" s="195" t="str">
        <f t="shared" si="7"/>
        <v/>
      </c>
      <c r="I38" s="188">
        <f>+SUM(I39:I40)</f>
        <v>0</v>
      </c>
      <c r="J38" s="195" t="str">
        <f t="shared" si="8"/>
        <v/>
      </c>
      <c r="K38" s="195" t="str">
        <f t="shared" si="9"/>
        <v/>
      </c>
    </row>
    <row r="39" spans="1:11" s="6" customFormat="1" ht="15" customHeight="1" outlineLevel="1" x14ac:dyDescent="0.25">
      <c r="A39" s="58" t="s">
        <v>199</v>
      </c>
      <c r="B39" s="190">
        <f>+'N ESF'!B162</f>
        <v>0</v>
      </c>
      <c r="C39" s="190">
        <f>+'N ESF'!E162</f>
        <v>6250</v>
      </c>
      <c r="D39" s="196">
        <f t="shared" si="5"/>
        <v>1</v>
      </c>
      <c r="E39" s="190">
        <f>+'N ESF'!H162</f>
        <v>0</v>
      </c>
      <c r="F39" s="196">
        <f t="shared" si="6"/>
        <v>-1</v>
      </c>
      <c r="G39" s="190">
        <f>+'N ESF'!K162</f>
        <v>0</v>
      </c>
      <c r="H39" s="196" t="str">
        <f t="shared" si="7"/>
        <v/>
      </c>
      <c r="I39" s="190">
        <f>+'N ESF'!N162</f>
        <v>0</v>
      </c>
      <c r="J39" s="196" t="str">
        <f t="shared" si="8"/>
        <v/>
      </c>
      <c r="K39" s="196" t="str">
        <f t="shared" si="9"/>
        <v/>
      </c>
    </row>
    <row r="40" spans="1:11" ht="15" customHeight="1" outlineLevel="1" x14ac:dyDescent="0.25">
      <c r="A40" s="57" t="s">
        <v>149</v>
      </c>
      <c r="B40" s="189">
        <f>+'N ESF'!B168</f>
        <v>0</v>
      </c>
      <c r="C40" s="189">
        <f>+'N ESF'!E168</f>
        <v>3870</v>
      </c>
      <c r="D40" s="196">
        <f t="shared" si="5"/>
        <v>1</v>
      </c>
      <c r="E40" s="189">
        <f>+'N ESF'!H168</f>
        <v>0</v>
      </c>
      <c r="F40" s="196">
        <f t="shared" si="6"/>
        <v>-1</v>
      </c>
      <c r="G40" s="189">
        <f>+'N ESF'!K168</f>
        <v>0</v>
      </c>
      <c r="H40" s="196" t="str">
        <f t="shared" si="7"/>
        <v/>
      </c>
      <c r="I40" s="189">
        <f>+'N ESF'!N168</f>
        <v>0</v>
      </c>
      <c r="J40" s="196" t="str">
        <f t="shared" si="8"/>
        <v/>
      </c>
      <c r="K40" s="196" t="str">
        <f t="shared" si="9"/>
        <v/>
      </c>
    </row>
    <row r="41" spans="1:11" s="8" customFormat="1" ht="15" customHeight="1" x14ac:dyDescent="0.25">
      <c r="A41" s="208" t="s">
        <v>151</v>
      </c>
      <c r="B41" s="209">
        <f>+B42+B48</f>
        <v>0</v>
      </c>
      <c r="C41" s="209">
        <f>+C42+C48</f>
        <v>187460</v>
      </c>
      <c r="D41" s="210">
        <f t="shared" si="5"/>
        <v>1</v>
      </c>
      <c r="E41" s="209">
        <f>+E42+E48</f>
        <v>0</v>
      </c>
      <c r="F41" s="210">
        <f t="shared" si="6"/>
        <v>-1</v>
      </c>
      <c r="G41" s="209">
        <f>+G42+G48</f>
        <v>0</v>
      </c>
      <c r="H41" s="210" t="str">
        <f t="shared" si="7"/>
        <v/>
      </c>
      <c r="I41" s="209">
        <f>+I42+I48</f>
        <v>0</v>
      </c>
      <c r="J41" s="210" t="str">
        <f t="shared" si="8"/>
        <v/>
      </c>
      <c r="K41" s="210" t="str">
        <f t="shared" si="9"/>
        <v/>
      </c>
    </row>
    <row r="42" spans="1:11" s="8" customFormat="1" ht="15" customHeight="1" x14ac:dyDescent="0.25">
      <c r="A42" s="173" t="s">
        <v>153</v>
      </c>
      <c r="B42" s="188">
        <f>+SUM(B43:B47)</f>
        <v>0</v>
      </c>
      <c r="C42" s="188">
        <f>+SUM(C43:C47)</f>
        <v>74160</v>
      </c>
      <c r="D42" s="195">
        <f t="shared" si="5"/>
        <v>1</v>
      </c>
      <c r="E42" s="188">
        <f>+SUM(E43:E47)</f>
        <v>0</v>
      </c>
      <c r="F42" s="195">
        <f t="shared" si="6"/>
        <v>-1</v>
      </c>
      <c r="G42" s="188">
        <f>+SUM(G43:G47)</f>
        <v>0</v>
      </c>
      <c r="H42" s="195" t="str">
        <f t="shared" si="7"/>
        <v/>
      </c>
      <c r="I42" s="188">
        <f>+SUM(I43:I47)</f>
        <v>0</v>
      </c>
      <c r="J42" s="195" t="str">
        <f t="shared" si="8"/>
        <v/>
      </c>
      <c r="K42" s="195" t="str">
        <f t="shared" si="9"/>
        <v/>
      </c>
    </row>
    <row r="43" spans="1:11" s="18" customFormat="1" ht="15" customHeight="1" outlineLevel="1" x14ac:dyDescent="0.25">
      <c r="A43" s="58" t="s">
        <v>601</v>
      </c>
      <c r="B43" s="190">
        <f>+'N ESF'!B175</f>
        <v>0</v>
      </c>
      <c r="C43" s="190">
        <f>+'N ESF'!E175</f>
        <v>25110</v>
      </c>
      <c r="D43" s="196">
        <f t="shared" si="5"/>
        <v>1</v>
      </c>
      <c r="E43" s="190">
        <f>+'N ESF'!H175</f>
        <v>0</v>
      </c>
      <c r="F43" s="196">
        <f t="shared" si="6"/>
        <v>-1</v>
      </c>
      <c r="G43" s="190">
        <f>+'N ESF'!K175</f>
        <v>0</v>
      </c>
      <c r="H43" s="196" t="str">
        <f t="shared" si="7"/>
        <v/>
      </c>
      <c r="I43" s="190">
        <f>+'N ESF'!N175</f>
        <v>0</v>
      </c>
      <c r="J43" s="196" t="str">
        <f t="shared" si="8"/>
        <v/>
      </c>
      <c r="K43" s="196" t="str">
        <f t="shared" si="9"/>
        <v/>
      </c>
    </row>
    <row r="44" spans="1:11" ht="15" customHeight="1" outlineLevel="1" x14ac:dyDescent="0.25">
      <c r="A44" s="57" t="s">
        <v>156</v>
      </c>
      <c r="B44" s="189">
        <f>+'N ESF'!B194</f>
        <v>0</v>
      </c>
      <c r="C44" s="189">
        <f>+'N ESF'!E194</f>
        <v>9090</v>
      </c>
      <c r="D44" s="196">
        <f t="shared" si="5"/>
        <v>1</v>
      </c>
      <c r="E44" s="189">
        <f>+'N ESF'!H194</f>
        <v>0</v>
      </c>
      <c r="F44" s="196">
        <f t="shared" si="6"/>
        <v>-1</v>
      </c>
      <c r="G44" s="189">
        <f>+'N ESF'!K194</f>
        <v>0</v>
      </c>
      <c r="H44" s="196" t="str">
        <f t="shared" si="7"/>
        <v/>
      </c>
      <c r="I44" s="189">
        <f>+'N ESF'!N194</f>
        <v>0</v>
      </c>
      <c r="J44" s="196" t="str">
        <f t="shared" si="8"/>
        <v/>
      </c>
      <c r="K44" s="196" t="str">
        <f t="shared" si="9"/>
        <v/>
      </c>
    </row>
    <row r="45" spans="1:11" ht="15" customHeight="1" outlineLevel="1" x14ac:dyDescent="0.25">
      <c r="A45" s="57" t="s">
        <v>155</v>
      </c>
      <c r="B45" s="189">
        <f>+'N ESF'!B201</f>
        <v>0</v>
      </c>
      <c r="C45" s="189">
        <f>+'N ESF'!E201</f>
        <v>24300</v>
      </c>
      <c r="D45" s="196">
        <f t="shared" si="5"/>
        <v>1</v>
      </c>
      <c r="E45" s="189">
        <f>+'N ESF'!H201</f>
        <v>0</v>
      </c>
      <c r="F45" s="196">
        <f t="shared" si="6"/>
        <v>-1</v>
      </c>
      <c r="G45" s="189">
        <f>+'N ESF'!K201</f>
        <v>0</v>
      </c>
      <c r="H45" s="196" t="str">
        <f t="shared" si="7"/>
        <v/>
      </c>
      <c r="I45" s="189">
        <f>+'N ESF'!N201</f>
        <v>0</v>
      </c>
      <c r="J45" s="196" t="str">
        <f t="shared" si="8"/>
        <v/>
      </c>
      <c r="K45" s="196" t="str">
        <f t="shared" si="9"/>
        <v/>
      </c>
    </row>
    <row r="46" spans="1:11" ht="15" customHeight="1" outlineLevel="1" x14ac:dyDescent="0.25">
      <c r="A46" s="57" t="s">
        <v>152</v>
      </c>
      <c r="B46" s="189">
        <f>+'N ESF'!B218</f>
        <v>0</v>
      </c>
      <c r="C46" s="189">
        <f>+'N ESF'!E218</f>
        <v>13880</v>
      </c>
      <c r="D46" s="196">
        <f t="shared" si="5"/>
        <v>1</v>
      </c>
      <c r="E46" s="189">
        <f>+'N ESF'!H218</f>
        <v>0</v>
      </c>
      <c r="F46" s="196">
        <f t="shared" si="6"/>
        <v>-1</v>
      </c>
      <c r="G46" s="189">
        <f>+'N ESF'!K218</f>
        <v>0</v>
      </c>
      <c r="H46" s="196" t="str">
        <f t="shared" si="7"/>
        <v/>
      </c>
      <c r="I46" s="189">
        <f>+'N ESF'!N218</f>
        <v>0</v>
      </c>
      <c r="J46" s="196" t="str">
        <f t="shared" si="8"/>
        <v/>
      </c>
      <c r="K46" s="196" t="str">
        <f t="shared" si="9"/>
        <v/>
      </c>
    </row>
    <row r="47" spans="1:11" ht="15" customHeight="1" outlineLevel="1" x14ac:dyDescent="0.25">
      <c r="A47" s="57" t="s">
        <v>154</v>
      </c>
      <c r="B47" s="189">
        <f>+'N ESF'!B227</f>
        <v>0</v>
      </c>
      <c r="C47" s="189">
        <f>+'N ESF'!E227</f>
        <v>1780</v>
      </c>
      <c r="D47" s="196">
        <f t="shared" si="5"/>
        <v>1</v>
      </c>
      <c r="E47" s="189">
        <f>+'N ESF'!H227</f>
        <v>0</v>
      </c>
      <c r="F47" s="196">
        <f t="shared" si="6"/>
        <v>-1</v>
      </c>
      <c r="G47" s="189">
        <f>+'N ESF'!K227</f>
        <v>0</v>
      </c>
      <c r="H47" s="196" t="str">
        <f t="shared" si="7"/>
        <v/>
      </c>
      <c r="I47" s="189">
        <f>+'N ESF'!N227</f>
        <v>0</v>
      </c>
      <c r="J47" s="196" t="str">
        <f t="shared" si="8"/>
        <v/>
      </c>
      <c r="K47" s="196" t="str">
        <f t="shared" si="9"/>
        <v/>
      </c>
    </row>
    <row r="48" spans="1:11" s="8" customFormat="1" ht="15" customHeight="1" x14ac:dyDescent="0.25">
      <c r="A48" s="173" t="s">
        <v>157</v>
      </c>
      <c r="B48" s="188">
        <f>+SUM(B49:B59)</f>
        <v>0</v>
      </c>
      <c r="C48" s="188">
        <f>+SUM(C49:C59)</f>
        <v>113300</v>
      </c>
      <c r="D48" s="195">
        <f t="shared" si="5"/>
        <v>1</v>
      </c>
      <c r="E48" s="188">
        <f>+SUM(E49:E59)</f>
        <v>0</v>
      </c>
      <c r="F48" s="195">
        <f t="shared" si="6"/>
        <v>-1</v>
      </c>
      <c r="G48" s="188">
        <f>+SUM(G49:G59)</f>
        <v>0</v>
      </c>
      <c r="H48" s="195" t="str">
        <f t="shared" si="7"/>
        <v/>
      </c>
      <c r="I48" s="188">
        <f>+SUM(I49:I59)</f>
        <v>0</v>
      </c>
      <c r="J48" s="195" t="str">
        <f t="shared" si="8"/>
        <v/>
      </c>
      <c r="K48" s="195" t="str">
        <f t="shared" si="9"/>
        <v/>
      </c>
    </row>
    <row r="49" spans="1:11" s="6" customFormat="1" ht="15" customHeight="1" outlineLevel="1" x14ac:dyDescent="0.25">
      <c r="A49" s="58" t="s">
        <v>158</v>
      </c>
      <c r="B49" s="190">
        <f>+'N ESF'!B230</f>
        <v>0</v>
      </c>
      <c r="C49" s="190">
        <f>+'N ESF'!E230</f>
        <v>3590</v>
      </c>
      <c r="D49" s="196">
        <f t="shared" si="5"/>
        <v>1</v>
      </c>
      <c r="E49" s="190">
        <f>+'N ESF'!H230</f>
        <v>0</v>
      </c>
      <c r="F49" s="196">
        <f t="shared" si="6"/>
        <v>-1</v>
      </c>
      <c r="G49" s="190">
        <f>+'N ESF'!K230</f>
        <v>0</v>
      </c>
      <c r="H49" s="196" t="str">
        <f t="shared" si="7"/>
        <v/>
      </c>
      <c r="I49" s="190">
        <f>+'N ESF'!N230</f>
        <v>0</v>
      </c>
      <c r="J49" s="196" t="str">
        <f t="shared" si="8"/>
        <v/>
      </c>
      <c r="K49" s="196" t="str">
        <f t="shared" si="9"/>
        <v/>
      </c>
    </row>
    <row r="50" spans="1:11" ht="15" customHeight="1" outlineLevel="1" x14ac:dyDescent="0.25">
      <c r="A50" s="57" t="s">
        <v>159</v>
      </c>
      <c r="B50" s="189">
        <f>+'N ESF'!B233</f>
        <v>0</v>
      </c>
      <c r="C50" s="189">
        <f>+'N ESF'!E233</f>
        <v>5460</v>
      </c>
      <c r="D50" s="196">
        <f t="shared" si="5"/>
        <v>1</v>
      </c>
      <c r="E50" s="189">
        <f>+'N ESF'!H233</f>
        <v>0</v>
      </c>
      <c r="F50" s="196">
        <f t="shared" si="6"/>
        <v>-1</v>
      </c>
      <c r="G50" s="189">
        <f>+'N ESF'!K233</f>
        <v>0</v>
      </c>
      <c r="H50" s="196" t="str">
        <f t="shared" si="7"/>
        <v/>
      </c>
      <c r="I50" s="189">
        <f>+'N ESF'!N233</f>
        <v>0</v>
      </c>
      <c r="J50" s="196" t="str">
        <f t="shared" si="8"/>
        <v/>
      </c>
      <c r="K50" s="196" t="str">
        <f t="shared" si="9"/>
        <v/>
      </c>
    </row>
    <row r="51" spans="1:11" ht="15" customHeight="1" outlineLevel="1" x14ac:dyDescent="0.25">
      <c r="A51" s="57" t="s">
        <v>160</v>
      </c>
      <c r="B51" s="189">
        <f>+'N ESF'!B237</f>
        <v>0</v>
      </c>
      <c r="C51" s="189">
        <f>+'N ESF'!E237</f>
        <v>5550</v>
      </c>
      <c r="D51" s="196">
        <f t="shared" si="5"/>
        <v>1</v>
      </c>
      <c r="E51" s="189">
        <f>+'N ESF'!H237</f>
        <v>0</v>
      </c>
      <c r="F51" s="196">
        <f t="shared" si="6"/>
        <v>-1</v>
      </c>
      <c r="G51" s="189">
        <f>+'N ESF'!K237</f>
        <v>0</v>
      </c>
      <c r="H51" s="196" t="str">
        <f t="shared" si="7"/>
        <v/>
      </c>
      <c r="I51" s="189">
        <f>+'N ESF'!N237</f>
        <v>0</v>
      </c>
      <c r="J51" s="196" t="str">
        <f t="shared" si="8"/>
        <v/>
      </c>
      <c r="K51" s="196" t="str">
        <f t="shared" si="9"/>
        <v/>
      </c>
    </row>
    <row r="52" spans="1:11" ht="15" customHeight="1" outlineLevel="1" x14ac:dyDescent="0.25">
      <c r="A52" s="57" t="s">
        <v>161</v>
      </c>
      <c r="B52" s="189">
        <f>+'N ESF'!B241</f>
        <v>0</v>
      </c>
      <c r="C52" s="189">
        <f>+'N ESF'!E241</f>
        <v>41370</v>
      </c>
      <c r="D52" s="196">
        <f t="shared" si="5"/>
        <v>1</v>
      </c>
      <c r="E52" s="189">
        <f>+'N ESF'!H241</f>
        <v>0</v>
      </c>
      <c r="F52" s="196">
        <f t="shared" si="6"/>
        <v>-1</v>
      </c>
      <c r="G52" s="189">
        <f>+'N ESF'!K241</f>
        <v>0</v>
      </c>
      <c r="H52" s="196" t="str">
        <f t="shared" si="7"/>
        <v/>
      </c>
      <c r="I52" s="189">
        <f>+'N ESF'!N241</f>
        <v>0</v>
      </c>
      <c r="J52" s="196" t="str">
        <f t="shared" si="8"/>
        <v/>
      </c>
      <c r="K52" s="196" t="str">
        <f t="shared" si="9"/>
        <v/>
      </c>
    </row>
    <row r="53" spans="1:11" ht="15" customHeight="1" outlineLevel="1" x14ac:dyDescent="0.25">
      <c r="A53" s="57" t="s">
        <v>162</v>
      </c>
      <c r="B53" s="189">
        <f>+'N ESF'!B263</f>
        <v>0</v>
      </c>
      <c r="C53" s="189">
        <f>+'N ESF'!E263</f>
        <v>12630</v>
      </c>
      <c r="D53" s="196">
        <f t="shared" si="5"/>
        <v>1</v>
      </c>
      <c r="E53" s="189">
        <f>+'N ESF'!H263</f>
        <v>0</v>
      </c>
      <c r="F53" s="196">
        <f t="shared" si="6"/>
        <v>-1</v>
      </c>
      <c r="G53" s="189">
        <f>+'N ESF'!K263</f>
        <v>0</v>
      </c>
      <c r="H53" s="196" t="str">
        <f t="shared" si="7"/>
        <v/>
      </c>
      <c r="I53" s="189">
        <f>+'N ESF'!N263</f>
        <v>0</v>
      </c>
      <c r="J53" s="196" t="str">
        <f t="shared" si="8"/>
        <v/>
      </c>
      <c r="K53" s="196" t="str">
        <f t="shared" si="9"/>
        <v/>
      </c>
    </row>
    <row r="54" spans="1:11" ht="15" customHeight="1" outlineLevel="1" x14ac:dyDescent="0.25">
      <c r="A54" s="57" t="s">
        <v>163</v>
      </c>
      <c r="B54" s="189">
        <f>+'N ESF'!B270</f>
        <v>0</v>
      </c>
      <c r="C54" s="189">
        <f>+'N ESF'!E270</f>
        <v>6450</v>
      </c>
      <c r="D54" s="196">
        <f t="shared" si="5"/>
        <v>1</v>
      </c>
      <c r="E54" s="189">
        <f>+'N ESF'!H270</f>
        <v>0</v>
      </c>
      <c r="F54" s="196">
        <f t="shared" si="6"/>
        <v>-1</v>
      </c>
      <c r="G54" s="189">
        <f>+'N ESF'!K270</f>
        <v>0</v>
      </c>
      <c r="H54" s="196" t="str">
        <f t="shared" si="7"/>
        <v/>
      </c>
      <c r="I54" s="189">
        <f>+'N ESF'!N270</f>
        <v>0</v>
      </c>
      <c r="J54" s="196" t="str">
        <f t="shared" si="8"/>
        <v/>
      </c>
      <c r="K54" s="196" t="str">
        <f t="shared" si="9"/>
        <v/>
      </c>
    </row>
    <row r="55" spans="1:11" ht="15" customHeight="1" outlineLevel="1" x14ac:dyDescent="0.25">
      <c r="A55" s="57" t="s">
        <v>164</v>
      </c>
      <c r="B55" s="189">
        <f>+'N ESF'!B274</f>
        <v>0</v>
      </c>
      <c r="C55" s="189">
        <f>+'N ESF'!E274</f>
        <v>6540</v>
      </c>
      <c r="D55" s="196">
        <f t="shared" si="5"/>
        <v>1</v>
      </c>
      <c r="E55" s="189">
        <f>+'N ESF'!H274</f>
        <v>0</v>
      </c>
      <c r="F55" s="196">
        <f t="shared" si="6"/>
        <v>-1</v>
      </c>
      <c r="G55" s="189">
        <f>+'N ESF'!K274</f>
        <v>0</v>
      </c>
      <c r="H55" s="196" t="str">
        <f t="shared" si="7"/>
        <v/>
      </c>
      <c r="I55" s="189">
        <f>+'N ESF'!N274</f>
        <v>0</v>
      </c>
      <c r="J55" s="196" t="str">
        <f t="shared" si="8"/>
        <v/>
      </c>
      <c r="K55" s="196" t="str">
        <f t="shared" si="9"/>
        <v/>
      </c>
    </row>
    <row r="56" spans="1:11" ht="15" customHeight="1" outlineLevel="1" x14ac:dyDescent="0.25">
      <c r="A56" s="57" t="s">
        <v>165</v>
      </c>
      <c r="B56" s="189">
        <f>+'N ESF'!B278</f>
        <v>0</v>
      </c>
      <c r="C56" s="189">
        <f>+'N ESF'!E278</f>
        <v>6630</v>
      </c>
      <c r="D56" s="196">
        <f t="shared" si="5"/>
        <v>1</v>
      </c>
      <c r="E56" s="189">
        <f>+'N ESF'!H278</f>
        <v>0</v>
      </c>
      <c r="F56" s="196">
        <f t="shared" si="6"/>
        <v>-1</v>
      </c>
      <c r="G56" s="189">
        <f>+'N ESF'!K278</f>
        <v>0</v>
      </c>
      <c r="H56" s="196" t="str">
        <f t="shared" si="7"/>
        <v/>
      </c>
      <c r="I56" s="189">
        <f>+'N ESF'!N278</f>
        <v>0</v>
      </c>
      <c r="J56" s="196" t="str">
        <f t="shared" si="8"/>
        <v/>
      </c>
      <c r="K56" s="196" t="str">
        <f t="shared" si="9"/>
        <v/>
      </c>
    </row>
    <row r="57" spans="1:11" ht="15" customHeight="1" outlineLevel="1" x14ac:dyDescent="0.25">
      <c r="A57" s="57" t="s">
        <v>166</v>
      </c>
      <c r="B57" s="189">
        <f>+'N ESF'!B282</f>
        <v>0</v>
      </c>
      <c r="C57" s="189">
        <f>+'N ESF'!E282</f>
        <v>6720</v>
      </c>
      <c r="D57" s="196">
        <f t="shared" si="5"/>
        <v>1</v>
      </c>
      <c r="E57" s="189">
        <f>+'N ESF'!H282</f>
        <v>0</v>
      </c>
      <c r="F57" s="196">
        <f t="shared" si="6"/>
        <v>-1</v>
      </c>
      <c r="G57" s="189">
        <f>+'N ESF'!K282</f>
        <v>0</v>
      </c>
      <c r="H57" s="196" t="str">
        <f t="shared" si="7"/>
        <v/>
      </c>
      <c r="I57" s="189">
        <f>+'N ESF'!N282</f>
        <v>0</v>
      </c>
      <c r="J57" s="196" t="str">
        <f t="shared" si="8"/>
        <v/>
      </c>
      <c r="K57" s="196" t="str">
        <f t="shared" si="9"/>
        <v/>
      </c>
    </row>
    <row r="58" spans="1:11" ht="15" customHeight="1" outlineLevel="1" x14ac:dyDescent="0.25">
      <c r="A58" s="57" t="s">
        <v>603</v>
      </c>
      <c r="B58" s="189">
        <f>+'N ESF'!B286</f>
        <v>0</v>
      </c>
      <c r="C58" s="189">
        <f>+'N ESF'!E286</f>
        <v>6810</v>
      </c>
      <c r="D58" s="196">
        <f t="shared" si="5"/>
        <v>1</v>
      </c>
      <c r="E58" s="189">
        <f>+'N ESF'!H286</f>
        <v>0</v>
      </c>
      <c r="F58" s="196">
        <f t="shared" si="6"/>
        <v>-1</v>
      </c>
      <c r="G58" s="189">
        <f>+'N ESF'!K286</f>
        <v>0</v>
      </c>
      <c r="H58" s="196" t="str">
        <f t="shared" si="7"/>
        <v/>
      </c>
      <c r="I58" s="189">
        <f>+'N ESF'!N286</f>
        <v>0</v>
      </c>
      <c r="J58" s="196" t="str">
        <f t="shared" si="8"/>
        <v/>
      </c>
      <c r="K58" s="196" t="str">
        <f t="shared" si="9"/>
        <v/>
      </c>
    </row>
    <row r="59" spans="1:11" ht="15" customHeight="1" outlineLevel="1" x14ac:dyDescent="0.25">
      <c r="A59" s="57" t="s">
        <v>602</v>
      </c>
      <c r="B59" s="189">
        <f>+'N ESF'!B290</f>
        <v>0</v>
      </c>
      <c r="C59" s="189">
        <f>+'N ESF'!E290</f>
        <v>11550</v>
      </c>
      <c r="D59" s="196">
        <f t="shared" si="5"/>
        <v>1</v>
      </c>
      <c r="E59" s="189">
        <f>+'N ESF'!H290</f>
        <v>0</v>
      </c>
      <c r="F59" s="196">
        <f t="shared" si="6"/>
        <v>-1</v>
      </c>
      <c r="G59" s="189">
        <f>+'N ESF'!K290</f>
        <v>0</v>
      </c>
      <c r="H59" s="196" t="str">
        <f t="shared" si="7"/>
        <v/>
      </c>
      <c r="I59" s="189">
        <f>+'N ESF'!N290</f>
        <v>0</v>
      </c>
      <c r="J59" s="196" t="str">
        <f t="shared" si="8"/>
        <v/>
      </c>
      <c r="K59" s="196" t="str">
        <f t="shared" si="9"/>
        <v/>
      </c>
    </row>
    <row r="60" spans="1:11" s="1" customFormat="1" ht="15" customHeight="1" x14ac:dyDescent="0.25">
      <c r="A60" s="208" t="s">
        <v>168</v>
      </c>
      <c r="B60" s="209">
        <f>+B4+B41</f>
        <v>0</v>
      </c>
      <c r="C60" s="209">
        <f>+C4+C41</f>
        <v>272610</v>
      </c>
      <c r="D60" s="210">
        <f t="shared" si="5"/>
        <v>1</v>
      </c>
      <c r="E60" s="209">
        <f>+E4+E41</f>
        <v>0</v>
      </c>
      <c r="F60" s="210">
        <f t="shared" si="6"/>
        <v>-1</v>
      </c>
      <c r="G60" s="209">
        <f>+G4+G41</f>
        <v>0</v>
      </c>
      <c r="H60" s="210" t="str">
        <f t="shared" si="7"/>
        <v/>
      </c>
      <c r="I60" s="209">
        <f>+I4+I41</f>
        <v>0</v>
      </c>
      <c r="J60" s="210" t="str">
        <f t="shared" si="8"/>
        <v/>
      </c>
      <c r="K60" s="210" t="str">
        <f t="shared" si="9"/>
        <v/>
      </c>
    </row>
    <row r="61" spans="1:11" s="8" customFormat="1" ht="15" customHeight="1" x14ac:dyDescent="0.25">
      <c r="A61" s="211" t="s">
        <v>187</v>
      </c>
      <c r="B61" s="212">
        <f>+B62+B69+B78+B85+B89</f>
        <v>0</v>
      </c>
      <c r="C61" s="212">
        <f>+C62+C69+C78+C85+C89</f>
        <v>232000</v>
      </c>
      <c r="D61" s="213">
        <f t="shared" si="5"/>
        <v>1</v>
      </c>
      <c r="E61" s="212">
        <f>+E62+E69+E78+E85+E89</f>
        <v>0</v>
      </c>
      <c r="F61" s="213">
        <f t="shared" si="6"/>
        <v>-1</v>
      </c>
      <c r="G61" s="212">
        <f>+G62+G69+G78+G85+G89</f>
        <v>0</v>
      </c>
      <c r="H61" s="213" t="str">
        <f t="shared" si="7"/>
        <v/>
      </c>
      <c r="I61" s="212">
        <f>+I62+I69+I78+I85+I89</f>
        <v>0</v>
      </c>
      <c r="J61" s="213" t="str">
        <f t="shared" si="8"/>
        <v/>
      </c>
      <c r="K61" s="213" t="str">
        <f t="shared" si="9"/>
        <v/>
      </c>
    </row>
    <row r="62" spans="1:11" s="8" customFormat="1" ht="15" customHeight="1" collapsed="1" x14ac:dyDescent="0.25">
      <c r="A62" s="173" t="s">
        <v>169</v>
      </c>
      <c r="B62" s="188">
        <f>+SUM(B63:B68)</f>
        <v>0</v>
      </c>
      <c r="C62" s="188">
        <f>+SUM(C63:C68)</f>
        <v>198010</v>
      </c>
      <c r="D62" s="195">
        <f t="shared" si="5"/>
        <v>1</v>
      </c>
      <c r="E62" s="188">
        <f>+SUM(E63:E68)</f>
        <v>0</v>
      </c>
      <c r="F62" s="195">
        <f t="shared" si="6"/>
        <v>-1</v>
      </c>
      <c r="G62" s="188">
        <f>+SUM(G63:G68)</f>
        <v>0</v>
      </c>
      <c r="H62" s="195" t="str">
        <f t="shared" si="7"/>
        <v/>
      </c>
      <c r="I62" s="188">
        <f>+SUM(I63:I68)</f>
        <v>0</v>
      </c>
      <c r="J62" s="195" t="str">
        <f t="shared" si="8"/>
        <v/>
      </c>
      <c r="K62" s="195" t="str">
        <f t="shared" si="9"/>
        <v/>
      </c>
    </row>
    <row r="63" spans="1:11" s="6" customFormat="1" ht="15" customHeight="1" outlineLevel="1" x14ac:dyDescent="0.25">
      <c r="A63" s="58" t="s">
        <v>170</v>
      </c>
      <c r="B63" s="190">
        <f>+'N ESF'!B299</f>
        <v>0</v>
      </c>
      <c r="C63" s="190">
        <f>+'N ESF'!E299</f>
        <v>120000</v>
      </c>
      <c r="D63" s="196">
        <f t="shared" si="5"/>
        <v>1</v>
      </c>
      <c r="E63" s="190">
        <f>+'N ESF'!H299</f>
        <v>0</v>
      </c>
      <c r="F63" s="196">
        <f t="shared" si="6"/>
        <v>-1</v>
      </c>
      <c r="G63" s="190">
        <f>+'N ESF'!K299</f>
        <v>0</v>
      </c>
      <c r="H63" s="196" t="str">
        <f t="shared" si="7"/>
        <v/>
      </c>
      <c r="I63" s="190">
        <f>+'N ESF'!N299</f>
        <v>0</v>
      </c>
      <c r="J63" s="196" t="str">
        <f t="shared" si="8"/>
        <v/>
      </c>
      <c r="K63" s="196" t="str">
        <f t="shared" si="9"/>
        <v/>
      </c>
    </row>
    <row r="64" spans="1:11" ht="15" customHeight="1" outlineLevel="1" x14ac:dyDescent="0.25">
      <c r="A64" s="58" t="s">
        <v>140</v>
      </c>
      <c r="B64" s="189">
        <f>+'N ESF'!B303</f>
        <v>0</v>
      </c>
      <c r="C64" s="189">
        <f>+'N ESF'!E303</f>
        <v>76400</v>
      </c>
      <c r="D64" s="196">
        <f t="shared" si="5"/>
        <v>1</v>
      </c>
      <c r="E64" s="189">
        <f>+'N ESF'!H303</f>
        <v>0</v>
      </c>
      <c r="F64" s="196">
        <f t="shared" si="6"/>
        <v>-1</v>
      </c>
      <c r="G64" s="189">
        <f>+'N ESF'!K303</f>
        <v>0</v>
      </c>
      <c r="H64" s="196" t="str">
        <f t="shared" si="7"/>
        <v/>
      </c>
      <c r="I64" s="189">
        <f>+'N ESF'!N303</f>
        <v>0</v>
      </c>
      <c r="J64" s="196" t="str">
        <f t="shared" si="8"/>
        <v/>
      </c>
      <c r="K64" s="196" t="str">
        <f t="shared" si="9"/>
        <v/>
      </c>
    </row>
    <row r="65" spans="1:11" ht="15" customHeight="1" outlineLevel="1" x14ac:dyDescent="0.25">
      <c r="A65" s="57" t="s">
        <v>141</v>
      </c>
      <c r="B65" s="189">
        <f>+'N ESF'!B308</f>
        <v>0</v>
      </c>
      <c r="C65" s="189">
        <f>+'N ESF'!E308</f>
        <v>350</v>
      </c>
      <c r="D65" s="196">
        <f t="shared" si="5"/>
        <v>1</v>
      </c>
      <c r="E65" s="189">
        <f>+'N ESF'!H308</f>
        <v>0</v>
      </c>
      <c r="F65" s="196">
        <f t="shared" si="6"/>
        <v>-1</v>
      </c>
      <c r="G65" s="189">
        <f>+'N ESF'!K308</f>
        <v>0</v>
      </c>
      <c r="H65" s="196" t="str">
        <f t="shared" si="7"/>
        <v/>
      </c>
      <c r="I65" s="189">
        <f>+'N ESF'!N308</f>
        <v>0</v>
      </c>
      <c r="J65" s="196" t="str">
        <f t="shared" si="8"/>
        <v/>
      </c>
      <c r="K65" s="196" t="str">
        <f t="shared" si="9"/>
        <v/>
      </c>
    </row>
    <row r="66" spans="1:11" s="6" customFormat="1" ht="15" customHeight="1" outlineLevel="1" x14ac:dyDescent="0.25">
      <c r="A66" s="57" t="s">
        <v>136</v>
      </c>
      <c r="B66" s="190">
        <f>+'N ESF'!B314</f>
        <v>0</v>
      </c>
      <c r="C66" s="190">
        <f>+'N ESF'!E314</f>
        <v>330</v>
      </c>
      <c r="D66" s="196">
        <f t="shared" si="5"/>
        <v>1</v>
      </c>
      <c r="E66" s="190">
        <f>+'N ESF'!H314</f>
        <v>0</v>
      </c>
      <c r="F66" s="196">
        <f t="shared" si="6"/>
        <v>-1</v>
      </c>
      <c r="G66" s="190">
        <f>+'N ESF'!K314</f>
        <v>0</v>
      </c>
      <c r="H66" s="196" t="str">
        <f t="shared" si="7"/>
        <v/>
      </c>
      <c r="I66" s="190">
        <f>+'N ESF'!N314</f>
        <v>0</v>
      </c>
      <c r="J66" s="196" t="str">
        <f t="shared" si="8"/>
        <v/>
      </c>
      <c r="K66" s="196" t="str">
        <f t="shared" si="9"/>
        <v/>
      </c>
    </row>
    <row r="67" spans="1:11" s="6" customFormat="1" ht="15" customHeight="1" outlineLevel="1" x14ac:dyDescent="0.25">
      <c r="A67" s="57" t="s">
        <v>171</v>
      </c>
      <c r="B67" s="190">
        <f>+'N ESF'!B318</f>
        <v>0</v>
      </c>
      <c r="C67" s="190">
        <f>+'N ESF'!E318</f>
        <v>750</v>
      </c>
      <c r="D67" s="196">
        <f t="shared" si="5"/>
        <v>1</v>
      </c>
      <c r="E67" s="190">
        <f>+'N ESF'!H318</f>
        <v>0</v>
      </c>
      <c r="F67" s="196">
        <f t="shared" si="6"/>
        <v>-1</v>
      </c>
      <c r="G67" s="190">
        <f>+'N ESF'!K318</f>
        <v>0</v>
      </c>
      <c r="H67" s="196" t="str">
        <f t="shared" si="7"/>
        <v/>
      </c>
      <c r="I67" s="190">
        <f>+'N ESF'!N318</f>
        <v>0</v>
      </c>
      <c r="J67" s="196" t="str">
        <f t="shared" si="8"/>
        <v/>
      </c>
      <c r="K67" s="196" t="str">
        <f t="shared" si="9"/>
        <v/>
      </c>
    </row>
    <row r="68" spans="1:11" ht="15" customHeight="1" outlineLevel="1" x14ac:dyDescent="0.25">
      <c r="A68" s="57" t="s">
        <v>172</v>
      </c>
      <c r="B68" s="189">
        <f>+'N ESF'!B324</f>
        <v>0</v>
      </c>
      <c r="C68" s="189">
        <f>+'N ESF'!E324</f>
        <v>180</v>
      </c>
      <c r="D68" s="196">
        <f t="shared" ref="D68:D99" si="10">IF(AND(B68=0,C68&gt;0),100%,IF(AND(B68&lt;0,C68&gt;=0),(B68-C68)/B68,IF(AND(B68&gt;0,C68&gt;0),(C68-B68)/B68,IF(AND(B68=0,C68&lt;=0),"",(C68-B68)/B68))))</f>
        <v>1</v>
      </c>
      <c r="E68" s="189">
        <f>+'N ESF'!H324</f>
        <v>0</v>
      </c>
      <c r="F68" s="196">
        <f t="shared" ref="F68:F99" si="11">IF(AND(C68=0,E68&gt;0),100%,IF(AND(C68&lt;0,E68&gt;=0),(C68-E68)/C68,IF(AND(C68&gt;0,E68&gt;0),(E68-C68)/C68,IF(AND(C68=0,E68&lt;=0),"",(E68-C68)/C68))))</f>
        <v>-1</v>
      </c>
      <c r="G68" s="189">
        <f>+'N ESF'!K324</f>
        <v>0</v>
      </c>
      <c r="H68" s="196" t="str">
        <f t="shared" ref="H68:H99" si="12">IF(AND(E68=0,G68&gt;0),100%,IF(AND(E68&lt;0,G68&gt;=0),(E68-G68)/E68,IF(AND(E68&gt;0,G68&gt;0),(G68-E68)/E68,IF(AND(E68=0,G68&lt;=0),"",(G68-E68)/E68))))</f>
        <v/>
      </c>
      <c r="I68" s="189">
        <f>+'N ESF'!N324</f>
        <v>0</v>
      </c>
      <c r="J68" s="196" t="str">
        <f t="shared" ref="J68:J99" si="13">IF(AND(G68=0,I68&gt;0),100%,IF(AND(G68&lt;0,I68&gt;=0),(G68-I68)/G68,IF(AND(G68&gt;0,I68&gt;0),(I68-G68)/G68,IF(AND(G68=0,I68&lt;=0),"",(I68-G68)/G68))))</f>
        <v/>
      </c>
      <c r="K68" s="196" t="str">
        <f t="shared" ref="K68:K99" si="14">IF(AND(B68=0,I68&gt;0),100%,IF(AND(B68&lt;0,I68&gt;=0),(B68-I68)/B68,IF(AND(B68&gt;0,I68&gt;0),(I68-B68)/B68,IF(AND(B68=0,I68&lt;=0),"",(I68-B68)/B68))))</f>
        <v/>
      </c>
    </row>
    <row r="69" spans="1:11" s="8" customFormat="1" ht="15" customHeight="1" x14ac:dyDescent="0.25">
      <c r="A69" s="173" t="s">
        <v>173</v>
      </c>
      <c r="B69" s="188">
        <f>+SUM(B70:B77)</f>
        <v>0</v>
      </c>
      <c r="C69" s="188">
        <f>+SUM(C70:C77)</f>
        <v>12600</v>
      </c>
      <c r="D69" s="195">
        <f t="shared" si="10"/>
        <v>1</v>
      </c>
      <c r="E69" s="188">
        <f>+SUM(E70:E77)</f>
        <v>0</v>
      </c>
      <c r="F69" s="195">
        <f t="shared" si="11"/>
        <v>-1</v>
      </c>
      <c r="G69" s="188">
        <f>+SUM(G70:G77)</f>
        <v>0</v>
      </c>
      <c r="H69" s="195" t="str">
        <f t="shared" si="12"/>
        <v/>
      </c>
      <c r="I69" s="188">
        <f>+SUM(I70:I77)</f>
        <v>0</v>
      </c>
      <c r="J69" s="195" t="str">
        <f t="shared" si="13"/>
        <v/>
      </c>
      <c r="K69" s="195" t="str">
        <f t="shared" si="14"/>
        <v/>
      </c>
    </row>
    <row r="70" spans="1:11" s="6" customFormat="1" ht="15" customHeight="1" outlineLevel="1" x14ac:dyDescent="0.25">
      <c r="A70" s="58" t="s">
        <v>173</v>
      </c>
      <c r="B70" s="190">
        <f>+'N ESF'!B327</f>
        <v>0</v>
      </c>
      <c r="C70" s="190">
        <f>+'N ESF'!E327</f>
        <v>600</v>
      </c>
      <c r="D70" s="196">
        <f t="shared" si="10"/>
        <v>1</v>
      </c>
      <c r="E70" s="190">
        <f>+'N ESF'!H327</f>
        <v>0</v>
      </c>
      <c r="F70" s="196">
        <f t="shared" si="11"/>
        <v>-1</v>
      </c>
      <c r="G70" s="190">
        <f>+'N ESF'!K327</f>
        <v>0</v>
      </c>
      <c r="H70" s="196" t="str">
        <f t="shared" si="12"/>
        <v/>
      </c>
      <c r="I70" s="190">
        <f>+'N ESF'!N327</f>
        <v>0</v>
      </c>
      <c r="J70" s="196" t="str">
        <f t="shared" si="13"/>
        <v/>
      </c>
      <c r="K70" s="196" t="str">
        <f t="shared" si="14"/>
        <v/>
      </c>
    </row>
    <row r="71" spans="1:11" ht="15" customHeight="1" outlineLevel="1" x14ac:dyDescent="0.25">
      <c r="A71" s="57" t="s">
        <v>174</v>
      </c>
      <c r="B71" s="189">
        <f>+'N ESF'!B331</f>
        <v>0</v>
      </c>
      <c r="C71" s="189">
        <f>+'N ESF'!E331</f>
        <v>940</v>
      </c>
      <c r="D71" s="196">
        <f t="shared" si="10"/>
        <v>1</v>
      </c>
      <c r="E71" s="189">
        <f>+'N ESF'!H331</f>
        <v>0</v>
      </c>
      <c r="F71" s="196">
        <f t="shared" si="11"/>
        <v>-1</v>
      </c>
      <c r="G71" s="189">
        <f>+'N ESF'!K331</f>
        <v>0</v>
      </c>
      <c r="H71" s="196" t="str">
        <f t="shared" si="12"/>
        <v/>
      </c>
      <c r="I71" s="189">
        <f>+'N ESF'!N331</f>
        <v>0</v>
      </c>
      <c r="J71" s="196" t="str">
        <f t="shared" si="13"/>
        <v/>
      </c>
      <c r="K71" s="196" t="str">
        <f t="shared" si="14"/>
        <v/>
      </c>
    </row>
    <row r="72" spans="1:11" ht="15" customHeight="1" outlineLevel="1" x14ac:dyDescent="0.25">
      <c r="A72" s="57" t="s">
        <v>200</v>
      </c>
      <c r="B72" s="189">
        <f>+'N ESF'!B336</f>
        <v>0</v>
      </c>
      <c r="C72" s="189">
        <f>+'N ESF'!E336</f>
        <v>530</v>
      </c>
      <c r="D72" s="196">
        <f t="shared" si="10"/>
        <v>1</v>
      </c>
      <c r="E72" s="189">
        <f>+'N ESF'!H336</f>
        <v>0</v>
      </c>
      <c r="F72" s="196">
        <f t="shared" si="11"/>
        <v>-1</v>
      </c>
      <c r="G72" s="189">
        <f>+'N ESF'!K336</f>
        <v>0</v>
      </c>
      <c r="H72" s="196" t="str">
        <f t="shared" si="12"/>
        <v/>
      </c>
      <c r="I72" s="189">
        <f>+'N ESF'!N336</f>
        <v>0</v>
      </c>
      <c r="J72" s="196" t="str">
        <f t="shared" si="13"/>
        <v/>
      </c>
      <c r="K72" s="196" t="str">
        <f t="shared" si="14"/>
        <v/>
      </c>
    </row>
    <row r="73" spans="1:11" ht="15" customHeight="1" outlineLevel="1" x14ac:dyDescent="0.25">
      <c r="A73" s="57" t="s">
        <v>175</v>
      </c>
      <c r="B73" s="189">
        <f>+'N ESF'!B339</f>
        <v>0</v>
      </c>
      <c r="C73" s="189">
        <f>+'N ESF'!E339</f>
        <v>1500</v>
      </c>
      <c r="D73" s="196">
        <f t="shared" si="10"/>
        <v>1</v>
      </c>
      <c r="E73" s="189">
        <f>+'N ESF'!H339</f>
        <v>0</v>
      </c>
      <c r="F73" s="196">
        <f t="shared" si="11"/>
        <v>-1</v>
      </c>
      <c r="G73" s="189">
        <f>+'N ESF'!K339</f>
        <v>0</v>
      </c>
      <c r="H73" s="196" t="str">
        <f t="shared" si="12"/>
        <v/>
      </c>
      <c r="I73" s="189">
        <f>+'N ESF'!N339</f>
        <v>0</v>
      </c>
      <c r="J73" s="196" t="str">
        <f t="shared" si="13"/>
        <v/>
      </c>
      <c r="K73" s="196" t="str">
        <f t="shared" si="14"/>
        <v/>
      </c>
    </row>
    <row r="74" spans="1:11" ht="15" customHeight="1" outlineLevel="1" x14ac:dyDescent="0.25">
      <c r="A74" s="57" t="s">
        <v>176</v>
      </c>
      <c r="B74" s="189">
        <f>+'N ESF'!B345</f>
        <v>0</v>
      </c>
      <c r="C74" s="189">
        <f>+'N ESF'!E345</f>
        <v>1380</v>
      </c>
      <c r="D74" s="196">
        <f t="shared" si="10"/>
        <v>1</v>
      </c>
      <c r="E74" s="189">
        <f>+'N ESF'!H345</f>
        <v>0</v>
      </c>
      <c r="F74" s="196">
        <f t="shared" si="11"/>
        <v>-1</v>
      </c>
      <c r="G74" s="189">
        <f>+'N ESF'!K345</f>
        <v>0</v>
      </c>
      <c r="H74" s="196" t="str">
        <f t="shared" si="12"/>
        <v/>
      </c>
      <c r="I74" s="189">
        <f>+'N ESF'!N345</f>
        <v>0</v>
      </c>
      <c r="J74" s="196" t="str">
        <f t="shared" si="13"/>
        <v/>
      </c>
      <c r="K74" s="196" t="str">
        <f t="shared" si="14"/>
        <v/>
      </c>
    </row>
    <row r="75" spans="1:11" ht="15" customHeight="1" outlineLevel="1" x14ac:dyDescent="0.25">
      <c r="A75" s="57" t="s">
        <v>177</v>
      </c>
      <c r="B75" s="189">
        <f>+'N ESF'!B350</f>
        <v>0</v>
      </c>
      <c r="C75" s="189">
        <f>+'N ESF'!E350</f>
        <v>750</v>
      </c>
      <c r="D75" s="196">
        <f t="shared" si="10"/>
        <v>1</v>
      </c>
      <c r="E75" s="189">
        <f>+'N ESF'!H350</f>
        <v>0</v>
      </c>
      <c r="F75" s="196">
        <f t="shared" si="11"/>
        <v>-1</v>
      </c>
      <c r="G75" s="189">
        <f>+'N ESF'!K350</f>
        <v>0</v>
      </c>
      <c r="H75" s="196" t="str">
        <f t="shared" si="12"/>
        <v/>
      </c>
      <c r="I75" s="189">
        <f>+'N ESF'!N350</f>
        <v>0</v>
      </c>
      <c r="J75" s="196" t="str">
        <f t="shared" si="13"/>
        <v/>
      </c>
      <c r="K75" s="196" t="str">
        <f t="shared" si="14"/>
        <v/>
      </c>
    </row>
    <row r="76" spans="1:11" ht="15" customHeight="1" outlineLevel="1" x14ac:dyDescent="0.25">
      <c r="A76" s="57" t="s">
        <v>178</v>
      </c>
      <c r="B76" s="189">
        <f>+'N ESF'!B353</f>
        <v>0</v>
      </c>
      <c r="C76" s="189">
        <f>+'N ESF'!E353</f>
        <v>3870</v>
      </c>
      <c r="D76" s="196">
        <f t="shared" si="10"/>
        <v>1</v>
      </c>
      <c r="E76" s="189">
        <f>+'N ESF'!H353</f>
        <v>0</v>
      </c>
      <c r="F76" s="196">
        <f t="shared" si="11"/>
        <v>-1</v>
      </c>
      <c r="G76" s="189">
        <f>+'N ESF'!K353</f>
        <v>0</v>
      </c>
      <c r="H76" s="196" t="str">
        <f t="shared" si="12"/>
        <v/>
      </c>
      <c r="I76" s="189">
        <f>+'N ESF'!N353</f>
        <v>0</v>
      </c>
      <c r="J76" s="196" t="str">
        <f t="shared" si="13"/>
        <v/>
      </c>
      <c r="K76" s="196" t="str">
        <f t="shared" si="14"/>
        <v/>
      </c>
    </row>
    <row r="77" spans="1:11" ht="15" customHeight="1" outlineLevel="1" x14ac:dyDescent="0.25">
      <c r="A77" s="57" t="s">
        <v>179</v>
      </c>
      <c r="B77" s="189">
        <f>+'N ESF'!B363</f>
        <v>0</v>
      </c>
      <c r="C77" s="189">
        <f>+'N ESF'!E363</f>
        <v>3030</v>
      </c>
      <c r="D77" s="196">
        <f t="shared" si="10"/>
        <v>1</v>
      </c>
      <c r="E77" s="189">
        <f>+'N ESF'!H363</f>
        <v>0</v>
      </c>
      <c r="F77" s="196">
        <f t="shared" si="11"/>
        <v>-1</v>
      </c>
      <c r="G77" s="189">
        <f>+'N ESF'!K363</f>
        <v>0</v>
      </c>
      <c r="H77" s="196" t="str">
        <f t="shared" si="12"/>
        <v/>
      </c>
      <c r="I77" s="189">
        <f>+'N ESF'!N363</f>
        <v>0</v>
      </c>
      <c r="J77" s="196" t="str">
        <f t="shared" si="13"/>
        <v/>
      </c>
      <c r="K77" s="196" t="str">
        <f t="shared" si="14"/>
        <v/>
      </c>
    </row>
    <row r="78" spans="1:11" s="8" customFormat="1" ht="15" customHeight="1" x14ac:dyDescent="0.25">
      <c r="A78" s="173" t="s">
        <v>180</v>
      </c>
      <c r="B78" s="188">
        <f>+SUM(B79:B84)</f>
        <v>0</v>
      </c>
      <c r="C78" s="188">
        <f>+SUM(C79:C84)</f>
        <v>14950</v>
      </c>
      <c r="D78" s="195">
        <f t="shared" si="10"/>
        <v>1</v>
      </c>
      <c r="E78" s="188">
        <f>+SUM(E79:E84)</f>
        <v>0</v>
      </c>
      <c r="F78" s="195">
        <f t="shared" si="11"/>
        <v>-1</v>
      </c>
      <c r="G78" s="188">
        <f>+SUM(G79:G84)</f>
        <v>0</v>
      </c>
      <c r="H78" s="195" t="str">
        <f t="shared" si="12"/>
        <v/>
      </c>
      <c r="I78" s="188">
        <f>+SUM(I79:I84)</f>
        <v>0</v>
      </c>
      <c r="J78" s="195" t="str">
        <f t="shared" si="13"/>
        <v/>
      </c>
      <c r="K78" s="195" t="str">
        <f t="shared" si="14"/>
        <v/>
      </c>
    </row>
    <row r="79" spans="1:11" s="6" customFormat="1" ht="15" customHeight="1" outlineLevel="1" x14ac:dyDescent="0.25">
      <c r="A79" s="58" t="s">
        <v>140</v>
      </c>
      <c r="B79" s="191">
        <f>+'N ESF'!B371</f>
        <v>0</v>
      </c>
      <c r="C79" s="191">
        <f>+'N ESF'!E371</f>
        <v>2220</v>
      </c>
      <c r="D79" s="196">
        <f t="shared" si="10"/>
        <v>1</v>
      </c>
      <c r="E79" s="191">
        <f>+'N ESF'!H371</f>
        <v>0</v>
      </c>
      <c r="F79" s="196">
        <f t="shared" si="11"/>
        <v>-1</v>
      </c>
      <c r="G79" s="191">
        <f>+'N ESF'!K371</f>
        <v>0</v>
      </c>
      <c r="H79" s="196" t="str">
        <f t="shared" si="12"/>
        <v/>
      </c>
      <c r="I79" s="191">
        <f>+'N ESF'!N371</f>
        <v>0</v>
      </c>
      <c r="J79" s="196" t="str">
        <f t="shared" si="13"/>
        <v/>
      </c>
      <c r="K79" s="196" t="str">
        <f t="shared" si="14"/>
        <v/>
      </c>
    </row>
    <row r="80" spans="1:11" ht="15" customHeight="1" outlineLevel="1" x14ac:dyDescent="0.25">
      <c r="A80" s="57" t="s">
        <v>141</v>
      </c>
      <c r="B80" s="189">
        <f>+'N ESF'!B376</f>
        <v>0</v>
      </c>
      <c r="C80" s="189">
        <f>+'N ESF'!E376</f>
        <v>3000</v>
      </c>
      <c r="D80" s="196">
        <f t="shared" si="10"/>
        <v>1</v>
      </c>
      <c r="E80" s="189">
        <f>+'N ESF'!H376</f>
        <v>0</v>
      </c>
      <c r="F80" s="196">
        <f t="shared" si="11"/>
        <v>-1</v>
      </c>
      <c r="G80" s="189">
        <f>+'N ESF'!K376</f>
        <v>0</v>
      </c>
      <c r="H80" s="196" t="str">
        <f t="shared" si="12"/>
        <v/>
      </c>
      <c r="I80" s="189">
        <f>+'N ESF'!N376</f>
        <v>0</v>
      </c>
      <c r="J80" s="196" t="str">
        <f t="shared" si="13"/>
        <v/>
      </c>
      <c r="K80" s="196" t="str">
        <f t="shared" si="14"/>
        <v/>
      </c>
    </row>
    <row r="81" spans="1:11" ht="15" customHeight="1" outlineLevel="1" x14ac:dyDescent="0.25">
      <c r="A81" s="57" t="s">
        <v>136</v>
      </c>
      <c r="B81" s="189">
        <f>+'N ESF'!B382</f>
        <v>0</v>
      </c>
      <c r="C81" s="189">
        <f>+'N ESF'!E382</f>
        <v>1920</v>
      </c>
      <c r="D81" s="196">
        <f t="shared" si="10"/>
        <v>1</v>
      </c>
      <c r="E81" s="189">
        <f>+'N ESF'!H382</f>
        <v>0</v>
      </c>
      <c r="F81" s="196">
        <f t="shared" si="11"/>
        <v>-1</v>
      </c>
      <c r="G81" s="189">
        <f>+'N ESF'!K382</f>
        <v>0</v>
      </c>
      <c r="H81" s="196" t="str">
        <f t="shared" si="12"/>
        <v/>
      </c>
      <c r="I81" s="189">
        <f>+'N ESF'!N382</f>
        <v>0</v>
      </c>
      <c r="J81" s="196" t="str">
        <f t="shared" si="13"/>
        <v/>
      </c>
      <c r="K81" s="196" t="str">
        <f t="shared" si="14"/>
        <v/>
      </c>
    </row>
    <row r="82" spans="1:11" s="6" customFormat="1" ht="15" customHeight="1" outlineLevel="1" x14ac:dyDescent="0.25">
      <c r="A82" s="57" t="s">
        <v>142</v>
      </c>
      <c r="B82" s="191">
        <f>+'N ESF'!B386</f>
        <v>0</v>
      </c>
      <c r="C82" s="191">
        <f>+'N ESF'!E386</f>
        <v>660</v>
      </c>
      <c r="D82" s="196">
        <f t="shared" si="10"/>
        <v>1</v>
      </c>
      <c r="E82" s="191">
        <f>+'N ESF'!H386</f>
        <v>0</v>
      </c>
      <c r="F82" s="196">
        <f t="shared" si="11"/>
        <v>-1</v>
      </c>
      <c r="G82" s="191">
        <f>+'N ESF'!K386</f>
        <v>0</v>
      </c>
      <c r="H82" s="196" t="str">
        <f t="shared" si="12"/>
        <v/>
      </c>
      <c r="I82" s="191">
        <f>+'N ESF'!N386</f>
        <v>0</v>
      </c>
      <c r="J82" s="196" t="str">
        <f t="shared" si="13"/>
        <v/>
      </c>
      <c r="K82" s="196" t="str">
        <f t="shared" si="14"/>
        <v/>
      </c>
    </row>
    <row r="83" spans="1:11" s="6" customFormat="1" ht="15" customHeight="1" outlineLevel="1" x14ac:dyDescent="0.25">
      <c r="A83" s="57" t="s">
        <v>181</v>
      </c>
      <c r="B83" s="191">
        <f>+'N ESF'!B388</f>
        <v>0</v>
      </c>
      <c r="C83" s="191">
        <f>+'N ESF'!E388</f>
        <v>6390</v>
      </c>
      <c r="D83" s="196">
        <f t="shared" si="10"/>
        <v>1</v>
      </c>
      <c r="E83" s="191">
        <f>+'N ESF'!H388</f>
        <v>0</v>
      </c>
      <c r="F83" s="196">
        <f t="shared" si="11"/>
        <v>-1</v>
      </c>
      <c r="G83" s="191">
        <f>+'N ESF'!K388</f>
        <v>0</v>
      </c>
      <c r="H83" s="196" t="str">
        <f t="shared" si="12"/>
        <v/>
      </c>
      <c r="I83" s="191">
        <f>+'N ESF'!N388</f>
        <v>0</v>
      </c>
      <c r="J83" s="196" t="str">
        <f t="shared" si="13"/>
        <v/>
      </c>
      <c r="K83" s="196" t="str">
        <f t="shared" si="14"/>
        <v/>
      </c>
    </row>
    <row r="84" spans="1:11" s="6" customFormat="1" ht="15" customHeight="1" outlineLevel="1" x14ac:dyDescent="0.25">
      <c r="A84" s="57" t="s">
        <v>182</v>
      </c>
      <c r="B84" s="191">
        <f>+'N ESF'!B398</f>
        <v>0</v>
      </c>
      <c r="C84" s="191">
        <f>+'N ESF'!E398</f>
        <v>760</v>
      </c>
      <c r="D84" s="196">
        <f t="shared" si="10"/>
        <v>1</v>
      </c>
      <c r="E84" s="191">
        <f>+'N ESF'!H398</f>
        <v>0</v>
      </c>
      <c r="F84" s="196">
        <f t="shared" si="11"/>
        <v>-1</v>
      </c>
      <c r="G84" s="191">
        <f>+'N ESF'!K398</f>
        <v>0</v>
      </c>
      <c r="H84" s="196" t="str">
        <f t="shared" si="12"/>
        <v/>
      </c>
      <c r="I84" s="191">
        <f>+'N ESF'!N398</f>
        <v>0</v>
      </c>
      <c r="J84" s="196" t="str">
        <f t="shared" si="13"/>
        <v/>
      </c>
      <c r="K84" s="196" t="str">
        <f t="shared" si="14"/>
        <v/>
      </c>
    </row>
    <row r="85" spans="1:11" s="8" customFormat="1" ht="15" customHeight="1" x14ac:dyDescent="0.25">
      <c r="A85" s="173" t="s">
        <v>135</v>
      </c>
      <c r="B85" s="188">
        <f>+SUM(B86:B88)</f>
        <v>0</v>
      </c>
      <c r="C85" s="188">
        <f>+SUM(C86:C88)</f>
        <v>4770</v>
      </c>
      <c r="D85" s="195">
        <f t="shared" si="10"/>
        <v>1</v>
      </c>
      <c r="E85" s="188">
        <f>+SUM(E86:E88)</f>
        <v>0</v>
      </c>
      <c r="F85" s="195">
        <f t="shared" si="11"/>
        <v>-1</v>
      </c>
      <c r="G85" s="188">
        <f>+SUM(G86:G88)</f>
        <v>0</v>
      </c>
      <c r="H85" s="195" t="str">
        <f t="shared" si="12"/>
        <v/>
      </c>
      <c r="I85" s="188">
        <f>+SUM(I86:I88)</f>
        <v>0</v>
      </c>
      <c r="J85" s="195" t="str">
        <f t="shared" si="13"/>
        <v/>
      </c>
      <c r="K85" s="195" t="str">
        <f t="shared" si="14"/>
        <v/>
      </c>
    </row>
    <row r="86" spans="1:11" s="6" customFormat="1" ht="15" customHeight="1" outlineLevel="1" x14ac:dyDescent="0.25">
      <c r="A86" s="58" t="s">
        <v>183</v>
      </c>
      <c r="B86" s="190">
        <f>+'N ESF'!B401</f>
        <v>0</v>
      </c>
      <c r="C86" s="190">
        <f>+'N ESF'!E401</f>
        <v>770</v>
      </c>
      <c r="D86" s="196">
        <f t="shared" si="10"/>
        <v>1</v>
      </c>
      <c r="E86" s="190">
        <f>+'N ESF'!H401</f>
        <v>0</v>
      </c>
      <c r="F86" s="196">
        <f t="shared" si="11"/>
        <v>-1</v>
      </c>
      <c r="G86" s="190">
        <f>+'N ESF'!K401</f>
        <v>0</v>
      </c>
      <c r="H86" s="196" t="str">
        <f t="shared" si="12"/>
        <v/>
      </c>
      <c r="I86" s="190">
        <f>+'N ESF'!N401</f>
        <v>0</v>
      </c>
      <c r="J86" s="196" t="str">
        <f t="shared" si="13"/>
        <v/>
      </c>
      <c r="K86" s="196" t="str">
        <f t="shared" si="14"/>
        <v/>
      </c>
    </row>
    <row r="87" spans="1:11" ht="15" customHeight="1" outlineLevel="1" x14ac:dyDescent="0.25">
      <c r="A87" s="57" t="s">
        <v>184</v>
      </c>
      <c r="B87" s="189">
        <f>+'N ESF'!B403</f>
        <v>0</v>
      </c>
      <c r="C87" s="189">
        <f>+'N ESF'!E403</f>
        <v>3180</v>
      </c>
      <c r="D87" s="196">
        <f t="shared" si="10"/>
        <v>1</v>
      </c>
      <c r="E87" s="189">
        <f>+'N ESF'!H403</f>
        <v>0</v>
      </c>
      <c r="F87" s="196">
        <f t="shared" si="11"/>
        <v>-1</v>
      </c>
      <c r="G87" s="189">
        <f>+'N ESF'!K403</f>
        <v>0</v>
      </c>
      <c r="H87" s="196" t="str">
        <f t="shared" si="12"/>
        <v/>
      </c>
      <c r="I87" s="189">
        <f>+'N ESF'!N403</f>
        <v>0</v>
      </c>
      <c r="J87" s="196" t="str">
        <f t="shared" si="13"/>
        <v/>
      </c>
      <c r="K87" s="196" t="str">
        <f t="shared" si="14"/>
        <v/>
      </c>
    </row>
    <row r="88" spans="1:11" ht="15" customHeight="1" outlineLevel="1" x14ac:dyDescent="0.25">
      <c r="A88" s="57" t="s">
        <v>185</v>
      </c>
      <c r="B88" s="189">
        <f>+'N ESF'!B408</f>
        <v>0</v>
      </c>
      <c r="C88" s="189">
        <f>+'N ESF'!E408</f>
        <v>820</v>
      </c>
      <c r="D88" s="196">
        <f t="shared" si="10"/>
        <v>1</v>
      </c>
      <c r="E88" s="189">
        <f>+'N ESF'!H408</f>
        <v>0</v>
      </c>
      <c r="F88" s="196">
        <f t="shared" si="11"/>
        <v>-1</v>
      </c>
      <c r="G88" s="189">
        <f>+'N ESF'!K408</f>
        <v>0</v>
      </c>
      <c r="H88" s="196" t="str">
        <f t="shared" si="12"/>
        <v/>
      </c>
      <c r="I88" s="189">
        <f>+'N ESF'!N408</f>
        <v>0</v>
      </c>
      <c r="J88" s="196" t="str">
        <f t="shared" si="13"/>
        <v/>
      </c>
      <c r="K88" s="196" t="str">
        <f t="shared" si="14"/>
        <v/>
      </c>
    </row>
    <row r="89" spans="1:11" s="8" customFormat="1" ht="15" customHeight="1" x14ac:dyDescent="0.25">
      <c r="A89" s="173" t="s">
        <v>186</v>
      </c>
      <c r="B89" s="188">
        <f>+SUM(B90:B91)</f>
        <v>0</v>
      </c>
      <c r="C89" s="188">
        <f>+SUM(C90:C91)</f>
        <v>1670</v>
      </c>
      <c r="D89" s="195">
        <f t="shared" si="10"/>
        <v>1</v>
      </c>
      <c r="E89" s="188">
        <f>+SUM(E90:E91)</f>
        <v>0</v>
      </c>
      <c r="F89" s="195">
        <f t="shared" si="11"/>
        <v>-1</v>
      </c>
      <c r="G89" s="188">
        <f>+SUM(G90:G91)</f>
        <v>0</v>
      </c>
      <c r="H89" s="195" t="str">
        <f t="shared" si="12"/>
        <v/>
      </c>
      <c r="I89" s="188">
        <f>+SUM(I90:I91)</f>
        <v>0</v>
      </c>
      <c r="J89" s="195" t="str">
        <f t="shared" si="13"/>
        <v/>
      </c>
      <c r="K89" s="195" t="str">
        <f t="shared" si="14"/>
        <v/>
      </c>
    </row>
    <row r="90" spans="1:11" s="6" customFormat="1" ht="15" customHeight="1" outlineLevel="1" x14ac:dyDescent="0.25">
      <c r="A90" s="58" t="s">
        <v>698</v>
      </c>
      <c r="B90" s="190">
        <f>+'N ESF'!B411</f>
        <v>0</v>
      </c>
      <c r="C90" s="190">
        <f>+'N ESF'!E411</f>
        <v>1670</v>
      </c>
      <c r="D90" s="196">
        <f t="shared" si="10"/>
        <v>1</v>
      </c>
      <c r="E90" s="190">
        <f>+'N ESF'!H411</f>
        <v>0</v>
      </c>
      <c r="F90" s="196">
        <f t="shared" si="11"/>
        <v>-1</v>
      </c>
      <c r="G90" s="190">
        <f>+'N ESF'!K411</f>
        <v>0</v>
      </c>
      <c r="H90" s="196" t="str">
        <f t="shared" si="12"/>
        <v/>
      </c>
      <c r="I90" s="190">
        <f>+'N ESF'!N411</f>
        <v>0</v>
      </c>
      <c r="J90" s="196" t="str">
        <f t="shared" si="13"/>
        <v/>
      </c>
      <c r="K90" s="196" t="str">
        <f t="shared" si="14"/>
        <v/>
      </c>
    </row>
    <row r="91" spans="1:11" ht="15" customHeight="1" outlineLevel="1" x14ac:dyDescent="0.25">
      <c r="A91" s="57"/>
      <c r="B91" s="189"/>
      <c r="C91" s="189"/>
      <c r="D91" s="196" t="str">
        <f t="shared" si="10"/>
        <v/>
      </c>
      <c r="E91" s="189"/>
      <c r="F91" s="196" t="str">
        <f t="shared" si="11"/>
        <v/>
      </c>
      <c r="G91" s="189"/>
      <c r="H91" s="196" t="str">
        <f t="shared" si="12"/>
        <v/>
      </c>
      <c r="I91" s="189"/>
      <c r="J91" s="196" t="str">
        <f t="shared" si="13"/>
        <v/>
      </c>
      <c r="K91" s="196" t="str">
        <f t="shared" si="14"/>
        <v/>
      </c>
    </row>
    <row r="92" spans="1:11" s="8" customFormat="1" ht="15" customHeight="1" x14ac:dyDescent="0.25">
      <c r="A92" s="211" t="s">
        <v>188</v>
      </c>
      <c r="B92" s="212">
        <f>+B93</f>
        <v>0</v>
      </c>
      <c r="C92" s="212">
        <f>+C93</f>
        <v>28710</v>
      </c>
      <c r="D92" s="213">
        <f t="shared" si="10"/>
        <v>1</v>
      </c>
      <c r="E92" s="212">
        <f>+E93</f>
        <v>0</v>
      </c>
      <c r="F92" s="213">
        <f t="shared" si="11"/>
        <v>-1</v>
      </c>
      <c r="G92" s="212">
        <f>+G93</f>
        <v>0</v>
      </c>
      <c r="H92" s="213" t="str">
        <f t="shared" si="12"/>
        <v/>
      </c>
      <c r="I92" s="212">
        <f>+I93</f>
        <v>0</v>
      </c>
      <c r="J92" s="213" t="str">
        <f t="shared" si="13"/>
        <v/>
      </c>
      <c r="K92" s="213" t="str">
        <f t="shared" si="14"/>
        <v/>
      </c>
    </row>
    <row r="93" spans="1:11" s="8" customFormat="1" ht="15" customHeight="1" x14ac:dyDescent="0.25">
      <c r="A93" s="174" t="s">
        <v>700</v>
      </c>
      <c r="B93" s="188">
        <f>+SUM(B94:B96)</f>
        <v>0</v>
      </c>
      <c r="C93" s="188">
        <f>+SUM(C94:C96)</f>
        <v>28710</v>
      </c>
      <c r="D93" s="195">
        <f t="shared" si="10"/>
        <v>1</v>
      </c>
      <c r="E93" s="188">
        <f>+SUM(E94:E96)</f>
        <v>0</v>
      </c>
      <c r="F93" s="195">
        <f t="shared" si="11"/>
        <v>-1</v>
      </c>
      <c r="G93" s="188">
        <f>+SUM(G94:G96)</f>
        <v>0</v>
      </c>
      <c r="H93" s="195" t="str">
        <f t="shared" si="12"/>
        <v/>
      </c>
      <c r="I93" s="188">
        <f>+SUM(I94:I96)</f>
        <v>0</v>
      </c>
      <c r="J93" s="195" t="str">
        <f t="shared" si="13"/>
        <v/>
      </c>
      <c r="K93" s="195" t="str">
        <f t="shared" si="14"/>
        <v/>
      </c>
    </row>
    <row r="94" spans="1:11" s="18" customFormat="1" ht="15" customHeight="1" outlineLevel="1" x14ac:dyDescent="0.25">
      <c r="A94" s="58" t="s">
        <v>733</v>
      </c>
      <c r="B94" s="190">
        <f>+'N ESF'!B417</f>
        <v>0</v>
      </c>
      <c r="C94" s="190">
        <f>+'N ESF'!E417</f>
        <v>1710</v>
      </c>
      <c r="D94" s="196">
        <f t="shared" si="10"/>
        <v>1</v>
      </c>
      <c r="E94" s="190">
        <f>+'N ESF'!H417</f>
        <v>0</v>
      </c>
      <c r="F94" s="196">
        <f t="shared" si="11"/>
        <v>-1</v>
      </c>
      <c r="G94" s="190">
        <f>+'N ESF'!K417</f>
        <v>0</v>
      </c>
      <c r="H94" s="196" t="str">
        <f t="shared" si="12"/>
        <v/>
      </c>
      <c r="I94" s="190">
        <f>+'N ESF'!N417</f>
        <v>0</v>
      </c>
      <c r="J94" s="196" t="str">
        <f t="shared" si="13"/>
        <v/>
      </c>
      <c r="K94" s="196" t="str">
        <f t="shared" si="14"/>
        <v/>
      </c>
    </row>
    <row r="95" spans="1:11" ht="15" customHeight="1" outlineLevel="1" x14ac:dyDescent="0.25">
      <c r="A95" s="57" t="s">
        <v>189</v>
      </c>
      <c r="B95" s="190">
        <f>+'N ESF'!B420</f>
        <v>0</v>
      </c>
      <c r="C95" s="190">
        <f>+'N ESF'!E420</f>
        <v>23640</v>
      </c>
      <c r="D95" s="196">
        <f t="shared" si="10"/>
        <v>1</v>
      </c>
      <c r="E95" s="190">
        <f>+'N ESF'!H420</f>
        <v>0</v>
      </c>
      <c r="F95" s="196">
        <f t="shared" si="11"/>
        <v>-1</v>
      </c>
      <c r="G95" s="190">
        <f>+'N ESF'!K420</f>
        <v>0</v>
      </c>
      <c r="H95" s="196" t="str">
        <f t="shared" si="12"/>
        <v/>
      </c>
      <c r="I95" s="190">
        <f>+'N ESF'!N420</f>
        <v>0</v>
      </c>
      <c r="J95" s="196" t="str">
        <f t="shared" si="13"/>
        <v/>
      </c>
      <c r="K95" s="196" t="str">
        <f t="shared" si="14"/>
        <v/>
      </c>
    </row>
    <row r="96" spans="1:11" ht="15" customHeight="1" outlineLevel="1" x14ac:dyDescent="0.25">
      <c r="A96" s="57" t="s">
        <v>745</v>
      </c>
      <c r="B96" s="190">
        <f>+'N ESF'!B445</f>
        <v>0</v>
      </c>
      <c r="C96" s="190">
        <f>+'N ESF'!E445</f>
        <v>3360</v>
      </c>
      <c r="D96" s="196">
        <f t="shared" si="10"/>
        <v>1</v>
      </c>
      <c r="E96" s="190">
        <f>+'N ESF'!H445</f>
        <v>0</v>
      </c>
      <c r="F96" s="196">
        <f t="shared" si="11"/>
        <v>-1</v>
      </c>
      <c r="G96" s="190">
        <f>+'N ESF'!K445</f>
        <v>0</v>
      </c>
      <c r="H96" s="196" t="str">
        <f t="shared" si="12"/>
        <v/>
      </c>
      <c r="I96" s="190">
        <f>+'N ESF'!N445</f>
        <v>0</v>
      </c>
      <c r="J96" s="196" t="str">
        <f t="shared" si="13"/>
        <v/>
      </c>
      <c r="K96" s="196" t="str">
        <f t="shared" si="14"/>
        <v/>
      </c>
    </row>
    <row r="97" spans="1:17" ht="15" customHeight="1" outlineLevel="1" x14ac:dyDescent="0.25">
      <c r="A97" s="57"/>
      <c r="B97" s="189"/>
      <c r="C97" s="189"/>
      <c r="D97" s="196" t="str">
        <f t="shared" si="10"/>
        <v/>
      </c>
      <c r="E97" s="189"/>
      <c r="F97" s="196" t="str">
        <f t="shared" si="11"/>
        <v/>
      </c>
      <c r="G97" s="189"/>
      <c r="H97" s="196" t="str">
        <f t="shared" si="12"/>
        <v/>
      </c>
      <c r="I97" s="189"/>
      <c r="J97" s="196" t="str">
        <f t="shared" si="13"/>
        <v/>
      </c>
      <c r="K97" s="196" t="str">
        <f t="shared" si="14"/>
        <v/>
      </c>
    </row>
    <row r="98" spans="1:17" s="1" customFormat="1" ht="15" customHeight="1" x14ac:dyDescent="0.25">
      <c r="A98" s="211" t="s">
        <v>190</v>
      </c>
      <c r="B98" s="212">
        <f>+B61+B92</f>
        <v>0</v>
      </c>
      <c r="C98" s="212">
        <f>+C61+C92</f>
        <v>260710</v>
      </c>
      <c r="D98" s="213">
        <f t="shared" si="10"/>
        <v>1</v>
      </c>
      <c r="E98" s="212">
        <f>+E61+E92</f>
        <v>0</v>
      </c>
      <c r="F98" s="213">
        <f t="shared" si="11"/>
        <v>-1</v>
      </c>
      <c r="G98" s="212">
        <f>+G61+G92</f>
        <v>0</v>
      </c>
      <c r="H98" s="213" t="str">
        <f t="shared" si="12"/>
        <v/>
      </c>
      <c r="I98" s="212">
        <f>+I61+I92</f>
        <v>0</v>
      </c>
      <c r="J98" s="213" t="str">
        <f t="shared" si="13"/>
        <v/>
      </c>
      <c r="K98" s="213" t="str">
        <f t="shared" si="14"/>
        <v/>
      </c>
    </row>
    <row r="99" spans="1:17" s="8" customFormat="1" ht="15" customHeight="1" x14ac:dyDescent="0.25">
      <c r="A99" s="208" t="s">
        <v>191</v>
      </c>
      <c r="B99" s="209">
        <f>+SUM(B100:B104)</f>
        <v>0</v>
      </c>
      <c r="C99" s="209">
        <f>+SUM(C100:C104)</f>
        <v>9900</v>
      </c>
      <c r="D99" s="210">
        <f t="shared" si="10"/>
        <v>1</v>
      </c>
      <c r="E99" s="209">
        <f>+SUM(E100:E104)</f>
        <v>3710</v>
      </c>
      <c r="F99" s="210">
        <f t="shared" si="11"/>
        <v>-0.62525252525252528</v>
      </c>
      <c r="G99" s="209">
        <f>+SUM(G100:G104)</f>
        <v>3710</v>
      </c>
      <c r="H99" s="210">
        <f t="shared" si="12"/>
        <v>0</v>
      </c>
      <c r="I99" s="209">
        <f>+SUM(I100:I104)</f>
        <v>3710</v>
      </c>
      <c r="J99" s="210">
        <f t="shared" si="13"/>
        <v>0</v>
      </c>
      <c r="K99" s="210">
        <f t="shared" si="14"/>
        <v>1</v>
      </c>
    </row>
    <row r="100" spans="1:17" s="3" customFormat="1" ht="15" customHeight="1" x14ac:dyDescent="0.25">
      <c r="A100" s="56" t="s">
        <v>192</v>
      </c>
      <c r="B100" s="192">
        <f>+'N ESF'!B452</f>
        <v>0</v>
      </c>
      <c r="C100" s="192">
        <f>+'N ESF'!E452</f>
        <v>1140</v>
      </c>
      <c r="D100" s="196">
        <f t="shared" ref="D100:D105" si="15">IF(AND(B100=0,C100&gt;0),100%,IF(AND(B100&lt;0,C100&gt;=0),(B100-C100)/B100,IF(AND(B100&gt;0,C100&gt;0),(C100-B100)/B100,IF(AND(B100=0,C100&lt;=0),"",(C100-B100)/B100))))</f>
        <v>1</v>
      </c>
      <c r="E100" s="192">
        <f>+'N ESF'!H452</f>
        <v>0</v>
      </c>
      <c r="F100" s="196">
        <f t="shared" ref="F100:F105" si="16">IF(AND(C100=0,E100&gt;0),100%,IF(AND(C100&lt;0,E100&gt;=0),(C100-E100)/C100,IF(AND(C100&gt;0,E100&gt;0),(E100-C100)/C100,IF(AND(C100=0,E100&lt;=0),"",(E100-C100)/C100))))</f>
        <v>-1</v>
      </c>
      <c r="G100" s="192">
        <f>+'N ESF'!K452</f>
        <v>0</v>
      </c>
      <c r="H100" s="196" t="str">
        <f t="shared" ref="H100:H105" si="17">IF(AND(E100=0,G100&gt;0),100%,IF(AND(E100&lt;0,G100&gt;=0),(E100-G100)/E100,IF(AND(E100&gt;0,G100&gt;0),(G100-E100)/E100,IF(AND(E100=0,G100&lt;=0),"",(G100-E100)/E100))))</f>
        <v/>
      </c>
      <c r="I100" s="192">
        <f>+'N ESF'!N452</f>
        <v>0</v>
      </c>
      <c r="J100" s="196" t="str">
        <f t="shared" ref="J100:J105" si="18">IF(AND(G100=0,I100&gt;0),100%,IF(AND(G100&lt;0,I100&gt;=0),(G100-I100)/G100,IF(AND(G100&gt;0,I100&gt;0),(I100-G100)/G100,IF(AND(G100=0,I100&lt;=0),"",(I100-G100)/G100))))</f>
        <v/>
      </c>
      <c r="K100" s="196" t="str">
        <f t="shared" ref="K100:K105" si="19">IF(AND(B100=0,I100&gt;0),100%,IF(AND(B100&lt;0,I100&gt;=0),(B100-I100)/B100,IF(AND(B100&gt;0,I100&gt;0),(I100-B100)/B100,IF(AND(B100=0,I100&lt;=0),"",(I100-B100)/B100))))</f>
        <v/>
      </c>
    </row>
    <row r="101" spans="1:17" s="3" customFormat="1" ht="15" customHeight="1" x14ac:dyDescent="0.25">
      <c r="A101" s="56" t="s">
        <v>193</v>
      </c>
      <c r="B101" s="192">
        <f>+'N ESF'!B454</f>
        <v>0</v>
      </c>
      <c r="C101" s="192">
        <f>+'N ESF'!E454</f>
        <v>1150</v>
      </c>
      <c r="D101" s="196">
        <f t="shared" si="15"/>
        <v>1</v>
      </c>
      <c r="E101" s="192">
        <f>+'N ESF'!H454</f>
        <v>0</v>
      </c>
      <c r="F101" s="196">
        <f t="shared" si="16"/>
        <v>-1</v>
      </c>
      <c r="G101" s="192">
        <f>+'N ESF'!K454</f>
        <v>0</v>
      </c>
      <c r="H101" s="196" t="str">
        <f t="shared" si="17"/>
        <v/>
      </c>
      <c r="I101" s="192">
        <f>+'N ESF'!N454</f>
        <v>0</v>
      </c>
      <c r="J101" s="196" t="str">
        <f t="shared" si="18"/>
        <v/>
      </c>
      <c r="K101" s="196" t="str">
        <f t="shared" si="19"/>
        <v/>
      </c>
    </row>
    <row r="102" spans="1:17" s="3" customFormat="1" ht="15" customHeight="1" x14ac:dyDescent="0.25">
      <c r="A102" s="56" t="s">
        <v>194</v>
      </c>
      <c r="B102" s="192">
        <f>+'N ESF'!B456</f>
        <v>0</v>
      </c>
      <c r="C102" s="192">
        <f>+'N ESF'!E456</f>
        <v>3510</v>
      </c>
      <c r="D102" s="196">
        <f t="shared" si="15"/>
        <v>1</v>
      </c>
      <c r="E102" s="192">
        <f>+'N ESF'!H456</f>
        <v>0</v>
      </c>
      <c r="F102" s="196">
        <f t="shared" si="16"/>
        <v>-1</v>
      </c>
      <c r="G102" s="192">
        <f>+'N ESF'!K456</f>
        <v>0</v>
      </c>
      <c r="H102" s="196" t="str">
        <f t="shared" si="17"/>
        <v/>
      </c>
      <c r="I102" s="192">
        <f>+'N ESF'!N456</f>
        <v>0</v>
      </c>
      <c r="J102" s="196" t="str">
        <f t="shared" si="18"/>
        <v/>
      </c>
      <c r="K102" s="196" t="str">
        <f t="shared" si="19"/>
        <v/>
      </c>
    </row>
    <row r="103" spans="1:17" s="3" customFormat="1" ht="15" customHeight="1" x14ac:dyDescent="0.25">
      <c r="A103" s="56" t="s">
        <v>195</v>
      </c>
      <c r="B103" s="192">
        <f>+'N ESF'!B460</f>
        <v>0</v>
      </c>
      <c r="C103" s="192">
        <f>+'N ESF'!E460</f>
        <v>390</v>
      </c>
      <c r="D103" s="196">
        <f t="shared" si="15"/>
        <v>1</v>
      </c>
      <c r="E103" s="192">
        <f>+'N ESF'!H460</f>
        <v>0</v>
      </c>
      <c r="F103" s="196">
        <f t="shared" si="16"/>
        <v>-1</v>
      </c>
      <c r="G103" s="192">
        <f>+'N ESF'!K460</f>
        <v>0</v>
      </c>
      <c r="H103" s="196" t="str">
        <f t="shared" si="17"/>
        <v/>
      </c>
      <c r="I103" s="192">
        <f>+'N ESF'!N460</f>
        <v>0</v>
      </c>
      <c r="J103" s="196" t="str">
        <f t="shared" si="18"/>
        <v/>
      </c>
      <c r="K103" s="196" t="str">
        <f t="shared" si="19"/>
        <v/>
      </c>
      <c r="L103" s="21"/>
      <c r="O103" s="21"/>
      <c r="P103" s="22"/>
    </row>
    <row r="104" spans="1:17" s="3" customFormat="1" ht="15" customHeight="1" x14ac:dyDescent="0.25">
      <c r="A104" s="56" t="s">
        <v>196</v>
      </c>
      <c r="B104" s="192">
        <f>+'EERR RODEO'!B139</f>
        <v>0</v>
      </c>
      <c r="C104" s="192">
        <f>+'EERR RODEO'!S139</f>
        <v>3710</v>
      </c>
      <c r="D104" s="196">
        <f t="shared" si="15"/>
        <v>1</v>
      </c>
      <c r="E104" s="192">
        <f>+'EERR RODEO'!AQ139</f>
        <v>3710</v>
      </c>
      <c r="F104" s="196">
        <f t="shared" si="16"/>
        <v>0</v>
      </c>
      <c r="G104" s="192">
        <f>+'EERR RODEO'!BU139</f>
        <v>3710</v>
      </c>
      <c r="H104" s="196">
        <f t="shared" si="17"/>
        <v>0</v>
      </c>
      <c r="I104" s="192">
        <f>+'EERR RODEO'!CS139</f>
        <v>3710</v>
      </c>
      <c r="J104" s="196">
        <f t="shared" si="18"/>
        <v>0</v>
      </c>
      <c r="K104" s="196">
        <f t="shared" si="19"/>
        <v>1</v>
      </c>
    </row>
    <row r="105" spans="1:17" s="1" customFormat="1" ht="15" customHeight="1" collapsed="1" thickBot="1" x14ac:dyDescent="0.3">
      <c r="A105" s="214" t="s">
        <v>197</v>
      </c>
      <c r="B105" s="215">
        <f>+B98+B99</f>
        <v>0</v>
      </c>
      <c r="C105" s="215">
        <f>+C98+C99</f>
        <v>270610</v>
      </c>
      <c r="D105" s="216">
        <f t="shared" si="15"/>
        <v>1</v>
      </c>
      <c r="E105" s="215">
        <f>+E98+E99</f>
        <v>3710</v>
      </c>
      <c r="F105" s="216">
        <f t="shared" si="16"/>
        <v>-0.98629023317689668</v>
      </c>
      <c r="G105" s="215">
        <f>+G98+G99</f>
        <v>3710</v>
      </c>
      <c r="H105" s="216">
        <f t="shared" si="17"/>
        <v>0</v>
      </c>
      <c r="I105" s="215">
        <f>+I98+I99</f>
        <v>3710</v>
      </c>
      <c r="J105" s="216">
        <f t="shared" si="18"/>
        <v>0</v>
      </c>
      <c r="K105" s="216">
        <f t="shared" si="19"/>
        <v>1</v>
      </c>
      <c r="L105" s="23"/>
      <c r="M105" s="23"/>
      <c r="N105" s="23"/>
      <c r="O105" s="23"/>
    </row>
    <row r="106" spans="1:17" s="3" customFormat="1" ht="22.9" customHeight="1" thickBot="1" x14ac:dyDescent="0.3">
      <c r="B106" s="193">
        <f>+B60-B105</f>
        <v>0</v>
      </c>
      <c r="C106" s="194">
        <f>+C60-C105</f>
        <v>2000</v>
      </c>
      <c r="D106" s="13"/>
      <c r="E106" s="20">
        <f>+E60-E105</f>
        <v>-3710</v>
      </c>
      <c r="F106" s="13"/>
      <c r="G106" s="20">
        <f>+G60-G105</f>
        <v>-3710</v>
      </c>
      <c r="H106" s="13"/>
      <c r="I106" s="20">
        <f>+I60-I105</f>
        <v>-3710</v>
      </c>
      <c r="J106" s="13"/>
      <c r="K106" s="24"/>
      <c r="L106" s="24"/>
      <c r="M106" s="24"/>
      <c r="N106" s="24"/>
      <c r="O106" s="24"/>
    </row>
    <row r="107" spans="1:17" s="3" customFormat="1" ht="15" customHeight="1" x14ac:dyDescent="0.25">
      <c r="A107" s="60" t="s">
        <v>198</v>
      </c>
      <c r="B107" s="199">
        <f t="shared" ref="B107:J107" ca="1" si="20">+B3</f>
        <v>2025</v>
      </c>
      <c r="C107" s="61" t="str">
        <f t="shared" si="20"/>
        <v xml:space="preserve">Q1 </v>
      </c>
      <c r="D107" s="64" t="str">
        <f t="shared" si="20"/>
        <v>Vari Rel.</v>
      </c>
      <c r="E107" s="61" t="str">
        <f t="shared" si="20"/>
        <v xml:space="preserve">Q2 </v>
      </c>
      <c r="F107" s="64" t="str">
        <f t="shared" si="20"/>
        <v>Vari Rel.</v>
      </c>
      <c r="G107" s="61" t="str">
        <f t="shared" si="20"/>
        <v xml:space="preserve">Q3 </v>
      </c>
      <c r="H107" s="64" t="str">
        <f t="shared" si="20"/>
        <v>Vari Rel.</v>
      </c>
      <c r="I107" s="61" t="str">
        <f t="shared" si="20"/>
        <v xml:space="preserve">Q4 </v>
      </c>
      <c r="J107" s="64" t="str">
        <f t="shared" si="20"/>
        <v>Vari Rel.</v>
      </c>
      <c r="K107" s="61" t="s">
        <v>791</v>
      </c>
      <c r="L107" s="64" t="str">
        <f>+J107</f>
        <v>Vari Rel.</v>
      </c>
      <c r="M107" s="24"/>
      <c r="N107" s="24"/>
      <c r="O107" s="24"/>
      <c r="P107" s="24"/>
      <c r="Q107" s="24"/>
    </row>
    <row r="108" spans="1:17" s="3" customFormat="1" ht="15" customHeight="1" x14ac:dyDescent="0.25">
      <c r="A108" s="62" t="s">
        <v>212</v>
      </c>
      <c r="B108" s="200">
        <f>+'EERR RODEO'!B4</f>
        <v>0</v>
      </c>
      <c r="C108" s="204">
        <f>+'EERR RODEO'!S4</f>
        <v>13800</v>
      </c>
      <c r="D108" s="186"/>
      <c r="E108" s="204">
        <f>'EERR RODEO'!AQ4-C108</f>
        <v>0</v>
      </c>
      <c r="F108" s="186">
        <f t="shared" ref="F108:F127" si="21">IF(AND(C108=0,E108&gt;0),100%,IF(AND(C108&lt;0,E108&gt;=0),(C108-E108)/C108,IF(AND(C108&gt;0,E108&gt;0),(E108-C108)/C108,IF(AND(C108=0,E108&lt;=0),"",(E108-C108)/C108))))</f>
        <v>-1</v>
      </c>
      <c r="G108" s="204">
        <f>'EERR RODEO'!BU4-E108-C108</f>
        <v>0</v>
      </c>
      <c r="H108" s="186" t="str">
        <f>IF(AND(E108=0,G108&gt;0),100%,IF(AND(E108&lt;0,G108&gt;=0),(E108-G108)/E108,IF(AND(E108&gt;0,G108&gt;0),(G108-E108)/E108,IF(AND(E108=0,G108&lt;=0),"",(G108-E108)/E108))))</f>
        <v/>
      </c>
      <c r="I108" s="204">
        <f>'EERR RODEO'!CS4-G108-E108-C108</f>
        <v>0</v>
      </c>
      <c r="J108" s="186" t="str">
        <f t="shared" ref="J108:J127" si="22">IF(AND(G108=0,I108&gt;0),100%,IF(AND(G108&lt;0,I108&gt;=0),(G108-I108)/G108,IF(AND(G108&gt;0,I108&gt;0),(I108-G108)/G108,IF(AND(G108=0,I108&lt;=0),"",(I108-G108)/G108))))</f>
        <v/>
      </c>
      <c r="K108" s="204">
        <f>+'EERR RODEO'!CS4</f>
        <v>13800</v>
      </c>
      <c r="L108" s="186">
        <f t="shared" ref="L108:L127" si="23">IF(AND(B108=0,K108&gt;0),100%,IF(AND(B108&lt;0,K108&gt;=0),(B108-K108)/B108,IF(AND(B108&gt;0,K108&gt;0),(K108-B108)/B108,IF(AND(B108=0,K108&lt;=0),"",(K108-B108)/B108))))</f>
        <v>1</v>
      </c>
      <c r="M108" s="24"/>
      <c r="N108" s="24"/>
      <c r="O108" s="24"/>
      <c r="P108" s="24"/>
      <c r="Q108" s="24"/>
    </row>
    <row r="109" spans="1:17" s="3" customFormat="1" ht="15" customHeight="1" x14ac:dyDescent="0.25">
      <c r="A109" s="62" t="s">
        <v>213</v>
      </c>
      <c r="B109" s="200">
        <f>+'EERR RODEO'!B22</f>
        <v>0</v>
      </c>
      <c r="C109" s="204">
        <f>+'EERR RODEO'!S22</f>
        <v>9050</v>
      </c>
      <c r="D109" s="186"/>
      <c r="E109" s="204">
        <f>'EERR RODEO'!AQ22-C109</f>
        <v>0</v>
      </c>
      <c r="F109" s="186">
        <f t="shared" si="21"/>
        <v>-1</v>
      </c>
      <c r="G109" s="204">
        <f>'EERR RODEO'!BU22-E109-C109</f>
        <v>0</v>
      </c>
      <c r="H109" s="186" t="str">
        <f t="shared" ref="H109:H127" si="24">IF(AND(E109=0,G109&gt;0),100%,IF(AND(E109&lt;0,G109&gt;=0),(E109-G109)/E109,IF(AND(E109&gt;0,G109&gt;0),(G109-E109)/E109,IF(AND(E109=0,G109&lt;=0),"",(G109-E109)/E109))))</f>
        <v/>
      </c>
      <c r="I109" s="204">
        <f>'EERR RODEO'!CS22-G109-E109-C109</f>
        <v>0</v>
      </c>
      <c r="J109" s="186" t="str">
        <f t="shared" si="22"/>
        <v/>
      </c>
      <c r="K109" s="204">
        <f>'EERR RODEO'!CS22</f>
        <v>9050</v>
      </c>
      <c r="L109" s="186">
        <f t="shared" si="23"/>
        <v>1</v>
      </c>
      <c r="M109" s="24"/>
      <c r="N109" s="24"/>
      <c r="O109" s="24"/>
      <c r="P109" s="24"/>
      <c r="Q109" s="24"/>
    </row>
    <row r="110" spans="1:17" s="3" customFormat="1" ht="15" customHeight="1" x14ac:dyDescent="0.25">
      <c r="A110" s="62" t="s">
        <v>59</v>
      </c>
      <c r="B110" s="200">
        <f>+B108-B109</f>
        <v>0</v>
      </c>
      <c r="C110" s="204">
        <f>+'EERR RODEO'!S36</f>
        <v>4750</v>
      </c>
      <c r="D110" s="186"/>
      <c r="E110" s="204">
        <f>+E108-E109</f>
        <v>0</v>
      </c>
      <c r="F110" s="186">
        <f t="shared" si="21"/>
        <v>-1</v>
      </c>
      <c r="G110" s="204">
        <f>+G108-G109</f>
        <v>0</v>
      </c>
      <c r="H110" s="186" t="str">
        <f t="shared" si="24"/>
        <v/>
      </c>
      <c r="I110" s="204">
        <f>+I108-I109</f>
        <v>0</v>
      </c>
      <c r="J110" s="186" t="str">
        <f t="shared" si="22"/>
        <v/>
      </c>
      <c r="K110" s="204">
        <f>+K108-K109</f>
        <v>4750</v>
      </c>
      <c r="L110" s="186">
        <f t="shared" si="23"/>
        <v>1</v>
      </c>
      <c r="M110" s="24"/>
      <c r="N110" s="24"/>
      <c r="O110" s="24"/>
      <c r="P110" s="24"/>
      <c r="Q110" s="24"/>
    </row>
    <row r="111" spans="1:17" s="3" customFormat="1" ht="15" customHeight="1" x14ac:dyDescent="0.25">
      <c r="A111" s="62" t="s">
        <v>216</v>
      </c>
      <c r="B111" s="203" t="str">
        <f>+IFERROR(B110/B108, "")</f>
        <v/>
      </c>
      <c r="C111" s="205">
        <f>+'EERR RODEO'!T36</f>
        <v>0.34420289855072461</v>
      </c>
      <c r="D111" s="186"/>
      <c r="E111" s="205" t="str">
        <f>+IFERROR(E110/E108, "")</f>
        <v/>
      </c>
      <c r="F111" s="186" t="e">
        <f t="shared" si="21"/>
        <v>#VALUE!</v>
      </c>
      <c r="G111" s="205" t="str">
        <f>+IFERROR(G110/G108, "")</f>
        <v/>
      </c>
      <c r="H111" s="186" t="e">
        <f t="shared" si="24"/>
        <v>#VALUE!</v>
      </c>
      <c r="I111" s="205" t="str">
        <f>+IFERROR(I110/I108, "")</f>
        <v/>
      </c>
      <c r="J111" s="186" t="e">
        <f t="shared" si="22"/>
        <v>#VALUE!</v>
      </c>
      <c r="K111" s="205">
        <f>+IFERROR(K110/K108, "")</f>
        <v>0.34420289855072461</v>
      </c>
      <c r="L111" s="186" t="e">
        <f t="shared" si="23"/>
        <v>#VALUE!</v>
      </c>
      <c r="M111" s="24"/>
      <c r="N111" s="24"/>
      <c r="O111" s="24"/>
      <c r="P111" s="24"/>
      <c r="Q111" s="24"/>
    </row>
    <row r="112" spans="1:17" s="3" customFormat="1" ht="15" customHeight="1" x14ac:dyDescent="0.25">
      <c r="A112" s="62" t="s">
        <v>772</v>
      </c>
      <c r="B112" s="200">
        <f>+'EERR RODEO'!B38</f>
        <v>0</v>
      </c>
      <c r="C112" s="204">
        <f>+'EERR RODEO'!S38</f>
        <v>1410</v>
      </c>
      <c r="D112" s="186"/>
      <c r="E112" s="204">
        <f>+'EERR RODEO'!AQ38-C112</f>
        <v>0</v>
      </c>
      <c r="F112" s="186">
        <f t="shared" si="21"/>
        <v>-1</v>
      </c>
      <c r="G112" s="204">
        <f>+'EERR RODEO'!BU38-E112-C112</f>
        <v>0</v>
      </c>
      <c r="H112" s="186" t="str">
        <f t="shared" si="24"/>
        <v/>
      </c>
      <c r="I112" s="204">
        <f>+'EERR RODEO'!CS38-G112-E112-C112</f>
        <v>0</v>
      </c>
      <c r="J112" s="186" t="str">
        <f t="shared" si="22"/>
        <v/>
      </c>
      <c r="K112" s="204">
        <f>+'EERR RODEO'!CS38</f>
        <v>1410</v>
      </c>
      <c r="L112" s="186">
        <f t="shared" si="23"/>
        <v>1</v>
      </c>
      <c r="M112" s="24"/>
      <c r="N112" s="24"/>
      <c r="O112" s="24"/>
      <c r="P112" s="24"/>
      <c r="Q112" s="24"/>
    </row>
    <row r="113" spans="1:18" s="3" customFormat="1" ht="15" customHeight="1" x14ac:dyDescent="0.25">
      <c r="A113" s="62" t="s">
        <v>773</v>
      </c>
      <c r="B113" s="200">
        <f>+B110-B112</f>
        <v>0</v>
      </c>
      <c r="C113" s="204">
        <f>+C110-C112</f>
        <v>3340</v>
      </c>
      <c r="D113" s="186"/>
      <c r="E113" s="204">
        <f>+E110-E112</f>
        <v>0</v>
      </c>
      <c r="F113" s="186">
        <f t="shared" si="21"/>
        <v>-1</v>
      </c>
      <c r="G113" s="204">
        <f>+G110-G112</f>
        <v>0</v>
      </c>
      <c r="H113" s="186" t="str">
        <f t="shared" si="24"/>
        <v/>
      </c>
      <c r="I113" s="204">
        <f>+I110-I112</f>
        <v>0</v>
      </c>
      <c r="J113" s="186" t="str">
        <f t="shared" si="22"/>
        <v/>
      </c>
      <c r="K113" s="204">
        <f>+K110-K112</f>
        <v>3340</v>
      </c>
      <c r="L113" s="186">
        <f t="shared" si="23"/>
        <v>1</v>
      </c>
      <c r="M113" s="24"/>
      <c r="N113" s="24"/>
      <c r="O113" s="24"/>
      <c r="P113" s="24"/>
      <c r="Q113" s="24"/>
    </row>
    <row r="114" spans="1:18" s="3" customFormat="1" ht="15" customHeight="1" x14ac:dyDescent="0.25">
      <c r="A114" s="62" t="s">
        <v>774</v>
      </c>
      <c r="B114" s="200">
        <f>+'EERR RODEO'!B125-'EERR RODEO'!B116</f>
        <v>0</v>
      </c>
      <c r="C114" s="204">
        <f>+'EERR RODEO'!S125-'EERR RODEO'!S116</f>
        <v>370</v>
      </c>
      <c r="D114" s="186"/>
      <c r="E114" s="204">
        <f>+'EERR RODEO'!AQ125-'EERR RODEO'!AQ116-C114</f>
        <v>0</v>
      </c>
      <c r="F114" s="186">
        <f t="shared" si="21"/>
        <v>-1</v>
      </c>
      <c r="G114" s="204">
        <f>+'EERR RODEO'!BU125-'EERR RODEO'!BU116-E114-C114</f>
        <v>0</v>
      </c>
      <c r="H114" s="186" t="str">
        <f t="shared" si="24"/>
        <v/>
      </c>
      <c r="I114" s="204">
        <f>+'EERR RODEO'!CS125-'EERR RODEO'!CS116-G114-E114-C114</f>
        <v>0</v>
      </c>
      <c r="J114" s="186" t="str">
        <f t="shared" si="22"/>
        <v/>
      </c>
      <c r="K114" s="204">
        <f>+'EERR RODEO'!CS125-'EERR RODEO'!CS116</f>
        <v>370</v>
      </c>
      <c r="L114" s="186">
        <f t="shared" si="23"/>
        <v>1</v>
      </c>
      <c r="M114" s="24"/>
      <c r="N114" s="24"/>
      <c r="O114" s="24"/>
      <c r="P114" s="24"/>
      <c r="Q114" s="24"/>
    </row>
    <row r="115" spans="1:18" s="3" customFormat="1" ht="15" customHeight="1" x14ac:dyDescent="0.25">
      <c r="A115" s="62" t="s">
        <v>775</v>
      </c>
      <c r="B115" s="200">
        <f>+B113+B114</f>
        <v>0</v>
      </c>
      <c r="C115" s="204">
        <f>+C113+C114</f>
        <v>3710</v>
      </c>
      <c r="D115" s="186"/>
      <c r="E115" s="204">
        <f>+E113+E114</f>
        <v>0</v>
      </c>
      <c r="F115" s="186">
        <f t="shared" si="21"/>
        <v>-1</v>
      </c>
      <c r="G115" s="204">
        <f>+G113+G114</f>
        <v>0</v>
      </c>
      <c r="H115" s="186" t="str">
        <f t="shared" si="24"/>
        <v/>
      </c>
      <c r="I115" s="204">
        <f>+I113+I114</f>
        <v>0</v>
      </c>
      <c r="J115" s="186" t="str">
        <f t="shared" si="22"/>
        <v/>
      </c>
      <c r="K115" s="204">
        <f>+K113+K114</f>
        <v>3710</v>
      </c>
      <c r="L115" s="186">
        <f t="shared" si="23"/>
        <v>1</v>
      </c>
      <c r="M115" s="24"/>
      <c r="N115" s="24"/>
      <c r="O115" s="24"/>
      <c r="P115" s="24"/>
      <c r="Q115" s="24"/>
    </row>
    <row r="116" spans="1:18" s="3" customFormat="1" ht="15" customHeight="1" x14ac:dyDescent="0.25">
      <c r="A116" s="62" t="s">
        <v>28</v>
      </c>
      <c r="B116" s="200">
        <f>+'EERR RODEO'!B138</f>
        <v>0</v>
      </c>
      <c r="C116" s="204">
        <v>0</v>
      </c>
      <c r="D116" s="186"/>
      <c r="E116" s="204">
        <v>0</v>
      </c>
      <c r="F116" s="186" t="str">
        <f t="shared" si="21"/>
        <v/>
      </c>
      <c r="G116" s="204">
        <v>0</v>
      </c>
      <c r="H116" s="186" t="str">
        <f t="shared" si="24"/>
        <v/>
      </c>
      <c r="I116" s="204">
        <v>0</v>
      </c>
      <c r="J116" s="186" t="str">
        <f t="shared" si="22"/>
        <v/>
      </c>
      <c r="K116" s="204">
        <f>+'EERR RODEO'!CS138</f>
        <v>0</v>
      </c>
      <c r="L116" s="186" t="str">
        <f t="shared" si="23"/>
        <v/>
      </c>
      <c r="M116" s="24"/>
      <c r="N116" s="24"/>
      <c r="O116" s="24"/>
      <c r="P116" s="24"/>
      <c r="Q116" s="24"/>
    </row>
    <row r="117" spans="1:18" s="3" customFormat="1" ht="15" customHeight="1" x14ac:dyDescent="0.25">
      <c r="A117" s="62" t="s">
        <v>114</v>
      </c>
      <c r="B117" s="200">
        <f>+B115-B116</f>
        <v>0</v>
      </c>
      <c r="C117" s="204">
        <f>+C115-C116</f>
        <v>3710</v>
      </c>
      <c r="D117" s="186"/>
      <c r="E117" s="204">
        <f>+E115-E116</f>
        <v>0</v>
      </c>
      <c r="F117" s="186">
        <f>IF(AND(C117=0,E117&gt;0),100%,IF(AND(C117&lt;0,E117&gt;=0),(C117-E117)/C117,IF(AND(C117&gt;0,E117&gt;0),(E117-C117)/C117,IF(AND(C117=0,E117&lt;=0),"",(E117-C117)/C117))))</f>
        <v>-1</v>
      </c>
      <c r="G117" s="204">
        <f>+G115-G116</f>
        <v>0</v>
      </c>
      <c r="H117" s="186" t="str">
        <f t="shared" si="24"/>
        <v/>
      </c>
      <c r="I117" s="204">
        <f>+I115-I116</f>
        <v>0</v>
      </c>
      <c r="J117" s="186" t="str">
        <f t="shared" si="22"/>
        <v/>
      </c>
      <c r="K117" s="204">
        <f>+K115-K116</f>
        <v>3710</v>
      </c>
      <c r="L117" s="186">
        <f>IF(AND(B117=0,K117&gt;0),100%,IF(AND(B117&lt;0,K117&gt;=0),(B117-K117)/B117,IF(AND(B117&gt;0,K117&gt;0),(K117-B117)/B117,IF(AND(B117=0,K117&lt;=0),"",(K117-B117)/B117))))</f>
        <v>1</v>
      </c>
      <c r="M117" s="24"/>
      <c r="N117" s="24"/>
      <c r="O117" s="24"/>
      <c r="P117" s="24"/>
      <c r="Q117" s="24"/>
    </row>
    <row r="118" spans="1:18" s="3" customFormat="1" ht="15" customHeight="1" x14ac:dyDescent="0.25">
      <c r="A118" s="62" t="s">
        <v>217</v>
      </c>
      <c r="B118" s="203" t="str">
        <f>+IFERROR(B117/B108, "")</f>
        <v/>
      </c>
      <c r="C118" s="205">
        <f>+IFERROR(C117/C108, "")</f>
        <v>0.26884057971014491</v>
      </c>
      <c r="D118" s="186"/>
      <c r="E118" s="205" t="str">
        <f>+IFERROR(E117/E108, "")</f>
        <v/>
      </c>
      <c r="F118" s="186" t="e">
        <f t="shared" ref="F118" si="25">IF(AND(C118=0,E118&gt;0),100%,IF(AND(C118&lt;0,E118&gt;=0),(C118-E118)/C118,IF(AND(C118&gt;0,E118&gt;0),(E118-C118)/C118,IF(AND(C118=0,E118&lt;=0),"",(E118-C118)/C118))))</f>
        <v>#VALUE!</v>
      </c>
      <c r="G118" s="205" t="str">
        <f>+IFERROR(G117/G108, "")</f>
        <v/>
      </c>
      <c r="H118" s="186" t="e">
        <f t="shared" si="24"/>
        <v>#VALUE!</v>
      </c>
      <c r="I118" s="205" t="str">
        <f>+IFERROR(I117/I108, "")</f>
        <v/>
      </c>
      <c r="J118" s="186" t="e">
        <f t="shared" si="22"/>
        <v>#VALUE!</v>
      </c>
      <c r="K118" s="205">
        <f>+IFERROR(K117/K108, "")</f>
        <v>0.26884057971014491</v>
      </c>
      <c r="L118" s="186" t="e">
        <f t="shared" ref="L118" si="26">IF(AND(B118=0,K118&gt;0),100%,IF(AND(B118&lt;0,K118&gt;=0),(B118-K118)/B118,IF(AND(B118&gt;0,K118&gt;0),(K118-B118)/B118,IF(AND(B118=0,K118&lt;=0),"",(K118-B118)/B118))))</f>
        <v>#VALUE!</v>
      </c>
      <c r="R118" s="25"/>
    </row>
    <row r="119" spans="1:18" s="3" customFormat="1" ht="15" customHeight="1" x14ac:dyDescent="0.25">
      <c r="A119" s="62" t="s">
        <v>202</v>
      </c>
      <c r="B119" s="203" t="str">
        <f>+IFERROR('EERR RODEO'!B139/'ESF RODEO'!B99, "")</f>
        <v/>
      </c>
      <c r="C119" s="205">
        <f>+IFERROR(C104/C99, "")</f>
        <v>0.37474747474747477</v>
      </c>
      <c r="D119" s="186"/>
      <c r="E119" s="205">
        <f>+IFERROR((E104-C104)/((E99+C99)/2), "")</f>
        <v>0</v>
      </c>
      <c r="F119" s="186">
        <f t="shared" si="21"/>
        <v>-1</v>
      </c>
      <c r="G119" s="205">
        <f>+IFERROR((G104-E104)/((G99+E99)/2), "")</f>
        <v>0</v>
      </c>
      <c r="H119" s="186" t="str">
        <f t="shared" si="24"/>
        <v/>
      </c>
      <c r="I119" s="205">
        <f>+IFERROR((I104-G104)/((I99+G99)/2), "")</f>
        <v>0</v>
      </c>
      <c r="J119" s="186" t="str">
        <f t="shared" si="22"/>
        <v/>
      </c>
      <c r="K119" s="205">
        <f>+IFERROR(I104/((B99+I99)/2), "")</f>
        <v>2</v>
      </c>
      <c r="L119" s="186" t="e">
        <f t="shared" si="23"/>
        <v>#VALUE!</v>
      </c>
      <c r="M119" s="217"/>
    </row>
    <row r="120" spans="1:18" s="3" customFormat="1" ht="15" customHeight="1" x14ac:dyDescent="0.25">
      <c r="A120" s="62" t="s">
        <v>214</v>
      </c>
      <c r="B120" s="200" t="str">
        <f>IFERROR(B33*12/'EERR RODEO'!B22, "")</f>
        <v/>
      </c>
      <c r="C120" s="204">
        <f>+IFERROR(C33*3/'EERR RODEO'!S22, "")</f>
        <v>2.3767955801104974</v>
      </c>
      <c r="D120" s="186"/>
      <c r="E120" s="204" t="str">
        <f>IFERROR(3/(('EERR RODEO'!AQ23-'EERR RODEO'!S23)/(('ESF RODEO'!C33+'ESF RODEO'!E33)/2)), "")</f>
        <v/>
      </c>
      <c r="F120" s="186" t="e">
        <f t="shared" si="21"/>
        <v>#VALUE!</v>
      </c>
      <c r="G120" s="204" t="str">
        <f>IFERROR(3/(('EERR RODEO'!BU23-'EERR RODEO'!AQ23)/(('ESF RODEO'!E33+'ESF RODEO'!G33)/2)), "")</f>
        <v/>
      </c>
      <c r="H120" s="186" t="e">
        <f t="shared" si="24"/>
        <v>#VALUE!</v>
      </c>
      <c r="I120" s="204" t="str">
        <f>IFERROR(3/(('EERR RODEO'!CS23-'EERR RODEO'!BU23)/(('ESF RODEO'!G33+'ESF RODEO'!I33)/2)), "")</f>
        <v/>
      </c>
      <c r="J120" s="186" t="e">
        <f t="shared" si="22"/>
        <v>#VALUE!</v>
      </c>
      <c r="K120" s="204">
        <f>IFERROR(I33*12/K109, "")</f>
        <v>0</v>
      </c>
      <c r="L120" s="186" t="e">
        <f t="shared" si="23"/>
        <v>#VALUE!</v>
      </c>
    </row>
    <row r="121" spans="1:18" s="3" customFormat="1" ht="15" customHeight="1" x14ac:dyDescent="0.25">
      <c r="A121" s="62" t="s">
        <v>215</v>
      </c>
      <c r="B121" s="201" t="str">
        <f>IFERROR(B108/'ESF RODEO'!B60, "")</f>
        <v/>
      </c>
      <c r="C121" s="206">
        <f>IFERROR('EERR RODEO'!S4/'ESF RODEO'!C60, "")</f>
        <v>5.0621767359964785E-2</v>
      </c>
      <c r="D121" s="186"/>
      <c r="E121" s="206">
        <f>+IFERROR((E108)/((E60+C60)/2), "")</f>
        <v>0</v>
      </c>
      <c r="F121" s="186">
        <f t="shared" si="21"/>
        <v>-1</v>
      </c>
      <c r="G121" s="206" t="str">
        <f>+IFERROR((G108)/((G60+E60)/2), "")</f>
        <v/>
      </c>
      <c r="H121" s="186">
        <f t="shared" si="24"/>
        <v>1</v>
      </c>
      <c r="I121" s="206" t="str">
        <f>+IFERROR((I108)/((I60+G60)/2), "")</f>
        <v/>
      </c>
      <c r="J121" s="186" t="e">
        <f t="shared" si="22"/>
        <v>#VALUE!</v>
      </c>
      <c r="K121" s="206" t="str">
        <f>+IFERROR((K108)/((B60+I60)/2), "")</f>
        <v/>
      </c>
      <c r="L121" s="186" t="e">
        <f t="shared" si="23"/>
        <v>#VALUE!</v>
      </c>
    </row>
    <row r="122" spans="1:18" s="3" customFormat="1" ht="15" customHeight="1" x14ac:dyDescent="0.25">
      <c r="A122" s="62" t="s">
        <v>218</v>
      </c>
      <c r="B122" s="203" t="str">
        <f>+IFERROR(B104/B60, "")</f>
        <v/>
      </c>
      <c r="C122" s="205">
        <f>+IFERROR(C104/C60, "")</f>
        <v>1.3609185283005025E-2</v>
      </c>
      <c r="D122" s="186"/>
      <c r="E122" s="205">
        <f>+IFERROR((E104-C104)/((E60+C60)/2), "")</f>
        <v>0</v>
      </c>
      <c r="F122" s="186">
        <f t="shared" si="21"/>
        <v>-1</v>
      </c>
      <c r="G122" s="205" t="str">
        <f>+IFERROR((G104-E104)/((G60+E60)/2), "")</f>
        <v/>
      </c>
      <c r="H122" s="186">
        <f t="shared" si="24"/>
        <v>1</v>
      </c>
      <c r="I122" s="205" t="str">
        <f>+IFERROR((I104-G104)/((I60+G60)/2), "")</f>
        <v/>
      </c>
      <c r="J122" s="186" t="e">
        <f t="shared" si="22"/>
        <v>#VALUE!</v>
      </c>
      <c r="K122" s="205" t="str">
        <f>+IFERROR(I104/((B60+I60)/2), "")</f>
        <v/>
      </c>
      <c r="L122" s="186" t="e">
        <f t="shared" si="23"/>
        <v>#VALUE!</v>
      </c>
    </row>
    <row r="123" spans="1:18" s="3" customFormat="1" ht="15" customHeight="1" x14ac:dyDescent="0.25">
      <c r="A123" s="62" t="s">
        <v>203</v>
      </c>
      <c r="B123" s="200" t="str">
        <f>+IFERROR(B14/B108*365, "")</f>
        <v/>
      </c>
      <c r="C123" s="204">
        <f>+IFERROR(C14/'EERR RODEO'!S4*90, "")</f>
        <v>139.95652173913044</v>
      </c>
      <c r="D123" s="186"/>
      <c r="E123" s="204" t="str">
        <f>+ IFERROR((((E14+C14)/2)/(E108))*90, "")</f>
        <v/>
      </c>
      <c r="F123" s="186" t="e">
        <f t="shared" si="21"/>
        <v>#VALUE!</v>
      </c>
      <c r="G123" s="204" t="str">
        <f>+IFERROR((((G14+E14)/2)/(G108))*90, "")</f>
        <v/>
      </c>
      <c r="H123" s="186" t="e">
        <f t="shared" si="24"/>
        <v>#VALUE!</v>
      </c>
      <c r="I123" s="204" t="str">
        <f>+IFERROR((((I14+G14)/2)/(I108))*90, "")</f>
        <v/>
      </c>
      <c r="J123" s="186" t="e">
        <f t="shared" si="22"/>
        <v>#VALUE!</v>
      </c>
      <c r="K123" s="204">
        <f>+IFERROR((((B14+I14)/2)/(K108))*365, "")</f>
        <v>0</v>
      </c>
      <c r="L123" s="186" t="e">
        <f t="shared" si="23"/>
        <v>#VALUE!</v>
      </c>
    </row>
    <row r="124" spans="1:18" s="3" customFormat="1" ht="15" customHeight="1" x14ac:dyDescent="0.25">
      <c r="A124" s="62" t="s">
        <v>761</v>
      </c>
      <c r="B124" s="201" t="str">
        <f>+IFERROR(B4/B61, "")</f>
        <v/>
      </c>
      <c r="C124" s="206">
        <f>+IFERROR(C4/C61, "")</f>
        <v>0.36702586206896554</v>
      </c>
      <c r="D124" s="186"/>
      <c r="E124" s="206" t="str">
        <f>+IFERROR(E4/E61, "")</f>
        <v/>
      </c>
      <c r="F124" s="186" t="e">
        <f t="shared" si="21"/>
        <v>#VALUE!</v>
      </c>
      <c r="G124" s="206" t="str">
        <f>+IFERROR(G4/G61, "")</f>
        <v/>
      </c>
      <c r="H124" s="186" t="e">
        <f t="shared" si="24"/>
        <v>#VALUE!</v>
      </c>
      <c r="I124" s="206" t="str">
        <f>+IFERROR(I4/I61, "")</f>
        <v/>
      </c>
      <c r="J124" s="186" t="e">
        <f t="shared" si="22"/>
        <v>#VALUE!</v>
      </c>
      <c r="K124" s="206" t="str">
        <f>+IFERROR(I4/I61, "")</f>
        <v/>
      </c>
      <c r="L124" s="186" t="e">
        <f t="shared" si="23"/>
        <v>#VALUE!</v>
      </c>
    </row>
    <row r="125" spans="1:18" s="3" customFormat="1" ht="15" customHeight="1" x14ac:dyDescent="0.25">
      <c r="A125" s="62" t="s">
        <v>762</v>
      </c>
      <c r="B125" s="201" t="str">
        <f>+IFERROR(B98/B99, "")</f>
        <v/>
      </c>
      <c r="C125" s="206">
        <f>+IFERROR(C98/C99, "")</f>
        <v>26.334343434343435</v>
      </c>
      <c r="D125" s="186"/>
      <c r="E125" s="206">
        <f>+IFERROR(E98/E99, "")</f>
        <v>0</v>
      </c>
      <c r="F125" s="186">
        <f t="shared" si="21"/>
        <v>-1</v>
      </c>
      <c r="G125" s="206">
        <f>+IFERROR(G98/G99, "")</f>
        <v>0</v>
      </c>
      <c r="H125" s="186" t="str">
        <f t="shared" si="24"/>
        <v/>
      </c>
      <c r="I125" s="206">
        <f>+IFERROR(I98/I99, "")</f>
        <v>0</v>
      </c>
      <c r="J125" s="186" t="str">
        <f t="shared" si="22"/>
        <v/>
      </c>
      <c r="K125" s="206">
        <f>+IFERROR(I98/I99, "")</f>
        <v>0</v>
      </c>
      <c r="L125" s="186" t="e">
        <f t="shared" si="23"/>
        <v>#VALUE!</v>
      </c>
    </row>
    <row r="126" spans="1:18" s="3" customFormat="1" ht="15" customHeight="1" x14ac:dyDescent="0.25">
      <c r="A126" s="62" t="s">
        <v>209</v>
      </c>
      <c r="B126" s="201" t="str">
        <f>+IFERROR((B4-B33)/B61, "")</f>
        <v/>
      </c>
      <c r="C126" s="197">
        <f>+ IFERROR((C4-C33)/C61, "")</f>
        <v>0.33612068965517239</v>
      </c>
      <c r="D126" s="186"/>
      <c r="E126" s="197" t="str">
        <f>+IFERROR((E4-E33)/E61, "")</f>
        <v/>
      </c>
      <c r="F126" s="186" t="e">
        <f t="shared" si="21"/>
        <v>#VALUE!</v>
      </c>
      <c r="G126" s="197" t="str">
        <f>+IFERROR((G4-G33)/G61, "")</f>
        <v/>
      </c>
      <c r="H126" s="186" t="e">
        <f t="shared" si="24"/>
        <v>#VALUE!</v>
      </c>
      <c r="I126" s="197" t="str">
        <f>+IFERROR((I4-I33)/I61, "")</f>
        <v/>
      </c>
      <c r="J126" s="186" t="e">
        <f>IF(AND(G126=0,I126&gt;0),100%,IF(AND(G126&lt;0,I126&gt;=0),(G126-I126)/G126,IF(AND(G126&gt;0,I126&gt;0),(I126-G126)/G126,IF(AND(G126=0,I126&lt;=0),"",(I126-G126)/G126))))</f>
        <v>#VALUE!</v>
      </c>
      <c r="K126" s="197" t="str">
        <f>+IFERROR((I4-I33)/I61, "")</f>
        <v/>
      </c>
      <c r="L126" s="186" t="e">
        <f t="shared" si="23"/>
        <v>#VALUE!</v>
      </c>
    </row>
    <row r="127" spans="1:18" s="3" customFormat="1" ht="15" customHeight="1" thickBot="1" x14ac:dyDescent="0.3">
      <c r="A127" s="63" t="s">
        <v>210</v>
      </c>
      <c r="B127" s="202" t="str">
        <f>+IFERROR(B5/B61, "")</f>
        <v/>
      </c>
      <c r="C127" s="198">
        <f>+IFERROR(C5/C61, "")</f>
        <v>7.6293103448275862E-2</v>
      </c>
      <c r="D127" s="187"/>
      <c r="E127" s="198" t="str">
        <f>+IFERROR(E5/E61, "")</f>
        <v/>
      </c>
      <c r="F127" s="187" t="e">
        <f t="shared" si="21"/>
        <v>#VALUE!</v>
      </c>
      <c r="G127" s="198" t="str">
        <f>+IFERROR(G5/G61, "")</f>
        <v/>
      </c>
      <c r="H127" s="187" t="e">
        <f t="shared" si="24"/>
        <v>#VALUE!</v>
      </c>
      <c r="I127" s="198" t="str">
        <f>+IFERROR(I5/I61, "")</f>
        <v/>
      </c>
      <c r="J127" s="187" t="e">
        <f t="shared" si="22"/>
        <v>#VALUE!</v>
      </c>
      <c r="K127" s="198" t="str">
        <f>+IFERROR(I5/I61, "")</f>
        <v/>
      </c>
      <c r="L127" s="187" t="e">
        <f t="shared" si="23"/>
        <v>#VALUE!</v>
      </c>
    </row>
    <row r="128" spans="1:18" s="3" customFormat="1" ht="15" customHeight="1" thickBot="1" x14ac:dyDescent="0.3">
      <c r="B128" s="182"/>
      <c r="C128" s="12"/>
      <c r="D128" s="15"/>
      <c r="E128" s="12"/>
      <c r="F128" s="15"/>
      <c r="G128" s="12"/>
      <c r="H128" s="15"/>
      <c r="I128" s="12"/>
      <c r="J128" s="15"/>
    </row>
    <row r="129" spans="1:12" s="3" customFormat="1" ht="15" customHeight="1" x14ac:dyDescent="0.25">
      <c r="A129" s="60" t="s">
        <v>204</v>
      </c>
      <c r="B129" s="61">
        <f ca="1">+B3</f>
        <v>2025</v>
      </c>
      <c r="C129" s="61" t="str">
        <f>+C3</f>
        <v xml:space="preserve">Q1 </v>
      </c>
      <c r="D129" s="64" t="s">
        <v>208</v>
      </c>
      <c r="E129" s="61" t="str">
        <f>+E3</f>
        <v xml:space="preserve">Q2 </v>
      </c>
      <c r="F129" s="64" t="s">
        <v>208</v>
      </c>
      <c r="G129" s="61" t="str">
        <f>+G3</f>
        <v xml:space="preserve">Q3 </v>
      </c>
      <c r="H129" s="64" t="s">
        <v>208</v>
      </c>
      <c r="I129" s="61" t="str">
        <f>+I3</f>
        <v xml:space="preserve">Q4 </v>
      </c>
      <c r="J129" s="64" t="s">
        <v>208</v>
      </c>
      <c r="K129" s="61" t="str">
        <f>+K107</f>
        <v>AÑO ACTUAL</v>
      </c>
      <c r="L129" s="64" t="s">
        <v>208</v>
      </c>
    </row>
    <row r="130" spans="1:12" s="3" customFormat="1" ht="15" customHeight="1" x14ac:dyDescent="0.25">
      <c r="A130" s="65" t="s">
        <v>777</v>
      </c>
      <c r="B130" s="183">
        <f>+(D130*'EERR RODEO'!$B$4*2%)</f>
        <v>0</v>
      </c>
      <c r="C130" s="71">
        <f>+(D130*$C$108*2%)</f>
        <v>96.600000000000009</v>
      </c>
      <c r="D130" s="68">
        <v>0.35</v>
      </c>
      <c r="E130" s="71">
        <f>+(F130*$E$108*2%)</f>
        <v>0</v>
      </c>
      <c r="F130" s="68">
        <v>0.35</v>
      </c>
      <c r="G130" s="71">
        <f>+(H130*$G$108*2%)</f>
        <v>0</v>
      </c>
      <c r="H130" s="68">
        <v>0.35</v>
      </c>
      <c r="I130" s="71">
        <f>+(J130*$I$108*2%)</f>
        <v>0</v>
      </c>
      <c r="J130" s="68">
        <v>0.35</v>
      </c>
      <c r="K130" s="71">
        <f>+(L130*$K$108*2%)</f>
        <v>96.600000000000009</v>
      </c>
      <c r="L130" s="68">
        <v>0.35</v>
      </c>
    </row>
    <row r="131" spans="1:12" s="3" customFormat="1" ht="15" customHeight="1" x14ac:dyDescent="0.25">
      <c r="A131" s="65" t="s">
        <v>778</v>
      </c>
      <c r="B131" s="183">
        <f>+(D131*'EERR RODEO'!$B$4*2%)</f>
        <v>0</v>
      </c>
      <c r="C131" s="71">
        <f t="shared" ref="C131:C137" si="27">+(D131*$C$108*2%)</f>
        <v>20.7</v>
      </c>
      <c r="D131" s="68">
        <v>7.4999999999999997E-2</v>
      </c>
      <c r="E131" s="71">
        <f t="shared" ref="E131:E137" si="28">+(F131*$E$108*2%)</f>
        <v>0</v>
      </c>
      <c r="F131" s="68">
        <v>7.4999999999999997E-2</v>
      </c>
      <c r="G131" s="71">
        <f t="shared" ref="G131:G137" si="29">+(H131*$G$108*2%)</f>
        <v>0</v>
      </c>
      <c r="H131" s="68">
        <v>7.4999999999999997E-2</v>
      </c>
      <c r="I131" s="71">
        <f t="shared" ref="I131:I137" si="30">+(J131*$I$108*2%)</f>
        <v>0</v>
      </c>
      <c r="J131" s="68">
        <v>7.4999999999999997E-2</v>
      </c>
      <c r="K131" s="71">
        <f t="shared" ref="K131:K136" si="31">+(L131*$K$108*2%)</f>
        <v>20.7</v>
      </c>
      <c r="L131" s="68">
        <v>7.4999999999999997E-2</v>
      </c>
    </row>
    <row r="132" spans="1:12" s="3" customFormat="1" ht="15" customHeight="1" x14ac:dyDescent="0.25">
      <c r="A132" s="65" t="s">
        <v>779</v>
      </c>
      <c r="B132" s="183">
        <f>+(D132*'EERR RODEO'!$B$4*2%)</f>
        <v>0</v>
      </c>
      <c r="C132" s="71">
        <f t="shared" si="27"/>
        <v>20.7</v>
      </c>
      <c r="D132" s="68">
        <v>7.4999999999999997E-2</v>
      </c>
      <c r="E132" s="71">
        <f t="shared" si="28"/>
        <v>0</v>
      </c>
      <c r="F132" s="68">
        <v>7.4999999999999997E-2</v>
      </c>
      <c r="G132" s="71">
        <f t="shared" si="29"/>
        <v>0</v>
      </c>
      <c r="H132" s="68">
        <v>7.4999999999999997E-2</v>
      </c>
      <c r="I132" s="71">
        <f t="shared" si="30"/>
        <v>0</v>
      </c>
      <c r="J132" s="68">
        <v>7.4999999999999997E-2</v>
      </c>
      <c r="K132" s="71">
        <f t="shared" si="31"/>
        <v>20.7</v>
      </c>
      <c r="L132" s="68">
        <v>7.4999999999999997E-2</v>
      </c>
    </row>
    <row r="133" spans="1:12" s="3" customFormat="1" ht="15" customHeight="1" x14ac:dyDescent="0.25">
      <c r="A133" s="65" t="s">
        <v>780</v>
      </c>
      <c r="B133" s="183">
        <f>+(D133*'EERR RODEO'!$B$4*2%)</f>
        <v>0</v>
      </c>
      <c r="C133" s="71">
        <f t="shared" si="27"/>
        <v>0</v>
      </c>
      <c r="D133" s="68"/>
      <c r="E133" s="71">
        <f t="shared" si="28"/>
        <v>0</v>
      </c>
      <c r="F133" s="68"/>
      <c r="G133" s="71">
        <f t="shared" si="29"/>
        <v>0</v>
      </c>
      <c r="H133" s="68"/>
      <c r="I133" s="71">
        <f t="shared" si="30"/>
        <v>0</v>
      </c>
      <c r="J133" s="68"/>
      <c r="K133" s="71">
        <f t="shared" si="31"/>
        <v>0</v>
      </c>
      <c r="L133" s="68"/>
    </row>
    <row r="134" spans="1:12" s="3" customFormat="1" ht="15" customHeight="1" x14ac:dyDescent="0.25">
      <c r="A134" s="65" t="s">
        <v>781</v>
      </c>
      <c r="B134" s="183">
        <f>+(D134*'EERR RODEO'!$B$4*2%)</f>
        <v>0</v>
      </c>
      <c r="C134" s="71">
        <f t="shared" si="27"/>
        <v>0</v>
      </c>
      <c r="D134" s="68"/>
      <c r="E134" s="71">
        <f t="shared" si="28"/>
        <v>0</v>
      </c>
      <c r="F134" s="68"/>
      <c r="G134" s="71">
        <f t="shared" si="29"/>
        <v>0</v>
      </c>
      <c r="H134" s="68"/>
      <c r="I134" s="71">
        <f t="shared" si="30"/>
        <v>0</v>
      </c>
      <c r="J134" s="68"/>
      <c r="K134" s="71">
        <f t="shared" si="31"/>
        <v>0</v>
      </c>
      <c r="L134" s="68"/>
    </row>
    <row r="135" spans="1:12" s="3" customFormat="1" ht="15" customHeight="1" x14ac:dyDescent="0.25">
      <c r="A135" s="65" t="s">
        <v>782</v>
      </c>
      <c r="B135" s="183">
        <f>+(D135*'EERR RODEO'!$B$4*2%)</f>
        <v>0</v>
      </c>
      <c r="C135" s="71">
        <f t="shared" si="27"/>
        <v>0</v>
      </c>
      <c r="D135" s="68"/>
      <c r="E135" s="71">
        <f t="shared" si="28"/>
        <v>0</v>
      </c>
      <c r="F135" s="68"/>
      <c r="G135" s="71">
        <f t="shared" si="29"/>
        <v>0</v>
      </c>
      <c r="H135" s="68"/>
      <c r="I135" s="71">
        <f t="shared" si="30"/>
        <v>0</v>
      </c>
      <c r="J135" s="68"/>
      <c r="K135" s="71">
        <f t="shared" si="31"/>
        <v>0</v>
      </c>
      <c r="L135" s="68"/>
    </row>
    <row r="136" spans="1:12" s="3" customFormat="1" ht="15" customHeight="1" x14ac:dyDescent="0.25">
      <c r="A136" s="65" t="s">
        <v>783</v>
      </c>
      <c r="B136" s="183">
        <f>+(D136*'EERR RODEO'!$B$4*2%)</f>
        <v>0</v>
      </c>
      <c r="C136" s="71">
        <f t="shared" si="27"/>
        <v>0</v>
      </c>
      <c r="D136" s="68"/>
      <c r="E136" s="71">
        <f t="shared" si="28"/>
        <v>0</v>
      </c>
      <c r="F136" s="68"/>
      <c r="G136" s="71">
        <f t="shared" si="29"/>
        <v>0</v>
      </c>
      <c r="H136" s="68"/>
      <c r="I136" s="71">
        <f t="shared" si="30"/>
        <v>0</v>
      </c>
      <c r="J136" s="68"/>
      <c r="K136" s="71">
        <f t="shared" si="31"/>
        <v>0</v>
      </c>
      <c r="L136" s="68"/>
    </row>
    <row r="137" spans="1:12" s="3" customFormat="1" ht="15" customHeight="1" x14ac:dyDescent="0.25">
      <c r="A137" s="65" t="s">
        <v>784</v>
      </c>
      <c r="B137" s="183">
        <f>+(D137*'EERR RODEO'!$B$4*2%)</f>
        <v>0</v>
      </c>
      <c r="C137" s="71">
        <f t="shared" si="27"/>
        <v>138</v>
      </c>
      <c r="D137" s="68">
        <v>0.5</v>
      </c>
      <c r="E137" s="71">
        <f t="shared" si="28"/>
        <v>0</v>
      </c>
      <c r="F137" s="68">
        <v>0.5</v>
      </c>
      <c r="G137" s="71">
        <f t="shared" si="29"/>
        <v>0</v>
      </c>
      <c r="H137" s="68">
        <v>0.5</v>
      </c>
      <c r="I137" s="71">
        <f t="shared" si="30"/>
        <v>0</v>
      </c>
      <c r="J137" s="68">
        <v>0.5</v>
      </c>
      <c r="K137" s="71">
        <f>+(L137*$K$108*2%)</f>
        <v>138</v>
      </c>
      <c r="L137" s="68">
        <v>0.5</v>
      </c>
    </row>
    <row r="138" spans="1:12" s="3" customFormat="1" ht="15" customHeight="1" x14ac:dyDescent="0.25">
      <c r="A138" s="66" t="s">
        <v>205</v>
      </c>
      <c r="B138" s="180">
        <f>+SUM(B130:B137)</f>
        <v>0</v>
      </c>
      <c r="C138" s="180">
        <f>+SUM(C130:C137)</f>
        <v>276</v>
      </c>
      <c r="D138" s="69">
        <f t="shared" ref="D138:L138" si="32">+SUM(D130:D137)</f>
        <v>1</v>
      </c>
      <c r="E138" s="180">
        <f t="shared" si="32"/>
        <v>0</v>
      </c>
      <c r="F138" s="69">
        <f t="shared" si="32"/>
        <v>1</v>
      </c>
      <c r="G138" s="180">
        <f t="shared" si="32"/>
        <v>0</v>
      </c>
      <c r="H138" s="69">
        <f t="shared" si="32"/>
        <v>1</v>
      </c>
      <c r="I138" s="180">
        <f t="shared" si="32"/>
        <v>0</v>
      </c>
      <c r="J138" s="69">
        <f t="shared" si="32"/>
        <v>1</v>
      </c>
      <c r="K138" s="180">
        <f t="shared" si="32"/>
        <v>276</v>
      </c>
      <c r="L138" s="69">
        <f t="shared" si="32"/>
        <v>1</v>
      </c>
    </row>
    <row r="139" spans="1:12" s="3" customFormat="1" ht="15" customHeight="1" x14ac:dyDescent="0.25">
      <c r="A139" s="65" t="s">
        <v>206</v>
      </c>
      <c r="B139" s="183">
        <f>+B104</f>
        <v>0</v>
      </c>
      <c r="C139" s="71">
        <f>+C115</f>
        <v>3710</v>
      </c>
      <c r="D139" s="68"/>
      <c r="E139" s="71">
        <f>+E115</f>
        <v>0</v>
      </c>
      <c r="F139" s="68"/>
      <c r="G139" s="71">
        <f>+G115</f>
        <v>0</v>
      </c>
      <c r="H139" s="68"/>
      <c r="I139" s="71">
        <f>+I115</f>
        <v>0</v>
      </c>
      <c r="J139" s="68"/>
      <c r="K139" s="71">
        <f>+K115</f>
        <v>3710</v>
      </c>
      <c r="L139" s="68"/>
    </row>
    <row r="140" spans="1:12" s="3" customFormat="1" ht="15" customHeight="1" thickBot="1" x14ac:dyDescent="0.3">
      <c r="A140" s="67" t="s">
        <v>207</v>
      </c>
      <c r="B140" s="184">
        <f>+B139-B138</f>
        <v>0</v>
      </c>
      <c r="C140" s="181">
        <f>+C139-C138</f>
        <v>3434</v>
      </c>
      <c r="D140" s="70"/>
      <c r="E140" s="181">
        <f>+E139-E138</f>
        <v>0</v>
      </c>
      <c r="F140" s="70"/>
      <c r="G140" s="181">
        <f>+G139-G138</f>
        <v>0</v>
      </c>
      <c r="H140" s="70"/>
      <c r="I140" s="181">
        <f>+I139-I138</f>
        <v>0</v>
      </c>
      <c r="J140" s="70"/>
      <c r="K140" s="181">
        <f>+K139-K138</f>
        <v>3434</v>
      </c>
      <c r="L140" s="70"/>
    </row>
    <row r="141" spans="1:12" s="3" customFormat="1" ht="15" customHeight="1" x14ac:dyDescent="0.25">
      <c r="B141" s="182"/>
      <c r="C141" s="12"/>
      <c r="D141" s="13"/>
    </row>
    <row r="142" spans="1:12" s="3" customFormat="1" ht="15" customHeight="1" x14ac:dyDescent="0.25">
      <c r="B142" s="182"/>
      <c r="C142" s="12"/>
      <c r="D142" s="13"/>
      <c r="E142" s="16"/>
      <c r="F142" s="17"/>
    </row>
  </sheetData>
  <mergeCells count="1">
    <mergeCell ref="A2:K2"/>
  </mergeCells>
  <pageMargins left="0.7" right="0.7" top="0.75" bottom="0.75" header="0.3" footer="0.3"/>
  <pageSetup paperSize="9" orientation="portrait" r:id="rId1"/>
  <headerFooter>
    <oddHeader>&amp;LElaborado por:&amp;CCarmen Eugenia Quintero Q.</oddHeader>
  </headerFooter>
  <legacyDrawing r:id="rId2"/>
  <extLst>
    <ext xmlns:x14="http://schemas.microsoft.com/office/spreadsheetml/2009/9/main" uri="{78C0D931-6437-407d-A8EE-F0AAD7539E65}">
      <x14:conditionalFormattings>
        <x14:conditionalFormatting xmlns:xm="http://schemas.microsoft.com/office/excel/2006/main">
          <x14:cfRule type="iconSet" priority="9795" id="{7A209214-1F99-4B95-B8AD-F1D4F0A173B2}">
            <x14:iconSet iconSet="3Triangles">
              <x14:cfvo type="percent">
                <xm:f>0</xm:f>
              </x14:cfvo>
              <x14:cfvo type="num">
                <xm:f>0</xm:f>
              </x14:cfvo>
              <x14:cfvo type="num" gte="0">
                <xm:f>0</xm:f>
              </x14:cfvo>
            </x14:iconSet>
          </x14:cfRule>
          <xm:sqref>D4:D105</xm:sqref>
        </x14:conditionalFormatting>
        <x14:conditionalFormatting xmlns:xm="http://schemas.microsoft.com/office/excel/2006/main">
          <x14:cfRule type="iconSet" priority="45" id="{996AB0DD-E0EC-4321-A6E7-800D9FF7C013}">
            <x14:iconSet iconSet="3Triangles">
              <x14:cfvo type="percent">
                <xm:f>0</xm:f>
              </x14:cfvo>
              <x14:cfvo type="num">
                <xm:f>0</xm:f>
              </x14:cfvo>
              <x14:cfvo type="num" gte="0">
                <xm:f>0</xm:f>
              </x14:cfvo>
            </x14:iconSet>
          </x14:cfRule>
          <xm:sqref>D108:D111 D114:D115 D119:D127</xm:sqref>
        </x14:conditionalFormatting>
        <x14:conditionalFormatting xmlns:xm="http://schemas.microsoft.com/office/excel/2006/main">
          <x14:cfRule type="iconSet" priority="25" id="{4179078A-A457-4BB6-B6CE-3AFB37883668}">
            <x14:iconSet iconSet="3Triangles">
              <x14:cfvo type="percent">
                <xm:f>0</xm:f>
              </x14:cfvo>
              <x14:cfvo type="num">
                <xm:f>0</xm:f>
              </x14:cfvo>
              <x14:cfvo type="num" gte="0">
                <xm:f>0</xm:f>
              </x14:cfvo>
            </x14:iconSet>
          </x14:cfRule>
          <xm:sqref>D112</xm:sqref>
        </x14:conditionalFormatting>
        <x14:conditionalFormatting xmlns:xm="http://schemas.microsoft.com/office/excel/2006/main">
          <x14:cfRule type="iconSet" priority="20" id="{EAD50582-90D0-4B2E-A5D7-3B8CF643AF60}">
            <x14:iconSet iconSet="3Triangles">
              <x14:cfvo type="percent">
                <xm:f>0</xm:f>
              </x14:cfvo>
              <x14:cfvo type="num">
                <xm:f>0</xm:f>
              </x14:cfvo>
              <x14:cfvo type="num" gte="0">
                <xm:f>0</xm:f>
              </x14:cfvo>
            </x14:iconSet>
          </x14:cfRule>
          <xm:sqref>D113</xm:sqref>
        </x14:conditionalFormatting>
        <x14:conditionalFormatting xmlns:xm="http://schemas.microsoft.com/office/excel/2006/main">
          <x14:cfRule type="iconSet" priority="15" id="{CFB93178-D751-43BD-8BC7-8C14016DD4EE}">
            <x14:iconSet iconSet="3Triangles">
              <x14:cfvo type="percent">
                <xm:f>0</xm:f>
              </x14:cfvo>
              <x14:cfvo type="num">
                <xm:f>0</xm:f>
              </x14:cfvo>
              <x14:cfvo type="num" gte="0">
                <xm:f>0</xm:f>
              </x14:cfvo>
            </x14:iconSet>
          </x14:cfRule>
          <xm:sqref>D116</xm:sqref>
        </x14:conditionalFormatting>
        <x14:conditionalFormatting xmlns:xm="http://schemas.microsoft.com/office/excel/2006/main">
          <x14:cfRule type="iconSet" priority="10" id="{3690AFE5-5944-4266-B0C7-D95E9425AC80}">
            <x14:iconSet iconSet="3Triangles">
              <x14:cfvo type="percent">
                <xm:f>0</xm:f>
              </x14:cfvo>
              <x14:cfvo type="num">
                <xm:f>0</xm:f>
              </x14:cfvo>
              <x14:cfvo type="num" gte="0">
                <xm:f>0</xm:f>
              </x14:cfvo>
            </x14:iconSet>
          </x14:cfRule>
          <xm:sqref>D117</xm:sqref>
        </x14:conditionalFormatting>
        <x14:conditionalFormatting xmlns:xm="http://schemas.microsoft.com/office/excel/2006/main">
          <x14:cfRule type="iconSet" priority="4" id="{6F0FB827-CDE1-439B-9136-957258596430}">
            <x14:iconSet iconSet="3Triangles">
              <x14:cfvo type="percent">
                <xm:f>0</xm:f>
              </x14:cfvo>
              <x14:cfvo type="num">
                <xm:f>0</xm:f>
              </x14:cfvo>
              <x14:cfvo type="num" gte="0">
                <xm:f>0</xm:f>
              </x14:cfvo>
            </x14:iconSet>
          </x14:cfRule>
          <xm:sqref>D118</xm:sqref>
        </x14:conditionalFormatting>
        <x14:conditionalFormatting xmlns:xm="http://schemas.microsoft.com/office/excel/2006/main">
          <x14:cfRule type="iconSet" priority="29" id="{56615FB1-0733-491E-8097-0335172D2845}">
            <x14:iconSet iconSet="3Triangles">
              <x14:cfvo type="percent">
                <xm:f>0</xm:f>
              </x14:cfvo>
              <x14:cfvo type="num">
                <xm:f>0</xm:f>
              </x14:cfvo>
              <x14:cfvo type="num" gte="0">
                <xm:f>0</xm:f>
              </x14:cfvo>
            </x14:iconSet>
          </x14:cfRule>
          <xm:sqref>F4:F105</xm:sqref>
        </x14:conditionalFormatting>
        <x14:conditionalFormatting xmlns:xm="http://schemas.microsoft.com/office/excel/2006/main">
          <x14:cfRule type="iconSet" priority="33" id="{217F372A-483C-4BAD-82C7-4453F49C7369}">
            <x14:iconSet iconSet="3Triangles">
              <x14:cfvo type="percent">
                <xm:f>0</xm:f>
              </x14:cfvo>
              <x14:cfvo type="num">
                <xm:f>0</xm:f>
              </x14:cfvo>
              <x14:cfvo type="num" gte="0">
                <xm:f>0</xm:f>
              </x14:cfvo>
            </x14:iconSet>
          </x14:cfRule>
          <xm:sqref>F108:F111 F119:F127</xm:sqref>
        </x14:conditionalFormatting>
        <x14:conditionalFormatting xmlns:xm="http://schemas.microsoft.com/office/excel/2006/main">
          <x14:cfRule type="iconSet" priority="24" id="{2F8B48A9-222E-42E7-A6A4-EBFD1E1E5773}">
            <x14:iconSet iconSet="3Triangles">
              <x14:cfvo type="percent">
                <xm:f>0</xm:f>
              </x14:cfvo>
              <x14:cfvo type="num">
                <xm:f>0</xm:f>
              </x14:cfvo>
              <x14:cfvo type="num" gte="0">
                <xm:f>0</xm:f>
              </x14:cfvo>
            </x14:iconSet>
          </x14:cfRule>
          <xm:sqref>F112:F115</xm:sqref>
        </x14:conditionalFormatting>
        <x14:conditionalFormatting xmlns:xm="http://schemas.microsoft.com/office/excel/2006/main">
          <x14:cfRule type="iconSet" priority="14" id="{7B39403C-2CA9-4430-8056-726584760CF3}">
            <x14:iconSet iconSet="3Triangles">
              <x14:cfvo type="percent">
                <xm:f>0</xm:f>
              </x14:cfvo>
              <x14:cfvo type="num">
                <xm:f>0</xm:f>
              </x14:cfvo>
              <x14:cfvo type="num" gte="0">
                <xm:f>0</xm:f>
              </x14:cfvo>
            </x14:iconSet>
          </x14:cfRule>
          <xm:sqref>F116</xm:sqref>
        </x14:conditionalFormatting>
        <x14:conditionalFormatting xmlns:xm="http://schemas.microsoft.com/office/excel/2006/main">
          <x14:cfRule type="iconSet" priority="9" id="{517C95F1-6CB5-4BE3-80D4-9AEA2E40E098}">
            <x14:iconSet iconSet="3Triangles">
              <x14:cfvo type="percent">
                <xm:f>0</xm:f>
              </x14:cfvo>
              <x14:cfvo type="num">
                <xm:f>0</xm:f>
              </x14:cfvo>
              <x14:cfvo type="num" gte="0">
                <xm:f>0</xm:f>
              </x14:cfvo>
            </x14:iconSet>
          </x14:cfRule>
          <xm:sqref>F117</xm:sqref>
        </x14:conditionalFormatting>
        <x14:conditionalFormatting xmlns:xm="http://schemas.microsoft.com/office/excel/2006/main">
          <x14:cfRule type="iconSet" priority="3" id="{8DD0DD01-9C98-41BF-AF0C-526CB340C771}">
            <x14:iconSet iconSet="3Triangles">
              <x14:cfvo type="percent">
                <xm:f>0</xm:f>
              </x14:cfvo>
              <x14:cfvo type="num">
                <xm:f>0</xm:f>
              </x14:cfvo>
              <x14:cfvo type="num" gte="0">
                <xm:f>0</xm:f>
              </x14:cfvo>
            </x14:iconSet>
          </x14:cfRule>
          <xm:sqref>F118</xm:sqref>
        </x14:conditionalFormatting>
        <x14:conditionalFormatting xmlns:xm="http://schemas.microsoft.com/office/excel/2006/main">
          <x14:cfRule type="iconSet" priority="28" id="{F6205B53-1868-4296-86A1-F60870B2EB8A}">
            <x14:iconSet iconSet="3Triangles">
              <x14:cfvo type="percent">
                <xm:f>0</xm:f>
              </x14:cfvo>
              <x14:cfvo type="num">
                <xm:f>0</xm:f>
              </x14:cfvo>
              <x14:cfvo type="num" gte="0">
                <xm:f>0</xm:f>
              </x14:cfvo>
            </x14:iconSet>
          </x14:cfRule>
          <xm:sqref>H4:H105</xm:sqref>
        </x14:conditionalFormatting>
        <x14:conditionalFormatting xmlns:xm="http://schemas.microsoft.com/office/excel/2006/main">
          <x14:cfRule type="iconSet" priority="32" id="{93CAAD30-31E1-4DAA-A586-D996C5177D1B}">
            <x14:iconSet iconSet="3Triangles">
              <x14:cfvo type="percent">
                <xm:f>0</xm:f>
              </x14:cfvo>
              <x14:cfvo type="num">
                <xm:f>0</xm:f>
              </x14:cfvo>
              <x14:cfvo type="num" gte="0">
                <xm:f>0</xm:f>
              </x14:cfvo>
            </x14:iconSet>
          </x14:cfRule>
          <xm:sqref>H108:H111 H119:H127</xm:sqref>
        </x14:conditionalFormatting>
        <x14:conditionalFormatting xmlns:xm="http://schemas.microsoft.com/office/excel/2006/main">
          <x14:cfRule type="iconSet" priority="23" id="{B2811E31-47CD-4314-BC7B-49E2BA397CE7}">
            <x14:iconSet iconSet="3Triangles">
              <x14:cfvo type="percent">
                <xm:f>0</xm:f>
              </x14:cfvo>
              <x14:cfvo type="num">
                <xm:f>0</xm:f>
              </x14:cfvo>
              <x14:cfvo type="num" gte="0">
                <xm:f>0</xm:f>
              </x14:cfvo>
            </x14:iconSet>
          </x14:cfRule>
          <xm:sqref>H112:H115</xm:sqref>
        </x14:conditionalFormatting>
        <x14:conditionalFormatting xmlns:xm="http://schemas.microsoft.com/office/excel/2006/main">
          <x14:cfRule type="iconSet" priority="13" id="{53D0A50F-6251-4F27-8705-5CD789711C7C}">
            <x14:iconSet iconSet="3Triangles">
              <x14:cfvo type="percent">
                <xm:f>0</xm:f>
              </x14:cfvo>
              <x14:cfvo type="num">
                <xm:f>0</xm:f>
              </x14:cfvo>
              <x14:cfvo type="num" gte="0">
                <xm:f>0</xm:f>
              </x14:cfvo>
            </x14:iconSet>
          </x14:cfRule>
          <xm:sqref>H116</xm:sqref>
        </x14:conditionalFormatting>
        <x14:conditionalFormatting xmlns:xm="http://schemas.microsoft.com/office/excel/2006/main">
          <x14:cfRule type="iconSet" priority="8" id="{038EB0C8-420B-4F53-B1A0-FA24041F725E}">
            <x14:iconSet iconSet="3Triangles">
              <x14:cfvo type="percent">
                <xm:f>0</xm:f>
              </x14:cfvo>
              <x14:cfvo type="num">
                <xm:f>0</xm:f>
              </x14:cfvo>
              <x14:cfvo type="num" gte="0">
                <xm:f>0</xm:f>
              </x14:cfvo>
            </x14:iconSet>
          </x14:cfRule>
          <xm:sqref>H117</xm:sqref>
        </x14:conditionalFormatting>
        <x14:conditionalFormatting xmlns:xm="http://schemas.microsoft.com/office/excel/2006/main">
          <x14:cfRule type="iconSet" priority="2" id="{DE7AF44A-6625-41B5-8252-99AF764F0731}">
            <x14:iconSet iconSet="3Triangles">
              <x14:cfvo type="percent">
                <xm:f>0</xm:f>
              </x14:cfvo>
              <x14:cfvo type="num">
                <xm:f>0</xm:f>
              </x14:cfvo>
              <x14:cfvo type="num" gte="0">
                <xm:f>0</xm:f>
              </x14:cfvo>
            </x14:iconSet>
          </x14:cfRule>
          <xm:sqref>H118</xm:sqref>
        </x14:conditionalFormatting>
        <x14:conditionalFormatting xmlns:xm="http://schemas.microsoft.com/office/excel/2006/main">
          <x14:cfRule type="iconSet" priority="27" id="{7BFCAA67-3E08-4857-90BF-D11423D6AA93}">
            <x14:iconSet iconSet="3Triangles">
              <x14:cfvo type="percent">
                <xm:f>0</xm:f>
              </x14:cfvo>
              <x14:cfvo type="num">
                <xm:f>0</xm:f>
              </x14:cfvo>
              <x14:cfvo type="num" gte="0">
                <xm:f>0</xm:f>
              </x14:cfvo>
            </x14:iconSet>
          </x14:cfRule>
          <xm:sqref>J4:J105</xm:sqref>
        </x14:conditionalFormatting>
        <x14:conditionalFormatting xmlns:xm="http://schemas.microsoft.com/office/excel/2006/main">
          <x14:cfRule type="iconSet" priority="31" id="{67FDA4AD-5973-403B-8A29-BD0C415E9884}">
            <x14:iconSet iconSet="3Triangles">
              <x14:cfvo type="percent">
                <xm:f>0</xm:f>
              </x14:cfvo>
              <x14:cfvo type="num">
                <xm:f>0</xm:f>
              </x14:cfvo>
              <x14:cfvo type="num" gte="0">
                <xm:f>0</xm:f>
              </x14:cfvo>
            </x14:iconSet>
          </x14:cfRule>
          <xm:sqref>J108:J111 J119:J127</xm:sqref>
        </x14:conditionalFormatting>
        <x14:conditionalFormatting xmlns:xm="http://schemas.microsoft.com/office/excel/2006/main">
          <x14:cfRule type="iconSet" priority="22" id="{9F16CCFB-8079-45A1-A6C5-5093CA42FEDE}">
            <x14:iconSet iconSet="3Triangles">
              <x14:cfvo type="percent">
                <xm:f>0</xm:f>
              </x14:cfvo>
              <x14:cfvo type="num">
                <xm:f>0</xm:f>
              </x14:cfvo>
              <x14:cfvo type="num" gte="0">
                <xm:f>0</xm:f>
              </x14:cfvo>
            </x14:iconSet>
          </x14:cfRule>
          <xm:sqref>J112:J115</xm:sqref>
        </x14:conditionalFormatting>
        <x14:conditionalFormatting xmlns:xm="http://schemas.microsoft.com/office/excel/2006/main">
          <x14:cfRule type="iconSet" priority="12" id="{C83FB4FC-F1A2-427C-AFD6-8EE104269FEE}">
            <x14:iconSet iconSet="3Triangles">
              <x14:cfvo type="percent">
                <xm:f>0</xm:f>
              </x14:cfvo>
              <x14:cfvo type="num">
                <xm:f>0</xm:f>
              </x14:cfvo>
              <x14:cfvo type="num" gte="0">
                <xm:f>0</xm:f>
              </x14:cfvo>
            </x14:iconSet>
          </x14:cfRule>
          <xm:sqref>J116</xm:sqref>
        </x14:conditionalFormatting>
        <x14:conditionalFormatting xmlns:xm="http://schemas.microsoft.com/office/excel/2006/main">
          <x14:cfRule type="iconSet" priority="7" id="{21806FDA-F96F-4206-A093-FFB6D631D4E9}">
            <x14:iconSet iconSet="3Triangles">
              <x14:cfvo type="percent">
                <xm:f>0</xm:f>
              </x14:cfvo>
              <x14:cfvo type="num">
                <xm:f>0</xm:f>
              </x14:cfvo>
              <x14:cfvo type="num" gte="0">
                <xm:f>0</xm:f>
              </x14:cfvo>
            </x14:iconSet>
          </x14:cfRule>
          <xm:sqref>J117</xm:sqref>
        </x14:conditionalFormatting>
        <x14:conditionalFormatting xmlns:xm="http://schemas.microsoft.com/office/excel/2006/main">
          <x14:cfRule type="iconSet" priority="1" id="{3981A34D-AFDB-45CB-8884-618405DE8BA7}">
            <x14:iconSet iconSet="3Triangles">
              <x14:cfvo type="percent">
                <xm:f>0</xm:f>
              </x14:cfvo>
              <x14:cfvo type="num">
                <xm:f>0</xm:f>
              </x14:cfvo>
              <x14:cfvo type="num" gte="0">
                <xm:f>0</xm:f>
              </x14:cfvo>
            </x14:iconSet>
          </x14:cfRule>
          <xm:sqref>J118</xm:sqref>
        </x14:conditionalFormatting>
        <x14:conditionalFormatting xmlns:xm="http://schemas.microsoft.com/office/excel/2006/main">
          <x14:cfRule type="iconSet" priority="26" id="{CDC1CBB1-5A85-4B1B-A778-22F00D46917A}">
            <x14:iconSet iconSet="3Triangles">
              <x14:cfvo type="percent">
                <xm:f>0</xm:f>
              </x14:cfvo>
              <x14:cfvo type="num">
                <xm:f>0</xm:f>
              </x14:cfvo>
              <x14:cfvo type="num" gte="0">
                <xm:f>0</xm:f>
              </x14:cfvo>
            </x14:iconSet>
          </x14:cfRule>
          <xm:sqref>K4:K105</xm:sqref>
        </x14:conditionalFormatting>
        <x14:conditionalFormatting xmlns:xm="http://schemas.microsoft.com/office/excel/2006/main">
          <x14:cfRule type="iconSet" priority="30" id="{79CC97C8-91C6-44AD-85A3-E8A519E73ADF}">
            <x14:iconSet iconSet="3Triangles">
              <x14:cfvo type="percent">
                <xm:f>0</xm:f>
              </x14:cfvo>
              <x14:cfvo type="num">
                <xm:f>0</xm:f>
              </x14:cfvo>
              <x14:cfvo type="num" gte="0">
                <xm:f>0</xm:f>
              </x14:cfvo>
            </x14:iconSet>
          </x14:cfRule>
          <xm:sqref>L108:L111 L119:L127</xm:sqref>
        </x14:conditionalFormatting>
        <x14:conditionalFormatting xmlns:xm="http://schemas.microsoft.com/office/excel/2006/main">
          <x14:cfRule type="iconSet" priority="21" id="{2BA9C1B9-A4A5-47D2-91A7-54ACB5CF83CF}">
            <x14:iconSet iconSet="3Triangles">
              <x14:cfvo type="percent">
                <xm:f>0</xm:f>
              </x14:cfvo>
              <x14:cfvo type="num">
                <xm:f>0</xm:f>
              </x14:cfvo>
              <x14:cfvo type="num" gte="0">
                <xm:f>0</xm:f>
              </x14:cfvo>
            </x14:iconSet>
          </x14:cfRule>
          <xm:sqref>L112:L115</xm:sqref>
        </x14:conditionalFormatting>
        <x14:conditionalFormatting xmlns:xm="http://schemas.microsoft.com/office/excel/2006/main">
          <x14:cfRule type="iconSet" priority="11" id="{1C5584F3-6C00-4E78-A84B-D24904157B29}">
            <x14:iconSet iconSet="3Triangles">
              <x14:cfvo type="percent">
                <xm:f>0</xm:f>
              </x14:cfvo>
              <x14:cfvo type="num">
                <xm:f>0</xm:f>
              </x14:cfvo>
              <x14:cfvo type="num" gte="0">
                <xm:f>0</xm:f>
              </x14:cfvo>
            </x14:iconSet>
          </x14:cfRule>
          <xm:sqref>L116</xm:sqref>
        </x14:conditionalFormatting>
        <x14:conditionalFormatting xmlns:xm="http://schemas.microsoft.com/office/excel/2006/main">
          <x14:cfRule type="iconSet" priority="6" id="{884E1A0E-ED49-4A31-93F6-E9C3ED26EF1F}">
            <x14:iconSet iconSet="3Triangles">
              <x14:cfvo type="percent">
                <xm:f>0</xm:f>
              </x14:cfvo>
              <x14:cfvo type="num">
                <xm:f>0</xm:f>
              </x14:cfvo>
              <x14:cfvo type="num" gte="0">
                <xm:f>0</xm:f>
              </x14:cfvo>
            </x14:iconSet>
          </x14:cfRule>
          <xm:sqref>L117</xm:sqref>
        </x14:conditionalFormatting>
        <x14:conditionalFormatting xmlns:xm="http://schemas.microsoft.com/office/excel/2006/main">
          <x14:cfRule type="iconSet" priority="5" id="{C0250C6E-E71B-4C63-830E-B1B168D7CD40}">
            <x14:iconSet iconSet="3Triangles">
              <x14:cfvo type="percent">
                <xm:f>0</xm:f>
              </x14:cfvo>
              <x14:cfvo type="num">
                <xm:f>0</xm:f>
              </x14:cfvo>
              <x14:cfvo type="num" gte="0">
                <xm:f>0</xm:f>
              </x14:cfvo>
            </x14:iconSet>
          </x14:cfRule>
          <xm:sqref>L118</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HK216"/>
  <sheetViews>
    <sheetView showGridLines="0" zoomScale="60" zoomScaleNormal="60" workbookViewId="0">
      <pane xSplit="4" ySplit="3" topLeftCell="E110" activePane="bottomRight" state="frozen"/>
      <selection pane="topRight" activeCell="E1" sqref="E1"/>
      <selection pane="bottomLeft" activeCell="A4" sqref="A4"/>
      <selection pane="bottomRight" activeCell="S137" sqref="S137"/>
    </sheetView>
  </sheetViews>
  <sheetFormatPr baseColWidth="10" defaultRowHeight="15" outlineLevelRow="2" x14ac:dyDescent="0.25"/>
  <cols>
    <col min="1" max="1" width="50.42578125" style="4" customWidth="1"/>
    <col min="2" max="2" width="16.5703125" style="16" bestFit="1" customWidth="1"/>
    <col min="3" max="3" width="10.28515625" style="29" bestFit="1" customWidth="1"/>
    <col min="4" max="4" width="9.140625" style="29" bestFit="1" customWidth="1"/>
    <col min="5" max="5" width="13.7109375" style="16" bestFit="1" customWidth="1"/>
    <col min="6" max="6" width="10.28515625" style="29" bestFit="1" customWidth="1"/>
    <col min="7" max="7" width="9.140625" style="29" bestFit="1" customWidth="1"/>
    <col min="8" max="8" width="14.5703125" style="83" bestFit="1" customWidth="1"/>
    <col min="9" max="9" width="10.140625" style="29" bestFit="1" customWidth="1"/>
    <col min="10" max="10" width="9.28515625" style="29" customWidth="1"/>
    <col min="11" max="11" width="13.7109375" style="29" customWidth="1"/>
    <col min="12" max="12" width="13.140625" style="83" customWidth="1"/>
    <col min="13" max="13" width="10.28515625" style="29" bestFit="1" customWidth="1"/>
    <col min="14" max="14" width="9.28515625" style="29" customWidth="1"/>
    <col min="15" max="15" width="13.5703125" style="83" bestFit="1" customWidth="1"/>
    <col min="16" max="16" width="10.140625" style="29" bestFit="1" customWidth="1"/>
    <col min="17" max="17" width="9.28515625" style="29" customWidth="1"/>
    <col min="18" max="18" width="13.7109375" style="29" bestFit="1" customWidth="1"/>
    <col min="19" max="19" width="13.42578125" style="83" customWidth="1"/>
    <col min="20" max="20" width="11.28515625" style="29" customWidth="1"/>
    <col min="21" max="21" width="9.28515625" style="29" customWidth="1"/>
    <col min="22" max="22" width="13.28515625" style="83" customWidth="1"/>
    <col min="23" max="23" width="11.28515625" style="29" customWidth="1"/>
    <col min="24" max="24" width="12.85546875" style="29" customWidth="1"/>
    <col min="25" max="25" width="14.28515625" style="83" bestFit="1" customWidth="1"/>
    <col min="26" max="26" width="10.140625" style="29" bestFit="1" customWidth="1"/>
    <col min="27" max="27" width="9.28515625" style="29" customWidth="1"/>
    <col min="28" max="28" width="13.7109375" style="29" customWidth="1"/>
    <col min="29" max="29" width="13.42578125" style="83" customWidth="1"/>
    <col min="30" max="30" width="11.28515625" style="29" customWidth="1"/>
    <col min="31" max="31" width="9.28515625" style="29" customWidth="1"/>
    <col min="32" max="32" width="13.42578125" style="83" customWidth="1"/>
    <col min="33" max="33" width="10.140625" style="29" bestFit="1" customWidth="1"/>
    <col min="34" max="34" width="9.28515625" style="29" customWidth="1"/>
    <col min="35" max="35" width="13.7109375" style="29" customWidth="1"/>
    <col min="36" max="36" width="13.42578125" style="83" customWidth="1"/>
    <col min="37" max="37" width="11.28515625" style="29" customWidth="1"/>
    <col min="38" max="38" width="9.28515625" style="29" customWidth="1"/>
    <col min="39" max="39" width="12.7109375" style="83" bestFit="1" customWidth="1"/>
    <col min="40" max="40" width="10.140625" style="29" bestFit="1" customWidth="1"/>
    <col min="41" max="41" width="9.28515625" style="29" customWidth="1"/>
    <col min="42" max="42" width="13.7109375" style="29" customWidth="1"/>
    <col min="43" max="43" width="14.42578125" style="83" customWidth="1"/>
    <col min="44" max="44" width="11.28515625" style="29" customWidth="1"/>
    <col min="45" max="45" width="9.28515625" style="29" customWidth="1"/>
    <col min="46" max="46" width="11.85546875" style="83" customWidth="1"/>
    <col min="47" max="47" width="11.28515625" style="29" customWidth="1"/>
    <col min="48" max="48" width="13.7109375" style="29" customWidth="1"/>
    <col min="49" max="49" width="12.7109375" style="83" bestFit="1" customWidth="1"/>
    <col min="50" max="50" width="11.28515625" style="29" customWidth="1"/>
    <col min="51" max="51" width="9.28515625" style="29" customWidth="1"/>
    <col min="52" max="52" width="11.85546875" style="83" customWidth="1"/>
    <col min="53" max="53" width="11.28515625" style="29" customWidth="1"/>
    <col min="54" max="54" width="13" style="29" customWidth="1"/>
    <col min="55" max="55" width="13.7109375" style="83" bestFit="1" customWidth="1"/>
    <col min="56" max="56" width="10.140625" style="29" bestFit="1" customWidth="1"/>
    <col min="57" max="57" width="9.28515625" style="29" customWidth="1"/>
    <col min="58" max="58" width="14.7109375" style="29" customWidth="1"/>
    <col min="59" max="59" width="14.140625" style="83" bestFit="1" customWidth="1"/>
    <col min="60" max="60" width="11.28515625" style="29" customWidth="1"/>
    <col min="61" max="61" width="9.28515625" style="29" customWidth="1"/>
    <col min="62" max="62" width="14.85546875" style="83" bestFit="1" customWidth="1"/>
    <col min="63" max="63" width="10.140625" style="29" bestFit="1" customWidth="1"/>
    <col min="64" max="64" width="9.28515625" style="29" customWidth="1"/>
    <col min="65" max="65" width="13.7109375" style="29" customWidth="1"/>
    <col min="66" max="66" width="16.42578125" style="83" bestFit="1" customWidth="1"/>
    <col min="67" max="67" width="11.28515625" style="29" customWidth="1"/>
    <col min="68" max="68" width="9.28515625" style="29" customWidth="1"/>
    <col min="69" max="69" width="14.28515625" style="83" bestFit="1" customWidth="1"/>
    <col min="70" max="70" width="10.140625" style="29" bestFit="1" customWidth="1"/>
    <col min="71" max="71" width="9.28515625" style="29" customWidth="1"/>
    <col min="72" max="72" width="13.7109375" style="29" customWidth="1"/>
    <col min="73" max="73" width="16.42578125" style="83" bestFit="1" customWidth="1"/>
    <col min="74" max="74" width="11.28515625" style="29" customWidth="1"/>
    <col min="75" max="75" width="9.28515625" style="29" customWidth="1"/>
    <col min="76" max="76" width="11.85546875" style="83" customWidth="1"/>
    <col min="77" max="77" width="11.28515625" style="29" customWidth="1"/>
    <col min="78" max="78" width="13.7109375" style="29" customWidth="1"/>
    <col min="79" max="79" width="11.7109375" style="83" customWidth="1"/>
    <col min="80" max="80" width="10.140625" style="29" bestFit="1" customWidth="1"/>
    <col min="81" max="81" width="9.28515625" style="29" customWidth="1"/>
    <col min="82" max="82" width="13.7109375" style="29" customWidth="1"/>
    <col min="83" max="83" width="16.5703125" style="83" bestFit="1" customWidth="1"/>
    <col min="84" max="84" width="11.28515625" style="29" customWidth="1"/>
    <col min="85" max="85" width="9.28515625" style="29" customWidth="1"/>
    <col min="86" max="86" width="11.42578125" style="83" bestFit="1" customWidth="1"/>
    <col min="87" max="87" width="10.140625" style="29" bestFit="1" customWidth="1"/>
    <col min="88" max="88" width="9.28515625" style="29" customWidth="1"/>
    <col min="89" max="89" width="13.7109375" style="29" customWidth="1"/>
    <col min="90" max="90" width="16.5703125" style="83" bestFit="1" customWidth="1"/>
    <col min="91" max="91" width="11.28515625" style="29" customWidth="1"/>
    <col min="92" max="92" width="9.28515625" style="29" customWidth="1"/>
    <col min="93" max="93" width="12.28515625" style="83" bestFit="1" customWidth="1"/>
    <col min="94" max="94" width="10.140625" style="29" bestFit="1" customWidth="1"/>
    <col min="95" max="95" width="9.28515625" style="29" customWidth="1"/>
    <col min="96" max="96" width="13.7109375" style="29" customWidth="1"/>
    <col min="97" max="97" width="16.5703125" style="83" bestFit="1" customWidth="1"/>
    <col min="98" max="98" width="11.28515625" style="29" customWidth="1"/>
    <col min="99" max="99" width="9.28515625" style="29" customWidth="1"/>
    <col min="100" max="100" width="16.28515625" style="83" bestFit="1" customWidth="1"/>
    <col min="101" max="101" width="11.28515625" style="29" customWidth="1"/>
    <col min="102" max="102" width="13.7109375" style="29" customWidth="1"/>
    <col min="103" max="228" width="11.5703125" style="4"/>
    <col min="229" max="229" width="39.28515625" style="4" customWidth="1"/>
    <col min="230" max="484" width="11.5703125" style="4"/>
    <col min="485" max="485" width="39.28515625" style="4" customWidth="1"/>
    <col min="486" max="740" width="11.5703125" style="4"/>
    <col min="741" max="741" width="39.28515625" style="4" customWidth="1"/>
    <col min="742" max="996" width="11.5703125" style="4"/>
    <col min="997" max="997" width="39.28515625" style="4" customWidth="1"/>
    <col min="998" max="1252" width="11.5703125" style="4"/>
    <col min="1253" max="1253" width="39.28515625" style="4" customWidth="1"/>
    <col min="1254" max="1508" width="11.5703125" style="4"/>
    <col min="1509" max="1509" width="39.28515625" style="4" customWidth="1"/>
    <col min="1510" max="1764" width="11.5703125" style="4"/>
    <col min="1765" max="1765" width="39.28515625" style="4" customWidth="1"/>
    <col min="1766" max="2020" width="11.5703125" style="4"/>
    <col min="2021" max="2021" width="39.28515625" style="4" customWidth="1"/>
    <col min="2022" max="2276" width="11.5703125" style="4"/>
    <col min="2277" max="2277" width="39.28515625" style="4" customWidth="1"/>
    <col min="2278" max="2532" width="11.5703125" style="4"/>
    <col min="2533" max="2533" width="39.28515625" style="4" customWidth="1"/>
    <col min="2534" max="2788" width="11.5703125" style="4"/>
    <col min="2789" max="2789" width="39.28515625" style="4" customWidth="1"/>
    <col min="2790" max="3044" width="11.5703125" style="4"/>
    <col min="3045" max="3045" width="39.28515625" style="4" customWidth="1"/>
    <col min="3046" max="3300" width="11.5703125" style="4"/>
    <col min="3301" max="3301" width="39.28515625" style="4" customWidth="1"/>
    <col min="3302" max="3556" width="11.5703125" style="4"/>
    <col min="3557" max="3557" width="39.28515625" style="4" customWidth="1"/>
    <col min="3558" max="3812" width="11.5703125" style="4"/>
    <col min="3813" max="3813" width="39.28515625" style="4" customWidth="1"/>
    <col min="3814" max="4068" width="11.5703125" style="4"/>
    <col min="4069" max="4069" width="39.28515625" style="4" customWidth="1"/>
    <col min="4070" max="4324" width="11.5703125" style="4"/>
    <col min="4325" max="4325" width="39.28515625" style="4" customWidth="1"/>
    <col min="4326" max="4580" width="11.5703125" style="4"/>
    <col min="4581" max="4581" width="39.28515625" style="4" customWidth="1"/>
    <col min="4582" max="4836" width="11.5703125" style="4"/>
    <col min="4837" max="4837" width="39.28515625" style="4" customWidth="1"/>
    <col min="4838" max="5092" width="11.5703125" style="4"/>
    <col min="5093" max="5093" width="39.28515625" style="4" customWidth="1"/>
    <col min="5094" max="5348" width="11.5703125" style="4"/>
    <col min="5349" max="5349" width="39.28515625" style="4" customWidth="1"/>
    <col min="5350" max="5604" width="11.5703125" style="4"/>
    <col min="5605" max="5605" width="39.28515625" style="4" customWidth="1"/>
    <col min="5606" max="5860" width="11.5703125" style="4"/>
    <col min="5861" max="5861" width="39.28515625" style="4" customWidth="1"/>
    <col min="5862" max="6116" width="11.5703125" style="4"/>
    <col min="6117" max="6117" width="39.28515625" style="4" customWidth="1"/>
    <col min="6118" max="6372" width="11.5703125" style="4"/>
    <col min="6373" max="6373" width="39.28515625" style="4" customWidth="1"/>
    <col min="6374" max="6628" width="11.5703125" style="4"/>
    <col min="6629" max="6629" width="39.28515625" style="4" customWidth="1"/>
    <col min="6630" max="6884" width="11.5703125" style="4"/>
    <col min="6885" max="6885" width="39.28515625" style="4" customWidth="1"/>
    <col min="6886" max="7140" width="11.5703125" style="4"/>
    <col min="7141" max="7141" width="39.28515625" style="4" customWidth="1"/>
    <col min="7142" max="7396" width="11.5703125" style="4"/>
    <col min="7397" max="7397" width="39.28515625" style="4" customWidth="1"/>
    <col min="7398" max="7652" width="11.5703125" style="4"/>
    <col min="7653" max="7653" width="39.28515625" style="4" customWidth="1"/>
    <col min="7654" max="7908" width="11.5703125" style="4"/>
    <col min="7909" max="7909" width="39.28515625" style="4" customWidth="1"/>
    <col min="7910" max="8164" width="11.5703125" style="4"/>
    <col min="8165" max="8165" width="39.28515625" style="4" customWidth="1"/>
    <col min="8166" max="8420" width="11.5703125" style="4"/>
    <col min="8421" max="8421" width="39.28515625" style="4" customWidth="1"/>
    <col min="8422" max="8676" width="11.5703125" style="4"/>
    <col min="8677" max="8677" width="39.28515625" style="4" customWidth="1"/>
    <col min="8678" max="8932" width="11.5703125" style="4"/>
    <col min="8933" max="8933" width="39.28515625" style="4" customWidth="1"/>
    <col min="8934" max="9188" width="11.5703125" style="4"/>
    <col min="9189" max="9189" width="39.28515625" style="4" customWidth="1"/>
    <col min="9190" max="9444" width="11.5703125" style="4"/>
    <col min="9445" max="9445" width="39.28515625" style="4" customWidth="1"/>
    <col min="9446" max="9700" width="11.5703125" style="4"/>
    <col min="9701" max="9701" width="39.28515625" style="4" customWidth="1"/>
    <col min="9702" max="9956" width="11.5703125" style="4"/>
    <col min="9957" max="9957" width="39.28515625" style="4" customWidth="1"/>
    <col min="9958" max="10212" width="11.5703125" style="4"/>
    <col min="10213" max="10213" width="39.28515625" style="4" customWidth="1"/>
    <col min="10214" max="10468" width="11.5703125" style="4"/>
    <col min="10469" max="10469" width="39.28515625" style="4" customWidth="1"/>
    <col min="10470" max="10724" width="11.5703125" style="4"/>
    <col min="10725" max="10725" width="39.28515625" style="4" customWidth="1"/>
    <col min="10726" max="10980" width="11.5703125" style="4"/>
    <col min="10981" max="10981" width="39.28515625" style="4" customWidth="1"/>
    <col min="10982" max="11236" width="11.5703125" style="4"/>
    <col min="11237" max="11237" width="39.28515625" style="4" customWidth="1"/>
    <col min="11238" max="11492" width="11.5703125" style="4"/>
    <col min="11493" max="11493" width="39.28515625" style="4" customWidth="1"/>
    <col min="11494" max="11748" width="11.5703125" style="4"/>
    <col min="11749" max="11749" width="39.28515625" style="4" customWidth="1"/>
    <col min="11750" max="12004" width="11.5703125" style="4"/>
    <col min="12005" max="12005" width="39.28515625" style="4" customWidth="1"/>
    <col min="12006" max="12260" width="11.5703125" style="4"/>
    <col min="12261" max="12261" width="39.28515625" style="4" customWidth="1"/>
    <col min="12262" max="12516" width="11.5703125" style="4"/>
    <col min="12517" max="12517" width="39.28515625" style="4" customWidth="1"/>
    <col min="12518" max="12772" width="11.5703125" style="4"/>
    <col min="12773" max="12773" width="39.28515625" style="4" customWidth="1"/>
    <col min="12774" max="13028" width="11.5703125" style="4"/>
    <col min="13029" max="13029" width="39.28515625" style="4" customWidth="1"/>
    <col min="13030" max="13284" width="11.5703125" style="4"/>
    <col min="13285" max="13285" width="39.28515625" style="4" customWidth="1"/>
    <col min="13286" max="13540" width="11.5703125" style="4"/>
    <col min="13541" max="13541" width="39.28515625" style="4" customWidth="1"/>
    <col min="13542" max="13796" width="11.5703125" style="4"/>
    <col min="13797" max="13797" width="39.28515625" style="4" customWidth="1"/>
    <col min="13798" max="14052" width="11.5703125" style="4"/>
    <col min="14053" max="14053" width="39.28515625" style="4" customWidth="1"/>
    <col min="14054" max="14308" width="11.5703125" style="4"/>
    <col min="14309" max="14309" width="39.28515625" style="4" customWidth="1"/>
    <col min="14310" max="14564" width="11.5703125" style="4"/>
    <col min="14565" max="14565" width="39.28515625" style="4" customWidth="1"/>
    <col min="14566" max="14820" width="11.5703125" style="4"/>
    <col min="14821" max="14821" width="39.28515625" style="4" customWidth="1"/>
    <col min="14822" max="15076" width="11.5703125" style="4"/>
    <col min="15077" max="15077" width="39.28515625" style="4" customWidth="1"/>
    <col min="15078" max="15332" width="11.5703125" style="4"/>
    <col min="15333" max="15333" width="39.28515625" style="4" customWidth="1"/>
    <col min="15334" max="15558" width="11.5703125" style="4"/>
    <col min="15559" max="16384" width="11.42578125" style="4" customWidth="1"/>
  </cols>
  <sheetData>
    <row r="1" spans="1:105" s="3" customFormat="1" x14ac:dyDescent="0.25">
      <c r="B1" s="12"/>
      <c r="C1" s="15"/>
      <c r="D1" s="15"/>
      <c r="E1" s="12"/>
      <c r="F1" s="15"/>
      <c r="G1" s="15"/>
      <c r="H1" s="71"/>
      <c r="I1" s="15"/>
      <c r="J1" s="15"/>
      <c r="K1" s="15"/>
      <c r="L1" s="71"/>
      <c r="M1" s="15"/>
      <c r="N1" s="15"/>
      <c r="O1" s="71"/>
      <c r="P1" s="15"/>
      <c r="Q1" s="15"/>
      <c r="R1" s="15"/>
      <c r="S1" s="71"/>
      <c r="T1" s="15"/>
      <c r="U1" s="15"/>
      <c r="V1" s="71"/>
      <c r="W1" s="15"/>
      <c r="X1" s="15"/>
      <c r="Y1" s="71"/>
      <c r="Z1" s="15"/>
      <c r="AA1" s="15"/>
      <c r="AB1" s="15"/>
      <c r="AC1" s="71"/>
      <c r="AD1" s="15"/>
      <c r="AE1" s="15"/>
      <c r="AF1" s="71"/>
      <c r="AG1" s="15"/>
      <c r="AH1" s="15"/>
      <c r="AI1" s="15"/>
      <c r="AJ1" s="71"/>
      <c r="AK1" s="15"/>
      <c r="AL1" s="15"/>
      <c r="AM1" s="71"/>
      <c r="AN1" s="15"/>
      <c r="AO1" s="15"/>
      <c r="AP1" s="15"/>
      <c r="AQ1" s="71"/>
      <c r="AR1" s="15"/>
      <c r="AS1" s="15"/>
      <c r="AT1" s="71"/>
      <c r="AU1" s="15"/>
      <c r="AV1" s="15"/>
      <c r="AW1" s="71"/>
      <c r="AX1" s="15"/>
      <c r="AY1" s="15"/>
      <c r="AZ1" s="71"/>
      <c r="BA1" s="15"/>
      <c r="BB1" s="15"/>
      <c r="BC1" s="71"/>
      <c r="BD1" s="15"/>
      <c r="BE1" s="15"/>
      <c r="BF1" s="15"/>
      <c r="BG1" s="71"/>
      <c r="BH1" s="15"/>
      <c r="BI1" s="15"/>
      <c r="BJ1" s="71"/>
      <c r="BK1" s="15"/>
      <c r="BL1" s="15"/>
      <c r="BM1" s="15"/>
      <c r="BN1" s="71"/>
      <c r="BO1" s="15"/>
      <c r="BP1" s="15"/>
      <c r="BQ1" s="71"/>
      <c r="BR1" s="15"/>
      <c r="BS1" s="15"/>
      <c r="BT1" s="15"/>
      <c r="BU1" s="71"/>
      <c r="BV1" s="15"/>
      <c r="BW1" s="15"/>
      <c r="BX1" s="71"/>
      <c r="BY1" s="15"/>
      <c r="BZ1" s="15"/>
      <c r="CA1" s="71"/>
      <c r="CB1" s="15"/>
      <c r="CC1" s="15"/>
      <c r="CD1" s="15"/>
      <c r="CE1" s="71"/>
      <c r="CF1" s="15"/>
      <c r="CG1" s="15"/>
      <c r="CH1" s="71"/>
      <c r="CI1" s="15"/>
      <c r="CJ1" s="15"/>
      <c r="CK1" s="15"/>
      <c r="CL1" s="71"/>
      <c r="CM1" s="15"/>
      <c r="CN1" s="15"/>
      <c r="CO1" s="71"/>
      <c r="CP1" s="15"/>
      <c r="CQ1" s="15"/>
      <c r="CR1" s="15"/>
      <c r="CS1" s="71"/>
      <c r="CT1" s="15"/>
      <c r="CU1" s="15"/>
      <c r="CV1" s="71"/>
      <c r="CW1" s="15"/>
      <c r="CX1" s="15"/>
    </row>
    <row r="2" spans="1:105" s="3" customFormat="1" ht="28.15" customHeight="1" x14ac:dyDescent="0.25">
      <c r="A2" s="93" t="s">
        <v>38</v>
      </c>
      <c r="B2" s="225"/>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5"/>
      <c r="AM2" s="225"/>
      <c r="AN2" s="225"/>
      <c r="AO2" s="225"/>
      <c r="AP2" s="225"/>
      <c r="AQ2" s="225"/>
      <c r="AR2" s="225"/>
      <c r="AS2" s="225"/>
      <c r="AT2" s="225"/>
      <c r="AU2" s="225"/>
      <c r="AV2" s="225"/>
      <c r="AW2" s="225"/>
      <c r="AX2" s="225"/>
      <c r="AY2" s="225"/>
      <c r="AZ2" s="225"/>
      <c r="BA2" s="225"/>
      <c r="BB2" s="225"/>
      <c r="BC2" s="225"/>
      <c r="BD2" s="225"/>
      <c r="BE2" s="225"/>
      <c r="BF2" s="225"/>
      <c r="BG2" s="225"/>
      <c r="BH2" s="225"/>
      <c r="BI2" s="225"/>
      <c r="BJ2" s="225"/>
      <c r="BK2" s="225"/>
      <c r="BL2" s="225"/>
      <c r="BM2" s="225"/>
      <c r="BN2" s="225"/>
      <c r="BO2" s="225"/>
      <c r="BP2" s="225"/>
      <c r="BQ2" s="225"/>
      <c r="BR2" s="225"/>
      <c r="BS2" s="225"/>
      <c r="BT2" s="225"/>
      <c r="BU2" s="225"/>
      <c r="BV2" s="225"/>
      <c r="BW2" s="225"/>
      <c r="BX2" s="225"/>
      <c r="BY2" s="225"/>
      <c r="BZ2" s="225"/>
      <c r="CA2" s="225"/>
      <c r="CB2" s="225"/>
      <c r="CC2" s="225"/>
      <c r="CD2" s="225"/>
      <c r="CE2" s="225"/>
      <c r="CF2" s="225"/>
      <c r="CG2" s="225"/>
      <c r="CH2" s="225"/>
      <c r="CI2" s="225"/>
      <c r="CJ2" s="225"/>
      <c r="CK2" s="225"/>
      <c r="CL2" s="225"/>
      <c r="CM2" s="225"/>
      <c r="CN2" s="225"/>
      <c r="CO2" s="225"/>
      <c r="CP2" s="225"/>
      <c r="CQ2" s="225"/>
      <c r="CR2" s="225"/>
      <c r="CS2" s="225"/>
      <c r="CT2" s="225"/>
      <c r="CU2" s="225"/>
      <c r="CV2" s="225"/>
      <c r="CW2" s="225"/>
      <c r="CX2" s="225"/>
    </row>
    <row r="3" spans="1:105" s="8" customFormat="1" ht="24" customHeight="1" x14ac:dyDescent="0.25">
      <c r="A3" s="44" t="s">
        <v>33</v>
      </c>
      <c r="B3" s="168">
        <f ca="1">IF(ISBLANK(A2),"",YEAR(TODAY())-1)</f>
        <v>2025</v>
      </c>
      <c r="C3" s="45" t="s">
        <v>29</v>
      </c>
      <c r="D3" s="46" t="s">
        <v>30</v>
      </c>
      <c r="E3" s="72" t="s">
        <v>119</v>
      </c>
      <c r="F3" s="45" t="s">
        <v>29</v>
      </c>
      <c r="G3" s="46" t="s">
        <v>30</v>
      </c>
      <c r="H3" s="72" t="s">
        <v>120</v>
      </c>
      <c r="I3" s="45" t="s">
        <v>29</v>
      </c>
      <c r="J3" s="46" t="s">
        <v>30</v>
      </c>
      <c r="K3" s="45" t="s">
        <v>121</v>
      </c>
      <c r="L3" s="73" t="s">
        <v>125</v>
      </c>
      <c r="M3" s="45" t="s">
        <v>29</v>
      </c>
      <c r="N3" s="46" t="s">
        <v>30</v>
      </c>
      <c r="O3" s="74" t="s">
        <v>122</v>
      </c>
      <c r="P3" s="45" t="s">
        <v>29</v>
      </c>
      <c r="Q3" s="46" t="s">
        <v>30</v>
      </c>
      <c r="R3" s="45" t="s">
        <v>121</v>
      </c>
      <c r="S3" s="73" t="s">
        <v>125</v>
      </c>
      <c r="T3" s="45" t="s">
        <v>29</v>
      </c>
      <c r="U3" s="46" t="s">
        <v>30</v>
      </c>
      <c r="V3" s="75" t="s">
        <v>123</v>
      </c>
      <c r="W3" s="45" t="s">
        <v>29</v>
      </c>
      <c r="X3" s="45" t="s">
        <v>124</v>
      </c>
      <c r="Y3" s="74" t="s">
        <v>211</v>
      </c>
      <c r="Z3" s="45" t="s">
        <v>29</v>
      </c>
      <c r="AA3" s="45" t="s">
        <v>30</v>
      </c>
      <c r="AB3" s="45" t="s">
        <v>121</v>
      </c>
      <c r="AC3" s="73" t="s">
        <v>125</v>
      </c>
      <c r="AD3" s="45" t="s">
        <v>29</v>
      </c>
      <c r="AE3" s="46" t="s">
        <v>30</v>
      </c>
      <c r="AF3" s="74" t="s">
        <v>219</v>
      </c>
      <c r="AG3" s="45" t="s">
        <v>29</v>
      </c>
      <c r="AH3" s="45" t="s">
        <v>30</v>
      </c>
      <c r="AI3" s="45" t="s">
        <v>121</v>
      </c>
      <c r="AJ3" s="73" t="s">
        <v>125</v>
      </c>
      <c r="AK3" s="45" t="s">
        <v>29</v>
      </c>
      <c r="AL3" s="46" t="s">
        <v>30</v>
      </c>
      <c r="AM3" s="74" t="s">
        <v>220</v>
      </c>
      <c r="AN3" s="45" t="s">
        <v>29</v>
      </c>
      <c r="AO3" s="45" t="s">
        <v>30</v>
      </c>
      <c r="AP3" s="45" t="s">
        <v>121</v>
      </c>
      <c r="AQ3" s="73" t="s">
        <v>125</v>
      </c>
      <c r="AR3" s="45" t="s">
        <v>29</v>
      </c>
      <c r="AS3" s="46" t="s">
        <v>30</v>
      </c>
      <c r="AT3" s="75" t="s">
        <v>123</v>
      </c>
      <c r="AU3" s="45" t="s">
        <v>29</v>
      </c>
      <c r="AV3" s="45" t="s">
        <v>124</v>
      </c>
      <c r="AW3" s="73" t="s">
        <v>221</v>
      </c>
      <c r="AX3" s="45" t="s">
        <v>29</v>
      </c>
      <c r="AY3" s="46" t="s">
        <v>30</v>
      </c>
      <c r="AZ3" s="75" t="s">
        <v>222</v>
      </c>
      <c r="BA3" s="45" t="s">
        <v>29</v>
      </c>
      <c r="BB3" s="45" t="s">
        <v>124</v>
      </c>
      <c r="BC3" s="74" t="s">
        <v>223</v>
      </c>
      <c r="BD3" s="45" t="s">
        <v>29</v>
      </c>
      <c r="BE3" s="45" t="s">
        <v>30</v>
      </c>
      <c r="BF3" s="45" t="s">
        <v>121</v>
      </c>
      <c r="BG3" s="73" t="s">
        <v>125</v>
      </c>
      <c r="BH3" s="45" t="s">
        <v>29</v>
      </c>
      <c r="BI3" s="46" t="s">
        <v>30</v>
      </c>
      <c r="BJ3" s="74" t="s">
        <v>224</v>
      </c>
      <c r="BK3" s="45" t="s">
        <v>29</v>
      </c>
      <c r="BL3" s="45" t="s">
        <v>30</v>
      </c>
      <c r="BM3" s="45" t="s">
        <v>121</v>
      </c>
      <c r="BN3" s="73" t="s">
        <v>125</v>
      </c>
      <c r="BO3" s="45" t="s">
        <v>29</v>
      </c>
      <c r="BP3" s="46" t="s">
        <v>30</v>
      </c>
      <c r="BQ3" s="74" t="s">
        <v>225</v>
      </c>
      <c r="BR3" s="45" t="s">
        <v>29</v>
      </c>
      <c r="BS3" s="45" t="s">
        <v>30</v>
      </c>
      <c r="BT3" s="45" t="s">
        <v>121</v>
      </c>
      <c r="BU3" s="73" t="s">
        <v>125</v>
      </c>
      <c r="BV3" s="45" t="s">
        <v>29</v>
      </c>
      <c r="BW3" s="46" t="s">
        <v>30</v>
      </c>
      <c r="BX3" s="75" t="s">
        <v>123</v>
      </c>
      <c r="BY3" s="45" t="s">
        <v>29</v>
      </c>
      <c r="BZ3" s="45" t="s">
        <v>124</v>
      </c>
      <c r="CA3" s="74" t="s">
        <v>226</v>
      </c>
      <c r="CB3" s="45" t="s">
        <v>29</v>
      </c>
      <c r="CC3" s="45" t="s">
        <v>30</v>
      </c>
      <c r="CD3" s="45" t="s">
        <v>121</v>
      </c>
      <c r="CE3" s="73" t="s">
        <v>125</v>
      </c>
      <c r="CF3" s="45" t="s">
        <v>29</v>
      </c>
      <c r="CG3" s="46" t="s">
        <v>30</v>
      </c>
      <c r="CH3" s="74" t="s">
        <v>227</v>
      </c>
      <c r="CI3" s="45" t="s">
        <v>29</v>
      </c>
      <c r="CJ3" s="45" t="s">
        <v>30</v>
      </c>
      <c r="CK3" s="45" t="s">
        <v>121</v>
      </c>
      <c r="CL3" s="73" t="s">
        <v>125</v>
      </c>
      <c r="CM3" s="45" t="s">
        <v>29</v>
      </c>
      <c r="CN3" s="46" t="s">
        <v>30</v>
      </c>
      <c r="CO3" s="74" t="s">
        <v>228</v>
      </c>
      <c r="CP3" s="45" t="s">
        <v>29</v>
      </c>
      <c r="CQ3" s="45" t="s">
        <v>30</v>
      </c>
      <c r="CR3" s="45" t="s">
        <v>121</v>
      </c>
      <c r="CS3" s="179">
        <v>2025</v>
      </c>
      <c r="CT3" s="45" t="s">
        <v>29</v>
      </c>
      <c r="CU3" s="46" t="s">
        <v>30</v>
      </c>
      <c r="CV3" s="75" t="s">
        <v>123</v>
      </c>
      <c r="CW3" s="45" t="s">
        <v>29</v>
      </c>
      <c r="CX3" s="94" t="s">
        <v>124</v>
      </c>
    </row>
    <row r="4" spans="1:105" s="26" customFormat="1" ht="18" customHeight="1" x14ac:dyDescent="0.25">
      <c r="A4" s="95" t="s">
        <v>37</v>
      </c>
      <c r="B4" s="96">
        <f>+B5+B10+B15+B18</f>
        <v>0</v>
      </c>
      <c r="C4" s="97" t="str">
        <f>IF(AND(B4=0,B4&gt;=0), "",B4/B4)</f>
        <v/>
      </c>
      <c r="D4" s="98"/>
      <c r="E4" s="96">
        <f>+E5+E10+E15+E18</f>
        <v>13800</v>
      </c>
      <c r="F4" s="97">
        <f>IF(AND(E4=0,E4&gt;=0), "",E4/E4)</f>
        <v>1</v>
      </c>
      <c r="G4" s="98"/>
      <c r="H4" s="96">
        <f>+H5+H10+H15+H18</f>
        <v>0</v>
      </c>
      <c r="I4" s="97" t="str">
        <f>IF(AND(H4=0,H4&gt;=0), "",H4/H4)</f>
        <v/>
      </c>
      <c r="J4" s="98"/>
      <c r="K4" s="97">
        <f t="shared" ref="K4:K36" si="0">IF(AND(E4=0,H4&gt;0),100%,IF(AND(E4&lt;0,H4=0),(E4-H4)/E4,IF(AND(E4&gt;0,H4&gt;0),(H4-E4)/E4,IF(AND(E4=0,H4=0),"",(H4-E4)/E4))))</f>
        <v>-1</v>
      </c>
      <c r="L4" s="99">
        <f>+L5+L10+L15+L18</f>
        <v>13800</v>
      </c>
      <c r="M4" s="97">
        <f>IF(AND(L4=0,L4&gt;=0), "",L4/L4)</f>
        <v>1</v>
      </c>
      <c r="N4" s="98"/>
      <c r="O4" s="96">
        <f>+O5+O10+O15+O18</f>
        <v>0</v>
      </c>
      <c r="P4" s="97" t="str">
        <f>IF(AND(O4=0,O4&gt;=0), "",O4/O4)</f>
        <v/>
      </c>
      <c r="Q4" s="98"/>
      <c r="R4" s="97" t="str">
        <f t="shared" ref="R4:R31" si="1">IF(AND(H4=0,O4&gt;0),100%,IF(AND(H4&lt;0,O4=0),(H4-O4)/H4,IF(AND(H4&gt;0,O4&gt;0),(O4-H4)/H4,IF(AND(H4=0,O4=0),"",(O4-H4)/H4))))</f>
        <v/>
      </c>
      <c r="S4" s="99">
        <f>+S5+S10+S15+S18</f>
        <v>13800</v>
      </c>
      <c r="T4" s="97">
        <f>IF(AND(S4=0,S4&gt;=0), "",S4/S4)</f>
        <v>1</v>
      </c>
      <c r="U4" s="98"/>
      <c r="V4" s="100">
        <f>+V5+V10+V15+V18</f>
        <v>0</v>
      </c>
      <c r="W4" s="97" t="str">
        <f>IF(AND(V4=0,V4&gt;=0), "",V4/V4)</f>
        <v/>
      </c>
      <c r="X4" s="98">
        <f t="shared" ref="X4:X36" si="2">IF(AND(V4=0,S4&gt;0),100%,IF(AND(V4&lt;0,S4=0),(V4-S4)/V4,IF(AND(V4&gt;0,S4&gt;0),(S4-V4)/V4,IF(AND(V4=0,S4=0),"",(S4-V4)/V4))))</f>
        <v>1</v>
      </c>
      <c r="Y4" s="96">
        <f>+Y5+Y10+Y15+Y18</f>
        <v>0</v>
      </c>
      <c r="Z4" s="97" t="str">
        <f>IF(AND(Y4=0,Y4&gt;=0), "",Y4/Y4)</f>
        <v/>
      </c>
      <c r="AA4" s="98"/>
      <c r="AB4" s="97" t="str">
        <f t="shared" ref="AB4:AB36" si="3">IF(AND(O4=0,Y4&gt;0),100%,IF(AND(O4&lt;0,Y4=0),(O4-Y4)/O4,IF(AND(O4&gt;0,Y4&gt;0),(Y4-O4)/O4,IF(AND(O4=0,Y4=0),"",(Y4-O4)/O4))))</f>
        <v/>
      </c>
      <c r="AC4" s="99">
        <f>+AC5+AC10+AC15+AC18</f>
        <v>13800</v>
      </c>
      <c r="AD4" s="97">
        <f>IF(AND(AC4=0,AC4&gt;=0), "",AC4/AC4)</f>
        <v>1</v>
      </c>
      <c r="AE4" s="98"/>
      <c r="AF4" s="96">
        <f>+AF5+AF10+AF15+AF18</f>
        <v>0</v>
      </c>
      <c r="AG4" s="97" t="str">
        <f>IF(AND(AF4=0,AF4&gt;=0), "",AF4/AF4)</f>
        <v/>
      </c>
      <c r="AH4" s="98"/>
      <c r="AI4" s="97" t="str">
        <f t="shared" ref="AI4:AI35" si="4">IF(AND(Y4=0,AF4&gt;0),100%,IF(AND(Y4&lt;0,AF4=0),(Y4-AF4)/Y4,IF(AND(Y4&gt;0,AF4&gt;0),(AF4-Y4)/Y4,IF(AND(Y4=0,AF4=0),"",(AF4-Y4)/Y4))))</f>
        <v/>
      </c>
      <c r="AJ4" s="99">
        <f>+AJ5+AJ10+AJ15+AJ18</f>
        <v>13800</v>
      </c>
      <c r="AK4" s="97">
        <f>IF(AND(AJ4=0,AJ4&gt;=0), "",AJ4/AJ4)</f>
        <v>1</v>
      </c>
      <c r="AL4" s="98"/>
      <c r="AM4" s="96">
        <f>+AM5+AM10+AM15+AM18</f>
        <v>0</v>
      </c>
      <c r="AN4" s="97" t="str">
        <f>IF(AND(AM4=0,AM4&gt;=0), "",AM4/AM4)</f>
        <v/>
      </c>
      <c r="AO4" s="98"/>
      <c r="AP4" s="97" t="str">
        <f t="shared" ref="AP4:AP35" si="5">IF(AND(AF4=0,AM4&gt;0),100%,IF(AND(AF4&lt;0,AM4=0),(AF4-AM4)/AF4,IF(AND(AF4&gt;0,AM4&gt;0),(AM4-AF4)/AF4,IF(AND(AF4=0,AM4=0),"",(AM4-AF4)/AF4))))</f>
        <v/>
      </c>
      <c r="AQ4" s="99">
        <f>+AQ5+AQ10+AQ15+AQ18</f>
        <v>13800</v>
      </c>
      <c r="AR4" s="97">
        <f>IF(AND(AQ4=0,AQ4&gt;=0), "",AQ4/AQ4)</f>
        <v>1</v>
      </c>
      <c r="AS4" s="98"/>
      <c r="AT4" s="100">
        <f>+AT5+AT10+AT15+AT18</f>
        <v>0</v>
      </c>
      <c r="AU4" s="97" t="str">
        <f>IF(AND(AT4=0,AT4&gt;=0), "",AT4/AT4)</f>
        <v/>
      </c>
      <c r="AV4" s="98">
        <f t="shared" ref="AV4:AV36" si="6">IF(AND(AT4=0,AQ4&gt;0),100%,IF(AND(AT4&lt;0,AQ4=0),(AT4-AQ4)/AT4,IF(AND(AT4&gt;0,AQ4&gt;0),(AQ4-AT4)/AT4,IF(AND(AT4=0,AQ4=0),"",(AQ4-AT4)/AT4))))</f>
        <v>1</v>
      </c>
      <c r="AW4" s="100">
        <f>+AW5+AW10+AW15+AW18</f>
        <v>2300.0000000000005</v>
      </c>
      <c r="AX4" s="97">
        <f>IF(AND(AW4=0,AW4&gt;=0), "",AW4/AW4)</f>
        <v>1</v>
      </c>
      <c r="AY4" s="98"/>
      <c r="AZ4" s="100">
        <f>+AZ5+AZ10+AZ15+AZ18</f>
        <v>0</v>
      </c>
      <c r="BA4" s="97" t="str">
        <f>IF(AND(AZ4=0,AZ4&gt;=0), "",AZ4/AZ4)</f>
        <v/>
      </c>
      <c r="BB4" s="98">
        <f t="shared" ref="BB4:BB36" si="7">IF(AND(AZ4=0,AW4&gt;0),100%,IF(AND(AZ4&lt;0,AW4=0),(AZ4-AW4)/AZ4,IF(AND(AZ4&gt;0,AW4&gt;0),(AW4-AZ4)/AZ4,IF(AND(AZ4=0,AW4=0),"",(AW4-AZ4)/AZ4))))</f>
        <v>1</v>
      </c>
      <c r="BC4" s="96">
        <f>+BC5+BC10+BC15+BC18</f>
        <v>0</v>
      </c>
      <c r="BD4" s="97" t="str">
        <f>IF(AND(BC4=0,BC4&gt;=0), "",BC4/BC4)</f>
        <v/>
      </c>
      <c r="BE4" s="98"/>
      <c r="BF4" s="97" t="str">
        <f t="shared" ref="BF4:BF36" si="8">IF(AND(AM4=0,BC4&gt;0),100%,IF(AND(AM4&lt;0,BC4=0),(AM4-BC4)/AM4,IF(AND(AM4&gt;0,BC4&gt;0),(BC4-AM4)/AM4,IF(AND(AM4=0,BC4=0),"",(BC4-AM4)/AM4))))</f>
        <v/>
      </c>
      <c r="BG4" s="99">
        <f>+BG5+BG10+BG15+BG18</f>
        <v>13800</v>
      </c>
      <c r="BH4" s="97">
        <f>IF(AND(BG4=0,BG4&gt;=0), "",BG4/BG4)</f>
        <v>1</v>
      </c>
      <c r="BI4" s="98"/>
      <c r="BJ4" s="96">
        <f>+BJ5+BJ10+BJ15+BJ18</f>
        <v>0</v>
      </c>
      <c r="BK4" s="97" t="str">
        <f>IF(AND(BJ4=0,BJ4&gt;=0), "",BJ4/BJ4)</f>
        <v/>
      </c>
      <c r="BL4" s="98"/>
      <c r="BM4" s="97" t="str">
        <f t="shared" ref="BM4:BM35" si="9">IF(AND(BC4=0,BJ4&gt;0),100%,IF(AND(BC4&lt;0,BJ4=0),(BC4-BJ4)/BC4,IF(AND(BC4&gt;0,BJ4&gt;0),(BJ4-BC4)/BC4,IF(AND(BC4=0,BJ4=0),"",(BJ4-BC4)/BC4))))</f>
        <v/>
      </c>
      <c r="BN4" s="99">
        <f>+BN5+BN10+BN15+BN18</f>
        <v>13800</v>
      </c>
      <c r="BO4" s="97">
        <f>IF(AND(BN4=0,BN4&gt;=0), "",BN4/BN4)</f>
        <v>1</v>
      </c>
      <c r="BP4" s="98"/>
      <c r="BQ4" s="96">
        <f>+BQ5+BQ10+BQ15+BQ18</f>
        <v>0</v>
      </c>
      <c r="BR4" s="97" t="str">
        <f>IF(AND(BQ4=0,BQ4&gt;=0), "",BQ4/BQ4)</f>
        <v/>
      </c>
      <c r="BS4" s="98"/>
      <c r="BT4" s="97" t="str">
        <f t="shared" ref="BT4:BT35" si="10">IF(AND(BJ4=0,BQ4&gt;0),100%,IF(AND(BJ4&lt;0,BQ4=0),(BJ4-BQ4)/BJ4,IF(AND(BJ4&gt;0,BQ4&gt;0),(BQ4-BJ4)/BJ4,IF(AND(BJ4=0,BQ4=0),"",(BQ4-BJ4)/BJ4))))</f>
        <v/>
      </c>
      <c r="BU4" s="99">
        <f>+BU5+BU10+BU15+BU18</f>
        <v>13800</v>
      </c>
      <c r="BV4" s="97">
        <f>IF(AND(BU4=0,BU4&gt;=0), "",BU4/BU4)</f>
        <v>1</v>
      </c>
      <c r="BW4" s="98"/>
      <c r="BX4" s="100">
        <f>+BX5+BX10+BX15+BX18</f>
        <v>0</v>
      </c>
      <c r="BY4" s="97" t="str">
        <f>IF(AND(BX4=0,BX4&gt;=0), "",BX4/BX4)</f>
        <v/>
      </c>
      <c r="BZ4" s="98">
        <f t="shared" ref="BZ4:BZ35" si="11">IF(AND(BX4=0,BU4&gt;0),100%,IF(AND(BX4&lt;0,BU4=0),(BX4-BU4)/BX4,IF(AND(BX4&gt;0,BU4&gt;0),(BU4-BX4)/BX4,IF(AND(BX4=0,BU4=0),"",(BU4-BX4)/BX4))))</f>
        <v>1</v>
      </c>
      <c r="CA4" s="96">
        <f>+CA5+CA10+CA15+CA18</f>
        <v>0</v>
      </c>
      <c r="CB4" s="97" t="str">
        <f>IF(AND(CA4=0,CA4&gt;=0), "",CA4/CA4)</f>
        <v/>
      </c>
      <c r="CC4" s="98"/>
      <c r="CD4" s="97" t="str">
        <f t="shared" ref="CD4:CD36" si="12">IF(AND(BQ4=0,CA4&gt;0),100%,IF(AND(BQ4&lt;0,CA4=0),(BQ4-CA4)/BQ4,IF(AND(BQ4&gt;0,CA4&gt;0),(CA4-BQ4)/BQ4,IF(AND(BQ4=0,CA4=0),"",(CA4-BQ4)/BQ4))))</f>
        <v/>
      </c>
      <c r="CE4" s="99">
        <f>+CE5+CE10+CE15+CE18</f>
        <v>13800</v>
      </c>
      <c r="CF4" s="97">
        <f>IF(AND(CE4=0,CE4&gt;=0), "",CE4/CE4)</f>
        <v>1</v>
      </c>
      <c r="CG4" s="98"/>
      <c r="CH4" s="96">
        <f>+CH5+CH10+CH15+CH18</f>
        <v>0</v>
      </c>
      <c r="CI4" s="97" t="str">
        <f>IF(AND(CH4=0,CH4&gt;=0), "",CH4/CH4)</f>
        <v/>
      </c>
      <c r="CJ4" s="98"/>
      <c r="CK4" s="97" t="str">
        <f t="shared" ref="CK4:CK35" si="13">IF(AND(CA4=0,CH4&gt;0),100%,IF(AND(CA4&lt;0,CH4=0),(CA4-CH4)/CA4,IF(AND(CA4&gt;0,CH4&gt;0),(CH4-CA4)/CA4,IF(AND(CA4=0,CH4=0),"",(CH4-CA4)/CA4))))</f>
        <v/>
      </c>
      <c r="CL4" s="99">
        <f>+CL5+CL10+CL15+CL18</f>
        <v>13800</v>
      </c>
      <c r="CM4" s="97">
        <f>IF(AND(CL4=0,CL4&gt;=0), "",CL4/CL4)</f>
        <v>1</v>
      </c>
      <c r="CN4" s="98"/>
      <c r="CO4" s="96">
        <f>+CO5+CO10+CO15+CO18</f>
        <v>0</v>
      </c>
      <c r="CP4" s="97" t="str">
        <f>IF(AND(CO4=0,CO4&gt;=0), "",CO4/CO4)</f>
        <v/>
      </c>
      <c r="CQ4" s="98"/>
      <c r="CR4" s="97" t="str">
        <f t="shared" ref="CR4:CR35" si="14">IF(AND(CH4=0,CO4&gt;0),100%,IF(AND(CH4&lt;0,CO4=0),(CH4-CO4)/CH4,IF(AND(CH4&gt;0,CO4&gt;0),(CO4-CH4)/CH4,IF(AND(CH4=0,CO4=0),"",(CO4-CH4)/CH4))))</f>
        <v/>
      </c>
      <c r="CS4" s="99">
        <f>+CS5+CS10+CS15+CS18</f>
        <v>13800</v>
      </c>
      <c r="CT4" s="97">
        <f>IF(AND(CS4=0,CS4&gt;=0), "",CS4/CS4)</f>
        <v>1</v>
      </c>
      <c r="CU4" s="98"/>
      <c r="CV4" s="100">
        <f>+CV5+CV10+CV15+CV18</f>
        <v>0</v>
      </c>
      <c r="CW4" s="97" t="str">
        <f>IF(AND(CV4=0,CV4&gt;=0), "",CV4/CV4)</f>
        <v/>
      </c>
      <c r="CX4" s="98">
        <f t="shared" ref="CX4:CX35" si="15">IF(AND(CV4=0,CS4&gt;0),100%,IF(AND(CV4&lt;0,CS4=0),(CV4-CS4)/CV4,IF(AND(CV4&gt;0,CS4&gt;0),(CS4-CV4)/CV4,IF(AND(CV4=0,CS4=0),"",(CS4-CV4)/CV4))))</f>
        <v>1</v>
      </c>
      <c r="CY4" s="26">
        <f>+CS4/9</f>
        <v>1533.3333333333333</v>
      </c>
      <c r="CZ4" s="26">
        <f>+B4/12</f>
        <v>0</v>
      </c>
      <c r="DA4" s="218" t="e">
        <f>+(CY4-CZ4)/CZ4</f>
        <v>#DIV/0!</v>
      </c>
    </row>
    <row r="5" spans="1:105" s="6" customFormat="1" outlineLevel="1" x14ac:dyDescent="0.25">
      <c r="A5" s="34" t="s">
        <v>39</v>
      </c>
      <c r="B5" s="79">
        <f>+B6+B7+B8</f>
        <v>0</v>
      </c>
      <c r="C5" s="35" t="str">
        <f>IF(AND(B4=0,B5&gt;=0), "",B5/B4)</f>
        <v/>
      </c>
      <c r="D5" s="38"/>
      <c r="E5" s="79">
        <f>+E6+E7+E8</f>
        <v>13500</v>
      </c>
      <c r="F5" s="35">
        <f>IF(AND(E4=0,E5&gt;=0), "",E5/E4)</f>
        <v>0.97826086956521741</v>
      </c>
      <c r="G5" s="38"/>
      <c r="H5" s="79">
        <f>+H6+H7+H8</f>
        <v>0</v>
      </c>
      <c r="I5" s="35" t="str">
        <f>IF(AND(H4=0,H5&gt;=0), "",H5/H4)</f>
        <v/>
      </c>
      <c r="J5" s="38"/>
      <c r="K5" s="35">
        <f t="shared" si="0"/>
        <v>-1</v>
      </c>
      <c r="L5" s="80">
        <f>+L6+L7+L8</f>
        <v>13500</v>
      </c>
      <c r="M5" s="35">
        <f>IF(AND(L4=0,L5&gt;=0), "",L5/L4)</f>
        <v>0.97826086956521741</v>
      </c>
      <c r="N5" s="38"/>
      <c r="O5" s="79">
        <f>+O6+O7+O8</f>
        <v>0</v>
      </c>
      <c r="P5" s="35" t="str">
        <f>IF(AND(O4=0,O5&gt;=0), "",O5/O4)</f>
        <v/>
      </c>
      <c r="Q5" s="38"/>
      <c r="R5" s="35" t="str">
        <f t="shared" si="1"/>
        <v/>
      </c>
      <c r="S5" s="80">
        <f>+S6+S7+S8</f>
        <v>13500</v>
      </c>
      <c r="T5" s="35">
        <f>IF(AND(S4=0,S5&gt;=0), "",S5/S4)</f>
        <v>0.97826086956521741</v>
      </c>
      <c r="U5" s="38"/>
      <c r="V5" s="81">
        <f>+V6+V7+V8</f>
        <v>0</v>
      </c>
      <c r="W5" s="35" t="str">
        <f>IF(AND(V4=0,V5&gt;=0), "",V5/V4)</f>
        <v/>
      </c>
      <c r="X5" s="51">
        <f t="shared" si="2"/>
        <v>1</v>
      </c>
      <c r="Y5" s="79">
        <f>+Y6+Y7+Y8</f>
        <v>0</v>
      </c>
      <c r="Z5" s="35" t="str">
        <f>IF(AND(Y4=0,Y5&gt;=0), "",Y5/Y4)</f>
        <v/>
      </c>
      <c r="AA5" s="38"/>
      <c r="AB5" s="35" t="str">
        <f t="shared" si="3"/>
        <v/>
      </c>
      <c r="AC5" s="80">
        <f>+AC6+AC7+AC8</f>
        <v>13500</v>
      </c>
      <c r="AD5" s="35">
        <f>IF(AND(AC4=0,AC5&gt;=0), "",AC5/AC4)</f>
        <v>0.97826086956521741</v>
      </c>
      <c r="AE5" s="38"/>
      <c r="AF5" s="79">
        <f>+AF6+AF7+AF8</f>
        <v>0</v>
      </c>
      <c r="AG5" s="35" t="str">
        <f>IF(AND(AF4=0,AF5&gt;=0), "",AF5/AF4)</f>
        <v/>
      </c>
      <c r="AH5" s="38"/>
      <c r="AI5" s="35" t="str">
        <f t="shared" si="4"/>
        <v/>
      </c>
      <c r="AJ5" s="80">
        <f>+AJ6+AJ7+AJ8</f>
        <v>13500</v>
      </c>
      <c r="AK5" s="35">
        <f>IF(AND(AJ4=0,AJ5&gt;=0), "",AJ5/AJ4)</f>
        <v>0.97826086956521741</v>
      </c>
      <c r="AL5" s="38"/>
      <c r="AM5" s="79">
        <f>+AM6+AM7+AM8</f>
        <v>0</v>
      </c>
      <c r="AN5" s="35" t="str">
        <f>IF(AND(AM4=0,AM5&gt;=0), "",AM5/AM4)</f>
        <v/>
      </c>
      <c r="AO5" s="38"/>
      <c r="AP5" s="35" t="str">
        <f t="shared" si="5"/>
        <v/>
      </c>
      <c r="AQ5" s="80">
        <f>+AQ6+AQ7+AQ8</f>
        <v>13500</v>
      </c>
      <c r="AR5" s="35">
        <f>IF(AND(AQ4=0,AQ5&gt;=0), "",AQ5/AQ4)</f>
        <v>0.97826086956521741</v>
      </c>
      <c r="AS5" s="38"/>
      <c r="AT5" s="81">
        <f>+AT6+AT7+AT8</f>
        <v>0</v>
      </c>
      <c r="AU5" s="35" t="str">
        <f>IF(AND(AT4=0,AT5&gt;=0), "",AT5/AT4)</f>
        <v/>
      </c>
      <c r="AV5" s="51">
        <f t="shared" si="6"/>
        <v>1</v>
      </c>
      <c r="AW5" s="81">
        <f>+AW6+AW7+AW8</f>
        <v>2250</v>
      </c>
      <c r="AX5" s="35">
        <f>IF(AND(AW4=0,AW5&gt;=0), "",AW5/AW4)</f>
        <v>0.97826086956521718</v>
      </c>
      <c r="AY5" s="38"/>
      <c r="AZ5" s="81">
        <f>+AZ6+AZ7+AZ8</f>
        <v>0</v>
      </c>
      <c r="BA5" s="35" t="str">
        <f>IF(AND(AZ4=0,AZ5&gt;=0), "",AZ5/AZ4)</f>
        <v/>
      </c>
      <c r="BB5" s="51">
        <f t="shared" si="7"/>
        <v>1</v>
      </c>
      <c r="BC5" s="79">
        <f>+BC6+BC7+BC8</f>
        <v>0</v>
      </c>
      <c r="BD5" s="35" t="str">
        <f>IF(AND(BC4=0,BC5&gt;=0), "",BC5/BC4)</f>
        <v/>
      </c>
      <c r="BE5" s="38"/>
      <c r="BF5" s="35" t="str">
        <f t="shared" si="8"/>
        <v/>
      </c>
      <c r="BG5" s="80">
        <f>+BG6+BG7+BG8</f>
        <v>13500</v>
      </c>
      <c r="BH5" s="35">
        <f>IF(AND(BG4=0,BG5&gt;=0), "",BG5/BG4)</f>
        <v>0.97826086956521741</v>
      </c>
      <c r="BI5" s="38"/>
      <c r="BJ5" s="79">
        <f>+BJ6+BJ7+BJ8</f>
        <v>0</v>
      </c>
      <c r="BK5" s="35" t="str">
        <f>IF(AND(BJ4=0,BJ5&gt;=0), "",BJ5/BJ4)</f>
        <v/>
      </c>
      <c r="BL5" s="38"/>
      <c r="BM5" s="35" t="str">
        <f t="shared" si="9"/>
        <v/>
      </c>
      <c r="BN5" s="80">
        <f>+BN6+BN7+BN8</f>
        <v>13500</v>
      </c>
      <c r="BO5" s="35">
        <f>IF(AND(BN4=0,BN5&gt;=0), "",BN5/BN4)</f>
        <v>0.97826086956521741</v>
      </c>
      <c r="BP5" s="38"/>
      <c r="BQ5" s="79">
        <f>+BQ6+BQ7+BQ8</f>
        <v>0</v>
      </c>
      <c r="BR5" s="35" t="str">
        <f>IF(AND(BQ4=0,BQ5&gt;=0), "",BQ5/BQ4)</f>
        <v/>
      </c>
      <c r="BS5" s="38"/>
      <c r="BT5" s="35" t="str">
        <f t="shared" si="10"/>
        <v/>
      </c>
      <c r="BU5" s="80">
        <f>+BU6+BU7+BU8</f>
        <v>13500</v>
      </c>
      <c r="BV5" s="35">
        <f>IF(AND(BU4=0,BU5&gt;=0), "",BU5/BU4)</f>
        <v>0.97826086956521741</v>
      </c>
      <c r="BW5" s="38"/>
      <c r="BX5" s="81">
        <f>+BX6+BX7+BX8</f>
        <v>0</v>
      </c>
      <c r="BY5" s="35" t="str">
        <f>IF(AND(BX4=0,BX5&gt;=0), "",BX5/BX4)</f>
        <v/>
      </c>
      <c r="BZ5" s="51">
        <f t="shared" si="11"/>
        <v>1</v>
      </c>
      <c r="CA5" s="79">
        <f>+CA6+CA7+CA8</f>
        <v>0</v>
      </c>
      <c r="CB5" s="35" t="str">
        <f>IF(AND(CA4=0,CA5&gt;=0), "",CA5/CA4)</f>
        <v/>
      </c>
      <c r="CC5" s="38"/>
      <c r="CD5" s="35" t="str">
        <f t="shared" si="12"/>
        <v/>
      </c>
      <c r="CE5" s="80">
        <f>+CE6+CE7+CE8</f>
        <v>13500</v>
      </c>
      <c r="CF5" s="35">
        <f>IF(AND(CE4=0,CE5&gt;=0), "",CE5/CE4)</f>
        <v>0.97826086956521741</v>
      </c>
      <c r="CG5" s="38"/>
      <c r="CH5" s="79">
        <f>+CH6+CH7+CH8</f>
        <v>0</v>
      </c>
      <c r="CI5" s="35" t="str">
        <f>IF(AND(CH4=0,CH5&gt;=0), "",CH5/CH4)</f>
        <v/>
      </c>
      <c r="CJ5" s="38"/>
      <c r="CK5" s="35" t="str">
        <f t="shared" si="13"/>
        <v/>
      </c>
      <c r="CL5" s="80">
        <f>+CL6+CL7+CL8</f>
        <v>13500</v>
      </c>
      <c r="CM5" s="35">
        <f>IF(AND(CL4=0,CL5&gt;=0), "",CL5/CL4)</f>
        <v>0.97826086956521741</v>
      </c>
      <c r="CN5" s="38"/>
      <c r="CO5" s="79">
        <f>+CO6+CO7+CO8</f>
        <v>0</v>
      </c>
      <c r="CP5" s="35" t="str">
        <f>IF(AND(CO4=0,CO5&gt;=0), "",CO5/CO4)</f>
        <v/>
      </c>
      <c r="CQ5" s="38"/>
      <c r="CR5" s="35" t="str">
        <f t="shared" si="14"/>
        <v/>
      </c>
      <c r="CS5" s="80">
        <f>+CS6+CS7+CS8</f>
        <v>13500</v>
      </c>
      <c r="CT5" s="35">
        <f>IF(AND(CS4=0,CS5&gt;=0), "",CS5/CS4)</f>
        <v>0.97826086956521741</v>
      </c>
      <c r="CU5" s="38"/>
      <c r="CV5" s="81">
        <f>+CV6+CV7+CV8</f>
        <v>0</v>
      </c>
      <c r="CW5" s="35" t="str">
        <f>IF(AND(CV4=0,CV5&gt;=0), "",CV5/CV4)</f>
        <v/>
      </c>
      <c r="CX5" s="51">
        <f t="shared" si="15"/>
        <v>1</v>
      </c>
    </row>
    <row r="6" spans="1:105" outlineLevel="1" x14ac:dyDescent="0.25">
      <c r="A6" s="27" t="s">
        <v>34</v>
      </c>
      <c r="B6" s="82">
        <f>+'N EERR'!B6</f>
        <v>0</v>
      </c>
      <c r="C6" s="28" t="str">
        <f>IF(AND(B4=0,B6&gt;=0), "",B6/B4)</f>
        <v/>
      </c>
      <c r="D6" s="39"/>
      <c r="E6" s="82">
        <f>+'N EERR'!C6</f>
        <v>15000</v>
      </c>
      <c r="F6" s="28">
        <f>IF(AND(E4=0,E6&gt;=0), "",E6/E4)</f>
        <v>1.0869565217391304</v>
      </c>
      <c r="G6" s="39"/>
      <c r="H6" s="82">
        <f>+'N EERR'!D6</f>
        <v>0</v>
      </c>
      <c r="I6" s="28" t="str">
        <f>IF(AND(H4=0,H6&gt;=0), "",H6/H4)</f>
        <v/>
      </c>
      <c r="J6" s="39"/>
      <c r="K6" s="28">
        <f t="shared" si="0"/>
        <v>-1</v>
      </c>
      <c r="L6" s="83">
        <f>+E6+H6</f>
        <v>15000</v>
      </c>
      <c r="M6" s="28">
        <f>IF(AND(L4=0,L6&gt;=0), "",L6/L4)</f>
        <v>1.0869565217391304</v>
      </c>
      <c r="N6" s="39"/>
      <c r="O6" s="82">
        <f>+'N EERR'!E6</f>
        <v>0</v>
      </c>
      <c r="P6" s="28" t="str">
        <f>IF(AND(O4=0,O6&gt;=0), "",O6/O4)</f>
        <v/>
      </c>
      <c r="Q6" s="39"/>
      <c r="R6" s="28" t="str">
        <f t="shared" si="1"/>
        <v/>
      </c>
      <c r="S6" s="83">
        <f>+L6+O6</f>
        <v>15000</v>
      </c>
      <c r="T6" s="28">
        <f>IF(AND(S4=0,S6&gt;=0), "",S6/S4)</f>
        <v>1.0869565217391304</v>
      </c>
      <c r="U6" s="39"/>
      <c r="V6" s="84"/>
      <c r="W6" s="28" t="str">
        <f>IF(AND(V4=0,V6&gt;=0), "",V6/V4)</f>
        <v/>
      </c>
      <c r="X6" s="42">
        <f t="shared" si="2"/>
        <v>1</v>
      </c>
      <c r="Y6" s="82">
        <f>+'N EERR'!F6</f>
        <v>0</v>
      </c>
      <c r="Z6" s="28" t="str">
        <f>IF(AND(Y4=0,Y6&gt;=0), "",Y6/Y4)</f>
        <v/>
      </c>
      <c r="AA6" s="39"/>
      <c r="AB6" s="28" t="str">
        <f t="shared" si="3"/>
        <v/>
      </c>
      <c r="AC6" s="83">
        <f>+S6+Y6</f>
        <v>15000</v>
      </c>
      <c r="AD6" s="28">
        <f>IF(AND(AC4=0,AC6&gt;=0), "",AC6/AC4)</f>
        <v>1.0869565217391304</v>
      </c>
      <c r="AE6" s="39"/>
      <c r="AF6" s="82">
        <f>+'N EERR'!G6</f>
        <v>0</v>
      </c>
      <c r="AG6" s="28" t="str">
        <f>IF(AND(AF4=0,AF6&gt;=0), "",AF6/AF4)</f>
        <v/>
      </c>
      <c r="AH6" s="39"/>
      <c r="AI6" s="28" t="str">
        <f t="shared" si="4"/>
        <v/>
      </c>
      <c r="AJ6" s="83">
        <f>+AC6+AF6</f>
        <v>15000</v>
      </c>
      <c r="AK6" s="28">
        <f>IF(AND(AJ4=0,AJ6&gt;=0), "",AJ6/AJ4)</f>
        <v>1.0869565217391304</v>
      </c>
      <c r="AL6" s="39"/>
      <c r="AM6" s="82">
        <f>+'N EERR'!H6</f>
        <v>0</v>
      </c>
      <c r="AN6" s="28" t="str">
        <f>IF(AND(AM4=0,AM6&gt;=0), "",AM6/AM4)</f>
        <v/>
      </c>
      <c r="AO6" s="39"/>
      <c r="AP6" s="28" t="str">
        <f t="shared" si="5"/>
        <v/>
      </c>
      <c r="AQ6" s="83">
        <f>+AJ6+AM6</f>
        <v>15000</v>
      </c>
      <c r="AR6" s="28">
        <f>IF(AND(AQ4=0,AQ6&gt;=0), "",AQ6/AQ4)</f>
        <v>1.0869565217391304</v>
      </c>
      <c r="AS6" s="39"/>
      <c r="AT6" s="84">
        <f>+V6*2</f>
        <v>0</v>
      </c>
      <c r="AU6" s="28" t="str">
        <f>IF(AND(AT4=0,AT6&gt;=0), "",AT6/AT4)</f>
        <v/>
      </c>
      <c r="AV6" s="42">
        <f t="shared" si="6"/>
        <v>1</v>
      </c>
      <c r="AW6" s="84">
        <f>+AQ6/6</f>
        <v>2500</v>
      </c>
      <c r="AX6" s="28">
        <f>IF(AND(AW4=0,AW6&gt;=0), "",AW6/AW4)</f>
        <v>1.0869565217391302</v>
      </c>
      <c r="AY6" s="39"/>
      <c r="AZ6" s="84">
        <f>+AT6/6</f>
        <v>0</v>
      </c>
      <c r="BA6" s="28" t="str">
        <f>IF(AND(AZ4=0,AZ6&gt;=0), "",AZ6/AZ4)</f>
        <v/>
      </c>
      <c r="BB6" s="42">
        <f t="shared" si="7"/>
        <v>1</v>
      </c>
      <c r="BC6" s="82">
        <f>+'N EERR'!I6</f>
        <v>0</v>
      </c>
      <c r="BD6" s="28" t="str">
        <f>IF(AND(BC4=0,BC6&gt;=0), "",BC6/BC4)</f>
        <v/>
      </c>
      <c r="BE6" s="39"/>
      <c r="BF6" s="28" t="str">
        <f t="shared" si="8"/>
        <v/>
      </c>
      <c r="BG6" s="83">
        <f>+AQ6+BC6</f>
        <v>15000</v>
      </c>
      <c r="BH6" s="28">
        <f>IF(AND(BG4=0,BG6&gt;=0), "",BG6/BG4)</f>
        <v>1.0869565217391304</v>
      </c>
      <c r="BI6" s="39"/>
      <c r="BJ6" s="82">
        <f>+'N EERR'!J6</f>
        <v>0</v>
      </c>
      <c r="BK6" s="28" t="str">
        <f>IF(AND(BJ4=0,BJ6&gt;=0), "",BJ6/BJ4)</f>
        <v/>
      </c>
      <c r="BL6" s="39"/>
      <c r="BM6" s="28" t="str">
        <f t="shared" si="9"/>
        <v/>
      </c>
      <c r="BN6" s="83">
        <f>+BG6+BJ6</f>
        <v>15000</v>
      </c>
      <c r="BO6" s="28">
        <f>IF(AND(BN4=0,BN6&gt;=0), "",BN6/BN4)</f>
        <v>1.0869565217391304</v>
      </c>
      <c r="BP6" s="39"/>
      <c r="BQ6" s="82">
        <f>+'N EERR'!K6</f>
        <v>0</v>
      </c>
      <c r="BR6" s="28" t="str">
        <f>IF(AND(BQ4=0,BQ6&gt;=0), "",BQ6/BQ4)</f>
        <v/>
      </c>
      <c r="BS6" s="39"/>
      <c r="BT6" s="28" t="str">
        <f t="shared" si="10"/>
        <v/>
      </c>
      <c r="BU6" s="83">
        <f>+BN6+BQ6</f>
        <v>15000</v>
      </c>
      <c r="BV6" s="28">
        <f>IF(AND(BU4=0,BU6&gt;=0), "",BU6/BU4)</f>
        <v>1.0869565217391304</v>
      </c>
      <c r="BW6" s="39"/>
      <c r="BX6" s="84">
        <f>+AZ6*9</f>
        <v>0</v>
      </c>
      <c r="BY6" s="28" t="str">
        <f>IF(AND(BX4=0,BX6&gt;=0), "",BX6/BX4)</f>
        <v/>
      </c>
      <c r="BZ6" s="42">
        <f t="shared" si="11"/>
        <v>1</v>
      </c>
      <c r="CA6" s="82">
        <f>+'N EERR'!L6</f>
        <v>0</v>
      </c>
      <c r="CB6" s="28" t="str">
        <f>IF(AND(CA4=0,CA6&gt;=0), "",CA6/CA4)</f>
        <v/>
      </c>
      <c r="CC6" s="39"/>
      <c r="CD6" s="28" t="str">
        <f t="shared" si="12"/>
        <v/>
      </c>
      <c r="CE6" s="83">
        <f>+BU6+CA6</f>
        <v>15000</v>
      </c>
      <c r="CF6" s="28">
        <f>IF(AND(CE4=0,CE6&gt;=0), "",CE6/CE4)</f>
        <v>1.0869565217391304</v>
      </c>
      <c r="CG6" s="39"/>
      <c r="CH6" s="82">
        <f>+'N EERR'!M6</f>
        <v>0</v>
      </c>
      <c r="CI6" s="28" t="str">
        <f>IF(AND(CH4=0,CH6&gt;=0), "",CH6/CH4)</f>
        <v/>
      </c>
      <c r="CJ6" s="39"/>
      <c r="CK6" s="28" t="str">
        <f t="shared" si="13"/>
        <v/>
      </c>
      <c r="CL6" s="83">
        <f>+CE6+CH6</f>
        <v>15000</v>
      </c>
      <c r="CM6" s="28">
        <f>IF(AND(CL4=0,CL6&gt;=0), "",CL6/CL4)</f>
        <v>1.0869565217391304</v>
      </c>
      <c r="CN6" s="39"/>
      <c r="CO6" s="82">
        <f>+'N EERR'!N6</f>
        <v>0</v>
      </c>
      <c r="CP6" s="28" t="str">
        <f>IF(AND(CO4=0,CO6&gt;=0), "",CO6/CO4)</f>
        <v/>
      </c>
      <c r="CQ6" s="39"/>
      <c r="CR6" s="28" t="str">
        <f t="shared" si="14"/>
        <v/>
      </c>
      <c r="CS6" s="83">
        <f>+CL6+CO6</f>
        <v>15000</v>
      </c>
      <c r="CT6" s="28">
        <f>IF(AND(CS4=0,CS6&gt;=0), "",CS6/CS4)</f>
        <v>1.0869565217391304</v>
      </c>
      <c r="CU6" s="39"/>
      <c r="CV6" s="84">
        <f>+AZ6*12</f>
        <v>0</v>
      </c>
      <c r="CW6" s="28" t="str">
        <f>IF(AND(CV4=0,CV6&gt;=0), "",CV6/CV4)</f>
        <v/>
      </c>
      <c r="CX6" s="42">
        <f t="shared" si="15"/>
        <v>1</v>
      </c>
    </row>
    <row r="7" spans="1:105" outlineLevel="1" x14ac:dyDescent="0.25">
      <c r="A7" s="27" t="s">
        <v>36</v>
      </c>
      <c r="B7" s="82">
        <f>+'N EERR'!B7</f>
        <v>0</v>
      </c>
      <c r="C7" s="28" t="str">
        <f>IF(AND(B4=0,B7&gt;=0), "",B7/B4)</f>
        <v/>
      </c>
      <c r="D7" s="39"/>
      <c r="E7" s="82">
        <f>+'N EERR'!C7</f>
        <v>-500</v>
      </c>
      <c r="F7" s="28">
        <f>IF(AND(E4=0,E7&gt;=0), "",E7/E4)</f>
        <v>-3.6231884057971016E-2</v>
      </c>
      <c r="G7" s="39"/>
      <c r="H7" s="82">
        <f>+'N EERR'!D7</f>
        <v>0</v>
      </c>
      <c r="I7" s="28" t="str">
        <f>IF(AND(H4=0,H7&gt;=0), "",H7/H4)</f>
        <v/>
      </c>
      <c r="J7" s="39"/>
      <c r="K7" s="28">
        <f t="shared" si="0"/>
        <v>1</v>
      </c>
      <c r="L7" s="83">
        <f>+E7+H7</f>
        <v>-500</v>
      </c>
      <c r="M7" s="28">
        <f>IF(AND(L4=0,L7&gt;=0), "",L7/L4)</f>
        <v>-3.6231884057971016E-2</v>
      </c>
      <c r="N7" s="39"/>
      <c r="O7" s="82">
        <f>+'N EERR'!E7</f>
        <v>0</v>
      </c>
      <c r="P7" s="28" t="str">
        <f>IF(AND(O4=0,O7&gt;=0), "",O7/O4)</f>
        <v/>
      </c>
      <c r="Q7" s="39"/>
      <c r="R7" s="28" t="str">
        <f t="shared" si="1"/>
        <v/>
      </c>
      <c r="S7" s="83">
        <f>+L7+O7</f>
        <v>-500</v>
      </c>
      <c r="T7" s="28">
        <f>IF(AND(S4=0,S7&gt;=0), "",S7/S4)</f>
        <v>-3.6231884057971016E-2</v>
      </c>
      <c r="U7" s="39"/>
      <c r="V7" s="84"/>
      <c r="W7" s="28" t="str">
        <f>IF(AND(V4=0,V7&gt;=0), "",V7/V4)</f>
        <v/>
      </c>
      <c r="X7" s="42" t="e">
        <f t="shared" si="2"/>
        <v>#DIV/0!</v>
      </c>
      <c r="Y7" s="82">
        <f>+'N EERR'!F7</f>
        <v>0</v>
      </c>
      <c r="Z7" s="28" t="str">
        <f>IF(AND(Y4=0,Y7&gt;=0), "",Y7/Y4)</f>
        <v/>
      </c>
      <c r="AA7" s="39"/>
      <c r="AB7" s="28" t="str">
        <f t="shared" si="3"/>
        <v/>
      </c>
      <c r="AC7" s="83">
        <f>+S7+Y7</f>
        <v>-500</v>
      </c>
      <c r="AD7" s="28">
        <f>IF(AND(AC4=0,AC7&gt;=0), "",AC7/AC4)</f>
        <v>-3.6231884057971016E-2</v>
      </c>
      <c r="AE7" s="39"/>
      <c r="AF7" s="82">
        <f>+'N EERR'!G7</f>
        <v>0</v>
      </c>
      <c r="AG7" s="28" t="str">
        <f>IF(AND(AF4=0,AF7&gt;=0), "",AF7/AF4)</f>
        <v/>
      </c>
      <c r="AH7" s="39"/>
      <c r="AI7" s="28" t="str">
        <f t="shared" si="4"/>
        <v/>
      </c>
      <c r="AJ7" s="83">
        <f t="shared" ref="AJ7:AJ70" si="16">+AC7+AF7</f>
        <v>-500</v>
      </c>
      <c r="AK7" s="28">
        <f>IF(AND(AJ4=0,AJ7&gt;=0), "",AJ7/AJ4)</f>
        <v>-3.6231884057971016E-2</v>
      </c>
      <c r="AL7" s="39"/>
      <c r="AM7" s="82">
        <f>+'N EERR'!H7</f>
        <v>0</v>
      </c>
      <c r="AN7" s="28" t="str">
        <f>IF(AND(AM4=0,AM7&gt;=0), "",AM7/AM4)</f>
        <v/>
      </c>
      <c r="AO7" s="39"/>
      <c r="AP7" s="28" t="str">
        <f t="shared" si="5"/>
        <v/>
      </c>
      <c r="AQ7" s="83">
        <f t="shared" ref="AQ7:AQ70" si="17">+AJ7+AM7</f>
        <v>-500</v>
      </c>
      <c r="AR7" s="28">
        <f>IF(AND(AQ4=0,AQ7&gt;=0), "",AQ7/AQ4)</f>
        <v>-3.6231884057971016E-2</v>
      </c>
      <c r="AS7" s="39"/>
      <c r="AT7" s="84">
        <f>+V7*2</f>
        <v>0</v>
      </c>
      <c r="AU7" s="28" t="str">
        <f>IF(AND(AT4=0,AT7&gt;=0), "",AT7/AT4)</f>
        <v/>
      </c>
      <c r="AV7" s="42" t="e">
        <f t="shared" si="6"/>
        <v>#DIV/0!</v>
      </c>
      <c r="AW7" s="84">
        <f>+AQ7/6</f>
        <v>-83.333333333333329</v>
      </c>
      <c r="AX7" s="28">
        <f>IF(AND(AW4=0,AW7&gt;=0), "",AW7/AW4)</f>
        <v>-3.6231884057971002E-2</v>
      </c>
      <c r="AY7" s="39"/>
      <c r="AZ7" s="84">
        <f>+AT7/6</f>
        <v>0</v>
      </c>
      <c r="BA7" s="28" t="str">
        <f>IF(AND(AZ4=0,AZ7&gt;=0), "",AZ7/AZ4)</f>
        <v/>
      </c>
      <c r="BB7" s="42" t="e">
        <f t="shared" si="7"/>
        <v>#DIV/0!</v>
      </c>
      <c r="BC7" s="82">
        <f>+'N EERR'!I7</f>
        <v>0</v>
      </c>
      <c r="BD7" s="28" t="str">
        <f>IF(AND(BC4=0,BC7&gt;=0), "",BC7/BC4)</f>
        <v/>
      </c>
      <c r="BE7" s="39"/>
      <c r="BF7" s="28" t="str">
        <f t="shared" si="8"/>
        <v/>
      </c>
      <c r="BG7" s="83">
        <f>+AQ7+BC7</f>
        <v>-500</v>
      </c>
      <c r="BH7" s="28">
        <f>IF(AND(BG4=0,BG7&gt;=0), "",BG7/BG4)</f>
        <v>-3.6231884057971016E-2</v>
      </c>
      <c r="BI7" s="39"/>
      <c r="BJ7" s="82">
        <f>+'N EERR'!J7</f>
        <v>0</v>
      </c>
      <c r="BK7" s="28" t="str">
        <f>IF(AND(BJ4=0,BJ7&gt;=0), "",BJ7/BJ4)</f>
        <v/>
      </c>
      <c r="BL7" s="39"/>
      <c r="BM7" s="28" t="str">
        <f t="shared" si="9"/>
        <v/>
      </c>
      <c r="BN7" s="83">
        <f>+BG7+BJ7</f>
        <v>-500</v>
      </c>
      <c r="BO7" s="28">
        <f>IF(AND(BN4=0,BN7&gt;=0), "",BN7/BN4)</f>
        <v>-3.6231884057971016E-2</v>
      </c>
      <c r="BP7" s="39"/>
      <c r="BQ7" s="82">
        <f>+'N EERR'!K7</f>
        <v>0</v>
      </c>
      <c r="BR7" s="28" t="str">
        <f>IF(AND(BQ4=0,BQ7&gt;=0), "",BQ7/BQ4)</f>
        <v/>
      </c>
      <c r="BS7" s="39"/>
      <c r="BT7" s="28" t="str">
        <f t="shared" si="10"/>
        <v/>
      </c>
      <c r="BU7" s="83">
        <f>+BN7+BQ7</f>
        <v>-500</v>
      </c>
      <c r="BV7" s="28">
        <f>IF(AND(BU4=0,BU7&gt;=0), "",BU7/BU4)</f>
        <v>-3.6231884057971016E-2</v>
      </c>
      <c r="BW7" s="39"/>
      <c r="BX7" s="84">
        <f>+AZ7*9</f>
        <v>0</v>
      </c>
      <c r="BY7" s="28" t="str">
        <f>IF(AND(BX4=0,BX7&gt;=0), "",BX7/BX4)</f>
        <v/>
      </c>
      <c r="BZ7" s="42" t="e">
        <f t="shared" si="11"/>
        <v>#DIV/0!</v>
      </c>
      <c r="CA7" s="82">
        <f>+'N EERR'!L7</f>
        <v>0</v>
      </c>
      <c r="CB7" s="28" t="str">
        <f>IF(AND(CA4=0,CA7&gt;=0), "",CA7/CA4)</f>
        <v/>
      </c>
      <c r="CC7" s="39"/>
      <c r="CD7" s="28" t="str">
        <f t="shared" si="12"/>
        <v/>
      </c>
      <c r="CE7" s="83">
        <f>+BU7+CA7</f>
        <v>-500</v>
      </c>
      <c r="CF7" s="28">
        <f>IF(AND(CE4=0,CE7&gt;=0), "",CE7/CE4)</f>
        <v>-3.6231884057971016E-2</v>
      </c>
      <c r="CG7" s="39"/>
      <c r="CH7" s="82">
        <f>+'N EERR'!M7</f>
        <v>0</v>
      </c>
      <c r="CI7" s="28" t="str">
        <f>IF(AND(CH4=0,CH7&gt;=0), "",CH7/CH4)</f>
        <v/>
      </c>
      <c r="CJ7" s="39"/>
      <c r="CK7" s="28" t="str">
        <f t="shared" si="13"/>
        <v/>
      </c>
      <c r="CL7" s="83">
        <f>+CE7+CH7</f>
        <v>-500</v>
      </c>
      <c r="CM7" s="28">
        <f>IF(AND(CL4=0,CL7&gt;=0), "",CL7/CL4)</f>
        <v>-3.6231884057971016E-2</v>
      </c>
      <c r="CN7" s="39"/>
      <c r="CO7" s="82">
        <f>+'N EERR'!N7</f>
        <v>0</v>
      </c>
      <c r="CP7" s="28" t="str">
        <f>IF(AND(CO4=0,CO7&gt;=0), "",CO7/CO4)</f>
        <v/>
      </c>
      <c r="CQ7" s="39"/>
      <c r="CR7" s="28" t="str">
        <f t="shared" si="14"/>
        <v/>
      </c>
      <c r="CS7" s="83">
        <f>+CL7+CO7</f>
        <v>-500</v>
      </c>
      <c r="CT7" s="28">
        <f>IF(AND(CS4=0,CS7&gt;=0), "",CS7/CS4)</f>
        <v>-3.6231884057971016E-2</v>
      </c>
      <c r="CU7" s="39"/>
      <c r="CV7" s="84">
        <f>+AZ7*12</f>
        <v>0</v>
      </c>
      <c r="CW7" s="28" t="str">
        <f>IF(AND(CV4=0,CV7&gt;=0), "",CV7/CV4)</f>
        <v/>
      </c>
      <c r="CX7" s="42" t="e">
        <f t="shared" si="15"/>
        <v>#DIV/0!</v>
      </c>
    </row>
    <row r="8" spans="1:105" outlineLevel="1" x14ac:dyDescent="0.25">
      <c r="A8" s="27" t="s">
        <v>53</v>
      </c>
      <c r="B8" s="82">
        <f>+'N EERR'!B8+'N EERR'!B9</f>
        <v>0</v>
      </c>
      <c r="C8" s="28" t="str">
        <f>IF(AND(B5=0,B8&gt;=0), "",B8/B5)</f>
        <v/>
      </c>
      <c r="D8" s="39"/>
      <c r="E8" s="82">
        <f>+'N EERR'!C8+'N EERR'!C9</f>
        <v>-1000</v>
      </c>
      <c r="F8" s="28">
        <f>IF(AND(E5=0,E8&gt;=0), "",E8/E5)</f>
        <v>-7.407407407407407E-2</v>
      </c>
      <c r="G8" s="39"/>
      <c r="H8" s="82">
        <f>+'N EERR'!D8+'N EERR'!D9</f>
        <v>0</v>
      </c>
      <c r="I8" s="28" t="str">
        <f>IF(AND(H5=0,H8&gt;=0), "",H8/H5)</f>
        <v/>
      </c>
      <c r="J8" s="39"/>
      <c r="K8" s="28">
        <f t="shared" si="0"/>
        <v>1</v>
      </c>
      <c r="L8" s="83">
        <f>+E8+H8</f>
        <v>-1000</v>
      </c>
      <c r="M8" s="28">
        <f>IF(AND(L5=0,L8&gt;=0), "",L8/L5)</f>
        <v>-7.407407407407407E-2</v>
      </c>
      <c r="N8" s="39"/>
      <c r="O8" s="82">
        <f>+'N EERR'!E8+'N EERR'!E9</f>
        <v>0</v>
      </c>
      <c r="P8" s="28" t="str">
        <f>IF(AND(O5=0,O8&gt;=0), "",O8/O5)</f>
        <v/>
      </c>
      <c r="Q8" s="39"/>
      <c r="R8" s="28" t="str">
        <f t="shared" si="1"/>
        <v/>
      </c>
      <c r="S8" s="83">
        <f>+L8+O8</f>
        <v>-1000</v>
      </c>
      <c r="T8" s="28">
        <f>IF(AND(S5=0,S8&gt;=0), "",S8/S5)</f>
        <v>-7.407407407407407E-2</v>
      </c>
      <c r="U8" s="39"/>
      <c r="V8" s="84"/>
      <c r="W8" s="28" t="str">
        <f>IF(AND(V5=0,V8&gt;=0), "",V8/V5)</f>
        <v/>
      </c>
      <c r="X8" s="42" t="e">
        <f t="shared" si="2"/>
        <v>#DIV/0!</v>
      </c>
      <c r="Y8" s="82">
        <f>+'N EERR'!F8+'N EERR'!F9</f>
        <v>0</v>
      </c>
      <c r="Z8" s="28" t="str">
        <f>IF(AND(Y5=0,Y8&gt;=0), "",Y8/Y5)</f>
        <v/>
      </c>
      <c r="AA8" s="39"/>
      <c r="AB8" s="28" t="str">
        <f t="shared" si="3"/>
        <v/>
      </c>
      <c r="AC8" s="83">
        <f>+S8+Y8</f>
        <v>-1000</v>
      </c>
      <c r="AD8" s="28">
        <f>IF(AND(AC5=0,AC8&gt;=0), "",AC8/AC5)</f>
        <v>-7.407407407407407E-2</v>
      </c>
      <c r="AE8" s="39"/>
      <c r="AF8" s="82">
        <f>+'N EERR'!G8+'N EERR'!G9</f>
        <v>0</v>
      </c>
      <c r="AG8" s="28" t="str">
        <f>IF(AND(AF5=0,AF8&gt;=0), "",AF8/AF5)</f>
        <v/>
      </c>
      <c r="AH8" s="39"/>
      <c r="AI8" s="28" t="str">
        <f t="shared" si="4"/>
        <v/>
      </c>
      <c r="AJ8" s="83">
        <f t="shared" si="16"/>
        <v>-1000</v>
      </c>
      <c r="AK8" s="28">
        <f>IF(AND(AJ5=0,AJ8&gt;=0), "",AJ8/AJ5)</f>
        <v>-7.407407407407407E-2</v>
      </c>
      <c r="AL8" s="39"/>
      <c r="AM8" s="82">
        <f>+'N EERR'!H8+'N EERR'!H9</f>
        <v>0</v>
      </c>
      <c r="AN8" s="28" t="str">
        <f>IF(AND(AM5=0,AM8&gt;=0), "",AM8/AM5)</f>
        <v/>
      </c>
      <c r="AO8" s="39"/>
      <c r="AP8" s="28" t="str">
        <f t="shared" si="5"/>
        <v/>
      </c>
      <c r="AQ8" s="83">
        <f t="shared" si="17"/>
        <v>-1000</v>
      </c>
      <c r="AR8" s="28">
        <f>IF(AND(AQ5=0,AQ8&gt;=0), "",AQ8/AQ5)</f>
        <v>-7.407407407407407E-2</v>
      </c>
      <c r="AS8" s="39"/>
      <c r="AT8" s="84">
        <f>+V8*2</f>
        <v>0</v>
      </c>
      <c r="AU8" s="28" t="str">
        <f>IF(AND(AT5=0,AT8&gt;=0), "",AT8/AT5)</f>
        <v/>
      </c>
      <c r="AV8" s="42" t="e">
        <f t="shared" si="6"/>
        <v>#DIV/0!</v>
      </c>
      <c r="AW8" s="84">
        <f>+AQ8/6</f>
        <v>-166.66666666666666</v>
      </c>
      <c r="AX8" s="28">
        <f>IF(AND(AW5=0,AW8&gt;=0), "",AW8/AW5)</f>
        <v>-7.407407407407407E-2</v>
      </c>
      <c r="AY8" s="39"/>
      <c r="AZ8" s="84">
        <f>+AT8/6</f>
        <v>0</v>
      </c>
      <c r="BA8" s="28" t="str">
        <f>IF(AND(AZ5=0,AZ8&gt;=0), "",AZ8/AZ5)</f>
        <v/>
      </c>
      <c r="BB8" s="42" t="e">
        <f t="shared" si="7"/>
        <v>#DIV/0!</v>
      </c>
      <c r="BC8" s="82">
        <f>+'N EERR'!I8+'N EERR'!I9</f>
        <v>0</v>
      </c>
      <c r="BD8" s="28" t="str">
        <f>IF(AND(BC5=0,BC8&gt;=0), "",BC8/BC5)</f>
        <v/>
      </c>
      <c r="BE8" s="39"/>
      <c r="BF8" s="28" t="str">
        <f>IF(AND(AM8=0,BC8&gt;0),100%,IF(AND(AM8&lt;0,BC8=0),(AM8-BC8)/AM8,IF(AND(AM8&gt;0,BC8&gt;0),(BC8-AM8)/AM8,IF(AND(AM8=0,BC8=0),"",(BC8-AM8)/AM8))))</f>
        <v/>
      </c>
      <c r="BG8" s="83">
        <f>+AQ8+BC8</f>
        <v>-1000</v>
      </c>
      <c r="BH8" s="28">
        <f>IF(AND(BG5=0,BG8&gt;=0), "",BG8/BG5)</f>
        <v>-7.407407407407407E-2</v>
      </c>
      <c r="BI8" s="39"/>
      <c r="BJ8" s="82">
        <f>+'N EERR'!J8+'N EERR'!J9</f>
        <v>0</v>
      </c>
      <c r="BK8" s="28" t="str">
        <f>IF(AND(BJ5=0,BJ8&gt;=0), "",BJ8/BJ5)</f>
        <v/>
      </c>
      <c r="BL8" s="39"/>
      <c r="BM8" s="28" t="str">
        <f t="shared" si="9"/>
        <v/>
      </c>
      <c r="BN8" s="83">
        <f>+BG8+BJ8</f>
        <v>-1000</v>
      </c>
      <c r="BO8" s="28">
        <f>IF(AND(BN5=0,BN8&gt;=0), "",BN8/BN5)</f>
        <v>-7.407407407407407E-2</v>
      </c>
      <c r="BP8" s="39"/>
      <c r="BQ8" s="82">
        <f>+'N EERR'!K8+'N EERR'!K9</f>
        <v>0</v>
      </c>
      <c r="BR8" s="28" t="str">
        <f>IF(AND(BQ5=0,BQ8&gt;=0), "",BQ8/BQ5)</f>
        <v/>
      </c>
      <c r="BS8" s="39"/>
      <c r="BT8" s="28" t="str">
        <f t="shared" si="10"/>
        <v/>
      </c>
      <c r="BU8" s="83">
        <f>+BN8+BQ8</f>
        <v>-1000</v>
      </c>
      <c r="BV8" s="28">
        <f>IF(AND(BU5=0,BU8&gt;=0), "",BU8/BU5)</f>
        <v>-7.407407407407407E-2</v>
      </c>
      <c r="BW8" s="39"/>
      <c r="BX8" s="84">
        <f>+AZ8*9</f>
        <v>0</v>
      </c>
      <c r="BY8" s="28" t="str">
        <f>IF(AND(BX5=0,BX8&gt;=0), "",BX8/BX5)</f>
        <v/>
      </c>
      <c r="BZ8" s="42" t="e">
        <f t="shared" si="11"/>
        <v>#DIV/0!</v>
      </c>
      <c r="CA8" s="82">
        <f>+'N EERR'!L8+'N EERR'!L9</f>
        <v>0</v>
      </c>
      <c r="CB8" s="28" t="str">
        <f>IF(AND(CA5=0,CA8&gt;=0), "",CA8/CA5)</f>
        <v/>
      </c>
      <c r="CC8" s="39"/>
      <c r="CD8" s="28" t="str">
        <f t="shared" si="12"/>
        <v/>
      </c>
      <c r="CE8" s="83">
        <f>+BU8+CA8</f>
        <v>-1000</v>
      </c>
      <c r="CF8" s="28">
        <f>IF(AND(CE5=0,CE8&gt;=0), "",CE8/CE5)</f>
        <v>-7.407407407407407E-2</v>
      </c>
      <c r="CG8" s="39"/>
      <c r="CH8" s="82">
        <f>+'N EERR'!M8+'N EERR'!M9</f>
        <v>0</v>
      </c>
      <c r="CI8" s="28" t="str">
        <f>IF(AND(CH5=0,CH8&gt;=0), "",CH8/CH5)</f>
        <v/>
      </c>
      <c r="CJ8" s="39"/>
      <c r="CK8" s="28" t="str">
        <f t="shared" si="13"/>
        <v/>
      </c>
      <c r="CL8" s="83">
        <f>+CE8+CH8</f>
        <v>-1000</v>
      </c>
      <c r="CM8" s="28">
        <f>IF(AND(CL5=0,CL8&gt;=0), "",CL8/CL5)</f>
        <v>-7.407407407407407E-2</v>
      </c>
      <c r="CN8" s="39"/>
      <c r="CO8" s="82">
        <f>+'N EERR'!N8+'N EERR'!N9</f>
        <v>0</v>
      </c>
      <c r="CP8" s="28" t="str">
        <f>IF(AND(CO5=0,CO8&gt;=0), "",CO8/CO5)</f>
        <v/>
      </c>
      <c r="CQ8" s="39"/>
      <c r="CR8" s="28" t="str">
        <f t="shared" si="14"/>
        <v/>
      </c>
      <c r="CS8" s="83">
        <f>+CL8+CO8</f>
        <v>-1000</v>
      </c>
      <c r="CT8" s="28">
        <f>IF(AND(CS5=0,CS8&gt;=0), "",CS8/CS5)</f>
        <v>-7.407407407407407E-2</v>
      </c>
      <c r="CU8" s="39"/>
      <c r="CV8" s="84">
        <f>+AZ8*12</f>
        <v>0</v>
      </c>
      <c r="CW8" s="28" t="str">
        <f>IF(AND(CV5=0,CV8&gt;=0), "",CV8/CV5)</f>
        <v/>
      </c>
      <c r="CX8" s="42" t="e">
        <f t="shared" si="15"/>
        <v>#DIV/0!</v>
      </c>
    </row>
    <row r="9" spans="1:105" outlineLevel="1" x14ac:dyDescent="0.25">
      <c r="A9" s="27"/>
      <c r="B9" s="82"/>
      <c r="C9" s="28"/>
      <c r="D9" s="39"/>
      <c r="E9" s="82"/>
      <c r="F9" s="28"/>
      <c r="G9" s="39"/>
      <c r="H9" s="82"/>
      <c r="I9" s="28"/>
      <c r="J9" s="39"/>
      <c r="K9" s="28" t="str">
        <f t="shared" si="0"/>
        <v/>
      </c>
      <c r="M9" s="28"/>
      <c r="N9" s="39"/>
      <c r="O9" s="82"/>
      <c r="P9" s="28"/>
      <c r="Q9" s="39"/>
      <c r="R9" s="28" t="str">
        <f t="shared" si="1"/>
        <v/>
      </c>
      <c r="T9" s="28"/>
      <c r="U9" s="39"/>
      <c r="V9" s="84"/>
      <c r="W9" s="28"/>
      <c r="X9" s="42" t="str">
        <f t="shared" si="2"/>
        <v/>
      </c>
      <c r="Y9" s="82"/>
      <c r="Z9" s="28"/>
      <c r="AA9" s="39"/>
      <c r="AB9" s="28" t="str">
        <f t="shared" si="3"/>
        <v/>
      </c>
      <c r="AD9" s="28"/>
      <c r="AE9" s="39"/>
      <c r="AF9" s="82"/>
      <c r="AG9" s="28"/>
      <c r="AH9" s="39"/>
      <c r="AI9" s="28" t="str">
        <f t="shared" si="4"/>
        <v/>
      </c>
      <c r="AJ9" s="83">
        <f t="shared" si="16"/>
        <v>0</v>
      </c>
      <c r="AK9" s="28"/>
      <c r="AL9" s="39"/>
      <c r="AM9" s="82"/>
      <c r="AN9" s="28"/>
      <c r="AO9" s="39"/>
      <c r="AP9" s="28" t="str">
        <f t="shared" si="5"/>
        <v/>
      </c>
      <c r="AQ9" s="83">
        <f t="shared" si="17"/>
        <v>0</v>
      </c>
      <c r="AR9" s="28"/>
      <c r="AS9" s="39"/>
      <c r="AT9" s="84">
        <f>+V9*2</f>
        <v>0</v>
      </c>
      <c r="AU9" s="28"/>
      <c r="AV9" s="42" t="str">
        <f t="shared" si="6"/>
        <v/>
      </c>
      <c r="AW9" s="84"/>
      <c r="AX9" s="28"/>
      <c r="AY9" s="39"/>
      <c r="AZ9" s="84">
        <f>+AT9/6</f>
        <v>0</v>
      </c>
      <c r="BA9" s="28"/>
      <c r="BB9" s="42" t="str">
        <f t="shared" si="7"/>
        <v/>
      </c>
      <c r="BC9" s="82"/>
      <c r="BD9" s="28"/>
      <c r="BE9" s="39"/>
      <c r="BF9" s="28" t="str">
        <f t="shared" si="8"/>
        <v/>
      </c>
      <c r="BG9" s="83">
        <f>+AQ9+BC9</f>
        <v>0</v>
      </c>
      <c r="BH9" s="28"/>
      <c r="BI9" s="39"/>
      <c r="BJ9" s="82"/>
      <c r="BK9" s="28"/>
      <c r="BL9" s="39"/>
      <c r="BM9" s="28" t="str">
        <f t="shared" si="9"/>
        <v/>
      </c>
      <c r="BN9" s="83">
        <f>+BG9+BJ9</f>
        <v>0</v>
      </c>
      <c r="BO9" s="28"/>
      <c r="BP9" s="39"/>
      <c r="BQ9" s="82"/>
      <c r="BR9" s="28"/>
      <c r="BS9" s="39"/>
      <c r="BT9" s="28" t="str">
        <f t="shared" si="10"/>
        <v/>
      </c>
      <c r="BU9" s="83">
        <f>+BN9+BQ9</f>
        <v>0</v>
      </c>
      <c r="BV9" s="28"/>
      <c r="BW9" s="39"/>
      <c r="BX9" s="84">
        <f>+AZ9*9</f>
        <v>0</v>
      </c>
      <c r="BY9" s="28"/>
      <c r="BZ9" s="42" t="str">
        <f t="shared" si="11"/>
        <v/>
      </c>
      <c r="CA9" s="82"/>
      <c r="CB9" s="28"/>
      <c r="CC9" s="39"/>
      <c r="CD9" s="28" t="str">
        <f t="shared" si="12"/>
        <v/>
      </c>
      <c r="CF9" s="28"/>
      <c r="CG9" s="39"/>
      <c r="CH9" s="82"/>
      <c r="CI9" s="28"/>
      <c r="CJ9" s="39"/>
      <c r="CK9" s="28" t="str">
        <f t="shared" si="13"/>
        <v/>
      </c>
      <c r="CL9" s="83">
        <f>+CE9+CH9</f>
        <v>0</v>
      </c>
      <c r="CM9" s="28"/>
      <c r="CN9" s="39"/>
      <c r="CO9" s="82"/>
      <c r="CP9" s="28"/>
      <c r="CQ9" s="39"/>
      <c r="CR9" s="28" t="str">
        <f t="shared" si="14"/>
        <v/>
      </c>
      <c r="CS9" s="83">
        <f>+CL9+CO9</f>
        <v>0</v>
      </c>
      <c r="CT9" s="28"/>
      <c r="CU9" s="39"/>
      <c r="CV9" s="84">
        <f>+AZ9*12</f>
        <v>0</v>
      </c>
      <c r="CW9" s="28"/>
      <c r="CX9" s="42" t="str">
        <f t="shared" si="15"/>
        <v/>
      </c>
    </row>
    <row r="10" spans="1:105" s="6" customFormat="1" outlineLevel="1" x14ac:dyDescent="0.25">
      <c r="A10" s="34" t="s">
        <v>43</v>
      </c>
      <c r="B10" s="79">
        <f>SUM(B11:B14)</f>
        <v>0</v>
      </c>
      <c r="C10" s="35" t="str">
        <f>IF(AND(B4=0,B10&gt;=0), "",B10/B4)</f>
        <v/>
      </c>
      <c r="D10" s="38"/>
      <c r="E10" s="79">
        <f>SUM(E11:E14)</f>
        <v>200</v>
      </c>
      <c r="F10" s="35">
        <f>IF(AND(E4=0,E10&gt;=0), "",E10/E4)</f>
        <v>1.4492753623188406E-2</v>
      </c>
      <c r="G10" s="38"/>
      <c r="H10" s="79">
        <f>SUM(H11:H14)</f>
        <v>0</v>
      </c>
      <c r="I10" s="35" t="str">
        <f>IF(AND(H4=0,H10&gt;=0), "",H10/H4)</f>
        <v/>
      </c>
      <c r="J10" s="38"/>
      <c r="K10" s="35">
        <f t="shared" si="0"/>
        <v>-1</v>
      </c>
      <c r="L10" s="80">
        <f>SUM(L11:L14)</f>
        <v>200</v>
      </c>
      <c r="M10" s="35">
        <f>IF(AND(L4=0,L10&gt;=0), "",L10/L4)</f>
        <v>1.4492753623188406E-2</v>
      </c>
      <c r="N10" s="38"/>
      <c r="O10" s="79">
        <f>SUM(O11:O14)</f>
        <v>0</v>
      </c>
      <c r="P10" s="35" t="str">
        <f>IF(AND(O4=0,O10&gt;=0), "",O10/O4)</f>
        <v/>
      </c>
      <c r="Q10" s="38"/>
      <c r="R10" s="35" t="str">
        <f t="shared" si="1"/>
        <v/>
      </c>
      <c r="S10" s="80">
        <f>SUM(S11:S14)</f>
        <v>200</v>
      </c>
      <c r="T10" s="35">
        <f>IF(AND(S4=0,S10&gt;=0), "",S10/S4)</f>
        <v>1.4492753623188406E-2</v>
      </c>
      <c r="U10" s="38"/>
      <c r="V10" s="81">
        <f>SUM(V11:V14)</f>
        <v>0</v>
      </c>
      <c r="W10" s="35" t="str">
        <f>IF(AND(V4=0,V10&gt;=0), "",V10/V4)</f>
        <v/>
      </c>
      <c r="X10" s="51">
        <f t="shared" si="2"/>
        <v>1</v>
      </c>
      <c r="Y10" s="79">
        <f>SUM(Y11:Y14)</f>
        <v>0</v>
      </c>
      <c r="Z10" s="35" t="str">
        <f>IF(AND(Y4=0,Y10&gt;=0), "",Y10/Y4)</f>
        <v/>
      </c>
      <c r="AA10" s="38"/>
      <c r="AB10" s="35" t="str">
        <f t="shared" si="3"/>
        <v/>
      </c>
      <c r="AC10" s="80">
        <f>SUM(AC11:AC14)</f>
        <v>200</v>
      </c>
      <c r="AD10" s="35">
        <f>IF(AND(AC4=0,AC10&gt;=0), "",AC10/AC4)</f>
        <v>1.4492753623188406E-2</v>
      </c>
      <c r="AE10" s="38"/>
      <c r="AF10" s="79">
        <f>SUM(AF11:AF14)</f>
        <v>0</v>
      </c>
      <c r="AG10" s="35" t="str">
        <f>IF(AND(AF4=0,AF10&gt;=0), "",AF10/AF4)</f>
        <v/>
      </c>
      <c r="AH10" s="38"/>
      <c r="AI10" s="35" t="str">
        <f t="shared" si="4"/>
        <v/>
      </c>
      <c r="AJ10" s="80">
        <f>SUM(AJ11:AJ14)</f>
        <v>200</v>
      </c>
      <c r="AK10" s="35">
        <f>IF(AND(AJ4=0,AJ10&gt;=0), "",AJ10/AJ4)</f>
        <v>1.4492753623188406E-2</v>
      </c>
      <c r="AL10" s="38"/>
      <c r="AM10" s="79">
        <f>SUM(AM11:AM14)</f>
        <v>0</v>
      </c>
      <c r="AN10" s="35" t="str">
        <f>IF(AND(AM4=0,AM10&gt;=0), "",AM10/AM4)</f>
        <v/>
      </c>
      <c r="AO10" s="38"/>
      <c r="AP10" s="35" t="str">
        <f t="shared" si="5"/>
        <v/>
      </c>
      <c r="AQ10" s="80">
        <f>SUM(AQ11:AQ14)</f>
        <v>200</v>
      </c>
      <c r="AR10" s="35">
        <f>IF(AND(AQ4=0,AQ10&gt;=0), "",AQ10/AQ4)</f>
        <v>1.4492753623188406E-2</v>
      </c>
      <c r="AS10" s="38"/>
      <c r="AT10" s="81">
        <f>SUM(AT11:AT14)</f>
        <v>0</v>
      </c>
      <c r="AU10" s="35" t="str">
        <f>IF(AND(AT4=0,AT10&gt;=0), "",AT10/AT4)</f>
        <v/>
      </c>
      <c r="AV10" s="51">
        <f t="shared" si="6"/>
        <v>1</v>
      </c>
      <c r="AW10" s="81">
        <f>SUM(AW11:AW14)</f>
        <v>33.333333333333336</v>
      </c>
      <c r="AX10" s="35">
        <f>IF(AND(AW4=0,AW10&gt;=0), "",AW10/AW4)</f>
        <v>1.4492753623188404E-2</v>
      </c>
      <c r="AY10" s="38"/>
      <c r="AZ10" s="81">
        <f>SUM(AZ11:AZ14)</f>
        <v>0</v>
      </c>
      <c r="BA10" s="35" t="str">
        <f>IF(AND(AZ4=0,AZ10&gt;=0), "",AZ10/AZ4)</f>
        <v/>
      </c>
      <c r="BB10" s="51">
        <f t="shared" si="7"/>
        <v>1</v>
      </c>
      <c r="BC10" s="79">
        <f>SUM(BC11:BC14)</f>
        <v>0</v>
      </c>
      <c r="BD10" s="35" t="str">
        <f>IF(AND(BC4=0,BC10&gt;=0), "",BC10/BC4)</f>
        <v/>
      </c>
      <c r="BE10" s="38"/>
      <c r="BF10" s="35" t="str">
        <f t="shared" si="8"/>
        <v/>
      </c>
      <c r="BG10" s="80">
        <f>SUM(BG11:BG14)</f>
        <v>200</v>
      </c>
      <c r="BH10" s="35">
        <f>IF(AND(BG4=0,BG10&gt;=0), "",BG10/BG4)</f>
        <v>1.4492753623188406E-2</v>
      </c>
      <c r="BI10" s="38"/>
      <c r="BJ10" s="79">
        <f>SUM(BJ11:BJ14)</f>
        <v>0</v>
      </c>
      <c r="BK10" s="35" t="str">
        <f>IF(AND(BJ4=0,BJ10&gt;=0), "",BJ10/BJ4)</f>
        <v/>
      </c>
      <c r="BL10" s="38"/>
      <c r="BM10" s="35" t="str">
        <f t="shared" si="9"/>
        <v/>
      </c>
      <c r="BN10" s="80">
        <f>SUM(BN11:BN14)</f>
        <v>200</v>
      </c>
      <c r="BO10" s="35">
        <f>IF(AND(BN4=0,BN10&gt;=0), "",BN10/BN4)</f>
        <v>1.4492753623188406E-2</v>
      </c>
      <c r="BP10" s="38"/>
      <c r="BQ10" s="79">
        <f>SUM(BQ11:BQ14)</f>
        <v>0</v>
      </c>
      <c r="BR10" s="35" t="str">
        <f>IF(AND(BQ4=0,BQ10&gt;=0), "",BQ10/BQ4)</f>
        <v/>
      </c>
      <c r="BS10" s="38"/>
      <c r="BT10" s="35" t="str">
        <f t="shared" si="10"/>
        <v/>
      </c>
      <c r="BU10" s="80">
        <f>SUM(BU11:BU14)</f>
        <v>200</v>
      </c>
      <c r="BV10" s="35">
        <f>IF(AND(BU4=0,BU10&gt;=0), "",BU10/BU4)</f>
        <v>1.4492753623188406E-2</v>
      </c>
      <c r="BW10" s="38"/>
      <c r="BX10" s="81">
        <f>SUM(BX11:BX14)</f>
        <v>0</v>
      </c>
      <c r="BY10" s="35" t="str">
        <f>IF(AND(BX4=0,BX10&gt;=0), "",BX10/BX4)</f>
        <v/>
      </c>
      <c r="BZ10" s="51">
        <f t="shared" si="11"/>
        <v>1</v>
      </c>
      <c r="CA10" s="79">
        <f>SUM(CA11:CA14)</f>
        <v>0</v>
      </c>
      <c r="CB10" s="35" t="str">
        <f>IF(AND(CA4=0,CA10&gt;=0), "",CA10/CA4)</f>
        <v/>
      </c>
      <c r="CC10" s="38"/>
      <c r="CD10" s="35" t="str">
        <f t="shared" si="12"/>
        <v/>
      </c>
      <c r="CE10" s="80">
        <f>SUM(CE11:CE14)</f>
        <v>200</v>
      </c>
      <c r="CF10" s="35">
        <f>IF(AND(CE4=0,CE10&gt;=0), "",CE10/CE4)</f>
        <v>1.4492753623188406E-2</v>
      </c>
      <c r="CG10" s="38"/>
      <c r="CH10" s="79">
        <f>SUM(CH11:CH14)</f>
        <v>0</v>
      </c>
      <c r="CI10" s="35" t="str">
        <f>IF(AND(CH4=0,CH10&gt;=0), "",CH10/CH4)</f>
        <v/>
      </c>
      <c r="CJ10" s="38"/>
      <c r="CK10" s="35" t="str">
        <f t="shared" si="13"/>
        <v/>
      </c>
      <c r="CL10" s="80">
        <f>SUM(CL11:CL14)</f>
        <v>200</v>
      </c>
      <c r="CM10" s="35">
        <f>IF(AND(CL4=0,CL10&gt;=0), "",CL10/CL4)</f>
        <v>1.4492753623188406E-2</v>
      </c>
      <c r="CN10" s="38"/>
      <c r="CO10" s="79">
        <f>SUM(CO11:CO14)</f>
        <v>0</v>
      </c>
      <c r="CP10" s="35" t="str">
        <f>IF(AND(CO4=0,CO10&gt;=0), "",CO10/CO4)</f>
        <v/>
      </c>
      <c r="CQ10" s="38"/>
      <c r="CR10" s="35" t="str">
        <f t="shared" si="14"/>
        <v/>
      </c>
      <c r="CS10" s="80">
        <f>SUM(CS11:CS14)</f>
        <v>200</v>
      </c>
      <c r="CT10" s="35">
        <f>IF(AND(CS4=0,CS10&gt;=0), "",CS10/CS4)</f>
        <v>1.4492753623188406E-2</v>
      </c>
      <c r="CU10" s="38"/>
      <c r="CV10" s="81">
        <f>SUM(CV11:CV14)</f>
        <v>0</v>
      </c>
      <c r="CW10" s="35" t="str">
        <f>IF(AND(CV4=0,CV10&gt;=0), "",CV10/CV4)</f>
        <v/>
      </c>
      <c r="CX10" s="51">
        <f t="shared" si="15"/>
        <v>1</v>
      </c>
    </row>
    <row r="11" spans="1:105" outlineLevel="1" x14ac:dyDescent="0.25">
      <c r="A11" s="27" t="s">
        <v>40</v>
      </c>
      <c r="B11" s="82">
        <f>+'N EERR'!B10</f>
        <v>0</v>
      </c>
      <c r="C11" s="28" t="str">
        <f>IF(AND(B4=0,B11&gt;=0), "",B11/B4)</f>
        <v/>
      </c>
      <c r="D11" s="39"/>
      <c r="E11" s="82">
        <f>+'N EERR'!C10</f>
        <v>50</v>
      </c>
      <c r="F11" s="28">
        <f>IF(AND(E4=0,E11&gt;=0), "",E11/E4)</f>
        <v>3.6231884057971015E-3</v>
      </c>
      <c r="G11" s="39"/>
      <c r="H11" s="82">
        <f>+'N EERR'!D10</f>
        <v>0</v>
      </c>
      <c r="I11" s="28" t="str">
        <f>IF(AND(H4=0,H11&gt;=0), "",H11/H4)</f>
        <v/>
      </c>
      <c r="J11" s="39"/>
      <c r="K11" s="28">
        <f t="shared" si="0"/>
        <v>-1</v>
      </c>
      <c r="L11" s="83">
        <f>+E11+H11</f>
        <v>50</v>
      </c>
      <c r="M11" s="28">
        <f>IF(AND(L4=0,L11&gt;=0), "",L11/L4)</f>
        <v>3.6231884057971015E-3</v>
      </c>
      <c r="N11" s="39"/>
      <c r="O11" s="82">
        <f>+'N EERR'!E10</f>
        <v>0</v>
      </c>
      <c r="P11" s="28" t="str">
        <f>IF(AND(O4=0,O11&gt;=0), "",O11/O4)</f>
        <v/>
      </c>
      <c r="Q11" s="39"/>
      <c r="R11" s="28" t="str">
        <f t="shared" si="1"/>
        <v/>
      </c>
      <c r="S11" s="83">
        <f>+L11+O11</f>
        <v>50</v>
      </c>
      <c r="T11" s="28">
        <f>IF(AND(S4=0,S11&gt;=0), "",S11/S4)</f>
        <v>3.6231884057971015E-3</v>
      </c>
      <c r="U11" s="39"/>
      <c r="V11" s="84"/>
      <c r="W11" s="28" t="str">
        <f>IF(AND(V4=0,V11&gt;=0), "",V11/V4)</f>
        <v/>
      </c>
      <c r="X11" s="42">
        <f t="shared" si="2"/>
        <v>1</v>
      </c>
      <c r="Y11" s="82">
        <f>+'N EERR'!F10</f>
        <v>0</v>
      </c>
      <c r="Z11" s="28" t="str">
        <f>IF(AND(Y4=0,Y11&gt;=0), "",Y11/Y4)</f>
        <v/>
      </c>
      <c r="AA11" s="39"/>
      <c r="AB11" s="28" t="str">
        <f t="shared" si="3"/>
        <v/>
      </c>
      <c r="AC11" s="83">
        <f>+S11+Y11</f>
        <v>50</v>
      </c>
      <c r="AD11" s="28">
        <f>IF(AND(AC4=0,AC11&gt;=0), "",AC11/AC4)</f>
        <v>3.6231884057971015E-3</v>
      </c>
      <c r="AE11" s="39"/>
      <c r="AF11" s="82">
        <f>+'N EERR'!G10</f>
        <v>0</v>
      </c>
      <c r="AG11" s="28" t="str">
        <f>IF(AND(AF4=0,AF11&gt;=0), "",AF11/AF4)</f>
        <v/>
      </c>
      <c r="AH11" s="39"/>
      <c r="AI11" s="28" t="str">
        <f t="shared" si="4"/>
        <v/>
      </c>
      <c r="AJ11" s="83">
        <f t="shared" si="16"/>
        <v>50</v>
      </c>
      <c r="AK11" s="28">
        <f>IF(AND(AJ4=0,AJ11&gt;=0), "",AJ11/AJ4)</f>
        <v>3.6231884057971015E-3</v>
      </c>
      <c r="AL11" s="39"/>
      <c r="AM11" s="82">
        <f>+'N EERR'!H10</f>
        <v>0</v>
      </c>
      <c r="AN11" s="28" t="str">
        <f>IF(AND(AM4=0,AM11&gt;=0), "",AM11/AM4)</f>
        <v/>
      </c>
      <c r="AO11" s="39"/>
      <c r="AP11" s="28" t="str">
        <f t="shared" si="5"/>
        <v/>
      </c>
      <c r="AQ11" s="83">
        <f t="shared" si="17"/>
        <v>50</v>
      </c>
      <c r="AR11" s="28">
        <f>IF(AND(AQ4=0,AQ11&gt;=0), "",AQ11/AQ4)</f>
        <v>3.6231884057971015E-3</v>
      </c>
      <c r="AS11" s="39"/>
      <c r="AT11" s="84">
        <f>+V11*2</f>
        <v>0</v>
      </c>
      <c r="AU11" s="28" t="str">
        <f>IF(AND(AT4=0,AT11&gt;=0), "",AT11/AT4)</f>
        <v/>
      </c>
      <c r="AV11" s="42">
        <f t="shared" si="6"/>
        <v>1</v>
      </c>
      <c r="AW11" s="84">
        <f>+AQ11/6</f>
        <v>8.3333333333333339</v>
      </c>
      <c r="AX11" s="28">
        <f>IF(AND(AW4=0,AW11&gt;=0), "",AW11/AW4)</f>
        <v>3.6231884057971011E-3</v>
      </c>
      <c r="AY11" s="39"/>
      <c r="AZ11" s="84">
        <f>+AT11/6</f>
        <v>0</v>
      </c>
      <c r="BA11" s="28" t="str">
        <f>IF(AND(AZ4=0,AZ11&gt;=0), "",AZ11/AZ4)</f>
        <v/>
      </c>
      <c r="BB11" s="42">
        <f t="shared" si="7"/>
        <v>1</v>
      </c>
      <c r="BC11" s="82">
        <f>+'N EERR'!I10</f>
        <v>0</v>
      </c>
      <c r="BD11" s="28" t="str">
        <f>IF(AND(BC4=0,BC11&gt;=0), "",BC11/BC4)</f>
        <v/>
      </c>
      <c r="BE11" s="39"/>
      <c r="BF11" s="28" t="str">
        <f t="shared" si="8"/>
        <v/>
      </c>
      <c r="BG11" s="83">
        <f>+AQ11+BC11</f>
        <v>50</v>
      </c>
      <c r="BH11" s="28">
        <f>IF(AND(BG4=0,BG11&gt;=0), "",BG11/BG4)</f>
        <v>3.6231884057971015E-3</v>
      </c>
      <c r="BI11" s="39"/>
      <c r="BJ11" s="82">
        <f>+'N EERR'!J10</f>
        <v>0</v>
      </c>
      <c r="BK11" s="28" t="str">
        <f>IF(AND(BJ4=0,BJ11&gt;=0), "",BJ11/BJ4)</f>
        <v/>
      </c>
      <c r="BL11" s="39"/>
      <c r="BM11" s="28" t="str">
        <f t="shared" si="9"/>
        <v/>
      </c>
      <c r="BN11" s="83">
        <f>+BG11+BJ11</f>
        <v>50</v>
      </c>
      <c r="BO11" s="28">
        <f>IF(AND(BN4=0,BN11&gt;=0), "",BN11/BN4)</f>
        <v>3.6231884057971015E-3</v>
      </c>
      <c r="BP11" s="39"/>
      <c r="BQ11" s="82">
        <f>+'N EERR'!K10</f>
        <v>0</v>
      </c>
      <c r="BR11" s="28" t="str">
        <f>IF(AND(BQ4=0,BQ11&gt;=0), "",BQ11/BQ4)</f>
        <v/>
      </c>
      <c r="BS11" s="39"/>
      <c r="BT11" s="28" t="str">
        <f t="shared" si="10"/>
        <v/>
      </c>
      <c r="BU11" s="83">
        <f>+BN11+BQ11</f>
        <v>50</v>
      </c>
      <c r="BV11" s="28">
        <f>IF(AND(BU4=0,BU11&gt;=0), "",BU11/BU4)</f>
        <v>3.6231884057971015E-3</v>
      </c>
      <c r="BW11" s="39"/>
      <c r="BX11" s="84">
        <f>+AZ11*9</f>
        <v>0</v>
      </c>
      <c r="BY11" s="28" t="str">
        <f>IF(AND(BX4=0,BX11&gt;=0), "",BX11/BX4)</f>
        <v/>
      </c>
      <c r="BZ11" s="42">
        <f t="shared" si="11"/>
        <v>1</v>
      </c>
      <c r="CA11" s="82">
        <f>+'N EERR'!L10</f>
        <v>0</v>
      </c>
      <c r="CB11" s="28" t="str">
        <f>IF(AND(CA4=0,CA11&gt;=0), "",CA11/CA4)</f>
        <v/>
      </c>
      <c r="CC11" s="39"/>
      <c r="CD11" s="28" t="str">
        <f t="shared" si="12"/>
        <v/>
      </c>
      <c r="CE11" s="83">
        <f>+BU11+CA11</f>
        <v>50</v>
      </c>
      <c r="CF11" s="28">
        <f>IF(AND(CE4=0,CE11&gt;=0), "",CE11/CE4)</f>
        <v>3.6231884057971015E-3</v>
      </c>
      <c r="CG11" s="39"/>
      <c r="CH11" s="82">
        <f>+'N EERR'!M10</f>
        <v>0</v>
      </c>
      <c r="CI11" s="28" t="str">
        <f>IF(AND(CH4=0,CH11&gt;=0), "",CH11/CH4)</f>
        <v/>
      </c>
      <c r="CJ11" s="39"/>
      <c r="CK11" s="28" t="str">
        <f t="shared" si="13"/>
        <v/>
      </c>
      <c r="CL11" s="83">
        <f>+CE11+CH11</f>
        <v>50</v>
      </c>
      <c r="CM11" s="28">
        <f>IF(AND(CL4=0,CL11&gt;=0), "",CL11/CL4)</f>
        <v>3.6231884057971015E-3</v>
      </c>
      <c r="CN11" s="39"/>
      <c r="CO11" s="82">
        <f>+'N EERR'!N10</f>
        <v>0</v>
      </c>
      <c r="CP11" s="28" t="str">
        <f>IF(AND(CO4=0,CO11&gt;=0), "",CO11/CO4)</f>
        <v/>
      </c>
      <c r="CQ11" s="39"/>
      <c r="CR11" s="28" t="str">
        <f t="shared" si="14"/>
        <v/>
      </c>
      <c r="CS11" s="83">
        <f>+CL11+CO11</f>
        <v>50</v>
      </c>
      <c r="CT11" s="28">
        <f>IF(AND(CS4=0,CS11&gt;=0), "",CS11/CS4)</f>
        <v>3.6231884057971015E-3</v>
      </c>
      <c r="CU11" s="39"/>
      <c r="CV11" s="84">
        <f t="shared" ref="CV11:CV21" si="18">+AZ11*12</f>
        <v>0</v>
      </c>
      <c r="CW11" s="28" t="str">
        <f>IF(AND(CV4=0,CV11&gt;=0), "",CV11/CV4)</f>
        <v/>
      </c>
      <c r="CX11" s="42">
        <f t="shared" si="15"/>
        <v>1</v>
      </c>
    </row>
    <row r="12" spans="1:105" outlineLevel="1" x14ac:dyDescent="0.25">
      <c r="A12" s="27" t="s">
        <v>41</v>
      </c>
      <c r="B12" s="82">
        <f>+'N EERR'!B11</f>
        <v>0</v>
      </c>
      <c r="C12" s="28" t="str">
        <f>IF(AND(B4=0,B12&gt;=0), "",B12/B4)</f>
        <v/>
      </c>
      <c r="D12" s="39"/>
      <c r="E12" s="82">
        <f>+'N EERR'!C11</f>
        <v>50</v>
      </c>
      <c r="F12" s="28">
        <f>IF(AND(E4=0,E12&gt;=0), "",E12/E4)</f>
        <v>3.6231884057971015E-3</v>
      </c>
      <c r="G12" s="39"/>
      <c r="H12" s="82">
        <f>+'N EERR'!D11</f>
        <v>0</v>
      </c>
      <c r="I12" s="28" t="str">
        <f>IF(AND(H4=0,H12&gt;=0), "",H12/H4)</f>
        <v/>
      </c>
      <c r="J12" s="39"/>
      <c r="K12" s="28">
        <f t="shared" si="0"/>
        <v>-1</v>
      </c>
      <c r="L12" s="83">
        <f>+E12+H12</f>
        <v>50</v>
      </c>
      <c r="M12" s="28">
        <f>IF(AND(L4=0,L12&gt;=0), "",L12/L4)</f>
        <v>3.6231884057971015E-3</v>
      </c>
      <c r="N12" s="39"/>
      <c r="O12" s="82">
        <f>+'N EERR'!E11</f>
        <v>0</v>
      </c>
      <c r="P12" s="28" t="str">
        <f>IF(AND(O4=0,O12&gt;=0), "",O12/O4)</f>
        <v/>
      </c>
      <c r="Q12" s="39"/>
      <c r="R12" s="28" t="str">
        <f t="shared" si="1"/>
        <v/>
      </c>
      <c r="S12" s="83">
        <f>+L12+O12</f>
        <v>50</v>
      </c>
      <c r="T12" s="28">
        <f>IF(AND(S4=0,S12&gt;=0), "",S12/S4)</f>
        <v>3.6231884057971015E-3</v>
      </c>
      <c r="U12" s="39"/>
      <c r="V12" s="84"/>
      <c r="W12" s="28" t="str">
        <f>IF(AND(V4=0,V12&gt;=0), "",V12/V4)</f>
        <v/>
      </c>
      <c r="X12" s="42">
        <f t="shared" si="2"/>
        <v>1</v>
      </c>
      <c r="Y12" s="82">
        <f>+'N EERR'!F11</f>
        <v>0</v>
      </c>
      <c r="Z12" s="28" t="str">
        <f>IF(AND(Y4=0,Y12&gt;=0), "",Y12/Y4)</f>
        <v/>
      </c>
      <c r="AA12" s="39"/>
      <c r="AB12" s="28" t="str">
        <f t="shared" si="3"/>
        <v/>
      </c>
      <c r="AC12" s="83">
        <f>+S12+Y12</f>
        <v>50</v>
      </c>
      <c r="AD12" s="28">
        <f>IF(AND(AC4=0,AC12&gt;=0), "",AC12/AC4)</f>
        <v>3.6231884057971015E-3</v>
      </c>
      <c r="AE12" s="39"/>
      <c r="AF12" s="82">
        <f>+'N EERR'!G11</f>
        <v>0</v>
      </c>
      <c r="AG12" s="28" t="str">
        <f>IF(AND(AF4=0,AF12&gt;=0), "",AF12/AF4)</f>
        <v/>
      </c>
      <c r="AH12" s="39"/>
      <c r="AI12" s="28" t="str">
        <f t="shared" si="4"/>
        <v/>
      </c>
      <c r="AJ12" s="83">
        <f t="shared" si="16"/>
        <v>50</v>
      </c>
      <c r="AK12" s="28">
        <f>IF(AND(AJ4=0,AJ12&gt;=0), "",AJ12/AJ4)</f>
        <v>3.6231884057971015E-3</v>
      </c>
      <c r="AL12" s="39"/>
      <c r="AM12" s="82">
        <f>+'N EERR'!H11</f>
        <v>0</v>
      </c>
      <c r="AN12" s="28" t="str">
        <f>IF(AND(AM4=0,AM12&gt;=0), "",AM12/AM4)</f>
        <v/>
      </c>
      <c r="AO12" s="39"/>
      <c r="AP12" s="28" t="str">
        <f t="shared" si="5"/>
        <v/>
      </c>
      <c r="AQ12" s="83">
        <f t="shared" si="17"/>
        <v>50</v>
      </c>
      <c r="AR12" s="28">
        <f>IF(AND(AQ4=0,AQ12&gt;=0), "",AQ12/AQ4)</f>
        <v>3.6231884057971015E-3</v>
      </c>
      <c r="AS12" s="39"/>
      <c r="AT12" s="84">
        <f>+V12*2</f>
        <v>0</v>
      </c>
      <c r="AU12" s="28" t="str">
        <f>IF(AND(AT4=0,AT12&gt;=0), "",AT12/AT4)</f>
        <v/>
      </c>
      <c r="AV12" s="42">
        <f t="shared" si="6"/>
        <v>1</v>
      </c>
      <c r="AW12" s="84">
        <f>+AQ12/6</f>
        <v>8.3333333333333339</v>
      </c>
      <c r="AX12" s="28">
        <f>IF(AND(AW4=0,AW12&gt;=0), "",AW12/AW4)</f>
        <v>3.6231884057971011E-3</v>
      </c>
      <c r="AY12" s="39"/>
      <c r="AZ12" s="84">
        <f>+AT12/6</f>
        <v>0</v>
      </c>
      <c r="BA12" s="28" t="str">
        <f>IF(AND(AZ4=0,AZ12&gt;=0), "",AZ12/AZ4)</f>
        <v/>
      </c>
      <c r="BB12" s="42">
        <f t="shared" si="7"/>
        <v>1</v>
      </c>
      <c r="BC12" s="82">
        <f>+'N EERR'!I11</f>
        <v>0</v>
      </c>
      <c r="BD12" s="28" t="str">
        <f>IF(AND(BC4=0,BC12&gt;=0), "",BC12/BC4)</f>
        <v/>
      </c>
      <c r="BE12" s="39"/>
      <c r="BF12" s="28" t="str">
        <f t="shared" si="8"/>
        <v/>
      </c>
      <c r="BG12" s="83">
        <f>+AQ12+BC12</f>
        <v>50</v>
      </c>
      <c r="BH12" s="28">
        <f>IF(AND(BG4=0,BG12&gt;=0), "",BG12/BG4)</f>
        <v>3.6231884057971015E-3</v>
      </c>
      <c r="BI12" s="39"/>
      <c r="BJ12" s="82">
        <f>+'N EERR'!J11</f>
        <v>0</v>
      </c>
      <c r="BK12" s="28" t="str">
        <f>IF(AND(BJ4=0,BJ12&gt;=0), "",BJ12/BJ4)</f>
        <v/>
      </c>
      <c r="BL12" s="39"/>
      <c r="BM12" s="28" t="str">
        <f t="shared" si="9"/>
        <v/>
      </c>
      <c r="BN12" s="83">
        <f>+BG12+BJ12</f>
        <v>50</v>
      </c>
      <c r="BO12" s="28">
        <f>IF(AND(BN4=0,BN12&gt;=0), "",BN12/BN4)</f>
        <v>3.6231884057971015E-3</v>
      </c>
      <c r="BP12" s="39"/>
      <c r="BQ12" s="82">
        <f>+'N EERR'!K11</f>
        <v>0</v>
      </c>
      <c r="BR12" s="28" t="str">
        <f>IF(AND(BQ4=0,BQ12&gt;=0), "",BQ12/BQ4)</f>
        <v/>
      </c>
      <c r="BS12" s="39"/>
      <c r="BT12" s="28" t="str">
        <f t="shared" si="10"/>
        <v/>
      </c>
      <c r="BU12" s="83">
        <f>+BN12+BQ12</f>
        <v>50</v>
      </c>
      <c r="BV12" s="28">
        <f>IF(AND(BU4=0,BU12&gt;=0), "",BU12/BU4)</f>
        <v>3.6231884057971015E-3</v>
      </c>
      <c r="BW12" s="39"/>
      <c r="BX12" s="84">
        <f>+AZ12*9</f>
        <v>0</v>
      </c>
      <c r="BY12" s="28" t="str">
        <f>IF(AND(BX4=0,BX12&gt;=0), "",BX12/BX4)</f>
        <v/>
      </c>
      <c r="BZ12" s="42">
        <f t="shared" si="11"/>
        <v>1</v>
      </c>
      <c r="CA12" s="82">
        <f>+'N EERR'!L11</f>
        <v>0</v>
      </c>
      <c r="CB12" s="28" t="str">
        <f>IF(AND(CA4=0,CA12&gt;=0), "",CA12/CA4)</f>
        <v/>
      </c>
      <c r="CC12" s="39"/>
      <c r="CD12" s="28" t="str">
        <f t="shared" si="12"/>
        <v/>
      </c>
      <c r="CE12" s="83">
        <f>+BU12+CA12</f>
        <v>50</v>
      </c>
      <c r="CF12" s="28">
        <f>IF(AND(CE4=0,CE12&gt;=0), "",CE12/CE4)</f>
        <v>3.6231884057971015E-3</v>
      </c>
      <c r="CG12" s="39"/>
      <c r="CH12" s="82">
        <f>+'N EERR'!M11</f>
        <v>0</v>
      </c>
      <c r="CI12" s="28" t="str">
        <f>IF(AND(CH4=0,CH12&gt;=0), "",CH12/CH4)</f>
        <v/>
      </c>
      <c r="CJ12" s="39"/>
      <c r="CK12" s="28" t="str">
        <f t="shared" si="13"/>
        <v/>
      </c>
      <c r="CL12" s="83">
        <f>+CE12+CH12</f>
        <v>50</v>
      </c>
      <c r="CM12" s="28">
        <f>IF(AND(CL4=0,CL12&gt;=0), "",CL12/CL4)</f>
        <v>3.6231884057971015E-3</v>
      </c>
      <c r="CN12" s="39"/>
      <c r="CO12" s="82">
        <f>+'N EERR'!N11</f>
        <v>0</v>
      </c>
      <c r="CP12" s="28" t="str">
        <f>IF(AND(CO4=0,CO12&gt;=0), "",CO12/CO4)</f>
        <v/>
      </c>
      <c r="CQ12" s="39"/>
      <c r="CR12" s="28" t="str">
        <f t="shared" si="14"/>
        <v/>
      </c>
      <c r="CS12" s="83">
        <f>+CL12+CO12</f>
        <v>50</v>
      </c>
      <c r="CT12" s="28">
        <f>IF(AND(CS4=0,CS12&gt;=0), "",CS12/CS4)</f>
        <v>3.6231884057971015E-3</v>
      </c>
      <c r="CU12" s="39"/>
      <c r="CV12" s="84">
        <f t="shared" si="18"/>
        <v>0</v>
      </c>
      <c r="CW12" s="28" t="str">
        <f>IF(AND(CV4=0,CV12&gt;=0), "",CV12/CV4)</f>
        <v/>
      </c>
      <c r="CX12" s="42">
        <f t="shared" si="15"/>
        <v>1</v>
      </c>
    </row>
    <row r="13" spans="1:105" outlineLevel="1" x14ac:dyDescent="0.25">
      <c r="A13" s="27" t="s">
        <v>42</v>
      </c>
      <c r="B13" s="82">
        <f>+'N EERR'!B12</f>
        <v>0</v>
      </c>
      <c r="C13" s="28" t="str">
        <f>IF(AND(B4=0,B13&gt;=0), "",B13/B4)</f>
        <v/>
      </c>
      <c r="D13" s="39"/>
      <c r="E13" s="82">
        <f>+'N EERR'!C12</f>
        <v>50</v>
      </c>
      <c r="F13" s="28">
        <f>IF(AND(E4=0,E13&gt;=0), "",E13/E4)</f>
        <v>3.6231884057971015E-3</v>
      </c>
      <c r="G13" s="39"/>
      <c r="H13" s="82">
        <f>+'N EERR'!D12</f>
        <v>0</v>
      </c>
      <c r="I13" s="28" t="str">
        <f>IF(AND(H4=0,H13&gt;=0), "",H13/H4)</f>
        <v/>
      </c>
      <c r="J13" s="39"/>
      <c r="K13" s="28">
        <f t="shared" si="0"/>
        <v>-1</v>
      </c>
      <c r="L13" s="83">
        <f>+E13+H13</f>
        <v>50</v>
      </c>
      <c r="M13" s="28">
        <f>IF(AND(L4=0,L13&gt;=0), "",L13/L4)</f>
        <v>3.6231884057971015E-3</v>
      </c>
      <c r="N13" s="39"/>
      <c r="O13" s="82">
        <f>+'N EERR'!E12</f>
        <v>0</v>
      </c>
      <c r="P13" s="28" t="str">
        <f>IF(AND(O4=0,O13&gt;=0), "",O13/O4)</f>
        <v/>
      </c>
      <c r="Q13" s="39"/>
      <c r="R13" s="28" t="str">
        <f t="shared" si="1"/>
        <v/>
      </c>
      <c r="S13" s="83">
        <f>+L13+O13</f>
        <v>50</v>
      </c>
      <c r="T13" s="28">
        <f>IF(AND(S4=0,S13&gt;=0), "",S13/S4)</f>
        <v>3.6231884057971015E-3</v>
      </c>
      <c r="U13" s="39"/>
      <c r="V13" s="84"/>
      <c r="W13" s="28" t="str">
        <f>IF(AND(V4=0,V13&gt;=0), "",V13/V4)</f>
        <v/>
      </c>
      <c r="X13" s="42">
        <f t="shared" si="2"/>
        <v>1</v>
      </c>
      <c r="Y13" s="82">
        <f>+'N EERR'!F12</f>
        <v>0</v>
      </c>
      <c r="Z13" s="28" t="str">
        <f>IF(AND(Y4=0,Y13&gt;=0), "",Y13/Y4)</f>
        <v/>
      </c>
      <c r="AA13" s="39"/>
      <c r="AB13" s="28" t="str">
        <f t="shared" si="3"/>
        <v/>
      </c>
      <c r="AC13" s="83">
        <f>+S13+Y13</f>
        <v>50</v>
      </c>
      <c r="AD13" s="28">
        <f>IF(AND(AC4=0,AC13&gt;=0), "",AC13/AC4)</f>
        <v>3.6231884057971015E-3</v>
      </c>
      <c r="AE13" s="39"/>
      <c r="AF13" s="82">
        <f>+'N EERR'!G12</f>
        <v>0</v>
      </c>
      <c r="AG13" s="28" t="str">
        <f>IF(AND(AF4=0,AF13&gt;=0), "",AF13/AF4)</f>
        <v/>
      </c>
      <c r="AH13" s="39"/>
      <c r="AI13" s="28" t="str">
        <f t="shared" si="4"/>
        <v/>
      </c>
      <c r="AJ13" s="83">
        <f t="shared" si="16"/>
        <v>50</v>
      </c>
      <c r="AK13" s="28">
        <f>IF(AND(AJ4=0,AJ13&gt;=0), "",AJ13/AJ4)</f>
        <v>3.6231884057971015E-3</v>
      </c>
      <c r="AL13" s="39"/>
      <c r="AM13" s="82">
        <f>+'N EERR'!H12</f>
        <v>0</v>
      </c>
      <c r="AN13" s="28" t="str">
        <f>IF(AND(AM4=0,AM13&gt;=0), "",AM13/AM4)</f>
        <v/>
      </c>
      <c r="AO13" s="39"/>
      <c r="AP13" s="28" t="str">
        <f t="shared" si="5"/>
        <v/>
      </c>
      <c r="AQ13" s="83">
        <f t="shared" si="17"/>
        <v>50</v>
      </c>
      <c r="AR13" s="28">
        <f>IF(AND(AQ4=0,AQ13&gt;=0), "",AQ13/AQ4)</f>
        <v>3.6231884057971015E-3</v>
      </c>
      <c r="AS13" s="39"/>
      <c r="AT13" s="84">
        <f>+V13*2</f>
        <v>0</v>
      </c>
      <c r="AU13" s="28" t="str">
        <f>IF(AND(AT4=0,AT13&gt;=0), "",AT13/AT4)</f>
        <v/>
      </c>
      <c r="AV13" s="42">
        <f t="shared" si="6"/>
        <v>1</v>
      </c>
      <c r="AW13" s="84">
        <f>+AQ13/6</f>
        <v>8.3333333333333339</v>
      </c>
      <c r="AX13" s="28">
        <f>IF(AND(AW4=0,AW13&gt;=0), "",AW13/AW4)</f>
        <v>3.6231884057971011E-3</v>
      </c>
      <c r="AY13" s="39"/>
      <c r="AZ13" s="84">
        <f>+AT13/6</f>
        <v>0</v>
      </c>
      <c r="BA13" s="28" t="str">
        <f>IF(AND(AZ4=0,AZ13&gt;=0), "",AZ13/AZ4)</f>
        <v/>
      </c>
      <c r="BB13" s="42">
        <f t="shared" si="7"/>
        <v>1</v>
      </c>
      <c r="BC13" s="82">
        <f>+'N EERR'!I12</f>
        <v>0</v>
      </c>
      <c r="BD13" s="28" t="str">
        <f>IF(AND(BC4=0,BC13&gt;=0), "",BC13/BC4)</f>
        <v/>
      </c>
      <c r="BE13" s="39"/>
      <c r="BF13" s="28" t="str">
        <f t="shared" si="8"/>
        <v/>
      </c>
      <c r="BG13" s="83">
        <f>+AQ13+BC13</f>
        <v>50</v>
      </c>
      <c r="BH13" s="28">
        <f>IF(AND(BG4=0,BG13&gt;=0), "",BG13/BG4)</f>
        <v>3.6231884057971015E-3</v>
      </c>
      <c r="BI13" s="39"/>
      <c r="BJ13" s="82">
        <f>+'N EERR'!J12</f>
        <v>0</v>
      </c>
      <c r="BK13" s="28" t="str">
        <f>IF(AND(BJ4=0,BJ13&gt;=0), "",BJ13/BJ4)</f>
        <v/>
      </c>
      <c r="BL13" s="39"/>
      <c r="BM13" s="28" t="str">
        <f t="shared" si="9"/>
        <v/>
      </c>
      <c r="BN13" s="83">
        <f>+BG13+BJ13</f>
        <v>50</v>
      </c>
      <c r="BO13" s="28">
        <f>IF(AND(BN4=0,BN13&gt;=0), "",BN13/BN4)</f>
        <v>3.6231884057971015E-3</v>
      </c>
      <c r="BP13" s="39"/>
      <c r="BQ13" s="82">
        <f>+'N EERR'!K12</f>
        <v>0</v>
      </c>
      <c r="BR13" s="28" t="str">
        <f>IF(AND(BQ4=0,BQ13&gt;=0), "",BQ13/BQ4)</f>
        <v/>
      </c>
      <c r="BS13" s="39"/>
      <c r="BT13" s="28" t="str">
        <f t="shared" si="10"/>
        <v/>
      </c>
      <c r="BU13" s="83">
        <f>+BN13+BQ13</f>
        <v>50</v>
      </c>
      <c r="BV13" s="28">
        <f>IF(AND(BU4=0,BU13&gt;=0), "",BU13/BU4)</f>
        <v>3.6231884057971015E-3</v>
      </c>
      <c r="BW13" s="39"/>
      <c r="BX13" s="84">
        <f>+AZ13*9</f>
        <v>0</v>
      </c>
      <c r="BY13" s="28" t="str">
        <f>IF(AND(BX4=0,BX13&gt;=0), "",BX13/BX4)</f>
        <v/>
      </c>
      <c r="BZ13" s="42">
        <f t="shared" si="11"/>
        <v>1</v>
      </c>
      <c r="CA13" s="82">
        <f>+'N EERR'!L12</f>
        <v>0</v>
      </c>
      <c r="CB13" s="28" t="str">
        <f>IF(AND(CA4=0,CA13&gt;=0), "",CA13/CA4)</f>
        <v/>
      </c>
      <c r="CC13" s="39"/>
      <c r="CD13" s="28" t="str">
        <f t="shared" si="12"/>
        <v/>
      </c>
      <c r="CE13" s="83">
        <f>+BU13+CA13</f>
        <v>50</v>
      </c>
      <c r="CF13" s="28">
        <f>IF(AND(CE4=0,CE13&gt;=0), "",CE13/CE4)</f>
        <v>3.6231884057971015E-3</v>
      </c>
      <c r="CG13" s="39"/>
      <c r="CH13" s="82">
        <f>+'N EERR'!M12</f>
        <v>0</v>
      </c>
      <c r="CI13" s="28" t="str">
        <f>IF(AND(CH4=0,CH13&gt;=0), "",CH13/CH4)</f>
        <v/>
      </c>
      <c r="CJ13" s="39"/>
      <c r="CK13" s="28" t="str">
        <f t="shared" si="13"/>
        <v/>
      </c>
      <c r="CL13" s="83">
        <f>+CE13+CH13</f>
        <v>50</v>
      </c>
      <c r="CM13" s="28">
        <f>IF(AND(CL4=0,CL13&gt;=0), "",CL13/CL4)</f>
        <v>3.6231884057971015E-3</v>
      </c>
      <c r="CN13" s="39"/>
      <c r="CO13" s="82">
        <f>+'N EERR'!N12</f>
        <v>0</v>
      </c>
      <c r="CP13" s="28" t="str">
        <f>IF(AND(CO4=0,CO13&gt;=0), "",CO13/CO4)</f>
        <v/>
      </c>
      <c r="CQ13" s="39"/>
      <c r="CR13" s="28" t="str">
        <f t="shared" si="14"/>
        <v/>
      </c>
      <c r="CS13" s="83">
        <f>+CL13+CO13</f>
        <v>50</v>
      </c>
      <c r="CT13" s="28">
        <f>IF(AND(CS4=0,CS13&gt;=0), "",CS13/CS4)</f>
        <v>3.6231884057971015E-3</v>
      </c>
      <c r="CU13" s="39"/>
      <c r="CV13" s="84">
        <f t="shared" si="18"/>
        <v>0</v>
      </c>
      <c r="CW13" s="28" t="str">
        <f>IF(AND(CV4=0,CV13&gt;=0), "",CV13/CV4)</f>
        <v/>
      </c>
      <c r="CX13" s="42">
        <f t="shared" si="15"/>
        <v>1</v>
      </c>
    </row>
    <row r="14" spans="1:105" outlineLevel="1" x14ac:dyDescent="0.25">
      <c r="A14" s="27" t="s">
        <v>236</v>
      </c>
      <c r="B14" s="82">
        <f>+'N EERR'!B13</f>
        <v>0</v>
      </c>
      <c r="C14" s="28">
        <f>IF(AND(B4=0,B14&gt;=0),,B14/B4)</f>
        <v>0</v>
      </c>
      <c r="D14" s="39"/>
      <c r="E14" s="82">
        <f>+'N EERR'!C13</f>
        <v>50</v>
      </c>
      <c r="F14" s="28">
        <f>IF(AND(E4=0,E14&gt;=0),,E14/E4)</f>
        <v>3.6231884057971015E-3</v>
      </c>
      <c r="G14" s="14"/>
      <c r="H14" s="82">
        <f>+'N EERR'!D13</f>
        <v>0</v>
      </c>
      <c r="I14" s="28">
        <f>IF(AND(H4=0,H14&gt;=0),,H14/H4)</f>
        <v>0</v>
      </c>
      <c r="J14" s="14"/>
      <c r="K14" s="28">
        <f t="shared" ref="K14" si="19">IF(AND(E14=0,H14&gt;0),100%,IF(AND(E14&lt;0,H14=0),(E14-H14)/E14,IF(AND(E14&gt;0,H14&gt;0),(H14-E14)/E14,IF(AND(E14=0,H14=0),0,(H14-E14)/E14))))</f>
        <v>-1</v>
      </c>
      <c r="L14" s="83">
        <f>+E14+H14</f>
        <v>50</v>
      </c>
      <c r="M14" s="28">
        <f>IF(AND(L4=0,L14&gt;=0),,L14/L4)</f>
        <v>3.6231884057971015E-3</v>
      </c>
      <c r="N14" s="39"/>
      <c r="O14" s="82">
        <f>+'N EERR'!E13</f>
        <v>0</v>
      </c>
      <c r="P14" s="28">
        <f>IF(AND(O4=0,O14&gt;=0),,O14/O4)</f>
        <v>0</v>
      </c>
      <c r="Q14" s="14"/>
      <c r="R14" s="28">
        <f t="shared" ref="R14" si="20">IF(AND(H14=0,O14&gt;0),100%,IF(AND(H14&lt;0,O14=0),(H14-O14)/H14,IF(AND(H14&gt;0,O14&gt;0),(O14-H14)/H14,IF(AND(H14=0,O14=0),0,(O14-H14)/H14))))</f>
        <v>0</v>
      </c>
      <c r="S14" s="83">
        <f>+L14+O14</f>
        <v>50</v>
      </c>
      <c r="T14" s="28">
        <f>IF(AND(S4=0,S14&gt;=0),,S14/S4)</f>
        <v>3.6231884057971015E-3</v>
      </c>
      <c r="U14" s="39"/>
      <c r="V14" s="84">
        <f>+'[1]MAYOR EERR'!V14+'[1]EVENTOS EERR'!V14+'[1]TERRACOTA EERR'!V14+'[1]UCAFE EERR'!V14</f>
        <v>0</v>
      </c>
      <c r="W14" s="28">
        <f>IF(AND(V4=0,V14&gt;=0),,V14/V4)</f>
        <v>0</v>
      </c>
      <c r="X14" s="42">
        <f t="shared" ref="X14" si="21">IF(AND(V14=0,S14&gt;0),100%,IF(AND(V14&lt;0,S14=0),(V14-S14)/V14,IF(AND(V14&gt;0,S14&gt;0),(S14-V14)/V14,IF(AND(V14=0,S14=0),0,(S14-V14)/V14))))</f>
        <v>1</v>
      </c>
      <c r="Y14" s="82">
        <f>+'N EERR'!F13</f>
        <v>0</v>
      </c>
      <c r="Z14" s="28">
        <f>IF(AND(Y4=0,Y14&gt;=0),,Y14/Y4)</f>
        <v>0</v>
      </c>
      <c r="AA14" s="14"/>
      <c r="AB14" s="28">
        <f t="shared" ref="AB14" si="22">IF(AND(O14=0,Y14&gt;0),100%,IF(AND(O14&lt;0,Y14=0),(O14-Y14)/O14,IF(AND(O14&gt;0,Y14&gt;0),(Y14-O14)/O14,IF(AND(O14=0,Y14=0),0,(Y14-O14)/O14))))</f>
        <v>0</v>
      </c>
      <c r="AC14" s="83">
        <f>+S14+Y14</f>
        <v>50</v>
      </c>
      <c r="AD14" s="28">
        <f>IF(AND(AC4=0,AC14&gt;=0),,AC14/AC4)</f>
        <v>3.6231884057971015E-3</v>
      </c>
      <c r="AE14" s="39"/>
      <c r="AF14" s="82">
        <f>+'N EERR'!G13</f>
        <v>0</v>
      </c>
      <c r="AG14" s="28">
        <f>IF(AND(AF4=0,AF14&gt;=0),,AF14/AF4)</f>
        <v>0</v>
      </c>
      <c r="AH14" s="14"/>
      <c r="AI14" s="28">
        <f t="shared" ref="AI14" si="23">IF(AND(V14=0,AF14&gt;0),100%,IF(AND(V14&lt;0,AF14=0),(V14-AF14)/V14,IF(AND(V14&gt;0,AF14&gt;0),(AF14-V14)/V14,IF(AND(V14=0,AF14=0),0,(AF14-V14)/V14))))</f>
        <v>0</v>
      </c>
      <c r="AJ14" s="83">
        <f t="shared" si="16"/>
        <v>50</v>
      </c>
      <c r="AK14" s="28">
        <f>IF(AND(AJ4=0,AJ14&gt;=0),,AJ14/AJ4)</f>
        <v>3.6231884057971015E-3</v>
      </c>
      <c r="AL14" s="39"/>
      <c r="AM14" s="82">
        <f>+'N EERR'!H13</f>
        <v>0</v>
      </c>
      <c r="AN14" s="28">
        <f>IF(AND(AM4=0,AM14&gt;=0),,AM14/AM4)</f>
        <v>0</v>
      </c>
      <c r="AO14" s="14"/>
      <c r="AP14" s="28">
        <f t="shared" ref="AP14" si="24">IF(AND(AC14=0,AM14&gt;0),100%,IF(AND(AC14&lt;0,AM14=0),(AC14-AM14)/AC14,IF(AND(AC14&gt;0,AM14&gt;0),(AM14-AC14)/AC14,IF(AND(AC14=0,AM14=0),0,(AM14-AC14)/AC14))))</f>
        <v>-1</v>
      </c>
      <c r="AQ14" s="83">
        <f t="shared" si="17"/>
        <v>50</v>
      </c>
      <c r="AR14" s="28">
        <f>IF(AND(AQ4=0,AQ14&gt;=0),,AQ14/AQ4)</f>
        <v>3.6231884057971015E-3</v>
      </c>
      <c r="AS14" s="39"/>
      <c r="AT14" s="84">
        <f t="shared" ref="AT14" si="25">+V14*2</f>
        <v>0</v>
      </c>
      <c r="AU14" s="28">
        <f>IF(AND(AT4=0,AT14&gt;=0),,AT14/AT4)</f>
        <v>0</v>
      </c>
      <c r="AV14" s="42">
        <f t="shared" ref="AV14" si="26">IF(AND(AT14=0,AQ14&gt;0),100%,IF(AND(AT14&lt;0,AQ14=0),(AT14-AQ14)/AT14,IF(AND(AT14&gt;0,AQ14&gt;0),(AQ14-AT14)/AT14,IF(AND(AT14=0,AQ14=0),0,(AQ14-AT14)/AT14))))</f>
        <v>1</v>
      </c>
      <c r="AW14" s="84">
        <f t="shared" ref="AW14" si="27">+AQ14/6</f>
        <v>8.3333333333333339</v>
      </c>
      <c r="AX14" s="28">
        <f>IF(AND(AW4=0,AW14&gt;=0),,AW14/AW4)</f>
        <v>3.6231884057971011E-3</v>
      </c>
      <c r="AY14" s="39"/>
      <c r="AZ14" s="84">
        <f t="shared" ref="AZ14" si="28">+AT14/6</f>
        <v>0</v>
      </c>
      <c r="BA14" s="28">
        <f>IF(AND(AZ4=0,AZ14&gt;=0),,AZ14/AZ4)</f>
        <v>0</v>
      </c>
      <c r="BB14" s="42">
        <f t="shared" ref="BB14" si="29">IF(AND(AZ14=0,AW14&gt;0),100%,IF(AND(AZ14&lt;0,AW14=0),(AZ14-AW14)/AZ14,IF(AND(AZ14&gt;0,AW14&gt;0),(AW14-AZ14)/AZ14,IF(AND(AZ14=0,AW14=0),0,(AW14-AZ14)/AZ14))))</f>
        <v>1</v>
      </c>
      <c r="BC14" s="82">
        <f>+'N EERR'!I13</f>
        <v>0</v>
      </c>
      <c r="BD14" s="28">
        <f>IF(AND(BC4=0,BC14&gt;=0),,BC14/BC4)</f>
        <v>0</v>
      </c>
      <c r="BE14" s="14"/>
      <c r="BF14" s="28">
        <f t="shared" ref="BF14" si="30">IF(AND(AM14=0,BC14&gt;0),100%,IF(AND(AM14&lt;0,BC14=0),(AM14-BC14)/AM14,IF(AND(AM14&gt;0,BC14&gt;0),(BC14-AM14)/AM14,IF(AND(AM14=0,BC14=0),0,(BC14-AM14)/AM14))))</f>
        <v>0</v>
      </c>
      <c r="BG14" s="83">
        <f>+AQ14+BC14</f>
        <v>50</v>
      </c>
      <c r="BH14" s="28">
        <f>IF(AND(BG4=0,BG14&gt;=0),,BG14/BG4)</f>
        <v>3.6231884057971015E-3</v>
      </c>
      <c r="BI14" s="39"/>
      <c r="BJ14" s="82">
        <f>+'N EERR'!J13</f>
        <v>0</v>
      </c>
      <c r="BK14" s="28">
        <f>IF(AND(BJ4=0,BJ14&gt;=0),,BJ14/BJ4)</f>
        <v>0</v>
      </c>
      <c r="BL14" s="14"/>
      <c r="BM14" s="28">
        <f t="shared" ref="BM14" si="31">IF(AND(BC14=0,BJ14&gt;0),100%,IF(AND(BC14&lt;0,BJ14=0),(BC14-BJ14)/BC14,IF(AND(BC14&gt;0,BJ14&gt;0),(BJ14-BC14)/BC14,IF(AND(BC14=0,BJ14=0),0,(BJ14-BC14)/BC14))))</f>
        <v>0</v>
      </c>
      <c r="BN14" s="83">
        <f>+BG14+BJ14</f>
        <v>50</v>
      </c>
      <c r="BO14" s="28">
        <f>IF(AND(BN4=0,BN14&gt;=0),,BN14/BN4)</f>
        <v>3.6231884057971015E-3</v>
      </c>
      <c r="BP14" s="39"/>
      <c r="BQ14" s="82">
        <f>+'N EERR'!K13</f>
        <v>0</v>
      </c>
      <c r="BR14" s="28">
        <f>IF(AND(BQ4=0,BQ14&gt;=0),,BQ14/BQ4)</f>
        <v>0</v>
      </c>
      <c r="BS14" s="14"/>
      <c r="BT14" s="28">
        <f t="shared" ref="BT14" si="32">IF(AND(BJ14=0,BQ14&gt;0),100%,IF(AND(BJ14&lt;0,BQ14=0),(BJ14-BQ14)/BJ14,IF(AND(BJ14&gt;0,BQ14&gt;0),(BQ14-BJ14)/BJ14,IF(AND(BJ14=0,BQ14=0),0,(BQ14-BJ14)/BJ14))))</f>
        <v>0</v>
      </c>
      <c r="BU14" s="83">
        <f>+BN14+BQ14</f>
        <v>50</v>
      </c>
      <c r="BV14" s="28">
        <f>IF(AND(BU4=0,BU14&gt;=0),,BU14/BU4)</f>
        <v>3.6231884057971015E-3</v>
      </c>
      <c r="BW14" s="39"/>
      <c r="BX14" s="84">
        <f>+AZ14*9</f>
        <v>0</v>
      </c>
      <c r="BY14" s="28">
        <f>IF(AND(BX4=0,BX14&gt;=0),,BX14/BX4)</f>
        <v>0</v>
      </c>
      <c r="BZ14" s="42">
        <f t="shared" ref="BZ14" si="33">IF(AND(BX14=0,BU14&gt;0),100%,IF(AND(BX14&lt;0,BU14=0),(BX14-BU14)/BX14,IF(AND(BX14&gt;0,BU14&gt;0),(BU14-BX14)/BX14,IF(AND(BX14=0,BU14=0),0,(BU14-BX14)/BX14))))</f>
        <v>1</v>
      </c>
      <c r="CA14" s="82">
        <f>+'N EERR'!L13</f>
        <v>0</v>
      </c>
      <c r="CB14" s="28">
        <f>IF(AND(CA4=0,CA14&gt;=0),,CA14/CA4)</f>
        <v>0</v>
      </c>
      <c r="CC14" s="14"/>
      <c r="CD14" s="28">
        <f t="shared" ref="CD14" si="34">IF(AND(BQ14=0,CA14&gt;0),100%,IF(AND(BQ14&lt;0,CA14=0),(BQ14-CA14)/BQ14,IF(AND(BQ14&gt;0,CA14&gt;0),(CA14-BQ14)/BQ14,IF(AND(BQ14=0,CA14=0),0,(CA14-BQ14)/BQ14))))</f>
        <v>0</v>
      </c>
      <c r="CE14" s="83">
        <f>+BU14+CA14</f>
        <v>50</v>
      </c>
      <c r="CF14" s="28">
        <f>IF(AND(CE4=0,CE14&gt;=0),,CE14/CE4)</f>
        <v>3.6231884057971015E-3</v>
      </c>
      <c r="CG14" s="39"/>
      <c r="CH14" s="82">
        <f>+'N EERR'!M13</f>
        <v>0</v>
      </c>
      <c r="CI14" s="28">
        <f>IF(AND(CH4=0,CH14&gt;=0),,CH14/CH4)</f>
        <v>0</v>
      </c>
      <c r="CJ14" s="14"/>
      <c r="CK14" s="28">
        <f t="shared" ref="CK14" si="35">IF(AND(CA14=0,CH14&gt;0),100%,IF(AND(CA14&lt;0,CH14=0),(CA14-CH14)/CA14,IF(AND(CA14&gt;0,CH14&gt;0),(CH14-CA14)/CA14,IF(AND(CA14=0,CH14=0),0,(CH14-CA14)/CA14))))</f>
        <v>0</v>
      </c>
      <c r="CL14" s="83">
        <f>+CE14+CH14</f>
        <v>50</v>
      </c>
      <c r="CM14" s="28">
        <f>IF(AND(CL4=0,CL14&gt;=0),,CL14/CL4)</f>
        <v>3.6231884057971015E-3</v>
      </c>
      <c r="CN14" s="39"/>
      <c r="CO14" s="82">
        <f>+'N EERR'!N13</f>
        <v>0</v>
      </c>
      <c r="CP14" s="28">
        <f>IF(AND(CO4=0,CO14&gt;=0),,CO14/CO4)</f>
        <v>0</v>
      </c>
      <c r="CQ14" s="14"/>
      <c r="CR14" s="28">
        <f t="shared" ref="CR14" si="36">IF(AND(CH14=0,CO14&gt;0),100%,IF(AND(CH14&lt;0,CO14=0),(CH14-CO14)/CH14,IF(AND(CH14&gt;0,CO14&gt;0),(CO14-CH14)/CH14,IF(AND(CH14=0,CO14=0),0,(CO14-CH14)/CH14))))</f>
        <v>0</v>
      </c>
      <c r="CS14" s="83">
        <f>+CL14+CO14</f>
        <v>50</v>
      </c>
      <c r="CT14" s="28">
        <f>IF(AND(CS4=0,CS14&gt;=0),,CS14/CS4)</f>
        <v>3.6231884057971015E-3</v>
      </c>
      <c r="CU14" s="39"/>
      <c r="CV14" s="84">
        <f t="shared" si="18"/>
        <v>0</v>
      </c>
      <c r="CW14" s="28">
        <f>IF(AND(CV4=0,CV14&gt;=0),,CV14/CV4)</f>
        <v>0</v>
      </c>
      <c r="CX14" s="42">
        <f t="shared" ref="CX14" si="37">IF(AND(CV14=0,CS14&gt;0),100%,IF(AND(CV14&lt;0,CS14=0),(CV14-CS14)/CV14,IF(AND(CV14&gt;0,CS14&gt;0),(CS14-CV14)/CV14,IF(AND(CV14=0,CS14=0),0,(CS14-CV14)/CV14))))</f>
        <v>1</v>
      </c>
    </row>
    <row r="15" spans="1:105" s="6" customFormat="1" outlineLevel="1" x14ac:dyDescent="0.25">
      <c r="A15" s="34" t="s">
        <v>44</v>
      </c>
      <c r="B15" s="79">
        <f>SUM(B16:B17)</f>
        <v>0</v>
      </c>
      <c r="C15" s="35" t="str">
        <f>IF(AND(B4=0,B15&gt;=0), "",B15/B4)</f>
        <v/>
      </c>
      <c r="D15" s="38"/>
      <c r="E15" s="79">
        <f>SUM(E16:E17)</f>
        <v>50</v>
      </c>
      <c r="F15" s="35">
        <f>IF(AND(E4=0,E15&gt;=0), "",E15/E4)</f>
        <v>3.6231884057971015E-3</v>
      </c>
      <c r="G15" s="38"/>
      <c r="H15" s="79">
        <f>SUM(H16:H17)</f>
        <v>0</v>
      </c>
      <c r="I15" s="35" t="str">
        <f>IF(AND(H4=0,H15&gt;=0), "",H15/H4)</f>
        <v/>
      </c>
      <c r="J15" s="38"/>
      <c r="K15" s="35">
        <f t="shared" si="0"/>
        <v>-1</v>
      </c>
      <c r="L15" s="80">
        <f>SUM(L16:L17)</f>
        <v>50</v>
      </c>
      <c r="M15" s="35">
        <f>IF(AND(L4=0,L15&gt;=0), "",L15/L4)</f>
        <v>3.6231884057971015E-3</v>
      </c>
      <c r="N15" s="38"/>
      <c r="O15" s="79">
        <f>SUM(O16:O17)</f>
        <v>0</v>
      </c>
      <c r="P15" s="35" t="str">
        <f>IF(AND(O4=0,O15&gt;=0), "",O15/O4)</f>
        <v/>
      </c>
      <c r="Q15" s="38"/>
      <c r="R15" s="35" t="str">
        <f t="shared" si="1"/>
        <v/>
      </c>
      <c r="S15" s="80">
        <f>SUM(S16:S17)</f>
        <v>50</v>
      </c>
      <c r="T15" s="35">
        <f>IF(AND(S4=0,S15&gt;=0), "",S15/S4)</f>
        <v>3.6231884057971015E-3</v>
      </c>
      <c r="U15" s="38"/>
      <c r="V15" s="81">
        <f>SUM(V16:V17)</f>
        <v>0</v>
      </c>
      <c r="W15" s="35" t="str">
        <f>IF(AND(V4=0,V15&gt;=0), "",V15/V4)</f>
        <v/>
      </c>
      <c r="X15" s="51">
        <f t="shared" si="2"/>
        <v>1</v>
      </c>
      <c r="Y15" s="79">
        <f>SUM(Y16:Y17)</f>
        <v>0</v>
      </c>
      <c r="Z15" s="35" t="str">
        <f>IF(AND(Y4=0,Y15&gt;=0), "",Y15/Y4)</f>
        <v/>
      </c>
      <c r="AA15" s="38"/>
      <c r="AB15" s="35" t="str">
        <f t="shared" si="3"/>
        <v/>
      </c>
      <c r="AC15" s="80">
        <f>SUM(AC16:AC17)</f>
        <v>50</v>
      </c>
      <c r="AD15" s="35">
        <f>IF(AND(AC4=0,AC15&gt;=0), "",AC15/AC4)</f>
        <v>3.6231884057971015E-3</v>
      </c>
      <c r="AE15" s="38"/>
      <c r="AF15" s="79">
        <f>SUM(AF16:AF17)</f>
        <v>0</v>
      </c>
      <c r="AG15" s="35" t="str">
        <f>IF(AND(AF4=0,AF15&gt;=0), "",AF15/AF4)</f>
        <v/>
      </c>
      <c r="AH15" s="38"/>
      <c r="AI15" s="35" t="str">
        <f t="shared" si="4"/>
        <v/>
      </c>
      <c r="AJ15" s="80">
        <f>SUM(AJ16:AJ17)</f>
        <v>50</v>
      </c>
      <c r="AK15" s="35">
        <f>IF(AND(AJ4=0,AJ15&gt;=0), "",AJ15/AJ4)</f>
        <v>3.6231884057971015E-3</v>
      </c>
      <c r="AL15" s="38"/>
      <c r="AM15" s="79">
        <f>SUM(AM16:AM17)</f>
        <v>0</v>
      </c>
      <c r="AN15" s="35" t="str">
        <f>IF(AND(AM4=0,AM15&gt;=0), "",AM15/AM4)</f>
        <v/>
      </c>
      <c r="AO15" s="38"/>
      <c r="AP15" s="35" t="str">
        <f t="shared" si="5"/>
        <v/>
      </c>
      <c r="AQ15" s="80">
        <f>SUM(AQ16:AQ17)</f>
        <v>50</v>
      </c>
      <c r="AR15" s="35">
        <f>IF(AND(AQ4=0,AQ15&gt;=0), "",AQ15/AQ4)</f>
        <v>3.6231884057971015E-3</v>
      </c>
      <c r="AS15" s="38"/>
      <c r="AT15" s="81">
        <f>SUM(AT16:AT17)</f>
        <v>0</v>
      </c>
      <c r="AU15" s="35" t="str">
        <f>IF(AND(AT4=0,AT15&gt;=0), "",AT15/AT4)</f>
        <v/>
      </c>
      <c r="AV15" s="51">
        <f t="shared" si="6"/>
        <v>1</v>
      </c>
      <c r="AW15" s="81">
        <f>SUM(AW16:AW17)</f>
        <v>8.3333333333333339</v>
      </c>
      <c r="AX15" s="35">
        <f>IF(AND(AW4=0,AW15&gt;=0), "",AW15/AW4)</f>
        <v>3.6231884057971011E-3</v>
      </c>
      <c r="AY15" s="38"/>
      <c r="AZ15" s="81">
        <f>SUM(AZ16:AZ17)</f>
        <v>0</v>
      </c>
      <c r="BA15" s="35" t="str">
        <f>IF(AND(AZ4=0,AZ15&gt;=0), "",AZ15/AZ4)</f>
        <v/>
      </c>
      <c r="BB15" s="51">
        <f t="shared" si="7"/>
        <v>1</v>
      </c>
      <c r="BC15" s="79">
        <f>SUM(BC16:BC17)</f>
        <v>0</v>
      </c>
      <c r="BD15" s="35" t="str">
        <f>IF(AND(BC4=0,BC15&gt;=0), "",BC15/BC4)</f>
        <v/>
      </c>
      <c r="BE15" s="38"/>
      <c r="BF15" s="35" t="str">
        <f t="shared" si="8"/>
        <v/>
      </c>
      <c r="BG15" s="80">
        <f>SUM(BG16:BG17)</f>
        <v>50</v>
      </c>
      <c r="BH15" s="35">
        <f>IF(AND(BG4=0,BG15&gt;=0), "",BG15/BG4)</f>
        <v>3.6231884057971015E-3</v>
      </c>
      <c r="BI15" s="38"/>
      <c r="BJ15" s="79">
        <f>SUM(BJ16:BJ17)</f>
        <v>0</v>
      </c>
      <c r="BK15" s="35" t="str">
        <f>IF(AND(BJ4=0,BJ15&gt;=0), "",BJ15/BJ4)</f>
        <v/>
      </c>
      <c r="BL15" s="38"/>
      <c r="BM15" s="35" t="str">
        <f t="shared" si="9"/>
        <v/>
      </c>
      <c r="BN15" s="80">
        <f>SUM(BN16:BN17)</f>
        <v>50</v>
      </c>
      <c r="BO15" s="35">
        <f>IF(AND(BN4=0,BN15&gt;=0), "",BN15/BN4)</f>
        <v>3.6231884057971015E-3</v>
      </c>
      <c r="BP15" s="38"/>
      <c r="BQ15" s="79">
        <f>SUM(BQ16:BQ17)</f>
        <v>0</v>
      </c>
      <c r="BR15" s="35" t="str">
        <f>IF(AND(BQ4=0,BQ15&gt;=0), "",BQ15/BQ4)</f>
        <v/>
      </c>
      <c r="BS15" s="38"/>
      <c r="BT15" s="35" t="str">
        <f t="shared" si="10"/>
        <v/>
      </c>
      <c r="BU15" s="80">
        <f>SUM(BU16:BU17)</f>
        <v>50</v>
      </c>
      <c r="BV15" s="35">
        <f>IF(AND(BU4=0,BU15&gt;=0), "",BU15/BU4)</f>
        <v>3.6231884057971015E-3</v>
      </c>
      <c r="BW15" s="38"/>
      <c r="BX15" s="81">
        <f>SUM(BX16:BX17)</f>
        <v>0</v>
      </c>
      <c r="BY15" s="35" t="str">
        <f>IF(AND(BX4=0,BX15&gt;=0), "",BX15/BX4)</f>
        <v/>
      </c>
      <c r="BZ15" s="51">
        <f t="shared" si="11"/>
        <v>1</v>
      </c>
      <c r="CA15" s="79">
        <f>SUM(CA16:CA17)</f>
        <v>0</v>
      </c>
      <c r="CB15" s="35" t="str">
        <f>IF(AND(CA4=0,CA15&gt;=0), "",CA15/CA4)</f>
        <v/>
      </c>
      <c r="CC15" s="38"/>
      <c r="CD15" s="35" t="str">
        <f t="shared" si="12"/>
        <v/>
      </c>
      <c r="CE15" s="80">
        <f>SUM(CE16:CE17)</f>
        <v>50</v>
      </c>
      <c r="CF15" s="35">
        <f>IF(AND(CE4=0,CE15&gt;=0), "",CE15/CE4)</f>
        <v>3.6231884057971015E-3</v>
      </c>
      <c r="CG15" s="38"/>
      <c r="CH15" s="79">
        <f>SUM(CH16:CH17)</f>
        <v>0</v>
      </c>
      <c r="CI15" s="35" t="str">
        <f>IF(AND(CH4=0,CH15&gt;=0), "",CH15/CH4)</f>
        <v/>
      </c>
      <c r="CJ15" s="38"/>
      <c r="CK15" s="35" t="str">
        <f t="shared" si="13"/>
        <v/>
      </c>
      <c r="CL15" s="80">
        <f>SUM(CL16:CL17)</f>
        <v>50</v>
      </c>
      <c r="CM15" s="35">
        <f>IF(AND(CL4=0,CL15&gt;=0), "",CL15/CL4)</f>
        <v>3.6231884057971015E-3</v>
      </c>
      <c r="CN15" s="38"/>
      <c r="CO15" s="79">
        <f>SUM(CO16:CO17)</f>
        <v>0</v>
      </c>
      <c r="CP15" s="35" t="str">
        <f>IF(AND(CO4=0,CO15&gt;=0), "",CO15/CO4)</f>
        <v/>
      </c>
      <c r="CQ15" s="38"/>
      <c r="CR15" s="35" t="str">
        <f t="shared" si="14"/>
        <v/>
      </c>
      <c r="CS15" s="80">
        <f>SUM(CS16:CS17)</f>
        <v>50</v>
      </c>
      <c r="CT15" s="35">
        <f>IF(AND(CS4=0,CS15&gt;=0), "",CS15/CS4)</f>
        <v>3.6231884057971015E-3</v>
      </c>
      <c r="CU15" s="38"/>
      <c r="CV15" s="81">
        <f>SUM(CV16:CV17)</f>
        <v>0</v>
      </c>
      <c r="CW15" s="35" t="str">
        <f>IF(AND(CV4=0,CV15&gt;=0), "",CV15/CV4)</f>
        <v/>
      </c>
      <c r="CX15" s="51">
        <f t="shared" si="15"/>
        <v>1</v>
      </c>
    </row>
    <row r="16" spans="1:105" outlineLevel="1" x14ac:dyDescent="0.25">
      <c r="A16" s="27" t="s">
        <v>45</v>
      </c>
      <c r="B16" s="82">
        <f>+'N EERR'!B14</f>
        <v>0</v>
      </c>
      <c r="C16" s="28" t="str">
        <f>IF(AND(B4=0,B16&gt;=0), "",B16/B4)</f>
        <v/>
      </c>
      <c r="D16" s="39"/>
      <c r="E16" s="82">
        <f>+'N EERR'!C14</f>
        <v>50</v>
      </c>
      <c r="F16" s="28">
        <f>IF(AND(E4=0,E16&gt;=0), "",E16/E4)</f>
        <v>3.6231884057971015E-3</v>
      </c>
      <c r="G16" s="39"/>
      <c r="H16" s="82">
        <f>+'N EERR'!D14</f>
        <v>0</v>
      </c>
      <c r="I16" s="28" t="str">
        <f>IF(AND(H4=0,H16&gt;=0), "",H16/H4)</f>
        <v/>
      </c>
      <c r="J16" s="39"/>
      <c r="K16" s="28">
        <f t="shared" si="0"/>
        <v>-1</v>
      </c>
      <c r="L16" s="83">
        <f>+E16+H16</f>
        <v>50</v>
      </c>
      <c r="M16" s="28">
        <f>IF(AND(L4=0,L16&gt;=0), "",L16/L4)</f>
        <v>3.6231884057971015E-3</v>
      </c>
      <c r="N16" s="39"/>
      <c r="O16" s="82">
        <f>+'N EERR'!E14</f>
        <v>0</v>
      </c>
      <c r="P16" s="28" t="str">
        <f>IF(AND(O4=0,O16&gt;=0), "",O16/O4)</f>
        <v/>
      </c>
      <c r="Q16" s="39"/>
      <c r="R16" s="28" t="str">
        <f t="shared" si="1"/>
        <v/>
      </c>
      <c r="S16" s="83">
        <f>+L16+O16</f>
        <v>50</v>
      </c>
      <c r="T16" s="28">
        <f>IF(AND(S4=0,S16&gt;=0), "",S16/S4)</f>
        <v>3.6231884057971015E-3</v>
      </c>
      <c r="U16" s="39"/>
      <c r="V16" s="84"/>
      <c r="W16" s="28" t="str">
        <f>IF(AND(V4=0,V16&gt;=0), "",V16/V4)</f>
        <v/>
      </c>
      <c r="X16" s="42">
        <f t="shared" si="2"/>
        <v>1</v>
      </c>
      <c r="Y16" s="82">
        <f>+'N EERR'!F14</f>
        <v>0</v>
      </c>
      <c r="Z16" s="28" t="str">
        <f>IF(AND(Y4=0,Y16&gt;=0), "",Y16/Y4)</f>
        <v/>
      </c>
      <c r="AA16" s="39"/>
      <c r="AB16" s="28" t="str">
        <f t="shared" si="3"/>
        <v/>
      </c>
      <c r="AC16" s="83">
        <f>+S16+Y16</f>
        <v>50</v>
      </c>
      <c r="AD16" s="28">
        <f>IF(AND(AC4=0,AC16&gt;=0), "",AC16/AC4)</f>
        <v>3.6231884057971015E-3</v>
      </c>
      <c r="AE16" s="39"/>
      <c r="AF16" s="82">
        <f>+'N EERR'!G14</f>
        <v>0</v>
      </c>
      <c r="AG16" s="28" t="str">
        <f>IF(AND(AF4=0,AF16&gt;=0), "",AF16/AF4)</f>
        <v/>
      </c>
      <c r="AH16" s="39"/>
      <c r="AI16" s="28" t="str">
        <f t="shared" si="4"/>
        <v/>
      </c>
      <c r="AJ16" s="83">
        <f t="shared" si="16"/>
        <v>50</v>
      </c>
      <c r="AK16" s="28">
        <f>IF(AND(AJ4=0,AJ16&gt;=0), "",AJ16/AJ4)</f>
        <v>3.6231884057971015E-3</v>
      </c>
      <c r="AL16" s="39"/>
      <c r="AM16" s="82">
        <f>+'N EERR'!H14</f>
        <v>0</v>
      </c>
      <c r="AN16" s="28" t="str">
        <f>IF(AND(AM4=0,AM16&gt;=0), "",AM16/AM4)</f>
        <v/>
      </c>
      <c r="AO16" s="39"/>
      <c r="AP16" s="28" t="str">
        <f t="shared" si="5"/>
        <v/>
      </c>
      <c r="AQ16" s="83">
        <f t="shared" si="17"/>
        <v>50</v>
      </c>
      <c r="AR16" s="28">
        <f>IF(AND(AQ4=0,AQ16&gt;=0), "",AQ16/AQ4)</f>
        <v>3.6231884057971015E-3</v>
      </c>
      <c r="AS16" s="39"/>
      <c r="AT16" s="84">
        <f>+V16*2</f>
        <v>0</v>
      </c>
      <c r="AU16" s="28" t="str">
        <f>IF(AND(AT4=0,AT16&gt;=0), "",AT16/AT4)</f>
        <v/>
      </c>
      <c r="AV16" s="42">
        <f t="shared" si="6"/>
        <v>1</v>
      </c>
      <c r="AW16" s="84">
        <f>+AQ16/6</f>
        <v>8.3333333333333339</v>
      </c>
      <c r="AX16" s="28">
        <f>IF(AND(AW4=0,AW16&gt;=0), "",AW16/AW4)</f>
        <v>3.6231884057971011E-3</v>
      </c>
      <c r="AY16" s="39"/>
      <c r="AZ16" s="84">
        <f>+AT16/6</f>
        <v>0</v>
      </c>
      <c r="BA16" s="28" t="str">
        <f>IF(AND(AZ4=0,AZ16&gt;=0), "",AZ16/AZ4)</f>
        <v/>
      </c>
      <c r="BB16" s="42">
        <f t="shared" si="7"/>
        <v>1</v>
      </c>
      <c r="BC16" s="82">
        <f>+'N EERR'!I14</f>
        <v>0</v>
      </c>
      <c r="BD16" s="28" t="str">
        <f>IF(AND(BC4=0,BC16&gt;=0), "",BC16/BC4)</f>
        <v/>
      </c>
      <c r="BE16" s="39"/>
      <c r="BF16" s="28" t="str">
        <f t="shared" si="8"/>
        <v/>
      </c>
      <c r="BG16" s="83">
        <f>+AQ16+BC16</f>
        <v>50</v>
      </c>
      <c r="BH16" s="28">
        <f>IF(AND(BG4=0,BG16&gt;=0), "",BG16/BG4)</f>
        <v>3.6231884057971015E-3</v>
      </c>
      <c r="BI16" s="39"/>
      <c r="BJ16" s="82">
        <f>+'N EERR'!J14</f>
        <v>0</v>
      </c>
      <c r="BK16" s="28" t="str">
        <f>IF(AND(BJ4=0,BJ16&gt;=0), "",BJ16/BJ4)</f>
        <v/>
      </c>
      <c r="BL16" s="39"/>
      <c r="BM16" s="28" t="str">
        <f t="shared" si="9"/>
        <v/>
      </c>
      <c r="BN16" s="83">
        <f>+BG16+BJ16</f>
        <v>50</v>
      </c>
      <c r="BO16" s="28">
        <f>IF(AND(BN4=0,BN16&gt;=0), "",BN16/BN4)</f>
        <v>3.6231884057971015E-3</v>
      </c>
      <c r="BP16" s="39"/>
      <c r="BQ16" s="82">
        <f>+'N EERR'!K14</f>
        <v>0</v>
      </c>
      <c r="BR16" s="28" t="str">
        <f>IF(AND(BQ4=0,BQ16&gt;=0), "",BQ16/BQ4)</f>
        <v/>
      </c>
      <c r="BS16" s="39"/>
      <c r="BT16" s="28" t="str">
        <f t="shared" si="10"/>
        <v/>
      </c>
      <c r="BU16" s="83">
        <f>+BN16+BQ16</f>
        <v>50</v>
      </c>
      <c r="BV16" s="28">
        <f>IF(AND(BU4=0,BU16&gt;=0), "",BU16/BU4)</f>
        <v>3.6231884057971015E-3</v>
      </c>
      <c r="BW16" s="39"/>
      <c r="BX16" s="84">
        <f>+AZ16*9</f>
        <v>0</v>
      </c>
      <c r="BY16" s="28" t="str">
        <f>IF(AND(BX4=0,BX16&gt;=0), "",BX16/BX4)</f>
        <v/>
      </c>
      <c r="BZ16" s="42">
        <f t="shared" si="11"/>
        <v>1</v>
      </c>
      <c r="CA16" s="82">
        <f>+'N EERR'!L14</f>
        <v>0</v>
      </c>
      <c r="CB16" s="28" t="str">
        <f>IF(AND(CA4=0,CA16&gt;=0), "",CA16/CA4)</f>
        <v/>
      </c>
      <c r="CC16" s="39"/>
      <c r="CD16" s="28" t="str">
        <f t="shared" si="12"/>
        <v/>
      </c>
      <c r="CE16" s="83">
        <f>+BU16+CA16</f>
        <v>50</v>
      </c>
      <c r="CF16" s="28">
        <f>IF(AND(CE4=0,CE16&gt;=0), "",CE16/CE4)</f>
        <v>3.6231884057971015E-3</v>
      </c>
      <c r="CG16" s="39"/>
      <c r="CH16" s="82">
        <f>+'N EERR'!M14</f>
        <v>0</v>
      </c>
      <c r="CI16" s="28" t="str">
        <f>IF(AND(CH4=0,CH16&gt;=0), "",CH16/CH4)</f>
        <v/>
      </c>
      <c r="CJ16" s="39"/>
      <c r="CK16" s="28" t="str">
        <f t="shared" si="13"/>
        <v/>
      </c>
      <c r="CL16" s="83">
        <f>+CE16+CH16</f>
        <v>50</v>
      </c>
      <c r="CM16" s="28">
        <f>IF(AND(CL4=0,CL16&gt;=0), "",CL16/CL4)</f>
        <v>3.6231884057971015E-3</v>
      </c>
      <c r="CN16" s="39"/>
      <c r="CO16" s="82">
        <f>+'N EERR'!N14</f>
        <v>0</v>
      </c>
      <c r="CP16" s="28" t="str">
        <f>IF(AND(CO4=0,CO16&gt;=0), "",CO16/CO4)</f>
        <v/>
      </c>
      <c r="CQ16" s="39"/>
      <c r="CR16" s="28" t="str">
        <f t="shared" si="14"/>
        <v/>
      </c>
      <c r="CS16" s="83">
        <f>+CL16+CO16</f>
        <v>50</v>
      </c>
      <c r="CT16" s="28">
        <f>IF(AND(CS4=0,CS16&gt;=0), "",CS16/CS4)</f>
        <v>3.6231884057971015E-3</v>
      </c>
      <c r="CU16" s="39"/>
      <c r="CV16" s="84">
        <f t="shared" si="18"/>
        <v>0</v>
      </c>
      <c r="CW16" s="28" t="str">
        <f>IF(AND(CV4=0,CV16&gt;=0), "",CV16/CV4)</f>
        <v/>
      </c>
      <c r="CX16" s="42">
        <f t="shared" si="15"/>
        <v>1</v>
      </c>
    </row>
    <row r="17" spans="1:102" s="3" customFormat="1" outlineLevel="1" x14ac:dyDescent="0.25">
      <c r="A17" s="27"/>
      <c r="B17" s="85"/>
      <c r="C17" s="28"/>
      <c r="D17" s="39"/>
      <c r="E17" s="85"/>
      <c r="F17" s="28"/>
      <c r="G17" s="39"/>
      <c r="H17" s="85"/>
      <c r="I17" s="28"/>
      <c r="J17" s="39"/>
      <c r="K17" s="15" t="str">
        <f t="shared" si="0"/>
        <v/>
      </c>
      <c r="L17" s="71"/>
      <c r="M17" s="28"/>
      <c r="N17" s="39"/>
      <c r="O17" s="85"/>
      <c r="P17" s="28"/>
      <c r="Q17" s="39"/>
      <c r="R17" s="15" t="str">
        <f t="shared" si="1"/>
        <v/>
      </c>
      <c r="S17" s="71"/>
      <c r="T17" s="28"/>
      <c r="U17" s="39"/>
      <c r="V17" s="86"/>
      <c r="W17" s="28"/>
      <c r="X17" s="41" t="str">
        <f t="shared" si="2"/>
        <v/>
      </c>
      <c r="Y17" s="85"/>
      <c r="Z17" s="28"/>
      <c r="AA17" s="39"/>
      <c r="AB17" s="15" t="str">
        <f t="shared" si="3"/>
        <v/>
      </c>
      <c r="AC17" s="71"/>
      <c r="AD17" s="28"/>
      <c r="AE17" s="39"/>
      <c r="AF17" s="85"/>
      <c r="AG17" s="28"/>
      <c r="AH17" s="39"/>
      <c r="AI17" s="15" t="str">
        <f t="shared" si="4"/>
        <v/>
      </c>
      <c r="AJ17" s="71">
        <f t="shared" si="16"/>
        <v>0</v>
      </c>
      <c r="AK17" s="28"/>
      <c r="AL17" s="39"/>
      <c r="AM17" s="85"/>
      <c r="AN17" s="28"/>
      <c r="AO17" s="39"/>
      <c r="AP17" s="15" t="str">
        <f t="shared" si="5"/>
        <v/>
      </c>
      <c r="AQ17" s="71">
        <f t="shared" si="17"/>
        <v>0</v>
      </c>
      <c r="AR17" s="28"/>
      <c r="AS17" s="39"/>
      <c r="AT17" s="84">
        <f>+V17*2</f>
        <v>0</v>
      </c>
      <c r="AU17" s="28"/>
      <c r="AV17" s="41" t="str">
        <f t="shared" si="6"/>
        <v/>
      </c>
      <c r="AW17" s="84">
        <f>+AQ17/6</f>
        <v>0</v>
      </c>
      <c r="AX17" s="28"/>
      <c r="AY17" s="39"/>
      <c r="AZ17" s="84">
        <f>+AT17/6</f>
        <v>0</v>
      </c>
      <c r="BA17" s="28"/>
      <c r="BB17" s="41" t="str">
        <f t="shared" si="7"/>
        <v/>
      </c>
      <c r="BC17" s="85"/>
      <c r="BD17" s="28"/>
      <c r="BE17" s="39"/>
      <c r="BF17" s="15" t="str">
        <f t="shared" si="8"/>
        <v/>
      </c>
      <c r="BG17" s="83">
        <f>+AQ17+BC17</f>
        <v>0</v>
      </c>
      <c r="BH17" s="28"/>
      <c r="BI17" s="39"/>
      <c r="BJ17" s="85"/>
      <c r="BK17" s="28"/>
      <c r="BL17" s="39"/>
      <c r="BM17" s="15" t="str">
        <f t="shared" si="9"/>
        <v/>
      </c>
      <c r="BN17" s="71">
        <f>+BG17+BJ17</f>
        <v>0</v>
      </c>
      <c r="BO17" s="28"/>
      <c r="BP17" s="39"/>
      <c r="BQ17" s="85"/>
      <c r="BR17" s="28"/>
      <c r="BS17" s="39"/>
      <c r="BT17" s="15" t="str">
        <f t="shared" si="10"/>
        <v/>
      </c>
      <c r="BU17" s="71">
        <f>+BN17+BQ17</f>
        <v>0</v>
      </c>
      <c r="BV17" s="28"/>
      <c r="BW17" s="39"/>
      <c r="BX17" s="84">
        <f>+AZ17*9</f>
        <v>0</v>
      </c>
      <c r="BY17" s="28"/>
      <c r="BZ17" s="41" t="str">
        <f t="shared" si="11"/>
        <v/>
      </c>
      <c r="CA17" s="85"/>
      <c r="CB17" s="28"/>
      <c r="CC17" s="39"/>
      <c r="CD17" s="15" t="str">
        <f t="shared" si="12"/>
        <v/>
      </c>
      <c r="CE17" s="71"/>
      <c r="CF17" s="28"/>
      <c r="CG17" s="39"/>
      <c r="CH17" s="85"/>
      <c r="CI17" s="28"/>
      <c r="CJ17" s="39"/>
      <c r="CK17" s="15" t="str">
        <f t="shared" si="13"/>
        <v/>
      </c>
      <c r="CL17" s="71">
        <f>+CE17+CH17</f>
        <v>0</v>
      </c>
      <c r="CM17" s="28"/>
      <c r="CN17" s="39"/>
      <c r="CO17" s="85"/>
      <c r="CP17" s="28"/>
      <c r="CQ17" s="39"/>
      <c r="CR17" s="15" t="str">
        <f t="shared" si="14"/>
        <v/>
      </c>
      <c r="CS17" s="71">
        <f>+CL17+CO17</f>
        <v>0</v>
      </c>
      <c r="CT17" s="28"/>
      <c r="CU17" s="39"/>
      <c r="CV17" s="84">
        <f t="shared" si="18"/>
        <v>0</v>
      </c>
      <c r="CW17" s="28"/>
      <c r="CX17" s="41" t="str">
        <f t="shared" si="15"/>
        <v/>
      </c>
    </row>
    <row r="18" spans="1:102" s="6" customFormat="1" outlineLevel="1" x14ac:dyDescent="0.25">
      <c r="A18" s="34" t="s">
        <v>46</v>
      </c>
      <c r="B18" s="79">
        <f>SUM(B19:B20)</f>
        <v>0</v>
      </c>
      <c r="C18" s="35" t="str">
        <f>IF(AND(B4=0,B18&gt;=0), "",B18/B4)</f>
        <v/>
      </c>
      <c r="D18" s="38"/>
      <c r="E18" s="79">
        <f>SUM(E19:E20)</f>
        <v>50</v>
      </c>
      <c r="F18" s="35">
        <f>IF(AND(E4=0,E18&gt;=0), "",E18/E4)</f>
        <v>3.6231884057971015E-3</v>
      </c>
      <c r="G18" s="38"/>
      <c r="H18" s="79">
        <f>SUM(H19:H20)</f>
        <v>0</v>
      </c>
      <c r="I18" s="35" t="str">
        <f>IF(AND(H4=0,H18&gt;=0), "",H18/H4)</f>
        <v/>
      </c>
      <c r="J18" s="38"/>
      <c r="K18" s="35">
        <f t="shared" si="0"/>
        <v>-1</v>
      </c>
      <c r="L18" s="80">
        <f>SUM(L19:L20)</f>
        <v>50</v>
      </c>
      <c r="M18" s="35">
        <f>IF(AND(L4=0,L18&gt;=0), "",L18/L4)</f>
        <v>3.6231884057971015E-3</v>
      </c>
      <c r="N18" s="38"/>
      <c r="O18" s="79">
        <f>SUM(O19:O20)</f>
        <v>0</v>
      </c>
      <c r="P18" s="35" t="str">
        <f>IF(AND(O4=0,O18&gt;=0), "",O18/O4)</f>
        <v/>
      </c>
      <c r="Q18" s="38"/>
      <c r="R18" s="35" t="str">
        <f t="shared" si="1"/>
        <v/>
      </c>
      <c r="S18" s="80">
        <f>SUM(S19:S20)</f>
        <v>50</v>
      </c>
      <c r="T18" s="35">
        <f>IF(AND(S4=0,S18&gt;=0), "",S18/S4)</f>
        <v>3.6231884057971015E-3</v>
      </c>
      <c r="U18" s="38"/>
      <c r="V18" s="81">
        <f>SUM(V19:V20)</f>
        <v>0</v>
      </c>
      <c r="W18" s="35" t="str">
        <f>IF(AND(V4=0,V18&gt;=0), "",V18/V4)</f>
        <v/>
      </c>
      <c r="X18" s="51">
        <f t="shared" si="2"/>
        <v>1</v>
      </c>
      <c r="Y18" s="79">
        <f>SUM(Y19:Y20)</f>
        <v>0</v>
      </c>
      <c r="Z18" s="35" t="str">
        <f>IF(AND(Y4=0,Y18&gt;=0), "",Y18/Y4)</f>
        <v/>
      </c>
      <c r="AA18" s="38"/>
      <c r="AB18" s="35" t="str">
        <f t="shared" si="3"/>
        <v/>
      </c>
      <c r="AC18" s="80">
        <f>SUM(AC19:AC20)</f>
        <v>50</v>
      </c>
      <c r="AD18" s="35">
        <f>IF(AND(AC4=0,AC18&gt;=0), "",AC18/AC4)</f>
        <v>3.6231884057971015E-3</v>
      </c>
      <c r="AE18" s="38"/>
      <c r="AF18" s="79">
        <f>SUM(AF19:AF20)</f>
        <v>0</v>
      </c>
      <c r="AG18" s="35" t="str">
        <f>IF(AND(AF4=0,AF18&gt;=0), "",AF18/AF4)</f>
        <v/>
      </c>
      <c r="AH18" s="38"/>
      <c r="AI18" s="35" t="str">
        <f t="shared" si="4"/>
        <v/>
      </c>
      <c r="AJ18" s="80">
        <f>SUM(AJ19:AJ20)</f>
        <v>50</v>
      </c>
      <c r="AK18" s="35">
        <f>IF(AND(AJ4=0,AJ18&gt;=0), "",AJ18/AJ4)</f>
        <v>3.6231884057971015E-3</v>
      </c>
      <c r="AL18" s="38"/>
      <c r="AM18" s="79">
        <f>SUM(AM19:AM20)</f>
        <v>0</v>
      </c>
      <c r="AN18" s="35" t="str">
        <f>IF(AND(AM4=0,AM18&gt;=0), "",AM18/AM4)</f>
        <v/>
      </c>
      <c r="AO18" s="38"/>
      <c r="AP18" s="35" t="str">
        <f t="shared" si="5"/>
        <v/>
      </c>
      <c r="AQ18" s="80">
        <f>SUM(AQ19:AQ20)</f>
        <v>50</v>
      </c>
      <c r="AR18" s="35">
        <f>IF(AND(AQ4=0,AQ18&gt;=0), "",AQ18/AQ4)</f>
        <v>3.6231884057971015E-3</v>
      </c>
      <c r="AS18" s="38"/>
      <c r="AT18" s="81">
        <f>SUM(AT19:AT20)</f>
        <v>0</v>
      </c>
      <c r="AU18" s="35" t="str">
        <f>IF(AND(AT4=0,AT18&gt;=0), "",AT18/AT4)</f>
        <v/>
      </c>
      <c r="AV18" s="51">
        <f t="shared" si="6"/>
        <v>1</v>
      </c>
      <c r="AW18" s="81">
        <f>SUM(AW19:AW20)</f>
        <v>8.3333333333333339</v>
      </c>
      <c r="AX18" s="35">
        <f>IF(AND(AW4=0,AW18&gt;=0), "",AW18/AW4)</f>
        <v>3.6231884057971011E-3</v>
      </c>
      <c r="AY18" s="38"/>
      <c r="AZ18" s="81">
        <f>SUM(AZ19:AZ20)</f>
        <v>0</v>
      </c>
      <c r="BA18" s="35" t="str">
        <f>IF(AND(AZ4=0,AZ18&gt;=0), "",AZ18/AZ4)</f>
        <v/>
      </c>
      <c r="BB18" s="51">
        <f t="shared" si="7"/>
        <v>1</v>
      </c>
      <c r="BC18" s="79">
        <f>SUM(BC19:BC20)</f>
        <v>0</v>
      </c>
      <c r="BD18" s="35" t="str">
        <f>IF(AND(BC4=0,BC18&gt;=0), "",BC18/BC4)</f>
        <v/>
      </c>
      <c r="BE18" s="38"/>
      <c r="BF18" s="35" t="str">
        <f t="shared" si="8"/>
        <v/>
      </c>
      <c r="BG18" s="80">
        <f>SUM(BG19:BG20)</f>
        <v>50</v>
      </c>
      <c r="BH18" s="35">
        <f>IF(AND(BG4=0,BG18&gt;=0), "",BG18/BG4)</f>
        <v>3.6231884057971015E-3</v>
      </c>
      <c r="BI18" s="38"/>
      <c r="BJ18" s="79">
        <f>SUM(BJ19:BJ20)</f>
        <v>0</v>
      </c>
      <c r="BK18" s="35" t="str">
        <f>IF(AND(BJ4=0,BJ18&gt;=0), "",BJ18/BJ4)</f>
        <v/>
      </c>
      <c r="BL18" s="38"/>
      <c r="BM18" s="35" t="str">
        <f t="shared" si="9"/>
        <v/>
      </c>
      <c r="BN18" s="80">
        <f>SUM(BN19:BN20)</f>
        <v>50</v>
      </c>
      <c r="BO18" s="35">
        <f>IF(AND(BN4=0,BN18&gt;=0), "",BN18/BN4)</f>
        <v>3.6231884057971015E-3</v>
      </c>
      <c r="BP18" s="38"/>
      <c r="BQ18" s="79">
        <f>SUM(BQ19:BQ20)</f>
        <v>0</v>
      </c>
      <c r="BR18" s="35" t="str">
        <f>IF(AND(BQ4=0,BQ18&gt;=0), "",BQ18/BQ4)</f>
        <v/>
      </c>
      <c r="BS18" s="38"/>
      <c r="BT18" s="35" t="str">
        <f t="shared" si="10"/>
        <v/>
      </c>
      <c r="BU18" s="80">
        <f>SUM(BU19:BU20)</f>
        <v>50</v>
      </c>
      <c r="BV18" s="35">
        <f>IF(AND(BU4=0,BU18&gt;=0), "",BU18/BU4)</f>
        <v>3.6231884057971015E-3</v>
      </c>
      <c r="BW18" s="38"/>
      <c r="BX18" s="81">
        <f>SUM(BX19:BX20)</f>
        <v>0</v>
      </c>
      <c r="BY18" s="35" t="str">
        <f>IF(AND(BX4=0,BX18&gt;=0), "",BX18/BX4)</f>
        <v/>
      </c>
      <c r="BZ18" s="51">
        <f t="shared" si="11"/>
        <v>1</v>
      </c>
      <c r="CA18" s="79">
        <f>SUM(CA19:CA20)</f>
        <v>0</v>
      </c>
      <c r="CB18" s="35" t="str">
        <f>IF(AND(CA4=0,CA18&gt;=0), "",CA18/CA4)</f>
        <v/>
      </c>
      <c r="CC18" s="38"/>
      <c r="CD18" s="35" t="str">
        <f t="shared" si="12"/>
        <v/>
      </c>
      <c r="CE18" s="80">
        <f>SUM(CE19:CE20)</f>
        <v>50</v>
      </c>
      <c r="CF18" s="35">
        <f>IF(AND(CE4=0,CE18&gt;=0), "",CE18/CE4)</f>
        <v>3.6231884057971015E-3</v>
      </c>
      <c r="CG18" s="38"/>
      <c r="CH18" s="79">
        <f>SUM(CH19:CH20)</f>
        <v>0</v>
      </c>
      <c r="CI18" s="35" t="str">
        <f>IF(AND(CH4=0,CH18&gt;=0), "",CH18/CH4)</f>
        <v/>
      </c>
      <c r="CJ18" s="38"/>
      <c r="CK18" s="35" t="str">
        <f t="shared" si="13"/>
        <v/>
      </c>
      <c r="CL18" s="80">
        <f>SUM(CL19:CL20)</f>
        <v>50</v>
      </c>
      <c r="CM18" s="35">
        <f>IF(AND(CL4=0,CL18&gt;=0), "",CL18/CL4)</f>
        <v>3.6231884057971015E-3</v>
      </c>
      <c r="CN18" s="38"/>
      <c r="CO18" s="79">
        <f>SUM(CO19:CO20)</f>
        <v>0</v>
      </c>
      <c r="CP18" s="35" t="str">
        <f>IF(AND(CO4=0,CO18&gt;=0), "",CO18/CO4)</f>
        <v/>
      </c>
      <c r="CQ18" s="38"/>
      <c r="CR18" s="35" t="str">
        <f t="shared" si="14"/>
        <v/>
      </c>
      <c r="CS18" s="80">
        <f>SUM(CS19:CS20)</f>
        <v>50</v>
      </c>
      <c r="CT18" s="35">
        <f>IF(AND(CS4=0,CS18&gt;=0), "",CS18/CS4)</f>
        <v>3.6231884057971015E-3</v>
      </c>
      <c r="CU18" s="38"/>
      <c r="CV18" s="81">
        <f>SUM(CV19:CV20)</f>
        <v>0</v>
      </c>
      <c r="CW18" s="35" t="str">
        <f>IF(AND(CV4=0,CV18&gt;=0), "",CV18/CV4)</f>
        <v/>
      </c>
      <c r="CX18" s="51">
        <f t="shared" si="15"/>
        <v>1</v>
      </c>
    </row>
    <row r="19" spans="1:102" s="3" customFormat="1" outlineLevel="1" x14ac:dyDescent="0.25">
      <c r="A19" s="27" t="s">
        <v>52</v>
      </c>
      <c r="B19" s="82">
        <f>+'N EERR'!B15</f>
        <v>0</v>
      </c>
      <c r="C19" s="28" t="str">
        <f>IF(AND(B4=0,B19&gt;=0), "",B19/B4)</f>
        <v/>
      </c>
      <c r="D19" s="39"/>
      <c r="E19" s="82">
        <f>+'N EERR'!C15</f>
        <v>50</v>
      </c>
      <c r="F19" s="28">
        <f>IF(AND(E4=0,E19&gt;=0), "",E19/E4)</f>
        <v>3.6231884057971015E-3</v>
      </c>
      <c r="G19" s="39"/>
      <c r="H19" s="82">
        <f>+'N EERR'!D15</f>
        <v>0</v>
      </c>
      <c r="I19" s="28" t="str">
        <f>IF(AND(H4=0,H19&gt;=0), "",H19/H4)</f>
        <v/>
      </c>
      <c r="J19" s="39"/>
      <c r="K19" s="28">
        <f t="shared" si="0"/>
        <v>-1</v>
      </c>
      <c r="L19" s="83">
        <f>+E19+H19</f>
        <v>50</v>
      </c>
      <c r="M19" s="28">
        <f>IF(AND(L4=0,L19&gt;=0), "",L19/L4)</f>
        <v>3.6231884057971015E-3</v>
      </c>
      <c r="N19" s="39"/>
      <c r="O19" s="82">
        <f>+'N EERR'!E15</f>
        <v>0</v>
      </c>
      <c r="P19" s="28" t="str">
        <f>IF(AND(O4=0,O19&gt;=0), "",O19/O4)</f>
        <v/>
      </c>
      <c r="Q19" s="39"/>
      <c r="R19" s="28" t="str">
        <f t="shared" si="1"/>
        <v/>
      </c>
      <c r="S19" s="83">
        <f>+L19+O19</f>
        <v>50</v>
      </c>
      <c r="T19" s="28">
        <f>IF(AND(S4=0,S19&gt;=0), "",S19/S4)</f>
        <v>3.6231884057971015E-3</v>
      </c>
      <c r="U19" s="39"/>
      <c r="V19" s="84"/>
      <c r="W19" s="28" t="str">
        <f>IF(AND(V4=0,V19&gt;=0), "",V19/V4)</f>
        <v/>
      </c>
      <c r="X19" s="42">
        <f t="shared" si="2"/>
        <v>1</v>
      </c>
      <c r="Y19" s="82">
        <f>+'N EERR'!F15</f>
        <v>0</v>
      </c>
      <c r="Z19" s="28" t="str">
        <f>IF(AND(Y4=0,Y19&gt;=0), "",Y19/Y4)</f>
        <v/>
      </c>
      <c r="AA19" s="39"/>
      <c r="AB19" s="28" t="str">
        <f t="shared" si="3"/>
        <v/>
      </c>
      <c r="AC19" s="83">
        <f>+S19+Y19</f>
        <v>50</v>
      </c>
      <c r="AD19" s="28">
        <f>IF(AND(AC4=0,AC19&gt;=0), "",AC19/AC4)</f>
        <v>3.6231884057971015E-3</v>
      </c>
      <c r="AE19" s="39"/>
      <c r="AF19" s="82">
        <f>+'N EERR'!G15</f>
        <v>0</v>
      </c>
      <c r="AG19" s="28" t="str">
        <f>IF(AND(AF4=0,AF19&gt;=0), "",AF19/AF4)</f>
        <v/>
      </c>
      <c r="AH19" s="39"/>
      <c r="AI19" s="28" t="str">
        <f t="shared" si="4"/>
        <v/>
      </c>
      <c r="AJ19" s="83">
        <f t="shared" si="16"/>
        <v>50</v>
      </c>
      <c r="AK19" s="28">
        <f>IF(AND(AJ4=0,AJ19&gt;=0), "",AJ19/AJ4)</f>
        <v>3.6231884057971015E-3</v>
      </c>
      <c r="AL19" s="39"/>
      <c r="AM19" s="82">
        <f>+'N EERR'!H15</f>
        <v>0</v>
      </c>
      <c r="AN19" s="28" t="str">
        <f>IF(AND(AM4=0,AM19&gt;=0), "",AM19/AM4)</f>
        <v/>
      </c>
      <c r="AO19" s="39"/>
      <c r="AP19" s="28" t="str">
        <f t="shared" si="5"/>
        <v/>
      </c>
      <c r="AQ19" s="83">
        <f t="shared" si="17"/>
        <v>50</v>
      </c>
      <c r="AR19" s="28">
        <f>IF(AND(AQ4=0,AQ19&gt;=0), "",AQ19/AQ4)</f>
        <v>3.6231884057971015E-3</v>
      </c>
      <c r="AS19" s="39"/>
      <c r="AT19" s="84">
        <f>+V19*2</f>
        <v>0</v>
      </c>
      <c r="AU19" s="28" t="str">
        <f>IF(AND(AT4=0,AT19&gt;=0), "",AT19/AT4)</f>
        <v/>
      </c>
      <c r="AV19" s="42">
        <f t="shared" si="6"/>
        <v>1</v>
      </c>
      <c r="AW19" s="84">
        <f>+AQ19/6</f>
        <v>8.3333333333333339</v>
      </c>
      <c r="AX19" s="28">
        <f>IF(AND(AW4=0,AW19&gt;=0), "",AW19/AW4)</f>
        <v>3.6231884057971011E-3</v>
      </c>
      <c r="AY19" s="39"/>
      <c r="AZ19" s="84">
        <f>+AT19/6</f>
        <v>0</v>
      </c>
      <c r="BA19" s="28" t="str">
        <f>IF(AND(AZ4=0,AZ19&gt;=0), "",AZ19/AZ4)</f>
        <v/>
      </c>
      <c r="BB19" s="42">
        <f t="shared" si="7"/>
        <v>1</v>
      </c>
      <c r="BC19" s="82">
        <f>+'N EERR'!I15</f>
        <v>0</v>
      </c>
      <c r="BD19" s="28" t="str">
        <f>IF(AND(BC4=0,BC19&gt;=0), "",BC19/BC4)</f>
        <v/>
      </c>
      <c r="BE19" s="39"/>
      <c r="BF19" s="28" t="str">
        <f t="shared" si="8"/>
        <v/>
      </c>
      <c r="BG19" s="83">
        <f>+AQ19+BC19</f>
        <v>50</v>
      </c>
      <c r="BH19" s="28">
        <f>IF(AND(BG4=0,BG19&gt;=0), "",BG19/BG4)</f>
        <v>3.6231884057971015E-3</v>
      </c>
      <c r="BI19" s="39"/>
      <c r="BJ19" s="82">
        <f>+'N EERR'!J15</f>
        <v>0</v>
      </c>
      <c r="BK19" s="28" t="str">
        <f>IF(AND(BJ4=0,BJ19&gt;=0), "",BJ19/BJ4)</f>
        <v/>
      </c>
      <c r="BL19" s="39"/>
      <c r="BM19" s="28" t="str">
        <f t="shared" si="9"/>
        <v/>
      </c>
      <c r="BN19" s="83">
        <f>+BG19+BJ19</f>
        <v>50</v>
      </c>
      <c r="BO19" s="28">
        <f>IF(AND(BN4=0,BN19&gt;=0), "",BN19/BN4)</f>
        <v>3.6231884057971015E-3</v>
      </c>
      <c r="BP19" s="39"/>
      <c r="BQ19" s="82">
        <f>+'N EERR'!K15</f>
        <v>0</v>
      </c>
      <c r="BR19" s="28" t="str">
        <f>IF(AND(BQ4=0,BQ19&gt;=0), "",BQ19/BQ4)</f>
        <v/>
      </c>
      <c r="BS19" s="39"/>
      <c r="BT19" s="28" t="str">
        <f t="shared" si="10"/>
        <v/>
      </c>
      <c r="BU19" s="83">
        <f>+BN19+BQ19</f>
        <v>50</v>
      </c>
      <c r="BV19" s="28">
        <f>IF(AND(BU4=0,BU19&gt;=0), "",BU19/BU4)</f>
        <v>3.6231884057971015E-3</v>
      </c>
      <c r="BW19" s="39"/>
      <c r="BX19" s="84">
        <f>+AZ19*9</f>
        <v>0</v>
      </c>
      <c r="BY19" s="28" t="str">
        <f>IF(AND(BX4=0,BX19&gt;=0), "",BX19/BX4)</f>
        <v/>
      </c>
      <c r="BZ19" s="42">
        <f t="shared" si="11"/>
        <v>1</v>
      </c>
      <c r="CA19" s="82">
        <f>+'N EERR'!L15</f>
        <v>0</v>
      </c>
      <c r="CB19" s="28" t="str">
        <f>IF(AND(CA4=0,CA19&gt;=0), "",CA19/CA4)</f>
        <v/>
      </c>
      <c r="CC19" s="39"/>
      <c r="CD19" s="28" t="str">
        <f t="shared" si="12"/>
        <v/>
      </c>
      <c r="CE19" s="83">
        <f>+BU19+CA19</f>
        <v>50</v>
      </c>
      <c r="CF19" s="28">
        <f>IF(AND(CE4=0,CE19&gt;=0), "",CE19/CE4)</f>
        <v>3.6231884057971015E-3</v>
      </c>
      <c r="CG19" s="39"/>
      <c r="CH19" s="82">
        <f>+'N EERR'!M15</f>
        <v>0</v>
      </c>
      <c r="CI19" s="28" t="str">
        <f>IF(AND(CH4=0,CH19&gt;=0), "",CH19/CH4)</f>
        <v/>
      </c>
      <c r="CJ19" s="39"/>
      <c r="CK19" s="28" t="str">
        <f t="shared" si="13"/>
        <v/>
      </c>
      <c r="CL19" s="83">
        <f>+CE19+CH19</f>
        <v>50</v>
      </c>
      <c r="CM19" s="28">
        <f>IF(AND(CL4=0,CL19&gt;=0), "",CL19/CL4)</f>
        <v>3.6231884057971015E-3</v>
      </c>
      <c r="CN19" s="39"/>
      <c r="CO19" s="82">
        <f>+'N EERR'!N15</f>
        <v>0</v>
      </c>
      <c r="CP19" s="28" t="str">
        <f>IF(AND(CO4=0,CO19&gt;=0), "",CO19/CO4)</f>
        <v/>
      </c>
      <c r="CQ19" s="39"/>
      <c r="CR19" s="28" t="str">
        <f t="shared" si="14"/>
        <v/>
      </c>
      <c r="CS19" s="83">
        <f>+CL19+CO19</f>
        <v>50</v>
      </c>
      <c r="CT19" s="28">
        <f>IF(AND(CS4=0,CS19&gt;=0), "",CS19/CS4)</f>
        <v>3.6231884057971015E-3</v>
      </c>
      <c r="CU19" s="39"/>
      <c r="CV19" s="84">
        <f t="shared" si="18"/>
        <v>0</v>
      </c>
      <c r="CW19" s="28" t="str">
        <f>IF(AND(CV4=0,CV19&gt;=0), "",CV19/CV4)</f>
        <v/>
      </c>
      <c r="CX19" s="42">
        <f t="shared" si="15"/>
        <v>1</v>
      </c>
    </row>
    <row r="20" spans="1:102" s="3" customFormat="1" outlineLevel="1" x14ac:dyDescent="0.25">
      <c r="A20" s="27"/>
      <c r="B20" s="85"/>
      <c r="C20" s="28"/>
      <c r="D20" s="39"/>
      <c r="E20" s="85"/>
      <c r="F20" s="28"/>
      <c r="G20" s="39"/>
      <c r="H20" s="85"/>
      <c r="I20" s="28"/>
      <c r="J20" s="39"/>
      <c r="K20" s="15" t="str">
        <f t="shared" si="0"/>
        <v/>
      </c>
      <c r="L20" s="71"/>
      <c r="M20" s="28"/>
      <c r="N20" s="39"/>
      <c r="O20" s="85"/>
      <c r="P20" s="28"/>
      <c r="Q20" s="39"/>
      <c r="R20" s="15" t="str">
        <f t="shared" si="1"/>
        <v/>
      </c>
      <c r="S20" s="71"/>
      <c r="T20" s="28"/>
      <c r="U20" s="39"/>
      <c r="V20" s="86"/>
      <c r="W20" s="28"/>
      <c r="X20" s="41" t="str">
        <f t="shared" si="2"/>
        <v/>
      </c>
      <c r="Y20" s="85"/>
      <c r="Z20" s="28"/>
      <c r="AA20" s="39"/>
      <c r="AB20" s="15" t="str">
        <f t="shared" si="3"/>
        <v/>
      </c>
      <c r="AC20" s="71"/>
      <c r="AD20" s="28"/>
      <c r="AE20" s="39"/>
      <c r="AF20" s="85"/>
      <c r="AG20" s="28"/>
      <c r="AH20" s="39"/>
      <c r="AI20" s="15" t="str">
        <f t="shared" si="4"/>
        <v/>
      </c>
      <c r="AJ20" s="71">
        <f t="shared" si="16"/>
        <v>0</v>
      </c>
      <c r="AK20" s="28"/>
      <c r="AL20" s="39"/>
      <c r="AM20" s="85"/>
      <c r="AN20" s="28"/>
      <c r="AO20" s="39"/>
      <c r="AP20" s="15" t="str">
        <f t="shared" si="5"/>
        <v/>
      </c>
      <c r="AQ20" s="71">
        <f t="shared" si="17"/>
        <v>0</v>
      </c>
      <c r="AR20" s="28"/>
      <c r="AS20" s="39"/>
      <c r="AT20" s="84">
        <f>+V20*2</f>
        <v>0</v>
      </c>
      <c r="AU20" s="28"/>
      <c r="AV20" s="41" t="str">
        <f t="shared" si="6"/>
        <v/>
      </c>
      <c r="AW20" s="84">
        <f>+AQ20/6</f>
        <v>0</v>
      </c>
      <c r="AX20" s="28"/>
      <c r="AY20" s="39"/>
      <c r="AZ20" s="84">
        <f>+AT20/6</f>
        <v>0</v>
      </c>
      <c r="BA20" s="28"/>
      <c r="BB20" s="41" t="str">
        <f t="shared" si="7"/>
        <v/>
      </c>
      <c r="BC20" s="85"/>
      <c r="BD20" s="28"/>
      <c r="BE20" s="39"/>
      <c r="BF20" s="15" t="str">
        <f t="shared" si="8"/>
        <v/>
      </c>
      <c r="BG20" s="83">
        <f>+AQ20+BC20</f>
        <v>0</v>
      </c>
      <c r="BH20" s="28"/>
      <c r="BI20" s="39"/>
      <c r="BJ20" s="85"/>
      <c r="BK20" s="28"/>
      <c r="BL20" s="39"/>
      <c r="BM20" s="15" t="str">
        <f t="shared" si="9"/>
        <v/>
      </c>
      <c r="BN20" s="71">
        <f>+BG20+BJ20</f>
        <v>0</v>
      </c>
      <c r="BO20" s="28"/>
      <c r="BP20" s="39"/>
      <c r="BQ20" s="85"/>
      <c r="BR20" s="28"/>
      <c r="BS20" s="39"/>
      <c r="BT20" s="15" t="str">
        <f t="shared" si="10"/>
        <v/>
      </c>
      <c r="BU20" s="71">
        <f>+BN20+BQ20</f>
        <v>0</v>
      </c>
      <c r="BV20" s="28"/>
      <c r="BW20" s="39"/>
      <c r="BX20" s="84">
        <f>+AZ20*9</f>
        <v>0</v>
      </c>
      <c r="BY20" s="28"/>
      <c r="BZ20" s="41" t="str">
        <f t="shared" si="11"/>
        <v/>
      </c>
      <c r="CA20" s="85"/>
      <c r="CB20" s="28"/>
      <c r="CC20" s="39"/>
      <c r="CD20" s="15" t="str">
        <f t="shared" si="12"/>
        <v/>
      </c>
      <c r="CE20" s="71"/>
      <c r="CF20" s="28"/>
      <c r="CG20" s="39"/>
      <c r="CH20" s="85"/>
      <c r="CI20" s="28"/>
      <c r="CJ20" s="39"/>
      <c r="CK20" s="15" t="str">
        <f t="shared" si="13"/>
        <v/>
      </c>
      <c r="CL20" s="71">
        <f>+CE20+CH20</f>
        <v>0</v>
      </c>
      <c r="CM20" s="28"/>
      <c r="CN20" s="39"/>
      <c r="CO20" s="85"/>
      <c r="CP20" s="28"/>
      <c r="CQ20" s="39"/>
      <c r="CR20" s="15" t="str">
        <f t="shared" si="14"/>
        <v/>
      </c>
      <c r="CS20" s="71">
        <f>+CL20+CO20</f>
        <v>0</v>
      </c>
      <c r="CT20" s="28"/>
      <c r="CU20" s="39"/>
      <c r="CV20" s="84">
        <f t="shared" si="18"/>
        <v>0</v>
      </c>
      <c r="CW20" s="28"/>
      <c r="CX20" s="41" t="str">
        <f t="shared" si="15"/>
        <v/>
      </c>
    </row>
    <row r="21" spans="1:102" ht="15.6" customHeight="1" x14ac:dyDescent="0.25">
      <c r="A21" s="9"/>
      <c r="B21" s="82"/>
      <c r="C21" s="14"/>
      <c r="D21" s="39"/>
      <c r="E21" s="82"/>
      <c r="F21" s="14"/>
      <c r="G21" s="39"/>
      <c r="H21" s="82"/>
      <c r="I21" s="14"/>
      <c r="J21" s="39"/>
      <c r="K21" s="29" t="str">
        <f t="shared" si="0"/>
        <v/>
      </c>
      <c r="M21" s="14"/>
      <c r="N21" s="39"/>
      <c r="O21" s="82"/>
      <c r="P21" s="14"/>
      <c r="Q21" s="39"/>
      <c r="R21" s="29" t="str">
        <f t="shared" si="1"/>
        <v/>
      </c>
      <c r="T21" s="14"/>
      <c r="U21" s="39"/>
      <c r="V21" s="84"/>
      <c r="W21" s="14"/>
      <c r="X21" s="52" t="str">
        <f t="shared" si="2"/>
        <v/>
      </c>
      <c r="Y21" s="82"/>
      <c r="Z21" s="14"/>
      <c r="AA21" s="39"/>
      <c r="AB21" s="29" t="str">
        <f t="shared" si="3"/>
        <v/>
      </c>
      <c r="AD21" s="14"/>
      <c r="AE21" s="39"/>
      <c r="AF21" s="82"/>
      <c r="AG21" s="14"/>
      <c r="AH21" s="39"/>
      <c r="AI21" s="29" t="str">
        <f t="shared" si="4"/>
        <v/>
      </c>
      <c r="AJ21" s="83">
        <f t="shared" si="16"/>
        <v>0</v>
      </c>
      <c r="AK21" s="14"/>
      <c r="AL21" s="39"/>
      <c r="AM21" s="82"/>
      <c r="AN21" s="14"/>
      <c r="AO21" s="39"/>
      <c r="AP21" s="29" t="str">
        <f t="shared" si="5"/>
        <v/>
      </c>
      <c r="AQ21" s="83">
        <f t="shared" si="17"/>
        <v>0</v>
      </c>
      <c r="AR21" s="14"/>
      <c r="AS21" s="39"/>
      <c r="AT21" s="84">
        <f>+V21*2</f>
        <v>0</v>
      </c>
      <c r="AU21" s="14"/>
      <c r="AV21" s="52" t="str">
        <f t="shared" si="6"/>
        <v/>
      </c>
      <c r="AW21" s="84">
        <f>+AQ21/6</f>
        <v>0</v>
      </c>
      <c r="AX21" s="14"/>
      <c r="AY21" s="39"/>
      <c r="AZ21" s="84">
        <f>+AT21/6</f>
        <v>0</v>
      </c>
      <c r="BA21" s="14"/>
      <c r="BB21" s="52" t="str">
        <f t="shared" si="7"/>
        <v/>
      </c>
      <c r="BC21" s="82"/>
      <c r="BD21" s="14"/>
      <c r="BE21" s="39"/>
      <c r="BF21" s="29" t="str">
        <f t="shared" si="8"/>
        <v/>
      </c>
      <c r="BG21" s="83">
        <f>+AQ21+BC21</f>
        <v>0</v>
      </c>
      <c r="BH21" s="14"/>
      <c r="BI21" s="39"/>
      <c r="BJ21" s="82"/>
      <c r="BK21" s="14"/>
      <c r="BL21" s="39"/>
      <c r="BM21" s="29" t="str">
        <f t="shared" si="9"/>
        <v/>
      </c>
      <c r="BN21" s="83">
        <f>+BG21+BJ21</f>
        <v>0</v>
      </c>
      <c r="BO21" s="14"/>
      <c r="BP21" s="39"/>
      <c r="BQ21" s="82"/>
      <c r="BR21" s="14"/>
      <c r="BS21" s="39"/>
      <c r="BT21" s="29" t="str">
        <f t="shared" si="10"/>
        <v/>
      </c>
      <c r="BU21" s="83">
        <f>+BN21+BQ21</f>
        <v>0</v>
      </c>
      <c r="BV21" s="14"/>
      <c r="BW21" s="39"/>
      <c r="BX21" s="84">
        <f>+AZ21*9</f>
        <v>0</v>
      </c>
      <c r="BY21" s="14"/>
      <c r="BZ21" s="52" t="str">
        <f t="shared" si="11"/>
        <v/>
      </c>
      <c r="CA21" s="82"/>
      <c r="CB21" s="14"/>
      <c r="CC21" s="39"/>
      <c r="CD21" s="29" t="str">
        <f t="shared" si="12"/>
        <v/>
      </c>
      <c r="CF21" s="14"/>
      <c r="CG21" s="39"/>
      <c r="CH21" s="82"/>
      <c r="CI21" s="14"/>
      <c r="CJ21" s="39"/>
      <c r="CK21" s="29" t="str">
        <f t="shared" si="13"/>
        <v/>
      </c>
      <c r="CL21" s="83">
        <f>+CE21+CH21</f>
        <v>0</v>
      </c>
      <c r="CM21" s="14"/>
      <c r="CN21" s="39"/>
      <c r="CO21" s="82"/>
      <c r="CP21" s="14"/>
      <c r="CQ21" s="39"/>
      <c r="CR21" s="29" t="str">
        <f t="shared" si="14"/>
        <v/>
      </c>
      <c r="CS21" s="83">
        <f>+CL21+CO21</f>
        <v>0</v>
      </c>
      <c r="CT21" s="14"/>
      <c r="CU21" s="39"/>
      <c r="CV21" s="84">
        <f t="shared" si="18"/>
        <v>0</v>
      </c>
      <c r="CW21" s="14"/>
      <c r="CX21" s="52" t="str">
        <f t="shared" si="15"/>
        <v/>
      </c>
    </row>
    <row r="22" spans="1:102" s="26" customFormat="1" ht="18" customHeight="1" x14ac:dyDescent="0.25">
      <c r="A22" s="19" t="s">
        <v>47</v>
      </c>
      <c r="B22" s="76">
        <f>+B23+B26+B29</f>
        <v>0</v>
      </c>
      <c r="C22" s="33" t="str">
        <f>IF(AND(B4=0,B22&gt;=0), "",B22/B4)</f>
        <v/>
      </c>
      <c r="D22" s="37"/>
      <c r="E22" s="76">
        <f>+E23+E26+E29</f>
        <v>9050</v>
      </c>
      <c r="F22" s="33">
        <f>IF(AND(E4=0,E22&gt;=0), "",E22/E4)</f>
        <v>0.65579710144927539</v>
      </c>
      <c r="G22" s="37"/>
      <c r="H22" s="76">
        <f>+H23+H26+H29</f>
        <v>0</v>
      </c>
      <c r="I22" s="33" t="str">
        <f>IF(AND(H4=0,H22&gt;=0), "",H22/H4)</f>
        <v/>
      </c>
      <c r="J22" s="37"/>
      <c r="K22" s="33">
        <f t="shared" si="0"/>
        <v>-1</v>
      </c>
      <c r="L22" s="77">
        <f>+L23+L26+L29</f>
        <v>9050</v>
      </c>
      <c r="M22" s="33">
        <f>IF(AND(L4=0,L22&gt;=0), "",L22/L4)</f>
        <v>0.65579710144927539</v>
      </c>
      <c r="N22" s="37"/>
      <c r="O22" s="76">
        <f>+O23+O26+O29</f>
        <v>0</v>
      </c>
      <c r="P22" s="33" t="str">
        <f>IF(AND(O4=0,O22&gt;=0), "",O22/O4)</f>
        <v/>
      </c>
      <c r="Q22" s="37"/>
      <c r="R22" s="33" t="str">
        <f t="shared" si="1"/>
        <v/>
      </c>
      <c r="S22" s="77">
        <f>+S23+S26+S29</f>
        <v>9050</v>
      </c>
      <c r="T22" s="33">
        <f>IF(AND(S4=0,S22&gt;=0), "",S22/S4)</f>
        <v>0.65579710144927539</v>
      </c>
      <c r="U22" s="37"/>
      <c r="V22" s="78">
        <f>+V23+V26+V29</f>
        <v>0</v>
      </c>
      <c r="W22" s="33" t="str">
        <f>IF(AND(V4=0,V22&gt;=0), "",V22/V4)</f>
        <v/>
      </c>
      <c r="X22" s="37">
        <f t="shared" si="2"/>
        <v>1</v>
      </c>
      <c r="Y22" s="76">
        <f>+Y23+Y26+Y29</f>
        <v>0</v>
      </c>
      <c r="Z22" s="33" t="str">
        <f>IF(AND(Y4=0,Y22&gt;=0), "",Y22/Y4)</f>
        <v/>
      </c>
      <c r="AA22" s="37"/>
      <c r="AB22" s="33" t="str">
        <f t="shared" si="3"/>
        <v/>
      </c>
      <c r="AC22" s="77">
        <f>+AC23+AC26+AC29</f>
        <v>9050</v>
      </c>
      <c r="AD22" s="33">
        <f>IF(AND(AC4=0,AC22&gt;=0), "",AC22/AC4)</f>
        <v>0.65579710144927539</v>
      </c>
      <c r="AE22" s="37"/>
      <c r="AF22" s="76">
        <f>+AF23+AF26+AF29</f>
        <v>0</v>
      </c>
      <c r="AG22" s="33" t="str">
        <f>IF(AND(AF4=0,AF22&gt;=0), "",AF22/AF4)</f>
        <v/>
      </c>
      <c r="AH22" s="37"/>
      <c r="AI22" s="33" t="str">
        <f t="shared" si="4"/>
        <v/>
      </c>
      <c r="AJ22" s="77">
        <f>+AJ23+AJ26+AJ29</f>
        <v>9050</v>
      </c>
      <c r="AK22" s="33">
        <f>IF(AND(AJ4=0,AJ22&gt;=0), "",AJ22/AJ4)</f>
        <v>0.65579710144927539</v>
      </c>
      <c r="AL22" s="37"/>
      <c r="AM22" s="76">
        <f>+AM23+AM26+AM29</f>
        <v>0</v>
      </c>
      <c r="AN22" s="33" t="str">
        <f>IF(AND(AM4=0,AM22&gt;=0), "",AM22/AM4)</f>
        <v/>
      </c>
      <c r="AO22" s="37"/>
      <c r="AP22" s="33" t="str">
        <f t="shared" si="5"/>
        <v/>
      </c>
      <c r="AQ22" s="77">
        <f>+AQ23+AQ26+AQ29</f>
        <v>9050</v>
      </c>
      <c r="AR22" s="33">
        <f>IF(AND(AQ4=0,AQ22&gt;=0), "",AQ22/AQ4)</f>
        <v>0.65579710144927539</v>
      </c>
      <c r="AS22" s="37"/>
      <c r="AT22" s="78">
        <f>+AT23+AT26+AT29</f>
        <v>0</v>
      </c>
      <c r="AU22" s="33" t="str">
        <f>IF(AND(AT4=0,AT22&gt;=0), "",AT22/AT4)</f>
        <v/>
      </c>
      <c r="AV22" s="37">
        <f t="shared" si="6"/>
        <v>1</v>
      </c>
      <c r="AW22" s="78">
        <f>+AW23+AW26+AW29</f>
        <v>1508.3333333333333</v>
      </c>
      <c r="AX22" s="33">
        <f>IF(AND(AW4=0,AW22&gt;=0), "",AW22/AW4)</f>
        <v>0.65579710144927517</v>
      </c>
      <c r="AY22" s="37"/>
      <c r="AZ22" s="78">
        <f>+AZ23+AZ26+AZ29</f>
        <v>0</v>
      </c>
      <c r="BA22" s="33" t="str">
        <f>IF(AND(AZ4=0,AZ22&gt;=0), "",AZ22/AZ4)</f>
        <v/>
      </c>
      <c r="BB22" s="37">
        <f t="shared" si="7"/>
        <v>1</v>
      </c>
      <c r="BC22" s="76">
        <f>+BC23+BC26+BC29</f>
        <v>0</v>
      </c>
      <c r="BD22" s="33" t="str">
        <f>IF(AND(BC4=0,BC22&gt;=0), "",BC22/BC4)</f>
        <v/>
      </c>
      <c r="BE22" s="37"/>
      <c r="BF22" s="33" t="str">
        <f t="shared" si="8"/>
        <v/>
      </c>
      <c r="BG22" s="77">
        <f>+BG23+BG26+BG29</f>
        <v>9050</v>
      </c>
      <c r="BH22" s="33">
        <f>IF(AND(BG4=0,BG22&gt;=0), "",BG22/BG4)</f>
        <v>0.65579710144927539</v>
      </c>
      <c r="BI22" s="37"/>
      <c r="BJ22" s="76">
        <f>+BJ23+BJ26+BJ29</f>
        <v>0</v>
      </c>
      <c r="BK22" s="33" t="str">
        <f>IF(AND(BJ4=0,BJ22&gt;=0), "",BJ22/BJ4)</f>
        <v/>
      </c>
      <c r="BL22" s="37"/>
      <c r="BM22" s="33" t="str">
        <f t="shared" si="9"/>
        <v/>
      </c>
      <c r="BN22" s="77">
        <f>+BN23+BN26+BN29</f>
        <v>9050</v>
      </c>
      <c r="BO22" s="33">
        <f>IF(AND(BN4=0,BN22&gt;=0), "",BN22/BN4)</f>
        <v>0.65579710144927539</v>
      </c>
      <c r="BP22" s="37"/>
      <c r="BQ22" s="76">
        <f>+BQ23+BQ26+BQ29</f>
        <v>0</v>
      </c>
      <c r="BR22" s="33" t="str">
        <f>IF(AND(BQ4=0,BQ22&gt;=0), "",BQ22/BQ4)</f>
        <v/>
      </c>
      <c r="BS22" s="37"/>
      <c r="BT22" s="33" t="str">
        <f t="shared" si="10"/>
        <v/>
      </c>
      <c r="BU22" s="77">
        <f>+BU23+BU26+BU29</f>
        <v>9050</v>
      </c>
      <c r="BV22" s="33">
        <f>IF(AND(BU4=0,BU22&gt;=0), "",BU22/BU4)</f>
        <v>0.65579710144927539</v>
      </c>
      <c r="BW22" s="37"/>
      <c r="BX22" s="78">
        <f>+BX23+BX26+BX29</f>
        <v>0</v>
      </c>
      <c r="BY22" s="33" t="str">
        <f>IF(AND(BX4=0,BX22&gt;=0), "",BX22/BX4)</f>
        <v/>
      </c>
      <c r="BZ22" s="37">
        <f t="shared" si="11"/>
        <v>1</v>
      </c>
      <c r="CA22" s="76">
        <f>+CA23+CA26+CA29</f>
        <v>0</v>
      </c>
      <c r="CB22" s="33" t="str">
        <f>IF(AND(CA4=0,CA22&gt;=0), "",CA22/CA4)</f>
        <v/>
      </c>
      <c r="CC22" s="37"/>
      <c r="CD22" s="33" t="str">
        <f t="shared" si="12"/>
        <v/>
      </c>
      <c r="CE22" s="77">
        <f>+CE23+CE26+CE29</f>
        <v>9050</v>
      </c>
      <c r="CF22" s="33">
        <f>IF(AND(CE4=0,CE22&gt;=0), "",CE22/CE4)</f>
        <v>0.65579710144927539</v>
      </c>
      <c r="CG22" s="37"/>
      <c r="CH22" s="76">
        <f>+CH23+CH26+CH29</f>
        <v>0</v>
      </c>
      <c r="CI22" s="33" t="str">
        <f>IF(AND(CH4=0,CH22&gt;=0), "",CH22/CH4)</f>
        <v/>
      </c>
      <c r="CJ22" s="37"/>
      <c r="CK22" s="33" t="str">
        <f t="shared" si="13"/>
        <v/>
      </c>
      <c r="CL22" s="77">
        <f>+CL23+CL26+CL29</f>
        <v>9050</v>
      </c>
      <c r="CM22" s="33">
        <f>IF(AND(CL4=0,CL22&gt;=0), "",CL22/CL4)</f>
        <v>0.65579710144927539</v>
      </c>
      <c r="CN22" s="37"/>
      <c r="CO22" s="76">
        <f>+CO23+CO26+CO29</f>
        <v>0</v>
      </c>
      <c r="CP22" s="33" t="str">
        <f>IF(AND(CO4=0,CO22&gt;=0), "",CO22/CO4)</f>
        <v/>
      </c>
      <c r="CQ22" s="37"/>
      <c r="CR22" s="33" t="str">
        <f t="shared" si="14"/>
        <v/>
      </c>
      <c r="CS22" s="77">
        <f>+CS23+CS26+CS29</f>
        <v>9050</v>
      </c>
      <c r="CT22" s="33">
        <f>IF(AND(CS4=0,CS22&gt;=0), "",CS22/CS4)</f>
        <v>0.65579710144927539</v>
      </c>
      <c r="CU22" s="37"/>
      <c r="CV22" s="78">
        <f>+CV23+CV26+CV29</f>
        <v>0</v>
      </c>
      <c r="CW22" s="33" t="str">
        <f>IF(AND(CV4=0,CV22&gt;=0), "",CV22/CV4)</f>
        <v/>
      </c>
      <c r="CX22" s="37">
        <f t="shared" si="15"/>
        <v>1</v>
      </c>
    </row>
    <row r="23" spans="1:102" s="6" customFormat="1" hidden="1" outlineLevel="1" x14ac:dyDescent="0.25">
      <c r="A23" s="34" t="s">
        <v>48</v>
      </c>
      <c r="B23" s="79">
        <f>SUM(B24:B25)</f>
        <v>0</v>
      </c>
      <c r="C23" s="35" t="str">
        <f>IF(AND(B5=0,B23&gt;=0), "",B23/B5)</f>
        <v/>
      </c>
      <c r="D23" s="38"/>
      <c r="E23" s="79">
        <f>SUM(E24:E25)</f>
        <v>9000</v>
      </c>
      <c r="F23" s="35">
        <f>IF(AND(E5=0,E23&gt;=0), "",E23/E5)</f>
        <v>0.66666666666666663</v>
      </c>
      <c r="G23" s="38"/>
      <c r="H23" s="79">
        <f>SUM(H24:H25)</f>
        <v>0</v>
      </c>
      <c r="I23" s="35" t="str">
        <f>IF(AND(H5=0,H23&gt;=0), "",H23/H5)</f>
        <v/>
      </c>
      <c r="J23" s="38"/>
      <c r="K23" s="35">
        <f t="shared" si="0"/>
        <v>-1</v>
      </c>
      <c r="L23" s="80">
        <f>SUM(L24:L25)</f>
        <v>9000</v>
      </c>
      <c r="M23" s="35">
        <f>IF(AND(L5=0,L23&gt;=0), "",L23/L5)</f>
        <v>0.66666666666666663</v>
      </c>
      <c r="N23" s="38"/>
      <c r="O23" s="79">
        <f>SUM(O24:O25)</f>
        <v>0</v>
      </c>
      <c r="P23" s="35" t="str">
        <f>IF(AND(O5=0,O23&gt;=0), "",O23/O5)</f>
        <v/>
      </c>
      <c r="Q23" s="38"/>
      <c r="R23" s="35" t="str">
        <f t="shared" si="1"/>
        <v/>
      </c>
      <c r="S23" s="80">
        <f>SUM(S24:S25)</f>
        <v>9000</v>
      </c>
      <c r="T23" s="35">
        <f>IF(AND(S5=0,S23&gt;=0), "",S23/S5)</f>
        <v>0.66666666666666663</v>
      </c>
      <c r="U23" s="38"/>
      <c r="V23" s="81">
        <f>SUM(V24:V25)</f>
        <v>0</v>
      </c>
      <c r="W23" s="35" t="str">
        <f>IF(AND(V5=0,V23&gt;=0), "",V23/V5)</f>
        <v/>
      </c>
      <c r="X23" s="51">
        <f t="shared" si="2"/>
        <v>1</v>
      </c>
      <c r="Y23" s="79">
        <f>SUM(Y24:Y25)</f>
        <v>0</v>
      </c>
      <c r="Z23" s="35" t="str">
        <f>IF(AND(Y5=0,Y23&gt;=0), "",Y23/Y5)</f>
        <v/>
      </c>
      <c r="AA23" s="38"/>
      <c r="AB23" s="35" t="str">
        <f t="shared" si="3"/>
        <v/>
      </c>
      <c r="AC23" s="80">
        <f>SUM(AC24:AC25)</f>
        <v>9000</v>
      </c>
      <c r="AD23" s="35">
        <f>IF(AND(AC5=0,AC23&gt;=0), "",AC23/AC5)</f>
        <v>0.66666666666666663</v>
      </c>
      <c r="AE23" s="38"/>
      <c r="AF23" s="79">
        <f>SUM(AF24:AF25)</f>
        <v>0</v>
      </c>
      <c r="AG23" s="35" t="str">
        <f>IF(AND(AF5=0,AF23&gt;=0), "",AF23/AF5)</f>
        <v/>
      </c>
      <c r="AH23" s="38"/>
      <c r="AI23" s="35" t="str">
        <f t="shared" si="4"/>
        <v/>
      </c>
      <c r="AJ23" s="80">
        <f>SUM(AJ24:AJ25)</f>
        <v>9000</v>
      </c>
      <c r="AK23" s="35">
        <f>IF(AND(AJ5=0,AJ23&gt;=0), "",AJ23/AJ5)</f>
        <v>0.66666666666666663</v>
      </c>
      <c r="AL23" s="38"/>
      <c r="AM23" s="79">
        <f>SUM(AM24:AM25)</f>
        <v>0</v>
      </c>
      <c r="AN23" s="35" t="str">
        <f>IF(AND(AM5=0,AM23&gt;=0), "",AM23/AM5)</f>
        <v/>
      </c>
      <c r="AO23" s="38"/>
      <c r="AP23" s="35" t="str">
        <f t="shared" si="5"/>
        <v/>
      </c>
      <c r="AQ23" s="80">
        <f>SUM(AQ24:AQ25)</f>
        <v>9000</v>
      </c>
      <c r="AR23" s="35">
        <f>IF(AND(AQ5=0,AQ23&gt;=0), "",AQ23/AQ5)</f>
        <v>0.66666666666666663</v>
      </c>
      <c r="AS23" s="38"/>
      <c r="AT23" s="81">
        <f>SUM(AT24:AT25)</f>
        <v>0</v>
      </c>
      <c r="AU23" s="35" t="str">
        <f>IF(AND(AT5=0,AT23&gt;=0), "",AT23/AT5)</f>
        <v/>
      </c>
      <c r="AV23" s="51">
        <f t="shared" si="6"/>
        <v>1</v>
      </c>
      <c r="AW23" s="81">
        <f>SUM(AW24:AW25)</f>
        <v>1500</v>
      </c>
      <c r="AX23" s="35">
        <f>IF(AND(AW5=0,AW23&gt;=0), "",AW23/AW5)</f>
        <v>0.66666666666666663</v>
      </c>
      <c r="AY23" s="38"/>
      <c r="AZ23" s="81">
        <f>SUM(AZ24:AZ25)</f>
        <v>0</v>
      </c>
      <c r="BA23" s="35" t="str">
        <f>IF(AND(AZ5=0,AZ23&gt;=0), "",AZ23/AZ5)</f>
        <v/>
      </c>
      <c r="BB23" s="51">
        <f t="shared" si="7"/>
        <v>1</v>
      </c>
      <c r="BC23" s="79">
        <f>SUM(BC24:BC25)</f>
        <v>0</v>
      </c>
      <c r="BD23" s="35" t="str">
        <f>IF(AND(BC5=0,BC23&gt;=0), "",BC23/BC5)</f>
        <v/>
      </c>
      <c r="BE23" s="38"/>
      <c r="BF23" s="35" t="str">
        <f t="shared" si="8"/>
        <v/>
      </c>
      <c r="BG23" s="80">
        <f>SUM(BG24:BG25)</f>
        <v>9000</v>
      </c>
      <c r="BH23" s="35">
        <f>IF(AND(BG5=0,BG23&gt;=0), "",BG23/BG5)</f>
        <v>0.66666666666666663</v>
      </c>
      <c r="BI23" s="38"/>
      <c r="BJ23" s="79">
        <f>SUM(BJ24:BJ25)</f>
        <v>0</v>
      </c>
      <c r="BK23" s="35" t="str">
        <f>IF(AND(BJ5=0,BJ23&gt;=0), "",BJ23/BJ5)</f>
        <v/>
      </c>
      <c r="BL23" s="38"/>
      <c r="BM23" s="35" t="str">
        <f t="shared" si="9"/>
        <v/>
      </c>
      <c r="BN23" s="80">
        <f>SUM(BN24:BN25)</f>
        <v>9000</v>
      </c>
      <c r="BO23" s="35">
        <f>IF(AND(BN5=0,BN23&gt;=0), "",BN23/BN5)</f>
        <v>0.66666666666666663</v>
      </c>
      <c r="BP23" s="38"/>
      <c r="BQ23" s="79">
        <f>SUM(BQ24:BQ25)</f>
        <v>0</v>
      </c>
      <c r="BR23" s="35" t="str">
        <f>IF(AND(BQ5=0,BQ23&gt;=0), "",BQ23/BQ5)</f>
        <v/>
      </c>
      <c r="BS23" s="38"/>
      <c r="BT23" s="35" t="str">
        <f t="shared" si="10"/>
        <v/>
      </c>
      <c r="BU23" s="80">
        <f>SUM(BU24:BU25)</f>
        <v>9000</v>
      </c>
      <c r="BV23" s="35">
        <f>IF(AND(BU5=0,BU23&gt;=0), "",BU23/BU5)</f>
        <v>0.66666666666666663</v>
      </c>
      <c r="BW23" s="38"/>
      <c r="BX23" s="81">
        <f>SUM(BX24:BX25)</f>
        <v>0</v>
      </c>
      <c r="BY23" s="35" t="str">
        <f>IF(AND(BX5=0,BX23&gt;=0), "",BX23/BX5)</f>
        <v/>
      </c>
      <c r="BZ23" s="51">
        <f t="shared" si="11"/>
        <v>1</v>
      </c>
      <c r="CA23" s="79">
        <f>SUM(CA24:CA25)</f>
        <v>0</v>
      </c>
      <c r="CB23" s="35" t="str">
        <f>IF(AND(CA5=0,CA23&gt;=0), "",CA23/CA5)</f>
        <v/>
      </c>
      <c r="CC23" s="38"/>
      <c r="CD23" s="35" t="str">
        <f t="shared" si="12"/>
        <v/>
      </c>
      <c r="CE23" s="80">
        <f>SUM(CE24:CE25)</f>
        <v>9000</v>
      </c>
      <c r="CF23" s="35">
        <f>IF(AND(CE5=0,CE23&gt;=0), "",CE23/CE5)</f>
        <v>0.66666666666666663</v>
      </c>
      <c r="CG23" s="38"/>
      <c r="CH23" s="79">
        <f>SUM(CH24:CH25)</f>
        <v>0</v>
      </c>
      <c r="CI23" s="35" t="str">
        <f>IF(AND(CH5=0,CH23&gt;=0), "",CH23/CH5)</f>
        <v/>
      </c>
      <c r="CJ23" s="38"/>
      <c r="CK23" s="35" t="str">
        <f t="shared" si="13"/>
        <v/>
      </c>
      <c r="CL23" s="80">
        <f>SUM(CL24:CL25)</f>
        <v>9000</v>
      </c>
      <c r="CM23" s="35">
        <f>IF(AND(CL5=0,CL23&gt;=0), "",CL23/CL5)</f>
        <v>0.66666666666666663</v>
      </c>
      <c r="CN23" s="38"/>
      <c r="CO23" s="79">
        <f>SUM(CO24:CO25)</f>
        <v>0</v>
      </c>
      <c r="CP23" s="35" t="str">
        <f>IF(AND(CO5=0,CO23&gt;=0), "",CO23/CO5)</f>
        <v/>
      </c>
      <c r="CQ23" s="38"/>
      <c r="CR23" s="35" t="str">
        <f t="shared" si="14"/>
        <v/>
      </c>
      <c r="CS23" s="80">
        <f>SUM(CS24:CS25)</f>
        <v>9000</v>
      </c>
      <c r="CT23" s="35">
        <f>IF(AND(CS5=0,CS23&gt;=0), "",CS23/CS5)</f>
        <v>0.66666666666666663</v>
      </c>
      <c r="CU23" s="38"/>
      <c r="CV23" s="81">
        <f>SUM(CV24:CV25)</f>
        <v>0</v>
      </c>
      <c r="CW23" s="35" t="str">
        <f>IF(AND(CV5=0,CV23&gt;=0), "",CV23/CV5)</f>
        <v/>
      </c>
      <c r="CX23" s="51">
        <f t="shared" si="15"/>
        <v>1</v>
      </c>
    </row>
    <row r="24" spans="1:102" hidden="1" outlineLevel="1" x14ac:dyDescent="0.25">
      <c r="A24" s="27" t="s">
        <v>49</v>
      </c>
      <c r="B24" s="82">
        <f>+'N EERR'!B30</f>
        <v>0</v>
      </c>
      <c r="C24" s="28" t="str">
        <f>IF(AND(B5=0,B24&gt;=0), "",B24/B5)</f>
        <v/>
      </c>
      <c r="D24" s="39"/>
      <c r="E24" s="82">
        <f>+'N EERR'!C30</f>
        <v>9000</v>
      </c>
      <c r="F24" s="28">
        <f>IF(AND(E5=0,E24&gt;=0), "",E24/E5)</f>
        <v>0.66666666666666663</v>
      </c>
      <c r="G24" s="39"/>
      <c r="H24" s="82">
        <f>+'N EERR'!D30</f>
        <v>0</v>
      </c>
      <c r="I24" s="28" t="str">
        <f>IF(AND(H5=0,H24&gt;=0), "",H24/H5)</f>
        <v/>
      </c>
      <c r="J24" s="39"/>
      <c r="K24" s="28">
        <f t="shared" si="0"/>
        <v>-1</v>
      </c>
      <c r="L24" s="83">
        <f>+E24+H24</f>
        <v>9000</v>
      </c>
      <c r="M24" s="28">
        <f>IF(AND(L5=0,L24&gt;=0), "",L24/L5)</f>
        <v>0.66666666666666663</v>
      </c>
      <c r="N24" s="39"/>
      <c r="O24" s="82">
        <f>+'N EERR'!E30</f>
        <v>0</v>
      </c>
      <c r="P24" s="28" t="str">
        <f>IF(AND(O5=0,O24&gt;=0), "",O24/O5)</f>
        <v/>
      </c>
      <c r="Q24" s="39"/>
      <c r="R24" s="28" t="str">
        <f t="shared" si="1"/>
        <v/>
      </c>
      <c r="S24" s="83">
        <f>+L24+O24</f>
        <v>9000</v>
      </c>
      <c r="T24" s="28">
        <f>IF(AND(S5=0,S24&gt;=0), "",S24/S5)</f>
        <v>0.66666666666666663</v>
      </c>
      <c r="U24" s="39"/>
      <c r="V24" s="84">
        <f>+V6*66.71%</f>
        <v>0</v>
      </c>
      <c r="W24" s="28" t="str">
        <f>IF(AND(V5=0,V24&gt;=0), "",V24/V5)</f>
        <v/>
      </c>
      <c r="X24" s="42">
        <f t="shared" si="2"/>
        <v>1</v>
      </c>
      <c r="Y24" s="82">
        <f>+'N EERR'!F30</f>
        <v>0</v>
      </c>
      <c r="Z24" s="28" t="str">
        <f>IF(AND(Y5=0,Y24&gt;=0), "",Y24/Y5)</f>
        <v/>
      </c>
      <c r="AA24" s="39"/>
      <c r="AB24" s="28" t="str">
        <f t="shared" si="3"/>
        <v/>
      </c>
      <c r="AC24" s="83">
        <f>+S24+Y24</f>
        <v>9000</v>
      </c>
      <c r="AD24" s="28">
        <f>IF(AND(AC5=0,AC24&gt;=0), "",AC24/AC5)</f>
        <v>0.66666666666666663</v>
      </c>
      <c r="AE24" s="39"/>
      <c r="AF24" s="82">
        <f>+'N EERR'!G30</f>
        <v>0</v>
      </c>
      <c r="AG24" s="28" t="str">
        <f>IF(AND(AF5=0,AF24&gt;=0), "",AF24/AF5)</f>
        <v/>
      </c>
      <c r="AH24" s="39"/>
      <c r="AI24" s="28" t="str">
        <f t="shared" si="4"/>
        <v/>
      </c>
      <c r="AJ24" s="83">
        <f t="shared" si="16"/>
        <v>9000</v>
      </c>
      <c r="AK24" s="28">
        <f>IF(AND(AJ5=0,AJ24&gt;=0), "",AJ24/AJ5)</f>
        <v>0.66666666666666663</v>
      </c>
      <c r="AL24" s="39"/>
      <c r="AM24" s="82">
        <f>+'N EERR'!H30</f>
        <v>0</v>
      </c>
      <c r="AN24" s="28" t="str">
        <f>IF(AND(AM5=0,AM24&gt;=0), "",AM24/AM5)</f>
        <v/>
      </c>
      <c r="AO24" s="39"/>
      <c r="AP24" s="28" t="str">
        <f t="shared" si="5"/>
        <v/>
      </c>
      <c r="AQ24" s="83">
        <f t="shared" si="17"/>
        <v>9000</v>
      </c>
      <c r="AR24" s="28">
        <f>IF(AND(AQ5=0,AQ24&gt;=0), "",AQ24/AQ5)</f>
        <v>0.66666666666666663</v>
      </c>
      <c r="AS24" s="39"/>
      <c r="AT24" s="84">
        <f>+V24*2</f>
        <v>0</v>
      </c>
      <c r="AU24" s="28" t="str">
        <f>IF(AND(AT5=0,AT24&gt;=0), "",AT24/AT5)</f>
        <v/>
      </c>
      <c r="AV24" s="42">
        <f t="shared" si="6"/>
        <v>1</v>
      </c>
      <c r="AW24" s="84">
        <f>+AQ24/6</f>
        <v>1500</v>
      </c>
      <c r="AX24" s="28">
        <f>IF(AND(AW5=0,AW24&gt;=0), "",AW24/AW5)</f>
        <v>0.66666666666666663</v>
      </c>
      <c r="AY24" s="39"/>
      <c r="AZ24" s="84">
        <f>+AT24/6</f>
        <v>0</v>
      </c>
      <c r="BA24" s="28" t="str">
        <f>IF(AND(AZ5=0,AZ24&gt;=0), "",AZ24/AZ5)</f>
        <v/>
      </c>
      <c r="BB24" s="42">
        <f t="shared" si="7"/>
        <v>1</v>
      </c>
      <c r="BC24" s="82">
        <f>+'N EERR'!I30</f>
        <v>0</v>
      </c>
      <c r="BD24" s="28" t="str">
        <f>IF(AND(BC5=0,BC24&gt;=0), "",BC24/BC5)</f>
        <v/>
      </c>
      <c r="BE24" s="39"/>
      <c r="BF24" s="28" t="str">
        <f t="shared" si="8"/>
        <v/>
      </c>
      <c r="BG24" s="83">
        <f>+AQ24+BC24</f>
        <v>9000</v>
      </c>
      <c r="BH24" s="28">
        <f>IF(AND(BG5=0,BG24&gt;=0), "",BG24/BG5)</f>
        <v>0.66666666666666663</v>
      </c>
      <c r="BI24" s="39"/>
      <c r="BJ24" s="82">
        <f>+'N EERR'!J30</f>
        <v>0</v>
      </c>
      <c r="BK24" s="28" t="str">
        <f>IF(AND(BJ5=0,BJ24&gt;=0), "",BJ24/BJ5)</f>
        <v/>
      </c>
      <c r="BL24" s="39"/>
      <c r="BM24" s="28" t="str">
        <f t="shared" si="9"/>
        <v/>
      </c>
      <c r="BN24" s="83">
        <f>+BG24+BJ24</f>
        <v>9000</v>
      </c>
      <c r="BO24" s="28">
        <f>IF(AND(BN5=0,BN24&gt;=0), "",BN24/BN5)</f>
        <v>0.66666666666666663</v>
      </c>
      <c r="BP24" s="39"/>
      <c r="BQ24" s="82">
        <f>+'N EERR'!K30</f>
        <v>0</v>
      </c>
      <c r="BR24" s="28" t="str">
        <f>IF(AND(BQ5=0,BQ24&gt;=0), "",BQ24/BQ5)</f>
        <v/>
      </c>
      <c r="BS24" s="39"/>
      <c r="BT24" s="28" t="str">
        <f t="shared" si="10"/>
        <v/>
      </c>
      <c r="BU24" s="83">
        <f>+BN24+BQ24</f>
        <v>9000</v>
      </c>
      <c r="BV24" s="28">
        <f>IF(AND(BU5=0,BU24&gt;=0), "",BU24/BU5)</f>
        <v>0.66666666666666663</v>
      </c>
      <c r="BW24" s="39"/>
      <c r="BX24" s="84">
        <f>+AZ24*9</f>
        <v>0</v>
      </c>
      <c r="BY24" s="28" t="str">
        <f>IF(AND(BX5=0,BX24&gt;=0), "",BX24/BX5)</f>
        <v/>
      </c>
      <c r="BZ24" s="42">
        <f t="shared" si="11"/>
        <v>1</v>
      </c>
      <c r="CA24" s="82">
        <f>+'N EERR'!L30</f>
        <v>0</v>
      </c>
      <c r="CB24" s="28" t="str">
        <f>IF(AND(CA5=0,CA24&gt;=0), "",CA24/CA5)</f>
        <v/>
      </c>
      <c r="CC24" s="39"/>
      <c r="CD24" s="28" t="str">
        <f t="shared" si="12"/>
        <v/>
      </c>
      <c r="CE24" s="83">
        <f>+BU24+CA24</f>
        <v>9000</v>
      </c>
      <c r="CF24" s="28">
        <f>IF(AND(CE5=0,CE24&gt;=0), "",CE24/CE5)</f>
        <v>0.66666666666666663</v>
      </c>
      <c r="CG24" s="39"/>
      <c r="CH24" s="82">
        <f>+'N EERR'!M30</f>
        <v>0</v>
      </c>
      <c r="CI24" s="28" t="str">
        <f>IF(AND(CH5=0,CH24&gt;=0), "",CH24/CH5)</f>
        <v/>
      </c>
      <c r="CJ24" s="39"/>
      <c r="CK24" s="28" t="str">
        <f t="shared" si="13"/>
        <v/>
      </c>
      <c r="CL24" s="83">
        <f>+CE24+CH24</f>
        <v>9000</v>
      </c>
      <c r="CM24" s="28">
        <f>IF(AND(CL5=0,CL24&gt;=0), "",CL24/CL5)</f>
        <v>0.66666666666666663</v>
      </c>
      <c r="CN24" s="39"/>
      <c r="CO24" s="82">
        <f>+'N EERR'!N30</f>
        <v>0</v>
      </c>
      <c r="CP24" s="28" t="str">
        <f>IF(AND(CO5=0,CO24&gt;=0), "",CO24/CO5)</f>
        <v/>
      </c>
      <c r="CQ24" s="39"/>
      <c r="CR24" s="28" t="str">
        <f t="shared" si="14"/>
        <v/>
      </c>
      <c r="CS24" s="83">
        <f>+CL24+CO24</f>
        <v>9000</v>
      </c>
      <c r="CT24" s="28">
        <f>IF(AND(CS5=0,CS24&gt;=0), "",CS24/CS5)</f>
        <v>0.66666666666666663</v>
      </c>
      <c r="CU24" s="39"/>
      <c r="CV24" s="84">
        <f>+AZ24*12</f>
        <v>0</v>
      </c>
      <c r="CW24" s="28" t="str">
        <f>IF(AND(CV5=0,CV24&gt;=0), "",CV24/CV5)</f>
        <v/>
      </c>
      <c r="CX24" s="42">
        <f t="shared" si="15"/>
        <v>1</v>
      </c>
    </row>
    <row r="25" spans="1:102" hidden="1" outlineLevel="1" x14ac:dyDescent="0.25">
      <c r="A25" s="27"/>
      <c r="B25" s="82"/>
      <c r="C25" s="28"/>
      <c r="D25" s="39"/>
      <c r="E25" s="82"/>
      <c r="F25" s="28"/>
      <c r="G25" s="39"/>
      <c r="H25" s="82"/>
      <c r="I25" s="28"/>
      <c r="J25" s="39"/>
      <c r="K25" s="29" t="str">
        <f t="shared" si="0"/>
        <v/>
      </c>
      <c r="M25" s="28"/>
      <c r="N25" s="39"/>
      <c r="O25" s="82"/>
      <c r="P25" s="28"/>
      <c r="Q25" s="39"/>
      <c r="R25" s="29" t="str">
        <f t="shared" si="1"/>
        <v/>
      </c>
      <c r="T25" s="28"/>
      <c r="U25" s="39"/>
      <c r="V25" s="84"/>
      <c r="W25" s="28"/>
      <c r="X25" s="52" t="str">
        <f t="shared" si="2"/>
        <v/>
      </c>
      <c r="Y25" s="82"/>
      <c r="Z25" s="28"/>
      <c r="AA25" s="39"/>
      <c r="AB25" s="29" t="str">
        <f t="shared" si="3"/>
        <v/>
      </c>
      <c r="AD25" s="28"/>
      <c r="AE25" s="39"/>
      <c r="AF25" s="82"/>
      <c r="AG25" s="28"/>
      <c r="AH25" s="39"/>
      <c r="AI25" s="29" t="str">
        <f t="shared" si="4"/>
        <v/>
      </c>
      <c r="AJ25" s="83">
        <f t="shared" si="16"/>
        <v>0</v>
      </c>
      <c r="AK25" s="28"/>
      <c r="AL25" s="39"/>
      <c r="AM25" s="82"/>
      <c r="AN25" s="28"/>
      <c r="AO25" s="39"/>
      <c r="AP25" s="29" t="str">
        <f t="shared" si="5"/>
        <v/>
      </c>
      <c r="AQ25" s="83">
        <f t="shared" si="17"/>
        <v>0</v>
      </c>
      <c r="AR25" s="28"/>
      <c r="AS25" s="39"/>
      <c r="AT25" s="84">
        <f>+V25*2</f>
        <v>0</v>
      </c>
      <c r="AU25" s="28"/>
      <c r="AV25" s="52" t="str">
        <f t="shared" si="6"/>
        <v/>
      </c>
      <c r="AW25" s="84">
        <f>+AQ25/6</f>
        <v>0</v>
      </c>
      <c r="AX25" s="28"/>
      <c r="AY25" s="39"/>
      <c r="AZ25" s="84">
        <f>+AT25/6</f>
        <v>0</v>
      </c>
      <c r="BA25" s="28"/>
      <c r="BB25" s="52" t="str">
        <f t="shared" si="7"/>
        <v/>
      </c>
      <c r="BC25" s="82"/>
      <c r="BD25" s="28"/>
      <c r="BE25" s="39"/>
      <c r="BF25" s="29" t="str">
        <f t="shared" si="8"/>
        <v/>
      </c>
      <c r="BG25" s="83">
        <f>+AQ25+BC25</f>
        <v>0</v>
      </c>
      <c r="BH25" s="28"/>
      <c r="BI25" s="39"/>
      <c r="BJ25" s="82"/>
      <c r="BK25" s="28"/>
      <c r="BL25" s="39"/>
      <c r="BM25" s="29" t="str">
        <f t="shared" si="9"/>
        <v/>
      </c>
      <c r="BN25" s="83">
        <f>+BG25+BJ25</f>
        <v>0</v>
      </c>
      <c r="BO25" s="28"/>
      <c r="BP25" s="39"/>
      <c r="BQ25" s="82"/>
      <c r="BR25" s="28"/>
      <c r="BS25" s="39"/>
      <c r="BT25" s="29" t="str">
        <f t="shared" si="10"/>
        <v/>
      </c>
      <c r="BU25" s="83">
        <f>+BN25+BQ25</f>
        <v>0</v>
      </c>
      <c r="BV25" s="28"/>
      <c r="BW25" s="39"/>
      <c r="BX25" s="84">
        <f>+AZ25*9</f>
        <v>0</v>
      </c>
      <c r="BY25" s="28"/>
      <c r="BZ25" s="52" t="str">
        <f t="shared" si="11"/>
        <v/>
      </c>
      <c r="CA25" s="82"/>
      <c r="CB25" s="28"/>
      <c r="CC25" s="39"/>
      <c r="CD25" s="29" t="str">
        <f t="shared" si="12"/>
        <v/>
      </c>
      <c r="CF25" s="28"/>
      <c r="CG25" s="39"/>
      <c r="CH25" s="82"/>
      <c r="CI25" s="28"/>
      <c r="CJ25" s="39"/>
      <c r="CK25" s="29" t="str">
        <f t="shared" si="13"/>
        <v/>
      </c>
      <c r="CL25" s="83">
        <f>+CE25+CH25</f>
        <v>0</v>
      </c>
      <c r="CM25" s="28"/>
      <c r="CN25" s="39"/>
      <c r="CO25" s="82"/>
      <c r="CP25" s="28"/>
      <c r="CQ25" s="39"/>
      <c r="CR25" s="29" t="str">
        <f t="shared" si="14"/>
        <v/>
      </c>
      <c r="CS25" s="83">
        <f>+CL25+CO25</f>
        <v>0</v>
      </c>
      <c r="CT25" s="28"/>
      <c r="CU25" s="39"/>
      <c r="CV25" s="84">
        <f>+AZ25*12</f>
        <v>0</v>
      </c>
      <c r="CW25" s="28"/>
      <c r="CX25" s="52" t="str">
        <f t="shared" si="15"/>
        <v/>
      </c>
    </row>
    <row r="26" spans="1:102" s="6" customFormat="1" hidden="1" outlineLevel="1" x14ac:dyDescent="0.25">
      <c r="A26" s="34" t="s">
        <v>50</v>
      </c>
      <c r="B26" s="79">
        <f>SUM(B27:B28)</f>
        <v>0</v>
      </c>
      <c r="C26" s="35" t="str">
        <f>IF(AND(B10=0,B26&gt;=0), "",B26/B10)</f>
        <v/>
      </c>
      <c r="D26" s="38"/>
      <c r="E26" s="79">
        <f>SUM(E27:E28)</f>
        <v>20</v>
      </c>
      <c r="F26" s="35">
        <f>IF(AND(E10=0,E26&gt;=0), "",E26/E10)</f>
        <v>0.1</v>
      </c>
      <c r="G26" s="38"/>
      <c r="H26" s="79">
        <f>SUM(H27:H28)</f>
        <v>0</v>
      </c>
      <c r="I26" s="35" t="str">
        <f>IF(AND(H10=0,H26&gt;=0), "",H26/H10)</f>
        <v/>
      </c>
      <c r="J26" s="38"/>
      <c r="K26" s="35">
        <f t="shared" si="0"/>
        <v>-1</v>
      </c>
      <c r="L26" s="80">
        <f>SUM(L27:L28)</f>
        <v>20</v>
      </c>
      <c r="M26" s="35">
        <f>IF(AND(L10=0,L26&gt;=0), "",L26/L10)</f>
        <v>0.1</v>
      </c>
      <c r="N26" s="38"/>
      <c r="O26" s="79">
        <f>SUM(O27:O28)</f>
        <v>0</v>
      </c>
      <c r="P26" s="35" t="str">
        <f>IF(AND(O10=0,O26&gt;=0), "",O26/O10)</f>
        <v/>
      </c>
      <c r="Q26" s="38"/>
      <c r="R26" s="35" t="str">
        <f t="shared" si="1"/>
        <v/>
      </c>
      <c r="S26" s="80">
        <f>SUM(S27:S28)</f>
        <v>20</v>
      </c>
      <c r="T26" s="35">
        <f>IF(AND(S10=0,S26&gt;=0), "",S26/S10)</f>
        <v>0.1</v>
      </c>
      <c r="U26" s="38"/>
      <c r="V26" s="81">
        <f>SUM(V27:V28)</f>
        <v>0</v>
      </c>
      <c r="W26" s="35" t="str">
        <f>IF(AND(V10=0,V26&gt;=0), "",V26/V10)</f>
        <v/>
      </c>
      <c r="X26" s="51">
        <f t="shared" si="2"/>
        <v>1</v>
      </c>
      <c r="Y26" s="79">
        <f>SUM(Y27:Y28)</f>
        <v>0</v>
      </c>
      <c r="Z26" s="35" t="str">
        <f>IF(AND(Y10=0,Y26&gt;=0), "",Y26/Y10)</f>
        <v/>
      </c>
      <c r="AA26" s="38"/>
      <c r="AB26" s="35" t="str">
        <f t="shared" si="3"/>
        <v/>
      </c>
      <c r="AC26" s="80">
        <f>SUM(AC27:AC28)</f>
        <v>20</v>
      </c>
      <c r="AD26" s="35">
        <f>IF(AND(AC10=0,AC26&gt;=0), "",AC26/AC10)</f>
        <v>0.1</v>
      </c>
      <c r="AE26" s="38"/>
      <c r="AF26" s="79">
        <f>SUM(AF27:AF28)</f>
        <v>0</v>
      </c>
      <c r="AG26" s="35" t="str">
        <f>IF(AND(AF10=0,AF26&gt;=0), "",AF26/AF10)</f>
        <v/>
      </c>
      <c r="AH26" s="38"/>
      <c r="AI26" s="35" t="str">
        <f t="shared" si="4"/>
        <v/>
      </c>
      <c r="AJ26" s="80">
        <f>SUM(AJ27:AJ28)</f>
        <v>20</v>
      </c>
      <c r="AK26" s="35">
        <f>IF(AND(AJ10=0,AJ26&gt;=0), "",AJ26/AJ10)</f>
        <v>0.1</v>
      </c>
      <c r="AL26" s="38"/>
      <c r="AM26" s="79">
        <f>SUM(AM27:AM28)</f>
        <v>0</v>
      </c>
      <c r="AN26" s="35" t="str">
        <f>IF(AND(AM10=0,AM26&gt;=0), "",AM26/AM10)</f>
        <v/>
      </c>
      <c r="AO26" s="38"/>
      <c r="AP26" s="35" t="str">
        <f t="shared" si="5"/>
        <v/>
      </c>
      <c r="AQ26" s="80">
        <f>SUM(AQ27:AQ28)</f>
        <v>20</v>
      </c>
      <c r="AR26" s="35">
        <f>IF(AND(AQ10=0,AQ26&gt;=0), "",AQ26/AQ10)</f>
        <v>0.1</v>
      </c>
      <c r="AS26" s="38"/>
      <c r="AT26" s="81">
        <f>SUM(AT27:AT28)</f>
        <v>0</v>
      </c>
      <c r="AU26" s="35" t="str">
        <f>IF(AND(AT10=0,AT26&gt;=0), "",AT26/AT10)</f>
        <v/>
      </c>
      <c r="AV26" s="51">
        <f t="shared" si="6"/>
        <v>1</v>
      </c>
      <c r="AW26" s="81">
        <f>SUM(AW27:AW28)</f>
        <v>3.3333333333333335</v>
      </c>
      <c r="AX26" s="35">
        <f>IF(AND(AW10=0,AW26&gt;=0), "",AW26/AW10)</f>
        <v>9.9999999999999992E-2</v>
      </c>
      <c r="AY26" s="38"/>
      <c r="AZ26" s="81">
        <f>SUM(AZ27:AZ28)</f>
        <v>0</v>
      </c>
      <c r="BA26" s="35" t="str">
        <f>IF(AND(AZ10=0,AZ26&gt;=0), "",AZ26/AZ10)</f>
        <v/>
      </c>
      <c r="BB26" s="51">
        <f t="shared" si="7"/>
        <v>1</v>
      </c>
      <c r="BC26" s="79">
        <f>SUM(BC27:BC28)</f>
        <v>0</v>
      </c>
      <c r="BD26" s="35" t="str">
        <f>IF(AND(BC10=0,BC26&gt;=0), "",BC26/BC10)</f>
        <v/>
      </c>
      <c r="BE26" s="38"/>
      <c r="BF26" s="35" t="str">
        <f t="shared" si="8"/>
        <v/>
      </c>
      <c r="BG26" s="80">
        <f>SUM(BG27:BG28)</f>
        <v>20</v>
      </c>
      <c r="BH26" s="35">
        <f>IF(AND(BG10=0,BG26&gt;=0), "",BG26/BG10)</f>
        <v>0.1</v>
      </c>
      <c r="BI26" s="38"/>
      <c r="BJ26" s="79">
        <f>SUM(BJ27:BJ28)</f>
        <v>0</v>
      </c>
      <c r="BK26" s="35" t="str">
        <f>IF(AND(BJ10=0,BJ26&gt;=0), "",BJ26/BJ10)</f>
        <v/>
      </c>
      <c r="BL26" s="38"/>
      <c r="BM26" s="35" t="str">
        <f t="shared" si="9"/>
        <v/>
      </c>
      <c r="BN26" s="80">
        <f>SUM(BN27:BN28)</f>
        <v>20</v>
      </c>
      <c r="BO26" s="35">
        <f>IF(AND(BN10=0,BN26&gt;=0), "",BN26/BN10)</f>
        <v>0.1</v>
      </c>
      <c r="BP26" s="38"/>
      <c r="BQ26" s="79">
        <f>SUM(BQ27:BQ28)</f>
        <v>0</v>
      </c>
      <c r="BR26" s="35" t="str">
        <f>IF(AND(BQ10=0,BQ26&gt;=0), "",BQ26/BQ10)</f>
        <v/>
      </c>
      <c r="BS26" s="38"/>
      <c r="BT26" s="35" t="str">
        <f t="shared" si="10"/>
        <v/>
      </c>
      <c r="BU26" s="80">
        <f>SUM(BU27:BU28)</f>
        <v>20</v>
      </c>
      <c r="BV26" s="35">
        <f>IF(AND(BU10=0,BU26&gt;=0), "",BU26/BU10)</f>
        <v>0.1</v>
      </c>
      <c r="BW26" s="38"/>
      <c r="BX26" s="81">
        <f>SUM(BX27:BX28)</f>
        <v>0</v>
      </c>
      <c r="BY26" s="35" t="str">
        <f>IF(AND(BX10=0,BX26&gt;=0), "",BX26/BX10)</f>
        <v/>
      </c>
      <c r="BZ26" s="51">
        <f t="shared" si="11"/>
        <v>1</v>
      </c>
      <c r="CA26" s="79">
        <f>SUM(CA27:CA28)</f>
        <v>0</v>
      </c>
      <c r="CB26" s="35" t="str">
        <f>IF(AND(CA10=0,CA26&gt;=0), "",CA26/CA10)</f>
        <v/>
      </c>
      <c r="CC26" s="38"/>
      <c r="CD26" s="35" t="str">
        <f t="shared" si="12"/>
        <v/>
      </c>
      <c r="CE26" s="80">
        <f>SUM(CE27:CE28)</f>
        <v>20</v>
      </c>
      <c r="CF26" s="35">
        <f>IF(AND(CE10=0,CE26&gt;=0), "",CE26/CE10)</f>
        <v>0.1</v>
      </c>
      <c r="CG26" s="38"/>
      <c r="CH26" s="79">
        <f>SUM(CH27:CH28)</f>
        <v>0</v>
      </c>
      <c r="CI26" s="35" t="str">
        <f>IF(AND(CH10=0,CH26&gt;=0), "",CH26/CH10)</f>
        <v/>
      </c>
      <c r="CJ26" s="38"/>
      <c r="CK26" s="35" t="str">
        <f t="shared" si="13"/>
        <v/>
      </c>
      <c r="CL26" s="80">
        <f>SUM(CL27:CL28)</f>
        <v>20</v>
      </c>
      <c r="CM26" s="35">
        <f>IF(AND(CL10=0,CL26&gt;=0), "",CL26/CL10)</f>
        <v>0.1</v>
      </c>
      <c r="CN26" s="38"/>
      <c r="CO26" s="79">
        <f>SUM(CO27:CO28)</f>
        <v>0</v>
      </c>
      <c r="CP26" s="35" t="str">
        <f>IF(AND(CO10=0,CO26&gt;=0), "",CO26/CO10)</f>
        <v/>
      </c>
      <c r="CQ26" s="38"/>
      <c r="CR26" s="35" t="str">
        <f t="shared" si="14"/>
        <v/>
      </c>
      <c r="CS26" s="80">
        <f>SUM(CS27:CS28)</f>
        <v>20</v>
      </c>
      <c r="CT26" s="35">
        <f>IF(AND(CS10=0,CS26&gt;=0), "",CS26/CS10)</f>
        <v>0.1</v>
      </c>
      <c r="CU26" s="38"/>
      <c r="CV26" s="81">
        <f>SUM(CV27:CV28)</f>
        <v>0</v>
      </c>
      <c r="CW26" s="35" t="str">
        <f>IF(AND(CV10=0,CV26&gt;=0), "",CV26/CV10)</f>
        <v/>
      </c>
      <c r="CX26" s="51">
        <f t="shared" si="15"/>
        <v>1</v>
      </c>
    </row>
    <row r="27" spans="1:102" hidden="1" outlineLevel="1" x14ac:dyDescent="0.25">
      <c r="A27" s="27" t="s">
        <v>51</v>
      </c>
      <c r="B27" s="82">
        <f>+'N EERR'!B31</f>
        <v>0</v>
      </c>
      <c r="C27" s="28" t="str">
        <f>IF(AND(B10=0,B27&gt;=0), "",B27/B10)</f>
        <v/>
      </c>
      <c r="D27" s="39"/>
      <c r="E27" s="82">
        <f>+'N EERR'!C31</f>
        <v>20</v>
      </c>
      <c r="F27" s="28">
        <f>IF(AND(E10=0,E27&gt;=0), "",E27/E10)</f>
        <v>0.1</v>
      </c>
      <c r="G27" s="39"/>
      <c r="H27" s="82">
        <f>+'N EERR'!D31</f>
        <v>0</v>
      </c>
      <c r="I27" s="28" t="str">
        <f>IF(AND(H10=0,H27&gt;=0), "",H27/H10)</f>
        <v/>
      </c>
      <c r="J27" s="39"/>
      <c r="K27" s="28">
        <f t="shared" si="0"/>
        <v>-1</v>
      </c>
      <c r="L27" s="83">
        <f>+E27+H27</f>
        <v>20</v>
      </c>
      <c r="M27" s="28">
        <f>IF(AND(L10=0,L27&gt;=0), "",L27/L10)</f>
        <v>0.1</v>
      </c>
      <c r="N27" s="39"/>
      <c r="O27" s="82">
        <f>+'N EERR'!E31</f>
        <v>0</v>
      </c>
      <c r="P27" s="28" t="str">
        <f>IF(AND(O10=0,O27&gt;=0), "",O27/O10)</f>
        <v/>
      </c>
      <c r="Q27" s="39"/>
      <c r="R27" s="28" t="str">
        <f t="shared" si="1"/>
        <v/>
      </c>
      <c r="S27" s="83">
        <f>+L27+O27</f>
        <v>20</v>
      </c>
      <c r="T27" s="28">
        <f>IF(AND(S10=0,S27&gt;=0), "",S27/S10)</f>
        <v>0.1</v>
      </c>
      <c r="U27" s="39"/>
      <c r="V27" s="84"/>
      <c r="W27" s="28" t="str">
        <f>IF(AND(V10=0,V27&gt;=0), "",V27/V10)</f>
        <v/>
      </c>
      <c r="X27" s="42">
        <f t="shared" si="2"/>
        <v>1</v>
      </c>
      <c r="Y27" s="82">
        <f>+'N EERR'!F31</f>
        <v>0</v>
      </c>
      <c r="Z27" s="28" t="str">
        <f>IF(AND(Y10=0,Y27&gt;=0), "",Y27/Y10)</f>
        <v/>
      </c>
      <c r="AA27" s="39"/>
      <c r="AB27" s="28" t="str">
        <f t="shared" si="3"/>
        <v/>
      </c>
      <c r="AC27" s="83">
        <f>+S27+Y27</f>
        <v>20</v>
      </c>
      <c r="AD27" s="28">
        <f>IF(AND(AC10=0,AC27&gt;=0), "",AC27/AC10)</f>
        <v>0.1</v>
      </c>
      <c r="AE27" s="39"/>
      <c r="AF27" s="82">
        <f>+'N EERR'!G31</f>
        <v>0</v>
      </c>
      <c r="AG27" s="28" t="str">
        <f>IF(AND(AF10=0,AF27&gt;=0), "",AF27/AF10)</f>
        <v/>
      </c>
      <c r="AH27" s="39"/>
      <c r="AI27" s="28" t="str">
        <f t="shared" si="4"/>
        <v/>
      </c>
      <c r="AJ27" s="83">
        <f t="shared" si="16"/>
        <v>20</v>
      </c>
      <c r="AK27" s="28">
        <f>IF(AND(AJ10=0,AJ27&gt;=0), "",AJ27/AJ10)</f>
        <v>0.1</v>
      </c>
      <c r="AL27" s="39"/>
      <c r="AM27" s="82">
        <f>+'N EERR'!H31</f>
        <v>0</v>
      </c>
      <c r="AN27" s="28" t="str">
        <f>IF(AND(AM10=0,AM27&gt;=0), "",AM27/AM10)</f>
        <v/>
      </c>
      <c r="AO27" s="39"/>
      <c r="AP27" s="28" t="str">
        <f t="shared" si="5"/>
        <v/>
      </c>
      <c r="AQ27" s="83">
        <f t="shared" si="17"/>
        <v>20</v>
      </c>
      <c r="AR27" s="28">
        <f>IF(AND(AQ10=0,AQ27&gt;=0), "",AQ27/AQ10)</f>
        <v>0.1</v>
      </c>
      <c r="AS27" s="39"/>
      <c r="AT27" s="84">
        <f>+V27*2</f>
        <v>0</v>
      </c>
      <c r="AU27" s="28" t="str">
        <f>IF(AND(AT10=0,AT27&gt;=0), "",AT27/AT10)</f>
        <v/>
      </c>
      <c r="AV27" s="42">
        <f t="shared" si="6"/>
        <v>1</v>
      </c>
      <c r="AW27" s="84">
        <f>+AQ27/6</f>
        <v>3.3333333333333335</v>
      </c>
      <c r="AX27" s="28">
        <f>IF(AND(AW10=0,AW27&gt;=0), "",AW27/AW10)</f>
        <v>9.9999999999999992E-2</v>
      </c>
      <c r="AY27" s="39"/>
      <c r="AZ27" s="84">
        <f>+AT27/6</f>
        <v>0</v>
      </c>
      <c r="BA27" s="28" t="str">
        <f>IF(AND(AZ10=0,AZ27&gt;=0), "",AZ27/AZ10)</f>
        <v/>
      </c>
      <c r="BB27" s="42">
        <f t="shared" si="7"/>
        <v>1</v>
      </c>
      <c r="BC27" s="82">
        <f>+'N EERR'!I31</f>
        <v>0</v>
      </c>
      <c r="BD27" s="28" t="str">
        <f>IF(AND(BC10=0,BC27&gt;=0), "",BC27/BC10)</f>
        <v/>
      </c>
      <c r="BE27" s="39"/>
      <c r="BF27" s="28" t="str">
        <f t="shared" si="8"/>
        <v/>
      </c>
      <c r="BG27" s="83">
        <f>+AQ27+BC27</f>
        <v>20</v>
      </c>
      <c r="BH27" s="28">
        <f>IF(AND(BG10=0,BG27&gt;=0), "",BG27/BG10)</f>
        <v>0.1</v>
      </c>
      <c r="BI27" s="39"/>
      <c r="BJ27" s="82">
        <f>+'N EERR'!J31</f>
        <v>0</v>
      </c>
      <c r="BK27" s="28" t="str">
        <f>IF(AND(BJ10=0,BJ27&gt;=0), "",BJ27/BJ10)</f>
        <v/>
      </c>
      <c r="BL27" s="39"/>
      <c r="BM27" s="28" t="str">
        <f t="shared" si="9"/>
        <v/>
      </c>
      <c r="BN27" s="83">
        <f>+BG27+BJ27</f>
        <v>20</v>
      </c>
      <c r="BO27" s="28">
        <f>IF(AND(BN10=0,BN27&gt;=0), "",BN27/BN10)</f>
        <v>0.1</v>
      </c>
      <c r="BP27" s="39"/>
      <c r="BQ27" s="82">
        <f>+'N EERR'!K31</f>
        <v>0</v>
      </c>
      <c r="BR27" s="28" t="str">
        <f>IF(AND(BQ10=0,BQ27&gt;=0), "",BQ27/BQ10)</f>
        <v/>
      </c>
      <c r="BS27" s="39"/>
      <c r="BT27" s="28" t="str">
        <f t="shared" si="10"/>
        <v/>
      </c>
      <c r="BU27" s="83">
        <f>+BN27+BQ27</f>
        <v>20</v>
      </c>
      <c r="BV27" s="28">
        <f>IF(AND(BU10=0,BU27&gt;=0), "",BU27/BU10)</f>
        <v>0.1</v>
      </c>
      <c r="BW27" s="39"/>
      <c r="BX27" s="84">
        <f>+AZ27*9</f>
        <v>0</v>
      </c>
      <c r="BY27" s="28" t="str">
        <f>IF(AND(BX10=0,BX27&gt;=0), "",BX27/BX10)</f>
        <v/>
      </c>
      <c r="BZ27" s="42">
        <f t="shared" si="11"/>
        <v>1</v>
      </c>
      <c r="CA27" s="82">
        <f>+'N EERR'!L31</f>
        <v>0</v>
      </c>
      <c r="CB27" s="28" t="str">
        <f>IF(AND(CA10=0,CA27&gt;=0), "",CA27/CA10)</f>
        <v/>
      </c>
      <c r="CC27" s="39"/>
      <c r="CD27" s="28" t="str">
        <f t="shared" si="12"/>
        <v/>
      </c>
      <c r="CE27" s="83">
        <f>+BU27+CA27</f>
        <v>20</v>
      </c>
      <c r="CF27" s="28">
        <f>IF(AND(CE10=0,CE27&gt;=0), "",CE27/CE10)</f>
        <v>0.1</v>
      </c>
      <c r="CG27" s="39"/>
      <c r="CH27" s="82">
        <f>+'N EERR'!M31</f>
        <v>0</v>
      </c>
      <c r="CI27" s="28" t="str">
        <f>IF(AND(CH10=0,CH27&gt;=0), "",CH27/CH10)</f>
        <v/>
      </c>
      <c r="CJ27" s="39"/>
      <c r="CK27" s="28" t="str">
        <f t="shared" si="13"/>
        <v/>
      </c>
      <c r="CL27" s="83">
        <f>+CE27+CH27</f>
        <v>20</v>
      </c>
      <c r="CM27" s="28">
        <f>IF(AND(CL10=0,CL27&gt;=0), "",CL27/CL10)</f>
        <v>0.1</v>
      </c>
      <c r="CN27" s="39"/>
      <c r="CO27" s="82">
        <f>+'N EERR'!N31</f>
        <v>0</v>
      </c>
      <c r="CP27" s="28" t="str">
        <f>IF(AND(CO10=0,CO27&gt;=0), "",CO27/CO10)</f>
        <v/>
      </c>
      <c r="CQ27" s="39"/>
      <c r="CR27" s="28" t="str">
        <f t="shared" si="14"/>
        <v/>
      </c>
      <c r="CS27" s="83">
        <f>+CL27+CO27</f>
        <v>20</v>
      </c>
      <c r="CT27" s="28">
        <f>IF(AND(CS10=0,CS27&gt;=0), "",CS27/CS10)</f>
        <v>0.1</v>
      </c>
      <c r="CU27" s="39"/>
      <c r="CV27" s="84">
        <f>+AZ27*12</f>
        <v>0</v>
      </c>
      <c r="CW27" s="28" t="str">
        <f>IF(AND(CV10=0,CV27&gt;=0), "",CV27/CV10)</f>
        <v/>
      </c>
      <c r="CX27" s="42">
        <f t="shared" si="15"/>
        <v>1</v>
      </c>
    </row>
    <row r="28" spans="1:102" hidden="1" outlineLevel="1" x14ac:dyDescent="0.25">
      <c r="A28" s="27"/>
      <c r="B28" s="82"/>
      <c r="C28" s="28"/>
      <c r="D28" s="39"/>
      <c r="E28" s="82"/>
      <c r="F28" s="28"/>
      <c r="G28" s="39"/>
      <c r="H28" s="82"/>
      <c r="I28" s="28"/>
      <c r="J28" s="39"/>
      <c r="K28" s="29" t="str">
        <f t="shared" si="0"/>
        <v/>
      </c>
      <c r="M28" s="28"/>
      <c r="N28" s="39"/>
      <c r="O28" s="82"/>
      <c r="P28" s="28"/>
      <c r="Q28" s="39"/>
      <c r="R28" s="29" t="str">
        <f t="shared" si="1"/>
        <v/>
      </c>
      <c r="T28" s="28"/>
      <c r="U28" s="39"/>
      <c r="V28" s="84"/>
      <c r="W28" s="28"/>
      <c r="X28" s="52" t="str">
        <f t="shared" si="2"/>
        <v/>
      </c>
      <c r="Y28" s="82"/>
      <c r="Z28" s="28"/>
      <c r="AA28" s="39"/>
      <c r="AB28" s="29" t="str">
        <f t="shared" si="3"/>
        <v/>
      </c>
      <c r="AD28" s="28"/>
      <c r="AE28" s="39"/>
      <c r="AF28" s="82"/>
      <c r="AG28" s="28"/>
      <c r="AH28" s="39"/>
      <c r="AI28" s="29" t="str">
        <f t="shared" si="4"/>
        <v/>
      </c>
      <c r="AJ28" s="83">
        <f t="shared" si="16"/>
        <v>0</v>
      </c>
      <c r="AK28" s="28"/>
      <c r="AL28" s="39"/>
      <c r="AM28" s="82"/>
      <c r="AN28" s="28"/>
      <c r="AO28" s="39"/>
      <c r="AP28" s="29" t="str">
        <f t="shared" si="5"/>
        <v/>
      </c>
      <c r="AQ28" s="83">
        <f t="shared" si="17"/>
        <v>0</v>
      </c>
      <c r="AR28" s="28"/>
      <c r="AS28" s="39"/>
      <c r="AT28" s="84">
        <f>+V28*2</f>
        <v>0</v>
      </c>
      <c r="AU28" s="28"/>
      <c r="AV28" s="52" t="str">
        <f t="shared" si="6"/>
        <v/>
      </c>
      <c r="AW28" s="84">
        <f>+AQ28/6</f>
        <v>0</v>
      </c>
      <c r="AX28" s="28"/>
      <c r="AY28" s="39"/>
      <c r="AZ28" s="84">
        <f>+AT28/6</f>
        <v>0</v>
      </c>
      <c r="BA28" s="28"/>
      <c r="BB28" s="52" t="str">
        <f t="shared" si="7"/>
        <v/>
      </c>
      <c r="BC28" s="82"/>
      <c r="BD28" s="28"/>
      <c r="BE28" s="39"/>
      <c r="BF28" s="29" t="str">
        <f t="shared" si="8"/>
        <v/>
      </c>
      <c r="BG28" s="83">
        <f>+AQ28+BC28</f>
        <v>0</v>
      </c>
      <c r="BH28" s="28"/>
      <c r="BI28" s="39"/>
      <c r="BJ28" s="82"/>
      <c r="BK28" s="28"/>
      <c r="BL28" s="39"/>
      <c r="BM28" s="29" t="str">
        <f t="shared" si="9"/>
        <v/>
      </c>
      <c r="BN28" s="83">
        <f>+BG28+BJ28</f>
        <v>0</v>
      </c>
      <c r="BO28" s="28"/>
      <c r="BP28" s="39"/>
      <c r="BQ28" s="82"/>
      <c r="BR28" s="28"/>
      <c r="BS28" s="39"/>
      <c r="BT28" s="29" t="str">
        <f t="shared" si="10"/>
        <v/>
      </c>
      <c r="BU28" s="83">
        <f>+BN28+BQ28</f>
        <v>0</v>
      </c>
      <c r="BV28" s="28"/>
      <c r="BW28" s="39"/>
      <c r="BX28" s="84">
        <f>+AZ28*9</f>
        <v>0</v>
      </c>
      <c r="BY28" s="28"/>
      <c r="BZ28" s="52" t="str">
        <f t="shared" si="11"/>
        <v/>
      </c>
      <c r="CA28" s="82"/>
      <c r="CB28" s="28"/>
      <c r="CC28" s="39"/>
      <c r="CD28" s="29" t="str">
        <f t="shared" si="12"/>
        <v/>
      </c>
      <c r="CF28" s="28"/>
      <c r="CG28" s="39"/>
      <c r="CH28" s="82"/>
      <c r="CI28" s="28"/>
      <c r="CJ28" s="39"/>
      <c r="CK28" s="29" t="str">
        <f t="shared" si="13"/>
        <v/>
      </c>
      <c r="CL28" s="83">
        <f>+CE28+CH28</f>
        <v>0</v>
      </c>
      <c r="CM28" s="28"/>
      <c r="CN28" s="39"/>
      <c r="CO28" s="82"/>
      <c r="CP28" s="28"/>
      <c r="CQ28" s="39"/>
      <c r="CR28" s="29" t="str">
        <f t="shared" si="14"/>
        <v/>
      </c>
      <c r="CS28" s="83">
        <f>+CL28+CO28</f>
        <v>0</v>
      </c>
      <c r="CT28" s="28"/>
      <c r="CU28" s="39"/>
      <c r="CV28" s="84">
        <f>+AZ28*12</f>
        <v>0</v>
      </c>
      <c r="CW28" s="28"/>
      <c r="CX28" s="52" t="str">
        <f t="shared" si="15"/>
        <v/>
      </c>
    </row>
    <row r="29" spans="1:102" s="6" customFormat="1" hidden="1" outlineLevel="1" x14ac:dyDescent="0.25">
      <c r="A29" s="34" t="s">
        <v>54</v>
      </c>
      <c r="B29" s="79">
        <f>SUM(B30:B31)</f>
        <v>0</v>
      </c>
      <c r="C29" s="35" t="str">
        <f>IF(AND(B15=0,B29&gt;=0), "",B29/B15)</f>
        <v/>
      </c>
      <c r="D29" s="38"/>
      <c r="E29" s="79">
        <f>SUM(E30:E31)</f>
        <v>30</v>
      </c>
      <c r="F29" s="35">
        <f>IF(AND(E15=0,E29&gt;=0), "",E29/E15)</f>
        <v>0.6</v>
      </c>
      <c r="G29" s="38"/>
      <c r="H29" s="79">
        <f>SUM(H30:H31)</f>
        <v>0</v>
      </c>
      <c r="I29" s="35" t="str">
        <f>IF(AND(H15=0,H29&gt;=0), "",H29/H15)</f>
        <v/>
      </c>
      <c r="J29" s="38"/>
      <c r="K29" s="35">
        <f t="shared" si="0"/>
        <v>-1</v>
      </c>
      <c r="L29" s="80">
        <f>SUM(L30:L31)</f>
        <v>30</v>
      </c>
      <c r="M29" s="35">
        <f>IF(AND(L15=0,L29&gt;=0), "",L29/L15)</f>
        <v>0.6</v>
      </c>
      <c r="N29" s="38"/>
      <c r="O29" s="79">
        <f>SUM(O30:O31)</f>
        <v>0</v>
      </c>
      <c r="P29" s="35" t="str">
        <f>IF(AND(O15=0,O29&gt;=0), "",O29/O15)</f>
        <v/>
      </c>
      <c r="Q29" s="38"/>
      <c r="R29" s="35" t="str">
        <f t="shared" si="1"/>
        <v/>
      </c>
      <c r="S29" s="80">
        <f>SUM(S30:S31)</f>
        <v>30</v>
      </c>
      <c r="T29" s="35">
        <f>IF(AND(S15=0,S29&gt;=0), "",S29/S15)</f>
        <v>0.6</v>
      </c>
      <c r="U29" s="38"/>
      <c r="V29" s="81">
        <f>SUM(V30:V31)</f>
        <v>0</v>
      </c>
      <c r="W29" s="35" t="str">
        <f>IF(AND(V15=0,V29&gt;=0), "",V29/V15)</f>
        <v/>
      </c>
      <c r="X29" s="51">
        <f t="shared" si="2"/>
        <v>1</v>
      </c>
      <c r="Y29" s="79">
        <f>SUM(Y30:Y31)</f>
        <v>0</v>
      </c>
      <c r="Z29" s="35" t="str">
        <f>IF(AND(Y15=0,Y29&gt;=0), "",Y29/Y15)</f>
        <v/>
      </c>
      <c r="AA29" s="38"/>
      <c r="AB29" s="35" t="str">
        <f t="shared" si="3"/>
        <v/>
      </c>
      <c r="AC29" s="80">
        <f>SUM(AC30:AC31)</f>
        <v>30</v>
      </c>
      <c r="AD29" s="35">
        <f>IF(AND(AC15=0,AC29&gt;=0), "",AC29/AC15)</f>
        <v>0.6</v>
      </c>
      <c r="AE29" s="38"/>
      <c r="AF29" s="79">
        <f>SUM(AF30:AF31)</f>
        <v>0</v>
      </c>
      <c r="AG29" s="35" t="str">
        <f>IF(AND(AF15=0,AF29&gt;=0), "",AF29/AF15)</f>
        <v/>
      </c>
      <c r="AH29" s="38"/>
      <c r="AI29" s="35" t="str">
        <f t="shared" si="4"/>
        <v/>
      </c>
      <c r="AJ29" s="80">
        <f>SUM(AJ30:AJ31)</f>
        <v>30</v>
      </c>
      <c r="AK29" s="35">
        <f>IF(AND(AJ15=0,AJ29&gt;=0), "",AJ29/AJ15)</f>
        <v>0.6</v>
      </c>
      <c r="AL29" s="38"/>
      <c r="AM29" s="79">
        <f>SUM(AM30:AM31)</f>
        <v>0</v>
      </c>
      <c r="AN29" s="35" t="str">
        <f>IF(AND(AM15=0,AM29&gt;=0), "",AM29/AM15)</f>
        <v/>
      </c>
      <c r="AO29" s="38"/>
      <c r="AP29" s="35" t="str">
        <f t="shared" si="5"/>
        <v/>
      </c>
      <c r="AQ29" s="80">
        <f>SUM(AQ30:AQ31)</f>
        <v>30</v>
      </c>
      <c r="AR29" s="35">
        <f>IF(AND(AQ15=0,AQ29&gt;=0), "",AQ29/AQ15)</f>
        <v>0.6</v>
      </c>
      <c r="AS29" s="38"/>
      <c r="AT29" s="81">
        <f>SUM(AT30:AT31)</f>
        <v>0</v>
      </c>
      <c r="AU29" s="35" t="str">
        <f>IF(AND(AT15=0,AT29&gt;=0), "",AT29/AT15)</f>
        <v/>
      </c>
      <c r="AV29" s="51">
        <f t="shared" si="6"/>
        <v>1</v>
      </c>
      <c r="AW29" s="81">
        <f>SUM(AW30:AW31)</f>
        <v>5</v>
      </c>
      <c r="AX29" s="35">
        <f>IF(AND(AW15=0,AW29&gt;=0), "",AW29/AW15)</f>
        <v>0.6</v>
      </c>
      <c r="AY29" s="38"/>
      <c r="AZ29" s="81">
        <f>SUM(AZ30:AZ31)</f>
        <v>0</v>
      </c>
      <c r="BA29" s="35" t="str">
        <f>IF(AND(AZ15=0,AZ29&gt;=0), "",AZ29/AZ15)</f>
        <v/>
      </c>
      <c r="BB29" s="51">
        <f t="shared" si="7"/>
        <v>1</v>
      </c>
      <c r="BC29" s="79">
        <f>SUM(BC30:BC31)</f>
        <v>0</v>
      </c>
      <c r="BD29" s="35" t="str">
        <f>IF(AND(BC15=0,BC29&gt;=0), "",BC29/BC15)</f>
        <v/>
      </c>
      <c r="BE29" s="38"/>
      <c r="BF29" s="35" t="str">
        <f t="shared" si="8"/>
        <v/>
      </c>
      <c r="BG29" s="80">
        <f>SUM(BG30:BG31)</f>
        <v>30</v>
      </c>
      <c r="BH29" s="35">
        <f>IF(AND(BG15=0,BG29&gt;=0), "",BG29/BG15)</f>
        <v>0.6</v>
      </c>
      <c r="BI29" s="38"/>
      <c r="BJ29" s="79">
        <f>SUM(BJ30:BJ31)</f>
        <v>0</v>
      </c>
      <c r="BK29" s="35" t="str">
        <f>IF(AND(BJ15=0,BJ29&gt;=0), "",BJ29/BJ15)</f>
        <v/>
      </c>
      <c r="BL29" s="38"/>
      <c r="BM29" s="35" t="str">
        <f t="shared" si="9"/>
        <v/>
      </c>
      <c r="BN29" s="80">
        <f>SUM(BN30:BN31)</f>
        <v>30</v>
      </c>
      <c r="BO29" s="35">
        <f>IF(AND(BN15=0,BN29&gt;=0), "",BN29/BN15)</f>
        <v>0.6</v>
      </c>
      <c r="BP29" s="38"/>
      <c r="BQ29" s="79">
        <f>SUM(BQ30:BQ31)</f>
        <v>0</v>
      </c>
      <c r="BR29" s="35" t="str">
        <f>IF(AND(BQ15=0,BQ29&gt;=0), "",BQ29/BQ15)</f>
        <v/>
      </c>
      <c r="BS29" s="38"/>
      <c r="BT29" s="35" t="str">
        <f t="shared" si="10"/>
        <v/>
      </c>
      <c r="BU29" s="80">
        <f>SUM(BU30:BU31)</f>
        <v>30</v>
      </c>
      <c r="BV29" s="35">
        <f>IF(AND(BU15=0,BU29&gt;=0), "",BU29/BU15)</f>
        <v>0.6</v>
      </c>
      <c r="BW29" s="38"/>
      <c r="BX29" s="81">
        <f>SUM(BX30:BX31)</f>
        <v>0</v>
      </c>
      <c r="BY29" s="35" t="str">
        <f>IF(AND(BX15=0,BX29&gt;=0), "",BX29/BX15)</f>
        <v/>
      </c>
      <c r="BZ29" s="51">
        <f t="shared" si="11"/>
        <v>1</v>
      </c>
      <c r="CA29" s="79">
        <f>SUM(CA30:CA31)</f>
        <v>0</v>
      </c>
      <c r="CB29" s="35" t="str">
        <f>IF(AND(CA15=0,CA29&gt;=0), "",CA29/CA15)</f>
        <v/>
      </c>
      <c r="CC29" s="38"/>
      <c r="CD29" s="35" t="str">
        <f t="shared" si="12"/>
        <v/>
      </c>
      <c r="CE29" s="80">
        <f>SUM(CE30:CE31)</f>
        <v>30</v>
      </c>
      <c r="CF29" s="35">
        <f>IF(AND(CE15=0,CE29&gt;=0), "",CE29/CE15)</f>
        <v>0.6</v>
      </c>
      <c r="CG29" s="38"/>
      <c r="CH29" s="79">
        <f>SUM(CH30:CH31)</f>
        <v>0</v>
      </c>
      <c r="CI29" s="35" t="str">
        <f>IF(AND(CH15=0,CH29&gt;=0), "",CH29/CH15)</f>
        <v/>
      </c>
      <c r="CJ29" s="38"/>
      <c r="CK29" s="35" t="str">
        <f t="shared" si="13"/>
        <v/>
      </c>
      <c r="CL29" s="80">
        <f>SUM(CL30:CL31)</f>
        <v>30</v>
      </c>
      <c r="CM29" s="35">
        <f>IF(AND(CL15=0,CL29&gt;=0), "",CL29/CL15)</f>
        <v>0.6</v>
      </c>
      <c r="CN29" s="38"/>
      <c r="CO29" s="79">
        <f>SUM(CO30:CO31)</f>
        <v>0</v>
      </c>
      <c r="CP29" s="35" t="str">
        <f>IF(AND(CO15=0,CO29&gt;=0), "",CO29/CO15)</f>
        <v/>
      </c>
      <c r="CQ29" s="38"/>
      <c r="CR29" s="35" t="str">
        <f t="shared" si="14"/>
        <v/>
      </c>
      <c r="CS29" s="80">
        <f>SUM(CS30:CS31)</f>
        <v>30</v>
      </c>
      <c r="CT29" s="35">
        <f>IF(AND(CS15=0,CS29&gt;=0), "",CS29/CS15)</f>
        <v>0.6</v>
      </c>
      <c r="CU29" s="38"/>
      <c r="CV29" s="81">
        <f>SUM(CV30:CV31)</f>
        <v>0</v>
      </c>
      <c r="CW29" s="35" t="str">
        <f>IF(AND(CV15=0,CV29&gt;=0), "",CV29/CV15)</f>
        <v/>
      </c>
      <c r="CX29" s="51">
        <f t="shared" si="15"/>
        <v>1</v>
      </c>
    </row>
    <row r="30" spans="1:102" hidden="1" outlineLevel="1" x14ac:dyDescent="0.25">
      <c r="A30" s="27" t="s">
        <v>55</v>
      </c>
      <c r="B30" s="82">
        <f>+'N EERR'!B32</f>
        <v>0</v>
      </c>
      <c r="C30" s="28" t="str">
        <f>IF(AND(B15=0,B30&gt;=0), "",B30/B15)</f>
        <v/>
      </c>
      <c r="D30" s="39"/>
      <c r="E30" s="82">
        <f>+'N EERR'!C32</f>
        <v>30</v>
      </c>
      <c r="F30" s="28">
        <f>IF(AND(E15=0,E30&gt;=0), "",E30/E15)</f>
        <v>0.6</v>
      </c>
      <c r="G30" s="39"/>
      <c r="H30" s="82">
        <f>+'N EERR'!D32</f>
        <v>0</v>
      </c>
      <c r="I30" s="28" t="str">
        <f>IF(AND(H15=0,H30&gt;=0), "",H30/H15)</f>
        <v/>
      </c>
      <c r="J30" s="39"/>
      <c r="K30" s="28">
        <f t="shared" si="0"/>
        <v>-1</v>
      </c>
      <c r="L30" s="83">
        <f>+E30+H30</f>
        <v>30</v>
      </c>
      <c r="M30" s="28">
        <f>IF(AND(L15=0,L30&gt;=0), "",L30/L15)</f>
        <v>0.6</v>
      </c>
      <c r="N30" s="39"/>
      <c r="O30" s="82">
        <f>+'N EERR'!E32</f>
        <v>0</v>
      </c>
      <c r="P30" s="28" t="str">
        <f>IF(AND(O15=0,O30&gt;=0), "",O30/O15)</f>
        <v/>
      </c>
      <c r="Q30" s="39"/>
      <c r="R30" s="28" t="str">
        <f t="shared" si="1"/>
        <v/>
      </c>
      <c r="S30" s="83">
        <f>+L30+O30</f>
        <v>30</v>
      </c>
      <c r="T30" s="28">
        <f>IF(AND(S15=0,S30&gt;=0), "",S30/S15)</f>
        <v>0.6</v>
      </c>
      <c r="U30" s="39"/>
      <c r="V30" s="84"/>
      <c r="W30" s="28" t="str">
        <f>IF(AND(V15=0,V30&gt;=0), "",V30/V15)</f>
        <v/>
      </c>
      <c r="X30" s="42">
        <f t="shared" si="2"/>
        <v>1</v>
      </c>
      <c r="Y30" s="82">
        <f>+'N EERR'!F32</f>
        <v>0</v>
      </c>
      <c r="Z30" s="28" t="str">
        <f>IF(AND(Y15=0,Y30&gt;=0), "",Y30/Y15)</f>
        <v/>
      </c>
      <c r="AA30" s="39"/>
      <c r="AB30" s="28" t="str">
        <f t="shared" si="3"/>
        <v/>
      </c>
      <c r="AC30" s="83">
        <f>+S30+Y30</f>
        <v>30</v>
      </c>
      <c r="AD30" s="28">
        <f>IF(AND(AC15=0,AC30&gt;=0), "",AC30/AC15)</f>
        <v>0.6</v>
      </c>
      <c r="AE30" s="39"/>
      <c r="AF30" s="82">
        <f>+'N EERR'!G32</f>
        <v>0</v>
      </c>
      <c r="AG30" s="28" t="str">
        <f>IF(AND(AF15=0,AF30&gt;=0), "",AF30/AF15)</f>
        <v/>
      </c>
      <c r="AH30" s="39"/>
      <c r="AI30" s="28" t="str">
        <f t="shared" si="4"/>
        <v/>
      </c>
      <c r="AJ30" s="83">
        <f t="shared" si="16"/>
        <v>30</v>
      </c>
      <c r="AK30" s="28">
        <f>IF(AND(AJ15=0,AJ30&gt;=0), "",AJ30/AJ15)</f>
        <v>0.6</v>
      </c>
      <c r="AL30" s="39"/>
      <c r="AM30" s="82">
        <f>+'N EERR'!H32</f>
        <v>0</v>
      </c>
      <c r="AN30" s="28" t="str">
        <f>IF(AND(AM15=0,AM30&gt;=0), "",AM30/AM15)</f>
        <v/>
      </c>
      <c r="AO30" s="39"/>
      <c r="AP30" s="28" t="str">
        <f t="shared" si="5"/>
        <v/>
      </c>
      <c r="AQ30" s="83">
        <f t="shared" si="17"/>
        <v>30</v>
      </c>
      <c r="AR30" s="28">
        <f>IF(AND(AQ15=0,AQ30&gt;=0), "",AQ30/AQ15)</f>
        <v>0.6</v>
      </c>
      <c r="AS30" s="39"/>
      <c r="AT30" s="84">
        <f>+V30*2</f>
        <v>0</v>
      </c>
      <c r="AU30" s="28" t="str">
        <f>IF(AND(AT15=0,AT30&gt;=0), "",AT30/AT15)</f>
        <v/>
      </c>
      <c r="AV30" s="42">
        <f t="shared" si="6"/>
        <v>1</v>
      </c>
      <c r="AW30" s="84">
        <f>+AQ30/6</f>
        <v>5</v>
      </c>
      <c r="AX30" s="28">
        <f>IF(AND(AW15=0,AW30&gt;=0), "",AW30/AW15)</f>
        <v>0.6</v>
      </c>
      <c r="AY30" s="39"/>
      <c r="AZ30" s="84">
        <f>+AT30/6</f>
        <v>0</v>
      </c>
      <c r="BA30" s="28" t="str">
        <f>IF(AND(AZ15=0,AZ30&gt;=0), "",AZ30/AZ15)</f>
        <v/>
      </c>
      <c r="BB30" s="42">
        <f t="shared" si="7"/>
        <v>1</v>
      </c>
      <c r="BC30" s="82">
        <f>+'N EERR'!I32</f>
        <v>0</v>
      </c>
      <c r="BD30" s="28" t="str">
        <f>IF(AND(BC15=0,BC30&gt;=0), "",BC30/BC15)</f>
        <v/>
      </c>
      <c r="BE30" s="39"/>
      <c r="BF30" s="28" t="str">
        <f t="shared" si="8"/>
        <v/>
      </c>
      <c r="BG30" s="83">
        <f>+AQ30+BC30</f>
        <v>30</v>
      </c>
      <c r="BH30" s="28">
        <f>IF(AND(BG15=0,BG30&gt;=0), "",BG30/BG15)</f>
        <v>0.6</v>
      </c>
      <c r="BI30" s="39"/>
      <c r="BJ30" s="82">
        <f>+'N EERR'!J32</f>
        <v>0</v>
      </c>
      <c r="BK30" s="28" t="str">
        <f>IF(AND(BJ15=0,BJ30&gt;=0), "",BJ30/BJ15)</f>
        <v/>
      </c>
      <c r="BL30" s="39"/>
      <c r="BM30" s="28" t="str">
        <f t="shared" si="9"/>
        <v/>
      </c>
      <c r="BN30" s="83">
        <f>+BG30+BJ30</f>
        <v>30</v>
      </c>
      <c r="BO30" s="28">
        <f>IF(AND(BN15=0,BN30&gt;=0), "",BN30/BN15)</f>
        <v>0.6</v>
      </c>
      <c r="BP30" s="39"/>
      <c r="BQ30" s="82">
        <f>+'N EERR'!K32</f>
        <v>0</v>
      </c>
      <c r="BR30" s="28" t="str">
        <f>IF(AND(BQ15=0,BQ30&gt;=0), "",BQ30/BQ15)</f>
        <v/>
      </c>
      <c r="BS30" s="39"/>
      <c r="BT30" s="28" t="str">
        <f t="shared" si="10"/>
        <v/>
      </c>
      <c r="BU30" s="83">
        <f>+BN30+BQ30</f>
        <v>30</v>
      </c>
      <c r="BV30" s="28">
        <f>IF(AND(BU15=0,BU30&gt;=0), "",BU30/BU15)</f>
        <v>0.6</v>
      </c>
      <c r="BW30" s="39"/>
      <c r="BX30" s="84">
        <f>+AZ30*9</f>
        <v>0</v>
      </c>
      <c r="BY30" s="28" t="str">
        <f>IF(AND(BX15=0,BX30&gt;=0), "",BX30/BX15)</f>
        <v/>
      </c>
      <c r="BZ30" s="42">
        <f t="shared" si="11"/>
        <v>1</v>
      </c>
      <c r="CA30" s="82">
        <f>+'N EERR'!L32</f>
        <v>0</v>
      </c>
      <c r="CB30" s="28" t="str">
        <f>IF(AND(CA15=0,CA30&gt;=0), "",CA30/CA15)</f>
        <v/>
      </c>
      <c r="CC30" s="39"/>
      <c r="CD30" s="28" t="str">
        <f t="shared" si="12"/>
        <v/>
      </c>
      <c r="CE30" s="83">
        <f>+BU30+CA30</f>
        <v>30</v>
      </c>
      <c r="CF30" s="28">
        <f>IF(AND(CE15=0,CE30&gt;=0), "",CE30/CE15)</f>
        <v>0.6</v>
      </c>
      <c r="CG30" s="39"/>
      <c r="CH30" s="82">
        <f>+'N EERR'!M32</f>
        <v>0</v>
      </c>
      <c r="CI30" s="28" t="str">
        <f>IF(AND(CH15=0,CH30&gt;=0), "",CH30/CH15)</f>
        <v/>
      </c>
      <c r="CJ30" s="39"/>
      <c r="CK30" s="28" t="str">
        <f t="shared" si="13"/>
        <v/>
      </c>
      <c r="CL30" s="83">
        <f>+CE30+CH30</f>
        <v>30</v>
      </c>
      <c r="CM30" s="28">
        <f>IF(AND(CL15=0,CL30&gt;=0), "",CL30/CL15)</f>
        <v>0.6</v>
      </c>
      <c r="CN30" s="39"/>
      <c r="CO30" s="82">
        <f>+'N EERR'!N32</f>
        <v>0</v>
      </c>
      <c r="CP30" s="28" t="str">
        <f>IF(AND(CO15=0,CO30&gt;=0), "",CO30/CO15)</f>
        <v/>
      </c>
      <c r="CQ30" s="39"/>
      <c r="CR30" s="28" t="str">
        <f t="shared" si="14"/>
        <v/>
      </c>
      <c r="CS30" s="83">
        <f>+CL30+CO30</f>
        <v>30</v>
      </c>
      <c r="CT30" s="28">
        <f>IF(AND(CS15=0,CS30&gt;=0), "",CS30/CS15)</f>
        <v>0.6</v>
      </c>
      <c r="CU30" s="39"/>
      <c r="CV30" s="84">
        <f>+AZ30*12</f>
        <v>0</v>
      </c>
      <c r="CW30" s="28" t="str">
        <f>IF(AND(CV15=0,CV30&gt;=0), "",CV30/CV15)</f>
        <v/>
      </c>
      <c r="CX30" s="42">
        <f t="shared" si="15"/>
        <v>1</v>
      </c>
    </row>
    <row r="31" spans="1:102" s="3" customFormat="1" hidden="1" outlineLevel="1" x14ac:dyDescent="0.25">
      <c r="A31" s="27"/>
      <c r="B31" s="85"/>
      <c r="C31" s="28"/>
      <c r="D31" s="39"/>
      <c r="E31" s="85"/>
      <c r="F31" s="28"/>
      <c r="G31" s="39"/>
      <c r="H31" s="85"/>
      <c r="I31" s="28"/>
      <c r="J31" s="39"/>
      <c r="K31" s="15" t="str">
        <f t="shared" si="0"/>
        <v/>
      </c>
      <c r="L31" s="71"/>
      <c r="M31" s="28"/>
      <c r="N31" s="39"/>
      <c r="O31" s="85"/>
      <c r="P31" s="28"/>
      <c r="Q31" s="39"/>
      <c r="R31" s="15" t="str">
        <f t="shared" si="1"/>
        <v/>
      </c>
      <c r="S31" s="71"/>
      <c r="T31" s="28"/>
      <c r="U31" s="39"/>
      <c r="V31" s="86"/>
      <c r="W31" s="28"/>
      <c r="X31" s="41" t="str">
        <f t="shared" si="2"/>
        <v/>
      </c>
      <c r="Y31" s="85"/>
      <c r="Z31" s="28"/>
      <c r="AA31" s="39"/>
      <c r="AB31" s="15" t="str">
        <f t="shared" si="3"/>
        <v/>
      </c>
      <c r="AC31" s="71"/>
      <c r="AD31" s="28"/>
      <c r="AE31" s="39"/>
      <c r="AF31" s="85"/>
      <c r="AG31" s="28"/>
      <c r="AH31" s="39"/>
      <c r="AI31" s="15" t="str">
        <f t="shared" si="4"/>
        <v/>
      </c>
      <c r="AJ31" s="71">
        <f t="shared" si="16"/>
        <v>0</v>
      </c>
      <c r="AK31" s="28"/>
      <c r="AL31" s="39"/>
      <c r="AM31" s="85"/>
      <c r="AN31" s="28"/>
      <c r="AO31" s="39"/>
      <c r="AP31" s="15" t="str">
        <f t="shared" si="5"/>
        <v/>
      </c>
      <c r="AQ31" s="71">
        <f t="shared" si="17"/>
        <v>0</v>
      </c>
      <c r="AR31" s="28"/>
      <c r="AS31" s="39"/>
      <c r="AT31" s="84">
        <f>+V31*2</f>
        <v>0</v>
      </c>
      <c r="AU31" s="28"/>
      <c r="AV31" s="41" t="str">
        <f t="shared" si="6"/>
        <v/>
      </c>
      <c r="AW31" s="84">
        <f>+AQ31/6</f>
        <v>0</v>
      </c>
      <c r="AX31" s="28"/>
      <c r="AY31" s="39"/>
      <c r="AZ31" s="84">
        <f>+AT31/6</f>
        <v>0</v>
      </c>
      <c r="BA31" s="28"/>
      <c r="BB31" s="41" t="str">
        <f t="shared" si="7"/>
        <v/>
      </c>
      <c r="BC31" s="85"/>
      <c r="BD31" s="28"/>
      <c r="BE31" s="39"/>
      <c r="BF31" s="15" t="str">
        <f t="shared" si="8"/>
        <v/>
      </c>
      <c r="BG31" s="83">
        <f>+AQ31+BC31</f>
        <v>0</v>
      </c>
      <c r="BH31" s="28"/>
      <c r="BI31" s="39"/>
      <c r="BJ31" s="85"/>
      <c r="BK31" s="28"/>
      <c r="BL31" s="39"/>
      <c r="BM31" s="15" t="str">
        <f t="shared" si="9"/>
        <v/>
      </c>
      <c r="BN31" s="71">
        <f>+BG31+BJ31</f>
        <v>0</v>
      </c>
      <c r="BO31" s="28"/>
      <c r="BP31" s="39"/>
      <c r="BQ31" s="85"/>
      <c r="BR31" s="28"/>
      <c r="BS31" s="39"/>
      <c r="BT31" s="15" t="str">
        <f t="shared" si="10"/>
        <v/>
      </c>
      <c r="BU31" s="71">
        <f>+BN31+BQ31</f>
        <v>0</v>
      </c>
      <c r="BV31" s="28"/>
      <c r="BW31" s="39"/>
      <c r="BX31" s="84">
        <f>+AZ31*9</f>
        <v>0</v>
      </c>
      <c r="BY31" s="28"/>
      <c r="BZ31" s="41" t="str">
        <f t="shared" si="11"/>
        <v/>
      </c>
      <c r="CA31" s="85"/>
      <c r="CB31" s="28"/>
      <c r="CC31" s="39"/>
      <c r="CD31" s="15" t="str">
        <f t="shared" si="12"/>
        <v/>
      </c>
      <c r="CE31" s="71"/>
      <c r="CF31" s="28"/>
      <c r="CG31" s="39"/>
      <c r="CH31" s="85"/>
      <c r="CI31" s="28"/>
      <c r="CJ31" s="39"/>
      <c r="CK31" s="15" t="str">
        <f t="shared" si="13"/>
        <v/>
      </c>
      <c r="CL31" s="71">
        <f>+CE31+CH31</f>
        <v>0</v>
      </c>
      <c r="CM31" s="28"/>
      <c r="CN31" s="39"/>
      <c r="CO31" s="85"/>
      <c r="CP31" s="28"/>
      <c r="CQ31" s="39"/>
      <c r="CR31" s="15" t="str">
        <f t="shared" si="14"/>
        <v/>
      </c>
      <c r="CS31" s="71">
        <f>+CL31+CO31</f>
        <v>0</v>
      </c>
      <c r="CT31" s="28"/>
      <c r="CU31" s="39"/>
      <c r="CV31" s="84">
        <f>+AZ31*12</f>
        <v>0</v>
      </c>
      <c r="CW31" s="28"/>
      <c r="CX31" s="41" t="str">
        <f t="shared" si="15"/>
        <v/>
      </c>
    </row>
    <row r="32" spans="1:102" s="6" customFormat="1" ht="14.45" customHeight="1" collapsed="1" x14ac:dyDescent="0.25">
      <c r="A32" s="2"/>
      <c r="B32" s="87"/>
      <c r="C32" s="5"/>
      <c r="D32" s="40"/>
      <c r="E32" s="87"/>
      <c r="F32" s="5"/>
      <c r="G32" s="40"/>
      <c r="H32" s="87"/>
      <c r="I32" s="5"/>
      <c r="J32" s="40"/>
      <c r="K32" s="30" t="str">
        <f t="shared" si="0"/>
        <v/>
      </c>
      <c r="L32" s="88"/>
      <c r="M32" s="5"/>
      <c r="N32" s="40"/>
      <c r="O32" s="87"/>
      <c r="P32" s="5"/>
      <c r="Q32" s="40"/>
      <c r="R32" s="30"/>
      <c r="S32" s="88"/>
      <c r="T32" s="5"/>
      <c r="U32" s="40"/>
      <c r="V32" s="89"/>
      <c r="W32" s="5"/>
      <c r="X32" s="53" t="str">
        <f t="shared" si="2"/>
        <v/>
      </c>
      <c r="Y32" s="87"/>
      <c r="Z32" s="5"/>
      <c r="AA32" s="40"/>
      <c r="AB32" s="30" t="str">
        <f t="shared" si="3"/>
        <v/>
      </c>
      <c r="AC32" s="88"/>
      <c r="AD32" s="5"/>
      <c r="AE32" s="40"/>
      <c r="AF32" s="87"/>
      <c r="AG32" s="5"/>
      <c r="AH32" s="40"/>
      <c r="AI32" s="30" t="str">
        <f t="shared" si="4"/>
        <v/>
      </c>
      <c r="AJ32" s="88">
        <f t="shared" si="16"/>
        <v>0</v>
      </c>
      <c r="AK32" s="5"/>
      <c r="AL32" s="40"/>
      <c r="AM32" s="87"/>
      <c r="AN32" s="5"/>
      <c r="AO32" s="40"/>
      <c r="AP32" s="30" t="str">
        <f t="shared" si="5"/>
        <v/>
      </c>
      <c r="AQ32" s="88">
        <f t="shared" si="17"/>
        <v>0</v>
      </c>
      <c r="AR32" s="5"/>
      <c r="AS32" s="40"/>
      <c r="AT32" s="89"/>
      <c r="AU32" s="5"/>
      <c r="AV32" s="53" t="str">
        <f t="shared" si="6"/>
        <v/>
      </c>
      <c r="AW32" s="89"/>
      <c r="AX32" s="5"/>
      <c r="AY32" s="40"/>
      <c r="AZ32" s="89"/>
      <c r="BA32" s="5"/>
      <c r="BB32" s="53" t="str">
        <f t="shared" si="7"/>
        <v/>
      </c>
      <c r="BC32" s="87"/>
      <c r="BD32" s="5"/>
      <c r="BE32" s="40"/>
      <c r="BF32" s="30" t="str">
        <f t="shared" si="8"/>
        <v/>
      </c>
      <c r="BG32" s="88">
        <f>+AZ32+BC32</f>
        <v>0</v>
      </c>
      <c r="BH32" s="5"/>
      <c r="BI32" s="40"/>
      <c r="BJ32" s="87"/>
      <c r="BK32" s="5"/>
      <c r="BL32" s="40"/>
      <c r="BM32" s="30" t="str">
        <f t="shared" si="9"/>
        <v/>
      </c>
      <c r="BN32" s="88">
        <f>+BG32+BJ32</f>
        <v>0</v>
      </c>
      <c r="BO32" s="5"/>
      <c r="BP32" s="40"/>
      <c r="BQ32" s="87"/>
      <c r="BR32" s="5"/>
      <c r="BS32" s="40"/>
      <c r="BT32" s="30" t="str">
        <f t="shared" si="10"/>
        <v/>
      </c>
      <c r="BU32" s="88">
        <f>+BN32+BQ32</f>
        <v>0</v>
      </c>
      <c r="BV32" s="5"/>
      <c r="BW32" s="40"/>
      <c r="BX32" s="89"/>
      <c r="BY32" s="5"/>
      <c r="BZ32" s="53" t="str">
        <f t="shared" si="11"/>
        <v/>
      </c>
      <c r="CA32" s="87"/>
      <c r="CB32" s="5"/>
      <c r="CC32" s="40"/>
      <c r="CD32" s="30" t="str">
        <f t="shared" si="12"/>
        <v/>
      </c>
      <c r="CE32" s="88"/>
      <c r="CF32" s="5"/>
      <c r="CG32" s="40"/>
      <c r="CH32" s="87"/>
      <c r="CI32" s="5"/>
      <c r="CJ32" s="40"/>
      <c r="CK32" s="30" t="str">
        <f t="shared" si="13"/>
        <v/>
      </c>
      <c r="CL32" s="88">
        <f>+CE32+CH32</f>
        <v>0</v>
      </c>
      <c r="CM32" s="5"/>
      <c r="CN32" s="40"/>
      <c r="CO32" s="87"/>
      <c r="CP32" s="5"/>
      <c r="CQ32" s="40"/>
      <c r="CR32" s="30" t="str">
        <f t="shared" si="14"/>
        <v/>
      </c>
      <c r="CS32" s="88">
        <f>+CL32+CO32</f>
        <v>0</v>
      </c>
      <c r="CT32" s="5"/>
      <c r="CU32" s="40"/>
      <c r="CV32" s="89"/>
      <c r="CW32" s="5"/>
      <c r="CX32" s="53" t="str">
        <f t="shared" si="15"/>
        <v/>
      </c>
    </row>
    <row r="33" spans="1:105" s="31" customFormat="1" ht="15.75" x14ac:dyDescent="0.25">
      <c r="A33" s="101" t="s">
        <v>58</v>
      </c>
      <c r="B33" s="102">
        <f>+B5+B18-B23</f>
        <v>0</v>
      </c>
      <c r="C33" s="103" t="str">
        <f>IF(AND((B5+B18)=0,B33&lt;=0), "",B33/(B5+B18))</f>
        <v/>
      </c>
      <c r="D33" s="104"/>
      <c r="E33" s="102">
        <f>+E5+E18-E23</f>
        <v>4550</v>
      </c>
      <c r="F33" s="103">
        <f>IF(AND((E5+E18)=0,E33&lt;=0), "",E33/(E5+E18))</f>
        <v>0.33579335793357934</v>
      </c>
      <c r="G33" s="104"/>
      <c r="H33" s="102">
        <f>+H5+H18-H23</f>
        <v>0</v>
      </c>
      <c r="I33" s="103" t="str">
        <f>IF(AND((H5+H18)=0,H33&lt;=0), "",H33/(H5+H18))</f>
        <v/>
      </c>
      <c r="J33" s="104"/>
      <c r="K33" s="103">
        <f t="shared" si="0"/>
        <v>-1</v>
      </c>
      <c r="L33" s="105">
        <f>+L5+L18-L23</f>
        <v>4550</v>
      </c>
      <c r="M33" s="103">
        <f>IF(AND((L5+L18)=0,L33&lt;=0), "",L33/(L5+L18))</f>
        <v>0.33579335793357934</v>
      </c>
      <c r="N33" s="104"/>
      <c r="O33" s="102">
        <f>+O5+O18-O23</f>
        <v>0</v>
      </c>
      <c r="P33" s="103" t="str">
        <f>IF(AND((O5+O18)=0,O33&lt;=0), "",O33/(O5+O18))</f>
        <v/>
      </c>
      <c r="Q33" s="104"/>
      <c r="R33" s="103" t="str">
        <f>IF(AND(H33=0,O33&gt;0),100%,IF(AND(H33&lt;0,O33=0),(H33-O33)/H33,IF(AND(H33&gt;0,O33&gt;0),(O33-H33)/H33,IF(AND(H33=0,O33=0),"",(O33-H33)/H33))))</f>
        <v/>
      </c>
      <c r="S33" s="105">
        <f>+S5+S18-S23</f>
        <v>4550</v>
      </c>
      <c r="T33" s="103">
        <f>IF(AND((S5+S18)=0,S33&lt;=0), "",S33/(S5+S18))</f>
        <v>0.33579335793357934</v>
      </c>
      <c r="U33" s="104"/>
      <c r="V33" s="106">
        <f>+V5+V18-V23</f>
        <v>0</v>
      </c>
      <c r="W33" s="103" t="str">
        <f>IF(AND((V5+V18)=0,V33&lt;=0), "",V33/(V5+V18))</f>
        <v/>
      </c>
      <c r="X33" s="104">
        <f t="shared" si="2"/>
        <v>1</v>
      </c>
      <c r="Y33" s="102">
        <f>+Y5+Y18-Y23</f>
        <v>0</v>
      </c>
      <c r="Z33" s="103" t="str">
        <f>IF(AND((Y5+Y18)=0,Y33&lt;=0), "",Y33/(Y5+Y18))</f>
        <v/>
      </c>
      <c r="AA33" s="104"/>
      <c r="AB33" s="103" t="str">
        <f t="shared" si="3"/>
        <v/>
      </c>
      <c r="AC33" s="105">
        <f>+AC5+AC18-AC23</f>
        <v>4550</v>
      </c>
      <c r="AD33" s="103">
        <f>IF(AND((AC5+AC18)=0,AC33&lt;=0), "",AC33/(AC5+AC18))</f>
        <v>0.33579335793357934</v>
      </c>
      <c r="AE33" s="104"/>
      <c r="AF33" s="102">
        <f>+AF5+AF18-AF23</f>
        <v>0</v>
      </c>
      <c r="AG33" s="103" t="str">
        <f>IF(AND((AF5+AF18)=0,AF33&lt;=0), "",AF33/(AF5+AF18))</f>
        <v/>
      </c>
      <c r="AH33" s="104"/>
      <c r="AI33" s="103" t="str">
        <f t="shared" si="4"/>
        <v/>
      </c>
      <c r="AJ33" s="105">
        <f>+AJ5+AJ18-AJ23</f>
        <v>4550</v>
      </c>
      <c r="AK33" s="103">
        <f>IF(AND((AJ5+AJ18)=0,AJ33&lt;=0), "",AJ33/(AJ5+AJ18))</f>
        <v>0.33579335793357934</v>
      </c>
      <c r="AL33" s="104"/>
      <c r="AM33" s="102">
        <f>+AM5+AM18-AM23</f>
        <v>0</v>
      </c>
      <c r="AN33" s="103" t="str">
        <f>IF(AND((AM5+AM18)=0,AM33&lt;=0), "",AM33/(AM5+AM18))</f>
        <v/>
      </c>
      <c r="AO33" s="104"/>
      <c r="AP33" s="103" t="str">
        <f t="shared" si="5"/>
        <v/>
      </c>
      <c r="AQ33" s="105">
        <f>+AQ5+AQ18-AQ23</f>
        <v>4550</v>
      </c>
      <c r="AR33" s="103">
        <f>IF(AND((AQ5+AQ18)=0,AQ33&lt;=0), "",AQ33/(AQ5+AQ18))</f>
        <v>0.33579335793357934</v>
      </c>
      <c r="AS33" s="104"/>
      <c r="AT33" s="106">
        <f>+AT5+AT18-AT23</f>
        <v>0</v>
      </c>
      <c r="AU33" s="103" t="str">
        <f>IF(AND((AT5+AT18)=0,AT33&lt;=0), "",AT33/(AT5+AT18))</f>
        <v/>
      </c>
      <c r="AV33" s="104">
        <f t="shared" si="6"/>
        <v>1</v>
      </c>
      <c r="AW33" s="106">
        <f>+AW5+AW18-AW23</f>
        <v>758.33333333333348</v>
      </c>
      <c r="AX33" s="103">
        <f>IF(AND((AW5+AW18)=0,AW33&lt;=0), "",AW33/(AW5+AW18))</f>
        <v>0.33579335793357939</v>
      </c>
      <c r="AY33" s="104"/>
      <c r="AZ33" s="106">
        <f>+AZ5+AZ18-AZ23</f>
        <v>0</v>
      </c>
      <c r="BA33" s="103" t="str">
        <f>IF(AND((AZ5+AZ18)=0,AZ33&lt;=0), "",AZ33/(AZ5+AZ18))</f>
        <v/>
      </c>
      <c r="BB33" s="104">
        <f t="shared" si="7"/>
        <v>1</v>
      </c>
      <c r="BC33" s="102">
        <f>+BC5+BC18-BC23</f>
        <v>0</v>
      </c>
      <c r="BD33" s="103" t="str">
        <f>IF(AND((BC5+BC18)=0,BC33&lt;=0), "",BC33/(BC5+BC18))</f>
        <v/>
      </c>
      <c r="BE33" s="104"/>
      <c r="BF33" s="103" t="str">
        <f t="shared" si="8"/>
        <v/>
      </c>
      <c r="BG33" s="105">
        <f>+BG5+BG18-BG23</f>
        <v>4550</v>
      </c>
      <c r="BH33" s="103">
        <f>IF(AND((BG5+BG18)=0,BG33&lt;=0), "",BG33/(BG5+BG18))</f>
        <v>0.33579335793357934</v>
      </c>
      <c r="BI33" s="104"/>
      <c r="BJ33" s="102">
        <f>+BJ5+BJ18-BJ23</f>
        <v>0</v>
      </c>
      <c r="BK33" s="103" t="str">
        <f>IF(AND((BJ5+BJ18)=0,BJ33&lt;=0), "",BJ33/(BJ5+BJ18))</f>
        <v/>
      </c>
      <c r="BL33" s="104"/>
      <c r="BM33" s="103" t="str">
        <f t="shared" si="9"/>
        <v/>
      </c>
      <c r="BN33" s="105">
        <f>+BN5+BN18-BN23</f>
        <v>4550</v>
      </c>
      <c r="BO33" s="103">
        <f>IF(AND((BN5+BN18)=0,BN33&lt;=0), "",BN33/(BN5+BN18))</f>
        <v>0.33579335793357934</v>
      </c>
      <c r="BP33" s="104"/>
      <c r="BQ33" s="102">
        <f>+BQ5+BQ18-BQ23</f>
        <v>0</v>
      </c>
      <c r="BR33" s="103" t="str">
        <f>IF(AND((BQ5+BQ18)=0,BQ33&lt;=0), "",BQ33/(BQ5+BQ18))</f>
        <v/>
      </c>
      <c r="BS33" s="104"/>
      <c r="BT33" s="103" t="str">
        <f t="shared" si="10"/>
        <v/>
      </c>
      <c r="BU33" s="105">
        <f>+BU5+BU18-BU23</f>
        <v>4550</v>
      </c>
      <c r="BV33" s="103">
        <f>IF(AND((BU5+BU18)=0,BU33&lt;=0), "",BU33/(BU5+BU18))</f>
        <v>0.33579335793357934</v>
      </c>
      <c r="BW33" s="104"/>
      <c r="BX33" s="106">
        <f>+BX5+BX18-BX23</f>
        <v>0</v>
      </c>
      <c r="BY33" s="103" t="str">
        <f>IF(AND((BX5+BX18)=0,BX33&lt;=0), "",BX33/(BX5+BX18))</f>
        <v/>
      </c>
      <c r="BZ33" s="104">
        <f t="shared" si="11"/>
        <v>1</v>
      </c>
      <c r="CA33" s="102">
        <f>+CA5+CA18-CA23</f>
        <v>0</v>
      </c>
      <c r="CB33" s="103" t="str">
        <f>IF(AND((CA5+CA18)=0,CA33&lt;=0), "",CA33/(CA5+CA18))</f>
        <v/>
      </c>
      <c r="CC33" s="104"/>
      <c r="CD33" s="103" t="str">
        <f t="shared" si="12"/>
        <v/>
      </c>
      <c r="CE33" s="105">
        <f>+CE5+CE18-CE23</f>
        <v>4550</v>
      </c>
      <c r="CF33" s="103">
        <f>IF(AND((CE5+CE18)=0,CE33&lt;=0), "",CE33/(CE5+CE18))</f>
        <v>0.33579335793357934</v>
      </c>
      <c r="CG33" s="104"/>
      <c r="CH33" s="102">
        <f>+CH5+CH18-CH23</f>
        <v>0</v>
      </c>
      <c r="CI33" s="103" t="str">
        <f>IF(AND((CH5+CH18)=0,CH33&lt;=0), "",CH33/(CH5+CH18))</f>
        <v/>
      </c>
      <c r="CJ33" s="104"/>
      <c r="CK33" s="103" t="str">
        <f t="shared" si="13"/>
        <v/>
      </c>
      <c r="CL33" s="105">
        <f>+CL5+CL18-CL23</f>
        <v>4550</v>
      </c>
      <c r="CM33" s="103">
        <f>IF(AND((CL5+CL18)=0,CL33&lt;=0), "",CL33/(CL5+CL18))</f>
        <v>0.33579335793357934</v>
      </c>
      <c r="CN33" s="104"/>
      <c r="CO33" s="102">
        <f>+CO5+CO18-CO23</f>
        <v>0</v>
      </c>
      <c r="CP33" s="103" t="str">
        <f>IF(AND((CO5+CO18)=0,CO33&lt;=0), "",CO33/(CO5+CO18))</f>
        <v/>
      </c>
      <c r="CQ33" s="104"/>
      <c r="CR33" s="103" t="str">
        <f t="shared" si="14"/>
        <v/>
      </c>
      <c r="CS33" s="105">
        <f>+CS5+CS18-CS23</f>
        <v>4550</v>
      </c>
      <c r="CT33" s="103">
        <f>IF(AND((CS5+CS18)=0,CS33&lt;=0), "",CS33/(CS5+CS18))</f>
        <v>0.33579335793357934</v>
      </c>
      <c r="CU33" s="104"/>
      <c r="CV33" s="106">
        <f>+CV5+CV18-CV23</f>
        <v>0</v>
      </c>
      <c r="CW33" s="103" t="str">
        <f>IF(AND((CV5+CV18)=0,CV33&lt;=0), "",CV33/(CV5+CV18))</f>
        <v/>
      </c>
      <c r="CX33" s="104">
        <f t="shared" si="15"/>
        <v>1</v>
      </c>
    </row>
    <row r="34" spans="1:105" s="31" customFormat="1" ht="15.75" x14ac:dyDescent="0.25">
      <c r="A34" s="101" t="s">
        <v>56</v>
      </c>
      <c r="B34" s="102">
        <f>+B10-B26</f>
        <v>0</v>
      </c>
      <c r="C34" s="103" t="str">
        <f>IF(AND(B10=0,B34&lt;=0), "",B34/B10)</f>
        <v/>
      </c>
      <c r="D34" s="104"/>
      <c r="E34" s="102">
        <f>+E10-E26</f>
        <v>180</v>
      </c>
      <c r="F34" s="103">
        <f>IF(AND(E10=0,E34&lt;=0), "",E34/E10)</f>
        <v>0.9</v>
      </c>
      <c r="G34" s="104"/>
      <c r="H34" s="102">
        <f>+H10-H26</f>
        <v>0</v>
      </c>
      <c r="I34" s="103" t="str">
        <f>IF(AND(H10=0,H34&lt;=0), "",H34/H10)</f>
        <v/>
      </c>
      <c r="J34" s="104"/>
      <c r="K34" s="103">
        <f t="shared" si="0"/>
        <v>-1</v>
      </c>
      <c r="L34" s="105">
        <f>+L10-L26</f>
        <v>180</v>
      </c>
      <c r="M34" s="103">
        <f>IF(AND(L10=0,L34&lt;=0), "",L34/L10)</f>
        <v>0.9</v>
      </c>
      <c r="N34" s="104"/>
      <c r="O34" s="102">
        <f>+O10-O26</f>
        <v>0</v>
      </c>
      <c r="P34" s="103" t="str">
        <f>IF(AND(O10=0,O34&lt;=0), "",O34/O10)</f>
        <v/>
      </c>
      <c r="Q34" s="104"/>
      <c r="R34" s="103" t="str">
        <f>IF(AND(H34=0,O34&gt;0),100%,IF(AND(H34&lt;0,O34=0),(H34-O34)/H34,IF(AND(H34&gt;0,O34&gt;0),(O34-H34)/H34,IF(AND(H34=0,O34=0),"",(O34-H34)/H34))))</f>
        <v/>
      </c>
      <c r="S34" s="105">
        <f>+S10-S26</f>
        <v>180</v>
      </c>
      <c r="T34" s="103">
        <f>IF(AND(S10=0,S34&lt;=0), "",S34/S10)</f>
        <v>0.9</v>
      </c>
      <c r="U34" s="104"/>
      <c r="V34" s="106">
        <f>+V10-V26</f>
        <v>0</v>
      </c>
      <c r="W34" s="103" t="str">
        <f>IF(AND(V10=0,V34&lt;=0), "",V34/V10)</f>
        <v/>
      </c>
      <c r="X34" s="104">
        <f t="shared" si="2"/>
        <v>1</v>
      </c>
      <c r="Y34" s="102">
        <f>+Y10-Y26</f>
        <v>0</v>
      </c>
      <c r="Z34" s="103" t="str">
        <f>IF(AND(Y10=0,Y34&lt;=0), "",Y34/Y10)</f>
        <v/>
      </c>
      <c r="AA34" s="104"/>
      <c r="AB34" s="103" t="str">
        <f t="shared" si="3"/>
        <v/>
      </c>
      <c r="AC34" s="105">
        <f>+AC10-AC26</f>
        <v>180</v>
      </c>
      <c r="AD34" s="103">
        <f>IF(AND(AC10=0,AC34&lt;=0), "",AC34/AC10)</f>
        <v>0.9</v>
      </c>
      <c r="AE34" s="104"/>
      <c r="AF34" s="102">
        <f>+AF10-AF26</f>
        <v>0</v>
      </c>
      <c r="AG34" s="103" t="str">
        <f>IF(AND(AF10=0,AF34&lt;=0), "",AF34/AF10)</f>
        <v/>
      </c>
      <c r="AH34" s="104"/>
      <c r="AI34" s="103" t="str">
        <f t="shared" si="4"/>
        <v/>
      </c>
      <c r="AJ34" s="105">
        <f>+AJ10-AJ26</f>
        <v>180</v>
      </c>
      <c r="AK34" s="103">
        <f>IF(AND(AJ10=0,AJ34&lt;=0), "",AJ34/AJ10)</f>
        <v>0.9</v>
      </c>
      <c r="AL34" s="104"/>
      <c r="AM34" s="102">
        <f>+AM10-AM26</f>
        <v>0</v>
      </c>
      <c r="AN34" s="103" t="str">
        <f>IF(AND(AM10=0,AM34&lt;=0), "",AM34/AM10)</f>
        <v/>
      </c>
      <c r="AO34" s="104"/>
      <c r="AP34" s="103" t="str">
        <f t="shared" si="5"/>
        <v/>
      </c>
      <c r="AQ34" s="105">
        <f>+AQ10-AQ26</f>
        <v>180</v>
      </c>
      <c r="AR34" s="103">
        <f>IF(AND(AQ10=0,AQ34&lt;=0), "",AQ34/AQ10)</f>
        <v>0.9</v>
      </c>
      <c r="AS34" s="104"/>
      <c r="AT34" s="106">
        <f>+AT10-AT26</f>
        <v>0</v>
      </c>
      <c r="AU34" s="103" t="str">
        <f>IF(AND(AT10=0,AT34&lt;=0), "",AT34/AT10)</f>
        <v/>
      </c>
      <c r="AV34" s="104">
        <f t="shared" si="6"/>
        <v>1</v>
      </c>
      <c r="AW34" s="106">
        <f>+AW10-AW26</f>
        <v>30.000000000000004</v>
      </c>
      <c r="AX34" s="103">
        <f>IF(AND(AW10=0,AW34&lt;=0), "",AW34/AW10)</f>
        <v>0.9</v>
      </c>
      <c r="AY34" s="104"/>
      <c r="AZ34" s="106">
        <f>+AZ10-AZ26</f>
        <v>0</v>
      </c>
      <c r="BA34" s="103" t="str">
        <f>IF(AND(AZ10=0,AZ34&lt;=0), "",AZ34/AZ10)</f>
        <v/>
      </c>
      <c r="BB34" s="104">
        <f t="shared" si="7"/>
        <v>1</v>
      </c>
      <c r="BC34" s="102">
        <f>+BC10-BC26</f>
        <v>0</v>
      </c>
      <c r="BD34" s="103" t="str">
        <f>IF(AND(BC10=0,BC34&lt;=0), "",BC34/BC10)</f>
        <v/>
      </c>
      <c r="BE34" s="104"/>
      <c r="BF34" s="103" t="str">
        <f t="shared" si="8"/>
        <v/>
      </c>
      <c r="BG34" s="105">
        <f>+BG10-BG26</f>
        <v>180</v>
      </c>
      <c r="BH34" s="103">
        <f>IF(AND(BG10=0,BG34&lt;=0), "",BG34/BG10)</f>
        <v>0.9</v>
      </c>
      <c r="BI34" s="104"/>
      <c r="BJ34" s="102">
        <f>+BJ10-BJ26</f>
        <v>0</v>
      </c>
      <c r="BK34" s="103" t="str">
        <f>IF(AND(BJ10=0,BJ34&lt;=0), "",BJ34/BJ10)</f>
        <v/>
      </c>
      <c r="BL34" s="104"/>
      <c r="BM34" s="103" t="str">
        <f t="shared" si="9"/>
        <v/>
      </c>
      <c r="BN34" s="105">
        <f>+BN10-BN26</f>
        <v>180</v>
      </c>
      <c r="BO34" s="103">
        <f>IF(AND(BN10=0,BN34&lt;=0), "",BN34/BN10)</f>
        <v>0.9</v>
      </c>
      <c r="BP34" s="104"/>
      <c r="BQ34" s="102">
        <f>+BQ10-BQ26</f>
        <v>0</v>
      </c>
      <c r="BR34" s="103" t="str">
        <f>IF(AND(BQ10=0,BQ34&lt;=0), "",BQ34/BQ10)</f>
        <v/>
      </c>
      <c r="BS34" s="104"/>
      <c r="BT34" s="103" t="str">
        <f t="shared" si="10"/>
        <v/>
      </c>
      <c r="BU34" s="105">
        <f>+BU10-BU26</f>
        <v>180</v>
      </c>
      <c r="BV34" s="103">
        <f>IF(AND(BU10=0,BU34&lt;=0), "",BU34/BU10)</f>
        <v>0.9</v>
      </c>
      <c r="BW34" s="104"/>
      <c r="BX34" s="106">
        <f>+BX10-BX26</f>
        <v>0</v>
      </c>
      <c r="BY34" s="103" t="str">
        <f>IF(AND(BX10=0,BX34&lt;=0), "",BX34/BX10)</f>
        <v/>
      </c>
      <c r="BZ34" s="104">
        <f t="shared" si="11"/>
        <v>1</v>
      </c>
      <c r="CA34" s="102">
        <f>+CA10-CA26</f>
        <v>0</v>
      </c>
      <c r="CB34" s="103" t="str">
        <f>IF(AND(CA10=0,CA34&lt;=0), "",CA34/CA10)</f>
        <v/>
      </c>
      <c r="CC34" s="104"/>
      <c r="CD34" s="103" t="str">
        <f t="shared" si="12"/>
        <v/>
      </c>
      <c r="CE34" s="105">
        <f>+CE10-CE26</f>
        <v>180</v>
      </c>
      <c r="CF34" s="103">
        <f>IF(AND(CE10=0,CE34&lt;=0), "",CE34/CE10)</f>
        <v>0.9</v>
      </c>
      <c r="CG34" s="104"/>
      <c r="CH34" s="102">
        <f>+CH10-CH26</f>
        <v>0</v>
      </c>
      <c r="CI34" s="103" t="str">
        <f>IF(AND(CH10=0,CH34&lt;=0), "",CH34/CH10)</f>
        <v/>
      </c>
      <c r="CJ34" s="104"/>
      <c r="CK34" s="103" t="str">
        <f t="shared" si="13"/>
        <v/>
      </c>
      <c r="CL34" s="105">
        <f>+CL10-CL26</f>
        <v>180</v>
      </c>
      <c r="CM34" s="103">
        <f>IF(AND(CL10=0,CL34&lt;=0), "",CL34/CL10)</f>
        <v>0.9</v>
      </c>
      <c r="CN34" s="104"/>
      <c r="CO34" s="102">
        <f>+CO10-CO26</f>
        <v>0</v>
      </c>
      <c r="CP34" s="103" t="str">
        <f>IF(AND(CO10=0,CO34&lt;=0), "",CO34/CO10)</f>
        <v/>
      </c>
      <c r="CQ34" s="104"/>
      <c r="CR34" s="103" t="str">
        <f t="shared" si="14"/>
        <v/>
      </c>
      <c r="CS34" s="105">
        <f>+CS10-CS26</f>
        <v>180</v>
      </c>
      <c r="CT34" s="103">
        <f>IF(AND(CS10=0,CS34&lt;=0), "",CS34/CS10)</f>
        <v>0.9</v>
      </c>
      <c r="CU34" s="104"/>
      <c r="CV34" s="106">
        <f>+CV10-CV26</f>
        <v>0</v>
      </c>
      <c r="CW34" s="103" t="str">
        <f>IF(AND(CV10=0,CV34&lt;=0), "",CV34/CV10)</f>
        <v/>
      </c>
      <c r="CX34" s="104">
        <f t="shared" si="15"/>
        <v>1</v>
      </c>
    </row>
    <row r="35" spans="1:105" s="31" customFormat="1" ht="15.75" x14ac:dyDescent="0.25">
      <c r="A35" s="101" t="s">
        <v>57</v>
      </c>
      <c r="B35" s="102">
        <f>+B15-B29</f>
        <v>0</v>
      </c>
      <c r="C35" s="103" t="str">
        <f>IF(AND(B15=0,B35&lt;=0), "",B35/B15)</f>
        <v/>
      </c>
      <c r="D35" s="104"/>
      <c r="E35" s="102">
        <f>+E15-E29</f>
        <v>20</v>
      </c>
      <c r="F35" s="103">
        <f>IF(AND(E15=0,E35&lt;=0), "",E35/E15)</f>
        <v>0.4</v>
      </c>
      <c r="G35" s="104"/>
      <c r="H35" s="102">
        <f>+H15-H29</f>
        <v>0</v>
      </c>
      <c r="I35" s="103" t="str">
        <f>IF(AND(H15=0,H35&lt;=0), "",H35/H15)</f>
        <v/>
      </c>
      <c r="J35" s="104"/>
      <c r="K35" s="103">
        <f t="shared" si="0"/>
        <v>-1</v>
      </c>
      <c r="L35" s="105">
        <f>+L15-L29</f>
        <v>20</v>
      </c>
      <c r="M35" s="103">
        <f>IF(AND(L15=0,L35&lt;=0), "",L35/L15)</f>
        <v>0.4</v>
      </c>
      <c r="N35" s="104"/>
      <c r="O35" s="102">
        <f>+O15-O29</f>
        <v>0</v>
      </c>
      <c r="P35" s="103" t="str">
        <f>IF(AND(O15=0,O35&lt;=0), "",O35/O15)</f>
        <v/>
      </c>
      <c r="Q35" s="104"/>
      <c r="R35" s="103" t="str">
        <f>IF(AND(H35=0,O35&gt;0),100%,IF(AND(H35&lt;0,O35=0),(H35-O35)/H35,IF(AND(H35&gt;0,O35&gt;0),(O35-H35)/H35,IF(AND(H35=0,O35=0),"",(O35-H35)/H35))))</f>
        <v/>
      </c>
      <c r="S35" s="105">
        <f>+S15-S29</f>
        <v>20</v>
      </c>
      <c r="T35" s="103">
        <f>IF(AND(S15=0,S35&lt;=0), "",S35/S15)</f>
        <v>0.4</v>
      </c>
      <c r="U35" s="104"/>
      <c r="V35" s="106">
        <f>+V15-V29</f>
        <v>0</v>
      </c>
      <c r="W35" s="103" t="str">
        <f>IF(AND(V15=0,V35&lt;=0), "",V35/V15)</f>
        <v/>
      </c>
      <c r="X35" s="104">
        <f t="shared" si="2"/>
        <v>1</v>
      </c>
      <c r="Y35" s="102">
        <f>+Y15-Y29</f>
        <v>0</v>
      </c>
      <c r="Z35" s="103" t="str">
        <f>IF(AND(Y15=0,Y35&lt;=0), "",Y35/Y15)</f>
        <v/>
      </c>
      <c r="AA35" s="104"/>
      <c r="AB35" s="103" t="str">
        <f t="shared" si="3"/>
        <v/>
      </c>
      <c r="AC35" s="105">
        <f>+AC15-AC29</f>
        <v>20</v>
      </c>
      <c r="AD35" s="103">
        <f>IF(AND(AC15=0,AC35&lt;=0), "",AC35/AC15)</f>
        <v>0.4</v>
      </c>
      <c r="AE35" s="104"/>
      <c r="AF35" s="102">
        <f>+AF15-AF29</f>
        <v>0</v>
      </c>
      <c r="AG35" s="103" t="str">
        <f>IF(AND(AF15=0,AF35&lt;=0), "",AF35/AF15)</f>
        <v/>
      </c>
      <c r="AH35" s="104"/>
      <c r="AI35" s="103" t="str">
        <f t="shared" si="4"/>
        <v/>
      </c>
      <c r="AJ35" s="105">
        <f>+AJ15-AJ29</f>
        <v>20</v>
      </c>
      <c r="AK35" s="103">
        <f>IF(AND(AJ15=0,AJ35&lt;=0), "",AJ35/AJ15)</f>
        <v>0.4</v>
      </c>
      <c r="AL35" s="104"/>
      <c r="AM35" s="102">
        <f>+AM15-AM29</f>
        <v>0</v>
      </c>
      <c r="AN35" s="103" t="str">
        <f>IF(AND(AM15=0,AM35&lt;=0), "",AM35/AM15)</f>
        <v/>
      </c>
      <c r="AO35" s="104"/>
      <c r="AP35" s="103" t="str">
        <f t="shared" si="5"/>
        <v/>
      </c>
      <c r="AQ35" s="105">
        <f>+AQ15-AQ29</f>
        <v>20</v>
      </c>
      <c r="AR35" s="103">
        <f>IF(AND(AQ15=0,AQ35&lt;=0), "",AQ35/AQ15)</f>
        <v>0.4</v>
      </c>
      <c r="AS35" s="104"/>
      <c r="AT35" s="106">
        <f>+AT15-AT29</f>
        <v>0</v>
      </c>
      <c r="AU35" s="103" t="str">
        <f>IF(AND(AT15=0,AT35&lt;=0), "",AT35/AT15)</f>
        <v/>
      </c>
      <c r="AV35" s="104">
        <f t="shared" si="6"/>
        <v>1</v>
      </c>
      <c r="AW35" s="106">
        <f>+AW15-AW29</f>
        <v>3.3333333333333339</v>
      </c>
      <c r="AX35" s="103">
        <f>IF(AND(AW15=0,AW35&lt;=0), "",AW35/AW15)</f>
        <v>0.4</v>
      </c>
      <c r="AY35" s="104"/>
      <c r="AZ35" s="106">
        <f>+AZ15-AZ29</f>
        <v>0</v>
      </c>
      <c r="BA35" s="103" t="str">
        <f>IF(AND(AZ15=0,AZ35&lt;=0), "",AZ35/AZ15)</f>
        <v/>
      </c>
      <c r="BB35" s="104">
        <f t="shared" si="7"/>
        <v>1</v>
      </c>
      <c r="BC35" s="102">
        <f>+BC15-BC29</f>
        <v>0</v>
      </c>
      <c r="BD35" s="103" t="str">
        <f>IF(AND(BC15=0,BC35&lt;=0), "",BC35/BC15)</f>
        <v/>
      </c>
      <c r="BE35" s="104"/>
      <c r="BF35" s="103" t="str">
        <f t="shared" si="8"/>
        <v/>
      </c>
      <c r="BG35" s="105">
        <f>+BG15-BG29</f>
        <v>20</v>
      </c>
      <c r="BH35" s="103">
        <f>IF(AND(BG15=0,BG35&lt;=0), "",BG35/BG15)</f>
        <v>0.4</v>
      </c>
      <c r="BI35" s="104"/>
      <c r="BJ35" s="102">
        <f>+BJ15-BJ29</f>
        <v>0</v>
      </c>
      <c r="BK35" s="103" t="str">
        <f>IF(AND(BJ15=0,BJ35&lt;=0), "",BJ35/BJ15)</f>
        <v/>
      </c>
      <c r="BL35" s="104"/>
      <c r="BM35" s="103" t="str">
        <f t="shared" si="9"/>
        <v/>
      </c>
      <c r="BN35" s="105">
        <f>+BN15-BN29</f>
        <v>20</v>
      </c>
      <c r="BO35" s="103">
        <f>IF(AND(BN15=0,BN35&lt;=0), "",BN35/BN15)</f>
        <v>0.4</v>
      </c>
      <c r="BP35" s="104"/>
      <c r="BQ35" s="102">
        <f>+BQ15-BQ29</f>
        <v>0</v>
      </c>
      <c r="BR35" s="103" t="str">
        <f>IF(AND(BQ15=0,BQ35&lt;=0), "",BQ35/BQ15)</f>
        <v/>
      </c>
      <c r="BS35" s="104"/>
      <c r="BT35" s="103" t="str">
        <f t="shared" si="10"/>
        <v/>
      </c>
      <c r="BU35" s="105">
        <f>+BU15-BU29</f>
        <v>20</v>
      </c>
      <c r="BV35" s="103">
        <f>IF(AND(BU15=0,BU35&lt;=0), "",BU35/BU15)</f>
        <v>0.4</v>
      </c>
      <c r="BW35" s="104"/>
      <c r="BX35" s="106">
        <f>+BX15-BX29</f>
        <v>0</v>
      </c>
      <c r="BY35" s="103" t="str">
        <f>IF(AND(BX15=0,BX35&lt;=0), "",BX35/BX15)</f>
        <v/>
      </c>
      <c r="BZ35" s="104">
        <f t="shared" si="11"/>
        <v>1</v>
      </c>
      <c r="CA35" s="102">
        <f>+CA15-CA29</f>
        <v>0</v>
      </c>
      <c r="CB35" s="103" t="str">
        <f>IF(AND(CA15=0,CA35&lt;=0), "",CA35/CA15)</f>
        <v/>
      </c>
      <c r="CC35" s="104"/>
      <c r="CD35" s="103" t="str">
        <f t="shared" si="12"/>
        <v/>
      </c>
      <c r="CE35" s="105">
        <f>+CE15-CE29</f>
        <v>20</v>
      </c>
      <c r="CF35" s="103">
        <f>IF(AND(CE15=0,CE35&lt;=0), "",CE35/CE15)</f>
        <v>0.4</v>
      </c>
      <c r="CG35" s="104"/>
      <c r="CH35" s="102">
        <f>+CH15-CH29</f>
        <v>0</v>
      </c>
      <c r="CI35" s="103" t="str">
        <f>IF(AND(CH15=0,CH35&lt;=0), "",CH35/CH15)</f>
        <v/>
      </c>
      <c r="CJ35" s="104"/>
      <c r="CK35" s="103" t="str">
        <f t="shared" si="13"/>
        <v/>
      </c>
      <c r="CL35" s="105">
        <f>+CL15-CL29</f>
        <v>20</v>
      </c>
      <c r="CM35" s="103">
        <f>IF(AND(CL15=0,CL35&lt;=0), "",CL35/CL15)</f>
        <v>0.4</v>
      </c>
      <c r="CN35" s="104"/>
      <c r="CO35" s="102">
        <f>+CO15-CO29</f>
        <v>0</v>
      </c>
      <c r="CP35" s="103" t="str">
        <f>IF(AND(CO15=0,CO35&lt;=0), "",CO35/CO15)</f>
        <v/>
      </c>
      <c r="CQ35" s="104"/>
      <c r="CR35" s="103" t="str">
        <f t="shared" si="14"/>
        <v/>
      </c>
      <c r="CS35" s="105">
        <f>+CS15-CS29</f>
        <v>20</v>
      </c>
      <c r="CT35" s="103">
        <f>IF(AND(CS15=0,CS35&lt;=0), "",CS35/CS15)</f>
        <v>0.4</v>
      </c>
      <c r="CU35" s="104"/>
      <c r="CV35" s="106">
        <f>+CV15-CV29</f>
        <v>0</v>
      </c>
      <c r="CW35" s="103" t="str">
        <f>IF(AND(CV15=0,CV35&lt;=0), "",CV35/CV15)</f>
        <v/>
      </c>
      <c r="CX35" s="104">
        <f t="shared" si="15"/>
        <v>1</v>
      </c>
    </row>
    <row r="36" spans="1:105" s="31" customFormat="1" ht="16.5" thickBot="1" x14ac:dyDescent="0.3">
      <c r="A36" s="107" t="s">
        <v>59</v>
      </c>
      <c r="B36" s="108">
        <f>+B4-B22</f>
        <v>0</v>
      </c>
      <c r="C36" s="109" t="str">
        <f>IF(AND(B4=0,B36&lt;=0), "",B36/B4)</f>
        <v/>
      </c>
      <c r="D36" s="110"/>
      <c r="E36" s="108">
        <f>+E4-E22</f>
        <v>4750</v>
      </c>
      <c r="F36" s="109">
        <f>IF(AND(E4=0,E36&lt;=0), "",E36/E4)</f>
        <v>0.34420289855072461</v>
      </c>
      <c r="G36" s="110"/>
      <c r="H36" s="108">
        <f>+H4-H22</f>
        <v>0</v>
      </c>
      <c r="I36" s="109" t="str">
        <f>IF(AND(H4=0,H36&lt;=0), "",H36/H4)</f>
        <v/>
      </c>
      <c r="J36" s="110"/>
      <c r="K36" s="109">
        <f t="shared" si="0"/>
        <v>-1</v>
      </c>
      <c r="L36" s="111">
        <f>+L4-L22</f>
        <v>4750</v>
      </c>
      <c r="M36" s="109">
        <f>IF(AND(L4=0,L36&lt;=0), "",L36/L4)</f>
        <v>0.34420289855072461</v>
      </c>
      <c r="N36" s="110"/>
      <c r="O36" s="108">
        <f>+O4-O22</f>
        <v>0</v>
      </c>
      <c r="P36" s="109" t="str">
        <f>IF(AND(O4=0,O36&lt;=0), "",O36/O4)</f>
        <v/>
      </c>
      <c r="Q36" s="110"/>
      <c r="R36" s="109" t="str">
        <f>IF(AND(H36=0,O36&gt;0),100%,IF(AND(H36&lt;0,O36=0),(H36-O36)/H36,IF(AND(H36&gt;0,O36&gt;0),(O36-H36)/H36,IF(AND(H36=0,O36=0),"",(O36-H36)/H36))))</f>
        <v/>
      </c>
      <c r="S36" s="111">
        <f>+S4-S22</f>
        <v>4750</v>
      </c>
      <c r="T36" s="109">
        <f>IF(AND(S4=0,S36&lt;=0), "",S36/S4)</f>
        <v>0.34420289855072461</v>
      </c>
      <c r="U36" s="110"/>
      <c r="V36" s="112">
        <f>+V4-V22</f>
        <v>0</v>
      </c>
      <c r="W36" s="109" t="str">
        <f>IF(AND(V4=0,V36&lt;=0), "",V36/V4)</f>
        <v/>
      </c>
      <c r="X36" s="110">
        <f t="shared" si="2"/>
        <v>1</v>
      </c>
      <c r="Y36" s="108">
        <f>+Y4-Y22</f>
        <v>0</v>
      </c>
      <c r="Z36" s="109" t="str">
        <f>IF(AND(Y4=0,Y36&lt;=0), "",Y36/Y4)</f>
        <v/>
      </c>
      <c r="AA36" s="110"/>
      <c r="AB36" s="109" t="str">
        <f t="shared" si="3"/>
        <v/>
      </c>
      <c r="AC36" s="111">
        <f>+AC4-AC22</f>
        <v>4750</v>
      </c>
      <c r="AD36" s="109">
        <f>IF(AND(AC4=0,AC36&lt;=0), "",AC36/AC4)</f>
        <v>0.34420289855072461</v>
      </c>
      <c r="AE36" s="110"/>
      <c r="AF36" s="108">
        <f>+AF4-AF22</f>
        <v>0</v>
      </c>
      <c r="AG36" s="109" t="str">
        <f>IF(AND(AF4=0,AF36&lt;=0), "",AF36/AF4)</f>
        <v/>
      </c>
      <c r="AH36" s="110"/>
      <c r="AI36" s="109" t="str">
        <f t="shared" ref="AI36:AI67" si="38">IF(AND(Y36=0,AF36&gt;0),100%,IF(AND(Y36&lt;0,AF36=0),(Y36-AF36)/Y36,IF(AND(Y36&gt;0,AF36&gt;0),(AF36-Y36)/Y36,IF(AND(Y36=0,AF36=0),"",(AF36-Y36)/Y36))))</f>
        <v/>
      </c>
      <c r="AJ36" s="111">
        <f>+AJ4-AJ22</f>
        <v>4750</v>
      </c>
      <c r="AK36" s="109">
        <f>IF(AND(AJ4=0,AJ36&lt;=0), "",AJ36/AJ4)</f>
        <v>0.34420289855072461</v>
      </c>
      <c r="AL36" s="110"/>
      <c r="AM36" s="108">
        <f>+AM4-AM22</f>
        <v>0</v>
      </c>
      <c r="AN36" s="109" t="str">
        <f>IF(AND(AM4=0,AM36&lt;=0), "",AM36/AM4)</f>
        <v/>
      </c>
      <c r="AO36" s="110"/>
      <c r="AP36" s="109" t="str">
        <f t="shared" ref="AP36:AP67" si="39">IF(AND(AF36=0,AM36&gt;0),100%,IF(AND(AF36&lt;0,AM36=0),(AF36-AM36)/AF36,IF(AND(AF36&gt;0,AM36&gt;0),(AM36-AF36)/AF36,IF(AND(AF36=0,AM36=0),"",(AM36-AF36)/AF36))))</f>
        <v/>
      </c>
      <c r="AQ36" s="111">
        <f>+AQ4-AQ22</f>
        <v>4750</v>
      </c>
      <c r="AR36" s="109">
        <f>IF(AND(AQ4=0,AQ36&lt;=0), "",AQ36/AQ4)</f>
        <v>0.34420289855072461</v>
      </c>
      <c r="AS36" s="110"/>
      <c r="AT36" s="112">
        <f>+AT4-AT22</f>
        <v>0</v>
      </c>
      <c r="AU36" s="109" t="str">
        <f>IF(AND(AT4=0,AT36&lt;=0), "",AT36/AT4)</f>
        <v/>
      </c>
      <c r="AV36" s="110">
        <f t="shared" si="6"/>
        <v>1</v>
      </c>
      <c r="AW36" s="112">
        <f>+AW4-AW22</f>
        <v>791.6666666666672</v>
      </c>
      <c r="AX36" s="109">
        <f>IF(AND(AW4=0,AW36&lt;=0), "",AW36/AW4)</f>
        <v>0.34420289855072478</v>
      </c>
      <c r="AY36" s="110"/>
      <c r="AZ36" s="112">
        <f>+AZ4-AZ22</f>
        <v>0</v>
      </c>
      <c r="BA36" s="109" t="str">
        <f>IF(AND(AZ4=0,AZ36&lt;=0), "",AZ36/AZ4)</f>
        <v/>
      </c>
      <c r="BB36" s="110">
        <f t="shared" si="7"/>
        <v>1</v>
      </c>
      <c r="BC36" s="108">
        <f>+BC4-BC22</f>
        <v>0</v>
      </c>
      <c r="BD36" s="109" t="str">
        <f>IF(AND(BC4=0,BC36&lt;=0), "",BC36/BC4)</f>
        <v/>
      </c>
      <c r="BE36" s="110"/>
      <c r="BF36" s="109" t="str">
        <f t="shared" si="8"/>
        <v/>
      </c>
      <c r="BG36" s="111">
        <f>+BG4-BG22</f>
        <v>4750</v>
      </c>
      <c r="BH36" s="109">
        <f>IF(AND(BG4=0,BG36&lt;=0), "",BG36/BG4)</f>
        <v>0.34420289855072461</v>
      </c>
      <c r="BI36" s="110"/>
      <c r="BJ36" s="108">
        <f>+BJ4-BJ22</f>
        <v>0</v>
      </c>
      <c r="BK36" s="109" t="str">
        <f>IF(AND(BJ4=0,BJ36&lt;=0), "",BJ36/BJ4)</f>
        <v/>
      </c>
      <c r="BL36" s="110"/>
      <c r="BM36" s="109" t="str">
        <f t="shared" ref="BM36:BM67" si="40">IF(AND(BC36=0,BJ36&gt;0),100%,IF(AND(BC36&lt;0,BJ36=0),(BC36-BJ36)/BC36,IF(AND(BC36&gt;0,BJ36&gt;0),(BJ36-BC36)/BC36,IF(AND(BC36=0,BJ36=0),"",(BJ36-BC36)/BC36))))</f>
        <v/>
      </c>
      <c r="BN36" s="111">
        <f>+BN4-BN22</f>
        <v>4750</v>
      </c>
      <c r="BO36" s="109">
        <f>IF(AND(BN4=0,BN36&lt;=0), "",BN36/BN4)</f>
        <v>0.34420289855072461</v>
      </c>
      <c r="BP36" s="110"/>
      <c r="BQ36" s="108">
        <f>+BQ4-BQ22</f>
        <v>0</v>
      </c>
      <c r="BR36" s="109" t="str">
        <f>IF(AND(BQ4=0,BQ36&lt;=0), "",BQ36/BQ4)</f>
        <v/>
      </c>
      <c r="BS36" s="110"/>
      <c r="BT36" s="109" t="str">
        <f t="shared" ref="BT36:BT67" si="41">IF(AND(BJ36=0,BQ36&gt;0),100%,IF(AND(BJ36&lt;0,BQ36=0),(BJ36-BQ36)/BJ36,IF(AND(BJ36&gt;0,BQ36&gt;0),(BQ36-BJ36)/BJ36,IF(AND(BJ36=0,BQ36=0),"",(BQ36-BJ36)/BJ36))))</f>
        <v/>
      </c>
      <c r="BU36" s="111">
        <f>+BU4-BU22</f>
        <v>4750</v>
      </c>
      <c r="BV36" s="109">
        <f>IF(AND(BU4=0,BU36&lt;=0), "",BU36/BU4)</f>
        <v>0.34420289855072461</v>
      </c>
      <c r="BW36" s="110"/>
      <c r="BX36" s="112">
        <f>+BX4-BX22</f>
        <v>0</v>
      </c>
      <c r="BY36" s="109" t="str">
        <f>IF(AND(BX4=0,BX36&lt;=0), "",BX36/BX4)</f>
        <v/>
      </c>
      <c r="BZ36" s="110">
        <f t="shared" ref="BZ36:BZ67" si="42">IF(AND(BX36=0,BU36&gt;0),100%,IF(AND(BX36&lt;0,BU36=0),(BX36-BU36)/BX36,IF(AND(BX36&gt;0,BU36&gt;0),(BU36-BX36)/BX36,IF(AND(BX36=0,BU36=0),"",(BU36-BX36)/BX36))))</f>
        <v>1</v>
      </c>
      <c r="CA36" s="108">
        <f>+CA4-CA22</f>
        <v>0</v>
      </c>
      <c r="CB36" s="109" t="str">
        <f>IF(AND(CA4=0,CA36&lt;=0), "",CA36/CA4)</f>
        <v/>
      </c>
      <c r="CC36" s="110"/>
      <c r="CD36" s="109" t="str">
        <f t="shared" si="12"/>
        <v/>
      </c>
      <c r="CE36" s="111">
        <f>+CE4-CE22</f>
        <v>4750</v>
      </c>
      <c r="CF36" s="109">
        <f>IF(AND(CE4=0,CE36&lt;=0), "",CE36/CE4)</f>
        <v>0.34420289855072461</v>
      </c>
      <c r="CG36" s="110"/>
      <c r="CH36" s="108">
        <f>+CH4-CH22</f>
        <v>0</v>
      </c>
      <c r="CI36" s="109" t="str">
        <f>IF(AND(CH4=0,CH36&lt;=0), "",CH36/CH4)</f>
        <v/>
      </c>
      <c r="CJ36" s="110"/>
      <c r="CK36" s="109" t="str">
        <f t="shared" ref="CK36:CK67" si="43">IF(AND(CA36=0,CH36&gt;0),100%,IF(AND(CA36&lt;0,CH36=0),(CA36-CH36)/CA36,IF(AND(CA36&gt;0,CH36&gt;0),(CH36-CA36)/CA36,IF(AND(CA36=0,CH36=0),"",(CH36-CA36)/CA36))))</f>
        <v/>
      </c>
      <c r="CL36" s="111">
        <f>+CL4-CL22</f>
        <v>4750</v>
      </c>
      <c r="CM36" s="109">
        <f>IF(AND(CL4=0,CL36&lt;=0), "",CL36/CL4)</f>
        <v>0.34420289855072461</v>
      </c>
      <c r="CN36" s="110"/>
      <c r="CO36" s="108">
        <f>+CO4-CO22</f>
        <v>0</v>
      </c>
      <c r="CP36" s="109" t="str">
        <f>IF(AND(CO4=0,CO36&lt;=0), "",CO36/CO4)</f>
        <v/>
      </c>
      <c r="CQ36" s="110"/>
      <c r="CR36" s="109" t="str">
        <f t="shared" ref="CR36:CR67" si="44">IF(AND(CH36=0,CO36&gt;0),100%,IF(AND(CH36&lt;0,CO36=0),(CH36-CO36)/CH36,IF(AND(CH36&gt;0,CO36&gt;0),(CO36-CH36)/CH36,IF(AND(CH36=0,CO36=0),"",(CO36-CH36)/CH36))))</f>
        <v/>
      </c>
      <c r="CS36" s="111">
        <f>+CS4-CS22</f>
        <v>4750</v>
      </c>
      <c r="CT36" s="109">
        <f>IF(AND(CS4=0,CS36&lt;=0), "",CS36/CS4)</f>
        <v>0.34420289855072461</v>
      </c>
      <c r="CU36" s="110"/>
      <c r="CV36" s="112">
        <f>+CV4-CV22</f>
        <v>0</v>
      </c>
      <c r="CW36" s="109" t="str">
        <f>IF(AND(CV4=0,CV36&lt;=0), "",CV36/CV4)</f>
        <v/>
      </c>
      <c r="CX36" s="110">
        <f t="shared" ref="CX36:CX67" si="45">IF(AND(CV36=0,CS36&gt;0),100%,IF(AND(CV36&lt;0,CS36=0),(CV36-CS36)/CV36,IF(AND(CV36&gt;0,CS36&gt;0),(CS36-CV36)/CV36,IF(AND(CV36=0,CS36=0),"",(CS36-CV36)/CV36))))</f>
        <v>1</v>
      </c>
    </row>
    <row r="37" spans="1:105" s="3" customFormat="1" ht="15.75" thickTop="1" x14ac:dyDescent="0.25">
      <c r="B37" s="85"/>
      <c r="C37" s="15"/>
      <c r="D37" s="41"/>
      <c r="E37" s="85"/>
      <c r="F37" s="15"/>
      <c r="G37" s="41"/>
      <c r="H37" s="85"/>
      <c r="I37" s="15"/>
      <c r="J37" s="41"/>
      <c r="K37" s="15"/>
      <c r="L37" s="71"/>
      <c r="M37" s="15"/>
      <c r="N37" s="41"/>
      <c r="O37" s="85"/>
      <c r="P37" s="15"/>
      <c r="Q37" s="41"/>
      <c r="R37" s="15"/>
      <c r="S37" s="71"/>
      <c r="T37" s="15"/>
      <c r="U37" s="41"/>
      <c r="V37" s="86"/>
      <c r="W37" s="15"/>
      <c r="X37" s="41"/>
      <c r="Y37" s="85"/>
      <c r="Z37" s="15"/>
      <c r="AA37" s="41"/>
      <c r="AB37" s="15"/>
      <c r="AC37" s="71"/>
      <c r="AD37" s="15"/>
      <c r="AE37" s="41"/>
      <c r="AF37" s="85"/>
      <c r="AG37" s="15"/>
      <c r="AH37" s="41"/>
      <c r="AI37" s="15" t="str">
        <f t="shared" si="38"/>
        <v/>
      </c>
      <c r="AJ37" s="71"/>
      <c r="AK37" s="15"/>
      <c r="AL37" s="41"/>
      <c r="AM37" s="85"/>
      <c r="AN37" s="15"/>
      <c r="AO37" s="41"/>
      <c r="AP37" s="15" t="str">
        <f t="shared" si="39"/>
        <v/>
      </c>
      <c r="AQ37" s="71"/>
      <c r="AR37" s="15"/>
      <c r="AS37" s="41"/>
      <c r="AT37" s="86"/>
      <c r="AU37" s="15"/>
      <c r="AV37" s="41"/>
      <c r="AW37" s="86"/>
      <c r="AX37" s="15"/>
      <c r="AY37" s="41"/>
      <c r="AZ37" s="86"/>
      <c r="BA37" s="15"/>
      <c r="BB37" s="41"/>
      <c r="BC37" s="85"/>
      <c r="BD37" s="15"/>
      <c r="BE37" s="41"/>
      <c r="BF37" s="15"/>
      <c r="BG37" s="71"/>
      <c r="BH37" s="15"/>
      <c r="BI37" s="41"/>
      <c r="BJ37" s="85"/>
      <c r="BK37" s="15"/>
      <c r="BL37" s="41"/>
      <c r="BM37" s="15" t="str">
        <f t="shared" si="40"/>
        <v/>
      </c>
      <c r="BN37" s="71"/>
      <c r="BO37" s="15"/>
      <c r="BP37" s="41"/>
      <c r="BQ37" s="85"/>
      <c r="BR37" s="15"/>
      <c r="BS37" s="41"/>
      <c r="BT37" s="15" t="str">
        <f t="shared" si="41"/>
        <v/>
      </c>
      <c r="BU37" s="71"/>
      <c r="BV37" s="15"/>
      <c r="BW37" s="41"/>
      <c r="BX37" s="86"/>
      <c r="BY37" s="15"/>
      <c r="BZ37" s="41" t="str">
        <f t="shared" si="42"/>
        <v/>
      </c>
      <c r="CA37" s="85"/>
      <c r="CB37" s="15"/>
      <c r="CC37" s="41"/>
      <c r="CD37" s="15"/>
      <c r="CE37" s="71"/>
      <c r="CF37" s="15"/>
      <c r="CG37" s="41"/>
      <c r="CH37" s="85"/>
      <c r="CI37" s="15"/>
      <c r="CJ37" s="41"/>
      <c r="CK37" s="15" t="str">
        <f t="shared" si="43"/>
        <v/>
      </c>
      <c r="CL37" s="71"/>
      <c r="CM37" s="15"/>
      <c r="CN37" s="41"/>
      <c r="CO37" s="85"/>
      <c r="CP37" s="15"/>
      <c r="CQ37" s="41"/>
      <c r="CR37" s="15" t="str">
        <f t="shared" si="44"/>
        <v/>
      </c>
      <c r="CS37" s="71"/>
      <c r="CT37" s="15"/>
      <c r="CU37" s="41"/>
      <c r="CV37" s="86"/>
      <c r="CW37" s="15"/>
      <c r="CX37" s="41" t="str">
        <f t="shared" si="45"/>
        <v/>
      </c>
    </row>
    <row r="38" spans="1:105" s="26" customFormat="1" ht="18" customHeight="1" x14ac:dyDescent="0.25">
      <c r="A38" s="19" t="s">
        <v>101</v>
      </c>
      <c r="B38" s="76">
        <f>+B39+B68+B83+B93+B104</f>
        <v>0</v>
      </c>
      <c r="C38" s="33" t="str">
        <f>IF(AND(B4=0,B38&gt;=0), "",B38/B4)</f>
        <v/>
      </c>
      <c r="D38" s="37" t="str">
        <f>IF(AND(B124=0,B38&gt;=0),"",B38/B124)</f>
        <v/>
      </c>
      <c r="E38" s="76">
        <f>+E39+E68+E83+E93+E104</f>
        <v>1410</v>
      </c>
      <c r="F38" s="33">
        <f>IF(AND(E4=0,E38&gt;=0), "",E38/E4)</f>
        <v>0.10217391304347827</v>
      </c>
      <c r="G38" s="37">
        <f>IF(AND(E124=0,E38&gt;=0),"",E38/E124)</f>
        <v>0.94630872483221473</v>
      </c>
      <c r="H38" s="76">
        <f>+H39+H68+H83+H93+H104</f>
        <v>0</v>
      </c>
      <c r="I38" s="33" t="str">
        <f>IF(AND(H4=0,H38&gt;=0), "",H38/H4)</f>
        <v/>
      </c>
      <c r="J38" s="37" t="str">
        <f>IF(AND(H124=0,H38&gt;=0),"",H38/H124)</f>
        <v/>
      </c>
      <c r="K38" s="33">
        <f t="shared" ref="K38:K82" si="46">IF(AND(E38=0,H38&gt;0),100%,IF(AND(E38&lt;0,H38=0),(E38-H38)/E38,IF(AND(E38&gt;0,H38&gt;0),(H38-E38)/E38,IF(AND(E38=0,H38=0),"",(H38-E38)/E38))))</f>
        <v>-1</v>
      </c>
      <c r="L38" s="77">
        <f>+L39+L68+L83+L93+L104</f>
        <v>1410</v>
      </c>
      <c r="M38" s="33">
        <f>IF(AND(L4=0,L38&gt;=0), "",L38/L4)</f>
        <v>0.10217391304347827</v>
      </c>
      <c r="N38" s="37">
        <f>IF(AND(L124=0,L38&gt;=0),"",L38/L124)</f>
        <v>0.94630872483221473</v>
      </c>
      <c r="O38" s="76">
        <f>+O39+O68+O83+O93+O104</f>
        <v>0</v>
      </c>
      <c r="P38" s="33" t="str">
        <f>IF(AND(O4=0,O38&gt;=0), "",O38/O4)</f>
        <v/>
      </c>
      <c r="Q38" s="37" t="str">
        <f>IF(AND(O124=0,O38&gt;=0),"",O38/O124)</f>
        <v/>
      </c>
      <c r="R38" s="33" t="str">
        <f t="shared" ref="R38:R82" si="47">IF(AND(H38=0,O38&gt;0),100%,IF(AND(H38&lt;0,O38=0),(H38-O38)/H38,IF(AND(H38&gt;0,O38&gt;0),(O38-H38)/H38,IF(AND(H38=0,O38=0),"",(O38-H38)/H38))))</f>
        <v/>
      </c>
      <c r="S38" s="77">
        <f>+S39+S68+S83+S93+S104</f>
        <v>1410</v>
      </c>
      <c r="T38" s="33">
        <f>IF(AND(S4=0,S38&gt;=0), "",S38/S4)</f>
        <v>0.10217391304347827</v>
      </c>
      <c r="U38" s="37">
        <f>IF(AND(S124=0,S38&gt;=0),"",S38/S124)</f>
        <v>0.94630872483221473</v>
      </c>
      <c r="V38" s="78">
        <f>+V39+V68+V83+V93+V104</f>
        <v>0</v>
      </c>
      <c r="W38" s="33" t="str">
        <f>IF(AND(V4=0,V38&gt;=0), "",V38/V4)</f>
        <v/>
      </c>
      <c r="X38" s="37">
        <f t="shared" ref="X38:X69" si="48">IF(AND(V38=0,S38&gt;0),100%,IF(AND(V38&lt;0,S38=0),(V38-S38)/V38,IF(AND(V38&gt;0,S38&gt;0),(S38-V38)/V38,IF(AND(V38=0,S38=0),"",(S38-V38)/V38))))</f>
        <v>1</v>
      </c>
      <c r="Y38" s="76">
        <f>+Y39+Y68+Y83+Y93+Y104</f>
        <v>0</v>
      </c>
      <c r="Z38" s="33" t="str">
        <f>IF(AND(Y4=0,Y38&gt;=0), "",Y38/Y4)</f>
        <v/>
      </c>
      <c r="AA38" s="37" t="str">
        <f>IF(AND(Y124=0,Y38&gt;=0),"",Y38/Y124)</f>
        <v/>
      </c>
      <c r="AB38" s="33" t="str">
        <f t="shared" ref="AB38:AB69" si="49">IF(AND(O38=0,Y38&gt;0),100%,IF(AND(O38&lt;0,Y38=0),(O38-Y38)/O38,IF(AND(O38&gt;0,Y38&gt;0),(Y38-O38)/O38,IF(AND(O38=0,Y38=0),"",(Y38-O38)/O38))))</f>
        <v/>
      </c>
      <c r="AC38" s="77">
        <f>+AC39+AC68+AC83+AC93+AC104</f>
        <v>1410</v>
      </c>
      <c r="AD38" s="33">
        <f>IF(AND(AC4=0,AC38&gt;=0), "",AC38/AC4)</f>
        <v>0.10217391304347827</v>
      </c>
      <c r="AE38" s="37">
        <f>IF(AND(AC124=0,AC38&gt;=0),"",AC38/AC124)</f>
        <v>0.94630872483221473</v>
      </c>
      <c r="AF38" s="76">
        <f>+AF39+AF68+AF83+AF93+AF104</f>
        <v>0</v>
      </c>
      <c r="AG38" s="33" t="str">
        <f>IF(AND(AF4=0,AF38&gt;=0), "",AF38/AF4)</f>
        <v/>
      </c>
      <c r="AH38" s="37" t="str">
        <f>IF(AND(AF124=0,AF38&gt;=0),"",AF38/AF124)</f>
        <v/>
      </c>
      <c r="AI38" s="33" t="str">
        <f t="shared" si="38"/>
        <v/>
      </c>
      <c r="AJ38" s="77">
        <f>+AJ39+AJ68+AJ83+AJ93+AJ104</f>
        <v>1410</v>
      </c>
      <c r="AK38" s="33">
        <f>IF(AND(AJ4=0,AJ38&gt;=0), "",AJ38/AJ4)</f>
        <v>0.10217391304347827</v>
      </c>
      <c r="AL38" s="37">
        <f>IF(AND(AJ124=0,AJ38&gt;=0),"",AJ38/AJ124)</f>
        <v>0.94630872483221473</v>
      </c>
      <c r="AM38" s="76">
        <f>+AM39+AM68+AM83+AM93+AM104</f>
        <v>0</v>
      </c>
      <c r="AN38" s="33" t="str">
        <f>IF(AND(AM4=0,AM38&gt;=0), "",AM38/AM4)</f>
        <v/>
      </c>
      <c r="AO38" s="37" t="str">
        <f>IF(AND(AM124=0,AM38&gt;=0),"",AM38/AM124)</f>
        <v/>
      </c>
      <c r="AP38" s="33" t="str">
        <f t="shared" si="39"/>
        <v/>
      </c>
      <c r="AQ38" s="77">
        <f>+AQ39+AQ68+AQ83+AQ93+AQ104</f>
        <v>1410</v>
      </c>
      <c r="AR38" s="33">
        <f>IF(AND(AQ4=0,AQ38&gt;=0), "",AQ38/AQ4)</f>
        <v>0.10217391304347827</v>
      </c>
      <c r="AS38" s="37">
        <f>IF(AND(AQ124=0,AQ38&gt;=0),"",AQ38/AQ124)</f>
        <v>0.94630872483221473</v>
      </c>
      <c r="AT38" s="78">
        <f>+AT39+AT68+AT83+AT93+AT104</f>
        <v>0</v>
      </c>
      <c r="AU38" s="33" t="str">
        <f>IF(AND(AT4=0,AT38&gt;=0), "",AT38/AT4)</f>
        <v/>
      </c>
      <c r="AV38" s="37">
        <f t="shared" ref="AV38:AV69" si="50">IF(AND(AT38=0,AQ38&gt;0),100%,IF(AND(AT38&lt;0,AQ38=0),(AT38-AQ38)/AT38,IF(AND(AT38&gt;0,AQ38&gt;0),(AQ38-AT38)/AT38,IF(AND(AT38=0,AQ38=0),"",(AQ38-AT38)/AT38))))</f>
        <v>1</v>
      </c>
      <c r="AW38" s="78">
        <f>+AW39+AW68+AW83+AW93+AW104</f>
        <v>235</v>
      </c>
      <c r="AX38" s="33">
        <f>IF(AND(AW4=0,AW38&gt;=0), "",AW38/AW4)</f>
        <v>0.10217391304347824</v>
      </c>
      <c r="AY38" s="37">
        <f>IF(AND(AW124=0,AW38&gt;=0),"",AW38/AW124)</f>
        <v>0.94630872483221473</v>
      </c>
      <c r="AZ38" s="78">
        <f>+AZ39+AZ68+AZ83+AZ93+AZ104</f>
        <v>0</v>
      </c>
      <c r="BA38" s="33" t="str">
        <f>IF(AND(AZ4=0,AZ38&gt;=0), "",AZ38/AZ4)</f>
        <v/>
      </c>
      <c r="BB38" s="37">
        <f t="shared" ref="BB38:BB69" si="51">IF(AND(AZ38=0,AW38&gt;0),100%,IF(AND(AZ38&lt;0,AW38=0),(AZ38-AW38)/AZ38,IF(AND(AZ38&gt;0,AW38&gt;0),(AW38-AZ38)/AZ38,IF(AND(AZ38=0,AW38=0),"",(AW38-AZ38)/AZ38))))</f>
        <v>1</v>
      </c>
      <c r="BC38" s="76">
        <f>+BC39+BC68+BC83+BC93+BC104</f>
        <v>0</v>
      </c>
      <c r="BD38" s="33" t="str">
        <f>IF(AND(BC4=0,BC38&gt;=0), "",BC38/BC4)</f>
        <v/>
      </c>
      <c r="BE38" s="37" t="str">
        <f>IF(AND(BC124=0,BC38&gt;=0),"",BC38/BC124)</f>
        <v/>
      </c>
      <c r="BF38" s="33" t="str">
        <f t="shared" ref="BF38:BF69" si="52">IF(AND(AM38=0,BC38&gt;0),100%,IF(AND(AM38&lt;0,BC38=0),(AM38-BC38)/AM38,IF(AND(AM38&gt;0,BC38&gt;0),(BC38-AM38)/AM38,IF(AND(AM38=0,BC38=0),"",(BC38-AM38)/AM38))))</f>
        <v/>
      </c>
      <c r="BG38" s="77">
        <f>+BG39+BG68+BG83+BG93+BG104</f>
        <v>1410</v>
      </c>
      <c r="BH38" s="33">
        <f>IF(AND(BG4=0,BG38&gt;=0), "",BG38/BG4)</f>
        <v>0.10217391304347827</v>
      </c>
      <c r="BI38" s="37">
        <f>IF(AND(BG124=0,BG38&gt;=0),"",BG38/BG124)</f>
        <v>0.94630872483221473</v>
      </c>
      <c r="BJ38" s="76">
        <f>+BJ39+BJ68+BJ83+BJ93+BJ104</f>
        <v>0</v>
      </c>
      <c r="BK38" s="33" t="str">
        <f>IF(AND(BJ4=0,BJ38&gt;=0), "",BJ38/BJ4)</f>
        <v/>
      </c>
      <c r="BL38" s="37" t="str">
        <f>IF(AND(BJ124=0,BJ38&gt;=0),"",BJ38/BJ124)</f>
        <v/>
      </c>
      <c r="BM38" s="33" t="str">
        <f t="shared" si="40"/>
        <v/>
      </c>
      <c r="BN38" s="77">
        <f>+BN39+BN68+BN83+BN93+BN104</f>
        <v>1410</v>
      </c>
      <c r="BO38" s="33">
        <f>IF(AND(BN4=0,BN38&gt;=0), "",BN38/BN4)</f>
        <v>0.10217391304347827</v>
      </c>
      <c r="BP38" s="37">
        <f>IF(AND(BN124=0,BN38&gt;=0),"",BN38/BN124)</f>
        <v>0.94630872483221473</v>
      </c>
      <c r="BQ38" s="76">
        <f>+BQ39+BQ68+BQ83+BQ93+BQ104</f>
        <v>0</v>
      </c>
      <c r="BR38" s="33" t="str">
        <f>IF(AND(BQ4=0,BQ38&gt;=0), "",BQ38/BQ4)</f>
        <v/>
      </c>
      <c r="BS38" s="37" t="str">
        <f>IF(AND(BQ124=0,BQ38&gt;=0),"",BQ38/BQ124)</f>
        <v/>
      </c>
      <c r="BT38" s="33" t="str">
        <f t="shared" si="41"/>
        <v/>
      </c>
      <c r="BU38" s="77">
        <f>+BU39+BU68+BU83+BU93+BU104</f>
        <v>1410</v>
      </c>
      <c r="BV38" s="33">
        <f>IF(AND(BU4=0,BU38&gt;=0), "",BU38/BU4)</f>
        <v>0.10217391304347827</v>
      </c>
      <c r="BW38" s="37">
        <f>IF(AND(BU124=0,BU38&gt;=0),"",BU38/BU124)</f>
        <v>0.94630872483221473</v>
      </c>
      <c r="BX38" s="78">
        <f>+BX39+BX68+BX83+BX93+BX104</f>
        <v>0</v>
      </c>
      <c r="BY38" s="33" t="str">
        <f>IF(AND(BX4=0,BX38&gt;=0), "",BX38/BX4)</f>
        <v/>
      </c>
      <c r="BZ38" s="37">
        <f t="shared" si="42"/>
        <v>1</v>
      </c>
      <c r="CA38" s="76">
        <f>+CA39+CA68+CA83+CA93+CA104</f>
        <v>0</v>
      </c>
      <c r="CB38" s="33" t="str">
        <f>IF(AND(CA4=0,CA38&gt;=0), "",CA38/CA4)</f>
        <v/>
      </c>
      <c r="CC38" s="37" t="str">
        <f>IF(AND(CA124=0,CA38&gt;=0),"",CA38/CA124)</f>
        <v/>
      </c>
      <c r="CD38" s="33" t="str">
        <f t="shared" ref="CD38:CD69" si="53">IF(AND(BQ38=0,CA38&gt;0),100%,IF(AND(BQ38&lt;0,CA38=0),(BQ38-CA38)/BQ38,IF(AND(BQ38&gt;0,CA38&gt;0),(CA38-BQ38)/BQ38,IF(AND(BQ38=0,CA38=0),"",(CA38-BQ38)/BQ38))))</f>
        <v/>
      </c>
      <c r="CE38" s="77">
        <f>+CE39+CE68+CE83+CE93+CE104</f>
        <v>1410</v>
      </c>
      <c r="CF38" s="33">
        <f>IF(AND(CE4=0,CE38&gt;=0), "",CE38/CE4)</f>
        <v>0.10217391304347827</v>
      </c>
      <c r="CG38" s="37">
        <f>IF(AND(CE124=0,CE38&gt;=0),"",CE38/CE124)</f>
        <v>0.94630872483221473</v>
      </c>
      <c r="CH38" s="76">
        <f>+CH39+CH68+CH83+CH93+CH104</f>
        <v>0</v>
      </c>
      <c r="CI38" s="33" t="str">
        <f>IF(AND(CH4=0,CH38&gt;=0), "",CH38/CH4)</f>
        <v/>
      </c>
      <c r="CJ38" s="37" t="str">
        <f>IF(AND(CH124=0,CH38&gt;=0),"",CH38/CH124)</f>
        <v/>
      </c>
      <c r="CK38" s="33" t="str">
        <f t="shared" si="43"/>
        <v/>
      </c>
      <c r="CL38" s="77">
        <f>+CL39+CL68+CL83+CL93+CL104</f>
        <v>1410</v>
      </c>
      <c r="CM38" s="33">
        <f>IF(AND(CL4=0,CL38&gt;=0), "",CL38/CL4)</f>
        <v>0.10217391304347827</v>
      </c>
      <c r="CN38" s="37">
        <f>IF(AND(CL124=0,CL38&gt;=0),"",CL38/CL124)</f>
        <v>0.94630872483221473</v>
      </c>
      <c r="CO38" s="76">
        <f>+CO39+CO68+CO83+CO93+CO104</f>
        <v>0</v>
      </c>
      <c r="CP38" s="33" t="str">
        <f>IF(AND(CO4=0,CO38&gt;=0), "",CO38/CO4)</f>
        <v/>
      </c>
      <c r="CQ38" s="37" t="str">
        <f>IF(AND(CO124=0,CO38&gt;=0),"",CO38/CO124)</f>
        <v/>
      </c>
      <c r="CR38" s="33" t="str">
        <f t="shared" si="44"/>
        <v/>
      </c>
      <c r="CS38" s="77">
        <f>+CS39+CS68+CS83+CS93+CS104</f>
        <v>1410</v>
      </c>
      <c r="CT38" s="33">
        <f>IF(AND(CS4=0,CS38&gt;=0), "",CS38/CS4)</f>
        <v>0.10217391304347827</v>
      </c>
      <c r="CU38" s="37">
        <f>IF(AND(CS124=0,CS38&gt;=0),"",CS38/CS124)</f>
        <v>0.94630872483221473</v>
      </c>
      <c r="CV38" s="78">
        <f>+CV39+CV68+CV83+CV93+CV104</f>
        <v>0</v>
      </c>
      <c r="CW38" s="33" t="str">
        <f>IF(AND(CV4=0,CV38&gt;=0), "",CV38/CV4)</f>
        <v/>
      </c>
      <c r="CX38" s="37">
        <f t="shared" si="45"/>
        <v>1</v>
      </c>
      <c r="CY38" s="26">
        <f>+CS38/9</f>
        <v>156.66666666666666</v>
      </c>
      <c r="CZ38" s="26">
        <f>+B38/12</f>
        <v>0</v>
      </c>
      <c r="DA38" s="218" t="e">
        <f>+(CY38-CZ38)/CZ38</f>
        <v>#DIV/0!</v>
      </c>
    </row>
    <row r="39" spans="1:105" s="6" customFormat="1" x14ac:dyDescent="0.25">
      <c r="A39" s="34" t="s">
        <v>60</v>
      </c>
      <c r="B39" s="79">
        <f>SUM(B40:B67)</f>
        <v>0</v>
      </c>
      <c r="C39" s="35" t="str">
        <f>IF(AND(B4=0,B39&gt;=0), "",B39/B4)</f>
        <v/>
      </c>
      <c r="D39" s="38" t="str">
        <f>IF(AND(B124=0,B39&gt;=0),"",B39/B124)</f>
        <v/>
      </c>
      <c r="E39" s="79">
        <f>SUM(E40:E67)</f>
        <v>540</v>
      </c>
      <c r="F39" s="35">
        <f>IF(AND(E4=0,E39&gt;=0), "",E39/E4)</f>
        <v>3.9130434782608699E-2</v>
      </c>
      <c r="G39" s="38">
        <f>IF(AND(E124=0,E39&gt;=0),"",E39/E124)</f>
        <v>0.36241610738255031</v>
      </c>
      <c r="H39" s="79">
        <f>SUM(H40:H67)</f>
        <v>0</v>
      </c>
      <c r="I39" s="35" t="str">
        <f>IF(AND(H4=0,H39&gt;=0), "",H39/H4)</f>
        <v/>
      </c>
      <c r="J39" s="38" t="str">
        <f>IF(AND(H124=0,H39&gt;=0),"",H39/H124)</f>
        <v/>
      </c>
      <c r="K39" s="35">
        <f t="shared" si="46"/>
        <v>-1</v>
      </c>
      <c r="L39" s="80">
        <f>SUM(L40:L67)</f>
        <v>540</v>
      </c>
      <c r="M39" s="35">
        <f>IF(AND(L4=0,L39&gt;=0), "",L39/L4)</f>
        <v>3.9130434782608699E-2</v>
      </c>
      <c r="N39" s="38">
        <f>IF(AND(L124=0,L39&gt;=0),"",L39/L124)</f>
        <v>0.36241610738255031</v>
      </c>
      <c r="O39" s="79">
        <f>SUM(O40:O67)</f>
        <v>0</v>
      </c>
      <c r="P39" s="35" t="str">
        <f>IF(AND(O4=0,O39&gt;=0), "",O39/O4)</f>
        <v/>
      </c>
      <c r="Q39" s="38" t="str">
        <f>IF(AND(O124=0,O39&gt;=0),"",O39/O124)</f>
        <v/>
      </c>
      <c r="R39" s="35" t="str">
        <f t="shared" si="47"/>
        <v/>
      </c>
      <c r="S39" s="80">
        <f>SUM(S40:S67)</f>
        <v>540</v>
      </c>
      <c r="T39" s="35">
        <f>IF(AND(S4=0,S39&gt;=0), "",S39/S4)</f>
        <v>3.9130434782608699E-2</v>
      </c>
      <c r="U39" s="38">
        <f>IF(AND(S124=0,S39&gt;=0),"",S39/S124)</f>
        <v>0.36241610738255031</v>
      </c>
      <c r="V39" s="81">
        <f>SUM(V40:V67)</f>
        <v>0</v>
      </c>
      <c r="W39" s="35" t="str">
        <f>IF(AND(V4=0,V39&gt;=0), "",V39/V4)</f>
        <v/>
      </c>
      <c r="X39" s="51">
        <f t="shared" si="48"/>
        <v>1</v>
      </c>
      <c r="Y39" s="79">
        <f>SUM(Y40:Y67)</f>
        <v>0</v>
      </c>
      <c r="Z39" s="35" t="str">
        <f>IF(AND(Y4=0,Y39&gt;=0), "",Y39/Y4)</f>
        <v/>
      </c>
      <c r="AA39" s="38" t="str">
        <f>IF(AND(Y124=0,Y39&gt;=0),"",Y39/Y124)</f>
        <v/>
      </c>
      <c r="AB39" s="35" t="str">
        <f t="shared" si="49"/>
        <v/>
      </c>
      <c r="AC39" s="80">
        <f>SUM(AC40:AC67)</f>
        <v>540</v>
      </c>
      <c r="AD39" s="35">
        <f>IF(AND(AC4=0,AC39&gt;=0), "",AC39/AC4)</f>
        <v>3.9130434782608699E-2</v>
      </c>
      <c r="AE39" s="38">
        <f>IF(AND(AC124=0,AC39&gt;=0),"",AC39/AC124)</f>
        <v>0.36241610738255031</v>
      </c>
      <c r="AF39" s="79">
        <f>SUM(AF40:AF67)</f>
        <v>0</v>
      </c>
      <c r="AG39" s="35" t="str">
        <f>IF(AND(AF4=0,AF39&gt;=0), "",AF39/AF4)</f>
        <v/>
      </c>
      <c r="AH39" s="38" t="str">
        <f>IF(AND(AF124=0,AF39&gt;=0),"",AF39/AF124)</f>
        <v/>
      </c>
      <c r="AI39" s="35" t="str">
        <f t="shared" si="38"/>
        <v/>
      </c>
      <c r="AJ39" s="80">
        <f>SUM(AJ40:AJ67)</f>
        <v>540</v>
      </c>
      <c r="AK39" s="35">
        <f>IF(AND(AJ4=0,AJ39&gt;=0), "",AJ39/AJ4)</f>
        <v>3.9130434782608699E-2</v>
      </c>
      <c r="AL39" s="38">
        <f>IF(AND(AJ124=0,AJ39&gt;=0),"",AJ39/AJ124)</f>
        <v>0.36241610738255031</v>
      </c>
      <c r="AM39" s="79">
        <f>SUM(AM40:AM67)</f>
        <v>0</v>
      </c>
      <c r="AN39" s="35" t="str">
        <f>IF(AND(AM4=0,AM39&gt;=0), "",AM39/AM4)</f>
        <v/>
      </c>
      <c r="AO39" s="38" t="str">
        <f>IF(AND(AM124=0,AM39&gt;=0),"",AM39/AM124)</f>
        <v/>
      </c>
      <c r="AP39" s="35" t="str">
        <f t="shared" si="39"/>
        <v/>
      </c>
      <c r="AQ39" s="80">
        <f>SUM(AQ40:AQ67)</f>
        <v>540</v>
      </c>
      <c r="AR39" s="35">
        <f>IF(AND(AQ4=0,AQ39&gt;=0), "",AQ39/AQ4)</f>
        <v>3.9130434782608699E-2</v>
      </c>
      <c r="AS39" s="38">
        <f>IF(AND(AQ124=0,AQ39&gt;=0),"",AQ39/AQ124)</f>
        <v>0.36241610738255031</v>
      </c>
      <c r="AT39" s="81">
        <f>SUM(AT40:AT67)</f>
        <v>0</v>
      </c>
      <c r="AU39" s="35" t="str">
        <f>IF(AND(AT4=0,AT39&gt;=0), "",AT39/AT4)</f>
        <v/>
      </c>
      <c r="AV39" s="51">
        <f t="shared" si="50"/>
        <v>1</v>
      </c>
      <c r="AW39" s="81">
        <f>SUM(AW40:AW67)</f>
        <v>90.000000000000014</v>
      </c>
      <c r="AX39" s="35">
        <f>IF(AND(AW4=0,AW39&gt;=0), "",AW39/AW4)</f>
        <v>3.9130434782608692E-2</v>
      </c>
      <c r="AY39" s="38">
        <f>IF(AND(AW124=0,AW39&gt;=0),"",AW39/AW124)</f>
        <v>0.36241610738255037</v>
      </c>
      <c r="AZ39" s="81">
        <f>SUM(AZ40:AZ67)</f>
        <v>0</v>
      </c>
      <c r="BA39" s="35" t="str">
        <f>IF(AND(AZ4=0,AZ39&gt;=0), "",AZ39/AZ4)</f>
        <v/>
      </c>
      <c r="BB39" s="51">
        <f t="shared" si="51"/>
        <v>1</v>
      </c>
      <c r="BC39" s="79">
        <f>SUM(BC40:BC67)</f>
        <v>0</v>
      </c>
      <c r="BD39" s="35" t="str">
        <f>IF(AND(BC4=0,BC39&gt;=0), "",BC39/BC4)</f>
        <v/>
      </c>
      <c r="BE39" s="38" t="str">
        <f>IF(AND(BC124=0,BC39&gt;=0),"",BC39/BC124)</f>
        <v/>
      </c>
      <c r="BF39" s="35" t="str">
        <f t="shared" si="52"/>
        <v/>
      </c>
      <c r="BG39" s="80">
        <f>SUM(BG40:BG67)</f>
        <v>540</v>
      </c>
      <c r="BH39" s="35">
        <f>IF(AND(BG4=0,BG39&gt;=0), "",BG39/BG4)</f>
        <v>3.9130434782608699E-2</v>
      </c>
      <c r="BI39" s="38">
        <f>IF(AND(BG124=0,BG39&gt;=0),"",BG39/BG124)</f>
        <v>0.36241610738255031</v>
      </c>
      <c r="BJ39" s="79">
        <f>SUM(BJ40:BJ67)</f>
        <v>0</v>
      </c>
      <c r="BK39" s="35" t="str">
        <f>IF(AND(BJ4=0,BJ39&gt;=0), "",BJ39/BJ4)</f>
        <v/>
      </c>
      <c r="BL39" s="38" t="str">
        <f>IF(AND(BJ124=0,BJ39&gt;=0),"",BJ39/BJ124)</f>
        <v/>
      </c>
      <c r="BM39" s="35" t="str">
        <f t="shared" si="40"/>
        <v/>
      </c>
      <c r="BN39" s="80">
        <f>SUM(BN40:BN67)</f>
        <v>540</v>
      </c>
      <c r="BO39" s="35">
        <f>IF(AND(BN4=0,BN39&gt;=0), "",BN39/BN4)</f>
        <v>3.9130434782608699E-2</v>
      </c>
      <c r="BP39" s="38">
        <f>IF(AND(BN124=0,BN39&gt;=0),"",BN39/BN124)</f>
        <v>0.36241610738255031</v>
      </c>
      <c r="BQ39" s="79">
        <f>SUM(BQ40:BQ67)</f>
        <v>0</v>
      </c>
      <c r="BR39" s="35" t="str">
        <f>IF(AND(BQ4=0,BQ39&gt;=0), "",BQ39/BQ4)</f>
        <v/>
      </c>
      <c r="BS39" s="38" t="str">
        <f>IF(AND(BQ124=0,BQ39&gt;=0),"",BQ39/BQ124)</f>
        <v/>
      </c>
      <c r="BT39" s="35" t="str">
        <f t="shared" si="41"/>
        <v/>
      </c>
      <c r="BU39" s="80">
        <f>SUM(BU40:BU67)</f>
        <v>540</v>
      </c>
      <c r="BV39" s="35">
        <f>IF(AND(BU4=0,BU39&gt;=0), "",BU39/BU4)</f>
        <v>3.9130434782608699E-2</v>
      </c>
      <c r="BW39" s="38">
        <f>IF(AND(BU124=0,BU39&gt;=0),"",BU39/BU124)</f>
        <v>0.36241610738255031</v>
      </c>
      <c r="BX39" s="81">
        <f>SUM(BX40:BX67)</f>
        <v>0</v>
      </c>
      <c r="BY39" s="35" t="str">
        <f>IF(AND(BX4=0,BX39&gt;=0), "",BX39/BX4)</f>
        <v/>
      </c>
      <c r="BZ39" s="51">
        <f t="shared" si="42"/>
        <v>1</v>
      </c>
      <c r="CA39" s="79">
        <f>SUM(CA40:CA67)</f>
        <v>0</v>
      </c>
      <c r="CB39" s="35" t="str">
        <f>IF(AND(CA4=0,CA39&gt;=0), "",CA39/CA4)</f>
        <v/>
      </c>
      <c r="CC39" s="38" t="str">
        <f>IF(AND(CA124=0,CA39&gt;=0),"",CA39/CA124)</f>
        <v/>
      </c>
      <c r="CD39" s="35" t="str">
        <f t="shared" si="53"/>
        <v/>
      </c>
      <c r="CE39" s="80">
        <f>SUM(CE40:CE67)</f>
        <v>540</v>
      </c>
      <c r="CF39" s="35">
        <f>IF(AND(CE4=0,CE39&gt;=0), "",CE39/CE4)</f>
        <v>3.9130434782608699E-2</v>
      </c>
      <c r="CG39" s="38">
        <f>IF(AND(CE124=0,CE39&gt;=0),"",CE39/CE124)</f>
        <v>0.36241610738255031</v>
      </c>
      <c r="CH39" s="79">
        <f>SUM(CH40:CH67)</f>
        <v>0</v>
      </c>
      <c r="CI39" s="35" t="str">
        <f>IF(AND(CH4=0,CH39&gt;=0), "",CH39/CH4)</f>
        <v/>
      </c>
      <c r="CJ39" s="38" t="str">
        <f>IF(AND(CH124=0,CH39&gt;=0),"",CH39/CH124)</f>
        <v/>
      </c>
      <c r="CK39" s="35" t="str">
        <f t="shared" si="43"/>
        <v/>
      </c>
      <c r="CL39" s="80">
        <f>SUM(CL40:CL67)</f>
        <v>540</v>
      </c>
      <c r="CM39" s="35">
        <f>IF(AND(CL4=0,CL39&gt;=0), "",CL39/CL4)</f>
        <v>3.9130434782608699E-2</v>
      </c>
      <c r="CN39" s="38">
        <f>IF(AND(CL124=0,CL39&gt;=0),"",CL39/CL124)</f>
        <v>0.36241610738255031</v>
      </c>
      <c r="CO39" s="79">
        <f>SUM(CO40:CO67)</f>
        <v>0</v>
      </c>
      <c r="CP39" s="35" t="str">
        <f>IF(AND(CO4=0,CO39&gt;=0), "",CO39/CO4)</f>
        <v/>
      </c>
      <c r="CQ39" s="38" t="str">
        <f>IF(AND(CO124=0,CO39&gt;=0),"",CO39/CO124)</f>
        <v/>
      </c>
      <c r="CR39" s="35" t="str">
        <f t="shared" si="44"/>
        <v/>
      </c>
      <c r="CS39" s="80">
        <f>SUM(CS40:CS67)</f>
        <v>540</v>
      </c>
      <c r="CT39" s="35">
        <f>IF(AND(CS4=0,CS39&gt;=0), "",CS39/CS4)</f>
        <v>3.9130434782608699E-2</v>
      </c>
      <c r="CU39" s="38">
        <f>IF(AND(CS124=0,CS39&gt;=0),"",CS39/CS124)</f>
        <v>0.36241610738255031</v>
      </c>
      <c r="CV39" s="81">
        <f>SUM(CV40:CV67)</f>
        <v>0</v>
      </c>
      <c r="CW39" s="35" t="str">
        <f>IF(AND(CV4=0,CV39&gt;=0), "",CV39/CV4)</f>
        <v/>
      </c>
      <c r="CX39" s="51">
        <f t="shared" si="45"/>
        <v>1</v>
      </c>
    </row>
    <row r="40" spans="1:105" outlineLevel="1" x14ac:dyDescent="0.25">
      <c r="A40" s="27" t="s">
        <v>61</v>
      </c>
      <c r="B40" s="82">
        <f>+'N EERR'!B39</f>
        <v>0</v>
      </c>
      <c r="C40" s="28" t="str">
        <f>IF(AND(B4=0,B40&gt;=0), "",B40/B4)</f>
        <v/>
      </c>
      <c r="D40" s="42" t="str">
        <f>IF(AND(B124=0,B40&gt;=0),"",B40/B124)</f>
        <v/>
      </c>
      <c r="E40" s="82">
        <f>+'N EERR'!C39</f>
        <v>10</v>
      </c>
      <c r="F40" s="28">
        <f>IF(AND(E4=0,E40&gt;=0), "",E40/E4)</f>
        <v>7.246376811594203E-4</v>
      </c>
      <c r="G40" s="42">
        <f>IF(AND(E124=0,E40&gt;=0),"",E40/E124)</f>
        <v>6.7114093959731542E-3</v>
      </c>
      <c r="H40" s="82">
        <f>+'N EERR'!D39</f>
        <v>0</v>
      </c>
      <c r="I40" s="28" t="str">
        <f>IF(AND(H4=0,H40&gt;=0), "",H40/H4)</f>
        <v/>
      </c>
      <c r="J40" s="42" t="str">
        <f>IF(AND(H124=0,H40&gt;=0),"",H40/H124)</f>
        <v/>
      </c>
      <c r="K40" s="28">
        <f t="shared" si="46"/>
        <v>-1</v>
      </c>
      <c r="L40" s="83">
        <f>+E40+H40</f>
        <v>10</v>
      </c>
      <c r="M40" s="28">
        <f>IF(AND(L4=0,L40&gt;=0), "",L40/L4)</f>
        <v>7.246376811594203E-4</v>
      </c>
      <c r="N40" s="42">
        <f>IF(AND(L124=0,L40&gt;=0),"",L40/L124)</f>
        <v>6.7114093959731542E-3</v>
      </c>
      <c r="O40" s="82">
        <f>+'N EERR'!E39</f>
        <v>0</v>
      </c>
      <c r="P40" s="28" t="str">
        <f>IF(AND(O4=0,O40&gt;=0), "",O40/O4)</f>
        <v/>
      </c>
      <c r="Q40" s="42" t="str">
        <f>IF(AND(O124=0,O40&gt;=0),"",O40/O124)</f>
        <v/>
      </c>
      <c r="R40" s="28" t="str">
        <f t="shared" si="47"/>
        <v/>
      </c>
      <c r="S40" s="83">
        <f>+L40+O40</f>
        <v>10</v>
      </c>
      <c r="T40" s="28">
        <f>IF(AND(S4=0,S40&gt;=0), "",S40/S4)</f>
        <v>7.246376811594203E-4</v>
      </c>
      <c r="U40" s="42">
        <f>IF(AND(S124=0,S40&gt;=0),"",S40/S124)</f>
        <v>6.7114093959731542E-3</v>
      </c>
      <c r="V40" s="84"/>
      <c r="W40" s="28" t="str">
        <f>IF(AND(V4=0,V40&gt;=0), "",V40/V4)</f>
        <v/>
      </c>
      <c r="X40" s="42">
        <f t="shared" si="48"/>
        <v>1</v>
      </c>
      <c r="Y40" s="82">
        <f>+'N EERR'!F39</f>
        <v>0</v>
      </c>
      <c r="Z40" s="28" t="str">
        <f>IF(AND(Y4=0,Y40&gt;=0), "",Y40/Y4)</f>
        <v/>
      </c>
      <c r="AA40" s="42" t="str">
        <f>IF(AND(Y124=0,Y40&gt;=0),"",Y40/Y124)</f>
        <v/>
      </c>
      <c r="AB40" s="28" t="str">
        <f t="shared" si="49"/>
        <v/>
      </c>
      <c r="AC40" s="83">
        <f t="shared" ref="AC40:AC66" si="54">+S40+Y40</f>
        <v>10</v>
      </c>
      <c r="AD40" s="28">
        <f>IF(AND(AC4=0,AC40&gt;=0), "",AC40/AC4)</f>
        <v>7.246376811594203E-4</v>
      </c>
      <c r="AE40" s="42">
        <f>IF(AND(AC124=0,AC40&gt;=0),"",AC40/AC124)</f>
        <v>6.7114093959731542E-3</v>
      </c>
      <c r="AF40" s="82">
        <f>+'N EERR'!G39</f>
        <v>0</v>
      </c>
      <c r="AG40" s="28" t="str">
        <f>IF(AND(AF4=0,AF40&gt;=0), "",AF40/AF4)</f>
        <v/>
      </c>
      <c r="AH40" s="42" t="str">
        <f>IF(AND(AF124=0,AF40&gt;=0),"",AF40/AF124)</f>
        <v/>
      </c>
      <c r="AI40" s="28" t="str">
        <f t="shared" si="38"/>
        <v/>
      </c>
      <c r="AJ40" s="83">
        <f t="shared" si="16"/>
        <v>10</v>
      </c>
      <c r="AK40" s="28">
        <f>IF(AND(AJ4=0,AJ40&gt;=0), "",AJ40/AJ4)</f>
        <v>7.246376811594203E-4</v>
      </c>
      <c r="AL40" s="42">
        <f>IF(AND(AJ124=0,AJ40&gt;=0),"",AJ40/AJ124)</f>
        <v>6.7114093959731542E-3</v>
      </c>
      <c r="AM40" s="82">
        <f>+'N EERR'!H39</f>
        <v>0</v>
      </c>
      <c r="AN40" s="28" t="str">
        <f>IF(AND(AM4=0,AM40&gt;=0), "",AM40/AM4)</f>
        <v/>
      </c>
      <c r="AO40" s="42" t="str">
        <f>IF(AND(AM124=0,AM40&gt;=0),"",AM40/AM124)</f>
        <v/>
      </c>
      <c r="AP40" s="28" t="str">
        <f t="shared" si="39"/>
        <v/>
      </c>
      <c r="AQ40" s="83">
        <f t="shared" si="17"/>
        <v>10</v>
      </c>
      <c r="AR40" s="28">
        <f>IF(AND(AQ4=0,AQ40&gt;=0), "",AQ40/AQ4)</f>
        <v>7.246376811594203E-4</v>
      </c>
      <c r="AS40" s="42">
        <f>IF(AND(AQ124=0,AQ40&gt;=0),"",AQ40/AQ124)</f>
        <v>6.7114093959731542E-3</v>
      </c>
      <c r="AT40" s="84">
        <f t="shared" ref="AT40:AT67" si="55">+V40*2</f>
        <v>0</v>
      </c>
      <c r="AU40" s="28" t="str">
        <f>IF(AND(AT4=0,AT40&gt;=0), "",AT40/AT4)</f>
        <v/>
      </c>
      <c r="AV40" s="42">
        <f t="shared" si="50"/>
        <v>1</v>
      </c>
      <c r="AW40" s="84">
        <f>+AQ40/6</f>
        <v>1.6666666666666667</v>
      </c>
      <c r="AX40" s="28">
        <f>IF(AND(AW4=0,AW40&gt;=0), "",AW40/AW4)</f>
        <v>7.2463768115942019E-4</v>
      </c>
      <c r="AY40" s="42">
        <f>IF(AND(AW124=0,AW40&gt;=0),"",AW40/AW124)</f>
        <v>6.7114093959731542E-3</v>
      </c>
      <c r="AZ40" s="84">
        <f t="shared" ref="AZ40:AZ67" si="56">+AT40/6</f>
        <v>0</v>
      </c>
      <c r="BA40" s="28" t="str">
        <f>IF(AND(AZ4=0,AZ40&gt;=0), "",AZ40/AZ4)</f>
        <v/>
      </c>
      <c r="BB40" s="42">
        <f t="shared" si="51"/>
        <v>1</v>
      </c>
      <c r="BC40" s="82">
        <f>+'N EERR'!I39</f>
        <v>0</v>
      </c>
      <c r="BD40" s="28" t="str">
        <f>IF(AND(BC4=0,BC40&gt;=0), "",BC40/BC4)</f>
        <v/>
      </c>
      <c r="BE40" s="42" t="str">
        <f>IF(AND(BC124=0,BC40&gt;=0),"",BC40/BC124)</f>
        <v/>
      </c>
      <c r="BF40" s="28" t="str">
        <f t="shared" si="52"/>
        <v/>
      </c>
      <c r="BG40" s="83">
        <f t="shared" ref="BG40:BG67" si="57">+AQ40+BC40</f>
        <v>10</v>
      </c>
      <c r="BH40" s="28">
        <f>IF(AND(BG4=0,BG40&gt;=0), "",BG40/BG4)</f>
        <v>7.246376811594203E-4</v>
      </c>
      <c r="BI40" s="42">
        <f>IF(AND(BG124=0,BG40&gt;=0),"",BG40/BG124)</f>
        <v>6.7114093959731542E-3</v>
      </c>
      <c r="BJ40" s="82">
        <f>+'N EERR'!J39</f>
        <v>0</v>
      </c>
      <c r="BK40" s="28" t="str">
        <f>IF(AND(BJ4=0,BJ40&gt;=0), "",BJ40/BJ4)</f>
        <v/>
      </c>
      <c r="BL40" s="42" t="str">
        <f>IF(AND(BJ124=0,BJ40&gt;=0),"",BJ40/BJ124)</f>
        <v/>
      </c>
      <c r="BM40" s="28" t="str">
        <f t="shared" si="40"/>
        <v/>
      </c>
      <c r="BN40" s="83">
        <f t="shared" ref="BN40:BN67" si="58">+BG40+BJ40</f>
        <v>10</v>
      </c>
      <c r="BO40" s="28">
        <f>IF(AND(BN4=0,BN40&gt;=0), "",BN40/BN4)</f>
        <v>7.246376811594203E-4</v>
      </c>
      <c r="BP40" s="42">
        <f>IF(AND(BN124=0,BN40&gt;=0),"",BN40/BN124)</f>
        <v>6.7114093959731542E-3</v>
      </c>
      <c r="BQ40" s="82">
        <f>+'N EERR'!K39</f>
        <v>0</v>
      </c>
      <c r="BR40" s="28" t="str">
        <f>IF(AND(BQ4=0,BQ40&gt;=0), "",BQ40/BQ4)</f>
        <v/>
      </c>
      <c r="BS40" s="42" t="str">
        <f>IF(AND(BQ124=0,BQ40&gt;=0),"",BQ40/BQ124)</f>
        <v/>
      </c>
      <c r="BT40" s="28" t="str">
        <f t="shared" si="41"/>
        <v/>
      </c>
      <c r="BU40" s="83">
        <f t="shared" ref="BU40:BU67" si="59">+BN40+BQ40</f>
        <v>10</v>
      </c>
      <c r="BV40" s="28">
        <f>IF(AND(BU4=0,BU40&gt;=0), "",BU40/BU4)</f>
        <v>7.246376811594203E-4</v>
      </c>
      <c r="BW40" s="42">
        <f>IF(AND(BU124=0,BU40&gt;=0),"",BU40/BU124)</f>
        <v>6.7114093959731542E-3</v>
      </c>
      <c r="BX40" s="84">
        <f t="shared" ref="BX40:BX67" si="60">+AZ40*9</f>
        <v>0</v>
      </c>
      <c r="BY40" s="28" t="str">
        <f>IF(AND(BX4=0,BX40&gt;=0), "",BX40/BX4)</f>
        <v/>
      </c>
      <c r="BZ40" s="42">
        <f t="shared" si="42"/>
        <v>1</v>
      </c>
      <c r="CA40" s="82">
        <f>+'N EERR'!L39</f>
        <v>0</v>
      </c>
      <c r="CB40" s="28" t="str">
        <f>IF(AND(CA4=0,CA40&gt;=0), "",CA40/CA4)</f>
        <v/>
      </c>
      <c r="CC40" s="42" t="str">
        <f>IF(AND(CA124=0,CA40&gt;=0),"",CA40/CA124)</f>
        <v/>
      </c>
      <c r="CD40" s="28" t="str">
        <f t="shared" si="53"/>
        <v/>
      </c>
      <c r="CE40" s="83">
        <f t="shared" ref="CE40:CE66" si="61">+BU40+CA40</f>
        <v>10</v>
      </c>
      <c r="CF40" s="28">
        <f>IF(AND(CE4=0,CE40&gt;=0), "",CE40/CE4)</f>
        <v>7.246376811594203E-4</v>
      </c>
      <c r="CG40" s="42">
        <f>IF(AND(CE124=0,CE40&gt;=0),"",CE40/CE124)</f>
        <v>6.7114093959731542E-3</v>
      </c>
      <c r="CH40" s="82">
        <f>+'N EERR'!M39</f>
        <v>0</v>
      </c>
      <c r="CI40" s="28" t="str">
        <f>IF(AND(CH4=0,CH40&gt;=0), "",CH40/CH4)</f>
        <v/>
      </c>
      <c r="CJ40" s="42" t="str">
        <f>IF(AND(CH124=0,CH40&gt;=0),"",CH40/CH124)</f>
        <v/>
      </c>
      <c r="CK40" s="28" t="str">
        <f t="shared" si="43"/>
        <v/>
      </c>
      <c r="CL40" s="83">
        <f t="shared" ref="CL40:CL67" si="62">+CE40+CH40</f>
        <v>10</v>
      </c>
      <c r="CM40" s="28">
        <f>IF(AND(CL4=0,CL40&gt;=0), "",CL40/CL4)</f>
        <v>7.246376811594203E-4</v>
      </c>
      <c r="CN40" s="42">
        <f>IF(AND(CL124=0,CL40&gt;=0),"",CL40/CL124)</f>
        <v>6.7114093959731542E-3</v>
      </c>
      <c r="CO40" s="82">
        <f>+'N EERR'!N39</f>
        <v>0</v>
      </c>
      <c r="CP40" s="28" t="str">
        <f>IF(AND(CO4=0,CO40&gt;=0), "",CO40/CO4)</f>
        <v/>
      </c>
      <c r="CQ40" s="42" t="str">
        <f>IF(AND(CO124=0,CO40&gt;=0),"",CO40/CO124)</f>
        <v/>
      </c>
      <c r="CR40" s="28" t="str">
        <f t="shared" si="44"/>
        <v/>
      </c>
      <c r="CS40" s="83">
        <f t="shared" ref="CS40:CS67" si="63">+CL40+CO40</f>
        <v>10</v>
      </c>
      <c r="CT40" s="28">
        <f>IF(AND(CS4=0,CS40&gt;=0), "",CS40/CS4)</f>
        <v>7.246376811594203E-4</v>
      </c>
      <c r="CU40" s="42">
        <f>IF(AND(CS124=0,CS40&gt;=0),"",CS40/CS124)</f>
        <v>6.7114093959731542E-3</v>
      </c>
      <c r="CV40" s="84">
        <f t="shared" ref="CV40:CV67" si="64">+AZ40*12</f>
        <v>0</v>
      </c>
      <c r="CW40" s="28" t="str">
        <f>IF(AND(CV4=0,CV40&gt;=0), "",CV40/CV4)</f>
        <v/>
      </c>
      <c r="CX40" s="42">
        <f t="shared" si="45"/>
        <v>1</v>
      </c>
    </row>
    <row r="41" spans="1:105" outlineLevel="1" x14ac:dyDescent="0.25">
      <c r="A41" s="27" t="s">
        <v>3</v>
      </c>
      <c r="B41" s="82">
        <f>+'N EERR'!B40</f>
        <v>0</v>
      </c>
      <c r="C41" s="28" t="str">
        <f>IF(AND(B4=0,B41&gt;=0), "",B41/B4)</f>
        <v/>
      </c>
      <c r="D41" s="42" t="str">
        <f>IF(AND(B124=0,B41&gt;=0),"",B41/B124)</f>
        <v/>
      </c>
      <c r="E41" s="82">
        <f>+'N EERR'!C40</f>
        <v>10</v>
      </c>
      <c r="F41" s="28">
        <f>IF(AND(E4=0,E41&gt;=0), "",E41/E4)</f>
        <v>7.246376811594203E-4</v>
      </c>
      <c r="G41" s="42">
        <f>IF(AND(E124=0,E41&gt;=0),"",E41/E124)</f>
        <v>6.7114093959731542E-3</v>
      </c>
      <c r="H41" s="82">
        <f>+'N EERR'!D40</f>
        <v>0</v>
      </c>
      <c r="I41" s="28" t="str">
        <f>IF(AND(H4=0,H41&gt;=0), "",H41/H4)</f>
        <v/>
      </c>
      <c r="J41" s="42" t="str">
        <f>IF(AND(H124=0,H41&gt;=0),"",H41/H124)</f>
        <v/>
      </c>
      <c r="K41" s="28">
        <f t="shared" si="46"/>
        <v>-1</v>
      </c>
      <c r="L41" s="83">
        <f t="shared" ref="L41:L66" si="65">+E41+H41</f>
        <v>10</v>
      </c>
      <c r="M41" s="28">
        <f>IF(AND(L4=0,L41&gt;=0), "",L41/L4)</f>
        <v>7.246376811594203E-4</v>
      </c>
      <c r="N41" s="42">
        <f>IF(AND(L124=0,L41&gt;=0),"",L41/L124)</f>
        <v>6.7114093959731542E-3</v>
      </c>
      <c r="O41" s="82">
        <f>+'N EERR'!E40</f>
        <v>0</v>
      </c>
      <c r="P41" s="28" t="str">
        <f>IF(AND(O4=0,O41&gt;=0), "",O41/O4)</f>
        <v/>
      </c>
      <c r="Q41" s="42" t="str">
        <f>IF(AND(O124=0,O41&gt;=0),"",O41/O124)</f>
        <v/>
      </c>
      <c r="R41" s="28" t="str">
        <f t="shared" si="47"/>
        <v/>
      </c>
      <c r="S41" s="83">
        <f t="shared" ref="S41:S66" si="66">+L41+O41</f>
        <v>10</v>
      </c>
      <c r="T41" s="28">
        <f>IF(AND(S4=0,S41&gt;=0), "",S41/S4)</f>
        <v>7.246376811594203E-4</v>
      </c>
      <c r="U41" s="42">
        <f>IF(AND(S124=0,S41&gt;=0),"",S41/S124)</f>
        <v>6.7114093959731542E-3</v>
      </c>
      <c r="V41" s="84"/>
      <c r="W41" s="28" t="str">
        <f>IF(AND(V4=0,V41&gt;=0), "",V41/V4)</f>
        <v/>
      </c>
      <c r="X41" s="42">
        <f t="shared" si="48"/>
        <v>1</v>
      </c>
      <c r="Y41" s="82">
        <f>+'N EERR'!F40</f>
        <v>0</v>
      </c>
      <c r="Z41" s="28" t="str">
        <f>IF(AND(Y4=0,Y41&gt;=0), "",Y41/Y4)</f>
        <v/>
      </c>
      <c r="AA41" s="42" t="str">
        <f>IF(AND(Y124=0,Y41&gt;=0),"",Y41/Y124)</f>
        <v/>
      </c>
      <c r="AB41" s="28" t="str">
        <f t="shared" si="49"/>
        <v/>
      </c>
      <c r="AC41" s="83">
        <f t="shared" si="54"/>
        <v>10</v>
      </c>
      <c r="AD41" s="28">
        <f>IF(AND(AC4=0,AC41&gt;=0), "",AC41/AC4)</f>
        <v>7.246376811594203E-4</v>
      </c>
      <c r="AE41" s="42">
        <f>IF(AND(AC124=0,AC41&gt;=0),"",AC41/AC124)</f>
        <v>6.7114093959731542E-3</v>
      </c>
      <c r="AF41" s="82">
        <f>+'N EERR'!G40</f>
        <v>0</v>
      </c>
      <c r="AG41" s="28" t="str">
        <f>IF(AND(AF4=0,AF41&gt;=0), "",AF41/AF4)</f>
        <v/>
      </c>
      <c r="AH41" s="42" t="str">
        <f>IF(AND(AF124=0,AF41&gt;=0),"",AF41/AF124)</f>
        <v/>
      </c>
      <c r="AI41" s="28" t="str">
        <f t="shared" si="38"/>
        <v/>
      </c>
      <c r="AJ41" s="83">
        <f t="shared" si="16"/>
        <v>10</v>
      </c>
      <c r="AK41" s="28">
        <f>IF(AND(AJ4=0,AJ41&gt;=0), "",AJ41/AJ4)</f>
        <v>7.246376811594203E-4</v>
      </c>
      <c r="AL41" s="42">
        <f>IF(AND(AJ124=0,AJ41&gt;=0),"",AJ41/AJ124)</f>
        <v>6.7114093959731542E-3</v>
      </c>
      <c r="AM41" s="82">
        <f>+'N EERR'!H40</f>
        <v>0</v>
      </c>
      <c r="AN41" s="28" t="str">
        <f>IF(AND(AM4=0,AM41&gt;=0), "",AM41/AM4)</f>
        <v/>
      </c>
      <c r="AO41" s="42" t="str">
        <f>IF(AND(AM124=0,AM41&gt;=0),"",AM41/AM124)</f>
        <v/>
      </c>
      <c r="AP41" s="28" t="str">
        <f t="shared" si="39"/>
        <v/>
      </c>
      <c r="AQ41" s="83">
        <f t="shared" si="17"/>
        <v>10</v>
      </c>
      <c r="AR41" s="28">
        <f>IF(AND(AQ4=0,AQ41&gt;=0), "",AQ41/AQ4)</f>
        <v>7.246376811594203E-4</v>
      </c>
      <c r="AS41" s="42">
        <f>IF(AND(AQ124=0,AQ41&gt;=0),"",AQ41/AQ124)</f>
        <v>6.7114093959731542E-3</v>
      </c>
      <c r="AT41" s="84">
        <f t="shared" si="55"/>
        <v>0</v>
      </c>
      <c r="AU41" s="28" t="str">
        <f>IF(AND(AT4=0,AT41&gt;=0), "",AT41/AT4)</f>
        <v/>
      </c>
      <c r="AV41" s="42">
        <f t="shared" si="50"/>
        <v>1</v>
      </c>
      <c r="AW41" s="84">
        <f t="shared" ref="AW41:AW102" si="67">+AQ41/6</f>
        <v>1.6666666666666667</v>
      </c>
      <c r="AX41" s="28">
        <f>IF(AND(AW4=0,AW41&gt;=0), "",AW41/AW4)</f>
        <v>7.2463768115942019E-4</v>
      </c>
      <c r="AY41" s="42">
        <f>IF(AND(AW124=0,AW41&gt;=0),"",AW41/AW124)</f>
        <v>6.7114093959731542E-3</v>
      </c>
      <c r="AZ41" s="84">
        <f t="shared" si="56"/>
        <v>0</v>
      </c>
      <c r="BA41" s="28" t="str">
        <f>IF(AND(AZ4=0,AZ41&gt;=0), "",AZ41/AZ4)</f>
        <v/>
      </c>
      <c r="BB41" s="42">
        <f t="shared" si="51"/>
        <v>1</v>
      </c>
      <c r="BC41" s="82">
        <f>+'N EERR'!I40</f>
        <v>0</v>
      </c>
      <c r="BD41" s="28" t="str">
        <f>IF(AND(BC4=0,BC41&gt;=0), "",BC41/BC4)</f>
        <v/>
      </c>
      <c r="BE41" s="42" t="str">
        <f>IF(AND(BC124=0,BC41&gt;=0),"",BC41/BC124)</f>
        <v/>
      </c>
      <c r="BF41" s="28" t="str">
        <f t="shared" si="52"/>
        <v/>
      </c>
      <c r="BG41" s="83">
        <f t="shared" si="57"/>
        <v>10</v>
      </c>
      <c r="BH41" s="28">
        <f>IF(AND(BG4=0,BG41&gt;=0), "",BG41/BG4)</f>
        <v>7.246376811594203E-4</v>
      </c>
      <c r="BI41" s="42">
        <f>IF(AND(BG124=0,BG41&gt;=0),"",BG41/BG124)</f>
        <v>6.7114093959731542E-3</v>
      </c>
      <c r="BJ41" s="82">
        <f>+'N EERR'!J40</f>
        <v>0</v>
      </c>
      <c r="BK41" s="28" t="str">
        <f>IF(AND(BJ4=0,BJ41&gt;=0), "",BJ41/BJ4)</f>
        <v/>
      </c>
      <c r="BL41" s="42" t="str">
        <f>IF(AND(BJ124=0,BJ41&gt;=0),"",BJ41/BJ124)</f>
        <v/>
      </c>
      <c r="BM41" s="28" t="str">
        <f t="shared" si="40"/>
        <v/>
      </c>
      <c r="BN41" s="83">
        <f t="shared" si="58"/>
        <v>10</v>
      </c>
      <c r="BO41" s="28">
        <f>IF(AND(BN4=0,BN41&gt;=0), "",BN41/BN4)</f>
        <v>7.246376811594203E-4</v>
      </c>
      <c r="BP41" s="42">
        <f>IF(AND(BN124=0,BN41&gt;=0),"",BN41/BN124)</f>
        <v>6.7114093959731542E-3</v>
      </c>
      <c r="BQ41" s="82">
        <f>+'N EERR'!K40</f>
        <v>0</v>
      </c>
      <c r="BR41" s="28" t="str">
        <f>IF(AND(BQ4=0,BQ41&gt;=0), "",BQ41/BQ4)</f>
        <v/>
      </c>
      <c r="BS41" s="42" t="str">
        <f>IF(AND(BQ124=0,BQ41&gt;=0),"",BQ41/BQ124)</f>
        <v/>
      </c>
      <c r="BT41" s="28" t="str">
        <f t="shared" si="41"/>
        <v/>
      </c>
      <c r="BU41" s="83">
        <f t="shared" si="59"/>
        <v>10</v>
      </c>
      <c r="BV41" s="28">
        <f>IF(AND(BU4=0,BU41&gt;=0), "",BU41/BU4)</f>
        <v>7.246376811594203E-4</v>
      </c>
      <c r="BW41" s="42">
        <f>IF(AND(BU124=0,BU41&gt;=0),"",BU41/BU124)</f>
        <v>6.7114093959731542E-3</v>
      </c>
      <c r="BX41" s="84">
        <f t="shared" si="60"/>
        <v>0</v>
      </c>
      <c r="BY41" s="28" t="str">
        <f>IF(AND(BX4=0,BX41&gt;=0), "",BX41/BX4)</f>
        <v/>
      </c>
      <c r="BZ41" s="42">
        <f t="shared" si="42"/>
        <v>1</v>
      </c>
      <c r="CA41" s="82">
        <f>+'N EERR'!L40</f>
        <v>0</v>
      </c>
      <c r="CB41" s="28" t="str">
        <f>IF(AND(CA4=0,CA41&gt;=0), "",CA41/CA4)</f>
        <v/>
      </c>
      <c r="CC41" s="42" t="str">
        <f>IF(AND(CA124=0,CA41&gt;=0),"",CA41/CA124)</f>
        <v/>
      </c>
      <c r="CD41" s="28" t="str">
        <f t="shared" si="53"/>
        <v/>
      </c>
      <c r="CE41" s="83">
        <f t="shared" si="61"/>
        <v>10</v>
      </c>
      <c r="CF41" s="28">
        <f>IF(AND(CE4=0,CE41&gt;=0), "",CE41/CE4)</f>
        <v>7.246376811594203E-4</v>
      </c>
      <c r="CG41" s="42">
        <f>IF(AND(CE124=0,CE41&gt;=0),"",CE41/CE124)</f>
        <v>6.7114093959731542E-3</v>
      </c>
      <c r="CH41" s="82">
        <f>+'N EERR'!M40</f>
        <v>0</v>
      </c>
      <c r="CI41" s="28" t="str">
        <f>IF(AND(CH4=0,CH41&gt;=0), "",CH41/CH4)</f>
        <v/>
      </c>
      <c r="CJ41" s="42" t="str">
        <f>IF(AND(CH124=0,CH41&gt;=0),"",CH41/CH124)</f>
        <v/>
      </c>
      <c r="CK41" s="28" t="str">
        <f t="shared" si="43"/>
        <v/>
      </c>
      <c r="CL41" s="83">
        <f t="shared" si="62"/>
        <v>10</v>
      </c>
      <c r="CM41" s="28">
        <f>IF(AND(CL4=0,CL41&gt;=0), "",CL41/CL4)</f>
        <v>7.246376811594203E-4</v>
      </c>
      <c r="CN41" s="42">
        <f>IF(AND(CL124=0,CL41&gt;=0),"",CL41/CL124)</f>
        <v>6.7114093959731542E-3</v>
      </c>
      <c r="CO41" s="82">
        <f>+'N EERR'!N40</f>
        <v>0</v>
      </c>
      <c r="CP41" s="28" t="str">
        <f>IF(AND(CO4=0,CO41&gt;=0), "",CO41/CO4)</f>
        <v/>
      </c>
      <c r="CQ41" s="42" t="str">
        <f>IF(AND(CO124=0,CO41&gt;=0),"",CO41/CO124)</f>
        <v/>
      </c>
      <c r="CR41" s="28" t="str">
        <f t="shared" si="44"/>
        <v/>
      </c>
      <c r="CS41" s="83">
        <f t="shared" si="63"/>
        <v>10</v>
      </c>
      <c r="CT41" s="28">
        <f>IF(AND(CS4=0,CS41&gt;=0), "",CS41/CS4)</f>
        <v>7.246376811594203E-4</v>
      </c>
      <c r="CU41" s="42">
        <f>IF(AND(CS124=0,CS41&gt;=0),"",CS41/CS124)</f>
        <v>6.7114093959731542E-3</v>
      </c>
      <c r="CV41" s="84">
        <f t="shared" si="64"/>
        <v>0</v>
      </c>
      <c r="CW41" s="28" t="str">
        <f>IF(AND(CV4=0,CV41&gt;=0), "",CV41/CV4)</f>
        <v/>
      </c>
      <c r="CX41" s="42">
        <f t="shared" si="45"/>
        <v>1</v>
      </c>
    </row>
    <row r="42" spans="1:105" outlineLevel="1" x14ac:dyDescent="0.25">
      <c r="A42" s="27" t="s">
        <v>4</v>
      </c>
      <c r="B42" s="82">
        <f>+'N EERR'!B41</f>
        <v>0</v>
      </c>
      <c r="C42" s="28" t="str">
        <f>IF(AND(B4=0,B42&gt;=0), "",B42/B4)</f>
        <v/>
      </c>
      <c r="D42" s="42" t="str">
        <f>IF(AND(B124=0,B42&gt;=0),"",B42/B124)</f>
        <v/>
      </c>
      <c r="E42" s="82">
        <f>+'N EERR'!C41</f>
        <v>10</v>
      </c>
      <c r="F42" s="28">
        <f>IF(AND(E4=0,E42&gt;=0), "",E42/E4)</f>
        <v>7.246376811594203E-4</v>
      </c>
      <c r="G42" s="42">
        <f>IF(AND(E124=0,E42&gt;=0),"",E42/E124)</f>
        <v>6.7114093959731542E-3</v>
      </c>
      <c r="H42" s="82">
        <f>+'N EERR'!D41</f>
        <v>0</v>
      </c>
      <c r="I42" s="28" t="str">
        <f>IF(AND(H4=0,H42&gt;=0), "",H42/H4)</f>
        <v/>
      </c>
      <c r="J42" s="42" t="str">
        <f>IF(AND(H124=0,H42&gt;=0),"",H42/H124)</f>
        <v/>
      </c>
      <c r="K42" s="28">
        <f t="shared" si="46"/>
        <v>-1</v>
      </c>
      <c r="L42" s="83">
        <f t="shared" si="65"/>
        <v>10</v>
      </c>
      <c r="M42" s="28">
        <f>IF(AND(L4=0,L42&gt;=0), "",L42/L4)</f>
        <v>7.246376811594203E-4</v>
      </c>
      <c r="N42" s="42">
        <f>IF(AND(L124=0,L42&gt;=0),"",L42/L124)</f>
        <v>6.7114093959731542E-3</v>
      </c>
      <c r="O42" s="82">
        <f>+'N EERR'!E41</f>
        <v>0</v>
      </c>
      <c r="P42" s="28" t="str">
        <f>IF(AND(O4=0,O42&gt;=0), "",O42/O4)</f>
        <v/>
      </c>
      <c r="Q42" s="42" t="str">
        <f>IF(AND(O124=0,O42&gt;=0),"",O42/O124)</f>
        <v/>
      </c>
      <c r="R42" s="28" t="str">
        <f t="shared" si="47"/>
        <v/>
      </c>
      <c r="S42" s="83">
        <f t="shared" si="66"/>
        <v>10</v>
      </c>
      <c r="T42" s="28">
        <f>IF(AND(S4=0,S42&gt;=0), "",S42/S4)</f>
        <v>7.246376811594203E-4</v>
      </c>
      <c r="U42" s="42">
        <f>IF(AND(S124=0,S42&gt;=0),"",S42/S124)</f>
        <v>6.7114093959731542E-3</v>
      </c>
      <c r="V42" s="84"/>
      <c r="W42" s="28" t="str">
        <f>IF(AND(V4=0,V42&gt;=0), "",V42/V4)</f>
        <v/>
      </c>
      <c r="X42" s="42">
        <f t="shared" si="48"/>
        <v>1</v>
      </c>
      <c r="Y42" s="82">
        <f>+'N EERR'!F41</f>
        <v>0</v>
      </c>
      <c r="Z42" s="28" t="str">
        <f>IF(AND(Y4=0,Y42&gt;=0), "",Y42/Y4)</f>
        <v/>
      </c>
      <c r="AA42" s="42" t="str">
        <f>IF(AND(Y124=0,Y42&gt;=0),"",Y42/Y124)</f>
        <v/>
      </c>
      <c r="AB42" s="28" t="str">
        <f t="shared" si="49"/>
        <v/>
      </c>
      <c r="AC42" s="83">
        <f t="shared" si="54"/>
        <v>10</v>
      </c>
      <c r="AD42" s="28">
        <f>IF(AND(AC4=0,AC42&gt;=0), "",AC42/AC4)</f>
        <v>7.246376811594203E-4</v>
      </c>
      <c r="AE42" s="42">
        <f>IF(AND(AC124=0,AC42&gt;=0),"",AC42/AC124)</f>
        <v>6.7114093959731542E-3</v>
      </c>
      <c r="AF42" s="82">
        <f>+'N EERR'!G41</f>
        <v>0</v>
      </c>
      <c r="AG42" s="28" t="str">
        <f>IF(AND(AF4=0,AF42&gt;=0), "",AF42/AF4)</f>
        <v/>
      </c>
      <c r="AH42" s="42" t="str">
        <f>IF(AND(AF124=0,AF42&gt;=0),"",AF42/AF124)</f>
        <v/>
      </c>
      <c r="AI42" s="28" t="str">
        <f t="shared" si="38"/>
        <v/>
      </c>
      <c r="AJ42" s="83">
        <f t="shared" si="16"/>
        <v>10</v>
      </c>
      <c r="AK42" s="28">
        <f>IF(AND(AJ4=0,AJ42&gt;=0), "",AJ42/AJ4)</f>
        <v>7.246376811594203E-4</v>
      </c>
      <c r="AL42" s="42">
        <f>IF(AND(AJ124=0,AJ42&gt;=0),"",AJ42/AJ124)</f>
        <v>6.7114093959731542E-3</v>
      </c>
      <c r="AM42" s="82">
        <f>+'N EERR'!H41</f>
        <v>0</v>
      </c>
      <c r="AN42" s="28" t="str">
        <f>IF(AND(AM4=0,AM42&gt;=0), "",AM42/AM4)</f>
        <v/>
      </c>
      <c r="AO42" s="42" t="str">
        <f>IF(AND(AM124=0,AM42&gt;=0),"",AM42/AM124)</f>
        <v/>
      </c>
      <c r="AP42" s="28" t="str">
        <f t="shared" si="39"/>
        <v/>
      </c>
      <c r="AQ42" s="83">
        <f t="shared" si="17"/>
        <v>10</v>
      </c>
      <c r="AR42" s="28">
        <f>IF(AND(AQ4=0,AQ42&gt;=0), "",AQ42/AQ4)</f>
        <v>7.246376811594203E-4</v>
      </c>
      <c r="AS42" s="42">
        <f>IF(AND(AQ124=0,AQ42&gt;=0),"",AQ42/AQ124)</f>
        <v>6.7114093959731542E-3</v>
      </c>
      <c r="AT42" s="84">
        <f t="shared" si="55"/>
        <v>0</v>
      </c>
      <c r="AU42" s="28" t="str">
        <f>IF(AND(AT4=0,AT42&gt;=0), "",AT42/AT4)</f>
        <v/>
      </c>
      <c r="AV42" s="42">
        <f t="shared" si="50"/>
        <v>1</v>
      </c>
      <c r="AW42" s="84">
        <f t="shared" si="67"/>
        <v>1.6666666666666667</v>
      </c>
      <c r="AX42" s="28">
        <f>IF(AND(AW4=0,AW42&gt;=0), "",AW42/AW4)</f>
        <v>7.2463768115942019E-4</v>
      </c>
      <c r="AY42" s="42">
        <f>IF(AND(AW124=0,AW42&gt;=0),"",AW42/AW124)</f>
        <v>6.7114093959731542E-3</v>
      </c>
      <c r="AZ42" s="84">
        <f t="shared" si="56"/>
        <v>0</v>
      </c>
      <c r="BA42" s="28" t="str">
        <f>IF(AND(AZ4=0,AZ42&gt;=0), "",AZ42/AZ4)</f>
        <v/>
      </c>
      <c r="BB42" s="42">
        <f t="shared" si="51"/>
        <v>1</v>
      </c>
      <c r="BC42" s="82">
        <f>+'N EERR'!I41</f>
        <v>0</v>
      </c>
      <c r="BD42" s="28" t="str">
        <f>IF(AND(BC4=0,BC42&gt;=0), "",BC42/BC4)</f>
        <v/>
      </c>
      <c r="BE42" s="42" t="str">
        <f>IF(AND(BC124=0,BC42&gt;=0),"",BC42/BC124)</f>
        <v/>
      </c>
      <c r="BF42" s="28" t="str">
        <f t="shared" si="52"/>
        <v/>
      </c>
      <c r="BG42" s="83">
        <f t="shared" si="57"/>
        <v>10</v>
      </c>
      <c r="BH42" s="28">
        <f>IF(AND(BG4=0,BG42&gt;=0), "",BG42/BG4)</f>
        <v>7.246376811594203E-4</v>
      </c>
      <c r="BI42" s="42">
        <f>IF(AND(BG124=0,BG42&gt;=0),"",BG42/BG124)</f>
        <v>6.7114093959731542E-3</v>
      </c>
      <c r="BJ42" s="82">
        <f>+'N EERR'!J41</f>
        <v>0</v>
      </c>
      <c r="BK42" s="28" t="str">
        <f>IF(AND(BJ4=0,BJ42&gt;=0), "",BJ42/BJ4)</f>
        <v/>
      </c>
      <c r="BL42" s="42" t="str">
        <f>IF(AND(BJ124=0,BJ42&gt;=0),"",BJ42/BJ124)</f>
        <v/>
      </c>
      <c r="BM42" s="28" t="str">
        <f t="shared" si="40"/>
        <v/>
      </c>
      <c r="BN42" s="83">
        <f t="shared" si="58"/>
        <v>10</v>
      </c>
      <c r="BO42" s="28">
        <f>IF(AND(BN4=0,BN42&gt;=0), "",BN42/BN4)</f>
        <v>7.246376811594203E-4</v>
      </c>
      <c r="BP42" s="42">
        <f>IF(AND(BN124=0,BN42&gt;=0),"",BN42/BN124)</f>
        <v>6.7114093959731542E-3</v>
      </c>
      <c r="BQ42" s="82">
        <f>+'N EERR'!K41</f>
        <v>0</v>
      </c>
      <c r="BR42" s="28" t="str">
        <f>IF(AND(BQ4=0,BQ42&gt;=0), "",BQ42/BQ4)</f>
        <v/>
      </c>
      <c r="BS42" s="42" t="str">
        <f>IF(AND(BQ124=0,BQ42&gt;=0),"",BQ42/BQ124)</f>
        <v/>
      </c>
      <c r="BT42" s="28" t="str">
        <f t="shared" si="41"/>
        <v/>
      </c>
      <c r="BU42" s="83">
        <f t="shared" si="59"/>
        <v>10</v>
      </c>
      <c r="BV42" s="28">
        <f>IF(AND(BU4=0,BU42&gt;=0), "",BU42/BU4)</f>
        <v>7.246376811594203E-4</v>
      </c>
      <c r="BW42" s="42">
        <f>IF(AND(BU124=0,BU42&gt;=0),"",BU42/BU124)</f>
        <v>6.7114093959731542E-3</v>
      </c>
      <c r="BX42" s="84">
        <f t="shared" si="60"/>
        <v>0</v>
      </c>
      <c r="BY42" s="28" t="str">
        <f>IF(AND(BX4=0,BX42&gt;=0), "",BX42/BX4)</f>
        <v/>
      </c>
      <c r="BZ42" s="42">
        <f t="shared" si="42"/>
        <v>1</v>
      </c>
      <c r="CA42" s="82">
        <f>+'N EERR'!L41</f>
        <v>0</v>
      </c>
      <c r="CB42" s="28" t="str">
        <f>IF(AND(CA4=0,CA42&gt;=0), "",CA42/CA4)</f>
        <v/>
      </c>
      <c r="CC42" s="42" t="str">
        <f>IF(AND(CA124=0,CA42&gt;=0),"",CA42/CA124)</f>
        <v/>
      </c>
      <c r="CD42" s="28" t="str">
        <f t="shared" si="53"/>
        <v/>
      </c>
      <c r="CE42" s="83">
        <f t="shared" si="61"/>
        <v>10</v>
      </c>
      <c r="CF42" s="28">
        <f>IF(AND(CE4=0,CE42&gt;=0), "",CE42/CE4)</f>
        <v>7.246376811594203E-4</v>
      </c>
      <c r="CG42" s="42">
        <f>IF(AND(CE124=0,CE42&gt;=0),"",CE42/CE124)</f>
        <v>6.7114093959731542E-3</v>
      </c>
      <c r="CH42" s="82">
        <f>+'N EERR'!M41</f>
        <v>0</v>
      </c>
      <c r="CI42" s="28" t="str">
        <f>IF(AND(CH4=0,CH42&gt;=0), "",CH42/CH4)</f>
        <v/>
      </c>
      <c r="CJ42" s="42" t="str">
        <f>IF(AND(CH124=0,CH42&gt;=0),"",CH42/CH124)</f>
        <v/>
      </c>
      <c r="CK42" s="28" t="str">
        <f t="shared" si="43"/>
        <v/>
      </c>
      <c r="CL42" s="83">
        <f t="shared" si="62"/>
        <v>10</v>
      </c>
      <c r="CM42" s="28">
        <f>IF(AND(CL4=0,CL42&gt;=0), "",CL42/CL4)</f>
        <v>7.246376811594203E-4</v>
      </c>
      <c r="CN42" s="42">
        <f>IF(AND(CL124=0,CL42&gt;=0),"",CL42/CL124)</f>
        <v>6.7114093959731542E-3</v>
      </c>
      <c r="CO42" s="82">
        <f>+'N EERR'!N41</f>
        <v>0</v>
      </c>
      <c r="CP42" s="28" t="str">
        <f>IF(AND(CO4=0,CO42&gt;=0), "",CO42/CO4)</f>
        <v/>
      </c>
      <c r="CQ42" s="42" t="str">
        <f>IF(AND(CO124=0,CO42&gt;=0),"",CO42/CO124)</f>
        <v/>
      </c>
      <c r="CR42" s="28" t="str">
        <f t="shared" si="44"/>
        <v/>
      </c>
      <c r="CS42" s="83">
        <f t="shared" si="63"/>
        <v>10</v>
      </c>
      <c r="CT42" s="28">
        <f>IF(AND(CS4=0,CS42&gt;=0), "",CS42/CS4)</f>
        <v>7.246376811594203E-4</v>
      </c>
      <c r="CU42" s="42">
        <f>IF(AND(CS124=0,CS42&gt;=0),"",CS42/CS124)</f>
        <v>6.7114093959731542E-3</v>
      </c>
      <c r="CV42" s="84">
        <f t="shared" si="64"/>
        <v>0</v>
      </c>
      <c r="CW42" s="28" t="str">
        <f>IF(AND(CV4=0,CV42&gt;=0), "",CV42/CV4)</f>
        <v/>
      </c>
      <c r="CX42" s="42">
        <f t="shared" si="45"/>
        <v>1</v>
      </c>
    </row>
    <row r="43" spans="1:105" outlineLevel="1" x14ac:dyDescent="0.25">
      <c r="A43" s="27" t="s">
        <v>5</v>
      </c>
      <c r="B43" s="82">
        <f>+'N EERR'!B42</f>
        <v>0</v>
      </c>
      <c r="C43" s="28" t="str">
        <f>IF(AND(B4=0,B43&gt;=0), "",B43/B4)</f>
        <v/>
      </c>
      <c r="D43" s="42" t="str">
        <f>IF(AND(B124=0,B43&gt;=0),"",B43/B124)</f>
        <v/>
      </c>
      <c r="E43" s="82">
        <f>+'N EERR'!C42</f>
        <v>10</v>
      </c>
      <c r="F43" s="28">
        <f>IF(AND(E4=0,E43&gt;=0), "",E43/E4)</f>
        <v>7.246376811594203E-4</v>
      </c>
      <c r="G43" s="42">
        <f>IF(AND(E124=0,E43&gt;=0),"",E43/E124)</f>
        <v>6.7114093959731542E-3</v>
      </c>
      <c r="H43" s="82">
        <f>+'N EERR'!D42</f>
        <v>0</v>
      </c>
      <c r="I43" s="28" t="str">
        <f>IF(AND(H4=0,H43&gt;=0), "",H43/H4)</f>
        <v/>
      </c>
      <c r="J43" s="42" t="str">
        <f>IF(AND(H124=0,H43&gt;=0),"",H43/H124)</f>
        <v/>
      </c>
      <c r="K43" s="28">
        <f t="shared" si="46"/>
        <v>-1</v>
      </c>
      <c r="L43" s="83">
        <f t="shared" si="65"/>
        <v>10</v>
      </c>
      <c r="M43" s="28">
        <f>IF(AND(L4=0,L43&gt;=0), "",L43/L4)</f>
        <v>7.246376811594203E-4</v>
      </c>
      <c r="N43" s="42">
        <f>IF(AND(L124=0,L43&gt;=0),"",L43/L124)</f>
        <v>6.7114093959731542E-3</v>
      </c>
      <c r="O43" s="82">
        <f>+'N EERR'!E42</f>
        <v>0</v>
      </c>
      <c r="P43" s="28" t="str">
        <f>IF(AND(O4=0,O43&gt;=0), "",O43/O4)</f>
        <v/>
      </c>
      <c r="Q43" s="42" t="str">
        <f>IF(AND(O124=0,O43&gt;=0),"",O43/O124)</f>
        <v/>
      </c>
      <c r="R43" s="28" t="str">
        <f t="shared" si="47"/>
        <v/>
      </c>
      <c r="S43" s="83">
        <f t="shared" si="66"/>
        <v>10</v>
      </c>
      <c r="T43" s="28">
        <f>IF(AND(S4=0,S43&gt;=0), "",S43/S4)</f>
        <v>7.246376811594203E-4</v>
      </c>
      <c r="U43" s="42">
        <f>IF(AND(S124=0,S43&gt;=0),"",S43/S124)</f>
        <v>6.7114093959731542E-3</v>
      </c>
      <c r="V43" s="84"/>
      <c r="W43" s="28" t="str">
        <f>IF(AND(V4=0,V43&gt;=0), "",V43/V4)</f>
        <v/>
      </c>
      <c r="X43" s="42">
        <f t="shared" si="48"/>
        <v>1</v>
      </c>
      <c r="Y43" s="82">
        <f>+'N EERR'!F42</f>
        <v>0</v>
      </c>
      <c r="Z43" s="28" t="str">
        <f>IF(AND(Y4=0,Y43&gt;=0), "",Y43/Y4)</f>
        <v/>
      </c>
      <c r="AA43" s="42" t="str">
        <f>IF(AND(Y124=0,Y43&gt;=0),"",Y43/Y124)</f>
        <v/>
      </c>
      <c r="AB43" s="28" t="str">
        <f t="shared" si="49"/>
        <v/>
      </c>
      <c r="AC43" s="83">
        <f t="shared" si="54"/>
        <v>10</v>
      </c>
      <c r="AD43" s="28">
        <f>IF(AND(AC4=0,AC43&gt;=0), "",AC43/AC4)</f>
        <v>7.246376811594203E-4</v>
      </c>
      <c r="AE43" s="42">
        <f>IF(AND(AC124=0,AC43&gt;=0),"",AC43/AC124)</f>
        <v>6.7114093959731542E-3</v>
      </c>
      <c r="AF43" s="82">
        <f>+'N EERR'!G42</f>
        <v>0</v>
      </c>
      <c r="AG43" s="28" t="str">
        <f>IF(AND(AF4=0,AF43&gt;=0), "",AF43/AF4)</f>
        <v/>
      </c>
      <c r="AH43" s="42" t="str">
        <f>IF(AND(AF124=0,AF43&gt;=0),"",AF43/AF124)</f>
        <v/>
      </c>
      <c r="AI43" s="28" t="str">
        <f t="shared" si="38"/>
        <v/>
      </c>
      <c r="AJ43" s="83">
        <f t="shared" si="16"/>
        <v>10</v>
      </c>
      <c r="AK43" s="28">
        <f>IF(AND(AJ4=0,AJ43&gt;=0), "",AJ43/AJ4)</f>
        <v>7.246376811594203E-4</v>
      </c>
      <c r="AL43" s="42">
        <f>IF(AND(AJ124=0,AJ43&gt;=0),"",AJ43/AJ124)</f>
        <v>6.7114093959731542E-3</v>
      </c>
      <c r="AM43" s="82">
        <f>+'N EERR'!H42</f>
        <v>0</v>
      </c>
      <c r="AN43" s="28" t="str">
        <f>IF(AND(AM4=0,AM43&gt;=0), "",AM43/AM4)</f>
        <v/>
      </c>
      <c r="AO43" s="42" t="str">
        <f>IF(AND(AM124=0,AM43&gt;=0),"",AM43/AM124)</f>
        <v/>
      </c>
      <c r="AP43" s="28" t="str">
        <f t="shared" si="39"/>
        <v/>
      </c>
      <c r="AQ43" s="83">
        <f t="shared" si="17"/>
        <v>10</v>
      </c>
      <c r="AR43" s="28">
        <f>IF(AND(AQ4=0,AQ43&gt;=0), "",AQ43/AQ4)</f>
        <v>7.246376811594203E-4</v>
      </c>
      <c r="AS43" s="42">
        <f>IF(AND(AQ124=0,AQ43&gt;=0),"",AQ43/AQ124)</f>
        <v>6.7114093959731542E-3</v>
      </c>
      <c r="AT43" s="84">
        <f t="shared" si="55"/>
        <v>0</v>
      </c>
      <c r="AU43" s="28" t="str">
        <f>IF(AND(AT4=0,AT43&gt;=0), "",AT43/AT4)</f>
        <v/>
      </c>
      <c r="AV43" s="42">
        <f t="shared" si="50"/>
        <v>1</v>
      </c>
      <c r="AW43" s="84">
        <f t="shared" si="67"/>
        <v>1.6666666666666667</v>
      </c>
      <c r="AX43" s="28">
        <f>IF(AND(AW4=0,AW43&gt;=0), "",AW43/AW4)</f>
        <v>7.2463768115942019E-4</v>
      </c>
      <c r="AY43" s="42">
        <f>IF(AND(AW124=0,AW43&gt;=0),"",AW43/AW124)</f>
        <v>6.7114093959731542E-3</v>
      </c>
      <c r="AZ43" s="84">
        <f t="shared" si="56"/>
        <v>0</v>
      </c>
      <c r="BA43" s="28" t="str">
        <f>IF(AND(AZ4=0,AZ43&gt;=0), "",AZ43/AZ4)</f>
        <v/>
      </c>
      <c r="BB43" s="42">
        <f t="shared" si="51"/>
        <v>1</v>
      </c>
      <c r="BC43" s="82">
        <f>+'N EERR'!I42</f>
        <v>0</v>
      </c>
      <c r="BD43" s="28" t="str">
        <f>IF(AND(BC4=0,BC43&gt;=0), "",BC43/BC4)</f>
        <v/>
      </c>
      <c r="BE43" s="42" t="str">
        <f>IF(AND(BC124=0,BC43&gt;=0),"",BC43/BC124)</f>
        <v/>
      </c>
      <c r="BF43" s="28" t="str">
        <f t="shared" si="52"/>
        <v/>
      </c>
      <c r="BG43" s="83">
        <f t="shared" si="57"/>
        <v>10</v>
      </c>
      <c r="BH43" s="28">
        <f>IF(AND(BG4=0,BG43&gt;=0), "",BG43/BG4)</f>
        <v>7.246376811594203E-4</v>
      </c>
      <c r="BI43" s="42">
        <f>IF(AND(BG124=0,BG43&gt;=0),"",BG43/BG124)</f>
        <v>6.7114093959731542E-3</v>
      </c>
      <c r="BJ43" s="82">
        <f>+'N EERR'!J42</f>
        <v>0</v>
      </c>
      <c r="BK43" s="28" t="str">
        <f>IF(AND(BJ4=0,BJ43&gt;=0), "",BJ43/BJ4)</f>
        <v/>
      </c>
      <c r="BL43" s="42" t="str">
        <f>IF(AND(BJ124=0,BJ43&gt;=0),"",BJ43/BJ124)</f>
        <v/>
      </c>
      <c r="BM43" s="28" t="str">
        <f t="shared" si="40"/>
        <v/>
      </c>
      <c r="BN43" s="83">
        <f t="shared" si="58"/>
        <v>10</v>
      </c>
      <c r="BO43" s="28">
        <f>IF(AND(BN4=0,BN43&gt;=0), "",BN43/BN4)</f>
        <v>7.246376811594203E-4</v>
      </c>
      <c r="BP43" s="42">
        <f>IF(AND(BN124=0,BN43&gt;=0),"",BN43/BN124)</f>
        <v>6.7114093959731542E-3</v>
      </c>
      <c r="BQ43" s="82">
        <f>+'N EERR'!K42</f>
        <v>0</v>
      </c>
      <c r="BR43" s="28" t="str">
        <f>IF(AND(BQ4=0,BQ43&gt;=0), "",BQ43/BQ4)</f>
        <v/>
      </c>
      <c r="BS43" s="42" t="str">
        <f>IF(AND(BQ124=0,BQ43&gt;=0),"",BQ43/BQ124)</f>
        <v/>
      </c>
      <c r="BT43" s="28" t="str">
        <f t="shared" si="41"/>
        <v/>
      </c>
      <c r="BU43" s="83">
        <f t="shared" si="59"/>
        <v>10</v>
      </c>
      <c r="BV43" s="28">
        <f>IF(AND(BU4=0,BU43&gt;=0), "",BU43/BU4)</f>
        <v>7.246376811594203E-4</v>
      </c>
      <c r="BW43" s="42">
        <f>IF(AND(BU124=0,BU43&gt;=0),"",BU43/BU124)</f>
        <v>6.7114093959731542E-3</v>
      </c>
      <c r="BX43" s="84">
        <f t="shared" si="60"/>
        <v>0</v>
      </c>
      <c r="BY43" s="28" t="str">
        <f>IF(AND(BX4=0,BX43&gt;=0), "",BX43/BX4)</f>
        <v/>
      </c>
      <c r="BZ43" s="42">
        <f t="shared" si="42"/>
        <v>1</v>
      </c>
      <c r="CA43" s="82">
        <f>+'N EERR'!L42</f>
        <v>0</v>
      </c>
      <c r="CB43" s="28" t="str">
        <f>IF(AND(CA4=0,CA43&gt;=0), "",CA43/CA4)</f>
        <v/>
      </c>
      <c r="CC43" s="42" t="str">
        <f>IF(AND(CA124=0,CA43&gt;=0),"",CA43/CA124)</f>
        <v/>
      </c>
      <c r="CD43" s="28" t="str">
        <f t="shared" si="53"/>
        <v/>
      </c>
      <c r="CE43" s="83">
        <f t="shared" si="61"/>
        <v>10</v>
      </c>
      <c r="CF43" s="28">
        <f>IF(AND(CE4=0,CE43&gt;=0), "",CE43/CE4)</f>
        <v>7.246376811594203E-4</v>
      </c>
      <c r="CG43" s="42">
        <f>IF(AND(CE124=0,CE43&gt;=0),"",CE43/CE124)</f>
        <v>6.7114093959731542E-3</v>
      </c>
      <c r="CH43" s="82">
        <f>+'N EERR'!M42</f>
        <v>0</v>
      </c>
      <c r="CI43" s="28" t="str">
        <f>IF(AND(CH4=0,CH43&gt;=0), "",CH43/CH4)</f>
        <v/>
      </c>
      <c r="CJ43" s="42" t="str">
        <f>IF(AND(CH124=0,CH43&gt;=0),"",CH43/CH124)</f>
        <v/>
      </c>
      <c r="CK43" s="28" t="str">
        <f t="shared" si="43"/>
        <v/>
      </c>
      <c r="CL43" s="83">
        <f t="shared" si="62"/>
        <v>10</v>
      </c>
      <c r="CM43" s="28">
        <f>IF(AND(CL4=0,CL43&gt;=0), "",CL43/CL4)</f>
        <v>7.246376811594203E-4</v>
      </c>
      <c r="CN43" s="42">
        <f>IF(AND(CL124=0,CL43&gt;=0),"",CL43/CL124)</f>
        <v>6.7114093959731542E-3</v>
      </c>
      <c r="CO43" s="82">
        <f>+'N EERR'!N42</f>
        <v>0</v>
      </c>
      <c r="CP43" s="28" t="str">
        <f>IF(AND(CO4=0,CO43&gt;=0), "",CO43/CO4)</f>
        <v/>
      </c>
      <c r="CQ43" s="42" t="str">
        <f>IF(AND(CO124=0,CO43&gt;=0),"",CO43/CO124)</f>
        <v/>
      </c>
      <c r="CR43" s="28" t="str">
        <f t="shared" si="44"/>
        <v/>
      </c>
      <c r="CS43" s="83">
        <f t="shared" si="63"/>
        <v>10</v>
      </c>
      <c r="CT43" s="28">
        <f>IF(AND(CS4=0,CS43&gt;=0), "",CS43/CS4)</f>
        <v>7.246376811594203E-4</v>
      </c>
      <c r="CU43" s="42">
        <f>IF(AND(CS124=0,CS43&gt;=0),"",CS43/CS124)</f>
        <v>6.7114093959731542E-3</v>
      </c>
      <c r="CV43" s="84">
        <f t="shared" si="64"/>
        <v>0</v>
      </c>
      <c r="CW43" s="28" t="str">
        <f>IF(AND(CV4=0,CV43&gt;=0), "",CV43/CV4)</f>
        <v/>
      </c>
      <c r="CX43" s="42">
        <f t="shared" si="45"/>
        <v>1</v>
      </c>
    </row>
    <row r="44" spans="1:105" outlineLevel="1" x14ac:dyDescent="0.25">
      <c r="A44" s="27" t="s">
        <v>6</v>
      </c>
      <c r="B44" s="82">
        <f>+'N EERR'!B43</f>
        <v>0</v>
      </c>
      <c r="C44" s="28" t="str">
        <f>IF(AND(B4=0,B44&gt;=0), "",B44/B4)</f>
        <v/>
      </c>
      <c r="D44" s="42" t="str">
        <f>IF(AND(B124=0,B44&gt;=0),"",B44/B124)</f>
        <v/>
      </c>
      <c r="E44" s="82">
        <f>+'N EERR'!C43</f>
        <v>10</v>
      </c>
      <c r="F44" s="28">
        <f>IF(AND(E4=0,E44&gt;=0), "",E44/E4)</f>
        <v>7.246376811594203E-4</v>
      </c>
      <c r="G44" s="42">
        <f>IF(AND(E124=0,E44&gt;=0),"",E44/E124)</f>
        <v>6.7114093959731542E-3</v>
      </c>
      <c r="H44" s="82">
        <f>+'N EERR'!D43</f>
        <v>0</v>
      </c>
      <c r="I44" s="28" t="str">
        <f>IF(AND(H4=0,H44&gt;=0), "",H44/H4)</f>
        <v/>
      </c>
      <c r="J44" s="42" t="str">
        <f>IF(AND(H124=0,H44&gt;=0),"",H44/H124)</f>
        <v/>
      </c>
      <c r="K44" s="28">
        <f t="shared" si="46"/>
        <v>-1</v>
      </c>
      <c r="L44" s="83">
        <f t="shared" si="65"/>
        <v>10</v>
      </c>
      <c r="M44" s="28">
        <f>IF(AND(L4=0,L44&gt;=0), "",L44/L4)</f>
        <v>7.246376811594203E-4</v>
      </c>
      <c r="N44" s="42">
        <f>IF(AND(L124=0,L44&gt;=0),"",L44/L124)</f>
        <v>6.7114093959731542E-3</v>
      </c>
      <c r="O44" s="82">
        <f>+'N EERR'!E43</f>
        <v>0</v>
      </c>
      <c r="P44" s="28" t="str">
        <f>IF(AND(O4=0,O44&gt;=0), "",O44/O4)</f>
        <v/>
      </c>
      <c r="Q44" s="42" t="str">
        <f>IF(AND(O124=0,O44&gt;=0),"",O44/O124)</f>
        <v/>
      </c>
      <c r="R44" s="28" t="str">
        <f t="shared" si="47"/>
        <v/>
      </c>
      <c r="S44" s="83">
        <f t="shared" si="66"/>
        <v>10</v>
      </c>
      <c r="T44" s="28">
        <f>IF(AND(S4=0,S44&gt;=0), "",S44/S4)</f>
        <v>7.246376811594203E-4</v>
      </c>
      <c r="U44" s="42">
        <f>IF(AND(S124=0,S44&gt;=0),"",S44/S124)</f>
        <v>6.7114093959731542E-3</v>
      </c>
      <c r="V44" s="84"/>
      <c r="W44" s="28" t="str">
        <f>IF(AND(V4=0,V44&gt;=0), "",V44/V4)</f>
        <v/>
      </c>
      <c r="X44" s="42">
        <f t="shared" si="48"/>
        <v>1</v>
      </c>
      <c r="Y44" s="82">
        <f>+'N EERR'!F43</f>
        <v>0</v>
      </c>
      <c r="Z44" s="28" t="str">
        <f>IF(AND(Y4=0,Y44&gt;=0), "",Y44/Y4)</f>
        <v/>
      </c>
      <c r="AA44" s="42" t="str">
        <f>IF(AND(Y124=0,Y44&gt;=0),"",Y44/Y124)</f>
        <v/>
      </c>
      <c r="AB44" s="28" t="str">
        <f t="shared" si="49"/>
        <v/>
      </c>
      <c r="AC44" s="83">
        <f t="shared" si="54"/>
        <v>10</v>
      </c>
      <c r="AD44" s="28">
        <f>IF(AND(AC4=0,AC44&gt;=0), "",AC44/AC4)</f>
        <v>7.246376811594203E-4</v>
      </c>
      <c r="AE44" s="42">
        <f>IF(AND(AC124=0,AC44&gt;=0),"",AC44/AC124)</f>
        <v>6.7114093959731542E-3</v>
      </c>
      <c r="AF44" s="82">
        <f>+'N EERR'!G43</f>
        <v>0</v>
      </c>
      <c r="AG44" s="28" t="str">
        <f>IF(AND(AF4=0,AF44&gt;=0), "",AF44/AF4)</f>
        <v/>
      </c>
      <c r="AH44" s="42" t="str">
        <f>IF(AND(AF124=0,AF44&gt;=0),"",AF44/AF124)</f>
        <v/>
      </c>
      <c r="AI44" s="28" t="str">
        <f t="shared" si="38"/>
        <v/>
      </c>
      <c r="AJ44" s="83">
        <f t="shared" si="16"/>
        <v>10</v>
      </c>
      <c r="AK44" s="28">
        <f>IF(AND(AJ4=0,AJ44&gt;=0), "",AJ44/AJ4)</f>
        <v>7.246376811594203E-4</v>
      </c>
      <c r="AL44" s="42">
        <f>IF(AND(AJ124=0,AJ44&gt;=0),"",AJ44/AJ124)</f>
        <v>6.7114093959731542E-3</v>
      </c>
      <c r="AM44" s="82">
        <f>+'N EERR'!H43</f>
        <v>0</v>
      </c>
      <c r="AN44" s="28" t="str">
        <f>IF(AND(AM4=0,AM44&gt;=0), "",AM44/AM4)</f>
        <v/>
      </c>
      <c r="AO44" s="42" t="str">
        <f>IF(AND(AM124=0,AM44&gt;=0),"",AM44/AM124)</f>
        <v/>
      </c>
      <c r="AP44" s="28" t="str">
        <f t="shared" si="39"/>
        <v/>
      </c>
      <c r="AQ44" s="83">
        <f t="shared" si="17"/>
        <v>10</v>
      </c>
      <c r="AR44" s="28">
        <f>IF(AND(AQ4=0,AQ44&gt;=0), "",AQ44/AQ4)</f>
        <v>7.246376811594203E-4</v>
      </c>
      <c r="AS44" s="42">
        <f>IF(AND(AQ124=0,AQ44&gt;=0),"",AQ44/AQ124)</f>
        <v>6.7114093959731542E-3</v>
      </c>
      <c r="AT44" s="84">
        <f t="shared" si="55"/>
        <v>0</v>
      </c>
      <c r="AU44" s="28" t="str">
        <f>IF(AND(AT4=0,AT44&gt;=0), "",AT44/AT4)</f>
        <v/>
      </c>
      <c r="AV44" s="42">
        <f t="shared" si="50"/>
        <v>1</v>
      </c>
      <c r="AW44" s="84">
        <f t="shared" si="67"/>
        <v>1.6666666666666667</v>
      </c>
      <c r="AX44" s="28">
        <f>IF(AND(AW4=0,AW44&gt;=0), "",AW44/AW4)</f>
        <v>7.2463768115942019E-4</v>
      </c>
      <c r="AY44" s="42">
        <f>IF(AND(AW124=0,AW44&gt;=0),"",AW44/AW124)</f>
        <v>6.7114093959731542E-3</v>
      </c>
      <c r="AZ44" s="84">
        <f t="shared" si="56"/>
        <v>0</v>
      </c>
      <c r="BA44" s="28" t="str">
        <f>IF(AND(AZ4=0,AZ44&gt;=0), "",AZ44/AZ4)</f>
        <v/>
      </c>
      <c r="BB44" s="42">
        <f t="shared" si="51"/>
        <v>1</v>
      </c>
      <c r="BC44" s="82">
        <f>+'N EERR'!I43</f>
        <v>0</v>
      </c>
      <c r="BD44" s="28" t="str">
        <f>IF(AND(BC4=0,BC44&gt;=0), "",BC44/BC4)</f>
        <v/>
      </c>
      <c r="BE44" s="42" t="str">
        <f>IF(AND(BC124=0,BC44&gt;=0),"",BC44/BC124)</f>
        <v/>
      </c>
      <c r="BF44" s="28" t="str">
        <f t="shared" si="52"/>
        <v/>
      </c>
      <c r="BG44" s="83">
        <f t="shared" si="57"/>
        <v>10</v>
      </c>
      <c r="BH44" s="28">
        <f>IF(AND(BG4=0,BG44&gt;=0), "",BG44/BG4)</f>
        <v>7.246376811594203E-4</v>
      </c>
      <c r="BI44" s="42">
        <f>IF(AND(BG124=0,BG44&gt;=0),"",BG44/BG124)</f>
        <v>6.7114093959731542E-3</v>
      </c>
      <c r="BJ44" s="82">
        <f>+'N EERR'!J43</f>
        <v>0</v>
      </c>
      <c r="BK44" s="28" t="str">
        <f>IF(AND(BJ4=0,BJ44&gt;=0), "",BJ44/BJ4)</f>
        <v/>
      </c>
      <c r="BL44" s="42" t="str">
        <f>IF(AND(BJ124=0,BJ44&gt;=0),"",BJ44/BJ124)</f>
        <v/>
      </c>
      <c r="BM44" s="28" t="str">
        <f t="shared" si="40"/>
        <v/>
      </c>
      <c r="BN44" s="83">
        <f t="shared" si="58"/>
        <v>10</v>
      </c>
      <c r="BO44" s="28">
        <f>IF(AND(BN4=0,BN44&gt;=0), "",BN44/BN4)</f>
        <v>7.246376811594203E-4</v>
      </c>
      <c r="BP44" s="42">
        <f>IF(AND(BN124=0,BN44&gt;=0),"",BN44/BN124)</f>
        <v>6.7114093959731542E-3</v>
      </c>
      <c r="BQ44" s="82">
        <f>+'N EERR'!K43</f>
        <v>0</v>
      </c>
      <c r="BR44" s="28" t="str">
        <f>IF(AND(BQ4=0,BQ44&gt;=0), "",BQ44/BQ4)</f>
        <v/>
      </c>
      <c r="BS44" s="42" t="str">
        <f>IF(AND(BQ124=0,BQ44&gt;=0),"",BQ44/BQ124)</f>
        <v/>
      </c>
      <c r="BT44" s="28" t="str">
        <f t="shared" si="41"/>
        <v/>
      </c>
      <c r="BU44" s="83">
        <f t="shared" si="59"/>
        <v>10</v>
      </c>
      <c r="BV44" s="28">
        <f>IF(AND(BU4=0,BU44&gt;=0), "",BU44/BU4)</f>
        <v>7.246376811594203E-4</v>
      </c>
      <c r="BW44" s="42">
        <f>IF(AND(BU124=0,BU44&gt;=0),"",BU44/BU124)</f>
        <v>6.7114093959731542E-3</v>
      </c>
      <c r="BX44" s="84">
        <f t="shared" si="60"/>
        <v>0</v>
      </c>
      <c r="BY44" s="28" t="str">
        <f>IF(AND(BX4=0,BX44&gt;=0), "",BX44/BX4)</f>
        <v/>
      </c>
      <c r="BZ44" s="42">
        <f t="shared" si="42"/>
        <v>1</v>
      </c>
      <c r="CA44" s="82">
        <f>+'N EERR'!L43</f>
        <v>0</v>
      </c>
      <c r="CB44" s="28" t="str">
        <f>IF(AND(CA4=0,CA44&gt;=0), "",CA44/CA4)</f>
        <v/>
      </c>
      <c r="CC44" s="42" t="str">
        <f>IF(AND(CA124=0,CA44&gt;=0),"",CA44/CA124)</f>
        <v/>
      </c>
      <c r="CD44" s="28" t="str">
        <f t="shared" si="53"/>
        <v/>
      </c>
      <c r="CE44" s="83">
        <f t="shared" si="61"/>
        <v>10</v>
      </c>
      <c r="CF44" s="28">
        <f>IF(AND(CE4=0,CE44&gt;=0), "",CE44/CE4)</f>
        <v>7.246376811594203E-4</v>
      </c>
      <c r="CG44" s="42">
        <f>IF(AND(CE124=0,CE44&gt;=0),"",CE44/CE124)</f>
        <v>6.7114093959731542E-3</v>
      </c>
      <c r="CH44" s="82">
        <f>+'N EERR'!M43</f>
        <v>0</v>
      </c>
      <c r="CI44" s="28" t="str">
        <f>IF(AND(CH4=0,CH44&gt;=0), "",CH44/CH4)</f>
        <v/>
      </c>
      <c r="CJ44" s="42" t="str">
        <f>IF(AND(CH124=0,CH44&gt;=0),"",CH44/CH124)</f>
        <v/>
      </c>
      <c r="CK44" s="28" t="str">
        <f t="shared" si="43"/>
        <v/>
      </c>
      <c r="CL44" s="83">
        <f t="shared" si="62"/>
        <v>10</v>
      </c>
      <c r="CM44" s="28">
        <f>IF(AND(CL4=0,CL44&gt;=0), "",CL44/CL4)</f>
        <v>7.246376811594203E-4</v>
      </c>
      <c r="CN44" s="42">
        <f>IF(AND(CL124=0,CL44&gt;=0),"",CL44/CL124)</f>
        <v>6.7114093959731542E-3</v>
      </c>
      <c r="CO44" s="82">
        <f>+'N EERR'!N43</f>
        <v>0</v>
      </c>
      <c r="CP44" s="28" t="str">
        <f>IF(AND(CO4=0,CO44&gt;=0), "",CO44/CO4)</f>
        <v/>
      </c>
      <c r="CQ44" s="42" t="str">
        <f>IF(AND(CO124=0,CO44&gt;=0),"",CO44/CO124)</f>
        <v/>
      </c>
      <c r="CR44" s="28" t="str">
        <f t="shared" si="44"/>
        <v/>
      </c>
      <c r="CS44" s="83">
        <f t="shared" si="63"/>
        <v>10</v>
      </c>
      <c r="CT44" s="28">
        <f>IF(AND(CS4=0,CS44&gt;=0), "",CS44/CS4)</f>
        <v>7.246376811594203E-4</v>
      </c>
      <c r="CU44" s="42">
        <f>IF(AND(CS124=0,CS44&gt;=0),"",CS44/CS124)</f>
        <v>6.7114093959731542E-3</v>
      </c>
      <c r="CV44" s="84">
        <f t="shared" si="64"/>
        <v>0</v>
      </c>
      <c r="CW44" s="28" t="str">
        <f>IF(AND(CV4=0,CV44&gt;=0), "",CV44/CV4)</f>
        <v/>
      </c>
      <c r="CX44" s="42">
        <f t="shared" si="45"/>
        <v>1</v>
      </c>
    </row>
    <row r="45" spans="1:105" outlineLevel="1" x14ac:dyDescent="0.25">
      <c r="A45" s="27" t="s">
        <v>7</v>
      </c>
      <c r="B45" s="82">
        <f>+'N EERR'!B44</f>
        <v>0</v>
      </c>
      <c r="C45" s="28" t="str">
        <f>IF(AND(B4=0,B45&gt;=0), "",B45/B4)</f>
        <v/>
      </c>
      <c r="D45" s="42" t="str">
        <f>IF(AND(B124=0,B45&gt;=0),"",B45/B124)</f>
        <v/>
      </c>
      <c r="E45" s="82">
        <f>+'N EERR'!C44</f>
        <v>10</v>
      </c>
      <c r="F45" s="28">
        <f>IF(AND(E4=0,E45&gt;=0), "",E45/E4)</f>
        <v>7.246376811594203E-4</v>
      </c>
      <c r="G45" s="42">
        <f>IF(AND(E124=0,E45&gt;=0),"",E45/E124)</f>
        <v>6.7114093959731542E-3</v>
      </c>
      <c r="H45" s="82">
        <f>+'N EERR'!D44</f>
        <v>0</v>
      </c>
      <c r="I45" s="28" t="str">
        <f>IF(AND(H4=0,H45&gt;=0), "",H45/H4)</f>
        <v/>
      </c>
      <c r="J45" s="42" t="str">
        <f>IF(AND(H124=0,H45&gt;=0),"",H45/H124)</f>
        <v/>
      </c>
      <c r="K45" s="28">
        <f t="shared" si="46"/>
        <v>-1</v>
      </c>
      <c r="L45" s="83">
        <f t="shared" si="65"/>
        <v>10</v>
      </c>
      <c r="M45" s="28">
        <f>IF(AND(L4=0,L45&gt;=0), "",L45/L4)</f>
        <v>7.246376811594203E-4</v>
      </c>
      <c r="N45" s="42">
        <f>IF(AND(L124=0,L45&gt;=0),"",L45/L124)</f>
        <v>6.7114093959731542E-3</v>
      </c>
      <c r="O45" s="82">
        <f>+'N EERR'!E44</f>
        <v>0</v>
      </c>
      <c r="P45" s="28" t="str">
        <f>IF(AND(O4=0,O45&gt;=0), "",O45/O4)</f>
        <v/>
      </c>
      <c r="Q45" s="42" t="str">
        <f>IF(AND(O124=0,O45&gt;=0),"",O45/O124)</f>
        <v/>
      </c>
      <c r="R45" s="28" t="str">
        <f t="shared" si="47"/>
        <v/>
      </c>
      <c r="S45" s="83">
        <f t="shared" si="66"/>
        <v>10</v>
      </c>
      <c r="T45" s="28">
        <f>IF(AND(S4=0,S45&gt;=0), "",S45/S4)</f>
        <v>7.246376811594203E-4</v>
      </c>
      <c r="U45" s="42">
        <f>IF(AND(S124=0,S45&gt;=0),"",S45/S124)</f>
        <v>6.7114093959731542E-3</v>
      </c>
      <c r="V45" s="84"/>
      <c r="W45" s="28" t="str">
        <f>IF(AND(V4=0,V45&gt;=0), "",V45/V4)</f>
        <v/>
      </c>
      <c r="X45" s="42">
        <f t="shared" si="48"/>
        <v>1</v>
      </c>
      <c r="Y45" s="82">
        <f>+'N EERR'!F44</f>
        <v>0</v>
      </c>
      <c r="Z45" s="28" t="str">
        <f>IF(AND(Y4=0,Y45&gt;=0), "",Y45/Y4)</f>
        <v/>
      </c>
      <c r="AA45" s="42" t="str">
        <f>IF(AND(Y124=0,Y45&gt;=0),"",Y45/Y124)</f>
        <v/>
      </c>
      <c r="AB45" s="28" t="str">
        <f t="shared" si="49"/>
        <v/>
      </c>
      <c r="AC45" s="83">
        <f t="shared" si="54"/>
        <v>10</v>
      </c>
      <c r="AD45" s="28">
        <f>IF(AND(AC4=0,AC45&gt;=0), "",AC45/AC4)</f>
        <v>7.246376811594203E-4</v>
      </c>
      <c r="AE45" s="42">
        <f>IF(AND(AC124=0,AC45&gt;=0),"",AC45/AC124)</f>
        <v>6.7114093959731542E-3</v>
      </c>
      <c r="AF45" s="82">
        <f>+'N EERR'!G44</f>
        <v>0</v>
      </c>
      <c r="AG45" s="28" t="str">
        <f>IF(AND(AF4=0,AF45&gt;=0), "",AF45/AF4)</f>
        <v/>
      </c>
      <c r="AH45" s="42" t="str">
        <f>IF(AND(AF124=0,AF45&gt;=0),"",AF45/AF124)</f>
        <v/>
      </c>
      <c r="AI45" s="28" t="str">
        <f t="shared" si="38"/>
        <v/>
      </c>
      <c r="AJ45" s="83">
        <f t="shared" si="16"/>
        <v>10</v>
      </c>
      <c r="AK45" s="28">
        <f>IF(AND(AJ4=0,AJ45&gt;=0), "",AJ45/AJ4)</f>
        <v>7.246376811594203E-4</v>
      </c>
      <c r="AL45" s="42">
        <f>IF(AND(AJ124=0,AJ45&gt;=0),"",AJ45/AJ124)</f>
        <v>6.7114093959731542E-3</v>
      </c>
      <c r="AM45" s="82">
        <f>+'N EERR'!H44</f>
        <v>0</v>
      </c>
      <c r="AN45" s="28" t="str">
        <f>IF(AND(AM4=0,AM45&gt;=0), "",AM45/AM4)</f>
        <v/>
      </c>
      <c r="AO45" s="42" t="str">
        <f>IF(AND(AM124=0,AM45&gt;=0),"",AM45/AM124)</f>
        <v/>
      </c>
      <c r="AP45" s="28" t="str">
        <f t="shared" si="39"/>
        <v/>
      </c>
      <c r="AQ45" s="83">
        <f t="shared" si="17"/>
        <v>10</v>
      </c>
      <c r="AR45" s="28">
        <f>IF(AND(AQ4=0,AQ45&gt;=0), "",AQ45/AQ4)</f>
        <v>7.246376811594203E-4</v>
      </c>
      <c r="AS45" s="42">
        <f>IF(AND(AQ124=0,AQ45&gt;=0),"",AQ45/AQ124)</f>
        <v>6.7114093959731542E-3</v>
      </c>
      <c r="AT45" s="84">
        <f t="shared" si="55"/>
        <v>0</v>
      </c>
      <c r="AU45" s="28" t="str">
        <f>IF(AND(AT4=0,AT45&gt;=0), "",AT45/AT4)</f>
        <v/>
      </c>
      <c r="AV45" s="42">
        <f t="shared" si="50"/>
        <v>1</v>
      </c>
      <c r="AW45" s="84">
        <f t="shared" si="67"/>
        <v>1.6666666666666667</v>
      </c>
      <c r="AX45" s="28">
        <f>IF(AND(AW4=0,AW45&gt;=0), "",AW45/AW4)</f>
        <v>7.2463768115942019E-4</v>
      </c>
      <c r="AY45" s="42">
        <f>IF(AND(AW124=0,AW45&gt;=0),"",AW45/AW124)</f>
        <v>6.7114093959731542E-3</v>
      </c>
      <c r="AZ45" s="84">
        <f t="shared" si="56"/>
        <v>0</v>
      </c>
      <c r="BA45" s="28" t="str">
        <f>IF(AND(AZ4=0,AZ45&gt;=0), "",AZ45/AZ4)</f>
        <v/>
      </c>
      <c r="BB45" s="42">
        <f t="shared" si="51"/>
        <v>1</v>
      </c>
      <c r="BC45" s="82">
        <f>+'N EERR'!I44</f>
        <v>0</v>
      </c>
      <c r="BD45" s="28" t="str">
        <f>IF(AND(BC4=0,BC45&gt;=0), "",BC45/BC4)</f>
        <v/>
      </c>
      <c r="BE45" s="42" t="str">
        <f>IF(AND(BC124=0,BC45&gt;=0),"",BC45/BC124)</f>
        <v/>
      </c>
      <c r="BF45" s="28" t="str">
        <f t="shared" si="52"/>
        <v/>
      </c>
      <c r="BG45" s="83">
        <f t="shared" si="57"/>
        <v>10</v>
      </c>
      <c r="BH45" s="28">
        <f>IF(AND(BG4=0,BG45&gt;=0), "",BG45/BG4)</f>
        <v>7.246376811594203E-4</v>
      </c>
      <c r="BI45" s="42">
        <f>IF(AND(BG124=0,BG45&gt;=0),"",BG45/BG124)</f>
        <v>6.7114093959731542E-3</v>
      </c>
      <c r="BJ45" s="82">
        <f>+'N EERR'!J44</f>
        <v>0</v>
      </c>
      <c r="BK45" s="28" t="str">
        <f>IF(AND(BJ4=0,BJ45&gt;=0), "",BJ45/BJ4)</f>
        <v/>
      </c>
      <c r="BL45" s="42" t="str">
        <f>IF(AND(BJ124=0,BJ45&gt;=0),"",BJ45/BJ124)</f>
        <v/>
      </c>
      <c r="BM45" s="28" t="str">
        <f t="shared" si="40"/>
        <v/>
      </c>
      <c r="BN45" s="83">
        <f t="shared" si="58"/>
        <v>10</v>
      </c>
      <c r="BO45" s="28">
        <f>IF(AND(BN4=0,BN45&gt;=0), "",BN45/BN4)</f>
        <v>7.246376811594203E-4</v>
      </c>
      <c r="BP45" s="42">
        <f>IF(AND(BN124=0,BN45&gt;=0),"",BN45/BN124)</f>
        <v>6.7114093959731542E-3</v>
      </c>
      <c r="BQ45" s="82">
        <f>+'N EERR'!K44</f>
        <v>0</v>
      </c>
      <c r="BR45" s="28" t="str">
        <f>IF(AND(BQ4=0,BQ45&gt;=0), "",BQ45/BQ4)</f>
        <v/>
      </c>
      <c r="BS45" s="42" t="str">
        <f>IF(AND(BQ124=0,BQ45&gt;=0),"",BQ45/BQ124)</f>
        <v/>
      </c>
      <c r="BT45" s="28" t="str">
        <f t="shared" si="41"/>
        <v/>
      </c>
      <c r="BU45" s="83">
        <f t="shared" si="59"/>
        <v>10</v>
      </c>
      <c r="BV45" s="28">
        <f>IF(AND(BU4=0,BU45&gt;=0), "",BU45/BU4)</f>
        <v>7.246376811594203E-4</v>
      </c>
      <c r="BW45" s="42">
        <f>IF(AND(BU124=0,BU45&gt;=0),"",BU45/BU124)</f>
        <v>6.7114093959731542E-3</v>
      </c>
      <c r="BX45" s="84">
        <f t="shared" si="60"/>
        <v>0</v>
      </c>
      <c r="BY45" s="28" t="str">
        <f>IF(AND(BX4=0,BX45&gt;=0), "",BX45/BX4)</f>
        <v/>
      </c>
      <c r="BZ45" s="42">
        <f t="shared" si="42"/>
        <v>1</v>
      </c>
      <c r="CA45" s="82">
        <f>+'N EERR'!L44</f>
        <v>0</v>
      </c>
      <c r="CB45" s="28" t="str">
        <f>IF(AND(CA4=0,CA45&gt;=0), "",CA45/CA4)</f>
        <v/>
      </c>
      <c r="CC45" s="42" t="str">
        <f>IF(AND(CA124=0,CA45&gt;=0),"",CA45/CA124)</f>
        <v/>
      </c>
      <c r="CD45" s="28" t="str">
        <f t="shared" si="53"/>
        <v/>
      </c>
      <c r="CE45" s="83">
        <f t="shared" si="61"/>
        <v>10</v>
      </c>
      <c r="CF45" s="28">
        <f>IF(AND(CE4=0,CE45&gt;=0), "",CE45/CE4)</f>
        <v>7.246376811594203E-4</v>
      </c>
      <c r="CG45" s="42">
        <f>IF(AND(CE124=0,CE45&gt;=0),"",CE45/CE124)</f>
        <v>6.7114093959731542E-3</v>
      </c>
      <c r="CH45" s="82">
        <f>+'N EERR'!M44</f>
        <v>0</v>
      </c>
      <c r="CI45" s="28" t="str">
        <f>IF(AND(CH4=0,CH45&gt;=0), "",CH45/CH4)</f>
        <v/>
      </c>
      <c r="CJ45" s="42" t="str">
        <f>IF(AND(CH124=0,CH45&gt;=0),"",CH45/CH124)</f>
        <v/>
      </c>
      <c r="CK45" s="28" t="str">
        <f t="shared" si="43"/>
        <v/>
      </c>
      <c r="CL45" s="83">
        <f t="shared" si="62"/>
        <v>10</v>
      </c>
      <c r="CM45" s="28">
        <f>IF(AND(CL4=0,CL45&gt;=0), "",CL45/CL4)</f>
        <v>7.246376811594203E-4</v>
      </c>
      <c r="CN45" s="42">
        <f>IF(AND(CL124=0,CL45&gt;=0),"",CL45/CL124)</f>
        <v>6.7114093959731542E-3</v>
      </c>
      <c r="CO45" s="82">
        <f>+'N EERR'!N44</f>
        <v>0</v>
      </c>
      <c r="CP45" s="28" t="str">
        <f>IF(AND(CO4=0,CO45&gt;=0), "",CO45/CO4)</f>
        <v/>
      </c>
      <c r="CQ45" s="42" t="str">
        <f>IF(AND(CO124=0,CO45&gt;=0),"",CO45/CO124)</f>
        <v/>
      </c>
      <c r="CR45" s="28" t="str">
        <f t="shared" si="44"/>
        <v/>
      </c>
      <c r="CS45" s="83">
        <f t="shared" si="63"/>
        <v>10</v>
      </c>
      <c r="CT45" s="28">
        <f>IF(AND(CS4=0,CS45&gt;=0), "",CS45/CS4)</f>
        <v>7.246376811594203E-4</v>
      </c>
      <c r="CU45" s="42">
        <f>IF(AND(CS124=0,CS45&gt;=0),"",CS45/CS124)</f>
        <v>6.7114093959731542E-3</v>
      </c>
      <c r="CV45" s="84">
        <f t="shared" si="64"/>
        <v>0</v>
      </c>
      <c r="CW45" s="28" t="str">
        <f>IF(AND(CV4=0,CV45&gt;=0), "",CV45/CV4)</f>
        <v/>
      </c>
      <c r="CX45" s="42">
        <f t="shared" si="45"/>
        <v>1</v>
      </c>
    </row>
    <row r="46" spans="1:105" outlineLevel="1" x14ac:dyDescent="0.25">
      <c r="A46" s="27" t="s">
        <v>8</v>
      </c>
      <c r="B46" s="82">
        <f>+'N EERR'!B45</f>
        <v>0</v>
      </c>
      <c r="C46" s="28" t="str">
        <f>IF(AND(B4=0,B46&gt;=0), "",B46/B4)</f>
        <v/>
      </c>
      <c r="D46" s="42" t="str">
        <f>IF(AND(B124=0,B46&gt;=0),"",B46/B124)</f>
        <v/>
      </c>
      <c r="E46" s="82">
        <f>+'N EERR'!C45</f>
        <v>10</v>
      </c>
      <c r="F46" s="28">
        <f>IF(AND(E4=0,E46&gt;=0), "",E46/E4)</f>
        <v>7.246376811594203E-4</v>
      </c>
      <c r="G46" s="42">
        <f>IF(AND(E124=0,E46&gt;=0),"",E46/E124)</f>
        <v>6.7114093959731542E-3</v>
      </c>
      <c r="H46" s="82">
        <f>+'N EERR'!D45</f>
        <v>0</v>
      </c>
      <c r="I46" s="28" t="str">
        <f>IF(AND(H4=0,H46&gt;=0), "",H46/H4)</f>
        <v/>
      </c>
      <c r="J46" s="42" t="str">
        <f>IF(AND(H124=0,H46&gt;=0),"",H46/H124)</f>
        <v/>
      </c>
      <c r="K46" s="28">
        <f t="shared" si="46"/>
        <v>-1</v>
      </c>
      <c r="L46" s="83">
        <f t="shared" si="65"/>
        <v>10</v>
      </c>
      <c r="M46" s="28">
        <f>IF(AND(L4=0,L46&gt;=0), "",L46/L4)</f>
        <v>7.246376811594203E-4</v>
      </c>
      <c r="N46" s="42">
        <f>IF(AND(L124=0,L46&gt;=0),"",L46/L124)</f>
        <v>6.7114093959731542E-3</v>
      </c>
      <c r="O46" s="82">
        <f>+'N EERR'!E45</f>
        <v>0</v>
      </c>
      <c r="P46" s="28" t="str">
        <f>IF(AND(O4=0,O46&gt;=0), "",O46/O4)</f>
        <v/>
      </c>
      <c r="Q46" s="42" t="str">
        <f>IF(AND(O124=0,O46&gt;=0),"",O46/O124)</f>
        <v/>
      </c>
      <c r="R46" s="28" t="str">
        <f t="shared" si="47"/>
        <v/>
      </c>
      <c r="S46" s="83">
        <f t="shared" si="66"/>
        <v>10</v>
      </c>
      <c r="T46" s="28">
        <f>IF(AND(S4=0,S46&gt;=0), "",S46/S4)</f>
        <v>7.246376811594203E-4</v>
      </c>
      <c r="U46" s="42">
        <f>IF(AND(S124=0,S46&gt;=0),"",S46/S124)</f>
        <v>6.7114093959731542E-3</v>
      </c>
      <c r="V46" s="84"/>
      <c r="W46" s="28" t="str">
        <f>IF(AND(V4=0,V46&gt;=0), "",V46/V4)</f>
        <v/>
      </c>
      <c r="X46" s="42">
        <f t="shared" si="48"/>
        <v>1</v>
      </c>
      <c r="Y46" s="82">
        <f>+'N EERR'!F45</f>
        <v>0</v>
      </c>
      <c r="Z46" s="28" t="str">
        <f>IF(AND(Y4=0,Y46&gt;=0), "",Y46/Y4)</f>
        <v/>
      </c>
      <c r="AA46" s="42" t="str">
        <f>IF(AND(Y124=0,Y46&gt;=0),"",Y46/Y124)</f>
        <v/>
      </c>
      <c r="AB46" s="28" t="str">
        <f t="shared" si="49"/>
        <v/>
      </c>
      <c r="AC46" s="83">
        <f t="shared" si="54"/>
        <v>10</v>
      </c>
      <c r="AD46" s="28">
        <f>IF(AND(AC4=0,AC46&gt;=0), "",AC46/AC4)</f>
        <v>7.246376811594203E-4</v>
      </c>
      <c r="AE46" s="42">
        <f>IF(AND(AC124=0,AC46&gt;=0),"",AC46/AC124)</f>
        <v>6.7114093959731542E-3</v>
      </c>
      <c r="AF46" s="82">
        <f>+'N EERR'!G45</f>
        <v>0</v>
      </c>
      <c r="AG46" s="28" t="str">
        <f>IF(AND(AF4=0,AF46&gt;=0), "",AF46/AF4)</f>
        <v/>
      </c>
      <c r="AH46" s="42" t="str">
        <f>IF(AND(AF124=0,AF46&gt;=0),"",AF46/AF124)</f>
        <v/>
      </c>
      <c r="AI46" s="28" t="str">
        <f t="shared" si="38"/>
        <v/>
      </c>
      <c r="AJ46" s="83">
        <f t="shared" si="16"/>
        <v>10</v>
      </c>
      <c r="AK46" s="28">
        <f>IF(AND(AJ4=0,AJ46&gt;=0), "",AJ46/AJ4)</f>
        <v>7.246376811594203E-4</v>
      </c>
      <c r="AL46" s="42">
        <f>IF(AND(AJ124=0,AJ46&gt;=0),"",AJ46/AJ124)</f>
        <v>6.7114093959731542E-3</v>
      </c>
      <c r="AM46" s="82">
        <f>+'N EERR'!H45</f>
        <v>0</v>
      </c>
      <c r="AN46" s="28" t="str">
        <f>IF(AND(AM4=0,AM46&gt;=0), "",AM46/AM4)</f>
        <v/>
      </c>
      <c r="AO46" s="42" t="str">
        <f>IF(AND(AM124=0,AM46&gt;=0),"",AM46/AM124)</f>
        <v/>
      </c>
      <c r="AP46" s="28" t="str">
        <f t="shared" si="39"/>
        <v/>
      </c>
      <c r="AQ46" s="83">
        <f t="shared" si="17"/>
        <v>10</v>
      </c>
      <c r="AR46" s="28">
        <f>IF(AND(AQ4=0,AQ46&gt;=0), "",AQ46/AQ4)</f>
        <v>7.246376811594203E-4</v>
      </c>
      <c r="AS46" s="42">
        <f>IF(AND(AQ124=0,AQ46&gt;=0),"",AQ46/AQ124)</f>
        <v>6.7114093959731542E-3</v>
      </c>
      <c r="AT46" s="84">
        <f t="shared" si="55"/>
        <v>0</v>
      </c>
      <c r="AU46" s="28" t="str">
        <f>IF(AND(AT4=0,AT46&gt;=0), "",AT46/AT4)</f>
        <v/>
      </c>
      <c r="AV46" s="42">
        <f t="shared" si="50"/>
        <v>1</v>
      </c>
      <c r="AW46" s="84">
        <f t="shared" si="67"/>
        <v>1.6666666666666667</v>
      </c>
      <c r="AX46" s="28">
        <f>IF(AND(AW4=0,AW46&gt;=0), "",AW46/AW4)</f>
        <v>7.2463768115942019E-4</v>
      </c>
      <c r="AY46" s="42">
        <f>IF(AND(AW124=0,AW46&gt;=0),"",AW46/AW124)</f>
        <v>6.7114093959731542E-3</v>
      </c>
      <c r="AZ46" s="84">
        <f t="shared" si="56"/>
        <v>0</v>
      </c>
      <c r="BA46" s="28" t="str">
        <f>IF(AND(AZ4=0,AZ46&gt;=0), "",AZ46/AZ4)</f>
        <v/>
      </c>
      <c r="BB46" s="42">
        <f t="shared" si="51"/>
        <v>1</v>
      </c>
      <c r="BC46" s="82">
        <f>+'N EERR'!I45</f>
        <v>0</v>
      </c>
      <c r="BD46" s="28" t="str">
        <f>IF(AND(BC4=0,BC46&gt;=0), "",BC46/BC4)</f>
        <v/>
      </c>
      <c r="BE46" s="42" t="str">
        <f>IF(AND(BC124=0,BC46&gt;=0),"",BC46/BC124)</f>
        <v/>
      </c>
      <c r="BF46" s="28" t="str">
        <f t="shared" si="52"/>
        <v/>
      </c>
      <c r="BG46" s="83">
        <f t="shared" si="57"/>
        <v>10</v>
      </c>
      <c r="BH46" s="28">
        <f>IF(AND(BG4=0,BG46&gt;=0), "",BG46/BG4)</f>
        <v>7.246376811594203E-4</v>
      </c>
      <c r="BI46" s="42">
        <f>IF(AND(BG124=0,BG46&gt;=0),"",BG46/BG124)</f>
        <v>6.7114093959731542E-3</v>
      </c>
      <c r="BJ46" s="82">
        <f>+'N EERR'!J45</f>
        <v>0</v>
      </c>
      <c r="BK46" s="28" t="str">
        <f>IF(AND(BJ4=0,BJ46&gt;=0), "",BJ46/BJ4)</f>
        <v/>
      </c>
      <c r="BL46" s="42" t="str">
        <f>IF(AND(BJ124=0,BJ46&gt;=0),"",BJ46/BJ124)</f>
        <v/>
      </c>
      <c r="BM46" s="28" t="str">
        <f t="shared" si="40"/>
        <v/>
      </c>
      <c r="BN46" s="83">
        <f t="shared" si="58"/>
        <v>10</v>
      </c>
      <c r="BO46" s="28">
        <f>IF(AND(BN4=0,BN46&gt;=0), "",BN46/BN4)</f>
        <v>7.246376811594203E-4</v>
      </c>
      <c r="BP46" s="42">
        <f>IF(AND(BN124=0,BN46&gt;=0),"",BN46/BN124)</f>
        <v>6.7114093959731542E-3</v>
      </c>
      <c r="BQ46" s="82">
        <f>+'N EERR'!K45</f>
        <v>0</v>
      </c>
      <c r="BR46" s="28" t="str">
        <f>IF(AND(BQ4=0,BQ46&gt;=0), "",BQ46/BQ4)</f>
        <v/>
      </c>
      <c r="BS46" s="42" t="str">
        <f>IF(AND(BQ124=0,BQ46&gt;=0),"",BQ46/BQ124)</f>
        <v/>
      </c>
      <c r="BT46" s="28" t="str">
        <f t="shared" si="41"/>
        <v/>
      </c>
      <c r="BU46" s="83">
        <f t="shared" si="59"/>
        <v>10</v>
      </c>
      <c r="BV46" s="28">
        <f>IF(AND(BU4=0,BU46&gt;=0), "",BU46/BU4)</f>
        <v>7.246376811594203E-4</v>
      </c>
      <c r="BW46" s="42">
        <f>IF(AND(BU124=0,BU46&gt;=0),"",BU46/BU124)</f>
        <v>6.7114093959731542E-3</v>
      </c>
      <c r="BX46" s="84">
        <f t="shared" si="60"/>
        <v>0</v>
      </c>
      <c r="BY46" s="28" t="str">
        <f>IF(AND(BX4=0,BX46&gt;=0), "",BX46/BX4)</f>
        <v/>
      </c>
      <c r="BZ46" s="42">
        <f t="shared" si="42"/>
        <v>1</v>
      </c>
      <c r="CA46" s="82">
        <f>+'N EERR'!L45</f>
        <v>0</v>
      </c>
      <c r="CB46" s="28" t="str">
        <f>IF(AND(CA4=0,CA46&gt;=0), "",CA46/CA4)</f>
        <v/>
      </c>
      <c r="CC46" s="42" t="str">
        <f>IF(AND(CA124=0,CA46&gt;=0),"",CA46/CA124)</f>
        <v/>
      </c>
      <c r="CD46" s="28" t="str">
        <f t="shared" si="53"/>
        <v/>
      </c>
      <c r="CE46" s="83">
        <f t="shared" si="61"/>
        <v>10</v>
      </c>
      <c r="CF46" s="28">
        <f>IF(AND(CE4=0,CE46&gt;=0), "",CE46/CE4)</f>
        <v>7.246376811594203E-4</v>
      </c>
      <c r="CG46" s="42">
        <f>IF(AND(CE124=0,CE46&gt;=0),"",CE46/CE124)</f>
        <v>6.7114093959731542E-3</v>
      </c>
      <c r="CH46" s="82">
        <f>+'N EERR'!M45</f>
        <v>0</v>
      </c>
      <c r="CI46" s="28" t="str">
        <f>IF(AND(CH4=0,CH46&gt;=0), "",CH46/CH4)</f>
        <v/>
      </c>
      <c r="CJ46" s="42" t="str">
        <f>IF(AND(CH124=0,CH46&gt;=0),"",CH46/CH124)</f>
        <v/>
      </c>
      <c r="CK46" s="28" t="str">
        <f t="shared" si="43"/>
        <v/>
      </c>
      <c r="CL46" s="83">
        <f t="shared" si="62"/>
        <v>10</v>
      </c>
      <c r="CM46" s="28">
        <f>IF(AND(CL4=0,CL46&gt;=0), "",CL46/CL4)</f>
        <v>7.246376811594203E-4</v>
      </c>
      <c r="CN46" s="42">
        <f>IF(AND(CL124=0,CL46&gt;=0),"",CL46/CL124)</f>
        <v>6.7114093959731542E-3</v>
      </c>
      <c r="CO46" s="82">
        <f>+'N EERR'!N45</f>
        <v>0</v>
      </c>
      <c r="CP46" s="28" t="str">
        <f>IF(AND(CO4=0,CO46&gt;=0), "",CO46/CO4)</f>
        <v/>
      </c>
      <c r="CQ46" s="42" t="str">
        <f>IF(AND(CO124=0,CO46&gt;=0),"",CO46/CO124)</f>
        <v/>
      </c>
      <c r="CR46" s="28" t="str">
        <f t="shared" si="44"/>
        <v/>
      </c>
      <c r="CS46" s="83">
        <f t="shared" si="63"/>
        <v>10</v>
      </c>
      <c r="CT46" s="28">
        <f>IF(AND(CS4=0,CS46&gt;=0), "",CS46/CS4)</f>
        <v>7.246376811594203E-4</v>
      </c>
      <c r="CU46" s="42">
        <f>IF(AND(CS124=0,CS46&gt;=0),"",CS46/CS124)</f>
        <v>6.7114093959731542E-3</v>
      </c>
      <c r="CV46" s="84">
        <f t="shared" si="64"/>
        <v>0</v>
      </c>
      <c r="CW46" s="28" t="str">
        <f>IF(AND(CV4=0,CV46&gt;=0), "",CV46/CV4)</f>
        <v/>
      </c>
      <c r="CX46" s="42">
        <f t="shared" si="45"/>
        <v>1</v>
      </c>
    </row>
    <row r="47" spans="1:105" outlineLevel="1" x14ac:dyDescent="0.25">
      <c r="A47" s="27" t="s">
        <v>9</v>
      </c>
      <c r="B47" s="82">
        <f>+'N EERR'!B46</f>
        <v>0</v>
      </c>
      <c r="C47" s="28" t="str">
        <f>IF(AND(B4=0,B47&gt;=0), "",B47/B4)</f>
        <v/>
      </c>
      <c r="D47" s="42" t="str">
        <f>IF(AND(B124=0,B47&gt;=0),"",B47/B124)</f>
        <v/>
      </c>
      <c r="E47" s="82">
        <f>+'N EERR'!C46</f>
        <v>10</v>
      </c>
      <c r="F47" s="28">
        <f>IF(AND(E4=0,E47&gt;=0), "",E47/E4)</f>
        <v>7.246376811594203E-4</v>
      </c>
      <c r="G47" s="42">
        <f>IF(AND(E124=0,E47&gt;=0),"",E47/E124)</f>
        <v>6.7114093959731542E-3</v>
      </c>
      <c r="H47" s="82">
        <f>+'N EERR'!D46</f>
        <v>0</v>
      </c>
      <c r="I47" s="28" t="str">
        <f>IF(AND(H4=0,H47&gt;=0), "",H47/H4)</f>
        <v/>
      </c>
      <c r="J47" s="42" t="str">
        <f>IF(AND(H124=0,H47&gt;=0),"",H47/H124)</f>
        <v/>
      </c>
      <c r="K47" s="28">
        <f t="shared" si="46"/>
        <v>-1</v>
      </c>
      <c r="L47" s="83">
        <f t="shared" si="65"/>
        <v>10</v>
      </c>
      <c r="M47" s="28">
        <f>IF(AND(L4=0,L47&gt;=0), "",L47/L4)</f>
        <v>7.246376811594203E-4</v>
      </c>
      <c r="N47" s="42">
        <f>IF(AND(L124=0,L47&gt;=0),"",L47/L124)</f>
        <v>6.7114093959731542E-3</v>
      </c>
      <c r="O47" s="82">
        <f>+'N EERR'!E46</f>
        <v>0</v>
      </c>
      <c r="P47" s="28" t="str">
        <f>IF(AND(O4=0,O47&gt;=0), "",O47/O4)</f>
        <v/>
      </c>
      <c r="Q47" s="42" t="str">
        <f>IF(AND(O124=0,O47&gt;=0),"",O47/O124)</f>
        <v/>
      </c>
      <c r="R47" s="28" t="str">
        <f t="shared" si="47"/>
        <v/>
      </c>
      <c r="S47" s="83">
        <f t="shared" si="66"/>
        <v>10</v>
      </c>
      <c r="T47" s="28">
        <f>IF(AND(S4=0,S47&gt;=0), "",S47/S4)</f>
        <v>7.246376811594203E-4</v>
      </c>
      <c r="U47" s="42">
        <f>IF(AND(S124=0,S47&gt;=0),"",S47/S124)</f>
        <v>6.7114093959731542E-3</v>
      </c>
      <c r="V47" s="84"/>
      <c r="W47" s="28" t="str">
        <f>IF(AND(V4=0,V47&gt;=0), "",V47/V4)</f>
        <v/>
      </c>
      <c r="X47" s="42">
        <f t="shared" si="48"/>
        <v>1</v>
      </c>
      <c r="Y47" s="82">
        <f>+'N EERR'!F46</f>
        <v>0</v>
      </c>
      <c r="Z47" s="28" t="str">
        <f>IF(AND(Y4=0,Y47&gt;=0), "",Y47/Y4)</f>
        <v/>
      </c>
      <c r="AA47" s="42" t="str">
        <f>IF(AND(Y124=0,Y47&gt;=0),"",Y47/Y124)</f>
        <v/>
      </c>
      <c r="AB47" s="28" t="str">
        <f t="shared" si="49"/>
        <v/>
      </c>
      <c r="AC47" s="83">
        <f t="shared" si="54"/>
        <v>10</v>
      </c>
      <c r="AD47" s="28">
        <f>IF(AND(AC4=0,AC47&gt;=0), "",AC47/AC4)</f>
        <v>7.246376811594203E-4</v>
      </c>
      <c r="AE47" s="42">
        <f>IF(AND(AC124=0,AC47&gt;=0),"",AC47/AC124)</f>
        <v>6.7114093959731542E-3</v>
      </c>
      <c r="AF47" s="82">
        <f>+'N EERR'!G46</f>
        <v>0</v>
      </c>
      <c r="AG47" s="28" t="str">
        <f>IF(AND(AF4=0,AF47&gt;=0), "",AF47/AF4)</f>
        <v/>
      </c>
      <c r="AH47" s="42" t="str">
        <f>IF(AND(AF124=0,AF47&gt;=0),"",AF47/AF124)</f>
        <v/>
      </c>
      <c r="AI47" s="28" t="str">
        <f t="shared" si="38"/>
        <v/>
      </c>
      <c r="AJ47" s="83">
        <f t="shared" si="16"/>
        <v>10</v>
      </c>
      <c r="AK47" s="28">
        <f>IF(AND(AJ4=0,AJ47&gt;=0), "",AJ47/AJ4)</f>
        <v>7.246376811594203E-4</v>
      </c>
      <c r="AL47" s="42">
        <f>IF(AND(AJ124=0,AJ47&gt;=0),"",AJ47/AJ124)</f>
        <v>6.7114093959731542E-3</v>
      </c>
      <c r="AM47" s="82">
        <f>+'N EERR'!H46</f>
        <v>0</v>
      </c>
      <c r="AN47" s="28" t="str">
        <f>IF(AND(AM4=0,AM47&gt;=0), "",AM47/AM4)</f>
        <v/>
      </c>
      <c r="AO47" s="42" t="str">
        <f>IF(AND(AM124=0,AM47&gt;=0),"",AM47/AM124)</f>
        <v/>
      </c>
      <c r="AP47" s="28" t="str">
        <f t="shared" si="39"/>
        <v/>
      </c>
      <c r="AQ47" s="83">
        <f t="shared" si="17"/>
        <v>10</v>
      </c>
      <c r="AR47" s="28">
        <f>IF(AND(AQ4=0,AQ47&gt;=0), "",AQ47/AQ4)</f>
        <v>7.246376811594203E-4</v>
      </c>
      <c r="AS47" s="42">
        <f>IF(AND(AQ124=0,AQ47&gt;=0),"",AQ47/AQ124)</f>
        <v>6.7114093959731542E-3</v>
      </c>
      <c r="AT47" s="84">
        <f t="shared" si="55"/>
        <v>0</v>
      </c>
      <c r="AU47" s="28" t="str">
        <f>IF(AND(AT4=0,AT47&gt;=0), "",AT47/AT4)</f>
        <v/>
      </c>
      <c r="AV47" s="42">
        <f t="shared" si="50"/>
        <v>1</v>
      </c>
      <c r="AW47" s="84">
        <f t="shared" si="67"/>
        <v>1.6666666666666667</v>
      </c>
      <c r="AX47" s="28">
        <f>IF(AND(AW4=0,AW47&gt;=0), "",AW47/AW4)</f>
        <v>7.2463768115942019E-4</v>
      </c>
      <c r="AY47" s="42">
        <f>IF(AND(AW124=0,AW47&gt;=0),"",AW47/AW124)</f>
        <v>6.7114093959731542E-3</v>
      </c>
      <c r="AZ47" s="84">
        <f t="shared" si="56"/>
        <v>0</v>
      </c>
      <c r="BA47" s="28" t="str">
        <f>IF(AND(AZ4=0,AZ47&gt;=0), "",AZ47/AZ4)</f>
        <v/>
      </c>
      <c r="BB47" s="42">
        <f t="shared" si="51"/>
        <v>1</v>
      </c>
      <c r="BC47" s="82">
        <f>+'N EERR'!I46</f>
        <v>0</v>
      </c>
      <c r="BD47" s="28" t="str">
        <f>IF(AND(BC4=0,BC47&gt;=0), "",BC47/BC4)</f>
        <v/>
      </c>
      <c r="BE47" s="42" t="str">
        <f>IF(AND(BC124=0,BC47&gt;=0),"",BC47/BC124)</f>
        <v/>
      </c>
      <c r="BF47" s="28" t="str">
        <f t="shared" si="52"/>
        <v/>
      </c>
      <c r="BG47" s="83">
        <f t="shared" si="57"/>
        <v>10</v>
      </c>
      <c r="BH47" s="28">
        <f>IF(AND(BG4=0,BG47&gt;=0), "",BG47/BG4)</f>
        <v>7.246376811594203E-4</v>
      </c>
      <c r="BI47" s="42">
        <f>IF(AND(BG124=0,BG47&gt;=0),"",BG47/BG124)</f>
        <v>6.7114093959731542E-3</v>
      </c>
      <c r="BJ47" s="82">
        <f>+'N EERR'!J46</f>
        <v>0</v>
      </c>
      <c r="BK47" s="28" t="str">
        <f>IF(AND(BJ4=0,BJ47&gt;=0), "",BJ47/BJ4)</f>
        <v/>
      </c>
      <c r="BL47" s="42" t="str">
        <f>IF(AND(BJ124=0,BJ47&gt;=0),"",BJ47/BJ124)</f>
        <v/>
      </c>
      <c r="BM47" s="28" t="str">
        <f t="shared" si="40"/>
        <v/>
      </c>
      <c r="BN47" s="83">
        <f t="shared" si="58"/>
        <v>10</v>
      </c>
      <c r="BO47" s="28">
        <f>IF(AND(BN4=0,BN47&gt;=0), "",BN47/BN4)</f>
        <v>7.246376811594203E-4</v>
      </c>
      <c r="BP47" s="42">
        <f>IF(AND(BN124=0,BN47&gt;=0),"",BN47/BN124)</f>
        <v>6.7114093959731542E-3</v>
      </c>
      <c r="BQ47" s="82">
        <f>+'N EERR'!K46</f>
        <v>0</v>
      </c>
      <c r="BR47" s="28" t="str">
        <f>IF(AND(BQ4=0,BQ47&gt;=0), "",BQ47/BQ4)</f>
        <v/>
      </c>
      <c r="BS47" s="42" t="str">
        <f>IF(AND(BQ124=0,BQ47&gt;=0),"",BQ47/BQ124)</f>
        <v/>
      </c>
      <c r="BT47" s="28" t="str">
        <f t="shared" si="41"/>
        <v/>
      </c>
      <c r="BU47" s="83">
        <f t="shared" si="59"/>
        <v>10</v>
      </c>
      <c r="BV47" s="28">
        <f>IF(AND(BU4=0,BU47&gt;=0), "",BU47/BU4)</f>
        <v>7.246376811594203E-4</v>
      </c>
      <c r="BW47" s="42">
        <f>IF(AND(BU124=0,BU47&gt;=0),"",BU47/BU124)</f>
        <v>6.7114093959731542E-3</v>
      </c>
      <c r="BX47" s="84">
        <f t="shared" si="60"/>
        <v>0</v>
      </c>
      <c r="BY47" s="28" t="str">
        <f>IF(AND(BX4=0,BX47&gt;=0), "",BX47/BX4)</f>
        <v/>
      </c>
      <c r="BZ47" s="42">
        <f t="shared" si="42"/>
        <v>1</v>
      </c>
      <c r="CA47" s="82">
        <f>+'N EERR'!L46</f>
        <v>0</v>
      </c>
      <c r="CB47" s="28" t="str">
        <f>IF(AND(CA4=0,CA47&gt;=0), "",CA47/CA4)</f>
        <v/>
      </c>
      <c r="CC47" s="42" t="str">
        <f>IF(AND(CA124=0,CA47&gt;=0),"",CA47/CA124)</f>
        <v/>
      </c>
      <c r="CD47" s="28" t="str">
        <f t="shared" si="53"/>
        <v/>
      </c>
      <c r="CE47" s="83">
        <f t="shared" si="61"/>
        <v>10</v>
      </c>
      <c r="CF47" s="28">
        <f>IF(AND(CE4=0,CE47&gt;=0), "",CE47/CE4)</f>
        <v>7.246376811594203E-4</v>
      </c>
      <c r="CG47" s="42">
        <f>IF(AND(CE124=0,CE47&gt;=0),"",CE47/CE124)</f>
        <v>6.7114093959731542E-3</v>
      </c>
      <c r="CH47" s="82">
        <f>+'N EERR'!M46</f>
        <v>0</v>
      </c>
      <c r="CI47" s="28" t="str">
        <f>IF(AND(CH4=0,CH47&gt;=0), "",CH47/CH4)</f>
        <v/>
      </c>
      <c r="CJ47" s="42" t="str">
        <f>IF(AND(CH124=0,CH47&gt;=0),"",CH47/CH124)</f>
        <v/>
      </c>
      <c r="CK47" s="28" t="str">
        <f t="shared" si="43"/>
        <v/>
      </c>
      <c r="CL47" s="83">
        <f t="shared" si="62"/>
        <v>10</v>
      </c>
      <c r="CM47" s="28">
        <f>IF(AND(CL4=0,CL47&gt;=0), "",CL47/CL4)</f>
        <v>7.246376811594203E-4</v>
      </c>
      <c r="CN47" s="42">
        <f>IF(AND(CL124=0,CL47&gt;=0),"",CL47/CL124)</f>
        <v>6.7114093959731542E-3</v>
      </c>
      <c r="CO47" s="82">
        <f>+'N EERR'!N46</f>
        <v>0</v>
      </c>
      <c r="CP47" s="28" t="str">
        <f>IF(AND(CO4=0,CO47&gt;=0), "",CO47/CO4)</f>
        <v/>
      </c>
      <c r="CQ47" s="42" t="str">
        <f>IF(AND(CO124=0,CO47&gt;=0),"",CO47/CO124)</f>
        <v/>
      </c>
      <c r="CR47" s="28" t="str">
        <f t="shared" si="44"/>
        <v/>
      </c>
      <c r="CS47" s="83">
        <f t="shared" si="63"/>
        <v>10</v>
      </c>
      <c r="CT47" s="28">
        <f>IF(AND(CS4=0,CS47&gt;=0), "",CS47/CS4)</f>
        <v>7.246376811594203E-4</v>
      </c>
      <c r="CU47" s="42">
        <f>IF(AND(CS124=0,CS47&gt;=0),"",CS47/CS124)</f>
        <v>6.7114093959731542E-3</v>
      </c>
      <c r="CV47" s="84">
        <f t="shared" si="64"/>
        <v>0</v>
      </c>
      <c r="CW47" s="28" t="str">
        <f>IF(AND(CV4=0,CV47&gt;=0), "",CV47/CV4)</f>
        <v/>
      </c>
      <c r="CX47" s="42">
        <f t="shared" si="45"/>
        <v>1</v>
      </c>
    </row>
    <row r="48" spans="1:105" outlineLevel="1" x14ac:dyDescent="0.25">
      <c r="A48" s="27" t="s">
        <v>10</v>
      </c>
      <c r="B48" s="82">
        <f>+'N EERR'!B47</f>
        <v>0</v>
      </c>
      <c r="C48" s="28" t="str">
        <f>IF(AND(B4=0,B48&gt;=0), "",B48/B4)</f>
        <v/>
      </c>
      <c r="D48" s="42" t="str">
        <f>IF(AND(B124=0,B48&gt;=0),"",B48/B124)</f>
        <v/>
      </c>
      <c r="E48" s="82">
        <f>+'N EERR'!C47</f>
        <v>10</v>
      </c>
      <c r="F48" s="28">
        <f>IF(AND(E4=0,E48&gt;=0), "",E48/E4)</f>
        <v>7.246376811594203E-4</v>
      </c>
      <c r="G48" s="42">
        <f>IF(AND(E124=0,E48&gt;=0),"",E48/E124)</f>
        <v>6.7114093959731542E-3</v>
      </c>
      <c r="H48" s="82">
        <f>+'N EERR'!D47</f>
        <v>0</v>
      </c>
      <c r="I48" s="28" t="str">
        <f>IF(AND(H4=0,H48&gt;=0), "",H48/H4)</f>
        <v/>
      </c>
      <c r="J48" s="42" t="str">
        <f>IF(AND(H124=0,H48&gt;=0),"",H48/H124)</f>
        <v/>
      </c>
      <c r="K48" s="28">
        <f t="shared" si="46"/>
        <v>-1</v>
      </c>
      <c r="L48" s="83">
        <f t="shared" si="65"/>
        <v>10</v>
      </c>
      <c r="M48" s="28">
        <f>IF(AND(L4=0,L48&gt;=0), "",L48/L4)</f>
        <v>7.246376811594203E-4</v>
      </c>
      <c r="N48" s="42">
        <f>IF(AND(L124=0,L48&gt;=0),"",L48/L124)</f>
        <v>6.7114093959731542E-3</v>
      </c>
      <c r="O48" s="82">
        <f>+'N EERR'!E47</f>
        <v>0</v>
      </c>
      <c r="P48" s="28" t="str">
        <f>IF(AND(O4=0,O48&gt;=0), "",O48/O4)</f>
        <v/>
      </c>
      <c r="Q48" s="42" t="str">
        <f>IF(AND(O124=0,O48&gt;=0),"",O48/O124)</f>
        <v/>
      </c>
      <c r="R48" s="28" t="str">
        <f t="shared" si="47"/>
        <v/>
      </c>
      <c r="S48" s="83">
        <f t="shared" si="66"/>
        <v>10</v>
      </c>
      <c r="T48" s="28">
        <f>IF(AND(S4=0,S48&gt;=0), "",S48/S4)</f>
        <v>7.246376811594203E-4</v>
      </c>
      <c r="U48" s="42">
        <f>IF(AND(S124=0,S48&gt;=0),"",S48/S124)</f>
        <v>6.7114093959731542E-3</v>
      </c>
      <c r="V48" s="84"/>
      <c r="W48" s="28" t="str">
        <f>IF(AND(V4=0,V48&gt;=0), "",V48/V4)</f>
        <v/>
      </c>
      <c r="X48" s="42">
        <f t="shared" si="48"/>
        <v>1</v>
      </c>
      <c r="Y48" s="82">
        <f>+'N EERR'!F47</f>
        <v>0</v>
      </c>
      <c r="Z48" s="28" t="str">
        <f>IF(AND(Y4=0,Y48&gt;=0), "",Y48/Y4)</f>
        <v/>
      </c>
      <c r="AA48" s="42" t="str">
        <f>IF(AND(Y124=0,Y48&gt;=0),"",Y48/Y124)</f>
        <v/>
      </c>
      <c r="AB48" s="28" t="str">
        <f t="shared" si="49"/>
        <v/>
      </c>
      <c r="AC48" s="83">
        <f t="shared" si="54"/>
        <v>10</v>
      </c>
      <c r="AD48" s="28">
        <f>IF(AND(AC4=0,AC48&gt;=0), "",AC48/AC4)</f>
        <v>7.246376811594203E-4</v>
      </c>
      <c r="AE48" s="42">
        <f>IF(AND(AC124=0,AC48&gt;=0),"",AC48/AC124)</f>
        <v>6.7114093959731542E-3</v>
      </c>
      <c r="AF48" s="82">
        <f>+'N EERR'!G47</f>
        <v>0</v>
      </c>
      <c r="AG48" s="28" t="str">
        <f>IF(AND(AF4=0,AF48&gt;=0), "",AF48/AF4)</f>
        <v/>
      </c>
      <c r="AH48" s="42" t="str">
        <f>IF(AND(AF124=0,AF48&gt;=0),"",AF48/AF124)</f>
        <v/>
      </c>
      <c r="AI48" s="28" t="str">
        <f t="shared" si="38"/>
        <v/>
      </c>
      <c r="AJ48" s="83">
        <f t="shared" si="16"/>
        <v>10</v>
      </c>
      <c r="AK48" s="28">
        <f>IF(AND(AJ4=0,AJ48&gt;=0), "",AJ48/AJ4)</f>
        <v>7.246376811594203E-4</v>
      </c>
      <c r="AL48" s="42">
        <f>IF(AND(AJ124=0,AJ48&gt;=0),"",AJ48/AJ124)</f>
        <v>6.7114093959731542E-3</v>
      </c>
      <c r="AM48" s="82">
        <f>+'N EERR'!H47</f>
        <v>0</v>
      </c>
      <c r="AN48" s="28" t="str">
        <f>IF(AND(AM4=0,AM48&gt;=0), "",AM48/AM4)</f>
        <v/>
      </c>
      <c r="AO48" s="42" t="str">
        <f>IF(AND(AM124=0,AM48&gt;=0),"",AM48/AM124)</f>
        <v/>
      </c>
      <c r="AP48" s="28" t="str">
        <f t="shared" si="39"/>
        <v/>
      </c>
      <c r="AQ48" s="83">
        <f t="shared" si="17"/>
        <v>10</v>
      </c>
      <c r="AR48" s="28">
        <f>IF(AND(AQ4=0,AQ48&gt;=0), "",AQ48/AQ4)</f>
        <v>7.246376811594203E-4</v>
      </c>
      <c r="AS48" s="42">
        <f>IF(AND(AQ124=0,AQ48&gt;=0),"",AQ48/AQ124)</f>
        <v>6.7114093959731542E-3</v>
      </c>
      <c r="AT48" s="84">
        <f t="shared" si="55"/>
        <v>0</v>
      </c>
      <c r="AU48" s="28" t="str">
        <f>IF(AND(AT4=0,AT48&gt;=0), "",AT48/AT4)</f>
        <v/>
      </c>
      <c r="AV48" s="42">
        <f t="shared" si="50"/>
        <v>1</v>
      </c>
      <c r="AW48" s="84">
        <f t="shared" si="67"/>
        <v>1.6666666666666667</v>
      </c>
      <c r="AX48" s="28">
        <f>IF(AND(AW4=0,AW48&gt;=0), "",AW48/AW4)</f>
        <v>7.2463768115942019E-4</v>
      </c>
      <c r="AY48" s="42">
        <f>IF(AND(AW124=0,AW48&gt;=0),"",AW48/AW124)</f>
        <v>6.7114093959731542E-3</v>
      </c>
      <c r="AZ48" s="84">
        <f t="shared" si="56"/>
        <v>0</v>
      </c>
      <c r="BA48" s="28" t="str">
        <f>IF(AND(AZ4=0,AZ48&gt;=0), "",AZ48/AZ4)</f>
        <v/>
      </c>
      <c r="BB48" s="42">
        <f t="shared" si="51"/>
        <v>1</v>
      </c>
      <c r="BC48" s="82">
        <f>+'N EERR'!I47</f>
        <v>0</v>
      </c>
      <c r="BD48" s="28" t="str">
        <f>IF(AND(BC4=0,BC48&gt;=0), "",BC48/BC4)</f>
        <v/>
      </c>
      <c r="BE48" s="42" t="str">
        <f>IF(AND(BC124=0,BC48&gt;=0),"",BC48/BC124)</f>
        <v/>
      </c>
      <c r="BF48" s="28" t="str">
        <f t="shared" si="52"/>
        <v/>
      </c>
      <c r="BG48" s="83">
        <f t="shared" si="57"/>
        <v>10</v>
      </c>
      <c r="BH48" s="28">
        <f>IF(AND(BG4=0,BG48&gt;=0), "",BG48/BG4)</f>
        <v>7.246376811594203E-4</v>
      </c>
      <c r="BI48" s="42">
        <f>IF(AND(BG124=0,BG48&gt;=0),"",BG48/BG124)</f>
        <v>6.7114093959731542E-3</v>
      </c>
      <c r="BJ48" s="82">
        <f>+'N EERR'!J47</f>
        <v>0</v>
      </c>
      <c r="BK48" s="28" t="str">
        <f>IF(AND(BJ4=0,BJ48&gt;=0), "",BJ48/BJ4)</f>
        <v/>
      </c>
      <c r="BL48" s="42" t="str">
        <f>IF(AND(BJ124=0,BJ48&gt;=0),"",BJ48/BJ124)</f>
        <v/>
      </c>
      <c r="BM48" s="28" t="str">
        <f t="shared" si="40"/>
        <v/>
      </c>
      <c r="BN48" s="83">
        <f t="shared" si="58"/>
        <v>10</v>
      </c>
      <c r="BO48" s="28">
        <f>IF(AND(BN4=0,BN48&gt;=0), "",BN48/BN4)</f>
        <v>7.246376811594203E-4</v>
      </c>
      <c r="BP48" s="42">
        <f>IF(AND(BN124=0,BN48&gt;=0),"",BN48/BN124)</f>
        <v>6.7114093959731542E-3</v>
      </c>
      <c r="BQ48" s="82">
        <f>+'N EERR'!K47</f>
        <v>0</v>
      </c>
      <c r="BR48" s="28" t="str">
        <f>IF(AND(BQ4=0,BQ48&gt;=0), "",BQ48/BQ4)</f>
        <v/>
      </c>
      <c r="BS48" s="42" t="str">
        <f>IF(AND(BQ124=0,BQ48&gt;=0),"",BQ48/BQ124)</f>
        <v/>
      </c>
      <c r="BT48" s="28" t="str">
        <f t="shared" si="41"/>
        <v/>
      </c>
      <c r="BU48" s="83">
        <f t="shared" si="59"/>
        <v>10</v>
      </c>
      <c r="BV48" s="28">
        <f>IF(AND(BU4=0,BU48&gt;=0), "",BU48/BU4)</f>
        <v>7.246376811594203E-4</v>
      </c>
      <c r="BW48" s="42">
        <f>IF(AND(BU124=0,BU48&gt;=0),"",BU48/BU124)</f>
        <v>6.7114093959731542E-3</v>
      </c>
      <c r="BX48" s="84">
        <f t="shared" si="60"/>
        <v>0</v>
      </c>
      <c r="BY48" s="28" t="str">
        <f>IF(AND(BX4=0,BX48&gt;=0), "",BX48/BX4)</f>
        <v/>
      </c>
      <c r="BZ48" s="42">
        <f t="shared" si="42"/>
        <v>1</v>
      </c>
      <c r="CA48" s="82">
        <f>+'N EERR'!L47</f>
        <v>0</v>
      </c>
      <c r="CB48" s="28" t="str">
        <f>IF(AND(CA4=0,CA48&gt;=0), "",CA48/CA4)</f>
        <v/>
      </c>
      <c r="CC48" s="42" t="str">
        <f>IF(AND(CA124=0,CA48&gt;=0),"",CA48/CA124)</f>
        <v/>
      </c>
      <c r="CD48" s="28" t="str">
        <f t="shared" si="53"/>
        <v/>
      </c>
      <c r="CE48" s="83">
        <f t="shared" si="61"/>
        <v>10</v>
      </c>
      <c r="CF48" s="28">
        <f>IF(AND(CE4=0,CE48&gt;=0), "",CE48/CE4)</f>
        <v>7.246376811594203E-4</v>
      </c>
      <c r="CG48" s="42">
        <f>IF(AND(CE124=0,CE48&gt;=0),"",CE48/CE124)</f>
        <v>6.7114093959731542E-3</v>
      </c>
      <c r="CH48" s="82">
        <f>+'N EERR'!M47</f>
        <v>0</v>
      </c>
      <c r="CI48" s="28" t="str">
        <f>IF(AND(CH4=0,CH48&gt;=0), "",CH48/CH4)</f>
        <v/>
      </c>
      <c r="CJ48" s="42" t="str">
        <f>IF(AND(CH124=0,CH48&gt;=0),"",CH48/CH124)</f>
        <v/>
      </c>
      <c r="CK48" s="28" t="str">
        <f t="shared" si="43"/>
        <v/>
      </c>
      <c r="CL48" s="83">
        <f t="shared" si="62"/>
        <v>10</v>
      </c>
      <c r="CM48" s="28">
        <f>IF(AND(CL4=0,CL48&gt;=0), "",CL48/CL4)</f>
        <v>7.246376811594203E-4</v>
      </c>
      <c r="CN48" s="42">
        <f>IF(AND(CL124=0,CL48&gt;=0),"",CL48/CL124)</f>
        <v>6.7114093959731542E-3</v>
      </c>
      <c r="CO48" s="82">
        <f>+'N EERR'!N47</f>
        <v>0</v>
      </c>
      <c r="CP48" s="28" t="str">
        <f>IF(AND(CO4=0,CO48&gt;=0), "",CO48/CO4)</f>
        <v/>
      </c>
      <c r="CQ48" s="42" t="str">
        <f>IF(AND(CO124=0,CO48&gt;=0),"",CO48/CO124)</f>
        <v/>
      </c>
      <c r="CR48" s="28" t="str">
        <f t="shared" si="44"/>
        <v/>
      </c>
      <c r="CS48" s="83">
        <f t="shared" si="63"/>
        <v>10</v>
      </c>
      <c r="CT48" s="28">
        <f>IF(AND(CS4=0,CS48&gt;=0), "",CS48/CS4)</f>
        <v>7.246376811594203E-4</v>
      </c>
      <c r="CU48" s="42">
        <f>IF(AND(CS124=0,CS48&gt;=0),"",CS48/CS124)</f>
        <v>6.7114093959731542E-3</v>
      </c>
      <c r="CV48" s="84">
        <f t="shared" si="64"/>
        <v>0</v>
      </c>
      <c r="CW48" s="28" t="str">
        <f>IF(AND(CV4=0,CV48&gt;=0), "",CV48/CV4)</f>
        <v/>
      </c>
      <c r="CX48" s="42">
        <f t="shared" si="45"/>
        <v>1</v>
      </c>
    </row>
    <row r="49" spans="1:102" outlineLevel="1" x14ac:dyDescent="0.25">
      <c r="A49" s="27" t="s">
        <v>11</v>
      </c>
      <c r="B49" s="82">
        <f>+'N EERR'!B48</f>
        <v>0</v>
      </c>
      <c r="C49" s="28" t="str">
        <f>IF(AND(B4=0,B49&gt;=0), "",B49/B4)</f>
        <v/>
      </c>
      <c r="D49" s="42" t="str">
        <f>IF(AND(B124=0,B49&gt;=0),"",B49/B124)</f>
        <v/>
      </c>
      <c r="E49" s="82">
        <f>+'N EERR'!C48</f>
        <v>10</v>
      </c>
      <c r="F49" s="28">
        <f>IF(AND(E4=0,E49&gt;=0), "",E49/E4)</f>
        <v>7.246376811594203E-4</v>
      </c>
      <c r="G49" s="42">
        <f>IF(AND(E124=0,E49&gt;=0),"",E49/E124)</f>
        <v>6.7114093959731542E-3</v>
      </c>
      <c r="H49" s="82">
        <f>+'N EERR'!D48</f>
        <v>0</v>
      </c>
      <c r="I49" s="28" t="str">
        <f>IF(AND(H4=0,H49&gt;=0), "",H49/H4)</f>
        <v/>
      </c>
      <c r="J49" s="42" t="str">
        <f>IF(AND(H124=0,H49&gt;=0),"",H49/H124)</f>
        <v/>
      </c>
      <c r="K49" s="28">
        <f t="shared" si="46"/>
        <v>-1</v>
      </c>
      <c r="L49" s="83">
        <f t="shared" si="65"/>
        <v>10</v>
      </c>
      <c r="M49" s="28">
        <f>IF(AND(L4=0,L49&gt;=0), "",L49/L4)</f>
        <v>7.246376811594203E-4</v>
      </c>
      <c r="N49" s="42">
        <f>IF(AND(L124=0,L49&gt;=0),"",L49/L124)</f>
        <v>6.7114093959731542E-3</v>
      </c>
      <c r="O49" s="82">
        <f>+'N EERR'!E48</f>
        <v>0</v>
      </c>
      <c r="P49" s="28" t="str">
        <f>IF(AND(O4=0,O49&gt;=0), "",O49/O4)</f>
        <v/>
      </c>
      <c r="Q49" s="42" t="str">
        <f>IF(AND(O124=0,O49&gt;=0),"",O49/O124)</f>
        <v/>
      </c>
      <c r="R49" s="28" t="str">
        <f t="shared" si="47"/>
        <v/>
      </c>
      <c r="S49" s="83">
        <f t="shared" si="66"/>
        <v>10</v>
      </c>
      <c r="T49" s="28">
        <f>IF(AND(S4=0,S49&gt;=0), "",S49/S4)</f>
        <v>7.246376811594203E-4</v>
      </c>
      <c r="U49" s="42">
        <f>IF(AND(S124=0,S49&gt;=0),"",S49/S124)</f>
        <v>6.7114093959731542E-3</v>
      </c>
      <c r="V49" s="84"/>
      <c r="W49" s="28" t="str">
        <f>IF(AND(V4=0,V49&gt;=0), "",V49/V4)</f>
        <v/>
      </c>
      <c r="X49" s="42">
        <f t="shared" si="48"/>
        <v>1</v>
      </c>
      <c r="Y49" s="82">
        <f>+'N EERR'!F48</f>
        <v>0</v>
      </c>
      <c r="Z49" s="28" t="str">
        <f>IF(AND(Y4=0,Y49&gt;=0), "",Y49/Y4)</f>
        <v/>
      </c>
      <c r="AA49" s="42" t="str">
        <f>IF(AND(Y124=0,Y49&gt;=0),"",Y49/Y124)</f>
        <v/>
      </c>
      <c r="AB49" s="28" t="str">
        <f t="shared" si="49"/>
        <v/>
      </c>
      <c r="AC49" s="83">
        <f t="shared" si="54"/>
        <v>10</v>
      </c>
      <c r="AD49" s="28">
        <f>IF(AND(AC4=0,AC49&gt;=0), "",AC49/AC4)</f>
        <v>7.246376811594203E-4</v>
      </c>
      <c r="AE49" s="42">
        <f>IF(AND(AC124=0,AC49&gt;=0),"",AC49/AC124)</f>
        <v>6.7114093959731542E-3</v>
      </c>
      <c r="AF49" s="82">
        <f>+'N EERR'!G48</f>
        <v>0</v>
      </c>
      <c r="AG49" s="28" t="str">
        <f>IF(AND(AF4=0,AF49&gt;=0), "",AF49/AF4)</f>
        <v/>
      </c>
      <c r="AH49" s="42" t="str">
        <f>IF(AND(AF124=0,AF49&gt;=0),"",AF49/AF124)</f>
        <v/>
      </c>
      <c r="AI49" s="28" t="str">
        <f t="shared" si="38"/>
        <v/>
      </c>
      <c r="AJ49" s="83">
        <f t="shared" si="16"/>
        <v>10</v>
      </c>
      <c r="AK49" s="28">
        <f>IF(AND(AJ4=0,AJ49&gt;=0), "",AJ49/AJ4)</f>
        <v>7.246376811594203E-4</v>
      </c>
      <c r="AL49" s="42">
        <f>IF(AND(AJ124=0,AJ49&gt;=0),"",AJ49/AJ124)</f>
        <v>6.7114093959731542E-3</v>
      </c>
      <c r="AM49" s="82">
        <f>+'N EERR'!H48</f>
        <v>0</v>
      </c>
      <c r="AN49" s="28" t="str">
        <f>IF(AND(AM4=0,AM49&gt;=0), "",AM49/AM4)</f>
        <v/>
      </c>
      <c r="AO49" s="42" t="str">
        <f>IF(AND(AM124=0,AM49&gt;=0),"",AM49/AM124)</f>
        <v/>
      </c>
      <c r="AP49" s="28" t="str">
        <f t="shared" si="39"/>
        <v/>
      </c>
      <c r="AQ49" s="83">
        <f t="shared" si="17"/>
        <v>10</v>
      </c>
      <c r="AR49" s="28">
        <f>IF(AND(AQ4=0,AQ49&gt;=0), "",AQ49/AQ4)</f>
        <v>7.246376811594203E-4</v>
      </c>
      <c r="AS49" s="42">
        <f>IF(AND(AQ124=0,AQ49&gt;=0),"",AQ49/AQ124)</f>
        <v>6.7114093959731542E-3</v>
      </c>
      <c r="AT49" s="84">
        <f t="shared" si="55"/>
        <v>0</v>
      </c>
      <c r="AU49" s="28" t="str">
        <f>IF(AND(AT4=0,AT49&gt;=0), "",AT49/AT4)</f>
        <v/>
      </c>
      <c r="AV49" s="42">
        <f t="shared" si="50"/>
        <v>1</v>
      </c>
      <c r="AW49" s="84">
        <f t="shared" si="67"/>
        <v>1.6666666666666667</v>
      </c>
      <c r="AX49" s="28">
        <f>IF(AND(AW4=0,AW49&gt;=0), "",AW49/AW4)</f>
        <v>7.2463768115942019E-4</v>
      </c>
      <c r="AY49" s="42">
        <f>IF(AND(AW124=0,AW49&gt;=0),"",AW49/AW124)</f>
        <v>6.7114093959731542E-3</v>
      </c>
      <c r="AZ49" s="84">
        <f t="shared" si="56"/>
        <v>0</v>
      </c>
      <c r="BA49" s="28" t="str">
        <f>IF(AND(AZ4=0,AZ49&gt;=0), "",AZ49/AZ4)</f>
        <v/>
      </c>
      <c r="BB49" s="42">
        <f t="shared" si="51"/>
        <v>1</v>
      </c>
      <c r="BC49" s="82">
        <f>+'N EERR'!I48</f>
        <v>0</v>
      </c>
      <c r="BD49" s="28" t="str">
        <f>IF(AND(BC4=0,BC49&gt;=0), "",BC49/BC4)</f>
        <v/>
      </c>
      <c r="BE49" s="42" t="str">
        <f>IF(AND(BC124=0,BC49&gt;=0),"",BC49/BC124)</f>
        <v/>
      </c>
      <c r="BF49" s="28" t="str">
        <f t="shared" si="52"/>
        <v/>
      </c>
      <c r="BG49" s="83">
        <f t="shared" si="57"/>
        <v>10</v>
      </c>
      <c r="BH49" s="28">
        <f>IF(AND(BG4=0,BG49&gt;=0), "",BG49/BG4)</f>
        <v>7.246376811594203E-4</v>
      </c>
      <c r="BI49" s="42">
        <f>IF(AND(BG124=0,BG49&gt;=0),"",BG49/BG124)</f>
        <v>6.7114093959731542E-3</v>
      </c>
      <c r="BJ49" s="82">
        <f>+'N EERR'!J48</f>
        <v>0</v>
      </c>
      <c r="BK49" s="28" t="str">
        <f>IF(AND(BJ4=0,BJ49&gt;=0), "",BJ49/BJ4)</f>
        <v/>
      </c>
      <c r="BL49" s="42" t="str">
        <f>IF(AND(BJ124=0,BJ49&gt;=0),"",BJ49/BJ124)</f>
        <v/>
      </c>
      <c r="BM49" s="28" t="str">
        <f t="shared" si="40"/>
        <v/>
      </c>
      <c r="BN49" s="83">
        <f t="shared" si="58"/>
        <v>10</v>
      </c>
      <c r="BO49" s="28">
        <f>IF(AND(BN4=0,BN49&gt;=0), "",BN49/BN4)</f>
        <v>7.246376811594203E-4</v>
      </c>
      <c r="BP49" s="42">
        <f>IF(AND(BN124=0,BN49&gt;=0),"",BN49/BN124)</f>
        <v>6.7114093959731542E-3</v>
      </c>
      <c r="BQ49" s="82">
        <f>+'N EERR'!K48</f>
        <v>0</v>
      </c>
      <c r="BR49" s="28" t="str">
        <f>IF(AND(BQ4=0,BQ49&gt;=0), "",BQ49/BQ4)</f>
        <v/>
      </c>
      <c r="BS49" s="42" t="str">
        <f>IF(AND(BQ124=0,BQ49&gt;=0),"",BQ49/BQ124)</f>
        <v/>
      </c>
      <c r="BT49" s="28" t="str">
        <f t="shared" si="41"/>
        <v/>
      </c>
      <c r="BU49" s="83">
        <f t="shared" si="59"/>
        <v>10</v>
      </c>
      <c r="BV49" s="28">
        <f>IF(AND(BU4=0,BU49&gt;=0), "",BU49/BU4)</f>
        <v>7.246376811594203E-4</v>
      </c>
      <c r="BW49" s="42">
        <f>IF(AND(BU124=0,BU49&gt;=0),"",BU49/BU124)</f>
        <v>6.7114093959731542E-3</v>
      </c>
      <c r="BX49" s="84">
        <f t="shared" si="60"/>
        <v>0</v>
      </c>
      <c r="BY49" s="28" t="str">
        <f>IF(AND(BX4=0,BX49&gt;=0), "",BX49/BX4)</f>
        <v/>
      </c>
      <c r="BZ49" s="42">
        <f t="shared" si="42"/>
        <v>1</v>
      </c>
      <c r="CA49" s="82">
        <f>+'N EERR'!L48</f>
        <v>0</v>
      </c>
      <c r="CB49" s="28" t="str">
        <f>IF(AND(CA4=0,CA49&gt;=0), "",CA49/CA4)</f>
        <v/>
      </c>
      <c r="CC49" s="42" t="str">
        <f>IF(AND(CA124=0,CA49&gt;=0),"",CA49/CA124)</f>
        <v/>
      </c>
      <c r="CD49" s="28" t="str">
        <f t="shared" si="53"/>
        <v/>
      </c>
      <c r="CE49" s="83">
        <f t="shared" si="61"/>
        <v>10</v>
      </c>
      <c r="CF49" s="28">
        <f>IF(AND(CE4=0,CE49&gt;=0), "",CE49/CE4)</f>
        <v>7.246376811594203E-4</v>
      </c>
      <c r="CG49" s="42">
        <f>IF(AND(CE124=0,CE49&gt;=0),"",CE49/CE124)</f>
        <v>6.7114093959731542E-3</v>
      </c>
      <c r="CH49" s="82">
        <f>+'N EERR'!M48</f>
        <v>0</v>
      </c>
      <c r="CI49" s="28" t="str">
        <f>IF(AND(CH4=0,CH49&gt;=0), "",CH49/CH4)</f>
        <v/>
      </c>
      <c r="CJ49" s="42" t="str">
        <f>IF(AND(CH124=0,CH49&gt;=0),"",CH49/CH124)</f>
        <v/>
      </c>
      <c r="CK49" s="28" t="str">
        <f t="shared" si="43"/>
        <v/>
      </c>
      <c r="CL49" s="83">
        <f t="shared" si="62"/>
        <v>10</v>
      </c>
      <c r="CM49" s="28">
        <f>IF(AND(CL4=0,CL49&gt;=0), "",CL49/CL4)</f>
        <v>7.246376811594203E-4</v>
      </c>
      <c r="CN49" s="42">
        <f>IF(AND(CL124=0,CL49&gt;=0),"",CL49/CL124)</f>
        <v>6.7114093959731542E-3</v>
      </c>
      <c r="CO49" s="82">
        <f>+'N EERR'!N48</f>
        <v>0</v>
      </c>
      <c r="CP49" s="28" t="str">
        <f>IF(AND(CO4=0,CO49&gt;=0), "",CO49/CO4)</f>
        <v/>
      </c>
      <c r="CQ49" s="42" t="str">
        <f>IF(AND(CO124=0,CO49&gt;=0),"",CO49/CO124)</f>
        <v/>
      </c>
      <c r="CR49" s="28" t="str">
        <f t="shared" si="44"/>
        <v/>
      </c>
      <c r="CS49" s="83">
        <f t="shared" si="63"/>
        <v>10</v>
      </c>
      <c r="CT49" s="28">
        <f>IF(AND(CS4=0,CS49&gt;=0), "",CS49/CS4)</f>
        <v>7.246376811594203E-4</v>
      </c>
      <c r="CU49" s="42">
        <f>IF(AND(CS124=0,CS49&gt;=0),"",CS49/CS124)</f>
        <v>6.7114093959731542E-3</v>
      </c>
      <c r="CV49" s="84">
        <f t="shared" si="64"/>
        <v>0</v>
      </c>
      <c r="CW49" s="28" t="str">
        <f>IF(AND(CV4=0,CV49&gt;=0), "",CV49/CV4)</f>
        <v/>
      </c>
      <c r="CX49" s="42">
        <f t="shared" si="45"/>
        <v>1</v>
      </c>
    </row>
    <row r="50" spans="1:102" outlineLevel="1" x14ac:dyDescent="0.25">
      <c r="A50" s="27" t="s">
        <v>12</v>
      </c>
      <c r="B50" s="82">
        <f>+'N EERR'!B49</f>
        <v>0</v>
      </c>
      <c r="C50" s="28" t="str">
        <f>IF(AND(B4=0,B50&gt;=0), "",B50/B4)</f>
        <v/>
      </c>
      <c r="D50" s="42" t="str">
        <f>IF(AND(B124=0,B50&gt;=0),"",B50/B124)</f>
        <v/>
      </c>
      <c r="E50" s="82">
        <f>+'N EERR'!C49</f>
        <v>10</v>
      </c>
      <c r="F50" s="28">
        <f>IF(AND(E4=0,E50&gt;=0), "",E50/E4)</f>
        <v>7.246376811594203E-4</v>
      </c>
      <c r="G50" s="42">
        <f>IF(AND(E124=0,E50&gt;=0),"",E50/E124)</f>
        <v>6.7114093959731542E-3</v>
      </c>
      <c r="H50" s="82">
        <f>+'N EERR'!D49</f>
        <v>0</v>
      </c>
      <c r="I50" s="28" t="str">
        <f>IF(AND(H4=0,H50&gt;=0), "",H50/H4)</f>
        <v/>
      </c>
      <c r="J50" s="42" t="str">
        <f>IF(AND(H124=0,H50&gt;=0),"",H50/H124)</f>
        <v/>
      </c>
      <c r="K50" s="28">
        <f t="shared" si="46"/>
        <v>-1</v>
      </c>
      <c r="L50" s="83">
        <f t="shared" si="65"/>
        <v>10</v>
      </c>
      <c r="M50" s="28">
        <f>IF(AND(L4=0,L50&gt;=0), "",L50/L4)</f>
        <v>7.246376811594203E-4</v>
      </c>
      <c r="N50" s="42">
        <f>IF(AND(L124=0,L50&gt;=0),"",L50/L124)</f>
        <v>6.7114093959731542E-3</v>
      </c>
      <c r="O50" s="82">
        <f>+'N EERR'!E49</f>
        <v>0</v>
      </c>
      <c r="P50" s="28" t="str">
        <f>IF(AND(O4=0,O50&gt;=0), "",O50/O4)</f>
        <v/>
      </c>
      <c r="Q50" s="42" t="str">
        <f>IF(AND(O124=0,O50&gt;=0),"",O50/O124)</f>
        <v/>
      </c>
      <c r="R50" s="28" t="str">
        <f t="shared" si="47"/>
        <v/>
      </c>
      <c r="S50" s="83">
        <f t="shared" si="66"/>
        <v>10</v>
      </c>
      <c r="T50" s="28">
        <f>IF(AND(S4=0,S50&gt;=0), "",S50/S4)</f>
        <v>7.246376811594203E-4</v>
      </c>
      <c r="U50" s="42">
        <f>IF(AND(S124=0,S50&gt;=0),"",S50/S124)</f>
        <v>6.7114093959731542E-3</v>
      </c>
      <c r="V50" s="84"/>
      <c r="W50" s="28" t="str">
        <f>IF(AND(V4=0,V50&gt;=0), "",V50/V4)</f>
        <v/>
      </c>
      <c r="X50" s="42">
        <f t="shared" si="48"/>
        <v>1</v>
      </c>
      <c r="Y50" s="82">
        <f>+'N EERR'!F49</f>
        <v>0</v>
      </c>
      <c r="Z50" s="28" t="str">
        <f>IF(AND(Y4=0,Y50&gt;=0), "",Y50/Y4)</f>
        <v/>
      </c>
      <c r="AA50" s="42" t="str">
        <f>IF(AND(Y124=0,Y50&gt;=0),"",Y50/Y124)</f>
        <v/>
      </c>
      <c r="AB50" s="28" t="str">
        <f t="shared" si="49"/>
        <v/>
      </c>
      <c r="AC50" s="83">
        <f t="shared" si="54"/>
        <v>10</v>
      </c>
      <c r="AD50" s="28">
        <f>IF(AND(AC4=0,AC50&gt;=0), "",AC50/AC4)</f>
        <v>7.246376811594203E-4</v>
      </c>
      <c r="AE50" s="42">
        <f>IF(AND(AC124=0,AC50&gt;=0),"",AC50/AC124)</f>
        <v>6.7114093959731542E-3</v>
      </c>
      <c r="AF50" s="82">
        <f>+'N EERR'!G49</f>
        <v>0</v>
      </c>
      <c r="AG50" s="28" t="str">
        <f>IF(AND(AF4=0,AF50&gt;=0), "",AF50/AF4)</f>
        <v/>
      </c>
      <c r="AH50" s="42" t="str">
        <f>IF(AND(AF124=0,AF50&gt;=0),"",AF50/AF124)</f>
        <v/>
      </c>
      <c r="AI50" s="28" t="str">
        <f t="shared" si="38"/>
        <v/>
      </c>
      <c r="AJ50" s="83">
        <f t="shared" si="16"/>
        <v>10</v>
      </c>
      <c r="AK50" s="28">
        <f>IF(AND(AJ4=0,AJ50&gt;=0), "",AJ50/AJ4)</f>
        <v>7.246376811594203E-4</v>
      </c>
      <c r="AL50" s="42">
        <f>IF(AND(AJ124=0,AJ50&gt;=0),"",AJ50/AJ124)</f>
        <v>6.7114093959731542E-3</v>
      </c>
      <c r="AM50" s="82">
        <f>+'N EERR'!H49</f>
        <v>0</v>
      </c>
      <c r="AN50" s="28" t="str">
        <f>IF(AND(AM4=0,AM50&gt;=0), "",AM50/AM4)</f>
        <v/>
      </c>
      <c r="AO50" s="42" t="str">
        <f>IF(AND(AM124=0,AM50&gt;=0),"",AM50/AM124)</f>
        <v/>
      </c>
      <c r="AP50" s="28" t="str">
        <f t="shared" si="39"/>
        <v/>
      </c>
      <c r="AQ50" s="83">
        <f t="shared" si="17"/>
        <v>10</v>
      </c>
      <c r="AR50" s="28">
        <f>IF(AND(AQ4=0,AQ50&gt;=0), "",AQ50/AQ4)</f>
        <v>7.246376811594203E-4</v>
      </c>
      <c r="AS50" s="42">
        <f>IF(AND(AQ124=0,AQ50&gt;=0),"",AQ50/AQ124)</f>
        <v>6.7114093959731542E-3</v>
      </c>
      <c r="AT50" s="84">
        <f t="shared" si="55"/>
        <v>0</v>
      </c>
      <c r="AU50" s="28" t="str">
        <f>IF(AND(AT4=0,AT50&gt;=0), "",AT50/AT4)</f>
        <v/>
      </c>
      <c r="AV50" s="42">
        <f t="shared" si="50"/>
        <v>1</v>
      </c>
      <c r="AW50" s="84">
        <f t="shared" si="67"/>
        <v>1.6666666666666667</v>
      </c>
      <c r="AX50" s="28">
        <f>IF(AND(AW4=0,AW50&gt;=0), "",AW50/AW4)</f>
        <v>7.2463768115942019E-4</v>
      </c>
      <c r="AY50" s="42">
        <f>IF(AND(AW124=0,AW50&gt;=0),"",AW50/AW124)</f>
        <v>6.7114093959731542E-3</v>
      </c>
      <c r="AZ50" s="84">
        <f t="shared" si="56"/>
        <v>0</v>
      </c>
      <c r="BA50" s="28" t="str">
        <f>IF(AND(AZ4=0,AZ50&gt;=0), "",AZ50/AZ4)</f>
        <v/>
      </c>
      <c r="BB50" s="42">
        <f t="shared" si="51"/>
        <v>1</v>
      </c>
      <c r="BC50" s="82">
        <f>+'N EERR'!I49</f>
        <v>0</v>
      </c>
      <c r="BD50" s="28" t="str">
        <f>IF(AND(BC4=0,BC50&gt;=0), "",BC50/BC4)</f>
        <v/>
      </c>
      <c r="BE50" s="42" t="str">
        <f>IF(AND(BC124=0,BC50&gt;=0),"",BC50/BC124)</f>
        <v/>
      </c>
      <c r="BF50" s="28" t="str">
        <f t="shared" si="52"/>
        <v/>
      </c>
      <c r="BG50" s="83">
        <f t="shared" si="57"/>
        <v>10</v>
      </c>
      <c r="BH50" s="28">
        <f>IF(AND(BG4=0,BG50&gt;=0), "",BG50/BG4)</f>
        <v>7.246376811594203E-4</v>
      </c>
      <c r="BI50" s="42">
        <f>IF(AND(BG124=0,BG50&gt;=0),"",BG50/BG124)</f>
        <v>6.7114093959731542E-3</v>
      </c>
      <c r="BJ50" s="82">
        <f>+'N EERR'!J49</f>
        <v>0</v>
      </c>
      <c r="BK50" s="28" t="str">
        <f>IF(AND(BJ4=0,BJ50&gt;=0), "",BJ50/BJ4)</f>
        <v/>
      </c>
      <c r="BL50" s="42" t="str">
        <f>IF(AND(BJ124=0,BJ50&gt;=0),"",BJ50/BJ124)</f>
        <v/>
      </c>
      <c r="BM50" s="28" t="str">
        <f t="shared" si="40"/>
        <v/>
      </c>
      <c r="BN50" s="83">
        <f t="shared" si="58"/>
        <v>10</v>
      </c>
      <c r="BO50" s="28">
        <f>IF(AND(BN4=0,BN50&gt;=0), "",BN50/BN4)</f>
        <v>7.246376811594203E-4</v>
      </c>
      <c r="BP50" s="42">
        <f>IF(AND(BN124=0,BN50&gt;=0),"",BN50/BN124)</f>
        <v>6.7114093959731542E-3</v>
      </c>
      <c r="BQ50" s="82">
        <f>+'N EERR'!K49</f>
        <v>0</v>
      </c>
      <c r="BR50" s="28" t="str">
        <f>IF(AND(BQ4=0,BQ50&gt;=0), "",BQ50/BQ4)</f>
        <v/>
      </c>
      <c r="BS50" s="42" t="str">
        <f>IF(AND(BQ124=0,BQ50&gt;=0),"",BQ50/BQ124)</f>
        <v/>
      </c>
      <c r="BT50" s="28" t="str">
        <f t="shared" si="41"/>
        <v/>
      </c>
      <c r="BU50" s="83">
        <f t="shared" si="59"/>
        <v>10</v>
      </c>
      <c r="BV50" s="28">
        <f>IF(AND(BU4=0,BU50&gt;=0), "",BU50/BU4)</f>
        <v>7.246376811594203E-4</v>
      </c>
      <c r="BW50" s="42">
        <f>IF(AND(BU124=0,BU50&gt;=0),"",BU50/BU124)</f>
        <v>6.7114093959731542E-3</v>
      </c>
      <c r="BX50" s="84">
        <f t="shared" si="60"/>
        <v>0</v>
      </c>
      <c r="BY50" s="28" t="str">
        <f>IF(AND(BX4=0,BX50&gt;=0), "",BX50/BX4)</f>
        <v/>
      </c>
      <c r="BZ50" s="42">
        <f t="shared" si="42"/>
        <v>1</v>
      </c>
      <c r="CA50" s="82">
        <f>+'N EERR'!L49</f>
        <v>0</v>
      </c>
      <c r="CB50" s="28" t="str">
        <f>IF(AND(CA4=0,CA50&gt;=0), "",CA50/CA4)</f>
        <v/>
      </c>
      <c r="CC50" s="42" t="str">
        <f>IF(AND(CA124=0,CA50&gt;=0),"",CA50/CA124)</f>
        <v/>
      </c>
      <c r="CD50" s="28" t="str">
        <f t="shared" si="53"/>
        <v/>
      </c>
      <c r="CE50" s="83">
        <f t="shared" si="61"/>
        <v>10</v>
      </c>
      <c r="CF50" s="28">
        <f>IF(AND(CE4=0,CE50&gt;=0), "",CE50/CE4)</f>
        <v>7.246376811594203E-4</v>
      </c>
      <c r="CG50" s="42">
        <f>IF(AND(CE124=0,CE50&gt;=0),"",CE50/CE124)</f>
        <v>6.7114093959731542E-3</v>
      </c>
      <c r="CH50" s="82">
        <f>+'N EERR'!M49</f>
        <v>0</v>
      </c>
      <c r="CI50" s="28" t="str">
        <f>IF(AND(CH4=0,CH50&gt;=0), "",CH50/CH4)</f>
        <v/>
      </c>
      <c r="CJ50" s="42" t="str">
        <f>IF(AND(CH124=0,CH50&gt;=0),"",CH50/CH124)</f>
        <v/>
      </c>
      <c r="CK50" s="28" t="str">
        <f t="shared" si="43"/>
        <v/>
      </c>
      <c r="CL50" s="83">
        <f t="shared" si="62"/>
        <v>10</v>
      </c>
      <c r="CM50" s="28">
        <f>IF(AND(CL4=0,CL50&gt;=0), "",CL50/CL4)</f>
        <v>7.246376811594203E-4</v>
      </c>
      <c r="CN50" s="42">
        <f>IF(AND(CL124=0,CL50&gt;=0),"",CL50/CL124)</f>
        <v>6.7114093959731542E-3</v>
      </c>
      <c r="CO50" s="82">
        <f>+'N EERR'!N49</f>
        <v>0</v>
      </c>
      <c r="CP50" s="28" t="str">
        <f>IF(AND(CO4=0,CO50&gt;=0), "",CO50/CO4)</f>
        <v/>
      </c>
      <c r="CQ50" s="42" t="str">
        <f>IF(AND(CO124=0,CO50&gt;=0),"",CO50/CO124)</f>
        <v/>
      </c>
      <c r="CR50" s="28" t="str">
        <f t="shared" si="44"/>
        <v/>
      </c>
      <c r="CS50" s="83">
        <f t="shared" si="63"/>
        <v>10</v>
      </c>
      <c r="CT50" s="28">
        <f>IF(AND(CS4=0,CS50&gt;=0), "",CS50/CS4)</f>
        <v>7.246376811594203E-4</v>
      </c>
      <c r="CU50" s="42">
        <f>IF(AND(CS124=0,CS50&gt;=0),"",CS50/CS124)</f>
        <v>6.7114093959731542E-3</v>
      </c>
      <c r="CV50" s="84">
        <f t="shared" si="64"/>
        <v>0</v>
      </c>
      <c r="CW50" s="28" t="str">
        <f>IF(AND(CV4=0,CV50&gt;=0), "",CV50/CV4)</f>
        <v/>
      </c>
      <c r="CX50" s="42">
        <f t="shared" si="45"/>
        <v>1</v>
      </c>
    </row>
    <row r="51" spans="1:102" outlineLevel="1" x14ac:dyDescent="0.25">
      <c r="A51" s="27" t="s">
        <v>13</v>
      </c>
      <c r="B51" s="82">
        <f>+'N EERR'!B50</f>
        <v>0</v>
      </c>
      <c r="C51" s="28" t="str">
        <f>IF(AND(B4=0,B51&gt;=0), "",B51/B4)</f>
        <v/>
      </c>
      <c r="D51" s="42" t="str">
        <f>IF(AND(B124=0,B51&gt;=0),"",B51/B124)</f>
        <v/>
      </c>
      <c r="E51" s="82">
        <f>+'N EERR'!C50</f>
        <v>10</v>
      </c>
      <c r="F51" s="28">
        <f>IF(AND(E4=0,E51&gt;=0), "",E51/E4)</f>
        <v>7.246376811594203E-4</v>
      </c>
      <c r="G51" s="42">
        <f>IF(AND(E124=0,E51&gt;=0),"",E51/E124)</f>
        <v>6.7114093959731542E-3</v>
      </c>
      <c r="H51" s="82">
        <f>+'N EERR'!D50</f>
        <v>0</v>
      </c>
      <c r="I51" s="28" t="str">
        <f>IF(AND(H4=0,H51&gt;=0), "",H51/H4)</f>
        <v/>
      </c>
      <c r="J51" s="42" t="str">
        <f>IF(AND(H124=0,H51&gt;=0),"",H51/H124)</f>
        <v/>
      </c>
      <c r="K51" s="28">
        <f t="shared" si="46"/>
        <v>-1</v>
      </c>
      <c r="L51" s="83">
        <f t="shared" si="65"/>
        <v>10</v>
      </c>
      <c r="M51" s="28">
        <f>IF(AND(L4=0,L51&gt;=0), "",L51/L4)</f>
        <v>7.246376811594203E-4</v>
      </c>
      <c r="N51" s="42">
        <f>IF(AND(L124=0,L51&gt;=0),"",L51/L124)</f>
        <v>6.7114093959731542E-3</v>
      </c>
      <c r="O51" s="82">
        <f>+'N EERR'!E50</f>
        <v>0</v>
      </c>
      <c r="P51" s="28" t="str">
        <f>IF(AND(O4=0,O51&gt;=0), "",O51/O4)</f>
        <v/>
      </c>
      <c r="Q51" s="42" t="str">
        <f>IF(AND(O124=0,O51&gt;=0),"",O51/O124)</f>
        <v/>
      </c>
      <c r="R51" s="28" t="str">
        <f t="shared" si="47"/>
        <v/>
      </c>
      <c r="S51" s="83">
        <f t="shared" si="66"/>
        <v>10</v>
      </c>
      <c r="T51" s="28">
        <f>IF(AND(S4=0,S51&gt;=0), "",S51/S4)</f>
        <v>7.246376811594203E-4</v>
      </c>
      <c r="U51" s="42">
        <f>IF(AND(S124=0,S51&gt;=0),"",S51/S124)</f>
        <v>6.7114093959731542E-3</v>
      </c>
      <c r="V51" s="84"/>
      <c r="W51" s="28" t="str">
        <f>IF(AND(V4=0,V51&gt;=0), "",V51/V4)</f>
        <v/>
      </c>
      <c r="X51" s="42">
        <f t="shared" si="48"/>
        <v>1</v>
      </c>
      <c r="Y51" s="82">
        <f>+'N EERR'!F50</f>
        <v>0</v>
      </c>
      <c r="Z51" s="28" t="str">
        <f>IF(AND(Y4=0,Y51&gt;=0), "",Y51/Y4)</f>
        <v/>
      </c>
      <c r="AA51" s="42" t="str">
        <f>IF(AND(Y124=0,Y51&gt;=0),"",Y51/Y124)</f>
        <v/>
      </c>
      <c r="AB51" s="28" t="str">
        <f t="shared" si="49"/>
        <v/>
      </c>
      <c r="AC51" s="83">
        <f t="shared" si="54"/>
        <v>10</v>
      </c>
      <c r="AD51" s="28">
        <f>IF(AND(AC4=0,AC51&gt;=0), "",AC51/AC4)</f>
        <v>7.246376811594203E-4</v>
      </c>
      <c r="AE51" s="42">
        <f>IF(AND(AC124=0,AC51&gt;=0),"",AC51/AC124)</f>
        <v>6.7114093959731542E-3</v>
      </c>
      <c r="AF51" s="82">
        <f>+'N EERR'!G50</f>
        <v>0</v>
      </c>
      <c r="AG51" s="28" t="str">
        <f>IF(AND(AF4=0,AF51&gt;=0), "",AF51/AF4)</f>
        <v/>
      </c>
      <c r="AH51" s="42" t="str">
        <f>IF(AND(AF124=0,AF51&gt;=0),"",AF51/AF124)</f>
        <v/>
      </c>
      <c r="AI51" s="28" t="str">
        <f t="shared" si="38"/>
        <v/>
      </c>
      <c r="AJ51" s="83">
        <f t="shared" si="16"/>
        <v>10</v>
      </c>
      <c r="AK51" s="28">
        <f>IF(AND(AJ4=0,AJ51&gt;=0), "",AJ51/AJ4)</f>
        <v>7.246376811594203E-4</v>
      </c>
      <c r="AL51" s="42">
        <f>IF(AND(AJ124=0,AJ51&gt;=0),"",AJ51/AJ124)</f>
        <v>6.7114093959731542E-3</v>
      </c>
      <c r="AM51" s="82">
        <f>+'N EERR'!H50</f>
        <v>0</v>
      </c>
      <c r="AN51" s="28" t="str">
        <f>IF(AND(AM4=0,AM51&gt;=0), "",AM51/AM4)</f>
        <v/>
      </c>
      <c r="AO51" s="42" t="str">
        <f>IF(AND(AM124=0,AM51&gt;=0),"",AM51/AM124)</f>
        <v/>
      </c>
      <c r="AP51" s="28" t="str">
        <f t="shared" si="39"/>
        <v/>
      </c>
      <c r="AQ51" s="83">
        <f t="shared" si="17"/>
        <v>10</v>
      </c>
      <c r="AR51" s="28">
        <f>IF(AND(AQ4=0,AQ51&gt;=0), "",AQ51/AQ4)</f>
        <v>7.246376811594203E-4</v>
      </c>
      <c r="AS51" s="42">
        <f>IF(AND(AQ124=0,AQ51&gt;=0),"",AQ51/AQ124)</f>
        <v>6.7114093959731542E-3</v>
      </c>
      <c r="AT51" s="84">
        <f t="shared" si="55"/>
        <v>0</v>
      </c>
      <c r="AU51" s="28" t="str">
        <f>IF(AND(AT4=0,AT51&gt;=0), "",AT51/AT4)</f>
        <v/>
      </c>
      <c r="AV51" s="42">
        <f t="shared" si="50"/>
        <v>1</v>
      </c>
      <c r="AW51" s="84">
        <f t="shared" si="67"/>
        <v>1.6666666666666667</v>
      </c>
      <c r="AX51" s="28">
        <f>IF(AND(AW4=0,AW51&gt;=0), "",AW51/AW4)</f>
        <v>7.2463768115942019E-4</v>
      </c>
      <c r="AY51" s="42">
        <f>IF(AND(AW124=0,AW51&gt;=0),"",AW51/AW124)</f>
        <v>6.7114093959731542E-3</v>
      </c>
      <c r="AZ51" s="84">
        <f t="shared" si="56"/>
        <v>0</v>
      </c>
      <c r="BA51" s="28" t="str">
        <f>IF(AND(AZ4=0,AZ51&gt;=0), "",AZ51/AZ4)</f>
        <v/>
      </c>
      <c r="BB51" s="42">
        <f t="shared" si="51"/>
        <v>1</v>
      </c>
      <c r="BC51" s="82">
        <f>+'N EERR'!I50</f>
        <v>0</v>
      </c>
      <c r="BD51" s="28" t="str">
        <f>IF(AND(BC4=0,BC51&gt;=0), "",BC51/BC4)</f>
        <v/>
      </c>
      <c r="BE51" s="42" t="str">
        <f>IF(AND(BC124=0,BC51&gt;=0),"",BC51/BC124)</f>
        <v/>
      </c>
      <c r="BF51" s="28" t="str">
        <f t="shared" si="52"/>
        <v/>
      </c>
      <c r="BG51" s="83">
        <f t="shared" si="57"/>
        <v>10</v>
      </c>
      <c r="BH51" s="28">
        <f>IF(AND(BG4=0,BG51&gt;=0), "",BG51/BG4)</f>
        <v>7.246376811594203E-4</v>
      </c>
      <c r="BI51" s="42">
        <f>IF(AND(BG124=0,BG51&gt;=0),"",BG51/BG124)</f>
        <v>6.7114093959731542E-3</v>
      </c>
      <c r="BJ51" s="82">
        <f>+'N EERR'!J50</f>
        <v>0</v>
      </c>
      <c r="BK51" s="28" t="str">
        <f>IF(AND(BJ4=0,BJ51&gt;=0), "",BJ51/BJ4)</f>
        <v/>
      </c>
      <c r="BL51" s="42" t="str">
        <f>IF(AND(BJ124=0,BJ51&gt;=0),"",BJ51/BJ124)</f>
        <v/>
      </c>
      <c r="BM51" s="28" t="str">
        <f t="shared" si="40"/>
        <v/>
      </c>
      <c r="BN51" s="83">
        <f t="shared" si="58"/>
        <v>10</v>
      </c>
      <c r="BO51" s="28">
        <f>IF(AND(BN4=0,BN51&gt;=0), "",BN51/BN4)</f>
        <v>7.246376811594203E-4</v>
      </c>
      <c r="BP51" s="42">
        <f>IF(AND(BN124=0,BN51&gt;=0),"",BN51/BN124)</f>
        <v>6.7114093959731542E-3</v>
      </c>
      <c r="BQ51" s="82">
        <f>+'N EERR'!K50</f>
        <v>0</v>
      </c>
      <c r="BR51" s="28" t="str">
        <f>IF(AND(BQ4=0,BQ51&gt;=0), "",BQ51/BQ4)</f>
        <v/>
      </c>
      <c r="BS51" s="42" t="str">
        <f>IF(AND(BQ124=0,BQ51&gt;=0),"",BQ51/BQ124)</f>
        <v/>
      </c>
      <c r="BT51" s="28" t="str">
        <f t="shared" si="41"/>
        <v/>
      </c>
      <c r="BU51" s="83">
        <f t="shared" si="59"/>
        <v>10</v>
      </c>
      <c r="BV51" s="28">
        <f>IF(AND(BU4=0,BU51&gt;=0), "",BU51/BU4)</f>
        <v>7.246376811594203E-4</v>
      </c>
      <c r="BW51" s="42">
        <f>IF(AND(BU124=0,BU51&gt;=0),"",BU51/BU124)</f>
        <v>6.7114093959731542E-3</v>
      </c>
      <c r="BX51" s="84">
        <f t="shared" si="60"/>
        <v>0</v>
      </c>
      <c r="BY51" s="28" t="str">
        <f>IF(AND(BX4=0,BX51&gt;=0), "",BX51/BX4)</f>
        <v/>
      </c>
      <c r="BZ51" s="42">
        <f t="shared" si="42"/>
        <v>1</v>
      </c>
      <c r="CA51" s="82">
        <f>+'N EERR'!L50</f>
        <v>0</v>
      </c>
      <c r="CB51" s="28" t="str">
        <f>IF(AND(CA4=0,CA51&gt;=0), "",CA51/CA4)</f>
        <v/>
      </c>
      <c r="CC51" s="42" t="str">
        <f>IF(AND(CA124=0,CA51&gt;=0),"",CA51/CA124)</f>
        <v/>
      </c>
      <c r="CD51" s="28" t="str">
        <f t="shared" si="53"/>
        <v/>
      </c>
      <c r="CE51" s="83">
        <f t="shared" si="61"/>
        <v>10</v>
      </c>
      <c r="CF51" s="28">
        <f>IF(AND(CE4=0,CE51&gt;=0), "",CE51/CE4)</f>
        <v>7.246376811594203E-4</v>
      </c>
      <c r="CG51" s="42">
        <f>IF(AND(CE124=0,CE51&gt;=0),"",CE51/CE124)</f>
        <v>6.7114093959731542E-3</v>
      </c>
      <c r="CH51" s="82">
        <f>+'N EERR'!M50</f>
        <v>0</v>
      </c>
      <c r="CI51" s="28" t="str">
        <f>IF(AND(CH4=0,CH51&gt;=0), "",CH51/CH4)</f>
        <v/>
      </c>
      <c r="CJ51" s="42" t="str">
        <f>IF(AND(CH124=0,CH51&gt;=0),"",CH51/CH124)</f>
        <v/>
      </c>
      <c r="CK51" s="28" t="str">
        <f t="shared" si="43"/>
        <v/>
      </c>
      <c r="CL51" s="83">
        <f t="shared" si="62"/>
        <v>10</v>
      </c>
      <c r="CM51" s="28">
        <f>IF(AND(CL4=0,CL51&gt;=0), "",CL51/CL4)</f>
        <v>7.246376811594203E-4</v>
      </c>
      <c r="CN51" s="42">
        <f>IF(AND(CL124=0,CL51&gt;=0),"",CL51/CL124)</f>
        <v>6.7114093959731542E-3</v>
      </c>
      <c r="CO51" s="82">
        <f>+'N EERR'!N50</f>
        <v>0</v>
      </c>
      <c r="CP51" s="28" t="str">
        <f>IF(AND(CO4=0,CO51&gt;=0), "",CO51/CO4)</f>
        <v/>
      </c>
      <c r="CQ51" s="42" t="str">
        <f>IF(AND(CO124=0,CO51&gt;=0),"",CO51/CO124)</f>
        <v/>
      </c>
      <c r="CR51" s="28" t="str">
        <f t="shared" si="44"/>
        <v/>
      </c>
      <c r="CS51" s="83">
        <f t="shared" si="63"/>
        <v>10</v>
      </c>
      <c r="CT51" s="28">
        <f>IF(AND(CS4=0,CS51&gt;=0), "",CS51/CS4)</f>
        <v>7.246376811594203E-4</v>
      </c>
      <c r="CU51" s="42">
        <f>IF(AND(CS124=0,CS51&gt;=0),"",CS51/CS124)</f>
        <v>6.7114093959731542E-3</v>
      </c>
      <c r="CV51" s="84">
        <f t="shared" si="64"/>
        <v>0</v>
      </c>
      <c r="CW51" s="28" t="str">
        <f>IF(AND(CV4=0,CV51&gt;=0), "",CV51/CV4)</f>
        <v/>
      </c>
      <c r="CX51" s="42">
        <f t="shared" si="45"/>
        <v>1</v>
      </c>
    </row>
    <row r="52" spans="1:102" outlineLevel="1" x14ac:dyDescent="0.25">
      <c r="A52" s="27" t="s">
        <v>14</v>
      </c>
      <c r="B52" s="82">
        <f>+'N EERR'!B51</f>
        <v>0</v>
      </c>
      <c r="C52" s="28" t="str">
        <f>IF(AND(B4=0,B52&gt;=0), "",B52/B4)</f>
        <v/>
      </c>
      <c r="D52" s="42" t="str">
        <f>IF(AND(B124=0,B52&gt;=0),"",B52/B124)</f>
        <v/>
      </c>
      <c r="E52" s="82">
        <f>+'N EERR'!C51</f>
        <v>10</v>
      </c>
      <c r="F52" s="28">
        <f>IF(AND(E4=0,E52&gt;=0), "",E52/E4)</f>
        <v>7.246376811594203E-4</v>
      </c>
      <c r="G52" s="42">
        <f>IF(AND(E124=0,E52&gt;=0),"",E52/E124)</f>
        <v>6.7114093959731542E-3</v>
      </c>
      <c r="H52" s="82">
        <f>+'N EERR'!D51</f>
        <v>0</v>
      </c>
      <c r="I52" s="28" t="str">
        <f>IF(AND(H4=0,H52&gt;=0), "",H52/H4)</f>
        <v/>
      </c>
      <c r="J52" s="42" t="str">
        <f>IF(AND(H124=0,H52&gt;=0),"",H52/H124)</f>
        <v/>
      </c>
      <c r="K52" s="28">
        <f t="shared" si="46"/>
        <v>-1</v>
      </c>
      <c r="L52" s="83">
        <f t="shared" si="65"/>
        <v>10</v>
      </c>
      <c r="M52" s="28">
        <f>IF(AND(L4=0,L52&gt;=0), "",L52/L4)</f>
        <v>7.246376811594203E-4</v>
      </c>
      <c r="N52" s="42">
        <f>IF(AND(L124=0,L52&gt;=0),"",L52/L124)</f>
        <v>6.7114093959731542E-3</v>
      </c>
      <c r="O52" s="82">
        <f>+'N EERR'!E51</f>
        <v>0</v>
      </c>
      <c r="P52" s="28" t="str">
        <f>IF(AND(O4=0,O52&gt;=0), "",O52/O4)</f>
        <v/>
      </c>
      <c r="Q52" s="42" t="str">
        <f>IF(AND(O124=0,O52&gt;=0),"",O52/O124)</f>
        <v/>
      </c>
      <c r="R52" s="28" t="str">
        <f t="shared" si="47"/>
        <v/>
      </c>
      <c r="S52" s="83">
        <f t="shared" si="66"/>
        <v>10</v>
      </c>
      <c r="T52" s="28">
        <f>IF(AND(S4=0,S52&gt;=0), "",S52/S4)</f>
        <v>7.246376811594203E-4</v>
      </c>
      <c r="U52" s="42">
        <f>IF(AND(S124=0,S52&gt;=0),"",S52/S124)</f>
        <v>6.7114093959731542E-3</v>
      </c>
      <c r="V52" s="84"/>
      <c r="W52" s="28" t="str">
        <f>IF(AND(V4=0,V52&gt;=0), "",V52/V4)</f>
        <v/>
      </c>
      <c r="X52" s="42">
        <f t="shared" si="48"/>
        <v>1</v>
      </c>
      <c r="Y52" s="82">
        <f>+'N EERR'!F51</f>
        <v>0</v>
      </c>
      <c r="Z52" s="28" t="str">
        <f>IF(AND(Y4=0,Y52&gt;=0), "",Y52/Y4)</f>
        <v/>
      </c>
      <c r="AA52" s="42" t="str">
        <f>IF(AND(Y124=0,Y52&gt;=0),"",Y52/Y124)</f>
        <v/>
      </c>
      <c r="AB52" s="28" t="str">
        <f t="shared" si="49"/>
        <v/>
      </c>
      <c r="AC52" s="83">
        <f t="shared" si="54"/>
        <v>10</v>
      </c>
      <c r="AD52" s="28">
        <f>IF(AND(AC4=0,AC52&gt;=0), "",AC52/AC4)</f>
        <v>7.246376811594203E-4</v>
      </c>
      <c r="AE52" s="42">
        <f>IF(AND(AC124=0,AC52&gt;=0),"",AC52/AC124)</f>
        <v>6.7114093959731542E-3</v>
      </c>
      <c r="AF52" s="82">
        <f>+'N EERR'!G51</f>
        <v>0</v>
      </c>
      <c r="AG52" s="28" t="str">
        <f>IF(AND(AF4=0,AF52&gt;=0), "",AF52/AF4)</f>
        <v/>
      </c>
      <c r="AH52" s="42" t="str">
        <f>IF(AND(AF124=0,AF52&gt;=0),"",AF52/AF124)</f>
        <v/>
      </c>
      <c r="AI52" s="28" t="str">
        <f t="shared" si="38"/>
        <v/>
      </c>
      <c r="AJ52" s="83">
        <f t="shared" si="16"/>
        <v>10</v>
      </c>
      <c r="AK52" s="28">
        <f>IF(AND(AJ4=0,AJ52&gt;=0), "",AJ52/AJ4)</f>
        <v>7.246376811594203E-4</v>
      </c>
      <c r="AL52" s="42">
        <f>IF(AND(AJ124=0,AJ52&gt;=0),"",AJ52/AJ124)</f>
        <v>6.7114093959731542E-3</v>
      </c>
      <c r="AM52" s="82">
        <f>+'N EERR'!H51</f>
        <v>0</v>
      </c>
      <c r="AN52" s="28" t="str">
        <f>IF(AND(AM4=0,AM52&gt;=0), "",AM52/AM4)</f>
        <v/>
      </c>
      <c r="AO52" s="42" t="str">
        <f>IF(AND(AM124=0,AM52&gt;=0),"",AM52/AM124)</f>
        <v/>
      </c>
      <c r="AP52" s="28" t="str">
        <f t="shared" si="39"/>
        <v/>
      </c>
      <c r="AQ52" s="83">
        <f t="shared" si="17"/>
        <v>10</v>
      </c>
      <c r="AR52" s="28">
        <f>IF(AND(AQ4=0,AQ52&gt;=0), "",AQ52/AQ4)</f>
        <v>7.246376811594203E-4</v>
      </c>
      <c r="AS52" s="42">
        <f>IF(AND(AQ124=0,AQ52&gt;=0),"",AQ52/AQ124)</f>
        <v>6.7114093959731542E-3</v>
      </c>
      <c r="AT52" s="84">
        <f t="shared" si="55"/>
        <v>0</v>
      </c>
      <c r="AU52" s="28" t="str">
        <f>IF(AND(AT4=0,AT52&gt;=0), "",AT52/AT4)</f>
        <v/>
      </c>
      <c r="AV52" s="42">
        <f t="shared" si="50"/>
        <v>1</v>
      </c>
      <c r="AW52" s="84">
        <f t="shared" si="67"/>
        <v>1.6666666666666667</v>
      </c>
      <c r="AX52" s="28">
        <f>IF(AND(AW4=0,AW52&gt;=0), "",AW52/AW4)</f>
        <v>7.2463768115942019E-4</v>
      </c>
      <c r="AY52" s="42">
        <f>IF(AND(AW124=0,AW52&gt;=0),"",AW52/AW124)</f>
        <v>6.7114093959731542E-3</v>
      </c>
      <c r="AZ52" s="84">
        <f t="shared" si="56"/>
        <v>0</v>
      </c>
      <c r="BA52" s="28" t="str">
        <f>IF(AND(AZ4=0,AZ52&gt;=0), "",AZ52/AZ4)</f>
        <v/>
      </c>
      <c r="BB52" s="42">
        <f t="shared" si="51"/>
        <v>1</v>
      </c>
      <c r="BC52" s="82">
        <f>+'N EERR'!I51</f>
        <v>0</v>
      </c>
      <c r="BD52" s="28" t="str">
        <f>IF(AND(BC4=0,BC52&gt;=0), "",BC52/BC4)</f>
        <v/>
      </c>
      <c r="BE52" s="42" t="str">
        <f>IF(AND(BC124=0,BC52&gt;=0),"",BC52/BC124)</f>
        <v/>
      </c>
      <c r="BF52" s="28" t="str">
        <f t="shared" si="52"/>
        <v/>
      </c>
      <c r="BG52" s="83">
        <f t="shared" si="57"/>
        <v>10</v>
      </c>
      <c r="BH52" s="28">
        <f>IF(AND(BG4=0,BG52&gt;=0), "",BG52/BG4)</f>
        <v>7.246376811594203E-4</v>
      </c>
      <c r="BI52" s="42">
        <f>IF(AND(BG124=0,BG52&gt;=0),"",BG52/BG124)</f>
        <v>6.7114093959731542E-3</v>
      </c>
      <c r="BJ52" s="82">
        <f>+'N EERR'!J51</f>
        <v>0</v>
      </c>
      <c r="BK52" s="28" t="str">
        <f>IF(AND(BJ4=0,BJ52&gt;=0), "",BJ52/BJ4)</f>
        <v/>
      </c>
      <c r="BL52" s="42" t="str">
        <f>IF(AND(BJ124=0,BJ52&gt;=0),"",BJ52/BJ124)</f>
        <v/>
      </c>
      <c r="BM52" s="28" t="str">
        <f t="shared" si="40"/>
        <v/>
      </c>
      <c r="BN52" s="83">
        <f t="shared" si="58"/>
        <v>10</v>
      </c>
      <c r="BO52" s="28">
        <f>IF(AND(BN4=0,BN52&gt;=0), "",BN52/BN4)</f>
        <v>7.246376811594203E-4</v>
      </c>
      <c r="BP52" s="42">
        <f>IF(AND(BN124=0,BN52&gt;=0),"",BN52/BN124)</f>
        <v>6.7114093959731542E-3</v>
      </c>
      <c r="BQ52" s="82">
        <f>+'N EERR'!K51</f>
        <v>0</v>
      </c>
      <c r="BR52" s="28" t="str">
        <f>IF(AND(BQ4=0,BQ52&gt;=0), "",BQ52/BQ4)</f>
        <v/>
      </c>
      <c r="BS52" s="42" t="str">
        <f>IF(AND(BQ124=0,BQ52&gt;=0),"",BQ52/BQ124)</f>
        <v/>
      </c>
      <c r="BT52" s="28" t="str">
        <f t="shared" si="41"/>
        <v/>
      </c>
      <c r="BU52" s="83">
        <f t="shared" si="59"/>
        <v>10</v>
      </c>
      <c r="BV52" s="28">
        <f>IF(AND(BU4=0,BU52&gt;=0), "",BU52/BU4)</f>
        <v>7.246376811594203E-4</v>
      </c>
      <c r="BW52" s="42">
        <f>IF(AND(BU124=0,BU52&gt;=0),"",BU52/BU124)</f>
        <v>6.7114093959731542E-3</v>
      </c>
      <c r="BX52" s="84">
        <f t="shared" si="60"/>
        <v>0</v>
      </c>
      <c r="BY52" s="28" t="str">
        <f>IF(AND(BX4=0,BX52&gt;=0), "",BX52/BX4)</f>
        <v/>
      </c>
      <c r="BZ52" s="42">
        <f t="shared" si="42"/>
        <v>1</v>
      </c>
      <c r="CA52" s="82">
        <f>+'N EERR'!L51</f>
        <v>0</v>
      </c>
      <c r="CB52" s="28" t="str">
        <f>IF(AND(CA4=0,CA52&gt;=0), "",CA52/CA4)</f>
        <v/>
      </c>
      <c r="CC52" s="42" t="str">
        <f>IF(AND(CA124=0,CA52&gt;=0),"",CA52/CA124)</f>
        <v/>
      </c>
      <c r="CD52" s="28" t="str">
        <f t="shared" si="53"/>
        <v/>
      </c>
      <c r="CE52" s="83">
        <f t="shared" si="61"/>
        <v>10</v>
      </c>
      <c r="CF52" s="28">
        <f>IF(AND(CE4=0,CE52&gt;=0), "",CE52/CE4)</f>
        <v>7.246376811594203E-4</v>
      </c>
      <c r="CG52" s="42">
        <f>IF(AND(CE124=0,CE52&gt;=0),"",CE52/CE124)</f>
        <v>6.7114093959731542E-3</v>
      </c>
      <c r="CH52" s="82">
        <f>+'N EERR'!M51</f>
        <v>0</v>
      </c>
      <c r="CI52" s="28" t="str">
        <f>IF(AND(CH4=0,CH52&gt;=0), "",CH52/CH4)</f>
        <v/>
      </c>
      <c r="CJ52" s="42" t="str">
        <f>IF(AND(CH124=0,CH52&gt;=0),"",CH52/CH124)</f>
        <v/>
      </c>
      <c r="CK52" s="28" t="str">
        <f t="shared" si="43"/>
        <v/>
      </c>
      <c r="CL52" s="83">
        <f t="shared" si="62"/>
        <v>10</v>
      </c>
      <c r="CM52" s="28">
        <f>IF(AND(CL4=0,CL52&gt;=0), "",CL52/CL4)</f>
        <v>7.246376811594203E-4</v>
      </c>
      <c r="CN52" s="42">
        <f>IF(AND(CL124=0,CL52&gt;=0),"",CL52/CL124)</f>
        <v>6.7114093959731542E-3</v>
      </c>
      <c r="CO52" s="82">
        <f>+'N EERR'!N51</f>
        <v>0</v>
      </c>
      <c r="CP52" s="28" t="str">
        <f>IF(AND(CO4=0,CO52&gt;=0), "",CO52/CO4)</f>
        <v/>
      </c>
      <c r="CQ52" s="42" t="str">
        <f>IF(AND(CO124=0,CO52&gt;=0),"",CO52/CO124)</f>
        <v/>
      </c>
      <c r="CR52" s="28" t="str">
        <f t="shared" si="44"/>
        <v/>
      </c>
      <c r="CS52" s="83">
        <f t="shared" si="63"/>
        <v>10</v>
      </c>
      <c r="CT52" s="28">
        <f>IF(AND(CS4=0,CS52&gt;=0), "",CS52/CS4)</f>
        <v>7.246376811594203E-4</v>
      </c>
      <c r="CU52" s="42">
        <f>IF(AND(CS124=0,CS52&gt;=0),"",CS52/CS124)</f>
        <v>6.7114093959731542E-3</v>
      </c>
      <c r="CV52" s="84">
        <f t="shared" si="64"/>
        <v>0</v>
      </c>
      <c r="CW52" s="28" t="str">
        <f>IF(AND(CV4=0,CV52&gt;=0), "",CV52/CV4)</f>
        <v/>
      </c>
      <c r="CX52" s="42">
        <f t="shared" si="45"/>
        <v>1</v>
      </c>
    </row>
    <row r="53" spans="1:102" outlineLevel="1" x14ac:dyDescent="0.25">
      <c r="A53" s="27" t="s">
        <v>15</v>
      </c>
      <c r="B53" s="82">
        <f>+'N EERR'!B52</f>
        <v>0</v>
      </c>
      <c r="C53" s="28" t="str">
        <f>IF(AND(B4=0,B53&gt;=0), "",B53/B4)</f>
        <v/>
      </c>
      <c r="D53" s="42" t="str">
        <f>IF(AND(B124=0,B53&gt;=0),"",B53/B124)</f>
        <v/>
      </c>
      <c r="E53" s="82">
        <f>+'N EERR'!C52</f>
        <v>10</v>
      </c>
      <c r="F53" s="28">
        <f>IF(AND(E4=0,E53&gt;=0), "",E53/E4)</f>
        <v>7.246376811594203E-4</v>
      </c>
      <c r="G53" s="42">
        <f>IF(AND(E124=0,E53&gt;=0),"",E53/E124)</f>
        <v>6.7114093959731542E-3</v>
      </c>
      <c r="H53" s="82">
        <f>+'N EERR'!D52</f>
        <v>0</v>
      </c>
      <c r="I53" s="28" t="str">
        <f>IF(AND(H4=0,H53&gt;=0), "",H53/H4)</f>
        <v/>
      </c>
      <c r="J53" s="42" t="str">
        <f>IF(AND(H124=0,H53&gt;=0),"",H53/H124)</f>
        <v/>
      </c>
      <c r="K53" s="28">
        <f t="shared" si="46"/>
        <v>-1</v>
      </c>
      <c r="L53" s="83">
        <f t="shared" si="65"/>
        <v>10</v>
      </c>
      <c r="M53" s="28">
        <f>IF(AND(L4=0,L53&gt;=0), "",L53/L4)</f>
        <v>7.246376811594203E-4</v>
      </c>
      <c r="N53" s="42">
        <f>IF(AND(L124=0,L53&gt;=0),"",L53/L124)</f>
        <v>6.7114093959731542E-3</v>
      </c>
      <c r="O53" s="82">
        <f>+'N EERR'!E52</f>
        <v>0</v>
      </c>
      <c r="P53" s="28" t="str">
        <f>IF(AND(O4=0,O53&gt;=0), "",O53/O4)</f>
        <v/>
      </c>
      <c r="Q53" s="42" t="str">
        <f>IF(AND(O124=0,O53&gt;=0),"",O53/O124)</f>
        <v/>
      </c>
      <c r="R53" s="28" t="str">
        <f t="shared" si="47"/>
        <v/>
      </c>
      <c r="S53" s="83">
        <f t="shared" si="66"/>
        <v>10</v>
      </c>
      <c r="T53" s="28">
        <f>IF(AND(S4=0,S53&gt;=0), "",S53/S4)</f>
        <v>7.246376811594203E-4</v>
      </c>
      <c r="U53" s="42">
        <f>IF(AND(S124=0,S53&gt;=0),"",S53/S124)</f>
        <v>6.7114093959731542E-3</v>
      </c>
      <c r="V53" s="84"/>
      <c r="W53" s="28" t="str">
        <f>IF(AND(V4=0,V53&gt;=0), "",V53/V4)</f>
        <v/>
      </c>
      <c r="X53" s="42">
        <f t="shared" si="48"/>
        <v>1</v>
      </c>
      <c r="Y53" s="82">
        <f>+'N EERR'!F52</f>
        <v>0</v>
      </c>
      <c r="Z53" s="28" t="str">
        <f>IF(AND(Y4=0,Y53&gt;=0), "",Y53/Y4)</f>
        <v/>
      </c>
      <c r="AA53" s="42" t="str">
        <f>IF(AND(Y124=0,Y53&gt;=0),"",Y53/Y124)</f>
        <v/>
      </c>
      <c r="AB53" s="28" t="str">
        <f t="shared" si="49"/>
        <v/>
      </c>
      <c r="AC53" s="83">
        <f t="shared" si="54"/>
        <v>10</v>
      </c>
      <c r="AD53" s="28">
        <f>IF(AND(AC4=0,AC53&gt;=0), "",AC53/AC4)</f>
        <v>7.246376811594203E-4</v>
      </c>
      <c r="AE53" s="42">
        <f>IF(AND(AC124=0,AC53&gt;=0),"",AC53/AC124)</f>
        <v>6.7114093959731542E-3</v>
      </c>
      <c r="AF53" s="82">
        <f>+'N EERR'!G52</f>
        <v>0</v>
      </c>
      <c r="AG53" s="28" t="str">
        <f>IF(AND(AF4=0,AF53&gt;=0), "",AF53/AF4)</f>
        <v/>
      </c>
      <c r="AH53" s="42" t="str">
        <f>IF(AND(AF124=0,AF53&gt;=0),"",AF53/AF124)</f>
        <v/>
      </c>
      <c r="AI53" s="28" t="str">
        <f t="shared" si="38"/>
        <v/>
      </c>
      <c r="AJ53" s="83">
        <f t="shared" si="16"/>
        <v>10</v>
      </c>
      <c r="AK53" s="28">
        <f>IF(AND(AJ4=0,AJ53&gt;=0), "",AJ53/AJ4)</f>
        <v>7.246376811594203E-4</v>
      </c>
      <c r="AL53" s="42">
        <f>IF(AND(AJ124=0,AJ53&gt;=0),"",AJ53/AJ124)</f>
        <v>6.7114093959731542E-3</v>
      </c>
      <c r="AM53" s="82">
        <f>+'N EERR'!H52</f>
        <v>0</v>
      </c>
      <c r="AN53" s="28" t="str">
        <f>IF(AND(AM4=0,AM53&gt;=0), "",AM53/AM4)</f>
        <v/>
      </c>
      <c r="AO53" s="42" t="str">
        <f>IF(AND(AM124=0,AM53&gt;=0),"",AM53/AM124)</f>
        <v/>
      </c>
      <c r="AP53" s="28" t="str">
        <f t="shared" si="39"/>
        <v/>
      </c>
      <c r="AQ53" s="83">
        <f t="shared" si="17"/>
        <v>10</v>
      </c>
      <c r="AR53" s="28">
        <f>IF(AND(AQ4=0,AQ53&gt;=0), "",AQ53/AQ4)</f>
        <v>7.246376811594203E-4</v>
      </c>
      <c r="AS53" s="42">
        <f>IF(AND(AQ124=0,AQ53&gt;=0),"",AQ53/AQ124)</f>
        <v>6.7114093959731542E-3</v>
      </c>
      <c r="AT53" s="84">
        <f t="shared" si="55"/>
        <v>0</v>
      </c>
      <c r="AU53" s="28" t="str">
        <f>IF(AND(AT4=0,AT53&gt;=0), "",AT53/AT4)</f>
        <v/>
      </c>
      <c r="AV53" s="42">
        <f t="shared" si="50"/>
        <v>1</v>
      </c>
      <c r="AW53" s="84">
        <f t="shared" si="67"/>
        <v>1.6666666666666667</v>
      </c>
      <c r="AX53" s="28">
        <f>IF(AND(AW4=0,AW53&gt;=0), "",AW53/AW4)</f>
        <v>7.2463768115942019E-4</v>
      </c>
      <c r="AY53" s="42">
        <f>IF(AND(AW124=0,AW53&gt;=0),"",AW53/AW124)</f>
        <v>6.7114093959731542E-3</v>
      </c>
      <c r="AZ53" s="84">
        <f t="shared" si="56"/>
        <v>0</v>
      </c>
      <c r="BA53" s="28" t="str">
        <f>IF(AND(AZ4=0,AZ53&gt;=0), "",AZ53/AZ4)</f>
        <v/>
      </c>
      <c r="BB53" s="42">
        <f t="shared" si="51"/>
        <v>1</v>
      </c>
      <c r="BC53" s="82">
        <f>+'N EERR'!I52</f>
        <v>0</v>
      </c>
      <c r="BD53" s="28" t="str">
        <f>IF(AND(BC4=0,BC53&gt;=0), "",BC53/BC4)</f>
        <v/>
      </c>
      <c r="BE53" s="42" t="str">
        <f>IF(AND(BC124=0,BC53&gt;=0),"",BC53/BC124)</f>
        <v/>
      </c>
      <c r="BF53" s="28" t="str">
        <f t="shared" si="52"/>
        <v/>
      </c>
      <c r="BG53" s="83">
        <f t="shared" si="57"/>
        <v>10</v>
      </c>
      <c r="BH53" s="28">
        <f>IF(AND(BG4=0,BG53&gt;=0), "",BG53/BG4)</f>
        <v>7.246376811594203E-4</v>
      </c>
      <c r="BI53" s="42">
        <f>IF(AND(BG124=0,BG53&gt;=0),"",BG53/BG124)</f>
        <v>6.7114093959731542E-3</v>
      </c>
      <c r="BJ53" s="82">
        <f>+'N EERR'!J52</f>
        <v>0</v>
      </c>
      <c r="BK53" s="28" t="str">
        <f>IF(AND(BJ4=0,BJ53&gt;=0), "",BJ53/BJ4)</f>
        <v/>
      </c>
      <c r="BL53" s="42" t="str">
        <f>IF(AND(BJ124=0,BJ53&gt;=0),"",BJ53/BJ124)</f>
        <v/>
      </c>
      <c r="BM53" s="28" t="str">
        <f t="shared" si="40"/>
        <v/>
      </c>
      <c r="BN53" s="83">
        <f t="shared" si="58"/>
        <v>10</v>
      </c>
      <c r="BO53" s="28">
        <f>IF(AND(BN4=0,BN53&gt;=0), "",BN53/BN4)</f>
        <v>7.246376811594203E-4</v>
      </c>
      <c r="BP53" s="42">
        <f>IF(AND(BN124=0,BN53&gt;=0),"",BN53/BN124)</f>
        <v>6.7114093959731542E-3</v>
      </c>
      <c r="BQ53" s="82">
        <f>+'N EERR'!K52</f>
        <v>0</v>
      </c>
      <c r="BR53" s="28" t="str">
        <f>IF(AND(BQ4=0,BQ53&gt;=0), "",BQ53/BQ4)</f>
        <v/>
      </c>
      <c r="BS53" s="42" t="str">
        <f>IF(AND(BQ124=0,BQ53&gt;=0),"",BQ53/BQ124)</f>
        <v/>
      </c>
      <c r="BT53" s="28" t="str">
        <f t="shared" si="41"/>
        <v/>
      </c>
      <c r="BU53" s="83">
        <f t="shared" si="59"/>
        <v>10</v>
      </c>
      <c r="BV53" s="28">
        <f>IF(AND(BU4=0,BU53&gt;=0), "",BU53/BU4)</f>
        <v>7.246376811594203E-4</v>
      </c>
      <c r="BW53" s="42">
        <f>IF(AND(BU124=0,BU53&gt;=0),"",BU53/BU124)</f>
        <v>6.7114093959731542E-3</v>
      </c>
      <c r="BX53" s="84">
        <f t="shared" si="60"/>
        <v>0</v>
      </c>
      <c r="BY53" s="28" t="str">
        <f>IF(AND(BX4=0,BX53&gt;=0), "",BX53/BX4)</f>
        <v/>
      </c>
      <c r="BZ53" s="42">
        <f t="shared" si="42"/>
        <v>1</v>
      </c>
      <c r="CA53" s="82">
        <f>+'N EERR'!L52</f>
        <v>0</v>
      </c>
      <c r="CB53" s="28" t="str">
        <f>IF(AND(CA4=0,CA53&gt;=0), "",CA53/CA4)</f>
        <v/>
      </c>
      <c r="CC53" s="42" t="str">
        <f>IF(AND(CA124=0,CA53&gt;=0),"",CA53/CA124)</f>
        <v/>
      </c>
      <c r="CD53" s="28" t="str">
        <f t="shared" si="53"/>
        <v/>
      </c>
      <c r="CE53" s="83">
        <f t="shared" si="61"/>
        <v>10</v>
      </c>
      <c r="CF53" s="28">
        <f>IF(AND(CE4=0,CE53&gt;=0), "",CE53/CE4)</f>
        <v>7.246376811594203E-4</v>
      </c>
      <c r="CG53" s="42">
        <f>IF(AND(CE124=0,CE53&gt;=0),"",CE53/CE124)</f>
        <v>6.7114093959731542E-3</v>
      </c>
      <c r="CH53" s="82">
        <f>+'N EERR'!M52</f>
        <v>0</v>
      </c>
      <c r="CI53" s="28" t="str">
        <f>IF(AND(CH4=0,CH53&gt;=0), "",CH53/CH4)</f>
        <v/>
      </c>
      <c r="CJ53" s="42" t="str">
        <f>IF(AND(CH124=0,CH53&gt;=0),"",CH53/CH124)</f>
        <v/>
      </c>
      <c r="CK53" s="28" t="str">
        <f t="shared" si="43"/>
        <v/>
      </c>
      <c r="CL53" s="83">
        <f t="shared" si="62"/>
        <v>10</v>
      </c>
      <c r="CM53" s="28">
        <f>IF(AND(CL4=0,CL53&gt;=0), "",CL53/CL4)</f>
        <v>7.246376811594203E-4</v>
      </c>
      <c r="CN53" s="42">
        <f>IF(AND(CL124=0,CL53&gt;=0),"",CL53/CL124)</f>
        <v>6.7114093959731542E-3</v>
      </c>
      <c r="CO53" s="82">
        <f>+'N EERR'!N52</f>
        <v>0</v>
      </c>
      <c r="CP53" s="28" t="str">
        <f>IF(AND(CO4=0,CO53&gt;=0), "",CO53/CO4)</f>
        <v/>
      </c>
      <c r="CQ53" s="42" t="str">
        <f>IF(AND(CO124=0,CO53&gt;=0),"",CO53/CO124)</f>
        <v/>
      </c>
      <c r="CR53" s="28" t="str">
        <f t="shared" si="44"/>
        <v/>
      </c>
      <c r="CS53" s="83">
        <f t="shared" si="63"/>
        <v>10</v>
      </c>
      <c r="CT53" s="28">
        <f>IF(AND(CS4=0,CS53&gt;=0), "",CS53/CS4)</f>
        <v>7.246376811594203E-4</v>
      </c>
      <c r="CU53" s="42">
        <f>IF(AND(CS124=0,CS53&gt;=0),"",CS53/CS124)</f>
        <v>6.7114093959731542E-3</v>
      </c>
      <c r="CV53" s="84">
        <f t="shared" si="64"/>
        <v>0</v>
      </c>
      <c r="CW53" s="28" t="str">
        <f>IF(AND(CV4=0,CV53&gt;=0), "",CV53/CV4)</f>
        <v/>
      </c>
      <c r="CX53" s="42">
        <f t="shared" si="45"/>
        <v>1</v>
      </c>
    </row>
    <row r="54" spans="1:102" outlineLevel="1" x14ac:dyDescent="0.25">
      <c r="A54" s="27" t="s">
        <v>16</v>
      </c>
      <c r="B54" s="82">
        <f>+'N EERR'!B53</f>
        <v>0</v>
      </c>
      <c r="C54" s="28" t="str">
        <f>IF(AND(B4=0,B54&gt;=0), "",B54/B4)</f>
        <v/>
      </c>
      <c r="D54" s="42" t="str">
        <f>IF(AND(B124=0,B54&gt;=0),"",B54/B124)</f>
        <v/>
      </c>
      <c r="E54" s="82">
        <f>+'N EERR'!C53</f>
        <v>10</v>
      </c>
      <c r="F54" s="28">
        <f>IF(AND(E4=0,E54&gt;=0), "",E54/E4)</f>
        <v>7.246376811594203E-4</v>
      </c>
      <c r="G54" s="42">
        <f>IF(AND(E124=0,E54&gt;=0),"",E54/E124)</f>
        <v>6.7114093959731542E-3</v>
      </c>
      <c r="H54" s="82">
        <f>+'N EERR'!D53</f>
        <v>0</v>
      </c>
      <c r="I54" s="28" t="str">
        <f>IF(AND(H4=0,H54&gt;=0), "",H54/H4)</f>
        <v/>
      </c>
      <c r="J54" s="42" t="str">
        <f>IF(AND(H124=0,H54&gt;=0),"",H54/H124)</f>
        <v/>
      </c>
      <c r="K54" s="28">
        <f t="shared" si="46"/>
        <v>-1</v>
      </c>
      <c r="L54" s="83">
        <f t="shared" si="65"/>
        <v>10</v>
      </c>
      <c r="M54" s="28">
        <f>IF(AND(L4=0,L54&gt;=0), "",L54/L4)</f>
        <v>7.246376811594203E-4</v>
      </c>
      <c r="N54" s="42">
        <f>IF(AND(L124=0,L54&gt;=0),"",L54/L124)</f>
        <v>6.7114093959731542E-3</v>
      </c>
      <c r="O54" s="82">
        <f>+'N EERR'!E53</f>
        <v>0</v>
      </c>
      <c r="P54" s="28" t="str">
        <f>IF(AND(O4=0,O54&gt;=0), "",O54/O4)</f>
        <v/>
      </c>
      <c r="Q54" s="42" t="str">
        <f>IF(AND(O124=0,O54&gt;=0),"",O54/O124)</f>
        <v/>
      </c>
      <c r="R54" s="28" t="str">
        <f t="shared" si="47"/>
        <v/>
      </c>
      <c r="S54" s="83">
        <f t="shared" si="66"/>
        <v>10</v>
      </c>
      <c r="T54" s="28">
        <f>IF(AND(S4=0,S54&gt;=0), "",S54/S4)</f>
        <v>7.246376811594203E-4</v>
      </c>
      <c r="U54" s="42">
        <f>IF(AND(S124=0,S54&gt;=0),"",S54/S124)</f>
        <v>6.7114093959731542E-3</v>
      </c>
      <c r="V54" s="84"/>
      <c r="W54" s="28" t="str">
        <f>IF(AND(V4=0,V54&gt;=0), "",V54/V4)</f>
        <v/>
      </c>
      <c r="X54" s="42">
        <f t="shared" si="48"/>
        <v>1</v>
      </c>
      <c r="Y54" s="82">
        <f>+'N EERR'!F53</f>
        <v>0</v>
      </c>
      <c r="Z54" s="28" t="str">
        <f>IF(AND(Y4=0,Y54&gt;=0), "",Y54/Y4)</f>
        <v/>
      </c>
      <c r="AA54" s="42" t="str">
        <f>IF(AND(Y124=0,Y54&gt;=0),"",Y54/Y124)</f>
        <v/>
      </c>
      <c r="AB54" s="28" t="str">
        <f t="shared" si="49"/>
        <v/>
      </c>
      <c r="AC54" s="83">
        <f t="shared" si="54"/>
        <v>10</v>
      </c>
      <c r="AD54" s="28">
        <f>IF(AND(AC4=0,AC54&gt;=0), "",AC54/AC4)</f>
        <v>7.246376811594203E-4</v>
      </c>
      <c r="AE54" s="42">
        <f>IF(AND(AC124=0,AC54&gt;=0),"",AC54/AC124)</f>
        <v>6.7114093959731542E-3</v>
      </c>
      <c r="AF54" s="82">
        <f>+'N EERR'!G53</f>
        <v>0</v>
      </c>
      <c r="AG54" s="28" t="str">
        <f>IF(AND(AF4=0,AF54&gt;=0), "",AF54/AF4)</f>
        <v/>
      </c>
      <c r="AH54" s="42" t="str">
        <f>IF(AND(AF124=0,AF54&gt;=0),"",AF54/AF124)</f>
        <v/>
      </c>
      <c r="AI54" s="28" t="str">
        <f t="shared" si="38"/>
        <v/>
      </c>
      <c r="AJ54" s="83">
        <f t="shared" si="16"/>
        <v>10</v>
      </c>
      <c r="AK54" s="28">
        <f>IF(AND(AJ4=0,AJ54&gt;=0), "",AJ54/AJ4)</f>
        <v>7.246376811594203E-4</v>
      </c>
      <c r="AL54" s="42">
        <f>IF(AND(AJ124=0,AJ54&gt;=0),"",AJ54/AJ124)</f>
        <v>6.7114093959731542E-3</v>
      </c>
      <c r="AM54" s="82">
        <f>+'N EERR'!H53</f>
        <v>0</v>
      </c>
      <c r="AN54" s="28" t="str">
        <f>IF(AND(AM4=0,AM54&gt;=0), "",AM54/AM4)</f>
        <v/>
      </c>
      <c r="AO54" s="42" t="str">
        <f>IF(AND(AM124=0,AM54&gt;=0),"",AM54/AM124)</f>
        <v/>
      </c>
      <c r="AP54" s="28" t="str">
        <f t="shared" si="39"/>
        <v/>
      </c>
      <c r="AQ54" s="83">
        <f t="shared" si="17"/>
        <v>10</v>
      </c>
      <c r="AR54" s="28">
        <f>IF(AND(AQ4=0,AQ54&gt;=0), "",AQ54/AQ4)</f>
        <v>7.246376811594203E-4</v>
      </c>
      <c r="AS54" s="42">
        <f>IF(AND(AQ124=0,AQ54&gt;=0),"",AQ54/AQ124)</f>
        <v>6.7114093959731542E-3</v>
      </c>
      <c r="AT54" s="84">
        <f t="shared" si="55"/>
        <v>0</v>
      </c>
      <c r="AU54" s="28" t="str">
        <f>IF(AND(AT4=0,AT54&gt;=0), "",AT54/AT4)</f>
        <v/>
      </c>
      <c r="AV54" s="42">
        <f t="shared" si="50"/>
        <v>1</v>
      </c>
      <c r="AW54" s="84">
        <f t="shared" si="67"/>
        <v>1.6666666666666667</v>
      </c>
      <c r="AX54" s="28">
        <f>IF(AND(AW4=0,AW54&gt;=0), "",AW54/AW4)</f>
        <v>7.2463768115942019E-4</v>
      </c>
      <c r="AY54" s="42">
        <f>IF(AND(AW124=0,AW54&gt;=0),"",AW54/AW124)</f>
        <v>6.7114093959731542E-3</v>
      </c>
      <c r="AZ54" s="84">
        <f t="shared" si="56"/>
        <v>0</v>
      </c>
      <c r="BA54" s="28" t="str">
        <f>IF(AND(AZ4=0,AZ54&gt;=0), "",AZ54/AZ4)</f>
        <v/>
      </c>
      <c r="BB54" s="42">
        <f t="shared" si="51"/>
        <v>1</v>
      </c>
      <c r="BC54" s="82">
        <f>+'N EERR'!I53</f>
        <v>0</v>
      </c>
      <c r="BD54" s="28" t="str">
        <f>IF(AND(BC4=0,BC54&gt;=0), "",BC54/BC4)</f>
        <v/>
      </c>
      <c r="BE54" s="42" t="str">
        <f>IF(AND(BC124=0,BC54&gt;=0),"",BC54/BC124)</f>
        <v/>
      </c>
      <c r="BF54" s="28" t="str">
        <f t="shared" si="52"/>
        <v/>
      </c>
      <c r="BG54" s="83">
        <f t="shared" si="57"/>
        <v>10</v>
      </c>
      <c r="BH54" s="28">
        <f>IF(AND(BG4=0,BG54&gt;=0), "",BG54/BG4)</f>
        <v>7.246376811594203E-4</v>
      </c>
      <c r="BI54" s="42">
        <f>IF(AND(BG124=0,BG54&gt;=0),"",BG54/BG124)</f>
        <v>6.7114093959731542E-3</v>
      </c>
      <c r="BJ54" s="82">
        <f>+'N EERR'!J53</f>
        <v>0</v>
      </c>
      <c r="BK54" s="28" t="str">
        <f>IF(AND(BJ4=0,BJ54&gt;=0), "",BJ54/BJ4)</f>
        <v/>
      </c>
      <c r="BL54" s="42" t="str">
        <f>IF(AND(BJ124=0,BJ54&gt;=0),"",BJ54/BJ124)</f>
        <v/>
      </c>
      <c r="BM54" s="28" t="str">
        <f t="shared" si="40"/>
        <v/>
      </c>
      <c r="BN54" s="83">
        <f t="shared" si="58"/>
        <v>10</v>
      </c>
      <c r="BO54" s="28">
        <f>IF(AND(BN4=0,BN54&gt;=0), "",BN54/BN4)</f>
        <v>7.246376811594203E-4</v>
      </c>
      <c r="BP54" s="42">
        <f>IF(AND(BN124=0,BN54&gt;=0),"",BN54/BN124)</f>
        <v>6.7114093959731542E-3</v>
      </c>
      <c r="BQ54" s="82">
        <f>+'N EERR'!K53</f>
        <v>0</v>
      </c>
      <c r="BR54" s="28" t="str">
        <f>IF(AND(BQ4=0,BQ54&gt;=0), "",BQ54/BQ4)</f>
        <v/>
      </c>
      <c r="BS54" s="42" t="str">
        <f>IF(AND(BQ124=0,BQ54&gt;=0),"",BQ54/BQ124)</f>
        <v/>
      </c>
      <c r="BT54" s="28" t="str">
        <f t="shared" si="41"/>
        <v/>
      </c>
      <c r="BU54" s="83">
        <f t="shared" si="59"/>
        <v>10</v>
      </c>
      <c r="BV54" s="28">
        <f>IF(AND(BU4=0,BU54&gt;=0), "",BU54/BU4)</f>
        <v>7.246376811594203E-4</v>
      </c>
      <c r="BW54" s="42">
        <f>IF(AND(BU124=0,BU54&gt;=0),"",BU54/BU124)</f>
        <v>6.7114093959731542E-3</v>
      </c>
      <c r="BX54" s="84">
        <f t="shared" si="60"/>
        <v>0</v>
      </c>
      <c r="BY54" s="28" t="str">
        <f>IF(AND(BX4=0,BX54&gt;=0), "",BX54/BX4)</f>
        <v/>
      </c>
      <c r="BZ54" s="42">
        <f t="shared" si="42"/>
        <v>1</v>
      </c>
      <c r="CA54" s="82">
        <f>+'N EERR'!L53</f>
        <v>0</v>
      </c>
      <c r="CB54" s="28" t="str">
        <f>IF(AND(CA4=0,CA54&gt;=0), "",CA54/CA4)</f>
        <v/>
      </c>
      <c r="CC54" s="42" t="str">
        <f>IF(AND(CA124=0,CA54&gt;=0),"",CA54/CA124)</f>
        <v/>
      </c>
      <c r="CD54" s="28" t="str">
        <f t="shared" si="53"/>
        <v/>
      </c>
      <c r="CE54" s="83">
        <f t="shared" si="61"/>
        <v>10</v>
      </c>
      <c r="CF54" s="28">
        <f>IF(AND(CE4=0,CE54&gt;=0), "",CE54/CE4)</f>
        <v>7.246376811594203E-4</v>
      </c>
      <c r="CG54" s="42">
        <f>IF(AND(CE124=0,CE54&gt;=0),"",CE54/CE124)</f>
        <v>6.7114093959731542E-3</v>
      </c>
      <c r="CH54" s="82">
        <f>+'N EERR'!M53</f>
        <v>0</v>
      </c>
      <c r="CI54" s="28" t="str">
        <f>IF(AND(CH4=0,CH54&gt;=0), "",CH54/CH4)</f>
        <v/>
      </c>
      <c r="CJ54" s="42" t="str">
        <f>IF(AND(CH124=0,CH54&gt;=0),"",CH54/CH124)</f>
        <v/>
      </c>
      <c r="CK54" s="28" t="str">
        <f t="shared" si="43"/>
        <v/>
      </c>
      <c r="CL54" s="83">
        <f t="shared" si="62"/>
        <v>10</v>
      </c>
      <c r="CM54" s="28">
        <f>IF(AND(CL4=0,CL54&gt;=0), "",CL54/CL4)</f>
        <v>7.246376811594203E-4</v>
      </c>
      <c r="CN54" s="42">
        <f>IF(AND(CL124=0,CL54&gt;=0),"",CL54/CL124)</f>
        <v>6.7114093959731542E-3</v>
      </c>
      <c r="CO54" s="82">
        <f>+'N EERR'!N53</f>
        <v>0</v>
      </c>
      <c r="CP54" s="28" t="str">
        <f>IF(AND(CO4=0,CO54&gt;=0), "",CO54/CO4)</f>
        <v/>
      </c>
      <c r="CQ54" s="42" t="str">
        <f>IF(AND(CO124=0,CO54&gt;=0),"",CO54/CO124)</f>
        <v/>
      </c>
      <c r="CR54" s="28" t="str">
        <f t="shared" si="44"/>
        <v/>
      </c>
      <c r="CS54" s="83">
        <f t="shared" si="63"/>
        <v>10</v>
      </c>
      <c r="CT54" s="28">
        <f>IF(AND(CS4=0,CS54&gt;=0), "",CS54/CS4)</f>
        <v>7.246376811594203E-4</v>
      </c>
      <c r="CU54" s="42">
        <f>IF(AND(CS124=0,CS54&gt;=0),"",CS54/CS124)</f>
        <v>6.7114093959731542E-3</v>
      </c>
      <c r="CV54" s="84">
        <f t="shared" si="64"/>
        <v>0</v>
      </c>
      <c r="CW54" s="28" t="str">
        <f>IF(AND(CV4=0,CV54&gt;=0), "",CV54/CV4)</f>
        <v/>
      </c>
      <c r="CX54" s="42">
        <f t="shared" si="45"/>
        <v>1</v>
      </c>
    </row>
    <row r="55" spans="1:102" outlineLevel="1" x14ac:dyDescent="0.25">
      <c r="A55" s="27" t="s">
        <v>17</v>
      </c>
      <c r="B55" s="82">
        <f>+'N EERR'!B54</f>
        <v>0</v>
      </c>
      <c r="C55" s="28" t="str">
        <f>IF(AND(B4=0,B55&gt;=0), "",B55/B4)</f>
        <v/>
      </c>
      <c r="D55" s="42" t="str">
        <f>IF(AND(B124=0,B55&gt;=0),"",B55/B124)</f>
        <v/>
      </c>
      <c r="E55" s="82">
        <f>+'N EERR'!C54</f>
        <v>10</v>
      </c>
      <c r="F55" s="28">
        <f>IF(AND(E4=0,E55&gt;=0), "",E55/E4)</f>
        <v>7.246376811594203E-4</v>
      </c>
      <c r="G55" s="42">
        <f>IF(AND(E124=0,E55&gt;=0),"",E55/E124)</f>
        <v>6.7114093959731542E-3</v>
      </c>
      <c r="H55" s="82">
        <f>+'N EERR'!D54</f>
        <v>0</v>
      </c>
      <c r="I55" s="28" t="str">
        <f>IF(AND(H4=0,H55&gt;=0), "",H55/H4)</f>
        <v/>
      </c>
      <c r="J55" s="42" t="str">
        <f>IF(AND(H124=0,H55&gt;=0),"",H55/H124)</f>
        <v/>
      </c>
      <c r="K55" s="28">
        <f t="shared" si="46"/>
        <v>-1</v>
      </c>
      <c r="L55" s="83">
        <f t="shared" si="65"/>
        <v>10</v>
      </c>
      <c r="M55" s="28">
        <f>IF(AND(L4=0,L55&gt;=0), "",L55/L4)</f>
        <v>7.246376811594203E-4</v>
      </c>
      <c r="N55" s="42">
        <f>IF(AND(L124=0,L55&gt;=0),"",L55/L124)</f>
        <v>6.7114093959731542E-3</v>
      </c>
      <c r="O55" s="82">
        <f>+'N EERR'!E54</f>
        <v>0</v>
      </c>
      <c r="P55" s="28" t="str">
        <f>IF(AND(O4=0,O55&gt;=0), "",O55/O4)</f>
        <v/>
      </c>
      <c r="Q55" s="42" t="str">
        <f>IF(AND(O124=0,O55&gt;=0),"",O55/O124)</f>
        <v/>
      </c>
      <c r="R55" s="28" t="str">
        <f t="shared" si="47"/>
        <v/>
      </c>
      <c r="S55" s="83">
        <f t="shared" si="66"/>
        <v>10</v>
      </c>
      <c r="T55" s="28">
        <f>IF(AND(S4=0,S55&gt;=0), "",S55/S4)</f>
        <v>7.246376811594203E-4</v>
      </c>
      <c r="U55" s="42">
        <f>IF(AND(S124=0,S55&gt;=0),"",S55/S124)</f>
        <v>6.7114093959731542E-3</v>
      </c>
      <c r="V55" s="84"/>
      <c r="W55" s="28" t="str">
        <f>IF(AND(V4=0,V55&gt;=0), "",V55/V4)</f>
        <v/>
      </c>
      <c r="X55" s="42">
        <f t="shared" si="48"/>
        <v>1</v>
      </c>
      <c r="Y55" s="82">
        <f>+'N EERR'!F54</f>
        <v>0</v>
      </c>
      <c r="Z55" s="28" t="str">
        <f>IF(AND(Y4=0,Y55&gt;=0), "",Y55/Y4)</f>
        <v/>
      </c>
      <c r="AA55" s="42" t="str">
        <f>IF(AND(Y124=0,Y55&gt;=0),"",Y55/Y124)</f>
        <v/>
      </c>
      <c r="AB55" s="28" t="str">
        <f t="shared" si="49"/>
        <v/>
      </c>
      <c r="AC55" s="83">
        <f t="shared" si="54"/>
        <v>10</v>
      </c>
      <c r="AD55" s="28">
        <f>IF(AND(AC4=0,AC55&gt;=0), "",AC55/AC4)</f>
        <v>7.246376811594203E-4</v>
      </c>
      <c r="AE55" s="42">
        <f>IF(AND(AC124=0,AC55&gt;=0),"",AC55/AC124)</f>
        <v>6.7114093959731542E-3</v>
      </c>
      <c r="AF55" s="82">
        <f>+'N EERR'!G54</f>
        <v>0</v>
      </c>
      <c r="AG55" s="28" t="str">
        <f>IF(AND(AF4=0,AF55&gt;=0), "",AF55/AF4)</f>
        <v/>
      </c>
      <c r="AH55" s="42" t="str">
        <f>IF(AND(AF124=0,AF55&gt;=0),"",AF55/AF124)</f>
        <v/>
      </c>
      <c r="AI55" s="28" t="str">
        <f t="shared" si="38"/>
        <v/>
      </c>
      <c r="AJ55" s="83">
        <f t="shared" si="16"/>
        <v>10</v>
      </c>
      <c r="AK55" s="28">
        <f>IF(AND(AJ4=0,AJ55&gt;=0), "",AJ55/AJ4)</f>
        <v>7.246376811594203E-4</v>
      </c>
      <c r="AL55" s="42">
        <f>IF(AND(AJ124=0,AJ55&gt;=0),"",AJ55/AJ124)</f>
        <v>6.7114093959731542E-3</v>
      </c>
      <c r="AM55" s="82">
        <f>+'N EERR'!H54</f>
        <v>0</v>
      </c>
      <c r="AN55" s="28" t="str">
        <f>IF(AND(AM4=0,AM55&gt;=0), "",AM55/AM4)</f>
        <v/>
      </c>
      <c r="AO55" s="42" t="str">
        <f>IF(AND(AM124=0,AM55&gt;=0),"",AM55/AM124)</f>
        <v/>
      </c>
      <c r="AP55" s="28" t="str">
        <f t="shared" si="39"/>
        <v/>
      </c>
      <c r="AQ55" s="83">
        <f t="shared" si="17"/>
        <v>10</v>
      </c>
      <c r="AR55" s="28">
        <f>IF(AND(AQ4=0,AQ55&gt;=0), "",AQ55/AQ4)</f>
        <v>7.246376811594203E-4</v>
      </c>
      <c r="AS55" s="42">
        <f>IF(AND(AQ124=0,AQ55&gt;=0),"",AQ55/AQ124)</f>
        <v>6.7114093959731542E-3</v>
      </c>
      <c r="AT55" s="84">
        <f t="shared" si="55"/>
        <v>0</v>
      </c>
      <c r="AU55" s="28" t="str">
        <f>IF(AND(AT4=0,AT55&gt;=0), "",AT55/AT4)</f>
        <v/>
      </c>
      <c r="AV55" s="42">
        <f t="shared" si="50"/>
        <v>1</v>
      </c>
      <c r="AW55" s="84">
        <f t="shared" si="67"/>
        <v>1.6666666666666667</v>
      </c>
      <c r="AX55" s="28">
        <f>IF(AND(AW4=0,AW55&gt;=0), "",AW55/AW4)</f>
        <v>7.2463768115942019E-4</v>
      </c>
      <c r="AY55" s="42">
        <f>IF(AND(AW124=0,AW55&gt;=0),"",AW55/AW124)</f>
        <v>6.7114093959731542E-3</v>
      </c>
      <c r="AZ55" s="84">
        <f t="shared" si="56"/>
        <v>0</v>
      </c>
      <c r="BA55" s="28" t="str">
        <f>IF(AND(AZ4=0,AZ55&gt;=0), "",AZ55/AZ4)</f>
        <v/>
      </c>
      <c r="BB55" s="42">
        <f t="shared" si="51"/>
        <v>1</v>
      </c>
      <c r="BC55" s="82">
        <f>+'N EERR'!I54</f>
        <v>0</v>
      </c>
      <c r="BD55" s="28" t="str">
        <f>IF(AND(BC4=0,BC55&gt;=0), "",BC55/BC4)</f>
        <v/>
      </c>
      <c r="BE55" s="42" t="str">
        <f>IF(AND(BC124=0,BC55&gt;=0),"",BC55/BC124)</f>
        <v/>
      </c>
      <c r="BF55" s="28" t="str">
        <f t="shared" si="52"/>
        <v/>
      </c>
      <c r="BG55" s="83">
        <f t="shared" si="57"/>
        <v>10</v>
      </c>
      <c r="BH55" s="28">
        <f>IF(AND(BG4=0,BG55&gt;=0), "",BG55/BG4)</f>
        <v>7.246376811594203E-4</v>
      </c>
      <c r="BI55" s="42">
        <f>IF(AND(BG124=0,BG55&gt;=0),"",BG55/BG124)</f>
        <v>6.7114093959731542E-3</v>
      </c>
      <c r="BJ55" s="82">
        <f>+'N EERR'!J54</f>
        <v>0</v>
      </c>
      <c r="BK55" s="28" t="str">
        <f>IF(AND(BJ4=0,BJ55&gt;=0), "",BJ55/BJ4)</f>
        <v/>
      </c>
      <c r="BL55" s="42" t="str">
        <f>IF(AND(BJ124=0,BJ55&gt;=0),"",BJ55/BJ124)</f>
        <v/>
      </c>
      <c r="BM55" s="28" t="str">
        <f t="shared" si="40"/>
        <v/>
      </c>
      <c r="BN55" s="83">
        <f t="shared" si="58"/>
        <v>10</v>
      </c>
      <c r="BO55" s="28">
        <f>IF(AND(BN4=0,BN55&gt;=0), "",BN55/BN4)</f>
        <v>7.246376811594203E-4</v>
      </c>
      <c r="BP55" s="42">
        <f>IF(AND(BN124=0,BN55&gt;=0),"",BN55/BN124)</f>
        <v>6.7114093959731542E-3</v>
      </c>
      <c r="BQ55" s="82">
        <f>+'N EERR'!K54</f>
        <v>0</v>
      </c>
      <c r="BR55" s="28" t="str">
        <f>IF(AND(BQ4=0,BQ55&gt;=0), "",BQ55/BQ4)</f>
        <v/>
      </c>
      <c r="BS55" s="42" t="str">
        <f>IF(AND(BQ124=0,BQ55&gt;=0),"",BQ55/BQ124)</f>
        <v/>
      </c>
      <c r="BT55" s="28" t="str">
        <f t="shared" si="41"/>
        <v/>
      </c>
      <c r="BU55" s="83">
        <f t="shared" si="59"/>
        <v>10</v>
      </c>
      <c r="BV55" s="28">
        <f>IF(AND(BU4=0,BU55&gt;=0), "",BU55/BU4)</f>
        <v>7.246376811594203E-4</v>
      </c>
      <c r="BW55" s="42">
        <f>IF(AND(BU124=0,BU55&gt;=0),"",BU55/BU124)</f>
        <v>6.7114093959731542E-3</v>
      </c>
      <c r="BX55" s="84">
        <f t="shared" si="60"/>
        <v>0</v>
      </c>
      <c r="BY55" s="28" t="str">
        <f>IF(AND(BX4=0,BX55&gt;=0), "",BX55/BX4)</f>
        <v/>
      </c>
      <c r="BZ55" s="42">
        <f t="shared" si="42"/>
        <v>1</v>
      </c>
      <c r="CA55" s="82">
        <f>+'N EERR'!L54</f>
        <v>0</v>
      </c>
      <c r="CB55" s="28" t="str">
        <f>IF(AND(CA4=0,CA55&gt;=0), "",CA55/CA4)</f>
        <v/>
      </c>
      <c r="CC55" s="42" t="str">
        <f>IF(AND(CA124=0,CA55&gt;=0),"",CA55/CA124)</f>
        <v/>
      </c>
      <c r="CD55" s="28" t="str">
        <f t="shared" si="53"/>
        <v/>
      </c>
      <c r="CE55" s="83">
        <f t="shared" si="61"/>
        <v>10</v>
      </c>
      <c r="CF55" s="28">
        <f>IF(AND(CE4=0,CE55&gt;=0), "",CE55/CE4)</f>
        <v>7.246376811594203E-4</v>
      </c>
      <c r="CG55" s="42">
        <f>IF(AND(CE124=0,CE55&gt;=0),"",CE55/CE124)</f>
        <v>6.7114093959731542E-3</v>
      </c>
      <c r="CH55" s="82">
        <f>+'N EERR'!M54</f>
        <v>0</v>
      </c>
      <c r="CI55" s="28" t="str">
        <f>IF(AND(CH4=0,CH55&gt;=0), "",CH55/CH4)</f>
        <v/>
      </c>
      <c r="CJ55" s="42" t="str">
        <f>IF(AND(CH124=0,CH55&gt;=0),"",CH55/CH124)</f>
        <v/>
      </c>
      <c r="CK55" s="28" t="str">
        <f t="shared" si="43"/>
        <v/>
      </c>
      <c r="CL55" s="83">
        <f t="shared" si="62"/>
        <v>10</v>
      </c>
      <c r="CM55" s="28">
        <f>IF(AND(CL4=0,CL55&gt;=0), "",CL55/CL4)</f>
        <v>7.246376811594203E-4</v>
      </c>
      <c r="CN55" s="42">
        <f>IF(AND(CL124=0,CL55&gt;=0),"",CL55/CL124)</f>
        <v>6.7114093959731542E-3</v>
      </c>
      <c r="CO55" s="82">
        <f>+'N EERR'!N54</f>
        <v>0</v>
      </c>
      <c r="CP55" s="28" t="str">
        <f>IF(AND(CO4=0,CO55&gt;=0), "",CO55/CO4)</f>
        <v/>
      </c>
      <c r="CQ55" s="42" t="str">
        <f>IF(AND(CO124=0,CO55&gt;=0),"",CO55/CO124)</f>
        <v/>
      </c>
      <c r="CR55" s="28" t="str">
        <f t="shared" si="44"/>
        <v/>
      </c>
      <c r="CS55" s="83">
        <f t="shared" si="63"/>
        <v>10</v>
      </c>
      <c r="CT55" s="28">
        <f>IF(AND(CS4=0,CS55&gt;=0), "",CS55/CS4)</f>
        <v>7.246376811594203E-4</v>
      </c>
      <c r="CU55" s="42">
        <f>IF(AND(CS124=0,CS55&gt;=0),"",CS55/CS124)</f>
        <v>6.7114093959731542E-3</v>
      </c>
      <c r="CV55" s="84">
        <f t="shared" si="64"/>
        <v>0</v>
      </c>
      <c r="CW55" s="28" t="str">
        <f>IF(AND(CV4=0,CV55&gt;=0), "",CV55/CV4)</f>
        <v/>
      </c>
      <c r="CX55" s="42">
        <f t="shared" si="45"/>
        <v>1</v>
      </c>
    </row>
    <row r="56" spans="1:102" outlineLevel="1" x14ac:dyDescent="0.25">
      <c r="A56" s="27" t="s">
        <v>18</v>
      </c>
      <c r="B56" s="82">
        <f>+'N EERR'!B55</f>
        <v>0</v>
      </c>
      <c r="C56" s="28" t="str">
        <f>IF(AND(B4=0,B56&gt;=0), "",B56/B4)</f>
        <v/>
      </c>
      <c r="D56" s="42" t="str">
        <f>IF(AND(B124=0,B56&gt;=0),"",B56/B124)</f>
        <v/>
      </c>
      <c r="E56" s="82">
        <f>+'N EERR'!C55</f>
        <v>10</v>
      </c>
      <c r="F56" s="28">
        <f>IF(AND(E4=0,E56&gt;=0), "",E56/E4)</f>
        <v>7.246376811594203E-4</v>
      </c>
      <c r="G56" s="42">
        <f>IF(AND(E124=0,E56&gt;=0),"",E56/E124)</f>
        <v>6.7114093959731542E-3</v>
      </c>
      <c r="H56" s="82">
        <f>+'N EERR'!D55</f>
        <v>0</v>
      </c>
      <c r="I56" s="28" t="str">
        <f>IF(AND(H4=0,H56&gt;=0), "",H56/H4)</f>
        <v/>
      </c>
      <c r="J56" s="42" t="str">
        <f>IF(AND(H124=0,H56&gt;=0),"",H56/H124)</f>
        <v/>
      </c>
      <c r="K56" s="28">
        <f t="shared" si="46"/>
        <v>-1</v>
      </c>
      <c r="L56" s="83">
        <f t="shared" si="65"/>
        <v>10</v>
      </c>
      <c r="M56" s="28">
        <f>IF(AND(L4=0,L56&gt;=0), "",L56/L4)</f>
        <v>7.246376811594203E-4</v>
      </c>
      <c r="N56" s="42">
        <f>IF(AND(L124=0,L56&gt;=0),"",L56/L124)</f>
        <v>6.7114093959731542E-3</v>
      </c>
      <c r="O56" s="82">
        <f>+'N EERR'!E55</f>
        <v>0</v>
      </c>
      <c r="P56" s="28" t="str">
        <f>IF(AND(O4=0,O56&gt;=0), "",O56/O4)</f>
        <v/>
      </c>
      <c r="Q56" s="42" t="str">
        <f>IF(AND(O124=0,O56&gt;=0),"",O56/O124)</f>
        <v/>
      </c>
      <c r="R56" s="28" t="str">
        <f t="shared" si="47"/>
        <v/>
      </c>
      <c r="S56" s="83">
        <f t="shared" si="66"/>
        <v>10</v>
      </c>
      <c r="T56" s="28">
        <f>IF(AND(S4=0,S56&gt;=0), "",S56/S4)</f>
        <v>7.246376811594203E-4</v>
      </c>
      <c r="U56" s="42">
        <f>IF(AND(S124=0,S56&gt;=0),"",S56/S124)</f>
        <v>6.7114093959731542E-3</v>
      </c>
      <c r="V56" s="84"/>
      <c r="W56" s="28" t="str">
        <f>IF(AND(V4=0,V56&gt;=0), "",V56/V4)</f>
        <v/>
      </c>
      <c r="X56" s="42">
        <f t="shared" si="48"/>
        <v>1</v>
      </c>
      <c r="Y56" s="82">
        <f>+'N EERR'!F55</f>
        <v>0</v>
      </c>
      <c r="Z56" s="28" t="str">
        <f>IF(AND(Y4=0,Y56&gt;=0), "",Y56/Y4)</f>
        <v/>
      </c>
      <c r="AA56" s="42" t="str">
        <f>IF(AND(Y124=0,Y56&gt;=0),"",Y56/Y124)</f>
        <v/>
      </c>
      <c r="AB56" s="28" t="str">
        <f t="shared" si="49"/>
        <v/>
      </c>
      <c r="AC56" s="83">
        <f t="shared" si="54"/>
        <v>10</v>
      </c>
      <c r="AD56" s="28">
        <f>IF(AND(AC4=0,AC56&gt;=0), "",AC56/AC4)</f>
        <v>7.246376811594203E-4</v>
      </c>
      <c r="AE56" s="42">
        <f>IF(AND(AC124=0,AC56&gt;=0),"",AC56/AC124)</f>
        <v>6.7114093959731542E-3</v>
      </c>
      <c r="AF56" s="82">
        <f>+'N EERR'!G55</f>
        <v>0</v>
      </c>
      <c r="AG56" s="28" t="str">
        <f>IF(AND(AF4=0,AF56&gt;=0), "",AF56/AF4)</f>
        <v/>
      </c>
      <c r="AH56" s="42" t="str">
        <f>IF(AND(AF124=0,AF56&gt;=0),"",AF56/AF124)</f>
        <v/>
      </c>
      <c r="AI56" s="28" t="str">
        <f t="shared" si="38"/>
        <v/>
      </c>
      <c r="AJ56" s="83">
        <f t="shared" si="16"/>
        <v>10</v>
      </c>
      <c r="AK56" s="28">
        <f>IF(AND(AJ4=0,AJ56&gt;=0), "",AJ56/AJ4)</f>
        <v>7.246376811594203E-4</v>
      </c>
      <c r="AL56" s="42">
        <f>IF(AND(AJ124=0,AJ56&gt;=0),"",AJ56/AJ124)</f>
        <v>6.7114093959731542E-3</v>
      </c>
      <c r="AM56" s="82">
        <f>+'N EERR'!H55</f>
        <v>0</v>
      </c>
      <c r="AN56" s="28" t="str">
        <f>IF(AND(AM4=0,AM56&gt;=0), "",AM56/AM4)</f>
        <v/>
      </c>
      <c r="AO56" s="42" t="str">
        <f>IF(AND(AM124=0,AM56&gt;=0),"",AM56/AM124)</f>
        <v/>
      </c>
      <c r="AP56" s="28" t="str">
        <f t="shared" si="39"/>
        <v/>
      </c>
      <c r="AQ56" s="83">
        <f t="shared" si="17"/>
        <v>10</v>
      </c>
      <c r="AR56" s="28">
        <f>IF(AND(AQ4=0,AQ56&gt;=0), "",AQ56/AQ4)</f>
        <v>7.246376811594203E-4</v>
      </c>
      <c r="AS56" s="42">
        <f>IF(AND(AQ124=0,AQ56&gt;=0),"",AQ56/AQ124)</f>
        <v>6.7114093959731542E-3</v>
      </c>
      <c r="AT56" s="84">
        <f t="shared" si="55"/>
        <v>0</v>
      </c>
      <c r="AU56" s="28" t="str">
        <f>IF(AND(AT4=0,AT56&gt;=0), "",AT56/AT4)</f>
        <v/>
      </c>
      <c r="AV56" s="42">
        <f t="shared" si="50"/>
        <v>1</v>
      </c>
      <c r="AW56" s="84">
        <f t="shared" si="67"/>
        <v>1.6666666666666667</v>
      </c>
      <c r="AX56" s="28">
        <f>IF(AND(AW4=0,AW56&gt;=0), "",AW56/AW4)</f>
        <v>7.2463768115942019E-4</v>
      </c>
      <c r="AY56" s="42">
        <f>IF(AND(AW124=0,AW56&gt;=0),"",AW56/AW124)</f>
        <v>6.7114093959731542E-3</v>
      </c>
      <c r="AZ56" s="84">
        <f t="shared" si="56"/>
        <v>0</v>
      </c>
      <c r="BA56" s="28" t="str">
        <f>IF(AND(AZ4=0,AZ56&gt;=0), "",AZ56/AZ4)</f>
        <v/>
      </c>
      <c r="BB56" s="42">
        <f t="shared" si="51"/>
        <v>1</v>
      </c>
      <c r="BC56" s="82">
        <f>+'N EERR'!I55</f>
        <v>0</v>
      </c>
      <c r="BD56" s="28" t="str">
        <f>IF(AND(BC4=0,BC56&gt;=0), "",BC56/BC4)</f>
        <v/>
      </c>
      <c r="BE56" s="42" t="str">
        <f>IF(AND(BC124=0,BC56&gt;=0),"",BC56/BC124)</f>
        <v/>
      </c>
      <c r="BF56" s="28" t="str">
        <f t="shared" si="52"/>
        <v/>
      </c>
      <c r="BG56" s="83">
        <f t="shared" si="57"/>
        <v>10</v>
      </c>
      <c r="BH56" s="28">
        <f>IF(AND(BG4=0,BG56&gt;=0), "",BG56/BG4)</f>
        <v>7.246376811594203E-4</v>
      </c>
      <c r="BI56" s="42">
        <f>IF(AND(BG124=0,BG56&gt;=0),"",BG56/BG124)</f>
        <v>6.7114093959731542E-3</v>
      </c>
      <c r="BJ56" s="82">
        <f>+'N EERR'!J55</f>
        <v>0</v>
      </c>
      <c r="BK56" s="28" t="str">
        <f>IF(AND(BJ4=0,BJ56&gt;=0), "",BJ56/BJ4)</f>
        <v/>
      </c>
      <c r="BL56" s="42" t="str">
        <f>IF(AND(BJ124=0,BJ56&gt;=0),"",BJ56/BJ124)</f>
        <v/>
      </c>
      <c r="BM56" s="28" t="str">
        <f t="shared" si="40"/>
        <v/>
      </c>
      <c r="BN56" s="83">
        <f t="shared" si="58"/>
        <v>10</v>
      </c>
      <c r="BO56" s="28">
        <f>IF(AND(BN4=0,BN56&gt;=0), "",BN56/BN4)</f>
        <v>7.246376811594203E-4</v>
      </c>
      <c r="BP56" s="42">
        <f>IF(AND(BN124=0,BN56&gt;=0),"",BN56/BN124)</f>
        <v>6.7114093959731542E-3</v>
      </c>
      <c r="BQ56" s="82">
        <f>+'N EERR'!K55</f>
        <v>0</v>
      </c>
      <c r="BR56" s="28" t="str">
        <f>IF(AND(BQ4=0,BQ56&gt;=0), "",BQ56/BQ4)</f>
        <v/>
      </c>
      <c r="BS56" s="42" t="str">
        <f>IF(AND(BQ124=0,BQ56&gt;=0),"",BQ56/BQ124)</f>
        <v/>
      </c>
      <c r="BT56" s="28" t="str">
        <f t="shared" si="41"/>
        <v/>
      </c>
      <c r="BU56" s="83">
        <f t="shared" si="59"/>
        <v>10</v>
      </c>
      <c r="BV56" s="28">
        <f>IF(AND(BU4=0,BU56&gt;=0), "",BU56/BU4)</f>
        <v>7.246376811594203E-4</v>
      </c>
      <c r="BW56" s="42">
        <f>IF(AND(BU124=0,BU56&gt;=0),"",BU56/BU124)</f>
        <v>6.7114093959731542E-3</v>
      </c>
      <c r="BX56" s="84">
        <f t="shared" si="60"/>
        <v>0</v>
      </c>
      <c r="BY56" s="28" t="str">
        <f>IF(AND(BX4=0,BX56&gt;=0), "",BX56/BX4)</f>
        <v/>
      </c>
      <c r="BZ56" s="42">
        <f t="shared" si="42"/>
        <v>1</v>
      </c>
      <c r="CA56" s="82">
        <f>+'N EERR'!L55</f>
        <v>0</v>
      </c>
      <c r="CB56" s="28" t="str">
        <f>IF(AND(CA4=0,CA56&gt;=0), "",CA56/CA4)</f>
        <v/>
      </c>
      <c r="CC56" s="42" t="str">
        <f>IF(AND(CA124=0,CA56&gt;=0),"",CA56/CA124)</f>
        <v/>
      </c>
      <c r="CD56" s="28" t="str">
        <f t="shared" si="53"/>
        <v/>
      </c>
      <c r="CE56" s="83">
        <f t="shared" si="61"/>
        <v>10</v>
      </c>
      <c r="CF56" s="28">
        <f>IF(AND(CE4=0,CE56&gt;=0), "",CE56/CE4)</f>
        <v>7.246376811594203E-4</v>
      </c>
      <c r="CG56" s="42">
        <f>IF(AND(CE124=0,CE56&gt;=0),"",CE56/CE124)</f>
        <v>6.7114093959731542E-3</v>
      </c>
      <c r="CH56" s="82">
        <f>+'N EERR'!M55</f>
        <v>0</v>
      </c>
      <c r="CI56" s="28" t="str">
        <f>IF(AND(CH4=0,CH56&gt;=0), "",CH56/CH4)</f>
        <v/>
      </c>
      <c r="CJ56" s="42" t="str">
        <f>IF(AND(CH124=0,CH56&gt;=0),"",CH56/CH124)</f>
        <v/>
      </c>
      <c r="CK56" s="28" t="str">
        <f t="shared" si="43"/>
        <v/>
      </c>
      <c r="CL56" s="83">
        <f t="shared" si="62"/>
        <v>10</v>
      </c>
      <c r="CM56" s="28">
        <f>IF(AND(CL4=0,CL56&gt;=0), "",CL56/CL4)</f>
        <v>7.246376811594203E-4</v>
      </c>
      <c r="CN56" s="42">
        <f>IF(AND(CL124=0,CL56&gt;=0),"",CL56/CL124)</f>
        <v>6.7114093959731542E-3</v>
      </c>
      <c r="CO56" s="82">
        <f>+'N EERR'!N55</f>
        <v>0</v>
      </c>
      <c r="CP56" s="28" t="str">
        <f>IF(AND(CO4=0,CO56&gt;=0), "",CO56/CO4)</f>
        <v/>
      </c>
      <c r="CQ56" s="42" t="str">
        <f>IF(AND(CO124=0,CO56&gt;=0),"",CO56/CO124)</f>
        <v/>
      </c>
      <c r="CR56" s="28" t="str">
        <f t="shared" si="44"/>
        <v/>
      </c>
      <c r="CS56" s="83">
        <f t="shared" si="63"/>
        <v>10</v>
      </c>
      <c r="CT56" s="28">
        <f>IF(AND(CS4=0,CS56&gt;=0), "",CS56/CS4)</f>
        <v>7.246376811594203E-4</v>
      </c>
      <c r="CU56" s="42">
        <f>IF(AND(CS124=0,CS56&gt;=0),"",CS56/CS124)</f>
        <v>6.7114093959731542E-3</v>
      </c>
      <c r="CV56" s="84">
        <f t="shared" si="64"/>
        <v>0</v>
      </c>
      <c r="CW56" s="28" t="str">
        <f>IF(AND(CV4=0,CV56&gt;=0), "",CV56/CV4)</f>
        <v/>
      </c>
      <c r="CX56" s="42">
        <f t="shared" si="45"/>
        <v>1</v>
      </c>
    </row>
    <row r="57" spans="1:102" outlineLevel="1" x14ac:dyDescent="0.25">
      <c r="A57" s="27" t="s">
        <v>19</v>
      </c>
      <c r="B57" s="82">
        <f>+'N EERR'!B56</f>
        <v>0</v>
      </c>
      <c r="C57" s="28" t="str">
        <f>IF(AND(B4=0,B57&gt;=0), "",B57/B4)</f>
        <v/>
      </c>
      <c r="D57" s="42" t="str">
        <f>IF(AND(B124=0,B57&gt;=0),"",B57/B124)</f>
        <v/>
      </c>
      <c r="E57" s="82">
        <f>+'N EERR'!C56</f>
        <v>10</v>
      </c>
      <c r="F57" s="28">
        <f>IF(AND(E4=0,E57&gt;=0), "",E57/E4)</f>
        <v>7.246376811594203E-4</v>
      </c>
      <c r="G57" s="42">
        <f>IF(AND(E124=0,E57&gt;=0),"",E57/E124)</f>
        <v>6.7114093959731542E-3</v>
      </c>
      <c r="H57" s="82">
        <f>+'N EERR'!D56</f>
        <v>0</v>
      </c>
      <c r="I57" s="28" t="str">
        <f>IF(AND(H4=0,H57&gt;=0), "",H57/H4)</f>
        <v/>
      </c>
      <c r="J57" s="42" t="str">
        <f>IF(AND(H124=0,H57&gt;=0),"",H57/H124)</f>
        <v/>
      </c>
      <c r="K57" s="28">
        <f t="shared" si="46"/>
        <v>-1</v>
      </c>
      <c r="L57" s="83">
        <f t="shared" si="65"/>
        <v>10</v>
      </c>
      <c r="M57" s="28">
        <f>IF(AND(L4=0,L57&gt;=0), "",L57/L4)</f>
        <v>7.246376811594203E-4</v>
      </c>
      <c r="N57" s="42">
        <f>IF(AND(L124=0,L57&gt;=0),"",L57/L124)</f>
        <v>6.7114093959731542E-3</v>
      </c>
      <c r="O57" s="82">
        <f>+'N EERR'!E56</f>
        <v>0</v>
      </c>
      <c r="P57" s="28" t="str">
        <f>IF(AND(O4=0,O57&gt;=0), "",O57/O4)</f>
        <v/>
      </c>
      <c r="Q57" s="42" t="str">
        <f>IF(AND(O124=0,O57&gt;=0),"",O57/O124)</f>
        <v/>
      </c>
      <c r="R57" s="28" t="str">
        <f t="shared" si="47"/>
        <v/>
      </c>
      <c r="S57" s="83">
        <f t="shared" si="66"/>
        <v>10</v>
      </c>
      <c r="T57" s="28">
        <f>IF(AND(S4=0,S57&gt;=0), "",S57/S4)</f>
        <v>7.246376811594203E-4</v>
      </c>
      <c r="U57" s="42">
        <f>IF(AND(S124=0,S57&gt;=0),"",S57/S124)</f>
        <v>6.7114093959731542E-3</v>
      </c>
      <c r="V57" s="84"/>
      <c r="W57" s="28" t="str">
        <f>IF(AND(V4=0,V57&gt;=0), "",V57/V4)</f>
        <v/>
      </c>
      <c r="X57" s="42">
        <f t="shared" si="48"/>
        <v>1</v>
      </c>
      <c r="Y57" s="82">
        <f>+'N EERR'!F56</f>
        <v>0</v>
      </c>
      <c r="Z57" s="28" t="str">
        <f>IF(AND(Y4=0,Y57&gt;=0), "",Y57/Y4)</f>
        <v/>
      </c>
      <c r="AA57" s="42" t="str">
        <f>IF(AND(Y124=0,Y57&gt;=0),"",Y57/Y124)</f>
        <v/>
      </c>
      <c r="AB57" s="28" t="str">
        <f t="shared" si="49"/>
        <v/>
      </c>
      <c r="AC57" s="83">
        <f t="shared" si="54"/>
        <v>10</v>
      </c>
      <c r="AD57" s="28">
        <f>IF(AND(AC4=0,AC57&gt;=0), "",AC57/AC4)</f>
        <v>7.246376811594203E-4</v>
      </c>
      <c r="AE57" s="42">
        <f>IF(AND(AC124=0,AC57&gt;=0),"",AC57/AC124)</f>
        <v>6.7114093959731542E-3</v>
      </c>
      <c r="AF57" s="82">
        <f>+'N EERR'!G56</f>
        <v>0</v>
      </c>
      <c r="AG57" s="28" t="str">
        <f>IF(AND(AF4=0,AF57&gt;=0), "",AF57/AF4)</f>
        <v/>
      </c>
      <c r="AH57" s="42" t="str">
        <f>IF(AND(AF124=0,AF57&gt;=0),"",AF57/AF124)</f>
        <v/>
      </c>
      <c r="AI57" s="28" t="str">
        <f t="shared" si="38"/>
        <v/>
      </c>
      <c r="AJ57" s="83">
        <f t="shared" si="16"/>
        <v>10</v>
      </c>
      <c r="AK57" s="28">
        <f>IF(AND(AJ4=0,AJ57&gt;=0), "",AJ57/AJ4)</f>
        <v>7.246376811594203E-4</v>
      </c>
      <c r="AL57" s="42">
        <f>IF(AND(AJ124=0,AJ57&gt;=0),"",AJ57/AJ124)</f>
        <v>6.7114093959731542E-3</v>
      </c>
      <c r="AM57" s="82">
        <f>+'N EERR'!H56</f>
        <v>0</v>
      </c>
      <c r="AN57" s="28" t="str">
        <f>IF(AND(AM4=0,AM57&gt;=0), "",AM57/AM4)</f>
        <v/>
      </c>
      <c r="AO57" s="42" t="str">
        <f>IF(AND(AM124=0,AM57&gt;=0),"",AM57/AM124)</f>
        <v/>
      </c>
      <c r="AP57" s="28" t="str">
        <f t="shared" si="39"/>
        <v/>
      </c>
      <c r="AQ57" s="83">
        <f t="shared" si="17"/>
        <v>10</v>
      </c>
      <c r="AR57" s="28">
        <f>IF(AND(AQ4=0,AQ57&gt;=0), "",AQ57/AQ4)</f>
        <v>7.246376811594203E-4</v>
      </c>
      <c r="AS57" s="42">
        <f>IF(AND(AQ124=0,AQ57&gt;=0),"",AQ57/AQ124)</f>
        <v>6.7114093959731542E-3</v>
      </c>
      <c r="AT57" s="84">
        <f t="shared" si="55"/>
        <v>0</v>
      </c>
      <c r="AU57" s="28" t="str">
        <f>IF(AND(AT4=0,AT57&gt;=0), "",AT57/AT4)</f>
        <v/>
      </c>
      <c r="AV57" s="42">
        <f t="shared" si="50"/>
        <v>1</v>
      </c>
      <c r="AW57" s="84">
        <f t="shared" si="67"/>
        <v>1.6666666666666667</v>
      </c>
      <c r="AX57" s="28">
        <f>IF(AND(AW4=0,AW57&gt;=0), "",AW57/AW4)</f>
        <v>7.2463768115942019E-4</v>
      </c>
      <c r="AY57" s="42">
        <f>IF(AND(AW124=0,AW57&gt;=0),"",AW57/AW124)</f>
        <v>6.7114093959731542E-3</v>
      </c>
      <c r="AZ57" s="84">
        <f t="shared" si="56"/>
        <v>0</v>
      </c>
      <c r="BA57" s="28" t="str">
        <f>IF(AND(AZ4=0,AZ57&gt;=0), "",AZ57/AZ4)</f>
        <v/>
      </c>
      <c r="BB57" s="42">
        <f t="shared" si="51"/>
        <v>1</v>
      </c>
      <c r="BC57" s="82">
        <f>+'N EERR'!I56</f>
        <v>0</v>
      </c>
      <c r="BD57" s="28" t="str">
        <f>IF(AND(BC4=0,BC57&gt;=0), "",BC57/BC4)</f>
        <v/>
      </c>
      <c r="BE57" s="42" t="str">
        <f>IF(AND(BC124=0,BC57&gt;=0),"",BC57/BC124)</f>
        <v/>
      </c>
      <c r="BF57" s="28" t="str">
        <f t="shared" si="52"/>
        <v/>
      </c>
      <c r="BG57" s="83">
        <f t="shared" si="57"/>
        <v>10</v>
      </c>
      <c r="BH57" s="28">
        <f>IF(AND(BG4=0,BG57&gt;=0), "",BG57/BG4)</f>
        <v>7.246376811594203E-4</v>
      </c>
      <c r="BI57" s="42">
        <f>IF(AND(BG124=0,BG57&gt;=0),"",BG57/BG124)</f>
        <v>6.7114093959731542E-3</v>
      </c>
      <c r="BJ57" s="82">
        <f>+'N EERR'!J56</f>
        <v>0</v>
      </c>
      <c r="BK57" s="28" t="str">
        <f>IF(AND(BJ4=0,BJ57&gt;=0), "",BJ57/BJ4)</f>
        <v/>
      </c>
      <c r="BL57" s="42" t="str">
        <f>IF(AND(BJ124=0,BJ57&gt;=0),"",BJ57/BJ124)</f>
        <v/>
      </c>
      <c r="BM57" s="28" t="str">
        <f t="shared" si="40"/>
        <v/>
      </c>
      <c r="BN57" s="83">
        <f t="shared" si="58"/>
        <v>10</v>
      </c>
      <c r="BO57" s="28">
        <f>IF(AND(BN4=0,BN57&gt;=0), "",BN57/BN4)</f>
        <v>7.246376811594203E-4</v>
      </c>
      <c r="BP57" s="42">
        <f>IF(AND(BN124=0,BN57&gt;=0),"",BN57/BN124)</f>
        <v>6.7114093959731542E-3</v>
      </c>
      <c r="BQ57" s="82">
        <f>+'N EERR'!K56</f>
        <v>0</v>
      </c>
      <c r="BR57" s="28" t="str">
        <f>IF(AND(BQ4=0,BQ57&gt;=0), "",BQ57/BQ4)</f>
        <v/>
      </c>
      <c r="BS57" s="42" t="str">
        <f>IF(AND(BQ124=0,BQ57&gt;=0),"",BQ57/BQ124)</f>
        <v/>
      </c>
      <c r="BT57" s="28" t="str">
        <f t="shared" si="41"/>
        <v/>
      </c>
      <c r="BU57" s="83">
        <f t="shared" si="59"/>
        <v>10</v>
      </c>
      <c r="BV57" s="28">
        <f>IF(AND(BU4=0,BU57&gt;=0), "",BU57/BU4)</f>
        <v>7.246376811594203E-4</v>
      </c>
      <c r="BW57" s="42">
        <f>IF(AND(BU124=0,BU57&gt;=0),"",BU57/BU124)</f>
        <v>6.7114093959731542E-3</v>
      </c>
      <c r="BX57" s="84">
        <f t="shared" si="60"/>
        <v>0</v>
      </c>
      <c r="BY57" s="28" t="str">
        <f>IF(AND(BX4=0,BX57&gt;=0), "",BX57/BX4)</f>
        <v/>
      </c>
      <c r="BZ57" s="42">
        <f t="shared" si="42"/>
        <v>1</v>
      </c>
      <c r="CA57" s="82">
        <f>+'N EERR'!L56</f>
        <v>0</v>
      </c>
      <c r="CB57" s="28" t="str">
        <f>IF(AND(CA4=0,CA57&gt;=0), "",CA57/CA4)</f>
        <v/>
      </c>
      <c r="CC57" s="42" t="str">
        <f>IF(AND(CA124=0,CA57&gt;=0),"",CA57/CA124)</f>
        <v/>
      </c>
      <c r="CD57" s="28" t="str">
        <f t="shared" si="53"/>
        <v/>
      </c>
      <c r="CE57" s="83">
        <f t="shared" si="61"/>
        <v>10</v>
      </c>
      <c r="CF57" s="28">
        <f>IF(AND(CE4=0,CE57&gt;=0), "",CE57/CE4)</f>
        <v>7.246376811594203E-4</v>
      </c>
      <c r="CG57" s="42">
        <f>IF(AND(CE124=0,CE57&gt;=0),"",CE57/CE124)</f>
        <v>6.7114093959731542E-3</v>
      </c>
      <c r="CH57" s="82">
        <f>+'N EERR'!M56</f>
        <v>0</v>
      </c>
      <c r="CI57" s="28" t="str">
        <f>IF(AND(CH4=0,CH57&gt;=0), "",CH57/CH4)</f>
        <v/>
      </c>
      <c r="CJ57" s="42" t="str">
        <f>IF(AND(CH124=0,CH57&gt;=0),"",CH57/CH124)</f>
        <v/>
      </c>
      <c r="CK57" s="28" t="str">
        <f t="shared" si="43"/>
        <v/>
      </c>
      <c r="CL57" s="83">
        <f t="shared" si="62"/>
        <v>10</v>
      </c>
      <c r="CM57" s="28">
        <f>IF(AND(CL4=0,CL57&gt;=0), "",CL57/CL4)</f>
        <v>7.246376811594203E-4</v>
      </c>
      <c r="CN57" s="42">
        <f>IF(AND(CL124=0,CL57&gt;=0),"",CL57/CL124)</f>
        <v>6.7114093959731542E-3</v>
      </c>
      <c r="CO57" s="82">
        <f>+'N EERR'!N56</f>
        <v>0</v>
      </c>
      <c r="CP57" s="28" t="str">
        <f>IF(AND(CO4=0,CO57&gt;=0), "",CO57/CO4)</f>
        <v/>
      </c>
      <c r="CQ57" s="42" t="str">
        <f>IF(AND(CO124=0,CO57&gt;=0),"",CO57/CO124)</f>
        <v/>
      </c>
      <c r="CR57" s="28" t="str">
        <f t="shared" si="44"/>
        <v/>
      </c>
      <c r="CS57" s="83">
        <f t="shared" si="63"/>
        <v>10</v>
      </c>
      <c r="CT57" s="28">
        <f>IF(AND(CS4=0,CS57&gt;=0), "",CS57/CS4)</f>
        <v>7.246376811594203E-4</v>
      </c>
      <c r="CU57" s="42">
        <f>IF(AND(CS124=0,CS57&gt;=0),"",CS57/CS124)</f>
        <v>6.7114093959731542E-3</v>
      </c>
      <c r="CV57" s="84">
        <f t="shared" si="64"/>
        <v>0</v>
      </c>
      <c r="CW57" s="28" t="str">
        <f>IF(AND(CV4=0,CV57&gt;=0), "",CV57/CV4)</f>
        <v/>
      </c>
      <c r="CX57" s="42">
        <f t="shared" si="45"/>
        <v>1</v>
      </c>
    </row>
    <row r="58" spans="1:102" outlineLevel="1" x14ac:dyDescent="0.25">
      <c r="A58" s="27" t="s">
        <v>20</v>
      </c>
      <c r="B58" s="82">
        <f>+'N EERR'!B57</f>
        <v>0</v>
      </c>
      <c r="C58" s="28" t="str">
        <f>IF(AND(B4=0,B58&gt;=0), "",B58/B4)</f>
        <v/>
      </c>
      <c r="D58" s="42" t="str">
        <f>IF(AND(B124=0,B58&gt;=0),"",B58/B124)</f>
        <v/>
      </c>
      <c r="E58" s="82">
        <f>+'N EERR'!C57</f>
        <v>10</v>
      </c>
      <c r="F58" s="28">
        <f>IF(AND(E4=0,E58&gt;=0), "",E58/E4)</f>
        <v>7.246376811594203E-4</v>
      </c>
      <c r="G58" s="42">
        <f>IF(AND(E124=0,E58&gt;=0),"",E58/E124)</f>
        <v>6.7114093959731542E-3</v>
      </c>
      <c r="H58" s="82">
        <f>+'N EERR'!D57</f>
        <v>0</v>
      </c>
      <c r="I58" s="28" t="str">
        <f>IF(AND(H4=0,H58&gt;=0), "",H58/H4)</f>
        <v/>
      </c>
      <c r="J58" s="42" t="str">
        <f>IF(AND(H124=0,H58&gt;=0),"",H58/H124)</f>
        <v/>
      </c>
      <c r="K58" s="28">
        <f t="shared" si="46"/>
        <v>-1</v>
      </c>
      <c r="L58" s="83">
        <f t="shared" si="65"/>
        <v>10</v>
      </c>
      <c r="M58" s="28">
        <f>IF(AND(L4=0,L58&gt;=0), "",L58/L4)</f>
        <v>7.246376811594203E-4</v>
      </c>
      <c r="N58" s="42">
        <f>IF(AND(L124=0,L58&gt;=0),"",L58/L124)</f>
        <v>6.7114093959731542E-3</v>
      </c>
      <c r="O58" s="82">
        <f>+'N EERR'!E57</f>
        <v>0</v>
      </c>
      <c r="P58" s="28" t="str">
        <f>IF(AND(O4=0,O58&gt;=0), "",O58/O4)</f>
        <v/>
      </c>
      <c r="Q58" s="42" t="str">
        <f>IF(AND(O124=0,O58&gt;=0),"",O58/O124)</f>
        <v/>
      </c>
      <c r="R58" s="28" t="str">
        <f t="shared" si="47"/>
        <v/>
      </c>
      <c r="S58" s="83">
        <f t="shared" si="66"/>
        <v>10</v>
      </c>
      <c r="T58" s="28">
        <f>IF(AND(S4=0,S58&gt;=0), "",S58/S4)</f>
        <v>7.246376811594203E-4</v>
      </c>
      <c r="U58" s="42">
        <f>IF(AND(S124=0,S58&gt;=0),"",S58/S124)</f>
        <v>6.7114093959731542E-3</v>
      </c>
      <c r="V58" s="84"/>
      <c r="W58" s="28" t="str">
        <f>IF(AND(V4=0,V58&gt;=0), "",V58/V4)</f>
        <v/>
      </c>
      <c r="X58" s="42">
        <f t="shared" si="48"/>
        <v>1</v>
      </c>
      <c r="Y58" s="82">
        <f>+'N EERR'!F57</f>
        <v>0</v>
      </c>
      <c r="Z58" s="28" t="str">
        <f>IF(AND(Y4=0,Y58&gt;=0), "",Y58/Y4)</f>
        <v/>
      </c>
      <c r="AA58" s="42" t="str">
        <f>IF(AND(Y124=0,Y58&gt;=0),"",Y58/Y124)</f>
        <v/>
      </c>
      <c r="AB58" s="28" t="str">
        <f t="shared" si="49"/>
        <v/>
      </c>
      <c r="AC58" s="83">
        <f t="shared" si="54"/>
        <v>10</v>
      </c>
      <c r="AD58" s="28">
        <f>IF(AND(AC4=0,AC58&gt;=0), "",AC58/AC4)</f>
        <v>7.246376811594203E-4</v>
      </c>
      <c r="AE58" s="42">
        <f>IF(AND(AC124=0,AC58&gt;=0),"",AC58/AC124)</f>
        <v>6.7114093959731542E-3</v>
      </c>
      <c r="AF58" s="82">
        <f>+'N EERR'!G57</f>
        <v>0</v>
      </c>
      <c r="AG58" s="28" t="str">
        <f>IF(AND(AF4=0,AF58&gt;=0), "",AF58/AF4)</f>
        <v/>
      </c>
      <c r="AH58" s="42" t="str">
        <f>IF(AND(AF124=0,AF58&gt;=0),"",AF58/AF124)</f>
        <v/>
      </c>
      <c r="AI58" s="28" t="str">
        <f t="shared" si="38"/>
        <v/>
      </c>
      <c r="AJ58" s="83">
        <f t="shared" si="16"/>
        <v>10</v>
      </c>
      <c r="AK58" s="28">
        <f>IF(AND(AJ4=0,AJ58&gt;=0), "",AJ58/AJ4)</f>
        <v>7.246376811594203E-4</v>
      </c>
      <c r="AL58" s="42">
        <f>IF(AND(AJ124=0,AJ58&gt;=0),"",AJ58/AJ124)</f>
        <v>6.7114093959731542E-3</v>
      </c>
      <c r="AM58" s="82">
        <f>+'N EERR'!H57</f>
        <v>0</v>
      </c>
      <c r="AN58" s="28" t="str">
        <f>IF(AND(AM4=0,AM58&gt;=0), "",AM58/AM4)</f>
        <v/>
      </c>
      <c r="AO58" s="42" t="str">
        <f>IF(AND(AM124=0,AM58&gt;=0),"",AM58/AM124)</f>
        <v/>
      </c>
      <c r="AP58" s="28" t="str">
        <f t="shared" si="39"/>
        <v/>
      </c>
      <c r="AQ58" s="83">
        <f t="shared" si="17"/>
        <v>10</v>
      </c>
      <c r="AR58" s="28">
        <f>IF(AND(AQ4=0,AQ58&gt;=0), "",AQ58/AQ4)</f>
        <v>7.246376811594203E-4</v>
      </c>
      <c r="AS58" s="42">
        <f>IF(AND(AQ124=0,AQ58&gt;=0),"",AQ58/AQ124)</f>
        <v>6.7114093959731542E-3</v>
      </c>
      <c r="AT58" s="84">
        <f t="shared" si="55"/>
        <v>0</v>
      </c>
      <c r="AU58" s="28" t="str">
        <f>IF(AND(AT4=0,AT58&gt;=0), "",AT58/AT4)</f>
        <v/>
      </c>
      <c r="AV58" s="42">
        <f t="shared" si="50"/>
        <v>1</v>
      </c>
      <c r="AW58" s="84">
        <f t="shared" si="67"/>
        <v>1.6666666666666667</v>
      </c>
      <c r="AX58" s="28">
        <f>IF(AND(AW4=0,AW58&gt;=0), "",AW58/AW4)</f>
        <v>7.2463768115942019E-4</v>
      </c>
      <c r="AY58" s="42">
        <f>IF(AND(AW124=0,AW58&gt;=0),"",AW58/AW124)</f>
        <v>6.7114093959731542E-3</v>
      </c>
      <c r="AZ58" s="84">
        <f t="shared" si="56"/>
        <v>0</v>
      </c>
      <c r="BA58" s="28" t="str">
        <f>IF(AND(AZ4=0,AZ58&gt;=0), "",AZ58/AZ4)</f>
        <v/>
      </c>
      <c r="BB58" s="42">
        <f t="shared" si="51"/>
        <v>1</v>
      </c>
      <c r="BC58" s="82">
        <f>+'N EERR'!I57</f>
        <v>0</v>
      </c>
      <c r="BD58" s="28" t="str">
        <f>IF(AND(BC4=0,BC58&gt;=0), "",BC58/BC4)</f>
        <v/>
      </c>
      <c r="BE58" s="42" t="str">
        <f>IF(AND(BC124=0,BC58&gt;=0),"",BC58/BC124)</f>
        <v/>
      </c>
      <c r="BF58" s="28" t="str">
        <f t="shared" si="52"/>
        <v/>
      </c>
      <c r="BG58" s="83">
        <f t="shared" si="57"/>
        <v>10</v>
      </c>
      <c r="BH58" s="28">
        <f>IF(AND(BG4=0,BG58&gt;=0), "",BG58/BG4)</f>
        <v>7.246376811594203E-4</v>
      </c>
      <c r="BI58" s="42">
        <f>IF(AND(BG124=0,BG58&gt;=0),"",BG58/BG124)</f>
        <v>6.7114093959731542E-3</v>
      </c>
      <c r="BJ58" s="82">
        <f>+'N EERR'!J57</f>
        <v>0</v>
      </c>
      <c r="BK58" s="28" t="str">
        <f>IF(AND(BJ4=0,BJ58&gt;=0), "",BJ58/BJ4)</f>
        <v/>
      </c>
      <c r="BL58" s="42" t="str">
        <f>IF(AND(BJ124=0,BJ58&gt;=0),"",BJ58/BJ124)</f>
        <v/>
      </c>
      <c r="BM58" s="28" t="str">
        <f t="shared" si="40"/>
        <v/>
      </c>
      <c r="BN58" s="83">
        <f t="shared" si="58"/>
        <v>10</v>
      </c>
      <c r="BO58" s="28">
        <f>IF(AND(BN4=0,BN58&gt;=0), "",BN58/BN4)</f>
        <v>7.246376811594203E-4</v>
      </c>
      <c r="BP58" s="42">
        <f>IF(AND(BN124=0,BN58&gt;=0),"",BN58/BN124)</f>
        <v>6.7114093959731542E-3</v>
      </c>
      <c r="BQ58" s="82">
        <f>+'N EERR'!K57</f>
        <v>0</v>
      </c>
      <c r="BR58" s="28" t="str">
        <f>IF(AND(BQ4=0,BQ58&gt;=0), "",BQ58/BQ4)</f>
        <v/>
      </c>
      <c r="BS58" s="42" t="str">
        <f>IF(AND(BQ124=0,BQ58&gt;=0),"",BQ58/BQ124)</f>
        <v/>
      </c>
      <c r="BT58" s="28" t="str">
        <f t="shared" si="41"/>
        <v/>
      </c>
      <c r="BU58" s="83">
        <f t="shared" si="59"/>
        <v>10</v>
      </c>
      <c r="BV58" s="28">
        <f>IF(AND(BU4=0,BU58&gt;=0), "",BU58/BU4)</f>
        <v>7.246376811594203E-4</v>
      </c>
      <c r="BW58" s="42">
        <f>IF(AND(BU124=0,BU58&gt;=0),"",BU58/BU124)</f>
        <v>6.7114093959731542E-3</v>
      </c>
      <c r="BX58" s="84">
        <f t="shared" si="60"/>
        <v>0</v>
      </c>
      <c r="BY58" s="28" t="str">
        <f>IF(AND(BX4=0,BX58&gt;=0), "",BX58/BX4)</f>
        <v/>
      </c>
      <c r="BZ58" s="42">
        <f t="shared" si="42"/>
        <v>1</v>
      </c>
      <c r="CA58" s="82">
        <f>+'N EERR'!L57</f>
        <v>0</v>
      </c>
      <c r="CB58" s="28" t="str">
        <f>IF(AND(CA4=0,CA58&gt;=0), "",CA58/CA4)</f>
        <v/>
      </c>
      <c r="CC58" s="42" t="str">
        <f>IF(AND(CA124=0,CA58&gt;=0),"",CA58/CA124)</f>
        <v/>
      </c>
      <c r="CD58" s="28" t="str">
        <f t="shared" si="53"/>
        <v/>
      </c>
      <c r="CE58" s="83">
        <f t="shared" si="61"/>
        <v>10</v>
      </c>
      <c r="CF58" s="28">
        <f>IF(AND(CE4=0,CE58&gt;=0), "",CE58/CE4)</f>
        <v>7.246376811594203E-4</v>
      </c>
      <c r="CG58" s="42">
        <f>IF(AND(CE124=0,CE58&gt;=0),"",CE58/CE124)</f>
        <v>6.7114093959731542E-3</v>
      </c>
      <c r="CH58" s="82">
        <f>+'N EERR'!M57</f>
        <v>0</v>
      </c>
      <c r="CI58" s="28" t="str">
        <f>IF(AND(CH4=0,CH58&gt;=0), "",CH58/CH4)</f>
        <v/>
      </c>
      <c r="CJ58" s="42" t="str">
        <f>IF(AND(CH124=0,CH58&gt;=0),"",CH58/CH124)</f>
        <v/>
      </c>
      <c r="CK58" s="28" t="str">
        <f t="shared" si="43"/>
        <v/>
      </c>
      <c r="CL58" s="83">
        <f t="shared" si="62"/>
        <v>10</v>
      </c>
      <c r="CM58" s="28">
        <f>IF(AND(CL4=0,CL58&gt;=0), "",CL58/CL4)</f>
        <v>7.246376811594203E-4</v>
      </c>
      <c r="CN58" s="42">
        <f>IF(AND(CL124=0,CL58&gt;=0),"",CL58/CL124)</f>
        <v>6.7114093959731542E-3</v>
      </c>
      <c r="CO58" s="82">
        <f>+'N EERR'!N57</f>
        <v>0</v>
      </c>
      <c r="CP58" s="28" t="str">
        <f>IF(AND(CO4=0,CO58&gt;=0), "",CO58/CO4)</f>
        <v/>
      </c>
      <c r="CQ58" s="42" t="str">
        <f>IF(AND(CO124=0,CO58&gt;=0),"",CO58/CO124)</f>
        <v/>
      </c>
      <c r="CR58" s="28" t="str">
        <f t="shared" si="44"/>
        <v/>
      </c>
      <c r="CS58" s="83">
        <f t="shared" si="63"/>
        <v>10</v>
      </c>
      <c r="CT58" s="28">
        <f>IF(AND(CS4=0,CS58&gt;=0), "",CS58/CS4)</f>
        <v>7.246376811594203E-4</v>
      </c>
      <c r="CU58" s="42">
        <f>IF(AND(CS124=0,CS58&gt;=0),"",CS58/CS124)</f>
        <v>6.7114093959731542E-3</v>
      </c>
      <c r="CV58" s="84">
        <f t="shared" si="64"/>
        <v>0</v>
      </c>
      <c r="CW58" s="28" t="str">
        <f>IF(AND(CV4=0,CV58&gt;=0), "",CV58/CV4)</f>
        <v/>
      </c>
      <c r="CX58" s="42">
        <f t="shared" si="45"/>
        <v>1</v>
      </c>
    </row>
    <row r="59" spans="1:102" outlineLevel="1" x14ac:dyDescent="0.25">
      <c r="A59" s="27" t="s">
        <v>21</v>
      </c>
      <c r="B59" s="82">
        <f>+'N EERR'!B58</f>
        <v>0</v>
      </c>
      <c r="C59" s="28" t="str">
        <f>IF(AND(B4=0,B59&gt;=0), "",B59/B4)</f>
        <v/>
      </c>
      <c r="D59" s="42" t="str">
        <f>IF(AND(B124=0,B59&gt;=0),"",B59/B124)</f>
        <v/>
      </c>
      <c r="E59" s="82">
        <f>+'N EERR'!C58</f>
        <v>10</v>
      </c>
      <c r="F59" s="28">
        <f>IF(AND(E4=0,E59&gt;=0), "",E59/E4)</f>
        <v>7.246376811594203E-4</v>
      </c>
      <c r="G59" s="42">
        <f>IF(AND(E124=0,E59&gt;=0),"",E59/E124)</f>
        <v>6.7114093959731542E-3</v>
      </c>
      <c r="H59" s="82">
        <f>+'N EERR'!D58</f>
        <v>0</v>
      </c>
      <c r="I59" s="28" t="str">
        <f>IF(AND(H4=0,H59&gt;=0), "",H59/H4)</f>
        <v/>
      </c>
      <c r="J59" s="42" t="str">
        <f>IF(AND(H124=0,H59&gt;=0),"",H59/H124)</f>
        <v/>
      </c>
      <c r="K59" s="28">
        <f t="shared" si="46"/>
        <v>-1</v>
      </c>
      <c r="L59" s="83">
        <f t="shared" si="65"/>
        <v>10</v>
      </c>
      <c r="M59" s="28">
        <f>IF(AND(L4=0,L59&gt;=0), "",L59/L4)</f>
        <v>7.246376811594203E-4</v>
      </c>
      <c r="N59" s="42">
        <f>IF(AND(L124=0,L59&gt;=0),"",L59/L124)</f>
        <v>6.7114093959731542E-3</v>
      </c>
      <c r="O59" s="82">
        <f>+'N EERR'!E58</f>
        <v>0</v>
      </c>
      <c r="P59" s="28" t="str">
        <f>IF(AND(O4=0,O59&gt;=0), "",O59/O4)</f>
        <v/>
      </c>
      <c r="Q59" s="42" t="str">
        <f>IF(AND(O124=0,O59&gt;=0),"",O59/O124)</f>
        <v/>
      </c>
      <c r="R59" s="28" t="str">
        <f t="shared" si="47"/>
        <v/>
      </c>
      <c r="S59" s="83">
        <f t="shared" si="66"/>
        <v>10</v>
      </c>
      <c r="T59" s="28">
        <f>IF(AND(S4=0,S59&gt;=0), "",S59/S4)</f>
        <v>7.246376811594203E-4</v>
      </c>
      <c r="U59" s="42">
        <f>IF(AND(S124=0,S59&gt;=0),"",S59/S124)</f>
        <v>6.7114093959731542E-3</v>
      </c>
      <c r="V59" s="84"/>
      <c r="W59" s="28" t="str">
        <f>IF(AND(V4=0,V59&gt;=0), "",V59/V4)</f>
        <v/>
      </c>
      <c r="X59" s="42">
        <f t="shared" si="48"/>
        <v>1</v>
      </c>
      <c r="Y59" s="82">
        <f>+'N EERR'!F58</f>
        <v>0</v>
      </c>
      <c r="Z59" s="28" t="str">
        <f>IF(AND(Y4=0,Y59&gt;=0), "",Y59/Y4)</f>
        <v/>
      </c>
      <c r="AA59" s="42" t="str">
        <f>IF(AND(Y124=0,Y59&gt;=0),"",Y59/Y124)</f>
        <v/>
      </c>
      <c r="AB59" s="28" t="str">
        <f t="shared" si="49"/>
        <v/>
      </c>
      <c r="AC59" s="83">
        <f t="shared" si="54"/>
        <v>10</v>
      </c>
      <c r="AD59" s="28">
        <f>IF(AND(AC4=0,AC59&gt;=0), "",AC59/AC4)</f>
        <v>7.246376811594203E-4</v>
      </c>
      <c r="AE59" s="42">
        <f>IF(AND(AC124=0,AC59&gt;=0),"",AC59/AC124)</f>
        <v>6.7114093959731542E-3</v>
      </c>
      <c r="AF59" s="82">
        <f>+'N EERR'!G58</f>
        <v>0</v>
      </c>
      <c r="AG59" s="28" t="str">
        <f>IF(AND(AF4=0,AF59&gt;=0), "",AF59/AF4)</f>
        <v/>
      </c>
      <c r="AH59" s="42" t="str">
        <f>IF(AND(AF124=0,AF59&gt;=0),"",AF59/AF124)</f>
        <v/>
      </c>
      <c r="AI59" s="28" t="str">
        <f t="shared" si="38"/>
        <v/>
      </c>
      <c r="AJ59" s="83">
        <f t="shared" si="16"/>
        <v>10</v>
      </c>
      <c r="AK59" s="28">
        <f>IF(AND(AJ4=0,AJ59&gt;=0), "",AJ59/AJ4)</f>
        <v>7.246376811594203E-4</v>
      </c>
      <c r="AL59" s="42">
        <f>IF(AND(AJ124=0,AJ59&gt;=0),"",AJ59/AJ124)</f>
        <v>6.7114093959731542E-3</v>
      </c>
      <c r="AM59" s="82">
        <f>+'N EERR'!H58</f>
        <v>0</v>
      </c>
      <c r="AN59" s="28" t="str">
        <f>IF(AND(AM4=0,AM59&gt;=0), "",AM59/AM4)</f>
        <v/>
      </c>
      <c r="AO59" s="42" t="str">
        <f>IF(AND(AM124=0,AM59&gt;=0),"",AM59/AM124)</f>
        <v/>
      </c>
      <c r="AP59" s="28" t="str">
        <f t="shared" si="39"/>
        <v/>
      </c>
      <c r="AQ59" s="83">
        <f t="shared" si="17"/>
        <v>10</v>
      </c>
      <c r="AR59" s="28">
        <f>IF(AND(AQ4=0,AQ59&gt;=0), "",AQ59/AQ4)</f>
        <v>7.246376811594203E-4</v>
      </c>
      <c r="AS59" s="42">
        <f>IF(AND(AQ124=0,AQ59&gt;=0),"",AQ59/AQ124)</f>
        <v>6.7114093959731542E-3</v>
      </c>
      <c r="AT59" s="84">
        <f t="shared" si="55"/>
        <v>0</v>
      </c>
      <c r="AU59" s="28" t="str">
        <f>IF(AND(AT4=0,AT59&gt;=0), "",AT59/AT4)</f>
        <v/>
      </c>
      <c r="AV59" s="42">
        <f t="shared" si="50"/>
        <v>1</v>
      </c>
      <c r="AW59" s="84">
        <f t="shared" si="67"/>
        <v>1.6666666666666667</v>
      </c>
      <c r="AX59" s="28">
        <f>IF(AND(AW4=0,AW59&gt;=0), "",AW59/AW4)</f>
        <v>7.2463768115942019E-4</v>
      </c>
      <c r="AY59" s="42">
        <f>IF(AND(AW124=0,AW59&gt;=0),"",AW59/AW124)</f>
        <v>6.7114093959731542E-3</v>
      </c>
      <c r="AZ59" s="84">
        <f t="shared" si="56"/>
        <v>0</v>
      </c>
      <c r="BA59" s="28" t="str">
        <f>IF(AND(AZ4=0,AZ59&gt;=0), "",AZ59/AZ4)</f>
        <v/>
      </c>
      <c r="BB59" s="42">
        <f t="shared" si="51"/>
        <v>1</v>
      </c>
      <c r="BC59" s="82">
        <f>+'N EERR'!I58</f>
        <v>0</v>
      </c>
      <c r="BD59" s="28" t="str">
        <f>IF(AND(BC4=0,BC59&gt;=0), "",BC59/BC4)</f>
        <v/>
      </c>
      <c r="BE59" s="42" t="str">
        <f>IF(AND(BC124=0,BC59&gt;=0),"",BC59/BC124)</f>
        <v/>
      </c>
      <c r="BF59" s="28" t="str">
        <f t="shared" si="52"/>
        <v/>
      </c>
      <c r="BG59" s="83">
        <f t="shared" si="57"/>
        <v>10</v>
      </c>
      <c r="BH59" s="28">
        <f>IF(AND(BG4=0,BG59&gt;=0), "",BG59/BG4)</f>
        <v>7.246376811594203E-4</v>
      </c>
      <c r="BI59" s="42">
        <f>IF(AND(BG124=0,BG59&gt;=0),"",BG59/BG124)</f>
        <v>6.7114093959731542E-3</v>
      </c>
      <c r="BJ59" s="82">
        <f>+'N EERR'!J58</f>
        <v>0</v>
      </c>
      <c r="BK59" s="28" t="str">
        <f>IF(AND(BJ4=0,BJ59&gt;=0), "",BJ59/BJ4)</f>
        <v/>
      </c>
      <c r="BL59" s="42" t="str">
        <f>IF(AND(BJ124=0,BJ59&gt;=0),"",BJ59/BJ124)</f>
        <v/>
      </c>
      <c r="BM59" s="28" t="str">
        <f t="shared" si="40"/>
        <v/>
      </c>
      <c r="BN59" s="83">
        <f t="shared" si="58"/>
        <v>10</v>
      </c>
      <c r="BO59" s="28">
        <f>IF(AND(BN4=0,BN59&gt;=0), "",BN59/BN4)</f>
        <v>7.246376811594203E-4</v>
      </c>
      <c r="BP59" s="42">
        <f>IF(AND(BN124=0,BN59&gt;=0),"",BN59/BN124)</f>
        <v>6.7114093959731542E-3</v>
      </c>
      <c r="BQ59" s="82">
        <f>+'N EERR'!K58</f>
        <v>0</v>
      </c>
      <c r="BR59" s="28" t="str">
        <f>IF(AND(BQ4=0,BQ59&gt;=0), "",BQ59/BQ4)</f>
        <v/>
      </c>
      <c r="BS59" s="42" t="str">
        <f>IF(AND(BQ124=0,BQ59&gt;=0),"",BQ59/BQ124)</f>
        <v/>
      </c>
      <c r="BT59" s="28" t="str">
        <f t="shared" si="41"/>
        <v/>
      </c>
      <c r="BU59" s="83">
        <f t="shared" si="59"/>
        <v>10</v>
      </c>
      <c r="BV59" s="28">
        <f>IF(AND(BU4=0,BU59&gt;=0), "",BU59/BU4)</f>
        <v>7.246376811594203E-4</v>
      </c>
      <c r="BW59" s="42">
        <f>IF(AND(BU124=0,BU59&gt;=0),"",BU59/BU124)</f>
        <v>6.7114093959731542E-3</v>
      </c>
      <c r="BX59" s="84">
        <f t="shared" si="60"/>
        <v>0</v>
      </c>
      <c r="BY59" s="28" t="str">
        <f>IF(AND(BX4=0,BX59&gt;=0), "",BX59/BX4)</f>
        <v/>
      </c>
      <c r="BZ59" s="42">
        <f t="shared" si="42"/>
        <v>1</v>
      </c>
      <c r="CA59" s="82">
        <f>+'N EERR'!L58</f>
        <v>0</v>
      </c>
      <c r="CB59" s="28" t="str">
        <f>IF(AND(CA4=0,CA59&gt;=0), "",CA59/CA4)</f>
        <v/>
      </c>
      <c r="CC59" s="42" t="str">
        <f>IF(AND(CA124=0,CA59&gt;=0),"",CA59/CA124)</f>
        <v/>
      </c>
      <c r="CD59" s="28" t="str">
        <f t="shared" si="53"/>
        <v/>
      </c>
      <c r="CE59" s="83">
        <f t="shared" si="61"/>
        <v>10</v>
      </c>
      <c r="CF59" s="28">
        <f>IF(AND(CE4=0,CE59&gt;=0), "",CE59/CE4)</f>
        <v>7.246376811594203E-4</v>
      </c>
      <c r="CG59" s="42">
        <f>IF(AND(CE124=0,CE59&gt;=0),"",CE59/CE124)</f>
        <v>6.7114093959731542E-3</v>
      </c>
      <c r="CH59" s="82">
        <f>+'N EERR'!M58</f>
        <v>0</v>
      </c>
      <c r="CI59" s="28" t="str">
        <f>IF(AND(CH4=0,CH59&gt;=0), "",CH59/CH4)</f>
        <v/>
      </c>
      <c r="CJ59" s="42" t="str">
        <f>IF(AND(CH124=0,CH59&gt;=0),"",CH59/CH124)</f>
        <v/>
      </c>
      <c r="CK59" s="28" t="str">
        <f t="shared" si="43"/>
        <v/>
      </c>
      <c r="CL59" s="83">
        <f t="shared" si="62"/>
        <v>10</v>
      </c>
      <c r="CM59" s="28">
        <f>IF(AND(CL4=0,CL59&gt;=0), "",CL59/CL4)</f>
        <v>7.246376811594203E-4</v>
      </c>
      <c r="CN59" s="42">
        <f>IF(AND(CL124=0,CL59&gt;=0),"",CL59/CL124)</f>
        <v>6.7114093959731542E-3</v>
      </c>
      <c r="CO59" s="82">
        <f>+'N EERR'!N58</f>
        <v>0</v>
      </c>
      <c r="CP59" s="28" t="str">
        <f>IF(AND(CO4=0,CO59&gt;=0), "",CO59/CO4)</f>
        <v/>
      </c>
      <c r="CQ59" s="42" t="str">
        <f>IF(AND(CO124=0,CO59&gt;=0),"",CO59/CO124)</f>
        <v/>
      </c>
      <c r="CR59" s="28" t="str">
        <f t="shared" si="44"/>
        <v/>
      </c>
      <c r="CS59" s="83">
        <f t="shared" si="63"/>
        <v>10</v>
      </c>
      <c r="CT59" s="28">
        <f>IF(AND(CS4=0,CS59&gt;=0), "",CS59/CS4)</f>
        <v>7.246376811594203E-4</v>
      </c>
      <c r="CU59" s="42">
        <f>IF(AND(CS124=0,CS59&gt;=0),"",CS59/CS124)</f>
        <v>6.7114093959731542E-3</v>
      </c>
      <c r="CV59" s="84">
        <f t="shared" si="64"/>
        <v>0</v>
      </c>
      <c r="CW59" s="28" t="str">
        <f>IF(AND(CV4=0,CV59&gt;=0), "",CV59/CV4)</f>
        <v/>
      </c>
      <c r="CX59" s="42">
        <f t="shared" si="45"/>
        <v>1</v>
      </c>
    </row>
    <row r="60" spans="1:102" outlineLevel="1" x14ac:dyDescent="0.25">
      <c r="A60" s="27" t="s">
        <v>0</v>
      </c>
      <c r="B60" s="82">
        <f>+'N EERR'!B59+'N EERR'!B60+'N EERR'!B61+'N EERR'!B62+'N EERR'!B63</f>
        <v>0</v>
      </c>
      <c r="C60" s="28" t="str">
        <f>IF(AND(B4=0,B60&gt;=0), "",B60/B4)</f>
        <v/>
      </c>
      <c r="D60" s="42" t="str">
        <f>IF(AND(B124=0,B60&gt;=0),"",B60/B124)</f>
        <v/>
      </c>
      <c r="E60" s="82">
        <f>+'N EERR'!C59+'N EERR'!C60+'N EERR'!C61+'N EERR'!C62+'N EERR'!C63</f>
        <v>50</v>
      </c>
      <c r="F60" s="28">
        <f>IF(AND(E4=0,E60&gt;=0), "",E60/E4)</f>
        <v>3.6231884057971015E-3</v>
      </c>
      <c r="G60" s="42">
        <f>IF(AND(E124=0,E60&gt;=0),"",E60/E124)</f>
        <v>3.3557046979865772E-2</v>
      </c>
      <c r="H60" s="82">
        <f>+'N EERR'!D59+'N EERR'!D60+'N EERR'!D61+'N EERR'!D62+'N EERR'!D63</f>
        <v>0</v>
      </c>
      <c r="I60" s="28" t="str">
        <f>IF(AND(H4=0,H60&gt;=0), "",H60/H4)</f>
        <v/>
      </c>
      <c r="J60" s="42" t="str">
        <f>IF(AND(H124=0,H60&gt;=0),"",H60/H124)</f>
        <v/>
      </c>
      <c r="K60" s="28">
        <f t="shared" si="46"/>
        <v>-1</v>
      </c>
      <c r="L60" s="83">
        <f t="shared" si="65"/>
        <v>50</v>
      </c>
      <c r="M60" s="28">
        <f>IF(AND(L4=0,L60&gt;=0), "",L60/L4)</f>
        <v>3.6231884057971015E-3</v>
      </c>
      <c r="N60" s="42">
        <f>IF(AND(L124=0,L60&gt;=0),"",L60/L124)</f>
        <v>3.3557046979865772E-2</v>
      </c>
      <c r="O60" s="82">
        <f>+'N EERR'!E59+'N EERR'!E60+'N EERR'!E61+'N EERR'!E62+'N EERR'!E63</f>
        <v>0</v>
      </c>
      <c r="P60" s="28" t="str">
        <f>IF(AND(O4=0,O60&gt;=0), "",O60/O4)</f>
        <v/>
      </c>
      <c r="Q60" s="42" t="str">
        <f>IF(AND(O124=0,O60&gt;=0),"",O60/O124)</f>
        <v/>
      </c>
      <c r="R60" s="28" t="str">
        <f t="shared" si="47"/>
        <v/>
      </c>
      <c r="S60" s="83">
        <f t="shared" si="66"/>
        <v>50</v>
      </c>
      <c r="T60" s="28">
        <f>IF(AND(S4=0,S60&gt;=0), "",S60/S4)</f>
        <v>3.6231884057971015E-3</v>
      </c>
      <c r="U60" s="42">
        <f>IF(AND(S124=0,S60&gt;=0),"",S60/S124)</f>
        <v>3.3557046979865772E-2</v>
      </c>
      <c r="V60" s="84"/>
      <c r="W60" s="28" t="str">
        <f>IF(AND(V4=0,V60&gt;=0), "",V60/V4)</f>
        <v/>
      </c>
      <c r="X60" s="42">
        <f t="shared" si="48"/>
        <v>1</v>
      </c>
      <c r="Y60" s="82">
        <f>+'N EERR'!F59+'N EERR'!F60+'N EERR'!F61+'N EERR'!F62+'N EERR'!F63</f>
        <v>0</v>
      </c>
      <c r="Z60" s="28" t="str">
        <f>IF(AND(Y4=0,Y60&gt;=0), "",Y60/Y4)</f>
        <v/>
      </c>
      <c r="AA60" s="42" t="str">
        <f>IF(AND(Y124=0,Y60&gt;=0),"",Y60/Y124)</f>
        <v/>
      </c>
      <c r="AB60" s="28" t="str">
        <f t="shared" si="49"/>
        <v/>
      </c>
      <c r="AC60" s="83">
        <f t="shared" si="54"/>
        <v>50</v>
      </c>
      <c r="AD60" s="28">
        <f>IF(AND(AC4=0,AC60&gt;=0), "",AC60/AC4)</f>
        <v>3.6231884057971015E-3</v>
      </c>
      <c r="AE60" s="42">
        <f>IF(AND(AC124=0,AC60&gt;=0),"",AC60/AC124)</f>
        <v>3.3557046979865772E-2</v>
      </c>
      <c r="AF60" s="82">
        <f>+'N EERR'!G59+'N EERR'!G60+'N EERR'!G61+'N EERR'!G62+'N EERR'!G63</f>
        <v>0</v>
      </c>
      <c r="AG60" s="28" t="str">
        <f>IF(AND(AF4=0,AF60&gt;=0), "",AF60/AF4)</f>
        <v/>
      </c>
      <c r="AH60" s="42" t="str">
        <f>IF(AND(AF124=0,AF60&gt;=0),"",AF60/AF124)</f>
        <v/>
      </c>
      <c r="AI60" s="28" t="str">
        <f t="shared" si="38"/>
        <v/>
      </c>
      <c r="AJ60" s="83">
        <f t="shared" si="16"/>
        <v>50</v>
      </c>
      <c r="AK60" s="28">
        <f>IF(AND(AJ4=0,AJ60&gt;=0), "",AJ60/AJ4)</f>
        <v>3.6231884057971015E-3</v>
      </c>
      <c r="AL60" s="42">
        <f>IF(AND(AJ124=0,AJ60&gt;=0),"",AJ60/AJ124)</f>
        <v>3.3557046979865772E-2</v>
      </c>
      <c r="AM60" s="82">
        <f>+'N EERR'!H59+'N EERR'!H60+'N EERR'!H61+'N EERR'!H62+'N EERR'!H63</f>
        <v>0</v>
      </c>
      <c r="AN60" s="28" t="str">
        <f>IF(AND(AM4=0,AM60&gt;=0), "",AM60/AM4)</f>
        <v/>
      </c>
      <c r="AO60" s="42" t="str">
        <f>IF(AND(AM124=0,AM60&gt;=0),"",AM60/AM124)</f>
        <v/>
      </c>
      <c r="AP60" s="28" t="str">
        <f t="shared" si="39"/>
        <v/>
      </c>
      <c r="AQ60" s="83">
        <f t="shared" si="17"/>
        <v>50</v>
      </c>
      <c r="AR60" s="28">
        <f>IF(AND(AQ4=0,AQ60&gt;=0), "",AQ60/AQ4)</f>
        <v>3.6231884057971015E-3</v>
      </c>
      <c r="AS60" s="42">
        <f>IF(AND(AQ124=0,AQ60&gt;=0),"",AQ60/AQ124)</f>
        <v>3.3557046979865772E-2</v>
      </c>
      <c r="AT60" s="84">
        <f t="shared" si="55"/>
        <v>0</v>
      </c>
      <c r="AU60" s="28" t="str">
        <f>IF(AND(AT4=0,AT60&gt;=0), "",AT60/AT4)</f>
        <v/>
      </c>
      <c r="AV60" s="42">
        <f t="shared" si="50"/>
        <v>1</v>
      </c>
      <c r="AW60" s="84">
        <f t="shared" si="67"/>
        <v>8.3333333333333339</v>
      </c>
      <c r="AX60" s="28">
        <f>IF(AND(AW4=0,AW60&gt;=0), "",AW60/AW4)</f>
        <v>3.6231884057971011E-3</v>
      </c>
      <c r="AY60" s="42">
        <f>IF(AND(AW124=0,AW60&gt;=0),"",AW60/AW124)</f>
        <v>3.3557046979865772E-2</v>
      </c>
      <c r="AZ60" s="84">
        <f t="shared" si="56"/>
        <v>0</v>
      </c>
      <c r="BA60" s="28" t="str">
        <f>IF(AND(AZ4=0,AZ60&gt;=0), "",AZ60/AZ4)</f>
        <v/>
      </c>
      <c r="BB60" s="42">
        <f t="shared" si="51"/>
        <v>1</v>
      </c>
      <c r="BC60" s="82">
        <f>+'N EERR'!I59+'N EERR'!I60+'N EERR'!I61+'N EERR'!I62+'N EERR'!I63</f>
        <v>0</v>
      </c>
      <c r="BD60" s="28" t="str">
        <f>IF(AND(BC4=0,BC60&gt;=0), "",BC60/BC4)</f>
        <v/>
      </c>
      <c r="BE60" s="42" t="str">
        <f>IF(AND(BC124=0,BC60&gt;=0),"",BC60/BC124)</f>
        <v/>
      </c>
      <c r="BF60" s="28" t="str">
        <f t="shared" si="52"/>
        <v/>
      </c>
      <c r="BG60" s="83">
        <f t="shared" si="57"/>
        <v>50</v>
      </c>
      <c r="BH60" s="28">
        <f>IF(AND(BG4=0,BG60&gt;=0), "",BG60/BG4)</f>
        <v>3.6231884057971015E-3</v>
      </c>
      <c r="BI60" s="42">
        <f>IF(AND(BG124=0,BG60&gt;=0),"",BG60/BG124)</f>
        <v>3.3557046979865772E-2</v>
      </c>
      <c r="BJ60" s="82">
        <f>+'N EERR'!J59+'N EERR'!J60+'N EERR'!J61+'N EERR'!J62+'N EERR'!J63</f>
        <v>0</v>
      </c>
      <c r="BK60" s="28" t="str">
        <f>IF(AND(BJ4=0,BJ60&gt;=0), "",BJ60/BJ4)</f>
        <v/>
      </c>
      <c r="BL60" s="42" t="str">
        <f>IF(AND(BJ124=0,BJ60&gt;=0),"",BJ60/BJ124)</f>
        <v/>
      </c>
      <c r="BM60" s="28" t="str">
        <f t="shared" si="40"/>
        <v/>
      </c>
      <c r="BN60" s="83">
        <f t="shared" si="58"/>
        <v>50</v>
      </c>
      <c r="BO60" s="28">
        <f>IF(AND(BN4=0,BN60&gt;=0), "",BN60/BN4)</f>
        <v>3.6231884057971015E-3</v>
      </c>
      <c r="BP60" s="42">
        <f>IF(AND(BN124=0,BN60&gt;=0),"",BN60/BN124)</f>
        <v>3.3557046979865772E-2</v>
      </c>
      <c r="BQ60" s="82">
        <f>+'N EERR'!K59+'N EERR'!K60+'N EERR'!K61+'N EERR'!K62+'N EERR'!K63</f>
        <v>0</v>
      </c>
      <c r="BR60" s="28" t="str">
        <f>IF(AND(BQ4=0,BQ60&gt;=0), "",BQ60/BQ4)</f>
        <v/>
      </c>
      <c r="BS60" s="42" t="str">
        <f>IF(AND(BQ124=0,BQ60&gt;=0),"",BQ60/BQ124)</f>
        <v/>
      </c>
      <c r="BT60" s="28" t="str">
        <f t="shared" si="41"/>
        <v/>
      </c>
      <c r="BU60" s="83">
        <f t="shared" si="59"/>
        <v>50</v>
      </c>
      <c r="BV60" s="28">
        <f>IF(AND(BU4=0,BU60&gt;=0), "",BU60/BU4)</f>
        <v>3.6231884057971015E-3</v>
      </c>
      <c r="BW60" s="42">
        <f>IF(AND(BU124=0,BU60&gt;=0),"",BU60/BU124)</f>
        <v>3.3557046979865772E-2</v>
      </c>
      <c r="BX60" s="84">
        <f t="shared" si="60"/>
        <v>0</v>
      </c>
      <c r="BY60" s="28" t="str">
        <f>IF(AND(BX4=0,BX60&gt;=0), "",BX60/BX4)</f>
        <v/>
      </c>
      <c r="BZ60" s="42">
        <f t="shared" si="42"/>
        <v>1</v>
      </c>
      <c r="CA60" s="82">
        <f>+'N EERR'!L59+'N EERR'!L60+'N EERR'!L61+'N EERR'!L62+'N EERR'!L63</f>
        <v>0</v>
      </c>
      <c r="CB60" s="28" t="str">
        <f>IF(AND(CA4=0,CA60&gt;=0), "",CA60/CA4)</f>
        <v/>
      </c>
      <c r="CC60" s="42" t="str">
        <f>IF(AND(CA124=0,CA60&gt;=0),"",CA60/CA124)</f>
        <v/>
      </c>
      <c r="CD60" s="28" t="str">
        <f t="shared" si="53"/>
        <v/>
      </c>
      <c r="CE60" s="83">
        <f t="shared" si="61"/>
        <v>50</v>
      </c>
      <c r="CF60" s="28">
        <f>IF(AND(CE4=0,CE60&gt;=0), "",CE60/CE4)</f>
        <v>3.6231884057971015E-3</v>
      </c>
      <c r="CG60" s="42">
        <f>IF(AND(CE124=0,CE60&gt;=0),"",CE60/CE124)</f>
        <v>3.3557046979865772E-2</v>
      </c>
      <c r="CH60" s="82">
        <f>+'N EERR'!M59+'N EERR'!M60+'N EERR'!M61+'N EERR'!M62+'N EERR'!M63</f>
        <v>0</v>
      </c>
      <c r="CI60" s="28" t="str">
        <f>IF(AND(CH4=0,CH60&gt;=0), "",CH60/CH4)</f>
        <v/>
      </c>
      <c r="CJ60" s="42" t="str">
        <f>IF(AND(CH124=0,CH60&gt;=0),"",CH60/CH124)</f>
        <v/>
      </c>
      <c r="CK60" s="28" t="str">
        <f t="shared" si="43"/>
        <v/>
      </c>
      <c r="CL60" s="83">
        <f t="shared" si="62"/>
        <v>50</v>
      </c>
      <c r="CM60" s="28">
        <f>IF(AND(CL4=0,CL60&gt;=0), "",CL60/CL4)</f>
        <v>3.6231884057971015E-3</v>
      </c>
      <c r="CN60" s="42">
        <f>IF(AND(CL124=0,CL60&gt;=0),"",CL60/CL124)</f>
        <v>3.3557046979865772E-2</v>
      </c>
      <c r="CO60" s="82">
        <f>+'N EERR'!N59+'N EERR'!N60+'N EERR'!N61+'N EERR'!N62+'N EERR'!N63</f>
        <v>0</v>
      </c>
      <c r="CP60" s="28" t="str">
        <f>IF(AND(CO4=0,CO60&gt;=0), "",CO60/CO4)</f>
        <v/>
      </c>
      <c r="CQ60" s="42" t="str">
        <f>IF(AND(CO124=0,CO60&gt;=0),"",CO60/CO124)</f>
        <v/>
      </c>
      <c r="CR60" s="28" t="str">
        <f t="shared" si="44"/>
        <v/>
      </c>
      <c r="CS60" s="83">
        <f t="shared" si="63"/>
        <v>50</v>
      </c>
      <c r="CT60" s="28">
        <f>IF(AND(CS4=0,CS60&gt;=0), "",CS60/CS4)</f>
        <v>3.6231884057971015E-3</v>
      </c>
      <c r="CU60" s="42">
        <f>IF(AND(CS124=0,CS60&gt;=0),"",CS60/CS124)</f>
        <v>3.3557046979865772E-2</v>
      </c>
      <c r="CV60" s="84">
        <f t="shared" si="64"/>
        <v>0</v>
      </c>
      <c r="CW60" s="28" t="str">
        <f>IF(AND(CV4=0,CV60&gt;=0), "",CV60/CV4)</f>
        <v/>
      </c>
      <c r="CX60" s="42">
        <f t="shared" si="45"/>
        <v>1</v>
      </c>
    </row>
    <row r="61" spans="1:102" outlineLevel="1" x14ac:dyDescent="0.25">
      <c r="A61" s="27" t="s">
        <v>22</v>
      </c>
      <c r="B61" s="82">
        <f>+'N EERR'!B64+'N EERR'!B65+'N EERR'!B66+'N EERR'!B67+'N EERR'!B68</f>
        <v>0</v>
      </c>
      <c r="C61" s="28" t="str">
        <f>IF(AND(B4=0,B61&gt;=0), "",B61/B4)</f>
        <v/>
      </c>
      <c r="D61" s="42" t="str">
        <f>IF(AND(B124=0,B61&gt;=0),"",B61/B124)</f>
        <v/>
      </c>
      <c r="E61" s="82">
        <f>+'N EERR'!C64+'N EERR'!C65+'N EERR'!C66+'N EERR'!C67+'N EERR'!C68</f>
        <v>50</v>
      </c>
      <c r="F61" s="28">
        <f>IF(AND(E4=0,E61&gt;=0), "",E61/E4)</f>
        <v>3.6231884057971015E-3</v>
      </c>
      <c r="G61" s="42">
        <f>IF(AND(E124=0,E61&gt;=0),"",E61/E124)</f>
        <v>3.3557046979865772E-2</v>
      </c>
      <c r="H61" s="82">
        <f>+'N EERR'!D64+'N EERR'!D65+'N EERR'!D66+'N EERR'!D67+'N EERR'!D68</f>
        <v>0</v>
      </c>
      <c r="I61" s="28" t="str">
        <f>IF(AND(H4=0,H61&gt;=0), "",H61/H4)</f>
        <v/>
      </c>
      <c r="J61" s="42" t="str">
        <f>IF(AND(H124=0,H61&gt;=0),"",H61/H124)</f>
        <v/>
      </c>
      <c r="K61" s="28">
        <f t="shared" si="46"/>
        <v>-1</v>
      </c>
      <c r="L61" s="83">
        <f t="shared" si="65"/>
        <v>50</v>
      </c>
      <c r="M61" s="28">
        <f>IF(AND(L4=0,L61&gt;=0), "",L61/L4)</f>
        <v>3.6231884057971015E-3</v>
      </c>
      <c r="N61" s="42">
        <f>IF(AND(L124=0,L61&gt;=0),"",L61/L124)</f>
        <v>3.3557046979865772E-2</v>
      </c>
      <c r="O61" s="82">
        <f>+'N EERR'!E64+'N EERR'!E65+'N EERR'!E66+'N EERR'!E67+'N EERR'!E68</f>
        <v>0</v>
      </c>
      <c r="P61" s="28" t="str">
        <f>IF(AND(O4=0,O61&gt;=0), "",O61/O4)</f>
        <v/>
      </c>
      <c r="Q61" s="42" t="str">
        <f>IF(AND(O124=0,O61&gt;=0),"",O61/O124)</f>
        <v/>
      </c>
      <c r="R61" s="28" t="str">
        <f t="shared" si="47"/>
        <v/>
      </c>
      <c r="S61" s="83">
        <f t="shared" si="66"/>
        <v>50</v>
      </c>
      <c r="T61" s="28">
        <f>IF(AND(S4=0,S61&gt;=0), "",S61/S4)</f>
        <v>3.6231884057971015E-3</v>
      </c>
      <c r="U61" s="42">
        <f>IF(AND(S124=0,S61&gt;=0),"",S61/S124)</f>
        <v>3.3557046979865772E-2</v>
      </c>
      <c r="V61" s="84"/>
      <c r="W61" s="28" t="str">
        <f>IF(AND(V4=0,V61&gt;=0), "",V61/V4)</f>
        <v/>
      </c>
      <c r="X61" s="42">
        <f t="shared" si="48"/>
        <v>1</v>
      </c>
      <c r="Y61" s="82">
        <f>+'N EERR'!F64+'N EERR'!F65+'N EERR'!F66+'N EERR'!F67+'N EERR'!F68</f>
        <v>0</v>
      </c>
      <c r="Z61" s="28" t="str">
        <f>IF(AND(Y4=0,Y61&gt;=0), "",Y61/Y4)</f>
        <v/>
      </c>
      <c r="AA61" s="42" t="str">
        <f>IF(AND(Y124=0,Y61&gt;=0),"",Y61/Y124)</f>
        <v/>
      </c>
      <c r="AB61" s="28" t="str">
        <f t="shared" si="49"/>
        <v/>
      </c>
      <c r="AC61" s="83">
        <f t="shared" si="54"/>
        <v>50</v>
      </c>
      <c r="AD61" s="28">
        <f>IF(AND(AC4=0,AC61&gt;=0), "",AC61/AC4)</f>
        <v>3.6231884057971015E-3</v>
      </c>
      <c r="AE61" s="42">
        <f>IF(AND(AC124=0,AC61&gt;=0),"",AC61/AC124)</f>
        <v>3.3557046979865772E-2</v>
      </c>
      <c r="AF61" s="82">
        <f>+'N EERR'!G64+'N EERR'!G65+'N EERR'!G66+'N EERR'!G67+'N EERR'!G68</f>
        <v>0</v>
      </c>
      <c r="AG61" s="28" t="str">
        <f>IF(AND(AF4=0,AF61&gt;=0), "",AF61/AF4)</f>
        <v/>
      </c>
      <c r="AH61" s="42" t="str">
        <f>IF(AND(AF124=0,AF61&gt;=0),"",AF61/AF124)</f>
        <v/>
      </c>
      <c r="AI61" s="28" t="str">
        <f t="shared" si="38"/>
        <v/>
      </c>
      <c r="AJ61" s="83">
        <f t="shared" si="16"/>
        <v>50</v>
      </c>
      <c r="AK61" s="28">
        <f>IF(AND(AJ4=0,AJ61&gt;=0), "",AJ61/AJ4)</f>
        <v>3.6231884057971015E-3</v>
      </c>
      <c r="AL61" s="42">
        <f>IF(AND(AJ124=0,AJ61&gt;=0),"",AJ61/AJ124)</f>
        <v>3.3557046979865772E-2</v>
      </c>
      <c r="AM61" s="82">
        <f>+'N EERR'!H64+'N EERR'!H65+'N EERR'!H66+'N EERR'!H67+'N EERR'!H68</f>
        <v>0</v>
      </c>
      <c r="AN61" s="28" t="str">
        <f>IF(AND(AM4=0,AM61&gt;=0), "",AM61/AM4)</f>
        <v/>
      </c>
      <c r="AO61" s="42" t="str">
        <f>IF(AND(AM124=0,AM61&gt;=0),"",AM61/AM124)</f>
        <v/>
      </c>
      <c r="AP61" s="28" t="str">
        <f t="shared" si="39"/>
        <v/>
      </c>
      <c r="AQ61" s="83">
        <f t="shared" si="17"/>
        <v>50</v>
      </c>
      <c r="AR61" s="28">
        <f>IF(AND(AQ4=0,AQ61&gt;=0), "",AQ61/AQ4)</f>
        <v>3.6231884057971015E-3</v>
      </c>
      <c r="AS61" s="42">
        <f>IF(AND(AQ124=0,AQ61&gt;=0),"",AQ61/AQ124)</f>
        <v>3.3557046979865772E-2</v>
      </c>
      <c r="AT61" s="84">
        <f t="shared" si="55"/>
        <v>0</v>
      </c>
      <c r="AU61" s="28" t="str">
        <f>IF(AND(AT4=0,AT61&gt;=0), "",AT61/AT4)</f>
        <v/>
      </c>
      <c r="AV61" s="42">
        <f t="shared" si="50"/>
        <v>1</v>
      </c>
      <c r="AW61" s="84">
        <f t="shared" si="67"/>
        <v>8.3333333333333339</v>
      </c>
      <c r="AX61" s="28">
        <f>IF(AND(AW4=0,AW61&gt;=0), "",AW61/AW4)</f>
        <v>3.6231884057971011E-3</v>
      </c>
      <c r="AY61" s="42">
        <f>IF(AND(AW124=0,AW61&gt;=0),"",AW61/AW124)</f>
        <v>3.3557046979865772E-2</v>
      </c>
      <c r="AZ61" s="84">
        <f t="shared" si="56"/>
        <v>0</v>
      </c>
      <c r="BA61" s="28" t="str">
        <f>IF(AND(AZ4=0,AZ61&gt;=0), "",AZ61/AZ4)</f>
        <v/>
      </c>
      <c r="BB61" s="42">
        <f t="shared" si="51"/>
        <v>1</v>
      </c>
      <c r="BC61" s="82">
        <f>+'N EERR'!I64+'N EERR'!I65+'N EERR'!I66+'N EERR'!I67+'N EERR'!I68</f>
        <v>0</v>
      </c>
      <c r="BD61" s="28" t="str">
        <f>IF(AND(BC4=0,BC61&gt;=0), "",BC61/BC4)</f>
        <v/>
      </c>
      <c r="BE61" s="42" t="str">
        <f>IF(AND(BC124=0,BC61&gt;=0),"",BC61/BC124)</f>
        <v/>
      </c>
      <c r="BF61" s="28" t="str">
        <f t="shared" si="52"/>
        <v/>
      </c>
      <c r="BG61" s="83">
        <f t="shared" si="57"/>
        <v>50</v>
      </c>
      <c r="BH61" s="28">
        <f>IF(AND(BG4=0,BG61&gt;=0), "",BG61/BG4)</f>
        <v>3.6231884057971015E-3</v>
      </c>
      <c r="BI61" s="42">
        <f>IF(AND(BG124=0,BG61&gt;=0),"",BG61/BG124)</f>
        <v>3.3557046979865772E-2</v>
      </c>
      <c r="BJ61" s="82">
        <f>+'N EERR'!J64+'N EERR'!J65+'N EERR'!J66+'N EERR'!J67+'N EERR'!J68</f>
        <v>0</v>
      </c>
      <c r="BK61" s="28" t="str">
        <f>IF(AND(BJ4=0,BJ61&gt;=0), "",BJ61/BJ4)</f>
        <v/>
      </c>
      <c r="BL61" s="42" t="str">
        <f>IF(AND(BJ124=0,BJ61&gt;=0),"",BJ61/BJ124)</f>
        <v/>
      </c>
      <c r="BM61" s="28" t="str">
        <f t="shared" si="40"/>
        <v/>
      </c>
      <c r="BN61" s="83">
        <f t="shared" si="58"/>
        <v>50</v>
      </c>
      <c r="BO61" s="28">
        <f>IF(AND(BN4=0,BN61&gt;=0), "",BN61/BN4)</f>
        <v>3.6231884057971015E-3</v>
      </c>
      <c r="BP61" s="42">
        <f>IF(AND(BN124=0,BN61&gt;=0),"",BN61/BN124)</f>
        <v>3.3557046979865772E-2</v>
      </c>
      <c r="BQ61" s="82">
        <f>+'N EERR'!K64+'N EERR'!K65+'N EERR'!K66+'N EERR'!K67+'N EERR'!K68</f>
        <v>0</v>
      </c>
      <c r="BR61" s="28" t="str">
        <f>IF(AND(BQ4=0,BQ61&gt;=0), "",BQ61/BQ4)</f>
        <v/>
      </c>
      <c r="BS61" s="42" t="str">
        <f>IF(AND(BQ124=0,BQ61&gt;=0),"",BQ61/BQ124)</f>
        <v/>
      </c>
      <c r="BT61" s="28" t="str">
        <f t="shared" si="41"/>
        <v/>
      </c>
      <c r="BU61" s="83">
        <f t="shared" si="59"/>
        <v>50</v>
      </c>
      <c r="BV61" s="28">
        <f>IF(AND(BU4=0,BU61&gt;=0), "",BU61/BU4)</f>
        <v>3.6231884057971015E-3</v>
      </c>
      <c r="BW61" s="42">
        <f>IF(AND(BU124=0,BU61&gt;=0),"",BU61/BU124)</f>
        <v>3.3557046979865772E-2</v>
      </c>
      <c r="BX61" s="84">
        <f t="shared" si="60"/>
        <v>0</v>
      </c>
      <c r="BY61" s="28" t="str">
        <f>IF(AND(BX4=0,BX61&gt;=0), "",BX61/BX4)</f>
        <v/>
      </c>
      <c r="BZ61" s="42">
        <f t="shared" si="42"/>
        <v>1</v>
      </c>
      <c r="CA61" s="82">
        <f>+'N EERR'!L64+'N EERR'!L65+'N EERR'!L66+'N EERR'!L67+'N EERR'!L68</f>
        <v>0</v>
      </c>
      <c r="CB61" s="28" t="str">
        <f>IF(AND(CA4=0,CA61&gt;=0), "",CA61/CA4)</f>
        <v/>
      </c>
      <c r="CC61" s="42" t="str">
        <f>IF(AND(CA124=0,CA61&gt;=0),"",CA61/CA124)</f>
        <v/>
      </c>
      <c r="CD61" s="28" t="str">
        <f t="shared" si="53"/>
        <v/>
      </c>
      <c r="CE61" s="83">
        <f t="shared" si="61"/>
        <v>50</v>
      </c>
      <c r="CF61" s="28">
        <f>IF(AND(CE4=0,CE61&gt;=0), "",CE61/CE4)</f>
        <v>3.6231884057971015E-3</v>
      </c>
      <c r="CG61" s="42">
        <f>IF(AND(CE124=0,CE61&gt;=0),"",CE61/CE124)</f>
        <v>3.3557046979865772E-2</v>
      </c>
      <c r="CH61" s="82">
        <f>+'N EERR'!M64+'N EERR'!M65+'N EERR'!M66+'N EERR'!M67+'N EERR'!M68</f>
        <v>0</v>
      </c>
      <c r="CI61" s="28" t="str">
        <f>IF(AND(CH4=0,CH61&gt;=0), "",CH61/CH4)</f>
        <v/>
      </c>
      <c r="CJ61" s="42" t="str">
        <f>IF(AND(CH124=0,CH61&gt;=0),"",CH61/CH124)</f>
        <v/>
      </c>
      <c r="CK61" s="28" t="str">
        <f t="shared" si="43"/>
        <v/>
      </c>
      <c r="CL61" s="83">
        <f t="shared" si="62"/>
        <v>50</v>
      </c>
      <c r="CM61" s="28">
        <f>IF(AND(CL4=0,CL61&gt;=0), "",CL61/CL4)</f>
        <v>3.6231884057971015E-3</v>
      </c>
      <c r="CN61" s="42">
        <f>IF(AND(CL124=0,CL61&gt;=0),"",CL61/CL124)</f>
        <v>3.3557046979865772E-2</v>
      </c>
      <c r="CO61" s="82">
        <f>+'N EERR'!N64+'N EERR'!N65+'N EERR'!N66+'N EERR'!N67+'N EERR'!N68</f>
        <v>0</v>
      </c>
      <c r="CP61" s="28" t="str">
        <f>IF(AND(CO4=0,CO61&gt;=0), "",CO61/CO4)</f>
        <v/>
      </c>
      <c r="CQ61" s="42" t="str">
        <f>IF(AND(CO124=0,CO61&gt;=0),"",CO61/CO124)</f>
        <v/>
      </c>
      <c r="CR61" s="28" t="str">
        <f t="shared" si="44"/>
        <v/>
      </c>
      <c r="CS61" s="83">
        <f t="shared" si="63"/>
        <v>50</v>
      </c>
      <c r="CT61" s="28">
        <f>IF(AND(CS4=0,CS61&gt;=0), "",CS61/CS4)</f>
        <v>3.6231884057971015E-3</v>
      </c>
      <c r="CU61" s="42">
        <f>IF(AND(CS124=0,CS61&gt;=0),"",CS61/CS124)</f>
        <v>3.3557046979865772E-2</v>
      </c>
      <c r="CV61" s="84">
        <f t="shared" si="64"/>
        <v>0</v>
      </c>
      <c r="CW61" s="28" t="str">
        <f>IF(AND(CV4=0,CV61&gt;=0), "",CV61/CV4)</f>
        <v/>
      </c>
      <c r="CX61" s="42">
        <f t="shared" si="45"/>
        <v>1</v>
      </c>
    </row>
    <row r="62" spans="1:102" outlineLevel="1" x14ac:dyDescent="0.25">
      <c r="A62" s="27" t="s">
        <v>23</v>
      </c>
      <c r="B62" s="82">
        <f>+'N EERR'!B69+'N EERR'!B70</f>
        <v>0</v>
      </c>
      <c r="C62" s="28" t="str">
        <f>IF(AND(B4=0,B62&gt;=0), "",B62/B4)</f>
        <v/>
      </c>
      <c r="D62" s="42" t="str">
        <f>IF(AND(B124=0,B62&gt;=0),"",B62/B124)</f>
        <v/>
      </c>
      <c r="E62" s="82">
        <f>+'N EERR'!C69+'N EERR'!C70</f>
        <v>20</v>
      </c>
      <c r="F62" s="28">
        <f>IF(AND(E4=0,E62&gt;=0), "",E62/E4)</f>
        <v>1.4492753623188406E-3</v>
      </c>
      <c r="G62" s="42">
        <f>IF(AND(E124=0,E62&gt;=0),"",E62/E124)</f>
        <v>1.3422818791946308E-2</v>
      </c>
      <c r="H62" s="82">
        <f>+'N EERR'!D69+'N EERR'!D70</f>
        <v>0</v>
      </c>
      <c r="I62" s="28" t="str">
        <f>IF(AND(H4=0,H62&gt;=0), "",H62/H4)</f>
        <v/>
      </c>
      <c r="J62" s="42" t="str">
        <f>IF(AND(H124=0,H62&gt;=0),"",H62/H124)</f>
        <v/>
      </c>
      <c r="K62" s="28">
        <f t="shared" si="46"/>
        <v>-1</v>
      </c>
      <c r="L62" s="83">
        <f t="shared" si="65"/>
        <v>20</v>
      </c>
      <c r="M62" s="28">
        <f>IF(AND(L4=0,L62&gt;=0), "",L62/L4)</f>
        <v>1.4492753623188406E-3</v>
      </c>
      <c r="N62" s="42">
        <f>IF(AND(L124=0,L62&gt;=0),"",L62/L124)</f>
        <v>1.3422818791946308E-2</v>
      </c>
      <c r="O62" s="82">
        <f>+'N EERR'!E69+'N EERR'!E70</f>
        <v>0</v>
      </c>
      <c r="P62" s="28" t="str">
        <f>IF(AND(O4=0,O62&gt;=0), "",O62/O4)</f>
        <v/>
      </c>
      <c r="Q62" s="42" t="str">
        <f>IF(AND(O124=0,O62&gt;=0),"",O62/O124)</f>
        <v/>
      </c>
      <c r="R62" s="28" t="str">
        <f t="shared" si="47"/>
        <v/>
      </c>
      <c r="S62" s="83">
        <f t="shared" si="66"/>
        <v>20</v>
      </c>
      <c r="T62" s="28">
        <f>IF(AND(S4=0,S62&gt;=0), "",S62/S4)</f>
        <v>1.4492753623188406E-3</v>
      </c>
      <c r="U62" s="42">
        <f>IF(AND(S124=0,S62&gt;=0),"",S62/S124)</f>
        <v>1.3422818791946308E-2</v>
      </c>
      <c r="V62" s="84"/>
      <c r="W62" s="28" t="str">
        <f>IF(AND(V4=0,V62&gt;=0), "",V62/V4)</f>
        <v/>
      </c>
      <c r="X62" s="42">
        <f t="shared" si="48"/>
        <v>1</v>
      </c>
      <c r="Y62" s="82">
        <f>+'N EERR'!F69+'N EERR'!F70</f>
        <v>0</v>
      </c>
      <c r="Z62" s="28" t="str">
        <f>IF(AND(Y4=0,Y62&gt;=0), "",Y62/Y4)</f>
        <v/>
      </c>
      <c r="AA62" s="42" t="str">
        <f>IF(AND(Y124=0,Y62&gt;=0),"",Y62/Y124)</f>
        <v/>
      </c>
      <c r="AB62" s="28" t="str">
        <f t="shared" si="49"/>
        <v/>
      </c>
      <c r="AC62" s="83">
        <f t="shared" si="54"/>
        <v>20</v>
      </c>
      <c r="AD62" s="28">
        <f>IF(AND(AC4=0,AC62&gt;=0), "",AC62/AC4)</f>
        <v>1.4492753623188406E-3</v>
      </c>
      <c r="AE62" s="42">
        <f>IF(AND(AC124=0,AC62&gt;=0),"",AC62/AC124)</f>
        <v>1.3422818791946308E-2</v>
      </c>
      <c r="AF62" s="82">
        <f>+'N EERR'!G69+'N EERR'!G70</f>
        <v>0</v>
      </c>
      <c r="AG62" s="28" t="str">
        <f>IF(AND(AF4=0,AF62&gt;=0), "",AF62/AF4)</f>
        <v/>
      </c>
      <c r="AH62" s="42" t="str">
        <f>IF(AND(AF124=0,AF62&gt;=0),"",AF62/AF124)</f>
        <v/>
      </c>
      <c r="AI62" s="28" t="str">
        <f t="shared" si="38"/>
        <v/>
      </c>
      <c r="AJ62" s="83">
        <f t="shared" si="16"/>
        <v>20</v>
      </c>
      <c r="AK62" s="28">
        <f>IF(AND(AJ4=0,AJ62&gt;=0), "",AJ62/AJ4)</f>
        <v>1.4492753623188406E-3</v>
      </c>
      <c r="AL62" s="42">
        <f>IF(AND(AJ124=0,AJ62&gt;=0),"",AJ62/AJ124)</f>
        <v>1.3422818791946308E-2</v>
      </c>
      <c r="AM62" s="82">
        <f>+'N EERR'!H69+'N EERR'!H70</f>
        <v>0</v>
      </c>
      <c r="AN62" s="28" t="str">
        <f>IF(AND(AM4=0,AM62&gt;=0), "",AM62/AM4)</f>
        <v/>
      </c>
      <c r="AO62" s="42" t="str">
        <f>IF(AND(AM124=0,AM62&gt;=0),"",AM62/AM124)</f>
        <v/>
      </c>
      <c r="AP62" s="28" t="str">
        <f t="shared" si="39"/>
        <v/>
      </c>
      <c r="AQ62" s="83">
        <f t="shared" si="17"/>
        <v>20</v>
      </c>
      <c r="AR62" s="28">
        <f>IF(AND(AQ4=0,AQ62&gt;=0), "",AQ62/AQ4)</f>
        <v>1.4492753623188406E-3</v>
      </c>
      <c r="AS62" s="42">
        <f>IF(AND(AQ124=0,AQ62&gt;=0),"",AQ62/AQ124)</f>
        <v>1.3422818791946308E-2</v>
      </c>
      <c r="AT62" s="84">
        <f t="shared" si="55"/>
        <v>0</v>
      </c>
      <c r="AU62" s="28" t="str">
        <f>IF(AND(AT4=0,AT62&gt;=0), "",AT62/AT4)</f>
        <v/>
      </c>
      <c r="AV62" s="42">
        <f t="shared" si="50"/>
        <v>1</v>
      </c>
      <c r="AW62" s="84">
        <f t="shared" si="67"/>
        <v>3.3333333333333335</v>
      </c>
      <c r="AX62" s="28">
        <f>IF(AND(AW4=0,AW62&gt;=0), "",AW62/AW4)</f>
        <v>1.4492753623188404E-3</v>
      </c>
      <c r="AY62" s="42">
        <f>IF(AND(AW124=0,AW62&gt;=0),"",AW62/AW124)</f>
        <v>1.3422818791946308E-2</v>
      </c>
      <c r="AZ62" s="84">
        <f t="shared" si="56"/>
        <v>0</v>
      </c>
      <c r="BA62" s="28" t="str">
        <f>IF(AND(AZ4=0,AZ62&gt;=0), "",AZ62/AZ4)</f>
        <v/>
      </c>
      <c r="BB62" s="42">
        <f t="shared" si="51"/>
        <v>1</v>
      </c>
      <c r="BC62" s="82">
        <f>+'N EERR'!I69+'N EERR'!I70</f>
        <v>0</v>
      </c>
      <c r="BD62" s="28" t="str">
        <f>IF(AND(BC4=0,BC62&gt;=0), "",BC62/BC4)</f>
        <v/>
      </c>
      <c r="BE62" s="42" t="str">
        <f>IF(AND(BC124=0,BC62&gt;=0),"",BC62/BC124)</f>
        <v/>
      </c>
      <c r="BF62" s="28" t="str">
        <f t="shared" si="52"/>
        <v/>
      </c>
      <c r="BG62" s="83">
        <f t="shared" si="57"/>
        <v>20</v>
      </c>
      <c r="BH62" s="28">
        <f>IF(AND(BG4=0,BG62&gt;=0), "",BG62/BG4)</f>
        <v>1.4492753623188406E-3</v>
      </c>
      <c r="BI62" s="42">
        <f>IF(AND(BG124=0,BG62&gt;=0),"",BG62/BG124)</f>
        <v>1.3422818791946308E-2</v>
      </c>
      <c r="BJ62" s="82">
        <f>+'N EERR'!J69+'N EERR'!J70</f>
        <v>0</v>
      </c>
      <c r="BK62" s="28" t="str">
        <f>IF(AND(BJ4=0,BJ62&gt;=0), "",BJ62/BJ4)</f>
        <v/>
      </c>
      <c r="BL62" s="42" t="str">
        <f>IF(AND(BJ124=0,BJ62&gt;=0),"",BJ62/BJ124)</f>
        <v/>
      </c>
      <c r="BM62" s="28" t="str">
        <f t="shared" si="40"/>
        <v/>
      </c>
      <c r="BN62" s="83">
        <f t="shared" si="58"/>
        <v>20</v>
      </c>
      <c r="BO62" s="28">
        <f>IF(AND(BN4=0,BN62&gt;=0), "",BN62/BN4)</f>
        <v>1.4492753623188406E-3</v>
      </c>
      <c r="BP62" s="42">
        <f>IF(AND(BN124=0,BN62&gt;=0),"",BN62/BN124)</f>
        <v>1.3422818791946308E-2</v>
      </c>
      <c r="BQ62" s="82">
        <f>+'N EERR'!K69+'N EERR'!K70</f>
        <v>0</v>
      </c>
      <c r="BR62" s="28" t="str">
        <f>IF(AND(BQ4=0,BQ62&gt;=0), "",BQ62/BQ4)</f>
        <v/>
      </c>
      <c r="BS62" s="42" t="str">
        <f>IF(AND(BQ124=0,BQ62&gt;=0),"",BQ62/BQ124)</f>
        <v/>
      </c>
      <c r="BT62" s="28" t="str">
        <f t="shared" si="41"/>
        <v/>
      </c>
      <c r="BU62" s="83">
        <f t="shared" si="59"/>
        <v>20</v>
      </c>
      <c r="BV62" s="28">
        <f>IF(AND(BU4=0,BU62&gt;=0), "",BU62/BU4)</f>
        <v>1.4492753623188406E-3</v>
      </c>
      <c r="BW62" s="42">
        <f>IF(AND(BU124=0,BU62&gt;=0),"",BU62/BU124)</f>
        <v>1.3422818791946308E-2</v>
      </c>
      <c r="BX62" s="84">
        <f t="shared" si="60"/>
        <v>0</v>
      </c>
      <c r="BY62" s="28" t="str">
        <f>IF(AND(BX4=0,BX62&gt;=0), "",BX62/BX4)</f>
        <v/>
      </c>
      <c r="BZ62" s="42">
        <f t="shared" si="42"/>
        <v>1</v>
      </c>
      <c r="CA62" s="82">
        <f>+'N EERR'!L69+'N EERR'!L70</f>
        <v>0</v>
      </c>
      <c r="CB62" s="28" t="str">
        <f>IF(AND(CA4=0,CA62&gt;=0), "",CA62/CA4)</f>
        <v/>
      </c>
      <c r="CC62" s="42" t="str">
        <f>IF(AND(CA124=0,CA62&gt;=0),"",CA62/CA124)</f>
        <v/>
      </c>
      <c r="CD62" s="28" t="str">
        <f t="shared" si="53"/>
        <v/>
      </c>
      <c r="CE62" s="83">
        <f t="shared" si="61"/>
        <v>20</v>
      </c>
      <c r="CF62" s="28">
        <f>IF(AND(CE4=0,CE62&gt;=0), "",CE62/CE4)</f>
        <v>1.4492753623188406E-3</v>
      </c>
      <c r="CG62" s="42">
        <f>IF(AND(CE124=0,CE62&gt;=0),"",CE62/CE124)</f>
        <v>1.3422818791946308E-2</v>
      </c>
      <c r="CH62" s="82">
        <f>+'N EERR'!M69+'N EERR'!M70</f>
        <v>0</v>
      </c>
      <c r="CI62" s="28" t="str">
        <f>IF(AND(CH4=0,CH62&gt;=0), "",CH62/CH4)</f>
        <v/>
      </c>
      <c r="CJ62" s="42" t="str">
        <f>IF(AND(CH124=0,CH62&gt;=0),"",CH62/CH124)</f>
        <v/>
      </c>
      <c r="CK62" s="28" t="str">
        <f t="shared" si="43"/>
        <v/>
      </c>
      <c r="CL62" s="83">
        <f t="shared" si="62"/>
        <v>20</v>
      </c>
      <c r="CM62" s="28">
        <f>IF(AND(CL4=0,CL62&gt;=0), "",CL62/CL4)</f>
        <v>1.4492753623188406E-3</v>
      </c>
      <c r="CN62" s="42">
        <f>IF(AND(CL124=0,CL62&gt;=0),"",CL62/CL124)</f>
        <v>1.3422818791946308E-2</v>
      </c>
      <c r="CO62" s="82">
        <f>+'N EERR'!N69+'N EERR'!N70</f>
        <v>0</v>
      </c>
      <c r="CP62" s="28" t="str">
        <f>IF(AND(CO4=0,CO62&gt;=0), "",CO62/CO4)</f>
        <v/>
      </c>
      <c r="CQ62" s="42" t="str">
        <f>IF(AND(CO124=0,CO62&gt;=0),"",CO62/CO124)</f>
        <v/>
      </c>
      <c r="CR62" s="28" t="str">
        <f t="shared" si="44"/>
        <v/>
      </c>
      <c r="CS62" s="83">
        <f t="shared" si="63"/>
        <v>20</v>
      </c>
      <c r="CT62" s="28">
        <f>IF(AND(CS4=0,CS62&gt;=0), "",CS62/CS4)</f>
        <v>1.4492753623188406E-3</v>
      </c>
      <c r="CU62" s="42">
        <f>IF(AND(CS124=0,CS62&gt;=0),"",CS62/CS124)</f>
        <v>1.3422818791946308E-2</v>
      </c>
      <c r="CV62" s="84">
        <f t="shared" si="64"/>
        <v>0</v>
      </c>
      <c r="CW62" s="28" t="str">
        <f>IF(AND(CV4=0,CV62&gt;=0), "",CV62/CV4)</f>
        <v/>
      </c>
      <c r="CX62" s="42">
        <f t="shared" si="45"/>
        <v>1</v>
      </c>
    </row>
    <row r="63" spans="1:102" outlineLevel="1" x14ac:dyDescent="0.25">
      <c r="A63" s="27" t="s">
        <v>24</v>
      </c>
      <c r="B63" s="82">
        <f>+'N EERR'!B71+'N EERR'!B72+'N EERR'!B73+'N EERR'!B74+'N EERR'!B75+'N EERR'!B76+'N EERR'!B77</f>
        <v>0</v>
      </c>
      <c r="C63" s="28" t="str">
        <f>IF(AND(B4=0,B63&gt;=0), "",B63/B4)</f>
        <v/>
      </c>
      <c r="D63" s="42" t="str">
        <f>IF(AND(B124=0,B63&gt;=0),"",B63/B124)</f>
        <v/>
      </c>
      <c r="E63" s="82">
        <f>+'N EERR'!C71+'N EERR'!C72+'N EERR'!C73+'N EERR'!C74+'N EERR'!C75+'N EERR'!C76+'N EERR'!C77</f>
        <v>70</v>
      </c>
      <c r="F63" s="28">
        <f>IF(AND(E4=0,E63&gt;=0), "",E63/E4)</f>
        <v>5.0724637681159417E-3</v>
      </c>
      <c r="G63" s="42">
        <f>IF(AND(E124=0,E63&gt;=0),"",E63/E124)</f>
        <v>4.6979865771812082E-2</v>
      </c>
      <c r="H63" s="82">
        <f>+'N EERR'!D71+'N EERR'!D72+'N EERR'!D73+'N EERR'!D74+'N EERR'!D75+'N EERR'!D76+'N EERR'!D77</f>
        <v>0</v>
      </c>
      <c r="I63" s="28" t="str">
        <f>IF(AND(H4=0,H63&gt;=0), "",H63/H4)</f>
        <v/>
      </c>
      <c r="J63" s="42" t="str">
        <f>IF(AND(H124=0,H63&gt;=0),"",H63/H124)</f>
        <v/>
      </c>
      <c r="K63" s="28">
        <f t="shared" si="46"/>
        <v>-1</v>
      </c>
      <c r="L63" s="83">
        <f t="shared" si="65"/>
        <v>70</v>
      </c>
      <c r="M63" s="28">
        <f>IF(AND(L4=0,L63&gt;=0), "",L63/L4)</f>
        <v>5.0724637681159417E-3</v>
      </c>
      <c r="N63" s="42">
        <f>IF(AND(L124=0,L63&gt;=0),"",L63/L124)</f>
        <v>4.6979865771812082E-2</v>
      </c>
      <c r="O63" s="82">
        <f>+'N EERR'!E71+'N EERR'!E72+'N EERR'!E73+'N EERR'!E74+'N EERR'!E75+'N EERR'!E76+'N EERR'!E77</f>
        <v>0</v>
      </c>
      <c r="P63" s="28" t="str">
        <f>IF(AND(O4=0,O63&gt;=0), "",O63/O4)</f>
        <v/>
      </c>
      <c r="Q63" s="42" t="str">
        <f>IF(AND(O124=0,O63&gt;=0),"",O63/O124)</f>
        <v/>
      </c>
      <c r="R63" s="28" t="str">
        <f t="shared" si="47"/>
        <v/>
      </c>
      <c r="S63" s="83">
        <f t="shared" si="66"/>
        <v>70</v>
      </c>
      <c r="T63" s="28">
        <f>IF(AND(S4=0,S63&gt;=0), "",S63/S4)</f>
        <v>5.0724637681159417E-3</v>
      </c>
      <c r="U63" s="42">
        <f>IF(AND(S124=0,S63&gt;=0),"",S63/S124)</f>
        <v>4.6979865771812082E-2</v>
      </c>
      <c r="V63" s="84"/>
      <c r="W63" s="28" t="str">
        <f>IF(AND(V4=0,V63&gt;=0), "",V63/V4)</f>
        <v/>
      </c>
      <c r="X63" s="42">
        <f t="shared" si="48"/>
        <v>1</v>
      </c>
      <c r="Y63" s="82">
        <f>+'N EERR'!F71+'N EERR'!F72+'N EERR'!F73+'N EERR'!F74+'N EERR'!F75+'N EERR'!F76+'N EERR'!F77</f>
        <v>0</v>
      </c>
      <c r="Z63" s="28" t="str">
        <f>IF(AND(Y4=0,Y63&gt;=0), "",Y63/Y4)</f>
        <v/>
      </c>
      <c r="AA63" s="42" t="str">
        <f>IF(AND(Y124=0,Y63&gt;=0),"",Y63/Y124)</f>
        <v/>
      </c>
      <c r="AB63" s="28" t="str">
        <f t="shared" si="49"/>
        <v/>
      </c>
      <c r="AC63" s="83">
        <f t="shared" si="54"/>
        <v>70</v>
      </c>
      <c r="AD63" s="28">
        <f>IF(AND(AC4=0,AC63&gt;=0), "",AC63/AC4)</f>
        <v>5.0724637681159417E-3</v>
      </c>
      <c r="AE63" s="42">
        <f>IF(AND(AC124=0,AC63&gt;=0),"",AC63/AC124)</f>
        <v>4.6979865771812082E-2</v>
      </c>
      <c r="AF63" s="82">
        <f>+'N EERR'!G71+'N EERR'!G72+'N EERR'!G73+'N EERR'!G74+'N EERR'!G75+'N EERR'!G76+'N EERR'!G77</f>
        <v>0</v>
      </c>
      <c r="AG63" s="28" t="str">
        <f>IF(AND(AF4=0,AF63&gt;=0), "",AF63/AF4)</f>
        <v/>
      </c>
      <c r="AH63" s="42" t="str">
        <f>IF(AND(AF124=0,AF63&gt;=0),"",AF63/AF124)</f>
        <v/>
      </c>
      <c r="AI63" s="28" t="str">
        <f t="shared" si="38"/>
        <v/>
      </c>
      <c r="AJ63" s="83">
        <f t="shared" si="16"/>
        <v>70</v>
      </c>
      <c r="AK63" s="28">
        <f>IF(AND(AJ4=0,AJ63&gt;=0), "",AJ63/AJ4)</f>
        <v>5.0724637681159417E-3</v>
      </c>
      <c r="AL63" s="42">
        <f>IF(AND(AJ124=0,AJ63&gt;=0),"",AJ63/AJ124)</f>
        <v>4.6979865771812082E-2</v>
      </c>
      <c r="AM63" s="82">
        <f>+'N EERR'!H71+'N EERR'!H72+'N EERR'!H73+'N EERR'!H74+'N EERR'!H75+'N EERR'!H76+'N EERR'!H77</f>
        <v>0</v>
      </c>
      <c r="AN63" s="28" t="str">
        <f>IF(AND(AM4=0,AM63&gt;=0), "",AM63/AM4)</f>
        <v/>
      </c>
      <c r="AO63" s="42" t="str">
        <f>IF(AND(AM124=0,AM63&gt;=0),"",AM63/AM124)</f>
        <v/>
      </c>
      <c r="AP63" s="28" t="str">
        <f t="shared" si="39"/>
        <v/>
      </c>
      <c r="AQ63" s="83">
        <f t="shared" si="17"/>
        <v>70</v>
      </c>
      <c r="AR63" s="28">
        <f>IF(AND(AQ4=0,AQ63&gt;=0), "",AQ63/AQ4)</f>
        <v>5.0724637681159417E-3</v>
      </c>
      <c r="AS63" s="42">
        <f>IF(AND(AQ124=0,AQ63&gt;=0),"",AQ63/AQ124)</f>
        <v>4.6979865771812082E-2</v>
      </c>
      <c r="AT63" s="84">
        <f t="shared" si="55"/>
        <v>0</v>
      </c>
      <c r="AU63" s="28" t="str">
        <f>IF(AND(AT4=0,AT63&gt;=0), "",AT63/AT4)</f>
        <v/>
      </c>
      <c r="AV63" s="42">
        <f t="shared" si="50"/>
        <v>1</v>
      </c>
      <c r="AW63" s="84">
        <f t="shared" si="67"/>
        <v>11.666666666666666</v>
      </c>
      <c r="AX63" s="28">
        <f>IF(AND(AW4=0,AW63&gt;=0), "",AW63/AW4)</f>
        <v>5.0724637681159408E-3</v>
      </c>
      <c r="AY63" s="42">
        <f>IF(AND(AW124=0,AW63&gt;=0),"",AW63/AW124)</f>
        <v>4.6979865771812075E-2</v>
      </c>
      <c r="AZ63" s="84">
        <f t="shared" si="56"/>
        <v>0</v>
      </c>
      <c r="BA63" s="28" t="str">
        <f>IF(AND(AZ4=0,AZ63&gt;=0), "",AZ63/AZ4)</f>
        <v/>
      </c>
      <c r="BB63" s="42">
        <f t="shared" si="51"/>
        <v>1</v>
      </c>
      <c r="BC63" s="82">
        <f>+'N EERR'!I71+'N EERR'!I72+'N EERR'!I73+'N EERR'!I74+'N EERR'!I75+'N EERR'!I76+'N EERR'!I77</f>
        <v>0</v>
      </c>
      <c r="BD63" s="28" t="str">
        <f>IF(AND(BC4=0,BC63&gt;=0), "",BC63/BC4)</f>
        <v/>
      </c>
      <c r="BE63" s="42" t="str">
        <f>IF(AND(BC124=0,BC63&gt;=0),"",BC63/BC124)</f>
        <v/>
      </c>
      <c r="BF63" s="28" t="str">
        <f t="shared" si="52"/>
        <v/>
      </c>
      <c r="BG63" s="83">
        <f t="shared" si="57"/>
        <v>70</v>
      </c>
      <c r="BH63" s="28">
        <f>IF(AND(BG4=0,BG63&gt;=0), "",BG63/BG4)</f>
        <v>5.0724637681159417E-3</v>
      </c>
      <c r="BI63" s="42">
        <f>IF(AND(BG124=0,BG63&gt;=0),"",BG63/BG124)</f>
        <v>4.6979865771812082E-2</v>
      </c>
      <c r="BJ63" s="82">
        <f>+'N EERR'!J71+'N EERR'!J72+'N EERR'!J73+'N EERR'!J74+'N EERR'!J75+'N EERR'!J76+'N EERR'!J77</f>
        <v>0</v>
      </c>
      <c r="BK63" s="28" t="str">
        <f>IF(AND(BJ4=0,BJ63&gt;=0), "",BJ63/BJ4)</f>
        <v/>
      </c>
      <c r="BL63" s="42" t="str">
        <f>IF(AND(BJ124=0,BJ63&gt;=0),"",BJ63/BJ124)</f>
        <v/>
      </c>
      <c r="BM63" s="28" t="str">
        <f t="shared" si="40"/>
        <v/>
      </c>
      <c r="BN63" s="83">
        <f t="shared" si="58"/>
        <v>70</v>
      </c>
      <c r="BO63" s="28">
        <f>IF(AND(BN4=0,BN63&gt;=0), "",BN63/BN4)</f>
        <v>5.0724637681159417E-3</v>
      </c>
      <c r="BP63" s="42">
        <f>IF(AND(BN124=0,BN63&gt;=0),"",BN63/BN124)</f>
        <v>4.6979865771812082E-2</v>
      </c>
      <c r="BQ63" s="82">
        <f>+'N EERR'!K71+'N EERR'!K72+'N EERR'!K73+'N EERR'!K74+'N EERR'!K75+'N EERR'!K76+'N EERR'!K77</f>
        <v>0</v>
      </c>
      <c r="BR63" s="28" t="str">
        <f>IF(AND(BQ4=0,BQ63&gt;=0), "",BQ63/BQ4)</f>
        <v/>
      </c>
      <c r="BS63" s="42" t="str">
        <f>IF(AND(BQ124=0,BQ63&gt;=0),"",BQ63/BQ124)</f>
        <v/>
      </c>
      <c r="BT63" s="28" t="str">
        <f t="shared" si="41"/>
        <v/>
      </c>
      <c r="BU63" s="83">
        <f t="shared" si="59"/>
        <v>70</v>
      </c>
      <c r="BV63" s="28">
        <f>IF(AND(BU4=0,BU63&gt;=0), "",BU63/BU4)</f>
        <v>5.0724637681159417E-3</v>
      </c>
      <c r="BW63" s="42">
        <f>IF(AND(BU124=0,BU63&gt;=0),"",BU63/BU124)</f>
        <v>4.6979865771812082E-2</v>
      </c>
      <c r="BX63" s="84">
        <f t="shared" si="60"/>
        <v>0</v>
      </c>
      <c r="BY63" s="28" t="str">
        <f>IF(AND(BX4=0,BX63&gt;=0), "",BX63/BX4)</f>
        <v/>
      </c>
      <c r="BZ63" s="42">
        <f t="shared" si="42"/>
        <v>1</v>
      </c>
      <c r="CA63" s="82">
        <f>+'N EERR'!L71+'N EERR'!L72+'N EERR'!L73+'N EERR'!L74+'N EERR'!L75+'N EERR'!L76+'N EERR'!L77</f>
        <v>0</v>
      </c>
      <c r="CB63" s="28" t="str">
        <f>IF(AND(CA4=0,CA63&gt;=0), "",CA63/CA4)</f>
        <v/>
      </c>
      <c r="CC63" s="42" t="str">
        <f>IF(AND(CA124=0,CA63&gt;=0),"",CA63/CA124)</f>
        <v/>
      </c>
      <c r="CD63" s="28" t="str">
        <f t="shared" si="53"/>
        <v/>
      </c>
      <c r="CE63" s="83">
        <f t="shared" si="61"/>
        <v>70</v>
      </c>
      <c r="CF63" s="28">
        <f>IF(AND(CE4=0,CE63&gt;=0), "",CE63/CE4)</f>
        <v>5.0724637681159417E-3</v>
      </c>
      <c r="CG63" s="42">
        <f>IF(AND(CE124=0,CE63&gt;=0),"",CE63/CE124)</f>
        <v>4.6979865771812082E-2</v>
      </c>
      <c r="CH63" s="82">
        <f>+'N EERR'!M71+'N EERR'!M72+'N EERR'!M73+'N EERR'!M74+'N EERR'!M75+'N EERR'!M76+'N EERR'!M77</f>
        <v>0</v>
      </c>
      <c r="CI63" s="28" t="str">
        <f>IF(AND(CH4=0,CH63&gt;=0), "",CH63/CH4)</f>
        <v/>
      </c>
      <c r="CJ63" s="42" t="str">
        <f>IF(AND(CH124=0,CH63&gt;=0),"",CH63/CH124)</f>
        <v/>
      </c>
      <c r="CK63" s="28" t="str">
        <f t="shared" si="43"/>
        <v/>
      </c>
      <c r="CL63" s="83">
        <f t="shared" si="62"/>
        <v>70</v>
      </c>
      <c r="CM63" s="28">
        <f>IF(AND(CL4=0,CL63&gt;=0), "",CL63/CL4)</f>
        <v>5.0724637681159417E-3</v>
      </c>
      <c r="CN63" s="42">
        <f>IF(AND(CL124=0,CL63&gt;=0),"",CL63/CL124)</f>
        <v>4.6979865771812082E-2</v>
      </c>
      <c r="CO63" s="82">
        <f>+'N EERR'!N71+'N EERR'!N72+'N EERR'!N73+'N EERR'!N74+'N EERR'!N75+'N EERR'!N76+'N EERR'!N77</f>
        <v>0</v>
      </c>
      <c r="CP63" s="28" t="str">
        <f>IF(AND(CO4=0,CO63&gt;=0), "",CO63/CO4)</f>
        <v/>
      </c>
      <c r="CQ63" s="42" t="str">
        <f>IF(AND(CO124=0,CO63&gt;=0),"",CO63/CO124)</f>
        <v/>
      </c>
      <c r="CR63" s="28" t="str">
        <f t="shared" si="44"/>
        <v/>
      </c>
      <c r="CS63" s="83">
        <f t="shared" si="63"/>
        <v>70</v>
      </c>
      <c r="CT63" s="28">
        <f>IF(AND(CS4=0,CS63&gt;=0), "",CS63/CS4)</f>
        <v>5.0724637681159417E-3</v>
      </c>
      <c r="CU63" s="42">
        <f>IF(AND(CS124=0,CS63&gt;=0),"",CS63/CS124)</f>
        <v>4.6979865771812082E-2</v>
      </c>
      <c r="CV63" s="84">
        <f t="shared" si="64"/>
        <v>0</v>
      </c>
      <c r="CW63" s="28" t="str">
        <f>IF(AND(CV4=0,CV63&gt;=0), "",CV63/CV4)</f>
        <v/>
      </c>
      <c r="CX63" s="42">
        <f t="shared" si="45"/>
        <v>1</v>
      </c>
    </row>
    <row r="64" spans="1:102" outlineLevel="1" x14ac:dyDescent="0.25">
      <c r="A64" s="27" t="s">
        <v>25</v>
      </c>
      <c r="B64" s="82">
        <f>+'N EERR'!B78+'N EERR'!B79+'N EERR'!B80+'N EERR'!B81+'N EERR'!B82+'N EERR'!B83+'N EERR'!B84+'N EERR'!B85+'N EERR'!B86+'N EERR'!B87</f>
        <v>0</v>
      </c>
      <c r="C64" s="28" t="str">
        <f>IF(AND(B4=0,B64&gt;=0), "",B64/B4)</f>
        <v/>
      </c>
      <c r="D64" s="42" t="str">
        <f>IF(AND(B124=0,B64&gt;=0),"",B64/B124)</f>
        <v/>
      </c>
      <c r="E64" s="82">
        <f>+'N EERR'!C78+'N EERR'!C79+'N EERR'!C80+'N EERR'!C81+'N EERR'!C82+'N EERR'!C83+'N EERR'!C84+'N EERR'!C85+'N EERR'!C86+'N EERR'!C87</f>
        <v>100</v>
      </c>
      <c r="F64" s="28">
        <f>IF(AND(E4=0,E64&gt;=0), "",E64/E4)</f>
        <v>7.246376811594203E-3</v>
      </c>
      <c r="G64" s="42">
        <f>IF(AND(E124=0,E64&gt;=0),"",E64/E124)</f>
        <v>6.7114093959731544E-2</v>
      </c>
      <c r="H64" s="82">
        <f>+'N EERR'!D78+'N EERR'!D79+'N EERR'!D80+'N EERR'!D81+'N EERR'!D82+'N EERR'!D83+'N EERR'!D84+'N EERR'!D85+'N EERR'!D86+'N EERR'!D87</f>
        <v>0</v>
      </c>
      <c r="I64" s="28" t="str">
        <f>IF(AND(H4=0,H64&gt;=0), "",H64/H4)</f>
        <v/>
      </c>
      <c r="J64" s="42" t="str">
        <f>IF(AND(H124=0,H64&gt;=0),"",H64/H124)</f>
        <v/>
      </c>
      <c r="K64" s="28">
        <f t="shared" si="46"/>
        <v>-1</v>
      </c>
      <c r="L64" s="83">
        <f t="shared" si="65"/>
        <v>100</v>
      </c>
      <c r="M64" s="28">
        <f>IF(AND(L4=0,L64&gt;=0), "",L64/L4)</f>
        <v>7.246376811594203E-3</v>
      </c>
      <c r="N64" s="42">
        <f>IF(AND(L124=0,L64&gt;=0),"",L64/L124)</f>
        <v>6.7114093959731544E-2</v>
      </c>
      <c r="O64" s="82">
        <f>+'N EERR'!E78+'N EERR'!E79+'N EERR'!E80+'N EERR'!E81+'N EERR'!E82+'N EERR'!E83+'N EERR'!E84+'N EERR'!E85+'N EERR'!E86+'N EERR'!E87</f>
        <v>0</v>
      </c>
      <c r="P64" s="28" t="str">
        <f>IF(AND(O4=0,O64&gt;=0), "",O64/O4)</f>
        <v/>
      </c>
      <c r="Q64" s="42" t="str">
        <f>IF(AND(O124=0,O64&gt;=0),"",O64/O124)</f>
        <v/>
      </c>
      <c r="R64" s="28" t="str">
        <f t="shared" si="47"/>
        <v/>
      </c>
      <c r="S64" s="83">
        <f t="shared" si="66"/>
        <v>100</v>
      </c>
      <c r="T64" s="28">
        <f>IF(AND(S4=0,S64&gt;=0), "",S64/S4)</f>
        <v>7.246376811594203E-3</v>
      </c>
      <c r="U64" s="42">
        <f>IF(AND(S124=0,S64&gt;=0),"",S64/S124)</f>
        <v>6.7114093959731544E-2</v>
      </c>
      <c r="V64" s="84"/>
      <c r="W64" s="28" t="str">
        <f>IF(AND(V4=0,V64&gt;=0), "",V64/V4)</f>
        <v/>
      </c>
      <c r="X64" s="42">
        <f t="shared" si="48"/>
        <v>1</v>
      </c>
      <c r="Y64" s="82">
        <f>+'N EERR'!F78+'N EERR'!F79+'N EERR'!F80+'N EERR'!F81+'N EERR'!F82+'N EERR'!F83+'N EERR'!F84+'N EERR'!F85+'N EERR'!F86+'N EERR'!F87</f>
        <v>0</v>
      </c>
      <c r="Z64" s="28" t="str">
        <f>IF(AND(Y4=0,Y64&gt;=0), "",Y64/Y4)</f>
        <v/>
      </c>
      <c r="AA64" s="42" t="str">
        <f>IF(AND(Y124=0,Y64&gt;=0),"",Y64/Y124)</f>
        <v/>
      </c>
      <c r="AB64" s="28" t="str">
        <f t="shared" si="49"/>
        <v/>
      </c>
      <c r="AC64" s="83">
        <f t="shared" si="54"/>
        <v>100</v>
      </c>
      <c r="AD64" s="28">
        <f>IF(AND(AC4=0,AC64&gt;=0), "",AC64/AC4)</f>
        <v>7.246376811594203E-3</v>
      </c>
      <c r="AE64" s="42">
        <f>IF(AND(AC124=0,AC64&gt;=0),"",AC64/AC124)</f>
        <v>6.7114093959731544E-2</v>
      </c>
      <c r="AF64" s="82">
        <f>+'N EERR'!G78+'N EERR'!G79+'N EERR'!G80+'N EERR'!G81+'N EERR'!G82+'N EERR'!G83+'N EERR'!G84+'N EERR'!G85+'N EERR'!G86+'N EERR'!G87</f>
        <v>0</v>
      </c>
      <c r="AG64" s="28" t="str">
        <f>IF(AND(AF4=0,AF64&gt;=0), "",AF64/AF4)</f>
        <v/>
      </c>
      <c r="AH64" s="42" t="str">
        <f>IF(AND(AF124=0,AF64&gt;=0),"",AF64/AF124)</f>
        <v/>
      </c>
      <c r="AI64" s="28" t="str">
        <f t="shared" si="38"/>
        <v/>
      </c>
      <c r="AJ64" s="83">
        <f t="shared" si="16"/>
        <v>100</v>
      </c>
      <c r="AK64" s="28">
        <f>IF(AND(AJ4=0,AJ64&gt;=0), "",AJ64/AJ4)</f>
        <v>7.246376811594203E-3</v>
      </c>
      <c r="AL64" s="42">
        <f>IF(AND(AJ124=0,AJ64&gt;=0),"",AJ64/AJ124)</f>
        <v>6.7114093959731544E-2</v>
      </c>
      <c r="AM64" s="82">
        <f>+'N EERR'!H78+'N EERR'!H79+'N EERR'!H80+'N EERR'!H81+'N EERR'!H82+'N EERR'!H83+'N EERR'!H84+'N EERR'!H85+'N EERR'!H86+'N EERR'!H87</f>
        <v>0</v>
      </c>
      <c r="AN64" s="28" t="str">
        <f>IF(AND(AM4=0,AM64&gt;=0), "",AM64/AM4)</f>
        <v/>
      </c>
      <c r="AO64" s="42" t="str">
        <f>IF(AND(AM124=0,AM64&gt;=0),"",AM64/AM124)</f>
        <v/>
      </c>
      <c r="AP64" s="28" t="str">
        <f t="shared" si="39"/>
        <v/>
      </c>
      <c r="AQ64" s="83">
        <f t="shared" si="17"/>
        <v>100</v>
      </c>
      <c r="AR64" s="28">
        <f>IF(AND(AQ4=0,AQ64&gt;=0), "",AQ64/AQ4)</f>
        <v>7.246376811594203E-3</v>
      </c>
      <c r="AS64" s="42">
        <f>IF(AND(AQ124=0,AQ64&gt;=0),"",AQ64/AQ124)</f>
        <v>6.7114093959731544E-2</v>
      </c>
      <c r="AT64" s="84">
        <f t="shared" si="55"/>
        <v>0</v>
      </c>
      <c r="AU64" s="28" t="str">
        <f>IF(AND(AT4=0,AT64&gt;=0), "",AT64/AT4)</f>
        <v/>
      </c>
      <c r="AV64" s="42">
        <f t="shared" si="50"/>
        <v>1</v>
      </c>
      <c r="AW64" s="84">
        <f t="shared" si="67"/>
        <v>16.666666666666668</v>
      </c>
      <c r="AX64" s="28">
        <f>IF(AND(AW4=0,AW64&gt;=0), "",AW64/AW4)</f>
        <v>7.2463768115942021E-3</v>
      </c>
      <c r="AY64" s="42">
        <f>IF(AND(AW124=0,AW64&gt;=0),"",AW64/AW124)</f>
        <v>6.7114093959731544E-2</v>
      </c>
      <c r="AZ64" s="84">
        <f t="shared" si="56"/>
        <v>0</v>
      </c>
      <c r="BA64" s="28" t="str">
        <f>IF(AND(AZ4=0,AZ64&gt;=0), "",AZ64/AZ4)</f>
        <v/>
      </c>
      <c r="BB64" s="42">
        <f t="shared" si="51"/>
        <v>1</v>
      </c>
      <c r="BC64" s="82">
        <f>+'N EERR'!I78+'N EERR'!I79+'N EERR'!I80+'N EERR'!I81+'N EERR'!I82+'N EERR'!I83+'N EERR'!I84+'N EERR'!I85+'N EERR'!I86+'N EERR'!I87</f>
        <v>0</v>
      </c>
      <c r="BD64" s="28" t="str">
        <f>IF(AND(BC4=0,BC64&gt;=0), "",BC64/BC4)</f>
        <v/>
      </c>
      <c r="BE64" s="42" t="str">
        <f>IF(AND(BC124=0,BC64&gt;=0),"",BC64/BC124)</f>
        <v/>
      </c>
      <c r="BF64" s="28" t="str">
        <f t="shared" si="52"/>
        <v/>
      </c>
      <c r="BG64" s="83">
        <f t="shared" si="57"/>
        <v>100</v>
      </c>
      <c r="BH64" s="28">
        <f>IF(AND(BG4=0,BG64&gt;=0), "",BG64/BG4)</f>
        <v>7.246376811594203E-3</v>
      </c>
      <c r="BI64" s="42">
        <f>IF(AND(BG124=0,BG64&gt;=0),"",BG64/BG124)</f>
        <v>6.7114093959731544E-2</v>
      </c>
      <c r="BJ64" s="82">
        <f>+'N EERR'!J78+'N EERR'!J79+'N EERR'!J80+'N EERR'!J81+'N EERR'!J82+'N EERR'!J83+'N EERR'!J84+'N EERR'!J85+'N EERR'!J86+'N EERR'!J87</f>
        <v>0</v>
      </c>
      <c r="BK64" s="28" t="str">
        <f>IF(AND(BJ4=0,BJ64&gt;=0), "",BJ64/BJ4)</f>
        <v/>
      </c>
      <c r="BL64" s="42" t="str">
        <f>IF(AND(BJ124=0,BJ64&gt;=0),"",BJ64/BJ124)</f>
        <v/>
      </c>
      <c r="BM64" s="28" t="str">
        <f t="shared" si="40"/>
        <v/>
      </c>
      <c r="BN64" s="83">
        <f t="shared" si="58"/>
        <v>100</v>
      </c>
      <c r="BO64" s="28">
        <f>IF(AND(BN4=0,BN64&gt;=0), "",BN64/BN4)</f>
        <v>7.246376811594203E-3</v>
      </c>
      <c r="BP64" s="42">
        <f>IF(AND(BN124=0,BN64&gt;=0),"",BN64/BN124)</f>
        <v>6.7114093959731544E-2</v>
      </c>
      <c r="BQ64" s="82">
        <f>+'N EERR'!K78+'N EERR'!K79+'N EERR'!K80+'N EERR'!K81+'N EERR'!K82+'N EERR'!K83+'N EERR'!K84+'N EERR'!K85+'N EERR'!K86+'N EERR'!K87</f>
        <v>0</v>
      </c>
      <c r="BR64" s="28" t="str">
        <f>IF(AND(BQ4=0,BQ64&gt;=0), "",BQ64/BQ4)</f>
        <v/>
      </c>
      <c r="BS64" s="42" t="str">
        <f>IF(AND(BQ124=0,BQ64&gt;=0),"",BQ64/BQ124)</f>
        <v/>
      </c>
      <c r="BT64" s="28" t="str">
        <f t="shared" si="41"/>
        <v/>
      </c>
      <c r="BU64" s="83">
        <f t="shared" si="59"/>
        <v>100</v>
      </c>
      <c r="BV64" s="28">
        <f>IF(AND(BU4=0,BU64&gt;=0), "",BU64/BU4)</f>
        <v>7.246376811594203E-3</v>
      </c>
      <c r="BW64" s="42">
        <f>IF(AND(BU124=0,BU64&gt;=0),"",BU64/BU124)</f>
        <v>6.7114093959731544E-2</v>
      </c>
      <c r="BX64" s="84">
        <f t="shared" si="60"/>
        <v>0</v>
      </c>
      <c r="BY64" s="28" t="str">
        <f>IF(AND(BX4=0,BX64&gt;=0), "",BX64/BX4)</f>
        <v/>
      </c>
      <c r="BZ64" s="42">
        <f t="shared" si="42"/>
        <v>1</v>
      </c>
      <c r="CA64" s="82">
        <f>+'N EERR'!L78+'N EERR'!L79+'N EERR'!L80+'N EERR'!L81+'N EERR'!L82+'N EERR'!L83+'N EERR'!L84+'N EERR'!L85+'N EERR'!L86+'N EERR'!L87</f>
        <v>0</v>
      </c>
      <c r="CB64" s="28" t="str">
        <f>IF(AND(CA4=0,CA64&gt;=0), "",CA64/CA4)</f>
        <v/>
      </c>
      <c r="CC64" s="42" t="str">
        <f>IF(AND(CA124=0,CA64&gt;=0),"",CA64/CA124)</f>
        <v/>
      </c>
      <c r="CD64" s="28" t="str">
        <f t="shared" si="53"/>
        <v/>
      </c>
      <c r="CE64" s="83">
        <f t="shared" si="61"/>
        <v>100</v>
      </c>
      <c r="CF64" s="28">
        <f>IF(AND(CE4=0,CE64&gt;=0), "",CE64/CE4)</f>
        <v>7.246376811594203E-3</v>
      </c>
      <c r="CG64" s="42">
        <f>IF(AND(CE124=0,CE64&gt;=0),"",CE64/CE124)</f>
        <v>6.7114093959731544E-2</v>
      </c>
      <c r="CH64" s="82">
        <f>+'N EERR'!M78+'N EERR'!M79+'N EERR'!M80+'N EERR'!M81+'N EERR'!M82+'N EERR'!M83+'N EERR'!M84+'N EERR'!M85+'N EERR'!M86+'N EERR'!M87</f>
        <v>0</v>
      </c>
      <c r="CI64" s="28" t="str">
        <f>IF(AND(CH4=0,CH64&gt;=0), "",CH64/CH4)</f>
        <v/>
      </c>
      <c r="CJ64" s="42" t="str">
        <f>IF(AND(CH124=0,CH64&gt;=0),"",CH64/CH124)</f>
        <v/>
      </c>
      <c r="CK64" s="28" t="str">
        <f t="shared" si="43"/>
        <v/>
      </c>
      <c r="CL64" s="83">
        <f t="shared" si="62"/>
        <v>100</v>
      </c>
      <c r="CM64" s="28">
        <f>IF(AND(CL4=0,CL64&gt;=0), "",CL64/CL4)</f>
        <v>7.246376811594203E-3</v>
      </c>
      <c r="CN64" s="42">
        <f>IF(AND(CL124=0,CL64&gt;=0),"",CL64/CL124)</f>
        <v>6.7114093959731544E-2</v>
      </c>
      <c r="CO64" s="82">
        <f>+'N EERR'!N78+'N EERR'!N79+'N EERR'!N80+'N EERR'!N81+'N EERR'!N82+'N EERR'!N83+'N EERR'!N84+'N EERR'!N85+'N EERR'!N86+'N EERR'!N87</f>
        <v>0</v>
      </c>
      <c r="CP64" s="28" t="str">
        <f>IF(AND(CO4=0,CO64&gt;=0), "",CO64/CO4)</f>
        <v/>
      </c>
      <c r="CQ64" s="42" t="str">
        <f>IF(AND(CO124=0,CO64&gt;=0),"",CO64/CO124)</f>
        <v/>
      </c>
      <c r="CR64" s="28" t="str">
        <f t="shared" si="44"/>
        <v/>
      </c>
      <c r="CS64" s="83">
        <f t="shared" si="63"/>
        <v>100</v>
      </c>
      <c r="CT64" s="28">
        <f>IF(AND(CS4=0,CS64&gt;=0), "",CS64/CS4)</f>
        <v>7.246376811594203E-3</v>
      </c>
      <c r="CU64" s="42">
        <f>IF(AND(CS124=0,CS64&gt;=0),"",CS64/CS124)</f>
        <v>6.7114093959731544E-2</v>
      </c>
      <c r="CV64" s="84">
        <f t="shared" si="64"/>
        <v>0</v>
      </c>
      <c r="CW64" s="28" t="str">
        <f>IF(AND(CV4=0,CV64&gt;=0), "",CV64/CV4)</f>
        <v/>
      </c>
      <c r="CX64" s="42">
        <f t="shared" si="45"/>
        <v>1</v>
      </c>
    </row>
    <row r="65" spans="1:102" outlineLevel="1" x14ac:dyDescent="0.25">
      <c r="A65" s="27" t="s">
        <v>26</v>
      </c>
      <c r="B65" s="82">
        <f>+'N EERR'!B88+'N EERR'!B89+'N EERR'!B90</f>
        <v>0</v>
      </c>
      <c r="C65" s="28" t="str">
        <f>IF(AND(B4=0,B65&gt;=0), "",B65/B4)</f>
        <v/>
      </c>
      <c r="D65" s="42" t="str">
        <f>IF(AND(B124=0,B65&gt;=0),"",B65/B124)</f>
        <v/>
      </c>
      <c r="E65" s="82">
        <f>+'N EERR'!C88+'N EERR'!C89+'N EERR'!C90</f>
        <v>30</v>
      </c>
      <c r="F65" s="28">
        <f>IF(AND(E4=0,E65&gt;=0), "",E65/E4)</f>
        <v>2.1739130434782609E-3</v>
      </c>
      <c r="G65" s="42">
        <f>IF(AND(E124=0,E65&gt;=0),"",E65/E124)</f>
        <v>2.0134228187919462E-2</v>
      </c>
      <c r="H65" s="82">
        <f>+'N EERR'!D88+'N EERR'!D89+'N EERR'!D90</f>
        <v>0</v>
      </c>
      <c r="I65" s="28" t="str">
        <f>IF(AND(H4=0,H65&gt;=0), "",H65/H4)</f>
        <v/>
      </c>
      <c r="J65" s="42" t="str">
        <f>IF(AND(H124=0,H65&gt;=0),"",H65/H124)</f>
        <v/>
      </c>
      <c r="K65" s="28">
        <f t="shared" si="46"/>
        <v>-1</v>
      </c>
      <c r="L65" s="83">
        <f t="shared" si="65"/>
        <v>30</v>
      </c>
      <c r="M65" s="28">
        <f>IF(AND(L4=0,L65&gt;=0), "",L65/L4)</f>
        <v>2.1739130434782609E-3</v>
      </c>
      <c r="N65" s="42">
        <f>IF(AND(L124=0,L65&gt;=0),"",L65/L124)</f>
        <v>2.0134228187919462E-2</v>
      </c>
      <c r="O65" s="82">
        <f>+'N EERR'!E88+'N EERR'!E89+'N EERR'!E90</f>
        <v>0</v>
      </c>
      <c r="P65" s="28" t="str">
        <f>IF(AND(O4=0,O65&gt;=0), "",O65/O4)</f>
        <v/>
      </c>
      <c r="Q65" s="42" t="str">
        <f>IF(AND(O124=0,O65&gt;=0),"",O65/O124)</f>
        <v/>
      </c>
      <c r="R65" s="28" t="str">
        <f t="shared" si="47"/>
        <v/>
      </c>
      <c r="S65" s="83">
        <f t="shared" si="66"/>
        <v>30</v>
      </c>
      <c r="T65" s="28">
        <f>IF(AND(S4=0,S65&gt;=0), "",S65/S4)</f>
        <v>2.1739130434782609E-3</v>
      </c>
      <c r="U65" s="42">
        <f>IF(AND(S124=0,S65&gt;=0),"",S65/S124)</f>
        <v>2.0134228187919462E-2</v>
      </c>
      <c r="V65" s="84"/>
      <c r="W65" s="28" t="str">
        <f>IF(AND(V4=0,V65&gt;=0), "",V65/V4)</f>
        <v/>
      </c>
      <c r="X65" s="42">
        <f t="shared" si="48"/>
        <v>1</v>
      </c>
      <c r="Y65" s="82">
        <f>+'N EERR'!F88+'N EERR'!F89+'N EERR'!F90</f>
        <v>0</v>
      </c>
      <c r="Z65" s="28" t="str">
        <f>IF(AND(Y4=0,Y65&gt;=0), "",Y65/Y4)</f>
        <v/>
      </c>
      <c r="AA65" s="42" t="str">
        <f>IF(AND(Y124=0,Y65&gt;=0),"",Y65/Y124)</f>
        <v/>
      </c>
      <c r="AB65" s="28" t="str">
        <f t="shared" si="49"/>
        <v/>
      </c>
      <c r="AC65" s="83">
        <f t="shared" si="54"/>
        <v>30</v>
      </c>
      <c r="AD65" s="28">
        <f>IF(AND(AC4=0,AC65&gt;=0), "",AC65/AC4)</f>
        <v>2.1739130434782609E-3</v>
      </c>
      <c r="AE65" s="42">
        <f>IF(AND(AC124=0,AC65&gt;=0),"",AC65/AC124)</f>
        <v>2.0134228187919462E-2</v>
      </c>
      <c r="AF65" s="82">
        <f>+'N EERR'!G88+'N EERR'!G89+'N EERR'!G90</f>
        <v>0</v>
      </c>
      <c r="AG65" s="28" t="str">
        <f>IF(AND(AF4=0,AF65&gt;=0), "",AF65/AF4)</f>
        <v/>
      </c>
      <c r="AH65" s="42" t="str">
        <f>IF(AND(AF124=0,AF65&gt;=0),"",AF65/AF124)</f>
        <v/>
      </c>
      <c r="AI65" s="28" t="str">
        <f t="shared" si="38"/>
        <v/>
      </c>
      <c r="AJ65" s="83">
        <f t="shared" si="16"/>
        <v>30</v>
      </c>
      <c r="AK65" s="28">
        <f>IF(AND(AJ4=0,AJ65&gt;=0), "",AJ65/AJ4)</f>
        <v>2.1739130434782609E-3</v>
      </c>
      <c r="AL65" s="42">
        <f>IF(AND(AJ124=0,AJ65&gt;=0),"",AJ65/AJ124)</f>
        <v>2.0134228187919462E-2</v>
      </c>
      <c r="AM65" s="82">
        <f>+'N EERR'!H88+'N EERR'!H89+'N EERR'!H90</f>
        <v>0</v>
      </c>
      <c r="AN65" s="28" t="str">
        <f>IF(AND(AM4=0,AM65&gt;=0), "",AM65/AM4)</f>
        <v/>
      </c>
      <c r="AO65" s="42" t="str">
        <f>IF(AND(AM124=0,AM65&gt;=0),"",AM65/AM124)</f>
        <v/>
      </c>
      <c r="AP65" s="28" t="str">
        <f t="shared" si="39"/>
        <v/>
      </c>
      <c r="AQ65" s="83">
        <f t="shared" si="17"/>
        <v>30</v>
      </c>
      <c r="AR65" s="28">
        <f>IF(AND(AQ4=0,AQ65&gt;=0), "",AQ65/AQ4)</f>
        <v>2.1739130434782609E-3</v>
      </c>
      <c r="AS65" s="42">
        <f>IF(AND(AQ124=0,AQ65&gt;=0),"",AQ65/AQ124)</f>
        <v>2.0134228187919462E-2</v>
      </c>
      <c r="AT65" s="84">
        <f t="shared" si="55"/>
        <v>0</v>
      </c>
      <c r="AU65" s="28" t="str">
        <f>IF(AND(AT4=0,AT65&gt;=0), "",AT65/AT4)</f>
        <v/>
      </c>
      <c r="AV65" s="42">
        <f t="shared" si="50"/>
        <v>1</v>
      </c>
      <c r="AW65" s="84">
        <f t="shared" si="67"/>
        <v>5</v>
      </c>
      <c r="AX65" s="28">
        <f>IF(AND(AW4=0,AW65&gt;=0), "",AW65/AW4)</f>
        <v>2.1739130434782605E-3</v>
      </c>
      <c r="AY65" s="42">
        <f>IF(AND(AW124=0,AW65&gt;=0),"",AW65/AW124)</f>
        <v>2.0134228187919462E-2</v>
      </c>
      <c r="AZ65" s="84">
        <f t="shared" si="56"/>
        <v>0</v>
      </c>
      <c r="BA65" s="28" t="str">
        <f>IF(AND(AZ4=0,AZ65&gt;=0), "",AZ65/AZ4)</f>
        <v/>
      </c>
      <c r="BB65" s="42">
        <f t="shared" si="51"/>
        <v>1</v>
      </c>
      <c r="BC65" s="82">
        <f>+'N EERR'!I88+'N EERR'!I89+'N EERR'!I90</f>
        <v>0</v>
      </c>
      <c r="BD65" s="28" t="str">
        <f>IF(AND(BC4=0,BC65&gt;=0), "",BC65/BC4)</f>
        <v/>
      </c>
      <c r="BE65" s="42" t="str">
        <f>IF(AND(BC124=0,BC65&gt;=0),"",BC65/BC124)</f>
        <v/>
      </c>
      <c r="BF65" s="28" t="str">
        <f t="shared" si="52"/>
        <v/>
      </c>
      <c r="BG65" s="83">
        <f t="shared" si="57"/>
        <v>30</v>
      </c>
      <c r="BH65" s="28">
        <f>IF(AND(BG4=0,BG65&gt;=0), "",BG65/BG4)</f>
        <v>2.1739130434782609E-3</v>
      </c>
      <c r="BI65" s="42">
        <f>IF(AND(BG124=0,BG65&gt;=0),"",BG65/BG124)</f>
        <v>2.0134228187919462E-2</v>
      </c>
      <c r="BJ65" s="82">
        <f>+'N EERR'!J88+'N EERR'!J89+'N EERR'!J90</f>
        <v>0</v>
      </c>
      <c r="BK65" s="28" t="str">
        <f>IF(AND(BJ4=0,BJ65&gt;=0), "",BJ65/BJ4)</f>
        <v/>
      </c>
      <c r="BL65" s="42" t="str">
        <f>IF(AND(BJ124=0,BJ65&gt;=0),"",BJ65/BJ124)</f>
        <v/>
      </c>
      <c r="BM65" s="28" t="str">
        <f t="shared" si="40"/>
        <v/>
      </c>
      <c r="BN65" s="83">
        <f t="shared" si="58"/>
        <v>30</v>
      </c>
      <c r="BO65" s="28">
        <f>IF(AND(BN4=0,BN65&gt;=0), "",BN65/BN4)</f>
        <v>2.1739130434782609E-3</v>
      </c>
      <c r="BP65" s="42">
        <f>IF(AND(BN124=0,BN65&gt;=0),"",BN65/BN124)</f>
        <v>2.0134228187919462E-2</v>
      </c>
      <c r="BQ65" s="82">
        <f>+'N EERR'!K88+'N EERR'!K89+'N EERR'!K90</f>
        <v>0</v>
      </c>
      <c r="BR65" s="28" t="str">
        <f>IF(AND(BQ4=0,BQ65&gt;=0), "",BQ65/BQ4)</f>
        <v/>
      </c>
      <c r="BS65" s="42" t="str">
        <f>IF(AND(BQ124=0,BQ65&gt;=0),"",BQ65/BQ124)</f>
        <v/>
      </c>
      <c r="BT65" s="28" t="str">
        <f t="shared" si="41"/>
        <v/>
      </c>
      <c r="BU65" s="83">
        <f t="shared" si="59"/>
        <v>30</v>
      </c>
      <c r="BV65" s="28">
        <f>IF(AND(BU4=0,BU65&gt;=0), "",BU65/BU4)</f>
        <v>2.1739130434782609E-3</v>
      </c>
      <c r="BW65" s="42">
        <f>IF(AND(BU124=0,BU65&gt;=0),"",BU65/BU124)</f>
        <v>2.0134228187919462E-2</v>
      </c>
      <c r="BX65" s="84">
        <f t="shared" si="60"/>
        <v>0</v>
      </c>
      <c r="BY65" s="28" t="str">
        <f>IF(AND(BX4=0,BX65&gt;=0), "",BX65/BX4)</f>
        <v/>
      </c>
      <c r="BZ65" s="42">
        <f t="shared" si="42"/>
        <v>1</v>
      </c>
      <c r="CA65" s="82">
        <f>+'N EERR'!L88+'N EERR'!L89+'N EERR'!L90</f>
        <v>0</v>
      </c>
      <c r="CB65" s="28" t="str">
        <f>IF(AND(CA4=0,CA65&gt;=0), "",CA65/CA4)</f>
        <v/>
      </c>
      <c r="CC65" s="42" t="str">
        <f>IF(AND(CA124=0,CA65&gt;=0),"",CA65/CA124)</f>
        <v/>
      </c>
      <c r="CD65" s="28" t="str">
        <f t="shared" si="53"/>
        <v/>
      </c>
      <c r="CE65" s="83">
        <f t="shared" si="61"/>
        <v>30</v>
      </c>
      <c r="CF65" s="28">
        <f>IF(AND(CE4=0,CE65&gt;=0), "",CE65/CE4)</f>
        <v>2.1739130434782609E-3</v>
      </c>
      <c r="CG65" s="42">
        <f>IF(AND(CE124=0,CE65&gt;=0),"",CE65/CE124)</f>
        <v>2.0134228187919462E-2</v>
      </c>
      <c r="CH65" s="82">
        <f>+'N EERR'!M88+'N EERR'!M89+'N EERR'!M90</f>
        <v>0</v>
      </c>
      <c r="CI65" s="28" t="str">
        <f>IF(AND(CH4=0,CH65&gt;=0), "",CH65/CH4)</f>
        <v/>
      </c>
      <c r="CJ65" s="42" t="str">
        <f>IF(AND(CH124=0,CH65&gt;=0),"",CH65/CH124)</f>
        <v/>
      </c>
      <c r="CK65" s="28" t="str">
        <f t="shared" si="43"/>
        <v/>
      </c>
      <c r="CL65" s="83">
        <f t="shared" si="62"/>
        <v>30</v>
      </c>
      <c r="CM65" s="28">
        <f>IF(AND(CL4=0,CL65&gt;=0), "",CL65/CL4)</f>
        <v>2.1739130434782609E-3</v>
      </c>
      <c r="CN65" s="42">
        <f>IF(AND(CL124=0,CL65&gt;=0),"",CL65/CL124)</f>
        <v>2.0134228187919462E-2</v>
      </c>
      <c r="CO65" s="82">
        <f>+'N EERR'!N88+'N EERR'!N89+'N EERR'!N90</f>
        <v>0</v>
      </c>
      <c r="CP65" s="28" t="str">
        <f>IF(AND(CO4=0,CO65&gt;=0), "",CO65/CO4)</f>
        <v/>
      </c>
      <c r="CQ65" s="42" t="str">
        <f>IF(AND(CO124=0,CO65&gt;=0),"",CO65/CO124)</f>
        <v/>
      </c>
      <c r="CR65" s="28" t="str">
        <f t="shared" si="44"/>
        <v/>
      </c>
      <c r="CS65" s="83">
        <f t="shared" si="63"/>
        <v>30</v>
      </c>
      <c r="CT65" s="28">
        <f>IF(AND(CS4=0,CS65&gt;=0), "",CS65/CS4)</f>
        <v>2.1739130434782609E-3</v>
      </c>
      <c r="CU65" s="42">
        <f>IF(AND(CS124=0,CS65&gt;=0),"",CS65/CS124)</f>
        <v>2.0134228187919462E-2</v>
      </c>
      <c r="CV65" s="84">
        <f t="shared" si="64"/>
        <v>0</v>
      </c>
      <c r="CW65" s="28" t="str">
        <f>IF(AND(CV4=0,CV65&gt;=0), "",CV65/CV4)</f>
        <v/>
      </c>
      <c r="CX65" s="42">
        <f t="shared" si="45"/>
        <v>1</v>
      </c>
    </row>
    <row r="66" spans="1:102" outlineLevel="1" x14ac:dyDescent="0.25">
      <c r="A66" s="27" t="s">
        <v>116</v>
      </c>
      <c r="B66" s="82">
        <f>+'N EERR'!B91+'N EERR'!B92</f>
        <v>0</v>
      </c>
      <c r="C66" s="28" t="str">
        <f>IF(AND(B4=0,B66&gt;=0), "",B66/B4)</f>
        <v/>
      </c>
      <c r="D66" s="42" t="str">
        <f>IF(AND(B124=0,B66&gt;=0),"",B66/B124)</f>
        <v/>
      </c>
      <c r="E66" s="82">
        <f>'N EERR'!C91+'N EERR'!C92</f>
        <v>20</v>
      </c>
      <c r="F66" s="28">
        <f>IF(AND(E4=0,E66&gt;=0), "",E66/E4)</f>
        <v>1.4492753623188406E-3</v>
      </c>
      <c r="G66" s="42">
        <f>IF(AND(E124=0,E66&gt;=0),"",E66/E124)</f>
        <v>1.3422818791946308E-2</v>
      </c>
      <c r="H66" s="82">
        <f>'N EERR'!D91+'N EERR'!D92</f>
        <v>0</v>
      </c>
      <c r="I66" s="28" t="str">
        <f>IF(AND(H4=0,H66&gt;=0), "",H66/H4)</f>
        <v/>
      </c>
      <c r="J66" s="42" t="str">
        <f>IF(AND(H124=0,H66&gt;=0),"",H66/H124)</f>
        <v/>
      </c>
      <c r="K66" s="28">
        <f t="shared" si="46"/>
        <v>-1</v>
      </c>
      <c r="L66" s="83">
        <f t="shared" si="65"/>
        <v>20</v>
      </c>
      <c r="M66" s="28">
        <f>IF(AND(L4=0,L66&gt;=0), "",L66/L4)</f>
        <v>1.4492753623188406E-3</v>
      </c>
      <c r="N66" s="42">
        <f>IF(AND(L124=0,L66&gt;=0),"",L66/L124)</f>
        <v>1.3422818791946308E-2</v>
      </c>
      <c r="O66" s="82">
        <f>+'N EERR'!E91+'N EERR'!E92</f>
        <v>0</v>
      </c>
      <c r="P66" s="28" t="str">
        <f>IF(AND(O4=0,O66&gt;=0), "",O66/O4)</f>
        <v/>
      </c>
      <c r="Q66" s="42" t="str">
        <f>IF(AND(O124=0,O66&gt;=0),"",O66/O124)</f>
        <v/>
      </c>
      <c r="R66" s="28" t="str">
        <f t="shared" si="47"/>
        <v/>
      </c>
      <c r="S66" s="83">
        <f t="shared" si="66"/>
        <v>20</v>
      </c>
      <c r="T66" s="28">
        <f>IF(AND(S4=0,S66&gt;=0), "",S66/S4)</f>
        <v>1.4492753623188406E-3</v>
      </c>
      <c r="U66" s="42">
        <f>IF(AND(S124=0,S66&gt;=0),"",S66/S124)</f>
        <v>1.3422818791946308E-2</v>
      </c>
      <c r="V66" s="84"/>
      <c r="W66" s="28" t="str">
        <f>IF(AND(V4=0,V66&gt;=0), "",V66/V4)</f>
        <v/>
      </c>
      <c r="X66" s="42">
        <f t="shared" si="48"/>
        <v>1</v>
      </c>
      <c r="Y66" s="82">
        <f>+'N EERR'!F91+'N EERR'!F92</f>
        <v>0</v>
      </c>
      <c r="Z66" s="28" t="str">
        <f>IF(AND(Y4=0,Y66&gt;=0), "",Y66/Y4)</f>
        <v/>
      </c>
      <c r="AA66" s="42" t="str">
        <f>IF(AND(Y124=0,Y66&gt;=0),"",Y66/Y124)</f>
        <v/>
      </c>
      <c r="AB66" s="28" t="str">
        <f t="shared" si="49"/>
        <v/>
      </c>
      <c r="AC66" s="83">
        <f t="shared" si="54"/>
        <v>20</v>
      </c>
      <c r="AD66" s="28">
        <f>IF(AND(AC4=0,AC66&gt;=0), "",AC66/AC4)</f>
        <v>1.4492753623188406E-3</v>
      </c>
      <c r="AE66" s="42">
        <f>IF(AND(AC124=0,AC66&gt;=0),"",AC66/AC124)</f>
        <v>1.3422818791946308E-2</v>
      </c>
      <c r="AF66" s="82">
        <f>'N EERR'!G91+'N EERR'!G92</f>
        <v>0</v>
      </c>
      <c r="AG66" s="28" t="str">
        <f>IF(AND(AF4=0,AF66&gt;=0), "",AF66/AF4)</f>
        <v/>
      </c>
      <c r="AH66" s="42" t="str">
        <f>IF(AND(AF124=0,AF66&gt;=0),"",AF66/AF124)</f>
        <v/>
      </c>
      <c r="AI66" s="28" t="str">
        <f t="shared" si="38"/>
        <v/>
      </c>
      <c r="AJ66" s="83">
        <f t="shared" si="16"/>
        <v>20</v>
      </c>
      <c r="AK66" s="28">
        <f>IF(AND(AJ4=0,AJ66&gt;=0), "",AJ66/AJ4)</f>
        <v>1.4492753623188406E-3</v>
      </c>
      <c r="AL66" s="42">
        <f>IF(AND(AJ124=0,AJ66&gt;=0),"",AJ66/AJ124)</f>
        <v>1.3422818791946308E-2</v>
      </c>
      <c r="AM66" s="82">
        <f>+'N EERR'!H91+'N EERR'!H92</f>
        <v>0</v>
      </c>
      <c r="AN66" s="28" t="str">
        <f>IF(AND(AM4=0,AM66&gt;=0), "",AM66/AM4)</f>
        <v/>
      </c>
      <c r="AO66" s="42" t="str">
        <f>IF(AND(AM124=0,AM66&gt;=0),"",AM66/AM124)</f>
        <v/>
      </c>
      <c r="AP66" s="28" t="str">
        <f t="shared" si="39"/>
        <v/>
      </c>
      <c r="AQ66" s="83">
        <f t="shared" si="17"/>
        <v>20</v>
      </c>
      <c r="AR66" s="28">
        <f>IF(AND(AQ4=0,AQ66&gt;=0), "",AQ66/AQ4)</f>
        <v>1.4492753623188406E-3</v>
      </c>
      <c r="AS66" s="42">
        <f>IF(AND(AQ124=0,AQ66&gt;=0),"",AQ66/AQ124)</f>
        <v>1.3422818791946308E-2</v>
      </c>
      <c r="AT66" s="84">
        <f t="shared" si="55"/>
        <v>0</v>
      </c>
      <c r="AU66" s="28" t="str">
        <f>IF(AND(AT4=0,AT66&gt;=0), "",AT66/AT4)</f>
        <v/>
      </c>
      <c r="AV66" s="42">
        <f t="shared" si="50"/>
        <v>1</v>
      </c>
      <c r="AW66" s="84">
        <f t="shared" si="67"/>
        <v>3.3333333333333335</v>
      </c>
      <c r="AX66" s="28">
        <f>IF(AND(AW4=0,AW66&gt;=0), "",AW66/AW4)</f>
        <v>1.4492753623188404E-3</v>
      </c>
      <c r="AY66" s="42">
        <f>IF(AND(AW124=0,AW66&gt;=0),"",AW66/AW124)</f>
        <v>1.3422818791946308E-2</v>
      </c>
      <c r="AZ66" s="84">
        <f t="shared" si="56"/>
        <v>0</v>
      </c>
      <c r="BA66" s="28" t="str">
        <f>IF(AND(AZ4=0,AZ66&gt;=0), "",AZ66/AZ4)</f>
        <v/>
      </c>
      <c r="BB66" s="42">
        <f t="shared" si="51"/>
        <v>1</v>
      </c>
      <c r="BC66" s="82">
        <f>'N EERR'!I91+'N EERR'!I92</f>
        <v>0</v>
      </c>
      <c r="BD66" s="28" t="str">
        <f>IF(AND(BC4=0,BC66&gt;=0), "",BC66/BC4)</f>
        <v/>
      </c>
      <c r="BE66" s="42" t="str">
        <f>IF(AND(BC124=0,BC66&gt;=0),"",BC66/BC124)</f>
        <v/>
      </c>
      <c r="BF66" s="28" t="str">
        <f t="shared" si="52"/>
        <v/>
      </c>
      <c r="BG66" s="83">
        <f t="shared" si="57"/>
        <v>20</v>
      </c>
      <c r="BH66" s="28">
        <f>IF(AND(BG4=0,BG66&gt;=0), "",BG66/BG4)</f>
        <v>1.4492753623188406E-3</v>
      </c>
      <c r="BI66" s="42">
        <f>IF(AND(BG124=0,BG66&gt;=0),"",BG66/BG124)</f>
        <v>1.3422818791946308E-2</v>
      </c>
      <c r="BJ66" s="82">
        <f>+'N EERR'!J91+'N EERR'!J92</f>
        <v>0</v>
      </c>
      <c r="BK66" s="28" t="str">
        <f>IF(AND(BJ4=0,BJ66&gt;=0), "",BJ66/BJ4)</f>
        <v/>
      </c>
      <c r="BL66" s="42" t="str">
        <f>IF(AND(BJ124=0,BJ66&gt;=0),"",BJ66/BJ124)</f>
        <v/>
      </c>
      <c r="BM66" s="28" t="str">
        <f t="shared" si="40"/>
        <v/>
      </c>
      <c r="BN66" s="83">
        <f t="shared" si="58"/>
        <v>20</v>
      </c>
      <c r="BO66" s="28">
        <f>IF(AND(BN4=0,BN66&gt;=0), "",BN66/BN4)</f>
        <v>1.4492753623188406E-3</v>
      </c>
      <c r="BP66" s="42">
        <f>IF(AND(BN124=0,BN66&gt;=0),"",BN66/BN124)</f>
        <v>1.3422818791946308E-2</v>
      </c>
      <c r="BQ66" s="82">
        <f>+'N EERR'!K91+'N EERR'!K92</f>
        <v>0</v>
      </c>
      <c r="BR66" s="28" t="str">
        <f>IF(AND(BQ4=0,BQ66&gt;=0), "",BQ66/BQ4)</f>
        <v/>
      </c>
      <c r="BS66" s="42" t="str">
        <f>IF(AND(BQ124=0,BQ66&gt;=0),"",BQ66/BQ124)</f>
        <v/>
      </c>
      <c r="BT66" s="28" t="str">
        <f t="shared" si="41"/>
        <v/>
      </c>
      <c r="BU66" s="83">
        <f t="shared" si="59"/>
        <v>20</v>
      </c>
      <c r="BV66" s="28">
        <f>IF(AND(BU4=0,BU66&gt;=0), "",BU66/BU4)</f>
        <v>1.4492753623188406E-3</v>
      </c>
      <c r="BW66" s="42">
        <f>IF(AND(BU124=0,BU66&gt;=0),"",BU66/BU124)</f>
        <v>1.3422818791946308E-2</v>
      </c>
      <c r="BX66" s="84">
        <f t="shared" si="60"/>
        <v>0</v>
      </c>
      <c r="BY66" s="28" t="str">
        <f>IF(AND(BX4=0,BX66&gt;=0), "",BX66/BX4)</f>
        <v/>
      </c>
      <c r="BZ66" s="42">
        <f t="shared" si="42"/>
        <v>1</v>
      </c>
      <c r="CA66" s="82">
        <f>'N EERR'!L91+'N EERR'!L92</f>
        <v>0</v>
      </c>
      <c r="CB66" s="28" t="str">
        <f>IF(AND(CA4=0,CA66&gt;=0), "",CA66/CA4)</f>
        <v/>
      </c>
      <c r="CC66" s="42" t="str">
        <f>IF(AND(CA124=0,CA66&gt;=0),"",CA66/CA124)</f>
        <v/>
      </c>
      <c r="CD66" s="28" t="str">
        <f t="shared" si="53"/>
        <v/>
      </c>
      <c r="CE66" s="83">
        <f t="shared" si="61"/>
        <v>20</v>
      </c>
      <c r="CF66" s="28">
        <f>IF(AND(CE4=0,CE66&gt;=0), "",CE66/CE4)</f>
        <v>1.4492753623188406E-3</v>
      </c>
      <c r="CG66" s="42">
        <f>IF(AND(CE124=0,CE66&gt;=0),"",CE66/CE124)</f>
        <v>1.3422818791946308E-2</v>
      </c>
      <c r="CH66" s="82">
        <f>+'N EERR'!M91+'N EERR'!M92</f>
        <v>0</v>
      </c>
      <c r="CI66" s="28" t="str">
        <f>IF(AND(CH4=0,CH66&gt;=0), "",CH66/CH4)</f>
        <v/>
      </c>
      <c r="CJ66" s="42" t="str">
        <f>IF(AND(CH124=0,CH66&gt;=0),"",CH66/CH124)</f>
        <v/>
      </c>
      <c r="CK66" s="28" t="str">
        <f t="shared" si="43"/>
        <v/>
      </c>
      <c r="CL66" s="83">
        <f t="shared" si="62"/>
        <v>20</v>
      </c>
      <c r="CM66" s="28">
        <f>IF(AND(CL4=0,CL66&gt;=0), "",CL66/CL4)</f>
        <v>1.4492753623188406E-3</v>
      </c>
      <c r="CN66" s="42">
        <f>IF(AND(CL124=0,CL66&gt;=0),"",CL66/CL124)</f>
        <v>1.3422818791946308E-2</v>
      </c>
      <c r="CO66" s="82">
        <f>+'N EERR'!N91+'N EERR'!N92</f>
        <v>0</v>
      </c>
      <c r="CP66" s="28" t="str">
        <f>IF(AND(CO4=0,CO66&gt;=0), "",CO66/CO4)</f>
        <v/>
      </c>
      <c r="CQ66" s="42" t="str">
        <f>IF(AND(CO124=0,CO66&gt;=0),"",CO66/CO124)</f>
        <v/>
      </c>
      <c r="CR66" s="28" t="str">
        <f t="shared" si="44"/>
        <v/>
      </c>
      <c r="CS66" s="83">
        <f t="shared" si="63"/>
        <v>20</v>
      </c>
      <c r="CT66" s="28">
        <f>IF(AND(CS4=0,CS66&gt;=0), "",CS66/CS4)</f>
        <v>1.4492753623188406E-3</v>
      </c>
      <c r="CU66" s="42">
        <f>IF(AND(CS124=0,CS66&gt;=0),"",CS66/CS124)</f>
        <v>1.3422818791946308E-2</v>
      </c>
      <c r="CV66" s="84">
        <f t="shared" si="64"/>
        <v>0</v>
      </c>
      <c r="CW66" s="28" t="str">
        <f>IF(AND(CV4=0,CV66&gt;=0), "",CV66/CV4)</f>
        <v/>
      </c>
      <c r="CX66" s="42">
        <f t="shared" si="45"/>
        <v>1</v>
      </c>
    </row>
    <row r="67" spans="1:102" outlineLevel="1" x14ac:dyDescent="0.25">
      <c r="A67" s="27"/>
      <c r="B67" s="82"/>
      <c r="C67" s="28"/>
      <c r="D67" s="41"/>
      <c r="E67" s="82"/>
      <c r="F67" s="28"/>
      <c r="G67" s="41"/>
      <c r="H67" s="82"/>
      <c r="I67" s="28"/>
      <c r="J67" s="41"/>
      <c r="K67" s="29" t="str">
        <f t="shared" si="46"/>
        <v/>
      </c>
      <c r="M67" s="28"/>
      <c r="N67" s="41"/>
      <c r="O67" s="82"/>
      <c r="P67" s="28"/>
      <c r="Q67" s="41"/>
      <c r="R67" s="29" t="str">
        <f t="shared" si="47"/>
        <v/>
      </c>
      <c r="T67" s="28"/>
      <c r="U67" s="41"/>
      <c r="V67" s="84"/>
      <c r="W67" s="28"/>
      <c r="X67" s="52" t="str">
        <f t="shared" si="48"/>
        <v/>
      </c>
      <c r="Y67" s="82"/>
      <c r="Z67" s="28"/>
      <c r="AA67" s="41"/>
      <c r="AB67" s="29" t="str">
        <f t="shared" si="49"/>
        <v/>
      </c>
      <c r="AD67" s="28"/>
      <c r="AE67" s="41"/>
      <c r="AF67" s="82"/>
      <c r="AG67" s="28"/>
      <c r="AH67" s="41"/>
      <c r="AI67" s="29" t="str">
        <f t="shared" si="38"/>
        <v/>
      </c>
      <c r="AJ67" s="83">
        <f t="shared" si="16"/>
        <v>0</v>
      </c>
      <c r="AK67" s="28"/>
      <c r="AL67" s="41"/>
      <c r="AM67" s="82"/>
      <c r="AN67" s="28"/>
      <c r="AO67" s="41"/>
      <c r="AP67" s="29" t="str">
        <f t="shared" si="39"/>
        <v/>
      </c>
      <c r="AQ67" s="83">
        <f t="shared" si="17"/>
        <v>0</v>
      </c>
      <c r="AR67" s="28"/>
      <c r="AS67" s="41"/>
      <c r="AT67" s="84">
        <f t="shared" si="55"/>
        <v>0</v>
      </c>
      <c r="AU67" s="28"/>
      <c r="AV67" s="52" t="str">
        <f t="shared" si="50"/>
        <v/>
      </c>
      <c r="AW67" s="84">
        <f t="shared" si="67"/>
        <v>0</v>
      </c>
      <c r="AX67" s="28"/>
      <c r="AY67" s="41"/>
      <c r="AZ67" s="84">
        <f t="shared" si="56"/>
        <v>0</v>
      </c>
      <c r="BA67" s="28"/>
      <c r="BB67" s="52" t="str">
        <f t="shared" si="51"/>
        <v/>
      </c>
      <c r="BC67" s="82"/>
      <c r="BD67" s="28"/>
      <c r="BE67" s="41"/>
      <c r="BF67" s="29" t="str">
        <f t="shared" si="52"/>
        <v/>
      </c>
      <c r="BG67" s="83">
        <f t="shared" si="57"/>
        <v>0</v>
      </c>
      <c r="BH67" s="28"/>
      <c r="BI67" s="41"/>
      <c r="BJ67" s="82"/>
      <c r="BK67" s="28"/>
      <c r="BL67" s="41"/>
      <c r="BM67" s="29" t="str">
        <f t="shared" si="40"/>
        <v/>
      </c>
      <c r="BN67" s="83">
        <f t="shared" si="58"/>
        <v>0</v>
      </c>
      <c r="BO67" s="28"/>
      <c r="BP67" s="41"/>
      <c r="BQ67" s="82"/>
      <c r="BR67" s="28"/>
      <c r="BS67" s="41"/>
      <c r="BT67" s="29" t="str">
        <f t="shared" si="41"/>
        <v/>
      </c>
      <c r="BU67" s="83">
        <f t="shared" si="59"/>
        <v>0</v>
      </c>
      <c r="BV67" s="28"/>
      <c r="BW67" s="41"/>
      <c r="BX67" s="84">
        <f t="shared" si="60"/>
        <v>0</v>
      </c>
      <c r="BY67" s="28"/>
      <c r="BZ67" s="52" t="str">
        <f t="shared" si="42"/>
        <v/>
      </c>
      <c r="CA67" s="82"/>
      <c r="CB67" s="28"/>
      <c r="CC67" s="41"/>
      <c r="CD67" s="29" t="str">
        <f t="shared" si="53"/>
        <v/>
      </c>
      <c r="CF67" s="28"/>
      <c r="CG67" s="41"/>
      <c r="CH67" s="82"/>
      <c r="CI67" s="28"/>
      <c r="CJ67" s="41"/>
      <c r="CK67" s="29" t="str">
        <f t="shared" si="43"/>
        <v/>
      </c>
      <c r="CL67" s="83">
        <f t="shared" si="62"/>
        <v>0</v>
      </c>
      <c r="CM67" s="28"/>
      <c r="CN67" s="41"/>
      <c r="CO67" s="82"/>
      <c r="CP67" s="28"/>
      <c r="CQ67" s="41"/>
      <c r="CR67" s="29" t="str">
        <f t="shared" si="44"/>
        <v/>
      </c>
      <c r="CS67" s="83">
        <f t="shared" si="63"/>
        <v>0</v>
      </c>
      <c r="CT67" s="28"/>
      <c r="CU67" s="41"/>
      <c r="CV67" s="84">
        <f t="shared" si="64"/>
        <v>0</v>
      </c>
      <c r="CW67" s="28"/>
      <c r="CX67" s="52" t="str">
        <f t="shared" si="45"/>
        <v/>
      </c>
    </row>
    <row r="68" spans="1:102" s="6" customFormat="1" x14ac:dyDescent="0.25">
      <c r="A68" s="34" t="s">
        <v>62</v>
      </c>
      <c r="B68" s="79">
        <f>SUM(B69:B82)</f>
        <v>0</v>
      </c>
      <c r="C68" s="35" t="str">
        <f>IF(AND(B4=0,B68&gt;=0), "",B68/B4)</f>
        <v/>
      </c>
      <c r="D68" s="38" t="str">
        <f>IF(AND(B124=0,B68&gt;=0),"",B68/B124)</f>
        <v/>
      </c>
      <c r="E68" s="79">
        <f>SUM(E69:E82)</f>
        <v>410</v>
      </c>
      <c r="F68" s="35">
        <f>IF(AND(E4=0,E68&gt;=0), "",E68/E4)</f>
        <v>2.9710144927536233E-2</v>
      </c>
      <c r="G68" s="38">
        <f>IF(AND(E124=0,E68&gt;=0),"",E68/E124)</f>
        <v>0.27516778523489932</v>
      </c>
      <c r="H68" s="79">
        <f>SUM(H69:H82)</f>
        <v>0</v>
      </c>
      <c r="I68" s="35" t="str">
        <f>IF(AND(H4=0,H68&gt;=0), "",H68/H4)</f>
        <v/>
      </c>
      <c r="J68" s="38" t="str">
        <f>IF(AND(H124=0,H68&gt;=0),"",H68/H124)</f>
        <v/>
      </c>
      <c r="K68" s="35">
        <f t="shared" si="46"/>
        <v>-1</v>
      </c>
      <c r="L68" s="80">
        <f>SUM(L69:L82)</f>
        <v>410</v>
      </c>
      <c r="M68" s="35">
        <f>IF(AND(L4=0,L68&gt;=0), "",L68/L4)</f>
        <v>2.9710144927536233E-2</v>
      </c>
      <c r="N68" s="38">
        <f>IF(AND(L124=0,L68&gt;=0),"",L68/L124)</f>
        <v>0.27516778523489932</v>
      </c>
      <c r="O68" s="79">
        <f>SUM(O69:O82)</f>
        <v>0</v>
      </c>
      <c r="P68" s="35" t="str">
        <f>IF(AND(O4=0,O68&gt;=0), "",O68/O4)</f>
        <v/>
      </c>
      <c r="Q68" s="38" t="str">
        <f>IF(AND(O124=0,O68&gt;=0),"",O68/O124)</f>
        <v/>
      </c>
      <c r="R68" s="35" t="str">
        <f t="shared" si="47"/>
        <v/>
      </c>
      <c r="S68" s="80">
        <f>SUM(S69:S82)</f>
        <v>410</v>
      </c>
      <c r="T68" s="35">
        <f>IF(AND(S4=0,S68&gt;=0), "",S68/S4)</f>
        <v>2.9710144927536233E-2</v>
      </c>
      <c r="U68" s="38">
        <f>IF(AND(S124=0,S68&gt;=0),"",S68/S124)</f>
        <v>0.27516778523489932</v>
      </c>
      <c r="V68" s="81">
        <f>SUM(V69:V82)</f>
        <v>0</v>
      </c>
      <c r="W68" s="35" t="str">
        <f>IF(AND(V4=0,V68&gt;=0), "",V68/V4)</f>
        <v/>
      </c>
      <c r="X68" s="51">
        <f t="shared" si="48"/>
        <v>1</v>
      </c>
      <c r="Y68" s="79">
        <f>SUM(Y69:Y82)</f>
        <v>0</v>
      </c>
      <c r="Z68" s="35" t="str">
        <f>IF(AND(Y4=0,Y68&gt;=0), "",Y68/Y4)</f>
        <v/>
      </c>
      <c r="AA68" s="38" t="str">
        <f>IF(AND(Y124=0,Y68&gt;=0),"",Y68/Y124)</f>
        <v/>
      </c>
      <c r="AB68" s="35" t="str">
        <f t="shared" si="49"/>
        <v/>
      </c>
      <c r="AC68" s="80">
        <f>SUM(AC69:AC82)</f>
        <v>410</v>
      </c>
      <c r="AD68" s="35">
        <f>IF(AND(AC4=0,AC68&gt;=0), "",AC68/AC4)</f>
        <v>2.9710144927536233E-2</v>
      </c>
      <c r="AE68" s="38">
        <f>IF(AND(AC124=0,AC68&gt;=0),"",AC68/AC124)</f>
        <v>0.27516778523489932</v>
      </c>
      <c r="AF68" s="79">
        <f>SUM(AF69:AF82)</f>
        <v>0</v>
      </c>
      <c r="AG68" s="35" t="str">
        <f>IF(AND(AF4=0,AF68&gt;=0), "",AF68/AF4)</f>
        <v/>
      </c>
      <c r="AH68" s="38" t="str">
        <f>IF(AND(AF124=0,AF68&gt;=0),"",AF68/AF124)</f>
        <v/>
      </c>
      <c r="AI68" s="35" t="str">
        <f t="shared" ref="AI68:AI99" si="68">IF(AND(Y68=0,AF68&gt;0),100%,IF(AND(Y68&lt;0,AF68=0),(Y68-AF68)/Y68,IF(AND(Y68&gt;0,AF68&gt;0),(AF68-Y68)/Y68,IF(AND(Y68=0,AF68=0),"",(AF68-Y68)/Y68))))</f>
        <v/>
      </c>
      <c r="AJ68" s="80">
        <f>SUM(AJ69:AJ82)</f>
        <v>410</v>
      </c>
      <c r="AK68" s="35">
        <f>IF(AND(AJ4=0,AJ68&gt;=0), "",AJ68/AJ4)</f>
        <v>2.9710144927536233E-2</v>
      </c>
      <c r="AL68" s="38">
        <f>IF(AND(AJ124=0,AJ68&gt;=0),"",AJ68/AJ124)</f>
        <v>0.27516778523489932</v>
      </c>
      <c r="AM68" s="79">
        <f>SUM(AM69:AM82)</f>
        <v>0</v>
      </c>
      <c r="AN68" s="35" t="str">
        <f>IF(AND(AM4=0,AM68&gt;=0), "",AM68/AM4)</f>
        <v/>
      </c>
      <c r="AO68" s="38" t="str">
        <f>IF(AND(AM124=0,AM68&gt;=0),"",AM68/AM124)</f>
        <v/>
      </c>
      <c r="AP68" s="35" t="str">
        <f t="shared" ref="AP68:AP99" si="69">IF(AND(AF68=0,AM68&gt;0),100%,IF(AND(AF68&lt;0,AM68=0),(AF68-AM68)/AF68,IF(AND(AF68&gt;0,AM68&gt;0),(AM68-AF68)/AF68,IF(AND(AF68=0,AM68=0),"",(AM68-AF68)/AF68))))</f>
        <v/>
      </c>
      <c r="AQ68" s="80">
        <f>SUM(AQ69:AQ82)</f>
        <v>410</v>
      </c>
      <c r="AR68" s="35">
        <f>IF(AND(AQ4=0,AQ68&gt;=0), "",AQ68/AQ4)</f>
        <v>2.9710144927536233E-2</v>
      </c>
      <c r="AS68" s="38">
        <f>IF(AND(AQ124=0,AQ68&gt;=0),"",AQ68/AQ124)</f>
        <v>0.27516778523489932</v>
      </c>
      <c r="AT68" s="81">
        <f>SUM(AT69:AT82)</f>
        <v>0</v>
      </c>
      <c r="AU68" s="35" t="str">
        <f>IF(AND(AT4=0,AT68&gt;=0), "",AT68/AT4)</f>
        <v/>
      </c>
      <c r="AV68" s="51">
        <f t="shared" si="50"/>
        <v>1</v>
      </c>
      <c r="AW68" s="81">
        <f>SUM(AW69:AW82)</f>
        <v>68.333333333333314</v>
      </c>
      <c r="AX68" s="35">
        <f>IF(AND(AW4=0,AW68&gt;=0), "",AW68/AW4)</f>
        <v>2.9710144927536219E-2</v>
      </c>
      <c r="AY68" s="38">
        <f>IF(AND(AW124=0,AW68&gt;=0),"",AW68/AW124)</f>
        <v>0.27516778523489926</v>
      </c>
      <c r="AZ68" s="81">
        <f>SUM(AZ69:AZ82)</f>
        <v>0</v>
      </c>
      <c r="BA68" s="35" t="str">
        <f>IF(AND(AZ4=0,AZ68&gt;=0), "",AZ68/AZ4)</f>
        <v/>
      </c>
      <c r="BB68" s="51">
        <f t="shared" si="51"/>
        <v>1</v>
      </c>
      <c r="BC68" s="79">
        <f>SUM(BC69:BC82)</f>
        <v>0</v>
      </c>
      <c r="BD68" s="35" t="str">
        <f>IF(AND(BC4=0,BC68&gt;=0), "",BC68/BC4)</f>
        <v/>
      </c>
      <c r="BE68" s="38" t="str">
        <f>IF(AND(BC124=0,BC68&gt;=0),"",BC68/BC124)</f>
        <v/>
      </c>
      <c r="BF68" s="35" t="str">
        <f t="shared" si="52"/>
        <v/>
      </c>
      <c r="BG68" s="80">
        <f>SUM(BG69:BG82)</f>
        <v>410</v>
      </c>
      <c r="BH68" s="35">
        <f>IF(AND(BG4=0,BG68&gt;=0), "",BG68/BG4)</f>
        <v>2.9710144927536233E-2</v>
      </c>
      <c r="BI68" s="38">
        <f>IF(AND(BG124=0,BG68&gt;=0),"",BG68/BG124)</f>
        <v>0.27516778523489932</v>
      </c>
      <c r="BJ68" s="79">
        <f>SUM(BJ69:BJ82)</f>
        <v>0</v>
      </c>
      <c r="BK68" s="35" t="str">
        <f>IF(AND(BJ4=0,BJ68&gt;=0), "",BJ68/BJ4)</f>
        <v/>
      </c>
      <c r="BL68" s="38" t="str">
        <f>IF(AND(BJ124=0,BJ68&gt;=0),"",BJ68/BJ124)</f>
        <v/>
      </c>
      <c r="BM68" s="35" t="str">
        <f t="shared" ref="BM68:BM99" si="70">IF(AND(BC68=0,BJ68&gt;0),100%,IF(AND(BC68&lt;0,BJ68=0),(BC68-BJ68)/BC68,IF(AND(BC68&gt;0,BJ68&gt;0),(BJ68-BC68)/BC68,IF(AND(BC68=0,BJ68=0),"",(BJ68-BC68)/BC68))))</f>
        <v/>
      </c>
      <c r="BN68" s="80">
        <f>SUM(BN69:BN82)</f>
        <v>410</v>
      </c>
      <c r="BO68" s="35">
        <f>IF(AND(BN4=0,BN68&gt;=0), "",BN68/BN4)</f>
        <v>2.9710144927536233E-2</v>
      </c>
      <c r="BP68" s="38">
        <f>IF(AND(BN124=0,BN68&gt;=0),"",BN68/BN124)</f>
        <v>0.27516778523489932</v>
      </c>
      <c r="BQ68" s="79">
        <f>SUM(BQ69:BQ82)</f>
        <v>0</v>
      </c>
      <c r="BR68" s="35" t="str">
        <f>IF(AND(BQ4=0,BQ68&gt;=0), "",BQ68/BQ4)</f>
        <v/>
      </c>
      <c r="BS68" s="38" t="str">
        <f>IF(AND(BQ124=0,BQ68&gt;=0),"",BQ68/BQ124)</f>
        <v/>
      </c>
      <c r="BT68" s="35" t="str">
        <f t="shared" ref="BT68:BT99" si="71">IF(AND(BJ68=0,BQ68&gt;0),100%,IF(AND(BJ68&lt;0,BQ68=0),(BJ68-BQ68)/BJ68,IF(AND(BJ68&gt;0,BQ68&gt;0),(BQ68-BJ68)/BJ68,IF(AND(BJ68=0,BQ68=0),"",(BQ68-BJ68)/BJ68))))</f>
        <v/>
      </c>
      <c r="BU68" s="80">
        <f>SUM(BU69:BU82)</f>
        <v>410</v>
      </c>
      <c r="BV68" s="35">
        <f>IF(AND(BU4=0,BU68&gt;=0), "",BU68/BU4)</f>
        <v>2.9710144927536233E-2</v>
      </c>
      <c r="BW68" s="38">
        <f>IF(AND(BU124=0,BU68&gt;=0),"",BU68/BU124)</f>
        <v>0.27516778523489932</v>
      </c>
      <c r="BX68" s="81">
        <f>SUM(BX69:BX82)</f>
        <v>0</v>
      </c>
      <c r="BY68" s="35" t="str">
        <f>IF(AND(BX4=0,BX68&gt;=0), "",BX68/BX4)</f>
        <v/>
      </c>
      <c r="BZ68" s="51">
        <f t="shared" ref="BZ68:BZ99" si="72">IF(AND(BX68=0,BU68&gt;0),100%,IF(AND(BX68&lt;0,BU68=0),(BX68-BU68)/BX68,IF(AND(BX68&gt;0,BU68&gt;0),(BU68-BX68)/BX68,IF(AND(BX68=0,BU68=0),"",(BU68-BX68)/BX68))))</f>
        <v>1</v>
      </c>
      <c r="CA68" s="79">
        <f>SUM(CA69:CA82)</f>
        <v>0</v>
      </c>
      <c r="CB68" s="35" t="str">
        <f>IF(AND(CA4=0,CA68&gt;=0), "",CA68/CA4)</f>
        <v/>
      </c>
      <c r="CC68" s="38" t="str">
        <f>IF(AND(CA124=0,CA68&gt;=0),"",CA68/CA124)</f>
        <v/>
      </c>
      <c r="CD68" s="35" t="str">
        <f t="shared" si="53"/>
        <v/>
      </c>
      <c r="CE68" s="80">
        <f>SUM(CE69:CE82)</f>
        <v>410</v>
      </c>
      <c r="CF68" s="35">
        <f>IF(AND(CE4=0,CE68&gt;=0), "",CE68/CE4)</f>
        <v>2.9710144927536233E-2</v>
      </c>
      <c r="CG68" s="38">
        <f>IF(AND(CE124=0,CE68&gt;=0),"",CE68/CE124)</f>
        <v>0.27516778523489932</v>
      </c>
      <c r="CH68" s="79">
        <f>SUM(CH69:CH82)</f>
        <v>0</v>
      </c>
      <c r="CI68" s="35" t="str">
        <f>IF(AND(CH4=0,CH68&gt;=0), "",CH68/CH4)</f>
        <v/>
      </c>
      <c r="CJ68" s="38" t="str">
        <f>IF(AND(CH124=0,CH68&gt;=0),"",CH68/CH124)</f>
        <v/>
      </c>
      <c r="CK68" s="35" t="str">
        <f t="shared" ref="CK68:CK99" si="73">IF(AND(CA68=0,CH68&gt;0),100%,IF(AND(CA68&lt;0,CH68=0),(CA68-CH68)/CA68,IF(AND(CA68&gt;0,CH68&gt;0),(CH68-CA68)/CA68,IF(AND(CA68=0,CH68=0),"",(CH68-CA68)/CA68))))</f>
        <v/>
      </c>
      <c r="CL68" s="80">
        <f>SUM(CL69:CL82)</f>
        <v>410</v>
      </c>
      <c r="CM68" s="35">
        <f>IF(AND(CL4=0,CL68&gt;=0), "",CL68/CL4)</f>
        <v>2.9710144927536233E-2</v>
      </c>
      <c r="CN68" s="38">
        <f>IF(AND(CL124=0,CL68&gt;=0),"",CL68/CL124)</f>
        <v>0.27516778523489932</v>
      </c>
      <c r="CO68" s="79">
        <f>SUM(CO69:CO82)</f>
        <v>0</v>
      </c>
      <c r="CP68" s="35" t="str">
        <f>IF(AND(CO4=0,CO68&gt;=0), "",CO68/CO4)</f>
        <v/>
      </c>
      <c r="CQ68" s="38" t="str">
        <f>IF(AND(CO124=0,CO68&gt;=0),"",CO68/CO124)</f>
        <v/>
      </c>
      <c r="CR68" s="35" t="str">
        <f t="shared" ref="CR68:CR99" si="74">IF(AND(CH68=0,CO68&gt;0),100%,IF(AND(CH68&lt;0,CO68=0),(CH68-CO68)/CH68,IF(AND(CH68&gt;0,CO68&gt;0),(CO68-CH68)/CH68,IF(AND(CH68=0,CO68=0),"",(CO68-CH68)/CH68))))</f>
        <v/>
      </c>
      <c r="CS68" s="80">
        <f>SUM(CS69:CS82)</f>
        <v>410</v>
      </c>
      <c r="CT68" s="35">
        <f>IF(AND(CS4=0,CS68&gt;=0), "",CS68/CS4)</f>
        <v>2.9710144927536233E-2</v>
      </c>
      <c r="CU68" s="38">
        <f>IF(AND(CS124=0,CS68&gt;=0),"",CS68/CS124)</f>
        <v>0.27516778523489932</v>
      </c>
      <c r="CV68" s="81">
        <f>SUM(CV69:CV82)</f>
        <v>0</v>
      </c>
      <c r="CW68" s="35" t="str">
        <f>IF(AND(CV4=0,CV68&gt;=0), "",CV68/CV4)</f>
        <v/>
      </c>
      <c r="CX68" s="51">
        <f t="shared" ref="CX68:CX99" si="75">IF(AND(CV68=0,CS68&gt;0),100%,IF(AND(CV68&lt;0,CS68=0),(CV68-CS68)/CV68,IF(AND(CV68&gt;0,CS68&gt;0),(CS68-CV68)/CV68,IF(AND(CV68=0,CS68=0),"",(CS68-CV68)/CV68))))</f>
        <v>1</v>
      </c>
    </row>
    <row r="69" spans="1:102" hidden="1" outlineLevel="1" x14ac:dyDescent="0.25">
      <c r="A69" s="27" t="s">
        <v>63</v>
      </c>
      <c r="B69" s="82">
        <f>+'N EERR'!B96+'N EERR'!B97+'N EERR'!B98+'N EERR'!B103+'N EERR'!B104+'N EERR'!B101+'N EERR'!B102</f>
        <v>0</v>
      </c>
      <c r="C69" s="28" t="str">
        <f>IF(AND(B4=0,B69&gt;=0), "",B69/B4)</f>
        <v/>
      </c>
      <c r="D69" s="42" t="str">
        <f>IF(AND(B124=0,B69&gt;=0),"",B69/B124)</f>
        <v/>
      </c>
      <c r="E69" s="82">
        <f>+'N EERR'!C96+'N EERR'!C97+'N EERR'!C98+'N EERR'!C103+'N EERR'!C104+'N EERR'!C101+'N EERR'!C102</f>
        <v>70</v>
      </c>
      <c r="F69" s="28">
        <f>IF(AND(E4=0,E69&gt;=0), "",E69/E4)</f>
        <v>5.0724637681159417E-3</v>
      </c>
      <c r="G69" s="42">
        <f>IF(AND(E124=0,E69&gt;=0),"",E69/E124)</f>
        <v>4.6979865771812082E-2</v>
      </c>
      <c r="H69" s="82">
        <f>+'N EERR'!D96+'N EERR'!D97+'N EERR'!D98+'N EERR'!D103+'N EERR'!D104+'N EERR'!D101+'N EERR'!D102</f>
        <v>0</v>
      </c>
      <c r="I69" s="28" t="str">
        <f>IF(AND(H4=0,H69&gt;=0), "",H69/H4)</f>
        <v/>
      </c>
      <c r="J69" s="42" t="str">
        <f>IF(AND(H124=0,H69&gt;=0),"",H69/H124)</f>
        <v/>
      </c>
      <c r="K69" s="28">
        <f t="shared" si="46"/>
        <v>-1</v>
      </c>
      <c r="L69" s="83">
        <f t="shared" ref="L69:L81" si="76">+E69+H69</f>
        <v>70</v>
      </c>
      <c r="M69" s="28">
        <f>IF(AND(L4=0,L69&gt;=0), "",L69/L4)</f>
        <v>5.0724637681159417E-3</v>
      </c>
      <c r="N69" s="42">
        <f>IF(AND(L124=0,L69&gt;=0),"",L69/L124)</f>
        <v>4.6979865771812082E-2</v>
      </c>
      <c r="O69" s="82">
        <f>+'N EERR'!E96+'N EERR'!E97+'N EERR'!E98+'N EERR'!E103+'N EERR'!E104+'N EERR'!E101+'N EERR'!E102</f>
        <v>0</v>
      </c>
      <c r="P69" s="28" t="str">
        <f>IF(AND(O4=0,O69&gt;=0), "",O69/O4)</f>
        <v/>
      </c>
      <c r="Q69" s="42" t="str">
        <f>IF(AND(O124=0,O69&gt;=0),"",O69/O124)</f>
        <v/>
      </c>
      <c r="R69" s="28" t="str">
        <f t="shared" si="47"/>
        <v/>
      </c>
      <c r="S69" s="83">
        <f t="shared" ref="S69:S81" si="77">+L69+O69</f>
        <v>70</v>
      </c>
      <c r="T69" s="28">
        <f>IF(AND(S4=0,S69&gt;=0), "",S69/S4)</f>
        <v>5.0724637681159417E-3</v>
      </c>
      <c r="U69" s="42">
        <f>IF(AND(S124=0,S69&gt;=0),"",S69/S124)</f>
        <v>4.6979865771812082E-2</v>
      </c>
      <c r="V69" s="84"/>
      <c r="W69" s="28" t="str">
        <f>IF(AND(V4=0,V69&gt;=0), "",V69/V4)</f>
        <v/>
      </c>
      <c r="X69" s="42">
        <f t="shared" si="48"/>
        <v>1</v>
      </c>
      <c r="Y69" s="82">
        <f>+'N EERR'!F96+'N EERR'!F97+'N EERR'!F98+'N EERR'!F103+'N EERR'!F104+'N EERR'!F101+'N EERR'!F102</f>
        <v>0</v>
      </c>
      <c r="Z69" s="28" t="str">
        <f>IF(AND(Y4=0,Y69&gt;=0), "",Y69/Y4)</f>
        <v/>
      </c>
      <c r="AA69" s="42" t="str">
        <f>IF(AND(Y124=0,Y69&gt;=0),"",Y69/Y124)</f>
        <v/>
      </c>
      <c r="AB69" s="28" t="str">
        <f t="shared" si="49"/>
        <v/>
      </c>
      <c r="AC69" s="83">
        <f t="shared" ref="AC69:AC81" si="78">+S69+Y69</f>
        <v>70</v>
      </c>
      <c r="AD69" s="28">
        <f>IF(AND(AC4=0,AC69&gt;=0), "",AC69/AC4)</f>
        <v>5.0724637681159417E-3</v>
      </c>
      <c r="AE69" s="42">
        <f>IF(AND(AC124=0,AC69&gt;=0),"",AC69/AC124)</f>
        <v>4.6979865771812082E-2</v>
      </c>
      <c r="AF69" s="82">
        <f>+'N EERR'!G96+'N EERR'!G97+'N EERR'!G98+'N EERR'!G103+'N EERR'!G104+'N EERR'!G101+'N EERR'!G102</f>
        <v>0</v>
      </c>
      <c r="AG69" s="28" t="str">
        <f>IF(AND(AF4=0,AF69&gt;=0), "",AF69/AF4)</f>
        <v/>
      </c>
      <c r="AH69" s="42" t="str">
        <f>IF(AND(AF124=0,AF69&gt;=0),"",AF69/AF124)</f>
        <v/>
      </c>
      <c r="AI69" s="28" t="str">
        <f t="shared" si="68"/>
        <v/>
      </c>
      <c r="AJ69" s="83">
        <f t="shared" si="16"/>
        <v>70</v>
      </c>
      <c r="AK69" s="28">
        <f>IF(AND(AJ4=0,AJ69&gt;=0), "",AJ69/AJ4)</f>
        <v>5.0724637681159417E-3</v>
      </c>
      <c r="AL69" s="42">
        <f>IF(AND(AJ124=0,AJ69&gt;=0),"",AJ69/AJ124)</f>
        <v>4.6979865771812082E-2</v>
      </c>
      <c r="AM69" s="82">
        <f>+'N EERR'!H96+'N EERR'!H97+'N EERR'!H98+'N EERR'!H103+'N EERR'!H104+'N EERR'!H101+'N EERR'!H102</f>
        <v>0</v>
      </c>
      <c r="AN69" s="28" t="str">
        <f>IF(AND(AM4=0,AM69&gt;=0), "",AM69/AM4)</f>
        <v/>
      </c>
      <c r="AO69" s="42" t="str">
        <f>IF(AND(AM124=0,AM69&gt;=0),"",AM69/AM124)</f>
        <v/>
      </c>
      <c r="AP69" s="28" t="str">
        <f t="shared" si="69"/>
        <v/>
      </c>
      <c r="AQ69" s="83">
        <f t="shared" si="17"/>
        <v>70</v>
      </c>
      <c r="AR69" s="28">
        <f>IF(AND(AQ4=0,AQ69&gt;=0), "",AQ69/AQ4)</f>
        <v>5.0724637681159417E-3</v>
      </c>
      <c r="AS69" s="42">
        <f>IF(AND(AQ124=0,AQ69&gt;=0),"",AQ69/AQ124)</f>
        <v>4.6979865771812082E-2</v>
      </c>
      <c r="AT69" s="84">
        <f t="shared" ref="AT69:AT82" si="79">+V69*2</f>
        <v>0</v>
      </c>
      <c r="AU69" s="28" t="str">
        <f>IF(AND(AT4=0,AT69&gt;=0), "",AT69/AT4)</f>
        <v/>
      </c>
      <c r="AV69" s="42">
        <f t="shared" si="50"/>
        <v>1</v>
      </c>
      <c r="AW69" s="84">
        <f t="shared" si="67"/>
        <v>11.666666666666666</v>
      </c>
      <c r="AX69" s="28">
        <f>IF(AND(AW4=0,AW69&gt;=0), "",AW69/AW4)</f>
        <v>5.0724637681159408E-3</v>
      </c>
      <c r="AY69" s="42">
        <f>IF(AND(AW124=0,AW69&gt;=0),"",AW69/AW124)</f>
        <v>4.6979865771812075E-2</v>
      </c>
      <c r="AZ69" s="84">
        <f t="shared" ref="AZ69:AZ82" si="80">+AT69/6</f>
        <v>0</v>
      </c>
      <c r="BA69" s="28" t="str">
        <f>IF(AND(AZ4=0,AZ69&gt;=0), "",AZ69/AZ4)</f>
        <v/>
      </c>
      <c r="BB69" s="42">
        <f t="shared" si="51"/>
        <v>1</v>
      </c>
      <c r="BC69" s="82">
        <f>+'N EERR'!I96+'N EERR'!I97+'N EERR'!I98+'N EERR'!I103+'N EERR'!I104+'N EERR'!I101+'N EERR'!I102</f>
        <v>0</v>
      </c>
      <c r="BD69" s="28" t="str">
        <f>IF(AND(BC4=0,BC69&gt;=0), "",BC69/BC4)</f>
        <v/>
      </c>
      <c r="BE69" s="42" t="str">
        <f>IF(AND(BC124=0,BC69&gt;=0),"",BC69/BC124)</f>
        <v/>
      </c>
      <c r="BF69" s="28" t="str">
        <f t="shared" si="52"/>
        <v/>
      </c>
      <c r="BG69" s="83">
        <f t="shared" ref="BG69:BG82" si="81">+AQ69+BC69</f>
        <v>70</v>
      </c>
      <c r="BH69" s="28">
        <f>IF(AND(BG4=0,BG69&gt;=0), "",BG69/BG4)</f>
        <v>5.0724637681159417E-3</v>
      </c>
      <c r="BI69" s="42">
        <f>IF(AND(BG124=0,BG69&gt;=0),"",BG69/BG124)</f>
        <v>4.6979865771812082E-2</v>
      </c>
      <c r="BJ69" s="82">
        <f>+'N EERR'!J96+'N EERR'!J97+'N EERR'!J98+'N EERR'!J103+'N EERR'!J104+'N EERR'!J101+'N EERR'!J102</f>
        <v>0</v>
      </c>
      <c r="BK69" s="28" t="str">
        <f>IF(AND(BJ4=0,BJ69&gt;=0), "",BJ69/BJ4)</f>
        <v/>
      </c>
      <c r="BL69" s="42" t="str">
        <f>IF(AND(BJ124=0,BJ69&gt;=0),"",BJ69/BJ124)</f>
        <v/>
      </c>
      <c r="BM69" s="28" t="str">
        <f t="shared" si="70"/>
        <v/>
      </c>
      <c r="BN69" s="83">
        <f t="shared" ref="BN69:BN82" si="82">+BG69+BJ69</f>
        <v>70</v>
      </c>
      <c r="BO69" s="28">
        <f>IF(AND(BN4=0,BN69&gt;=0), "",BN69/BN4)</f>
        <v>5.0724637681159417E-3</v>
      </c>
      <c r="BP69" s="42">
        <f>IF(AND(BN124=0,BN69&gt;=0),"",BN69/BN124)</f>
        <v>4.6979865771812082E-2</v>
      </c>
      <c r="BQ69" s="82">
        <f>+'N EERR'!K96+'N EERR'!K97+'N EERR'!K98+'N EERR'!K103+'N EERR'!K104+'N EERR'!K101+'N EERR'!K102</f>
        <v>0</v>
      </c>
      <c r="BR69" s="28" t="str">
        <f>IF(AND(BQ4=0,BQ69&gt;=0), "",BQ69/BQ4)</f>
        <v/>
      </c>
      <c r="BS69" s="42" t="str">
        <f>IF(AND(BQ124=0,BQ69&gt;=0),"",BQ69/BQ124)</f>
        <v/>
      </c>
      <c r="BT69" s="28" t="str">
        <f t="shared" si="71"/>
        <v/>
      </c>
      <c r="BU69" s="83">
        <f t="shared" ref="BU69:BU82" si="83">+BN69+BQ69</f>
        <v>70</v>
      </c>
      <c r="BV69" s="28">
        <f>IF(AND(BU4=0,BU69&gt;=0), "",BU69/BU4)</f>
        <v>5.0724637681159417E-3</v>
      </c>
      <c r="BW69" s="42">
        <f>IF(AND(BU124=0,BU69&gt;=0),"",BU69/BU124)</f>
        <v>4.6979865771812082E-2</v>
      </c>
      <c r="BX69" s="84">
        <f t="shared" ref="BX69:BX82" si="84">+AZ69*9</f>
        <v>0</v>
      </c>
      <c r="BY69" s="28" t="str">
        <f>IF(AND(BX4=0,BX69&gt;=0), "",BX69/BX4)</f>
        <v/>
      </c>
      <c r="BZ69" s="42">
        <f t="shared" si="72"/>
        <v>1</v>
      </c>
      <c r="CA69" s="82">
        <f>+'N EERR'!L96+'N EERR'!L97+'N EERR'!L98+'N EERR'!L103+'N EERR'!L104+'N EERR'!L101+'N EERR'!L102</f>
        <v>0</v>
      </c>
      <c r="CB69" s="28" t="str">
        <f>IF(AND(CA4=0,CA69&gt;=0), "",CA69/CA4)</f>
        <v/>
      </c>
      <c r="CC69" s="42" t="str">
        <f>IF(AND(CA124=0,CA69&gt;=0),"",CA69/CA124)</f>
        <v/>
      </c>
      <c r="CD69" s="28" t="str">
        <f t="shared" si="53"/>
        <v/>
      </c>
      <c r="CE69" s="83">
        <f t="shared" ref="CE69:CE81" si="85">+BU69+CA69</f>
        <v>70</v>
      </c>
      <c r="CF69" s="28">
        <f>IF(AND(CE4=0,CE69&gt;=0), "",CE69/CE4)</f>
        <v>5.0724637681159417E-3</v>
      </c>
      <c r="CG69" s="42">
        <f>IF(AND(CE124=0,CE69&gt;=0),"",CE69/CE124)</f>
        <v>4.6979865771812082E-2</v>
      </c>
      <c r="CH69" s="82">
        <f>+'N EERR'!M96+'N EERR'!M97+'N EERR'!M98+'N EERR'!M103+'N EERR'!M104+'N EERR'!M101+'N EERR'!M102</f>
        <v>0</v>
      </c>
      <c r="CI69" s="28" t="str">
        <f>IF(AND(CH4=0,CH69&gt;=0), "",CH69/CH4)</f>
        <v/>
      </c>
      <c r="CJ69" s="42" t="str">
        <f>IF(AND(CH124=0,CH69&gt;=0),"",CH69/CH124)</f>
        <v/>
      </c>
      <c r="CK69" s="28" t="str">
        <f t="shared" si="73"/>
        <v/>
      </c>
      <c r="CL69" s="83">
        <f t="shared" ref="CL69:CL82" si="86">+CE69+CH69</f>
        <v>70</v>
      </c>
      <c r="CM69" s="28">
        <f>IF(AND(CL4=0,CL69&gt;=0), "",CL69/CL4)</f>
        <v>5.0724637681159417E-3</v>
      </c>
      <c r="CN69" s="42">
        <f>IF(AND(CL124=0,CL69&gt;=0),"",CL69/CL124)</f>
        <v>4.6979865771812082E-2</v>
      </c>
      <c r="CO69" s="82">
        <f>+'N EERR'!N96+'N EERR'!N97+'N EERR'!N98+'N EERR'!N103+'N EERR'!N104+'N EERR'!N101+'N EERR'!N102</f>
        <v>0</v>
      </c>
      <c r="CP69" s="28" t="str">
        <f>IF(AND(CO4=0,CO69&gt;=0), "",CO69/CO4)</f>
        <v/>
      </c>
      <c r="CQ69" s="42" t="str">
        <f>IF(AND(CO124=0,CO69&gt;=0),"",CO69/CO124)</f>
        <v/>
      </c>
      <c r="CR69" s="28" t="str">
        <f t="shared" si="74"/>
        <v/>
      </c>
      <c r="CS69" s="83">
        <f t="shared" ref="CS69:CS82" si="87">+CL69+CO69</f>
        <v>70</v>
      </c>
      <c r="CT69" s="28">
        <f>IF(AND(CS4=0,CS69&gt;=0), "",CS69/CS4)</f>
        <v>5.0724637681159417E-3</v>
      </c>
      <c r="CU69" s="42">
        <f>IF(AND(CS124=0,CS69&gt;=0),"",CS69/CS124)</f>
        <v>4.6979865771812082E-2</v>
      </c>
      <c r="CV69" s="84">
        <f t="shared" ref="CV69:CV82" si="88">+AZ69*12</f>
        <v>0</v>
      </c>
      <c r="CW69" s="28" t="str">
        <f>IF(AND(CV4=0,CV69&gt;=0), "",CV69/CV4)</f>
        <v/>
      </c>
      <c r="CX69" s="42">
        <f t="shared" si="75"/>
        <v>1</v>
      </c>
    </row>
    <row r="70" spans="1:102" hidden="1" outlineLevel="1" x14ac:dyDescent="0.25">
      <c r="A70" s="27" t="s">
        <v>69</v>
      </c>
      <c r="B70" s="82">
        <f>+'N EERR'!B99+'N EERR'!B100+'N EERR'!B105+'N EERR'!B106+'N EERR'!B107</f>
        <v>0</v>
      </c>
      <c r="C70" s="28" t="str">
        <f>IF(AND(B4=0,B70&gt;=0), "",B70/B4)</f>
        <v/>
      </c>
      <c r="D70" s="42" t="str">
        <f>IF(AND(B124=0,B70&gt;=0),"",B70/B124)</f>
        <v/>
      </c>
      <c r="E70" s="82">
        <f>+'N EERR'!C99+'N EERR'!C100+'N EERR'!C105+'N EERR'!C106+'N EERR'!C107</f>
        <v>50</v>
      </c>
      <c r="F70" s="28">
        <f>IF(AND(E4=0,E70&gt;=0), "",E70/E4)</f>
        <v>3.6231884057971015E-3</v>
      </c>
      <c r="G70" s="42">
        <f>IF(AND(E124=0,E70&gt;=0),"",E70/E124)</f>
        <v>3.3557046979865772E-2</v>
      </c>
      <c r="H70" s="82">
        <f>+'N EERR'!D99+'N EERR'!D100+'N EERR'!D105+'N EERR'!D106+'N EERR'!D107</f>
        <v>0</v>
      </c>
      <c r="I70" s="28" t="str">
        <f>IF(AND(H4=0,H70&gt;=0), "",H70/H4)</f>
        <v/>
      </c>
      <c r="J70" s="42" t="str">
        <f>IF(AND(H124=0,H70&gt;=0),"",H70/H124)</f>
        <v/>
      </c>
      <c r="K70" s="28">
        <f t="shared" si="46"/>
        <v>-1</v>
      </c>
      <c r="L70" s="83">
        <f t="shared" si="76"/>
        <v>50</v>
      </c>
      <c r="M70" s="28">
        <f>IF(AND(L4=0,L70&gt;=0), "",L70/L4)</f>
        <v>3.6231884057971015E-3</v>
      </c>
      <c r="N70" s="42">
        <f>IF(AND(L124=0,L70&gt;=0),"",L70/L124)</f>
        <v>3.3557046979865772E-2</v>
      </c>
      <c r="O70" s="82">
        <f>+'N EERR'!E99+'N EERR'!E100+'N EERR'!E105+'N EERR'!E106+'N EERR'!E107</f>
        <v>0</v>
      </c>
      <c r="P70" s="28" t="str">
        <f>IF(AND(O4=0,O70&gt;=0), "",O70/O4)</f>
        <v/>
      </c>
      <c r="Q70" s="42" t="str">
        <f>IF(AND(O124=0,O70&gt;=0),"",O70/O124)</f>
        <v/>
      </c>
      <c r="R70" s="28" t="str">
        <f t="shared" si="47"/>
        <v/>
      </c>
      <c r="S70" s="83">
        <f t="shared" si="77"/>
        <v>50</v>
      </c>
      <c r="T70" s="28">
        <f>IF(AND(S4=0,S70&gt;=0), "",S70/S4)</f>
        <v>3.6231884057971015E-3</v>
      </c>
      <c r="U70" s="42">
        <f>IF(AND(S124=0,S70&gt;=0),"",S70/S124)</f>
        <v>3.3557046979865772E-2</v>
      </c>
      <c r="V70" s="84"/>
      <c r="W70" s="28" t="str">
        <f>IF(AND(V4=0,V70&gt;=0), "",V70/V4)</f>
        <v/>
      </c>
      <c r="X70" s="42">
        <f t="shared" ref="X70:X101" si="89">IF(AND(V70=0,S70&gt;0),100%,IF(AND(V70&lt;0,S70=0),(V70-S70)/V70,IF(AND(V70&gt;0,S70&gt;0),(S70-V70)/V70,IF(AND(V70=0,S70=0),"",(S70-V70)/V70))))</f>
        <v>1</v>
      </c>
      <c r="Y70" s="82">
        <f>+'N EERR'!F99+'N EERR'!F100+'N EERR'!F105+'N EERR'!F106+'N EERR'!F107</f>
        <v>0</v>
      </c>
      <c r="Z70" s="28" t="str">
        <f>IF(AND(Y4=0,Y70&gt;=0), "",Y70/Y4)</f>
        <v/>
      </c>
      <c r="AA70" s="42" t="str">
        <f>IF(AND(Y124=0,Y70&gt;=0),"",Y70/Y124)</f>
        <v/>
      </c>
      <c r="AB70" s="28" t="str">
        <f t="shared" ref="AB70:AB101" si="90">IF(AND(O70=0,Y70&gt;0),100%,IF(AND(O70&lt;0,Y70=0),(O70-Y70)/O70,IF(AND(O70&gt;0,Y70&gt;0),(Y70-O70)/O70,IF(AND(O70=0,Y70=0),"",(Y70-O70)/O70))))</f>
        <v/>
      </c>
      <c r="AC70" s="83">
        <f t="shared" si="78"/>
        <v>50</v>
      </c>
      <c r="AD70" s="28">
        <f>IF(AND(AC4=0,AC70&gt;=0), "",AC70/AC4)</f>
        <v>3.6231884057971015E-3</v>
      </c>
      <c r="AE70" s="42">
        <f>IF(AND(AC124=0,AC70&gt;=0),"",AC70/AC124)</f>
        <v>3.3557046979865772E-2</v>
      </c>
      <c r="AF70" s="82">
        <f>+'N EERR'!G99+'N EERR'!G100+'N EERR'!G105+'N EERR'!G106+'N EERR'!G107</f>
        <v>0</v>
      </c>
      <c r="AG70" s="28" t="str">
        <f>IF(AND(AF4=0,AF70&gt;=0), "",AF70/AF4)</f>
        <v/>
      </c>
      <c r="AH70" s="42" t="str">
        <f>IF(AND(AF124=0,AF70&gt;=0),"",AF70/AF124)</f>
        <v/>
      </c>
      <c r="AI70" s="28" t="str">
        <f t="shared" si="68"/>
        <v/>
      </c>
      <c r="AJ70" s="83">
        <f t="shared" si="16"/>
        <v>50</v>
      </c>
      <c r="AK70" s="28">
        <f>IF(AND(AJ4=0,AJ70&gt;=0), "",AJ70/AJ4)</f>
        <v>3.6231884057971015E-3</v>
      </c>
      <c r="AL70" s="42">
        <f>IF(AND(AJ124=0,AJ70&gt;=0),"",AJ70/AJ124)</f>
        <v>3.3557046979865772E-2</v>
      </c>
      <c r="AM70" s="82">
        <f>+'N EERR'!H99+'N EERR'!H100+'N EERR'!H105+'N EERR'!H106+'N EERR'!H107</f>
        <v>0</v>
      </c>
      <c r="AN70" s="28" t="str">
        <f>IF(AND(AM4=0,AM70&gt;=0), "",AM70/AM4)</f>
        <v/>
      </c>
      <c r="AO70" s="42" t="str">
        <f>IF(AND(AM124=0,AM70&gt;=0),"",AM70/AM124)</f>
        <v/>
      </c>
      <c r="AP70" s="28" t="str">
        <f t="shared" si="69"/>
        <v/>
      </c>
      <c r="AQ70" s="83">
        <f t="shared" si="17"/>
        <v>50</v>
      </c>
      <c r="AR70" s="28">
        <f>IF(AND(AQ4=0,AQ70&gt;=0), "",AQ70/AQ4)</f>
        <v>3.6231884057971015E-3</v>
      </c>
      <c r="AS70" s="42">
        <f>IF(AND(AQ124=0,AQ70&gt;=0),"",AQ70/AQ124)</f>
        <v>3.3557046979865772E-2</v>
      </c>
      <c r="AT70" s="84">
        <f t="shared" si="79"/>
        <v>0</v>
      </c>
      <c r="AU70" s="28" t="str">
        <f>IF(AND(AT4=0,AT70&gt;=0), "",AT70/AT4)</f>
        <v/>
      </c>
      <c r="AV70" s="42">
        <f t="shared" ref="AV70:AV101" si="91">IF(AND(AT70=0,AQ70&gt;0),100%,IF(AND(AT70&lt;0,AQ70=0),(AT70-AQ70)/AT70,IF(AND(AT70&gt;0,AQ70&gt;0),(AQ70-AT70)/AT70,IF(AND(AT70=0,AQ70=0),"",(AQ70-AT70)/AT70))))</f>
        <v>1</v>
      </c>
      <c r="AW70" s="84">
        <f t="shared" si="67"/>
        <v>8.3333333333333339</v>
      </c>
      <c r="AX70" s="28">
        <f>IF(AND(AW4=0,AW70&gt;=0), "",AW70/AW4)</f>
        <v>3.6231884057971011E-3</v>
      </c>
      <c r="AY70" s="42">
        <f>IF(AND(AW124=0,AW70&gt;=0),"",AW70/AW124)</f>
        <v>3.3557046979865772E-2</v>
      </c>
      <c r="AZ70" s="84">
        <f t="shared" si="80"/>
        <v>0</v>
      </c>
      <c r="BA70" s="28" t="str">
        <f>IF(AND(AZ4=0,AZ70&gt;=0), "",AZ70/AZ4)</f>
        <v/>
      </c>
      <c r="BB70" s="42">
        <f t="shared" ref="BB70:BB101" si="92">IF(AND(AZ70=0,AW70&gt;0),100%,IF(AND(AZ70&lt;0,AW70=0),(AZ70-AW70)/AZ70,IF(AND(AZ70&gt;0,AW70&gt;0),(AW70-AZ70)/AZ70,IF(AND(AZ70=0,AW70=0),"",(AW70-AZ70)/AZ70))))</f>
        <v>1</v>
      </c>
      <c r="BC70" s="82">
        <f>+'N EERR'!I99+'N EERR'!I100+'N EERR'!I105+'N EERR'!I106+'N EERR'!I107</f>
        <v>0</v>
      </c>
      <c r="BD70" s="28" t="str">
        <f>IF(AND(BC4=0,BC70&gt;=0), "",BC70/BC4)</f>
        <v/>
      </c>
      <c r="BE70" s="42" t="str">
        <f>IF(AND(BC124=0,BC70&gt;=0),"",BC70/BC124)</f>
        <v/>
      </c>
      <c r="BF70" s="28" t="str">
        <f t="shared" ref="BF70:BF101" si="93">IF(AND(AM70=0,BC70&gt;0),100%,IF(AND(AM70&lt;0,BC70=0),(AM70-BC70)/AM70,IF(AND(AM70&gt;0,BC70&gt;0),(BC70-AM70)/AM70,IF(AND(AM70=0,BC70=0),"",(BC70-AM70)/AM70))))</f>
        <v/>
      </c>
      <c r="BG70" s="83">
        <f t="shared" si="81"/>
        <v>50</v>
      </c>
      <c r="BH70" s="28">
        <f>IF(AND(BG4=0,BG70&gt;=0), "",BG70/BG4)</f>
        <v>3.6231884057971015E-3</v>
      </c>
      <c r="BI70" s="42">
        <f>IF(AND(BG124=0,BG70&gt;=0),"",BG70/BG124)</f>
        <v>3.3557046979865772E-2</v>
      </c>
      <c r="BJ70" s="82">
        <f>+'N EERR'!J99+'N EERR'!J100+'N EERR'!J105+'N EERR'!J106+'N EERR'!J107</f>
        <v>0</v>
      </c>
      <c r="BK70" s="28" t="str">
        <f>IF(AND(BJ4=0,BJ70&gt;=0), "",BJ70/BJ4)</f>
        <v/>
      </c>
      <c r="BL70" s="42" t="str">
        <f>IF(AND(BJ124=0,BJ70&gt;=0),"",BJ70/BJ124)</f>
        <v/>
      </c>
      <c r="BM70" s="28" t="str">
        <f t="shared" si="70"/>
        <v/>
      </c>
      <c r="BN70" s="83">
        <f t="shared" si="82"/>
        <v>50</v>
      </c>
      <c r="BO70" s="28">
        <f>IF(AND(BN4=0,BN70&gt;=0), "",BN70/BN4)</f>
        <v>3.6231884057971015E-3</v>
      </c>
      <c r="BP70" s="42">
        <f>IF(AND(BN124=0,BN70&gt;=0),"",BN70/BN124)</f>
        <v>3.3557046979865772E-2</v>
      </c>
      <c r="BQ70" s="82">
        <f>+'N EERR'!K99+'N EERR'!K100+'N EERR'!K105+'N EERR'!K106+'N EERR'!K107</f>
        <v>0</v>
      </c>
      <c r="BR70" s="28" t="str">
        <f>IF(AND(BQ4=0,BQ70&gt;=0), "",BQ70/BQ4)</f>
        <v/>
      </c>
      <c r="BS70" s="42" t="str">
        <f>IF(AND(BQ124=0,BQ70&gt;=0),"",BQ70/BQ124)</f>
        <v/>
      </c>
      <c r="BT70" s="28" t="str">
        <f t="shared" si="71"/>
        <v/>
      </c>
      <c r="BU70" s="83">
        <f t="shared" si="83"/>
        <v>50</v>
      </c>
      <c r="BV70" s="28">
        <f>IF(AND(BU4=0,BU70&gt;=0), "",BU70/BU4)</f>
        <v>3.6231884057971015E-3</v>
      </c>
      <c r="BW70" s="42">
        <f>IF(AND(BU124=0,BU70&gt;=0),"",BU70/BU124)</f>
        <v>3.3557046979865772E-2</v>
      </c>
      <c r="BX70" s="84">
        <f t="shared" si="84"/>
        <v>0</v>
      </c>
      <c r="BY70" s="28" t="str">
        <f>IF(AND(BX4=0,BX70&gt;=0), "",BX70/BX4)</f>
        <v/>
      </c>
      <c r="BZ70" s="42">
        <f t="shared" si="72"/>
        <v>1</v>
      </c>
      <c r="CA70" s="82">
        <f>+'N EERR'!L99+'N EERR'!L100+'N EERR'!L105+'N EERR'!L106+'N EERR'!L107</f>
        <v>0</v>
      </c>
      <c r="CB70" s="28" t="str">
        <f>IF(AND(CA4=0,CA70&gt;=0), "",CA70/CA4)</f>
        <v/>
      </c>
      <c r="CC70" s="42" t="str">
        <f>IF(AND(CA124=0,CA70&gt;=0),"",CA70/CA124)</f>
        <v/>
      </c>
      <c r="CD70" s="28" t="str">
        <f t="shared" ref="CD70:CD101" si="94">IF(AND(BQ70=0,CA70&gt;0),100%,IF(AND(BQ70&lt;0,CA70=0),(BQ70-CA70)/BQ70,IF(AND(BQ70&gt;0,CA70&gt;0),(CA70-BQ70)/BQ70,IF(AND(BQ70=0,CA70=0),"",(CA70-BQ70)/BQ70))))</f>
        <v/>
      </c>
      <c r="CE70" s="83">
        <f t="shared" si="85"/>
        <v>50</v>
      </c>
      <c r="CF70" s="28">
        <f>IF(AND(CE4=0,CE70&gt;=0), "",CE70/CE4)</f>
        <v>3.6231884057971015E-3</v>
      </c>
      <c r="CG70" s="42">
        <f>IF(AND(CE124=0,CE70&gt;=0),"",CE70/CE124)</f>
        <v>3.3557046979865772E-2</v>
      </c>
      <c r="CH70" s="82">
        <f>+'N EERR'!M99+'N EERR'!M100+'N EERR'!M105+'N EERR'!M106+'N EERR'!M107</f>
        <v>0</v>
      </c>
      <c r="CI70" s="28" t="str">
        <f>IF(AND(CH4=0,CH70&gt;=0), "",CH70/CH4)</f>
        <v/>
      </c>
      <c r="CJ70" s="42" t="str">
        <f>IF(AND(CH124=0,CH70&gt;=0),"",CH70/CH124)</f>
        <v/>
      </c>
      <c r="CK70" s="28" t="str">
        <f t="shared" si="73"/>
        <v/>
      </c>
      <c r="CL70" s="83">
        <f t="shared" si="86"/>
        <v>50</v>
      </c>
      <c r="CM70" s="28">
        <f>IF(AND(CL4=0,CL70&gt;=0), "",CL70/CL4)</f>
        <v>3.6231884057971015E-3</v>
      </c>
      <c r="CN70" s="42">
        <f>IF(AND(CL124=0,CL70&gt;=0),"",CL70/CL124)</f>
        <v>3.3557046979865772E-2</v>
      </c>
      <c r="CO70" s="82">
        <f>+'N EERR'!N99+'N EERR'!N100+'N EERR'!N105+'N EERR'!N106+'N EERR'!N107</f>
        <v>0</v>
      </c>
      <c r="CP70" s="28" t="str">
        <f>IF(AND(CO4=0,CO70&gt;=0), "",CO70/CO4)</f>
        <v/>
      </c>
      <c r="CQ70" s="42" t="str">
        <f>IF(AND(CO124=0,CO70&gt;=0),"",CO70/CO124)</f>
        <v/>
      </c>
      <c r="CR70" s="28" t="str">
        <f t="shared" si="74"/>
        <v/>
      </c>
      <c r="CS70" s="83">
        <f t="shared" si="87"/>
        <v>50</v>
      </c>
      <c r="CT70" s="28">
        <f>IF(AND(CS4=0,CS70&gt;=0), "",CS70/CS4)</f>
        <v>3.6231884057971015E-3</v>
      </c>
      <c r="CU70" s="42">
        <f>IF(AND(CS124=0,CS70&gt;=0),"",CS70/CS124)</f>
        <v>3.3557046979865772E-2</v>
      </c>
      <c r="CV70" s="84">
        <f t="shared" si="88"/>
        <v>0</v>
      </c>
      <c r="CW70" s="28" t="str">
        <f>IF(AND(CV4=0,CV70&gt;=0), "",CV70/CV4)</f>
        <v/>
      </c>
      <c r="CX70" s="42">
        <f t="shared" si="75"/>
        <v>1</v>
      </c>
    </row>
    <row r="71" spans="1:102" hidden="1" outlineLevel="1" x14ac:dyDescent="0.25">
      <c r="A71" s="27" t="s">
        <v>64</v>
      </c>
      <c r="B71" s="82">
        <f>+'N EERR'!B108</f>
        <v>0</v>
      </c>
      <c r="C71" s="28" t="str">
        <f>IF(AND(B4=0,B71&gt;=0), "",B71/B4)</f>
        <v/>
      </c>
      <c r="D71" s="42" t="str">
        <f>IF(AND(B124=0,B71&gt;=0),"",B71/B124)</f>
        <v/>
      </c>
      <c r="E71" s="82">
        <f>+'N EERR'!C108</f>
        <v>10</v>
      </c>
      <c r="F71" s="28">
        <f>IF(AND(E4=0,E71&gt;=0), "",E71/E4)</f>
        <v>7.246376811594203E-4</v>
      </c>
      <c r="G71" s="42">
        <f>IF(AND(E124=0,E71&gt;=0),"",E71/E124)</f>
        <v>6.7114093959731542E-3</v>
      </c>
      <c r="H71" s="82">
        <f>+'N EERR'!D108</f>
        <v>0</v>
      </c>
      <c r="I71" s="28" t="str">
        <f>IF(AND(H4=0,H71&gt;=0), "",H71/H4)</f>
        <v/>
      </c>
      <c r="J71" s="42" t="str">
        <f>IF(AND(H124=0,H71&gt;=0),"",H71/H124)</f>
        <v/>
      </c>
      <c r="K71" s="28">
        <f t="shared" si="46"/>
        <v>-1</v>
      </c>
      <c r="L71" s="83">
        <f t="shared" si="76"/>
        <v>10</v>
      </c>
      <c r="M71" s="28">
        <f>IF(AND(L4=0,L71&gt;=0), "",L71/L4)</f>
        <v>7.246376811594203E-4</v>
      </c>
      <c r="N71" s="42">
        <f>IF(AND(L124=0,L71&gt;=0),"",L71/L124)</f>
        <v>6.7114093959731542E-3</v>
      </c>
      <c r="O71" s="82">
        <f>+'N EERR'!E108</f>
        <v>0</v>
      </c>
      <c r="P71" s="28" t="str">
        <f>IF(AND(O4=0,O71&gt;=0), "",O71/O4)</f>
        <v/>
      </c>
      <c r="Q71" s="42" t="str">
        <f>IF(AND(O124=0,O71&gt;=0),"",O71/O124)</f>
        <v/>
      </c>
      <c r="R71" s="28" t="str">
        <f t="shared" si="47"/>
        <v/>
      </c>
      <c r="S71" s="83">
        <f t="shared" si="77"/>
        <v>10</v>
      </c>
      <c r="T71" s="28">
        <f>IF(AND(S4=0,S71&gt;=0), "",S71/S4)</f>
        <v>7.246376811594203E-4</v>
      </c>
      <c r="U71" s="42">
        <f>IF(AND(S124=0,S71&gt;=0),"",S71/S124)</f>
        <v>6.7114093959731542E-3</v>
      </c>
      <c r="V71" s="84"/>
      <c r="W71" s="28" t="str">
        <f>IF(AND(V4=0,V71&gt;=0), "",V71/V4)</f>
        <v/>
      </c>
      <c r="X71" s="42">
        <f t="shared" si="89"/>
        <v>1</v>
      </c>
      <c r="Y71" s="82">
        <f>+'N EERR'!F108</f>
        <v>0</v>
      </c>
      <c r="Z71" s="28" t="str">
        <f>IF(AND(Y4=0,Y71&gt;=0), "",Y71/Y4)</f>
        <v/>
      </c>
      <c r="AA71" s="42" t="str">
        <f>IF(AND(Y124=0,Y71&gt;=0),"",Y71/Y124)</f>
        <v/>
      </c>
      <c r="AB71" s="28" t="str">
        <f t="shared" si="90"/>
        <v/>
      </c>
      <c r="AC71" s="83">
        <f t="shared" si="78"/>
        <v>10</v>
      </c>
      <c r="AD71" s="28">
        <f>IF(AND(AC4=0,AC71&gt;=0), "",AC71/AC4)</f>
        <v>7.246376811594203E-4</v>
      </c>
      <c r="AE71" s="42">
        <f>IF(AND(AC124=0,AC71&gt;=0),"",AC71/AC124)</f>
        <v>6.7114093959731542E-3</v>
      </c>
      <c r="AF71" s="82">
        <f>+'N EERR'!G108</f>
        <v>0</v>
      </c>
      <c r="AG71" s="28" t="str">
        <f>IF(AND(AF4=0,AF71&gt;=0), "",AF71/AF4)</f>
        <v/>
      </c>
      <c r="AH71" s="42" t="str">
        <f>IF(AND(AF124=0,AF71&gt;=0),"",AF71/AF124)</f>
        <v/>
      </c>
      <c r="AI71" s="28" t="str">
        <f t="shared" si="68"/>
        <v/>
      </c>
      <c r="AJ71" s="83">
        <f t="shared" ref="AJ71:AJ135" si="95">+AC71+AF71</f>
        <v>10</v>
      </c>
      <c r="AK71" s="28">
        <f>IF(AND(AJ4=0,AJ71&gt;=0), "",AJ71/AJ4)</f>
        <v>7.246376811594203E-4</v>
      </c>
      <c r="AL71" s="42">
        <f>IF(AND(AJ124=0,AJ71&gt;=0),"",AJ71/AJ124)</f>
        <v>6.7114093959731542E-3</v>
      </c>
      <c r="AM71" s="82">
        <f>+'N EERR'!H108</f>
        <v>0</v>
      </c>
      <c r="AN71" s="28" t="str">
        <f>IF(AND(AM4=0,AM71&gt;=0), "",AM71/AM4)</f>
        <v/>
      </c>
      <c r="AO71" s="42" t="str">
        <f>IF(AND(AM124=0,AM71&gt;=0),"",AM71/AM124)</f>
        <v/>
      </c>
      <c r="AP71" s="28" t="str">
        <f t="shared" si="69"/>
        <v/>
      </c>
      <c r="AQ71" s="83">
        <f t="shared" ref="AQ71:AQ135" si="96">+AJ71+AM71</f>
        <v>10</v>
      </c>
      <c r="AR71" s="28">
        <f>IF(AND(AQ4=0,AQ71&gt;=0), "",AQ71/AQ4)</f>
        <v>7.246376811594203E-4</v>
      </c>
      <c r="AS71" s="42">
        <f>IF(AND(AQ124=0,AQ71&gt;=0),"",AQ71/AQ124)</f>
        <v>6.7114093959731542E-3</v>
      </c>
      <c r="AT71" s="84">
        <f t="shared" si="79"/>
        <v>0</v>
      </c>
      <c r="AU71" s="28" t="str">
        <f>IF(AND(AT4=0,AT71&gt;=0), "",AT71/AT4)</f>
        <v/>
      </c>
      <c r="AV71" s="42">
        <f t="shared" si="91"/>
        <v>1</v>
      </c>
      <c r="AW71" s="84">
        <f t="shared" si="67"/>
        <v>1.6666666666666667</v>
      </c>
      <c r="AX71" s="28">
        <f>IF(AND(AW4=0,AW71&gt;=0), "",AW71/AW4)</f>
        <v>7.2463768115942019E-4</v>
      </c>
      <c r="AY71" s="42">
        <f>IF(AND(AW124=0,AW71&gt;=0),"",AW71/AW124)</f>
        <v>6.7114093959731542E-3</v>
      </c>
      <c r="AZ71" s="84">
        <f t="shared" si="80"/>
        <v>0</v>
      </c>
      <c r="BA71" s="28" t="str">
        <f>IF(AND(AZ4=0,AZ71&gt;=0), "",AZ71/AZ4)</f>
        <v/>
      </c>
      <c r="BB71" s="42">
        <f t="shared" si="92"/>
        <v>1</v>
      </c>
      <c r="BC71" s="82">
        <f>+'N EERR'!I108</f>
        <v>0</v>
      </c>
      <c r="BD71" s="28" t="str">
        <f>IF(AND(BC4=0,BC71&gt;=0), "",BC71/BC4)</f>
        <v/>
      </c>
      <c r="BE71" s="42" t="str">
        <f>IF(AND(BC124=0,BC71&gt;=0),"",BC71/BC124)</f>
        <v/>
      </c>
      <c r="BF71" s="28" t="str">
        <f t="shared" si="93"/>
        <v/>
      </c>
      <c r="BG71" s="83">
        <f t="shared" si="81"/>
        <v>10</v>
      </c>
      <c r="BH71" s="28">
        <f>IF(AND(BG4=0,BG71&gt;=0), "",BG71/BG4)</f>
        <v>7.246376811594203E-4</v>
      </c>
      <c r="BI71" s="42">
        <f>IF(AND(BG124=0,BG71&gt;=0),"",BG71/BG124)</f>
        <v>6.7114093959731542E-3</v>
      </c>
      <c r="BJ71" s="82">
        <f>+'N EERR'!J108</f>
        <v>0</v>
      </c>
      <c r="BK71" s="28" t="str">
        <f>IF(AND(BJ4=0,BJ71&gt;=0), "",BJ71/BJ4)</f>
        <v/>
      </c>
      <c r="BL71" s="42" t="str">
        <f>IF(AND(BJ124=0,BJ71&gt;=0),"",BJ71/BJ124)</f>
        <v/>
      </c>
      <c r="BM71" s="28" t="str">
        <f t="shared" si="70"/>
        <v/>
      </c>
      <c r="BN71" s="83">
        <f t="shared" si="82"/>
        <v>10</v>
      </c>
      <c r="BO71" s="28">
        <f>IF(AND(BN4=0,BN71&gt;=0), "",BN71/BN4)</f>
        <v>7.246376811594203E-4</v>
      </c>
      <c r="BP71" s="42">
        <f>IF(AND(BN124=0,BN71&gt;=0),"",BN71/BN124)</f>
        <v>6.7114093959731542E-3</v>
      </c>
      <c r="BQ71" s="82">
        <f>+'N EERR'!K108</f>
        <v>0</v>
      </c>
      <c r="BR71" s="28" t="str">
        <f>IF(AND(BQ4=0,BQ71&gt;=0), "",BQ71/BQ4)</f>
        <v/>
      </c>
      <c r="BS71" s="42" t="str">
        <f>IF(AND(BQ124=0,BQ71&gt;=0),"",BQ71/BQ124)</f>
        <v/>
      </c>
      <c r="BT71" s="28" t="str">
        <f t="shared" si="71"/>
        <v/>
      </c>
      <c r="BU71" s="83">
        <f t="shared" si="83"/>
        <v>10</v>
      </c>
      <c r="BV71" s="28">
        <f>IF(AND(BU4=0,BU71&gt;=0), "",BU71/BU4)</f>
        <v>7.246376811594203E-4</v>
      </c>
      <c r="BW71" s="42">
        <f>IF(AND(BU124=0,BU71&gt;=0),"",BU71/BU124)</f>
        <v>6.7114093959731542E-3</v>
      </c>
      <c r="BX71" s="84">
        <f t="shared" si="84"/>
        <v>0</v>
      </c>
      <c r="BY71" s="28" t="str">
        <f>IF(AND(BX4=0,BX71&gt;=0), "",BX71/BX4)</f>
        <v/>
      </c>
      <c r="BZ71" s="42">
        <f t="shared" si="72"/>
        <v>1</v>
      </c>
      <c r="CA71" s="82">
        <f>+'N EERR'!L108</f>
        <v>0</v>
      </c>
      <c r="CB71" s="28" t="str">
        <f>IF(AND(CA4=0,CA71&gt;=0), "",CA71/CA4)</f>
        <v/>
      </c>
      <c r="CC71" s="42" t="str">
        <f>IF(AND(CA124=0,CA71&gt;=0),"",CA71/CA124)</f>
        <v/>
      </c>
      <c r="CD71" s="28" t="str">
        <f t="shared" si="94"/>
        <v/>
      </c>
      <c r="CE71" s="83">
        <f t="shared" si="85"/>
        <v>10</v>
      </c>
      <c r="CF71" s="28">
        <f>IF(AND(CE4=0,CE71&gt;=0), "",CE71/CE4)</f>
        <v>7.246376811594203E-4</v>
      </c>
      <c r="CG71" s="42">
        <f>IF(AND(CE124=0,CE71&gt;=0),"",CE71/CE124)</f>
        <v>6.7114093959731542E-3</v>
      </c>
      <c r="CH71" s="82">
        <f>+'N EERR'!M108</f>
        <v>0</v>
      </c>
      <c r="CI71" s="28" t="str">
        <f>IF(AND(CH4=0,CH71&gt;=0), "",CH71/CH4)</f>
        <v/>
      </c>
      <c r="CJ71" s="42" t="str">
        <f>IF(AND(CH124=0,CH71&gt;=0),"",CH71/CH124)</f>
        <v/>
      </c>
      <c r="CK71" s="28" t="str">
        <f t="shared" si="73"/>
        <v/>
      </c>
      <c r="CL71" s="83">
        <f t="shared" si="86"/>
        <v>10</v>
      </c>
      <c r="CM71" s="28">
        <f>IF(AND(CL4=0,CL71&gt;=0), "",CL71/CL4)</f>
        <v>7.246376811594203E-4</v>
      </c>
      <c r="CN71" s="42">
        <f>IF(AND(CL124=0,CL71&gt;=0),"",CL71/CL124)</f>
        <v>6.7114093959731542E-3</v>
      </c>
      <c r="CO71" s="82">
        <f>+'N EERR'!N108</f>
        <v>0</v>
      </c>
      <c r="CP71" s="28" t="str">
        <f>IF(AND(CO4=0,CO71&gt;=0), "",CO71/CO4)</f>
        <v/>
      </c>
      <c r="CQ71" s="42" t="str">
        <f>IF(AND(CO124=0,CO71&gt;=0),"",CO71/CO124)</f>
        <v/>
      </c>
      <c r="CR71" s="28" t="str">
        <f t="shared" si="74"/>
        <v/>
      </c>
      <c r="CS71" s="83">
        <f t="shared" si="87"/>
        <v>10</v>
      </c>
      <c r="CT71" s="28">
        <f>IF(AND(CS4=0,CS71&gt;=0), "",CS71/CS4)</f>
        <v>7.246376811594203E-4</v>
      </c>
      <c r="CU71" s="42">
        <f>IF(AND(CS124=0,CS71&gt;=0),"",CS71/CS124)</f>
        <v>6.7114093959731542E-3</v>
      </c>
      <c r="CV71" s="84">
        <f t="shared" si="88"/>
        <v>0</v>
      </c>
      <c r="CW71" s="28" t="str">
        <f>IF(AND(CV4=0,CV71&gt;=0), "",CV71/CV4)</f>
        <v/>
      </c>
      <c r="CX71" s="42">
        <f t="shared" si="75"/>
        <v>1</v>
      </c>
    </row>
    <row r="72" spans="1:102" hidden="1" outlineLevel="1" x14ac:dyDescent="0.25">
      <c r="A72" s="27" t="s">
        <v>65</v>
      </c>
      <c r="B72" s="82">
        <f>+'N EERR'!B109+'N EERR'!B110+'N EERR'!B111+'N EERR'!B112</f>
        <v>0</v>
      </c>
      <c r="C72" s="28" t="str">
        <f>IF(AND(B4=0,B72&gt;=0), "",B72/B4)</f>
        <v/>
      </c>
      <c r="D72" s="42" t="str">
        <f>IF(AND(B124=0,B72&gt;=0),"",B72/B124)</f>
        <v/>
      </c>
      <c r="E72" s="82">
        <f>+'N EERR'!C109+'N EERR'!C110+'N EERR'!C111+'N EERR'!C112</f>
        <v>40</v>
      </c>
      <c r="F72" s="28">
        <f>IF(AND(E4=0,E72&gt;=0), "",E72/E4)</f>
        <v>2.8985507246376812E-3</v>
      </c>
      <c r="G72" s="42">
        <f>IF(AND(E124=0,E72&gt;=0),"",E72/E124)</f>
        <v>2.6845637583892617E-2</v>
      </c>
      <c r="H72" s="82">
        <f>+'N EERR'!D109+'N EERR'!D110+'N EERR'!D111+'N EERR'!D112</f>
        <v>0</v>
      </c>
      <c r="I72" s="28" t="str">
        <f>IF(AND(H4=0,H72&gt;=0), "",H72/H4)</f>
        <v/>
      </c>
      <c r="J72" s="42" t="str">
        <f>IF(AND(H124=0,H72&gt;=0),"",H72/H124)</f>
        <v/>
      </c>
      <c r="K72" s="28">
        <f t="shared" si="46"/>
        <v>-1</v>
      </c>
      <c r="L72" s="83">
        <f t="shared" si="76"/>
        <v>40</v>
      </c>
      <c r="M72" s="28">
        <f>IF(AND(L4=0,L72&gt;=0), "",L72/L4)</f>
        <v>2.8985507246376812E-3</v>
      </c>
      <c r="N72" s="42">
        <f>IF(AND(L124=0,L72&gt;=0),"",L72/L124)</f>
        <v>2.6845637583892617E-2</v>
      </c>
      <c r="O72" s="82">
        <f>+'N EERR'!E109+'N EERR'!E110+'N EERR'!E111+'N EERR'!E112</f>
        <v>0</v>
      </c>
      <c r="P72" s="28" t="str">
        <f>IF(AND(O4=0,O72&gt;=0), "",O72/O4)</f>
        <v/>
      </c>
      <c r="Q72" s="42" t="str">
        <f>IF(AND(O124=0,O72&gt;=0),"",O72/O124)</f>
        <v/>
      </c>
      <c r="R72" s="28" t="str">
        <f t="shared" si="47"/>
        <v/>
      </c>
      <c r="S72" s="83">
        <f t="shared" si="77"/>
        <v>40</v>
      </c>
      <c r="T72" s="28">
        <f>IF(AND(S4=0,S72&gt;=0), "",S72/S4)</f>
        <v>2.8985507246376812E-3</v>
      </c>
      <c r="U72" s="42">
        <f>IF(AND(S124=0,S72&gt;=0),"",S72/S124)</f>
        <v>2.6845637583892617E-2</v>
      </c>
      <c r="V72" s="84"/>
      <c r="W72" s="28" t="str">
        <f>IF(AND(V4=0,V72&gt;=0), "",V72/V4)</f>
        <v/>
      </c>
      <c r="X72" s="42">
        <f t="shared" si="89"/>
        <v>1</v>
      </c>
      <c r="Y72" s="82">
        <f>+'N EERR'!F109+'N EERR'!F110+'N EERR'!F111+'N EERR'!F112</f>
        <v>0</v>
      </c>
      <c r="Z72" s="28" t="str">
        <f>IF(AND(Y4=0,Y72&gt;=0), "",Y72/Y4)</f>
        <v/>
      </c>
      <c r="AA72" s="42" t="str">
        <f>IF(AND(Y124=0,Y72&gt;=0),"",Y72/Y124)</f>
        <v/>
      </c>
      <c r="AB72" s="28" t="str">
        <f t="shared" si="90"/>
        <v/>
      </c>
      <c r="AC72" s="83">
        <f t="shared" si="78"/>
        <v>40</v>
      </c>
      <c r="AD72" s="28">
        <f>IF(AND(AC4=0,AC72&gt;=0), "",AC72/AC4)</f>
        <v>2.8985507246376812E-3</v>
      </c>
      <c r="AE72" s="42">
        <f>IF(AND(AC124=0,AC72&gt;=0),"",AC72/AC124)</f>
        <v>2.6845637583892617E-2</v>
      </c>
      <c r="AF72" s="82">
        <f>+'N EERR'!G109+'N EERR'!G110+'N EERR'!G111+'N EERR'!G112</f>
        <v>0</v>
      </c>
      <c r="AG72" s="28" t="str">
        <f>IF(AND(AF4=0,AF72&gt;=0), "",AF72/AF4)</f>
        <v/>
      </c>
      <c r="AH72" s="42" t="str">
        <f>IF(AND(AF124=0,AF72&gt;=0),"",AF72/AF124)</f>
        <v/>
      </c>
      <c r="AI72" s="28" t="str">
        <f t="shared" si="68"/>
        <v/>
      </c>
      <c r="AJ72" s="83">
        <f t="shared" si="95"/>
        <v>40</v>
      </c>
      <c r="AK72" s="28">
        <f>IF(AND(AJ4=0,AJ72&gt;=0), "",AJ72/AJ4)</f>
        <v>2.8985507246376812E-3</v>
      </c>
      <c r="AL72" s="42">
        <f>IF(AND(AJ124=0,AJ72&gt;=0),"",AJ72/AJ124)</f>
        <v>2.6845637583892617E-2</v>
      </c>
      <c r="AM72" s="82">
        <f>+'N EERR'!H109+'N EERR'!H110+'N EERR'!H111+'N EERR'!H112</f>
        <v>0</v>
      </c>
      <c r="AN72" s="28" t="str">
        <f>IF(AND(AM4=0,AM72&gt;=0), "",AM72/AM4)</f>
        <v/>
      </c>
      <c r="AO72" s="42" t="str">
        <f>IF(AND(AM124=0,AM72&gt;=0),"",AM72/AM124)</f>
        <v/>
      </c>
      <c r="AP72" s="28" t="str">
        <f t="shared" si="69"/>
        <v/>
      </c>
      <c r="AQ72" s="83">
        <f t="shared" si="96"/>
        <v>40</v>
      </c>
      <c r="AR72" s="28">
        <f>IF(AND(AQ4=0,AQ72&gt;=0), "",AQ72/AQ4)</f>
        <v>2.8985507246376812E-3</v>
      </c>
      <c r="AS72" s="42">
        <f>IF(AND(AQ124=0,AQ72&gt;=0),"",AQ72/AQ124)</f>
        <v>2.6845637583892617E-2</v>
      </c>
      <c r="AT72" s="84">
        <f t="shared" si="79"/>
        <v>0</v>
      </c>
      <c r="AU72" s="28" t="str">
        <f>IF(AND(AT4=0,AT72&gt;=0), "",AT72/AT4)</f>
        <v/>
      </c>
      <c r="AV72" s="42">
        <f t="shared" si="91"/>
        <v>1</v>
      </c>
      <c r="AW72" s="84">
        <f t="shared" si="67"/>
        <v>6.666666666666667</v>
      </c>
      <c r="AX72" s="28">
        <f>IF(AND(AW4=0,AW72&gt;=0), "",AW72/AW4)</f>
        <v>2.8985507246376808E-3</v>
      </c>
      <c r="AY72" s="42">
        <f>IF(AND(AW124=0,AW72&gt;=0),"",AW72/AW124)</f>
        <v>2.6845637583892617E-2</v>
      </c>
      <c r="AZ72" s="84">
        <f t="shared" si="80"/>
        <v>0</v>
      </c>
      <c r="BA72" s="28" t="str">
        <f>IF(AND(AZ4=0,AZ72&gt;=0), "",AZ72/AZ4)</f>
        <v/>
      </c>
      <c r="BB72" s="42">
        <f t="shared" si="92"/>
        <v>1</v>
      </c>
      <c r="BC72" s="82">
        <f>+'N EERR'!I109+'N EERR'!I110+'N EERR'!I111+'N EERR'!I112</f>
        <v>0</v>
      </c>
      <c r="BD72" s="28" t="str">
        <f>IF(AND(BC4=0,BC72&gt;=0), "",BC72/BC4)</f>
        <v/>
      </c>
      <c r="BE72" s="42" t="str">
        <f>IF(AND(BC124=0,BC72&gt;=0),"",BC72/BC124)</f>
        <v/>
      </c>
      <c r="BF72" s="28" t="str">
        <f t="shared" si="93"/>
        <v/>
      </c>
      <c r="BG72" s="83">
        <f t="shared" si="81"/>
        <v>40</v>
      </c>
      <c r="BH72" s="28">
        <f>IF(AND(BG4=0,BG72&gt;=0), "",BG72/BG4)</f>
        <v>2.8985507246376812E-3</v>
      </c>
      <c r="BI72" s="42">
        <f>IF(AND(BG124=0,BG72&gt;=0),"",BG72/BG124)</f>
        <v>2.6845637583892617E-2</v>
      </c>
      <c r="BJ72" s="82">
        <f>+'N EERR'!J109+'N EERR'!J110+'N EERR'!J111+'N EERR'!J112</f>
        <v>0</v>
      </c>
      <c r="BK72" s="28" t="str">
        <f>IF(AND(BJ4=0,BJ72&gt;=0), "",BJ72/BJ4)</f>
        <v/>
      </c>
      <c r="BL72" s="42" t="str">
        <f>IF(AND(BJ124=0,BJ72&gt;=0),"",BJ72/BJ124)</f>
        <v/>
      </c>
      <c r="BM72" s="28" t="str">
        <f t="shared" si="70"/>
        <v/>
      </c>
      <c r="BN72" s="83">
        <f t="shared" si="82"/>
        <v>40</v>
      </c>
      <c r="BO72" s="28">
        <f>IF(AND(BN4=0,BN72&gt;=0), "",BN72/BN4)</f>
        <v>2.8985507246376812E-3</v>
      </c>
      <c r="BP72" s="42">
        <f>IF(AND(BN124=0,BN72&gt;=0),"",BN72/BN124)</f>
        <v>2.6845637583892617E-2</v>
      </c>
      <c r="BQ72" s="82">
        <f>+'N EERR'!K109+'N EERR'!K110+'N EERR'!K111+'N EERR'!K112</f>
        <v>0</v>
      </c>
      <c r="BR72" s="28" t="str">
        <f>IF(AND(BQ4=0,BQ72&gt;=0), "",BQ72/BQ4)</f>
        <v/>
      </c>
      <c r="BS72" s="42" t="str">
        <f>IF(AND(BQ124=0,BQ72&gt;=0),"",BQ72/BQ124)</f>
        <v/>
      </c>
      <c r="BT72" s="28" t="str">
        <f t="shared" si="71"/>
        <v/>
      </c>
      <c r="BU72" s="83">
        <f t="shared" si="83"/>
        <v>40</v>
      </c>
      <c r="BV72" s="28">
        <f>IF(AND(BU4=0,BU72&gt;=0), "",BU72/BU4)</f>
        <v>2.8985507246376812E-3</v>
      </c>
      <c r="BW72" s="42">
        <f>IF(AND(BU124=0,BU72&gt;=0),"",BU72/BU124)</f>
        <v>2.6845637583892617E-2</v>
      </c>
      <c r="BX72" s="84">
        <f t="shared" si="84"/>
        <v>0</v>
      </c>
      <c r="BY72" s="28" t="str">
        <f>IF(AND(BX4=0,BX72&gt;=0), "",BX72/BX4)</f>
        <v/>
      </c>
      <c r="BZ72" s="42">
        <f t="shared" si="72"/>
        <v>1</v>
      </c>
      <c r="CA72" s="82">
        <f>+'N EERR'!L109+'N EERR'!L110+'N EERR'!L111+'N EERR'!L112</f>
        <v>0</v>
      </c>
      <c r="CB72" s="28" t="str">
        <f>IF(AND(CA4=0,CA72&gt;=0), "",CA72/CA4)</f>
        <v/>
      </c>
      <c r="CC72" s="42" t="str">
        <f>IF(AND(CA124=0,CA72&gt;=0),"",CA72/CA124)</f>
        <v/>
      </c>
      <c r="CD72" s="28" t="str">
        <f t="shared" si="94"/>
        <v/>
      </c>
      <c r="CE72" s="83">
        <f t="shared" si="85"/>
        <v>40</v>
      </c>
      <c r="CF72" s="28">
        <f>IF(AND(CE4=0,CE72&gt;=0), "",CE72/CE4)</f>
        <v>2.8985507246376812E-3</v>
      </c>
      <c r="CG72" s="42">
        <f>IF(AND(CE124=0,CE72&gt;=0),"",CE72/CE124)</f>
        <v>2.6845637583892617E-2</v>
      </c>
      <c r="CH72" s="82">
        <f>+'N EERR'!M109+'N EERR'!M110+'N EERR'!M111+'N EERR'!M112</f>
        <v>0</v>
      </c>
      <c r="CI72" s="28" t="str">
        <f>IF(AND(CH4=0,CH72&gt;=0), "",CH72/CH4)</f>
        <v/>
      </c>
      <c r="CJ72" s="42" t="str">
        <f>IF(AND(CH124=0,CH72&gt;=0),"",CH72/CH124)</f>
        <v/>
      </c>
      <c r="CK72" s="28" t="str">
        <f t="shared" si="73"/>
        <v/>
      </c>
      <c r="CL72" s="83">
        <f t="shared" si="86"/>
        <v>40</v>
      </c>
      <c r="CM72" s="28">
        <f>IF(AND(CL4=0,CL72&gt;=0), "",CL72/CL4)</f>
        <v>2.8985507246376812E-3</v>
      </c>
      <c r="CN72" s="42">
        <f>IF(AND(CL124=0,CL72&gt;=0),"",CL72/CL124)</f>
        <v>2.6845637583892617E-2</v>
      </c>
      <c r="CO72" s="82">
        <f>+'N EERR'!N109+'N EERR'!N110+'N EERR'!N111+'N EERR'!N112</f>
        <v>0</v>
      </c>
      <c r="CP72" s="28" t="str">
        <f>IF(AND(CO4=0,CO72&gt;=0), "",CO72/CO4)</f>
        <v/>
      </c>
      <c r="CQ72" s="42" t="str">
        <f>IF(AND(CO124=0,CO72&gt;=0),"",CO72/CO124)</f>
        <v/>
      </c>
      <c r="CR72" s="28" t="str">
        <f t="shared" si="74"/>
        <v/>
      </c>
      <c r="CS72" s="83">
        <f t="shared" si="87"/>
        <v>40</v>
      </c>
      <c r="CT72" s="28">
        <f>IF(AND(CS4=0,CS72&gt;=0), "",CS72/CS4)</f>
        <v>2.8985507246376812E-3</v>
      </c>
      <c r="CU72" s="42">
        <f>IF(AND(CS124=0,CS72&gt;=0),"",CS72/CS124)</f>
        <v>2.6845637583892617E-2</v>
      </c>
      <c r="CV72" s="84">
        <f t="shared" si="88"/>
        <v>0</v>
      </c>
      <c r="CW72" s="28" t="str">
        <f>IF(AND(CV4=0,CV72&gt;=0), "",CV72/CV4)</f>
        <v/>
      </c>
      <c r="CX72" s="42">
        <f t="shared" si="75"/>
        <v>1</v>
      </c>
    </row>
    <row r="73" spans="1:102" hidden="1" outlineLevel="1" x14ac:dyDescent="0.25">
      <c r="A73" s="27" t="s">
        <v>66</v>
      </c>
      <c r="B73" s="82">
        <f>+'N EERR'!B113+'N EERR'!B114+'N EERR'!B115+'N EERR'!B116</f>
        <v>0</v>
      </c>
      <c r="C73" s="28" t="str">
        <f>IF(AND(B4=0,B73&gt;=0), "",B73/B4)</f>
        <v/>
      </c>
      <c r="D73" s="42" t="str">
        <f>IF(AND(B124=0,B73&gt;=0),"",B73/B124)</f>
        <v/>
      </c>
      <c r="E73" s="82">
        <f>+'N EERR'!C113+'N EERR'!C114+'N EERR'!C115+'N EERR'!C116</f>
        <v>40</v>
      </c>
      <c r="F73" s="28">
        <f>IF(AND(E4=0,E73&gt;=0), "",E73/E4)</f>
        <v>2.8985507246376812E-3</v>
      </c>
      <c r="G73" s="42">
        <f>IF(AND(E124=0,E73&gt;=0),"",E73/E124)</f>
        <v>2.6845637583892617E-2</v>
      </c>
      <c r="H73" s="82">
        <f>+'N EERR'!D113+'N EERR'!D114+'N EERR'!D115+'N EERR'!D116</f>
        <v>0</v>
      </c>
      <c r="I73" s="28" t="str">
        <f>IF(AND(H4=0,H73&gt;=0), "",H73/H4)</f>
        <v/>
      </c>
      <c r="J73" s="42" t="str">
        <f>IF(AND(H124=0,H73&gt;=0),"",H73/H124)</f>
        <v/>
      </c>
      <c r="K73" s="28">
        <f t="shared" si="46"/>
        <v>-1</v>
      </c>
      <c r="L73" s="83">
        <f t="shared" si="76"/>
        <v>40</v>
      </c>
      <c r="M73" s="28">
        <f>IF(AND(L4=0,L73&gt;=0), "",L73/L4)</f>
        <v>2.8985507246376812E-3</v>
      </c>
      <c r="N73" s="42">
        <f>IF(AND(L124=0,L73&gt;=0),"",L73/L124)</f>
        <v>2.6845637583892617E-2</v>
      </c>
      <c r="O73" s="82">
        <f>+'N EERR'!E113+'N EERR'!E114+'N EERR'!E115+'N EERR'!E116</f>
        <v>0</v>
      </c>
      <c r="P73" s="28" t="str">
        <f>IF(AND(O4=0,O73&gt;=0), "",O73/O4)</f>
        <v/>
      </c>
      <c r="Q73" s="42" t="str">
        <f>IF(AND(O124=0,O73&gt;=0),"",O73/O124)</f>
        <v/>
      </c>
      <c r="R73" s="28" t="str">
        <f t="shared" si="47"/>
        <v/>
      </c>
      <c r="S73" s="83">
        <f t="shared" si="77"/>
        <v>40</v>
      </c>
      <c r="T73" s="28">
        <f>IF(AND(S4=0,S73&gt;=0), "",S73/S4)</f>
        <v>2.8985507246376812E-3</v>
      </c>
      <c r="U73" s="42">
        <f>IF(AND(S124=0,S73&gt;=0),"",S73/S124)</f>
        <v>2.6845637583892617E-2</v>
      </c>
      <c r="V73" s="84"/>
      <c r="W73" s="28" t="str">
        <f>IF(AND(V4=0,V73&gt;=0), "",V73/V4)</f>
        <v/>
      </c>
      <c r="X73" s="42">
        <f t="shared" si="89"/>
        <v>1</v>
      </c>
      <c r="Y73" s="82">
        <f>+'N EERR'!F113+'N EERR'!F114+'N EERR'!F115+'N EERR'!F116</f>
        <v>0</v>
      </c>
      <c r="Z73" s="28" t="str">
        <f>IF(AND(Y4=0,Y73&gt;=0), "",Y73/Y4)</f>
        <v/>
      </c>
      <c r="AA73" s="42" t="str">
        <f>IF(AND(Y124=0,Y73&gt;=0),"",Y73/Y124)</f>
        <v/>
      </c>
      <c r="AB73" s="28" t="str">
        <f t="shared" si="90"/>
        <v/>
      </c>
      <c r="AC73" s="83">
        <f t="shared" si="78"/>
        <v>40</v>
      </c>
      <c r="AD73" s="28">
        <f>IF(AND(AC4=0,AC73&gt;=0), "",AC73/AC4)</f>
        <v>2.8985507246376812E-3</v>
      </c>
      <c r="AE73" s="42">
        <f>IF(AND(AC124=0,AC73&gt;=0),"",AC73/AC124)</f>
        <v>2.6845637583892617E-2</v>
      </c>
      <c r="AF73" s="82">
        <f>+'N EERR'!G113+'N EERR'!G114+'N EERR'!G115+'N EERR'!G116</f>
        <v>0</v>
      </c>
      <c r="AG73" s="28" t="str">
        <f>IF(AND(AF4=0,AF73&gt;=0), "",AF73/AF4)</f>
        <v/>
      </c>
      <c r="AH73" s="42" t="str">
        <f>IF(AND(AF124=0,AF73&gt;=0),"",AF73/AF124)</f>
        <v/>
      </c>
      <c r="AI73" s="28" t="str">
        <f t="shared" si="68"/>
        <v/>
      </c>
      <c r="AJ73" s="83">
        <f t="shared" si="95"/>
        <v>40</v>
      </c>
      <c r="AK73" s="28">
        <f>IF(AND(AJ4=0,AJ73&gt;=0), "",AJ73/AJ4)</f>
        <v>2.8985507246376812E-3</v>
      </c>
      <c r="AL73" s="42">
        <f>IF(AND(AJ124=0,AJ73&gt;=0),"",AJ73/AJ124)</f>
        <v>2.6845637583892617E-2</v>
      </c>
      <c r="AM73" s="82">
        <f>+'N EERR'!H113+'N EERR'!H114+'N EERR'!H115+'N EERR'!H116</f>
        <v>0</v>
      </c>
      <c r="AN73" s="28" t="str">
        <f>IF(AND(AM4=0,AM73&gt;=0), "",AM73/AM4)</f>
        <v/>
      </c>
      <c r="AO73" s="42" t="str">
        <f>IF(AND(AM124=0,AM73&gt;=0),"",AM73/AM124)</f>
        <v/>
      </c>
      <c r="AP73" s="28" t="str">
        <f t="shared" si="69"/>
        <v/>
      </c>
      <c r="AQ73" s="83">
        <f t="shared" si="96"/>
        <v>40</v>
      </c>
      <c r="AR73" s="28">
        <f>IF(AND(AQ4=0,AQ73&gt;=0), "",AQ73/AQ4)</f>
        <v>2.8985507246376812E-3</v>
      </c>
      <c r="AS73" s="42">
        <f>IF(AND(AQ124=0,AQ73&gt;=0),"",AQ73/AQ124)</f>
        <v>2.6845637583892617E-2</v>
      </c>
      <c r="AT73" s="84">
        <f t="shared" si="79"/>
        <v>0</v>
      </c>
      <c r="AU73" s="28" t="str">
        <f>IF(AND(AT4=0,AT73&gt;=0), "",AT73/AT4)</f>
        <v/>
      </c>
      <c r="AV73" s="42">
        <f t="shared" si="91"/>
        <v>1</v>
      </c>
      <c r="AW73" s="84">
        <f t="shared" si="67"/>
        <v>6.666666666666667</v>
      </c>
      <c r="AX73" s="28">
        <f>IF(AND(AW4=0,AW73&gt;=0), "",AW73/AW4)</f>
        <v>2.8985507246376808E-3</v>
      </c>
      <c r="AY73" s="42">
        <f>IF(AND(AW124=0,AW73&gt;=0),"",AW73/AW124)</f>
        <v>2.6845637583892617E-2</v>
      </c>
      <c r="AZ73" s="84">
        <f t="shared" si="80"/>
        <v>0</v>
      </c>
      <c r="BA73" s="28" t="str">
        <f>IF(AND(AZ4=0,AZ73&gt;=0), "",AZ73/AZ4)</f>
        <v/>
      </c>
      <c r="BB73" s="42">
        <f t="shared" si="92"/>
        <v>1</v>
      </c>
      <c r="BC73" s="82">
        <f>+'N EERR'!I113+'N EERR'!I114+'N EERR'!I115+'N EERR'!I116</f>
        <v>0</v>
      </c>
      <c r="BD73" s="28" t="str">
        <f>IF(AND(BC4=0,BC73&gt;=0), "",BC73/BC4)</f>
        <v/>
      </c>
      <c r="BE73" s="42" t="str">
        <f>IF(AND(BC124=0,BC73&gt;=0),"",BC73/BC124)</f>
        <v/>
      </c>
      <c r="BF73" s="28" t="str">
        <f t="shared" si="93"/>
        <v/>
      </c>
      <c r="BG73" s="83">
        <f t="shared" si="81"/>
        <v>40</v>
      </c>
      <c r="BH73" s="28">
        <f>IF(AND(BG4=0,BG73&gt;=0), "",BG73/BG4)</f>
        <v>2.8985507246376812E-3</v>
      </c>
      <c r="BI73" s="42">
        <f>IF(AND(BG124=0,BG73&gt;=0),"",BG73/BG124)</f>
        <v>2.6845637583892617E-2</v>
      </c>
      <c r="BJ73" s="82">
        <f>+'N EERR'!J113+'N EERR'!J114+'N EERR'!J115+'N EERR'!J116</f>
        <v>0</v>
      </c>
      <c r="BK73" s="28" t="str">
        <f>IF(AND(BJ4=0,BJ73&gt;=0), "",BJ73/BJ4)</f>
        <v/>
      </c>
      <c r="BL73" s="42" t="str">
        <f>IF(AND(BJ124=0,BJ73&gt;=0),"",BJ73/BJ124)</f>
        <v/>
      </c>
      <c r="BM73" s="28" t="str">
        <f t="shared" si="70"/>
        <v/>
      </c>
      <c r="BN73" s="83">
        <f t="shared" si="82"/>
        <v>40</v>
      </c>
      <c r="BO73" s="28">
        <f>IF(AND(BN4=0,BN73&gt;=0), "",BN73/BN4)</f>
        <v>2.8985507246376812E-3</v>
      </c>
      <c r="BP73" s="42">
        <f>IF(AND(BN124=0,BN73&gt;=0),"",BN73/BN124)</f>
        <v>2.6845637583892617E-2</v>
      </c>
      <c r="BQ73" s="82">
        <f>+'N EERR'!K113+'N EERR'!K114+'N EERR'!K115+'N EERR'!K116</f>
        <v>0</v>
      </c>
      <c r="BR73" s="28" t="str">
        <f>IF(AND(BQ4=0,BQ73&gt;=0), "",BQ73/BQ4)</f>
        <v/>
      </c>
      <c r="BS73" s="42" t="str">
        <f>IF(AND(BQ124=0,BQ73&gt;=0),"",BQ73/BQ124)</f>
        <v/>
      </c>
      <c r="BT73" s="28" t="str">
        <f t="shared" si="71"/>
        <v/>
      </c>
      <c r="BU73" s="83">
        <f t="shared" si="83"/>
        <v>40</v>
      </c>
      <c r="BV73" s="28">
        <f>IF(AND(BU4=0,BU73&gt;=0), "",BU73/BU4)</f>
        <v>2.8985507246376812E-3</v>
      </c>
      <c r="BW73" s="42">
        <f>IF(AND(BU124=0,BU73&gt;=0),"",BU73/BU124)</f>
        <v>2.6845637583892617E-2</v>
      </c>
      <c r="BX73" s="84">
        <f t="shared" si="84"/>
        <v>0</v>
      </c>
      <c r="BY73" s="28" t="str">
        <f>IF(AND(BX4=0,BX73&gt;=0), "",BX73/BX4)</f>
        <v/>
      </c>
      <c r="BZ73" s="42">
        <f t="shared" si="72"/>
        <v>1</v>
      </c>
      <c r="CA73" s="82">
        <f>+'N EERR'!L113+'N EERR'!L114+'N EERR'!L115+'N EERR'!L116</f>
        <v>0</v>
      </c>
      <c r="CB73" s="28" t="str">
        <f>IF(AND(CA4=0,CA73&gt;=0), "",CA73/CA4)</f>
        <v/>
      </c>
      <c r="CC73" s="42" t="str">
        <f>IF(AND(CA124=0,CA73&gt;=0),"",CA73/CA124)</f>
        <v/>
      </c>
      <c r="CD73" s="28" t="str">
        <f t="shared" si="94"/>
        <v/>
      </c>
      <c r="CE73" s="83">
        <f t="shared" si="85"/>
        <v>40</v>
      </c>
      <c r="CF73" s="28">
        <f>IF(AND(CE4=0,CE73&gt;=0), "",CE73/CE4)</f>
        <v>2.8985507246376812E-3</v>
      </c>
      <c r="CG73" s="42">
        <f>IF(AND(CE124=0,CE73&gt;=0),"",CE73/CE124)</f>
        <v>2.6845637583892617E-2</v>
      </c>
      <c r="CH73" s="82">
        <f>+'N EERR'!M113+'N EERR'!M114+'N EERR'!M115+'N EERR'!M116</f>
        <v>0</v>
      </c>
      <c r="CI73" s="28" t="str">
        <f>IF(AND(CH4=0,CH73&gt;=0), "",CH73/CH4)</f>
        <v/>
      </c>
      <c r="CJ73" s="42" t="str">
        <f>IF(AND(CH124=0,CH73&gt;=0),"",CH73/CH124)</f>
        <v/>
      </c>
      <c r="CK73" s="28" t="str">
        <f t="shared" si="73"/>
        <v/>
      </c>
      <c r="CL73" s="83">
        <f t="shared" si="86"/>
        <v>40</v>
      </c>
      <c r="CM73" s="28">
        <f>IF(AND(CL4=0,CL73&gt;=0), "",CL73/CL4)</f>
        <v>2.8985507246376812E-3</v>
      </c>
      <c r="CN73" s="42">
        <f>IF(AND(CL124=0,CL73&gt;=0),"",CL73/CL124)</f>
        <v>2.6845637583892617E-2</v>
      </c>
      <c r="CO73" s="82">
        <f>+'N EERR'!N113+'N EERR'!N114+'N EERR'!N115+'N EERR'!N116</f>
        <v>0</v>
      </c>
      <c r="CP73" s="28" t="str">
        <f>IF(AND(CO4=0,CO73&gt;=0), "",CO73/CO4)</f>
        <v/>
      </c>
      <c r="CQ73" s="42" t="str">
        <f>IF(AND(CO124=0,CO73&gt;=0),"",CO73/CO124)</f>
        <v/>
      </c>
      <c r="CR73" s="28" t="str">
        <f t="shared" si="74"/>
        <v/>
      </c>
      <c r="CS73" s="83">
        <f t="shared" si="87"/>
        <v>40</v>
      </c>
      <c r="CT73" s="28">
        <f>IF(AND(CS4=0,CS73&gt;=0), "",CS73/CS4)</f>
        <v>2.8985507246376812E-3</v>
      </c>
      <c r="CU73" s="42">
        <f>IF(AND(CS124=0,CS73&gt;=0),"",CS73/CS124)</f>
        <v>2.6845637583892617E-2</v>
      </c>
      <c r="CV73" s="84">
        <f t="shared" si="88"/>
        <v>0</v>
      </c>
      <c r="CW73" s="28" t="str">
        <f>IF(AND(CV4=0,CV73&gt;=0), "",CV73/CV4)</f>
        <v/>
      </c>
      <c r="CX73" s="42">
        <f t="shared" si="75"/>
        <v>1</v>
      </c>
    </row>
    <row r="74" spans="1:102" hidden="1" outlineLevel="1" x14ac:dyDescent="0.25">
      <c r="A74" s="27" t="s">
        <v>67</v>
      </c>
      <c r="B74" s="82">
        <f>+'N EERR'!B117+'N EERR'!B118+'N EERR'!B119+'N EERR'!B120+'N EERR'!B121+'N EERR'!B122+'N EERR'!B123+'N EERR'!B124</f>
        <v>0</v>
      </c>
      <c r="C74" s="28" t="str">
        <f>IF(AND(B4=0,B74&gt;=0), "",B74/B4)</f>
        <v/>
      </c>
      <c r="D74" s="42" t="str">
        <f>IF(AND(B124=0,B74&gt;=0),"",B74/B124)</f>
        <v/>
      </c>
      <c r="E74" s="82">
        <f>+'N EERR'!C117+'N EERR'!C118+'N EERR'!C119+'N EERR'!C120+'N EERR'!C121+'N EERR'!C122+'N EERR'!C123+'N EERR'!C124</f>
        <v>80</v>
      </c>
      <c r="F74" s="28">
        <f>IF(AND(E4=0,E74&gt;=0), "",E74/E4)</f>
        <v>5.7971014492753624E-3</v>
      </c>
      <c r="G74" s="42">
        <f>IF(AND(E124=0,E74&gt;=0),"",E74/E124)</f>
        <v>5.3691275167785234E-2</v>
      </c>
      <c r="H74" s="82">
        <f>+'N EERR'!D117+'N EERR'!D118+'N EERR'!D119+'N EERR'!D120+'N EERR'!D121+'N EERR'!D122+'N EERR'!D123+'N EERR'!D124</f>
        <v>0</v>
      </c>
      <c r="I74" s="28" t="str">
        <f>IF(AND(H4=0,H74&gt;=0), "",H74/H4)</f>
        <v/>
      </c>
      <c r="J74" s="42" t="str">
        <f>IF(AND(H124=0,H74&gt;=0),"",H74/H124)</f>
        <v/>
      </c>
      <c r="K74" s="28">
        <f t="shared" si="46"/>
        <v>-1</v>
      </c>
      <c r="L74" s="83">
        <f t="shared" si="76"/>
        <v>80</v>
      </c>
      <c r="M74" s="28">
        <f>IF(AND(L4=0,L74&gt;=0), "",L74/L4)</f>
        <v>5.7971014492753624E-3</v>
      </c>
      <c r="N74" s="42">
        <f>IF(AND(L124=0,L74&gt;=0),"",L74/L124)</f>
        <v>5.3691275167785234E-2</v>
      </c>
      <c r="O74" s="82">
        <f>+'N EERR'!E117+'N EERR'!E118+'N EERR'!E119+'N EERR'!E120+'N EERR'!E121+'N EERR'!E122+'N EERR'!E123+'N EERR'!E124</f>
        <v>0</v>
      </c>
      <c r="P74" s="28" t="str">
        <f>IF(AND(O4=0,O74&gt;=0), "",O74/O4)</f>
        <v/>
      </c>
      <c r="Q74" s="42" t="str">
        <f>IF(AND(O124=0,O74&gt;=0),"",O74/O124)</f>
        <v/>
      </c>
      <c r="R74" s="28" t="str">
        <f t="shared" si="47"/>
        <v/>
      </c>
      <c r="S74" s="83">
        <f t="shared" si="77"/>
        <v>80</v>
      </c>
      <c r="T74" s="28">
        <f>IF(AND(S4=0,S74&gt;=0), "",S74/S4)</f>
        <v>5.7971014492753624E-3</v>
      </c>
      <c r="U74" s="42">
        <f>IF(AND(S124=0,S74&gt;=0),"",S74/S124)</f>
        <v>5.3691275167785234E-2</v>
      </c>
      <c r="V74" s="84"/>
      <c r="W74" s="28" t="str">
        <f>IF(AND(V4=0,V74&gt;=0), "",V74/V4)</f>
        <v/>
      </c>
      <c r="X74" s="42">
        <f t="shared" si="89"/>
        <v>1</v>
      </c>
      <c r="Y74" s="82">
        <f>+'N EERR'!F117+'N EERR'!F118+'N EERR'!F119+'N EERR'!F120+'N EERR'!F121+'N EERR'!F122+'N EERR'!F123+'N EERR'!F124</f>
        <v>0</v>
      </c>
      <c r="Z74" s="28" t="str">
        <f>IF(AND(Y4=0,Y74&gt;=0), "",Y74/Y4)</f>
        <v/>
      </c>
      <c r="AA74" s="42" t="str">
        <f>IF(AND(Y124=0,Y74&gt;=0),"",Y74/Y124)</f>
        <v/>
      </c>
      <c r="AB74" s="28" t="str">
        <f t="shared" si="90"/>
        <v/>
      </c>
      <c r="AC74" s="83">
        <f t="shared" si="78"/>
        <v>80</v>
      </c>
      <c r="AD74" s="28">
        <f>IF(AND(AC4=0,AC74&gt;=0), "",AC74/AC4)</f>
        <v>5.7971014492753624E-3</v>
      </c>
      <c r="AE74" s="42">
        <f>IF(AND(AC124=0,AC74&gt;=0),"",AC74/AC124)</f>
        <v>5.3691275167785234E-2</v>
      </c>
      <c r="AF74" s="82">
        <f>+'N EERR'!G117+'N EERR'!G118+'N EERR'!G119+'N EERR'!G120+'N EERR'!G121+'N EERR'!G122+'N EERR'!G123+'N EERR'!G124</f>
        <v>0</v>
      </c>
      <c r="AG74" s="28" t="str">
        <f>IF(AND(AF4=0,AF74&gt;=0), "",AF74/AF4)</f>
        <v/>
      </c>
      <c r="AH74" s="42" t="str">
        <f>IF(AND(AF124=0,AF74&gt;=0),"",AF74/AF124)</f>
        <v/>
      </c>
      <c r="AI74" s="28" t="str">
        <f t="shared" si="68"/>
        <v/>
      </c>
      <c r="AJ74" s="83">
        <f t="shared" si="95"/>
        <v>80</v>
      </c>
      <c r="AK74" s="28">
        <f>IF(AND(AJ4=0,AJ74&gt;=0), "",AJ74/AJ4)</f>
        <v>5.7971014492753624E-3</v>
      </c>
      <c r="AL74" s="42">
        <f>IF(AND(AJ124=0,AJ74&gt;=0),"",AJ74/AJ124)</f>
        <v>5.3691275167785234E-2</v>
      </c>
      <c r="AM74" s="82">
        <f>+'N EERR'!H117+'N EERR'!H118+'N EERR'!H119+'N EERR'!H120+'N EERR'!H121+'N EERR'!H122+'N EERR'!H123+'N EERR'!H124</f>
        <v>0</v>
      </c>
      <c r="AN74" s="28" t="str">
        <f>IF(AND(AM4=0,AM74&gt;=0), "",AM74/AM4)</f>
        <v/>
      </c>
      <c r="AO74" s="42" t="str">
        <f>IF(AND(AM124=0,AM74&gt;=0),"",AM74/AM124)</f>
        <v/>
      </c>
      <c r="AP74" s="28" t="str">
        <f t="shared" si="69"/>
        <v/>
      </c>
      <c r="AQ74" s="83">
        <f t="shared" si="96"/>
        <v>80</v>
      </c>
      <c r="AR74" s="28">
        <f>IF(AND(AQ4=0,AQ74&gt;=0), "",AQ74/AQ4)</f>
        <v>5.7971014492753624E-3</v>
      </c>
      <c r="AS74" s="42">
        <f>IF(AND(AQ124=0,AQ74&gt;=0),"",AQ74/AQ124)</f>
        <v>5.3691275167785234E-2</v>
      </c>
      <c r="AT74" s="84">
        <f t="shared" si="79"/>
        <v>0</v>
      </c>
      <c r="AU74" s="28" t="str">
        <f>IF(AND(AT4=0,AT74&gt;=0), "",AT74/AT4)</f>
        <v/>
      </c>
      <c r="AV74" s="42">
        <f t="shared" si="91"/>
        <v>1</v>
      </c>
      <c r="AW74" s="84">
        <f t="shared" si="67"/>
        <v>13.333333333333334</v>
      </c>
      <c r="AX74" s="28">
        <f>IF(AND(AW4=0,AW74&gt;=0), "",AW74/AW4)</f>
        <v>5.7971014492753615E-3</v>
      </c>
      <c r="AY74" s="42">
        <f>IF(AND(AW124=0,AW74&gt;=0),"",AW74/AW124)</f>
        <v>5.3691275167785234E-2</v>
      </c>
      <c r="AZ74" s="84">
        <f t="shared" si="80"/>
        <v>0</v>
      </c>
      <c r="BA74" s="28" t="str">
        <f>IF(AND(AZ4=0,AZ74&gt;=0), "",AZ74/AZ4)</f>
        <v/>
      </c>
      <c r="BB74" s="42">
        <f t="shared" si="92"/>
        <v>1</v>
      </c>
      <c r="BC74" s="82">
        <f>+'N EERR'!I117+'N EERR'!I118+'N EERR'!I119+'N EERR'!I120+'N EERR'!I121+'N EERR'!I122+'N EERR'!I123+'N EERR'!I124</f>
        <v>0</v>
      </c>
      <c r="BD74" s="28" t="str">
        <f>IF(AND(BC4=0,BC74&gt;=0), "",BC74/BC4)</f>
        <v/>
      </c>
      <c r="BE74" s="42" t="str">
        <f>IF(AND(BC124=0,BC74&gt;=0),"",BC74/BC124)</f>
        <v/>
      </c>
      <c r="BF74" s="28" t="str">
        <f t="shared" si="93"/>
        <v/>
      </c>
      <c r="BG74" s="83">
        <f t="shared" si="81"/>
        <v>80</v>
      </c>
      <c r="BH74" s="28">
        <f>IF(AND(BG4=0,BG74&gt;=0), "",BG74/BG4)</f>
        <v>5.7971014492753624E-3</v>
      </c>
      <c r="BI74" s="42">
        <f>IF(AND(BG124=0,BG74&gt;=0),"",BG74/BG124)</f>
        <v>5.3691275167785234E-2</v>
      </c>
      <c r="BJ74" s="82">
        <f>+'N EERR'!J117+'N EERR'!J118+'N EERR'!J119+'N EERR'!J120+'N EERR'!J121+'N EERR'!J122+'N EERR'!J123+'N EERR'!J124</f>
        <v>0</v>
      </c>
      <c r="BK74" s="28" t="str">
        <f>IF(AND(BJ4=0,BJ74&gt;=0), "",BJ74/BJ4)</f>
        <v/>
      </c>
      <c r="BL74" s="42" t="str">
        <f>IF(AND(BJ124=0,BJ74&gt;=0),"",BJ74/BJ124)</f>
        <v/>
      </c>
      <c r="BM74" s="28" t="str">
        <f t="shared" si="70"/>
        <v/>
      </c>
      <c r="BN74" s="83">
        <f t="shared" si="82"/>
        <v>80</v>
      </c>
      <c r="BO74" s="28">
        <f>IF(AND(BN4=0,BN74&gt;=0), "",BN74/BN4)</f>
        <v>5.7971014492753624E-3</v>
      </c>
      <c r="BP74" s="42">
        <f>IF(AND(BN124=0,BN74&gt;=0),"",BN74/BN124)</f>
        <v>5.3691275167785234E-2</v>
      </c>
      <c r="BQ74" s="82">
        <f>+'N EERR'!K117+'N EERR'!K118+'N EERR'!K119+'N EERR'!K120+'N EERR'!K121+'N EERR'!K122+'N EERR'!K123+'N EERR'!K124</f>
        <v>0</v>
      </c>
      <c r="BR74" s="28" t="str">
        <f>IF(AND(BQ4=0,BQ74&gt;=0), "",BQ74/BQ4)</f>
        <v/>
      </c>
      <c r="BS74" s="42" t="str">
        <f>IF(AND(BQ124=0,BQ74&gt;=0),"",BQ74/BQ124)</f>
        <v/>
      </c>
      <c r="BT74" s="28" t="str">
        <f t="shared" si="71"/>
        <v/>
      </c>
      <c r="BU74" s="83">
        <f t="shared" si="83"/>
        <v>80</v>
      </c>
      <c r="BV74" s="28">
        <f>IF(AND(BU4=0,BU74&gt;=0), "",BU74/BU4)</f>
        <v>5.7971014492753624E-3</v>
      </c>
      <c r="BW74" s="42">
        <f>IF(AND(BU124=0,BU74&gt;=0),"",BU74/BU124)</f>
        <v>5.3691275167785234E-2</v>
      </c>
      <c r="BX74" s="84">
        <f t="shared" si="84"/>
        <v>0</v>
      </c>
      <c r="BY74" s="28" t="str">
        <f>IF(AND(BX4=0,BX74&gt;=0), "",BX74/BX4)</f>
        <v/>
      </c>
      <c r="BZ74" s="42">
        <f t="shared" si="72"/>
        <v>1</v>
      </c>
      <c r="CA74" s="82">
        <f>+'N EERR'!L117+'N EERR'!L118+'N EERR'!L119+'N EERR'!L120+'N EERR'!L121+'N EERR'!L122+'N EERR'!L123+'N EERR'!L124</f>
        <v>0</v>
      </c>
      <c r="CB74" s="28" t="str">
        <f>IF(AND(CA4=0,CA74&gt;=0), "",CA74/CA4)</f>
        <v/>
      </c>
      <c r="CC74" s="42" t="str">
        <f>IF(AND(CA124=0,CA74&gt;=0),"",CA74/CA124)</f>
        <v/>
      </c>
      <c r="CD74" s="28" t="str">
        <f t="shared" si="94"/>
        <v/>
      </c>
      <c r="CE74" s="83">
        <f t="shared" si="85"/>
        <v>80</v>
      </c>
      <c r="CF74" s="28">
        <f>IF(AND(CE4=0,CE74&gt;=0), "",CE74/CE4)</f>
        <v>5.7971014492753624E-3</v>
      </c>
      <c r="CG74" s="42">
        <f>IF(AND(CE124=0,CE74&gt;=0),"",CE74/CE124)</f>
        <v>5.3691275167785234E-2</v>
      </c>
      <c r="CH74" s="82">
        <f>+'N EERR'!M117+'N EERR'!M118+'N EERR'!M119+'N EERR'!M120+'N EERR'!M121+'N EERR'!M122+'N EERR'!M123+'N EERR'!M124</f>
        <v>0</v>
      </c>
      <c r="CI74" s="28" t="str">
        <f>IF(AND(CH4=0,CH74&gt;=0), "",CH74/CH4)</f>
        <v/>
      </c>
      <c r="CJ74" s="42" t="str">
        <f>IF(AND(CH124=0,CH74&gt;=0),"",CH74/CH124)</f>
        <v/>
      </c>
      <c r="CK74" s="28" t="str">
        <f t="shared" si="73"/>
        <v/>
      </c>
      <c r="CL74" s="83">
        <f t="shared" si="86"/>
        <v>80</v>
      </c>
      <c r="CM74" s="28">
        <f>IF(AND(CL4=0,CL74&gt;=0), "",CL74/CL4)</f>
        <v>5.7971014492753624E-3</v>
      </c>
      <c r="CN74" s="42">
        <f>IF(AND(CL124=0,CL74&gt;=0),"",CL74/CL124)</f>
        <v>5.3691275167785234E-2</v>
      </c>
      <c r="CO74" s="82">
        <f>+'N EERR'!N117+'N EERR'!N118+'N EERR'!N119+'N EERR'!N120+'N EERR'!N121+'N EERR'!N122+'N EERR'!N123+'N EERR'!N124</f>
        <v>0</v>
      </c>
      <c r="CP74" s="28" t="str">
        <f>IF(AND(CO4=0,CO74&gt;=0), "",CO74/CO4)</f>
        <v/>
      </c>
      <c r="CQ74" s="42" t="str">
        <f>IF(AND(CO124=0,CO74&gt;=0),"",CO74/CO124)</f>
        <v/>
      </c>
      <c r="CR74" s="28" t="str">
        <f t="shared" si="74"/>
        <v/>
      </c>
      <c r="CS74" s="83">
        <f t="shared" si="87"/>
        <v>80</v>
      </c>
      <c r="CT74" s="28">
        <f>IF(AND(CS4=0,CS74&gt;=0), "",CS74/CS4)</f>
        <v>5.7971014492753624E-3</v>
      </c>
      <c r="CU74" s="42">
        <f>IF(AND(CS124=0,CS74&gt;=0),"",CS74/CS124)</f>
        <v>5.3691275167785234E-2</v>
      </c>
      <c r="CV74" s="84">
        <f t="shared" si="88"/>
        <v>0</v>
      </c>
      <c r="CW74" s="28" t="str">
        <f>IF(AND(CV4=0,CV74&gt;=0), "",CV74/CV4)</f>
        <v/>
      </c>
      <c r="CX74" s="42">
        <f t="shared" si="75"/>
        <v>1</v>
      </c>
    </row>
    <row r="75" spans="1:102" hidden="1" outlineLevel="1" x14ac:dyDescent="0.25">
      <c r="A75" s="27" t="s">
        <v>68</v>
      </c>
      <c r="B75" s="82">
        <f>+'N EERR'!B125+'N EERR'!B126+'N EERR'!B127+'N EERR'!B128</f>
        <v>0</v>
      </c>
      <c r="C75" s="28" t="str">
        <f>IF(AND(B4=0,B75&gt;=0), "",B75/B4)</f>
        <v/>
      </c>
      <c r="D75" s="42" t="str">
        <f>IF(AND(B124=0,B75&gt;=0),"",B75/B124)</f>
        <v/>
      </c>
      <c r="E75" s="82">
        <f>+'N EERR'!C125+'N EERR'!C126+'N EERR'!C127+'N EERR'!C128</f>
        <v>40</v>
      </c>
      <c r="F75" s="28">
        <f>IF(AND(E4=0,E75&gt;=0), "",E75/E4)</f>
        <v>2.8985507246376812E-3</v>
      </c>
      <c r="G75" s="42">
        <f>IF(AND(E124=0,E75&gt;=0),"",E75/E124)</f>
        <v>2.6845637583892617E-2</v>
      </c>
      <c r="H75" s="82">
        <f>+'N EERR'!D125+'N EERR'!D126+'N EERR'!D127+'N EERR'!D128</f>
        <v>0</v>
      </c>
      <c r="I75" s="28" t="str">
        <f>IF(AND(H4=0,H75&gt;=0), "",H75/H4)</f>
        <v/>
      </c>
      <c r="J75" s="42" t="str">
        <f>IF(AND(H124=0,H75&gt;=0),"",H75/H124)</f>
        <v/>
      </c>
      <c r="K75" s="28">
        <f t="shared" si="46"/>
        <v>-1</v>
      </c>
      <c r="L75" s="83">
        <f t="shared" si="76"/>
        <v>40</v>
      </c>
      <c r="M75" s="28">
        <f>IF(AND(L4=0,L75&gt;=0), "",L75/L4)</f>
        <v>2.8985507246376812E-3</v>
      </c>
      <c r="N75" s="42">
        <f>IF(AND(L124=0,L75&gt;=0),"",L75/L124)</f>
        <v>2.6845637583892617E-2</v>
      </c>
      <c r="O75" s="82">
        <f>+'N EERR'!E125+'N EERR'!E126+'N EERR'!E127+'N EERR'!E128</f>
        <v>0</v>
      </c>
      <c r="P75" s="28" t="str">
        <f>IF(AND(O4=0,O75&gt;=0), "",O75/O4)</f>
        <v/>
      </c>
      <c r="Q75" s="42" t="str">
        <f>IF(AND(O124=0,O75&gt;=0),"",O75/O124)</f>
        <v/>
      </c>
      <c r="R75" s="28" t="str">
        <f t="shared" si="47"/>
        <v/>
      </c>
      <c r="S75" s="83">
        <f t="shared" si="77"/>
        <v>40</v>
      </c>
      <c r="T75" s="28">
        <f>IF(AND(S4=0,S75&gt;=0), "",S75/S4)</f>
        <v>2.8985507246376812E-3</v>
      </c>
      <c r="U75" s="42">
        <f>IF(AND(S124=0,S75&gt;=0),"",S75/S124)</f>
        <v>2.6845637583892617E-2</v>
      </c>
      <c r="V75" s="84"/>
      <c r="W75" s="28" t="str">
        <f>IF(AND(V4=0,V75&gt;=0), "",V75/V4)</f>
        <v/>
      </c>
      <c r="X75" s="42">
        <f t="shared" si="89"/>
        <v>1</v>
      </c>
      <c r="Y75" s="82">
        <f>+'N EERR'!F125+'N EERR'!F126+'N EERR'!F127+'N EERR'!F128</f>
        <v>0</v>
      </c>
      <c r="Z75" s="28" t="str">
        <f>IF(AND(Y4=0,Y75&gt;=0), "",Y75/Y4)</f>
        <v/>
      </c>
      <c r="AA75" s="42" t="str">
        <f>IF(AND(Y124=0,Y75&gt;=0),"",Y75/Y124)</f>
        <v/>
      </c>
      <c r="AB75" s="28" t="str">
        <f t="shared" si="90"/>
        <v/>
      </c>
      <c r="AC75" s="83">
        <f t="shared" si="78"/>
        <v>40</v>
      </c>
      <c r="AD75" s="28">
        <f>IF(AND(AC4=0,AC75&gt;=0), "",AC75/AC4)</f>
        <v>2.8985507246376812E-3</v>
      </c>
      <c r="AE75" s="42">
        <f>IF(AND(AC124=0,AC75&gt;=0),"",AC75/AC124)</f>
        <v>2.6845637583892617E-2</v>
      </c>
      <c r="AF75" s="82">
        <f>+'N EERR'!G125+'N EERR'!G126+'N EERR'!G127+'N EERR'!G128</f>
        <v>0</v>
      </c>
      <c r="AG75" s="28" t="str">
        <f>IF(AND(AF4=0,AF75&gt;=0), "",AF75/AF4)</f>
        <v/>
      </c>
      <c r="AH75" s="42" t="str">
        <f>IF(AND(AF124=0,AF75&gt;=0),"",AF75/AF124)</f>
        <v/>
      </c>
      <c r="AI75" s="28" t="str">
        <f t="shared" si="68"/>
        <v/>
      </c>
      <c r="AJ75" s="83">
        <f t="shared" si="95"/>
        <v>40</v>
      </c>
      <c r="AK75" s="28">
        <f>IF(AND(AJ4=0,AJ75&gt;=0), "",AJ75/AJ4)</f>
        <v>2.8985507246376812E-3</v>
      </c>
      <c r="AL75" s="42">
        <f>IF(AND(AJ124=0,AJ75&gt;=0),"",AJ75/AJ124)</f>
        <v>2.6845637583892617E-2</v>
      </c>
      <c r="AM75" s="82">
        <f>+'N EERR'!H125+'N EERR'!H126+'N EERR'!H127+'N EERR'!H128</f>
        <v>0</v>
      </c>
      <c r="AN75" s="28" t="str">
        <f>IF(AND(AM4=0,AM75&gt;=0), "",AM75/AM4)</f>
        <v/>
      </c>
      <c r="AO75" s="42" t="str">
        <f>IF(AND(AM124=0,AM75&gt;=0),"",AM75/AM124)</f>
        <v/>
      </c>
      <c r="AP75" s="28" t="str">
        <f t="shared" si="69"/>
        <v/>
      </c>
      <c r="AQ75" s="83">
        <f t="shared" si="96"/>
        <v>40</v>
      </c>
      <c r="AR75" s="28">
        <f>IF(AND(AQ4=0,AQ75&gt;=0), "",AQ75/AQ4)</f>
        <v>2.8985507246376812E-3</v>
      </c>
      <c r="AS75" s="42">
        <f>IF(AND(AQ124=0,AQ75&gt;=0),"",AQ75/AQ124)</f>
        <v>2.6845637583892617E-2</v>
      </c>
      <c r="AT75" s="84">
        <f t="shared" si="79"/>
        <v>0</v>
      </c>
      <c r="AU75" s="28" t="str">
        <f>IF(AND(AT4=0,AT75&gt;=0), "",AT75/AT4)</f>
        <v/>
      </c>
      <c r="AV75" s="42">
        <f t="shared" si="91"/>
        <v>1</v>
      </c>
      <c r="AW75" s="84">
        <f t="shared" si="67"/>
        <v>6.666666666666667</v>
      </c>
      <c r="AX75" s="28">
        <f>IF(AND(AW4=0,AW75&gt;=0), "",AW75/AW4)</f>
        <v>2.8985507246376808E-3</v>
      </c>
      <c r="AY75" s="42">
        <f>IF(AND(AW124=0,AW75&gt;=0),"",AW75/AW124)</f>
        <v>2.6845637583892617E-2</v>
      </c>
      <c r="AZ75" s="84">
        <f t="shared" si="80"/>
        <v>0</v>
      </c>
      <c r="BA75" s="28" t="str">
        <f>IF(AND(AZ4=0,AZ75&gt;=0), "",AZ75/AZ4)</f>
        <v/>
      </c>
      <c r="BB75" s="42">
        <f t="shared" si="92"/>
        <v>1</v>
      </c>
      <c r="BC75" s="82">
        <f>+'N EERR'!I125+'N EERR'!I126+'N EERR'!I127+'N EERR'!I128</f>
        <v>0</v>
      </c>
      <c r="BD75" s="28" t="str">
        <f>IF(AND(BC4=0,BC75&gt;=0), "",BC75/BC4)</f>
        <v/>
      </c>
      <c r="BE75" s="42" t="str">
        <f>IF(AND(BC124=0,BC75&gt;=0),"",BC75/BC124)</f>
        <v/>
      </c>
      <c r="BF75" s="28" t="str">
        <f t="shared" si="93"/>
        <v/>
      </c>
      <c r="BG75" s="83">
        <f t="shared" si="81"/>
        <v>40</v>
      </c>
      <c r="BH75" s="28">
        <f>IF(AND(BG4=0,BG75&gt;=0), "",BG75/BG4)</f>
        <v>2.8985507246376812E-3</v>
      </c>
      <c r="BI75" s="42">
        <f>IF(AND(BG124=0,BG75&gt;=0),"",BG75/BG124)</f>
        <v>2.6845637583892617E-2</v>
      </c>
      <c r="BJ75" s="82">
        <f>+'N EERR'!J125+'N EERR'!J126+'N EERR'!J127+'N EERR'!J128</f>
        <v>0</v>
      </c>
      <c r="BK75" s="28" t="str">
        <f>IF(AND(BJ4=0,BJ75&gt;=0), "",BJ75/BJ4)</f>
        <v/>
      </c>
      <c r="BL75" s="42" t="str">
        <f>IF(AND(BJ124=0,BJ75&gt;=0),"",BJ75/BJ124)</f>
        <v/>
      </c>
      <c r="BM75" s="28" t="str">
        <f t="shared" si="70"/>
        <v/>
      </c>
      <c r="BN75" s="83">
        <f t="shared" si="82"/>
        <v>40</v>
      </c>
      <c r="BO75" s="28">
        <f>IF(AND(BN4=0,BN75&gt;=0), "",BN75/BN4)</f>
        <v>2.8985507246376812E-3</v>
      </c>
      <c r="BP75" s="42">
        <f>IF(AND(BN124=0,BN75&gt;=0),"",BN75/BN124)</f>
        <v>2.6845637583892617E-2</v>
      </c>
      <c r="BQ75" s="82">
        <f>+'N EERR'!K125+'N EERR'!K126+'N EERR'!K127+'N EERR'!K128</f>
        <v>0</v>
      </c>
      <c r="BR75" s="28" t="str">
        <f>IF(AND(BQ4=0,BQ75&gt;=0), "",BQ75/BQ4)</f>
        <v/>
      </c>
      <c r="BS75" s="42" t="str">
        <f>IF(AND(BQ124=0,BQ75&gt;=0),"",BQ75/BQ124)</f>
        <v/>
      </c>
      <c r="BT75" s="28" t="str">
        <f t="shared" si="71"/>
        <v/>
      </c>
      <c r="BU75" s="83">
        <f t="shared" si="83"/>
        <v>40</v>
      </c>
      <c r="BV75" s="28">
        <f>IF(AND(BU4=0,BU75&gt;=0), "",BU75/BU4)</f>
        <v>2.8985507246376812E-3</v>
      </c>
      <c r="BW75" s="42">
        <f>IF(AND(BU124=0,BU75&gt;=0),"",BU75/BU124)</f>
        <v>2.6845637583892617E-2</v>
      </c>
      <c r="BX75" s="84">
        <f t="shared" si="84"/>
        <v>0</v>
      </c>
      <c r="BY75" s="28" t="str">
        <f>IF(AND(BX4=0,BX75&gt;=0), "",BX75/BX4)</f>
        <v/>
      </c>
      <c r="BZ75" s="42">
        <f t="shared" si="72"/>
        <v>1</v>
      </c>
      <c r="CA75" s="82">
        <f>+'N EERR'!L125+'N EERR'!L126+'N EERR'!L127+'N EERR'!L128</f>
        <v>0</v>
      </c>
      <c r="CB75" s="28" t="str">
        <f>IF(AND(CA4=0,CA75&gt;=0), "",CA75/CA4)</f>
        <v/>
      </c>
      <c r="CC75" s="42" t="str">
        <f>IF(AND(CA124=0,CA75&gt;=0),"",CA75/CA124)</f>
        <v/>
      </c>
      <c r="CD75" s="28" t="str">
        <f t="shared" si="94"/>
        <v/>
      </c>
      <c r="CE75" s="83">
        <f t="shared" si="85"/>
        <v>40</v>
      </c>
      <c r="CF75" s="28">
        <f>IF(AND(CE4=0,CE75&gt;=0), "",CE75/CE4)</f>
        <v>2.8985507246376812E-3</v>
      </c>
      <c r="CG75" s="42">
        <f>IF(AND(CE124=0,CE75&gt;=0),"",CE75/CE124)</f>
        <v>2.6845637583892617E-2</v>
      </c>
      <c r="CH75" s="82">
        <f>+'N EERR'!M125+'N EERR'!M126+'N EERR'!M127+'N EERR'!M128</f>
        <v>0</v>
      </c>
      <c r="CI75" s="28" t="str">
        <f>IF(AND(CH4=0,CH75&gt;=0), "",CH75/CH4)</f>
        <v/>
      </c>
      <c r="CJ75" s="42" t="str">
        <f>IF(AND(CH124=0,CH75&gt;=0),"",CH75/CH124)</f>
        <v/>
      </c>
      <c r="CK75" s="28" t="str">
        <f t="shared" si="73"/>
        <v/>
      </c>
      <c r="CL75" s="83">
        <f t="shared" si="86"/>
        <v>40</v>
      </c>
      <c r="CM75" s="28">
        <f>IF(AND(CL4=0,CL75&gt;=0), "",CL75/CL4)</f>
        <v>2.8985507246376812E-3</v>
      </c>
      <c r="CN75" s="42">
        <f>IF(AND(CL124=0,CL75&gt;=0),"",CL75/CL124)</f>
        <v>2.6845637583892617E-2</v>
      </c>
      <c r="CO75" s="82">
        <f>+'N EERR'!N125+'N EERR'!N126+'N EERR'!N127+'N EERR'!N128</f>
        <v>0</v>
      </c>
      <c r="CP75" s="28" t="str">
        <f>IF(AND(CO4=0,CO75&gt;=0), "",CO75/CO4)</f>
        <v/>
      </c>
      <c r="CQ75" s="42" t="str">
        <f>IF(AND(CO124=0,CO75&gt;=0),"",CO75/CO124)</f>
        <v/>
      </c>
      <c r="CR75" s="28" t="str">
        <f t="shared" si="74"/>
        <v/>
      </c>
      <c r="CS75" s="83">
        <f t="shared" si="87"/>
        <v>40</v>
      </c>
      <c r="CT75" s="28">
        <f>IF(AND(CS4=0,CS75&gt;=0), "",CS75/CS4)</f>
        <v>2.8985507246376812E-3</v>
      </c>
      <c r="CU75" s="42">
        <f>IF(AND(CS124=0,CS75&gt;=0),"",CS75/CS124)</f>
        <v>2.6845637583892617E-2</v>
      </c>
      <c r="CV75" s="84">
        <f t="shared" si="88"/>
        <v>0</v>
      </c>
      <c r="CW75" s="28" t="str">
        <f>IF(AND(CV4=0,CV75&gt;=0), "",CV75/CV4)</f>
        <v/>
      </c>
      <c r="CX75" s="42">
        <f t="shared" si="75"/>
        <v>1</v>
      </c>
    </row>
    <row r="76" spans="1:102" hidden="1" outlineLevel="1" x14ac:dyDescent="0.25">
      <c r="A76" s="27" t="s">
        <v>70</v>
      </c>
      <c r="B76" s="82">
        <f>+'N EERR'!B129</f>
        <v>0</v>
      </c>
      <c r="C76" s="28" t="str">
        <f>IF(AND(B4=0,B76&gt;=0), "",B76/B4)</f>
        <v/>
      </c>
      <c r="D76" s="42" t="str">
        <f>IF(AND(B124=0,B76&gt;=0),"",B76/B124)</f>
        <v/>
      </c>
      <c r="E76" s="82">
        <f>+'N EERR'!C129</f>
        <v>10</v>
      </c>
      <c r="F76" s="28">
        <f>IF(AND(E4=0,E76&gt;=0), "",E76/E4)</f>
        <v>7.246376811594203E-4</v>
      </c>
      <c r="G76" s="42">
        <f>IF(AND(E124=0,E76&gt;=0),"",E76/E124)</f>
        <v>6.7114093959731542E-3</v>
      </c>
      <c r="H76" s="82">
        <f>+'N EERR'!D129</f>
        <v>0</v>
      </c>
      <c r="I76" s="28" t="str">
        <f>IF(AND(H4=0,H76&gt;=0), "",H76/H4)</f>
        <v/>
      </c>
      <c r="J76" s="42" t="str">
        <f>IF(AND(H124=0,H76&gt;=0),"",H76/H124)</f>
        <v/>
      </c>
      <c r="K76" s="28">
        <f t="shared" si="46"/>
        <v>-1</v>
      </c>
      <c r="L76" s="83">
        <f t="shared" si="76"/>
        <v>10</v>
      </c>
      <c r="M76" s="28">
        <f>IF(AND(L4=0,L76&gt;=0), "",L76/L4)</f>
        <v>7.246376811594203E-4</v>
      </c>
      <c r="N76" s="42">
        <f>IF(AND(L124=0,L76&gt;=0),"",L76/L124)</f>
        <v>6.7114093959731542E-3</v>
      </c>
      <c r="O76" s="82">
        <f>+'N EERR'!E129</f>
        <v>0</v>
      </c>
      <c r="P76" s="28" t="str">
        <f>IF(AND(O4=0,O76&gt;=0), "",O76/O4)</f>
        <v/>
      </c>
      <c r="Q76" s="42" t="str">
        <f>IF(AND(O124=0,O76&gt;=0),"",O76/O124)</f>
        <v/>
      </c>
      <c r="R76" s="28" t="str">
        <f t="shared" si="47"/>
        <v/>
      </c>
      <c r="S76" s="83">
        <f t="shared" si="77"/>
        <v>10</v>
      </c>
      <c r="T76" s="28">
        <f>IF(AND(S4=0,S76&gt;=0), "",S76/S4)</f>
        <v>7.246376811594203E-4</v>
      </c>
      <c r="U76" s="42">
        <f>IF(AND(S124=0,S76&gt;=0),"",S76/S124)</f>
        <v>6.7114093959731542E-3</v>
      </c>
      <c r="V76" s="84"/>
      <c r="W76" s="28" t="str">
        <f>IF(AND(V4=0,V76&gt;=0), "",V76/V4)</f>
        <v/>
      </c>
      <c r="X76" s="42">
        <f t="shared" si="89"/>
        <v>1</v>
      </c>
      <c r="Y76" s="82">
        <f>+'N EERR'!F129</f>
        <v>0</v>
      </c>
      <c r="Z76" s="28" t="str">
        <f>IF(AND(Y4=0,Y76&gt;=0), "",Y76/Y4)</f>
        <v/>
      </c>
      <c r="AA76" s="42" t="str">
        <f>IF(AND(Y124=0,Y76&gt;=0),"",Y76/Y124)</f>
        <v/>
      </c>
      <c r="AB76" s="28" t="str">
        <f t="shared" si="90"/>
        <v/>
      </c>
      <c r="AC76" s="83">
        <f t="shared" si="78"/>
        <v>10</v>
      </c>
      <c r="AD76" s="28">
        <f>IF(AND(AC4=0,AC76&gt;=0), "",AC76/AC4)</f>
        <v>7.246376811594203E-4</v>
      </c>
      <c r="AE76" s="42">
        <f>IF(AND(AC124=0,AC76&gt;=0),"",AC76/AC124)</f>
        <v>6.7114093959731542E-3</v>
      </c>
      <c r="AF76" s="82">
        <f>+'N EERR'!G129</f>
        <v>0</v>
      </c>
      <c r="AG76" s="28" t="str">
        <f>IF(AND(AF4=0,AF76&gt;=0), "",AF76/AF4)</f>
        <v/>
      </c>
      <c r="AH76" s="42" t="str">
        <f>IF(AND(AF124=0,AF76&gt;=0),"",AF76/AF124)</f>
        <v/>
      </c>
      <c r="AI76" s="28" t="str">
        <f t="shared" si="68"/>
        <v/>
      </c>
      <c r="AJ76" s="83">
        <f t="shared" si="95"/>
        <v>10</v>
      </c>
      <c r="AK76" s="28">
        <f>IF(AND(AJ4=0,AJ76&gt;=0), "",AJ76/AJ4)</f>
        <v>7.246376811594203E-4</v>
      </c>
      <c r="AL76" s="42">
        <f>IF(AND(AJ124=0,AJ76&gt;=0),"",AJ76/AJ124)</f>
        <v>6.7114093959731542E-3</v>
      </c>
      <c r="AM76" s="82">
        <f>+'N EERR'!H129</f>
        <v>0</v>
      </c>
      <c r="AN76" s="28" t="str">
        <f>IF(AND(AM4=0,AM76&gt;=0), "",AM76/AM4)</f>
        <v/>
      </c>
      <c r="AO76" s="42" t="str">
        <f>IF(AND(AM124=0,AM76&gt;=0),"",AM76/AM124)</f>
        <v/>
      </c>
      <c r="AP76" s="28" t="str">
        <f t="shared" si="69"/>
        <v/>
      </c>
      <c r="AQ76" s="83">
        <f t="shared" si="96"/>
        <v>10</v>
      </c>
      <c r="AR76" s="28">
        <f>IF(AND(AQ4=0,AQ76&gt;=0), "",AQ76/AQ4)</f>
        <v>7.246376811594203E-4</v>
      </c>
      <c r="AS76" s="42">
        <f>IF(AND(AQ124=0,AQ76&gt;=0),"",AQ76/AQ124)</f>
        <v>6.7114093959731542E-3</v>
      </c>
      <c r="AT76" s="84">
        <f t="shared" si="79"/>
        <v>0</v>
      </c>
      <c r="AU76" s="28" t="str">
        <f>IF(AND(AT4=0,AT76&gt;=0), "",AT76/AT4)</f>
        <v/>
      </c>
      <c r="AV76" s="42">
        <f t="shared" si="91"/>
        <v>1</v>
      </c>
      <c r="AW76" s="84">
        <f t="shared" si="67"/>
        <v>1.6666666666666667</v>
      </c>
      <c r="AX76" s="28">
        <f>IF(AND(AW4=0,AW76&gt;=0), "",AW76/AW4)</f>
        <v>7.2463768115942019E-4</v>
      </c>
      <c r="AY76" s="42">
        <f>IF(AND(AW124=0,AW76&gt;=0),"",AW76/AW124)</f>
        <v>6.7114093959731542E-3</v>
      </c>
      <c r="AZ76" s="84">
        <f t="shared" si="80"/>
        <v>0</v>
      </c>
      <c r="BA76" s="28" t="str">
        <f>IF(AND(AZ4=0,AZ76&gt;=0), "",AZ76/AZ4)</f>
        <v/>
      </c>
      <c r="BB76" s="42">
        <f t="shared" si="92"/>
        <v>1</v>
      </c>
      <c r="BC76" s="82">
        <f>+'N EERR'!I129</f>
        <v>0</v>
      </c>
      <c r="BD76" s="28" t="str">
        <f>IF(AND(BC4=0,BC76&gt;=0), "",BC76/BC4)</f>
        <v/>
      </c>
      <c r="BE76" s="42" t="str">
        <f>IF(AND(BC124=0,BC76&gt;=0),"",BC76/BC124)</f>
        <v/>
      </c>
      <c r="BF76" s="28" t="str">
        <f t="shared" si="93"/>
        <v/>
      </c>
      <c r="BG76" s="83">
        <f t="shared" si="81"/>
        <v>10</v>
      </c>
      <c r="BH76" s="28">
        <f>IF(AND(BG4=0,BG76&gt;=0), "",BG76/BG4)</f>
        <v>7.246376811594203E-4</v>
      </c>
      <c r="BI76" s="42">
        <f>IF(AND(BG124=0,BG76&gt;=0),"",BG76/BG124)</f>
        <v>6.7114093959731542E-3</v>
      </c>
      <c r="BJ76" s="82">
        <f>+'N EERR'!J129</f>
        <v>0</v>
      </c>
      <c r="BK76" s="28" t="str">
        <f>IF(AND(BJ4=0,BJ76&gt;=0), "",BJ76/BJ4)</f>
        <v/>
      </c>
      <c r="BL76" s="42" t="str">
        <f>IF(AND(BJ124=0,BJ76&gt;=0),"",BJ76/BJ124)</f>
        <v/>
      </c>
      <c r="BM76" s="28" t="str">
        <f t="shared" si="70"/>
        <v/>
      </c>
      <c r="BN76" s="83">
        <f t="shared" si="82"/>
        <v>10</v>
      </c>
      <c r="BO76" s="28">
        <f>IF(AND(BN4=0,BN76&gt;=0), "",BN76/BN4)</f>
        <v>7.246376811594203E-4</v>
      </c>
      <c r="BP76" s="42">
        <f>IF(AND(BN124=0,BN76&gt;=0),"",BN76/BN124)</f>
        <v>6.7114093959731542E-3</v>
      </c>
      <c r="BQ76" s="82">
        <f>+'N EERR'!K129</f>
        <v>0</v>
      </c>
      <c r="BR76" s="28" t="str">
        <f>IF(AND(BQ4=0,BQ76&gt;=0), "",BQ76/BQ4)</f>
        <v/>
      </c>
      <c r="BS76" s="42" t="str">
        <f>IF(AND(BQ124=0,BQ76&gt;=0),"",BQ76/BQ124)</f>
        <v/>
      </c>
      <c r="BT76" s="28" t="str">
        <f t="shared" si="71"/>
        <v/>
      </c>
      <c r="BU76" s="83">
        <f t="shared" si="83"/>
        <v>10</v>
      </c>
      <c r="BV76" s="28">
        <f>IF(AND(BU4=0,BU76&gt;=0), "",BU76/BU4)</f>
        <v>7.246376811594203E-4</v>
      </c>
      <c r="BW76" s="42">
        <f>IF(AND(BU124=0,BU76&gt;=0),"",BU76/BU124)</f>
        <v>6.7114093959731542E-3</v>
      </c>
      <c r="BX76" s="84">
        <f t="shared" si="84"/>
        <v>0</v>
      </c>
      <c r="BY76" s="28" t="str">
        <f>IF(AND(BX4=0,BX76&gt;=0), "",BX76/BX4)</f>
        <v/>
      </c>
      <c r="BZ76" s="42">
        <f t="shared" si="72"/>
        <v>1</v>
      </c>
      <c r="CA76" s="82">
        <f>+'N EERR'!L129</f>
        <v>0</v>
      </c>
      <c r="CB76" s="28" t="str">
        <f>IF(AND(CA4=0,CA76&gt;=0), "",CA76/CA4)</f>
        <v/>
      </c>
      <c r="CC76" s="42" t="str">
        <f>IF(AND(CA124=0,CA76&gt;=0),"",CA76/CA124)</f>
        <v/>
      </c>
      <c r="CD76" s="28" t="str">
        <f t="shared" si="94"/>
        <v/>
      </c>
      <c r="CE76" s="83">
        <f t="shared" si="85"/>
        <v>10</v>
      </c>
      <c r="CF76" s="28">
        <f>IF(AND(CE4=0,CE76&gt;=0), "",CE76/CE4)</f>
        <v>7.246376811594203E-4</v>
      </c>
      <c r="CG76" s="42">
        <f>IF(AND(CE124=0,CE76&gt;=0),"",CE76/CE124)</f>
        <v>6.7114093959731542E-3</v>
      </c>
      <c r="CH76" s="82">
        <f>+'N EERR'!M129</f>
        <v>0</v>
      </c>
      <c r="CI76" s="28" t="str">
        <f>IF(AND(CH4=0,CH76&gt;=0), "",CH76/CH4)</f>
        <v/>
      </c>
      <c r="CJ76" s="42" t="str">
        <f>IF(AND(CH124=0,CH76&gt;=0),"",CH76/CH124)</f>
        <v/>
      </c>
      <c r="CK76" s="28" t="str">
        <f t="shared" si="73"/>
        <v/>
      </c>
      <c r="CL76" s="83">
        <f t="shared" si="86"/>
        <v>10</v>
      </c>
      <c r="CM76" s="28">
        <f>IF(AND(CL4=0,CL76&gt;=0), "",CL76/CL4)</f>
        <v>7.246376811594203E-4</v>
      </c>
      <c r="CN76" s="42">
        <f>IF(AND(CL124=0,CL76&gt;=0),"",CL76/CL124)</f>
        <v>6.7114093959731542E-3</v>
      </c>
      <c r="CO76" s="82">
        <f>+'N EERR'!N129</f>
        <v>0</v>
      </c>
      <c r="CP76" s="28" t="str">
        <f>IF(AND(CO4=0,CO76&gt;=0), "",CO76/CO4)</f>
        <v/>
      </c>
      <c r="CQ76" s="42" t="str">
        <f>IF(AND(CO124=0,CO76&gt;=0),"",CO76/CO124)</f>
        <v/>
      </c>
      <c r="CR76" s="28" t="str">
        <f t="shared" si="74"/>
        <v/>
      </c>
      <c r="CS76" s="83">
        <f t="shared" si="87"/>
        <v>10</v>
      </c>
      <c r="CT76" s="28">
        <f>IF(AND(CS4=0,CS76&gt;=0), "",CS76/CS4)</f>
        <v>7.246376811594203E-4</v>
      </c>
      <c r="CU76" s="42">
        <f>IF(AND(CS124=0,CS76&gt;=0),"",CS76/CS124)</f>
        <v>6.7114093959731542E-3</v>
      </c>
      <c r="CV76" s="84">
        <f t="shared" si="88"/>
        <v>0</v>
      </c>
      <c r="CW76" s="28" t="str">
        <f>IF(AND(CV4=0,CV76&gt;=0), "",CV76/CV4)</f>
        <v/>
      </c>
      <c r="CX76" s="42">
        <f t="shared" si="75"/>
        <v>1</v>
      </c>
    </row>
    <row r="77" spans="1:102" hidden="1" outlineLevel="1" x14ac:dyDescent="0.25">
      <c r="A77" s="27" t="s">
        <v>71</v>
      </c>
      <c r="B77" s="82">
        <f>+'N EERR'!B130</f>
        <v>0</v>
      </c>
      <c r="C77" s="28" t="str">
        <f>IF(AND(B4=0,B77&gt;=0), "",B77/B4)</f>
        <v/>
      </c>
      <c r="D77" s="42" t="str">
        <f>IF(AND(B124=0,B77&gt;=0),"",B77/B124)</f>
        <v/>
      </c>
      <c r="E77" s="82">
        <f>+'N EERR'!C130</f>
        <v>10</v>
      </c>
      <c r="F77" s="28">
        <f>IF(AND(E4=0,E77&gt;=0), "",E77/E4)</f>
        <v>7.246376811594203E-4</v>
      </c>
      <c r="G77" s="42">
        <f>IF(AND(E124=0,E77&gt;=0),"",E77/E124)</f>
        <v>6.7114093959731542E-3</v>
      </c>
      <c r="H77" s="82">
        <f>+'N EERR'!D130</f>
        <v>0</v>
      </c>
      <c r="I77" s="28" t="str">
        <f>IF(AND(H4=0,H77&gt;=0), "",H77/H4)</f>
        <v/>
      </c>
      <c r="J77" s="42" t="str">
        <f>IF(AND(H124=0,H77&gt;=0),"",H77/H124)</f>
        <v/>
      </c>
      <c r="K77" s="28">
        <f t="shared" si="46"/>
        <v>-1</v>
      </c>
      <c r="L77" s="83">
        <f t="shared" si="76"/>
        <v>10</v>
      </c>
      <c r="M77" s="28">
        <f>IF(AND(L4=0,L77&gt;=0), "",L77/L4)</f>
        <v>7.246376811594203E-4</v>
      </c>
      <c r="N77" s="42">
        <f>IF(AND(L124=0,L77&gt;=0),"",L77/L124)</f>
        <v>6.7114093959731542E-3</v>
      </c>
      <c r="O77" s="82">
        <f>+'N EERR'!E130</f>
        <v>0</v>
      </c>
      <c r="P77" s="28" t="str">
        <f>IF(AND(O4=0,O77&gt;=0), "",O77/O4)</f>
        <v/>
      </c>
      <c r="Q77" s="42" t="str">
        <f>IF(AND(O124=0,O77&gt;=0),"",O77/O124)</f>
        <v/>
      </c>
      <c r="R77" s="28" t="str">
        <f t="shared" si="47"/>
        <v/>
      </c>
      <c r="S77" s="83">
        <f t="shared" si="77"/>
        <v>10</v>
      </c>
      <c r="T77" s="28">
        <f>IF(AND(S4=0,S77&gt;=0), "",S77/S4)</f>
        <v>7.246376811594203E-4</v>
      </c>
      <c r="U77" s="42">
        <f>IF(AND(S124=0,S77&gt;=0),"",S77/S124)</f>
        <v>6.7114093959731542E-3</v>
      </c>
      <c r="V77" s="84"/>
      <c r="W77" s="28" t="str">
        <f>IF(AND(V4=0,V77&gt;=0), "",V77/V4)</f>
        <v/>
      </c>
      <c r="X77" s="42">
        <f t="shared" si="89"/>
        <v>1</v>
      </c>
      <c r="Y77" s="82">
        <f>+'N EERR'!F130</f>
        <v>0</v>
      </c>
      <c r="Z77" s="28" t="str">
        <f>IF(AND(Y4=0,Y77&gt;=0), "",Y77/Y4)</f>
        <v/>
      </c>
      <c r="AA77" s="42" t="str">
        <f>IF(AND(Y124=0,Y77&gt;=0),"",Y77/Y124)</f>
        <v/>
      </c>
      <c r="AB77" s="28" t="str">
        <f t="shared" si="90"/>
        <v/>
      </c>
      <c r="AC77" s="83">
        <f t="shared" si="78"/>
        <v>10</v>
      </c>
      <c r="AD77" s="28">
        <f>IF(AND(AC4=0,AC77&gt;=0), "",AC77/AC4)</f>
        <v>7.246376811594203E-4</v>
      </c>
      <c r="AE77" s="42">
        <f>IF(AND(AC124=0,AC77&gt;=0),"",AC77/AC124)</f>
        <v>6.7114093959731542E-3</v>
      </c>
      <c r="AF77" s="82">
        <f>+'N EERR'!G130</f>
        <v>0</v>
      </c>
      <c r="AG77" s="28" t="str">
        <f>IF(AND(AF4=0,AF77&gt;=0), "",AF77/AF4)</f>
        <v/>
      </c>
      <c r="AH77" s="42" t="str">
        <f>IF(AND(AF124=0,AF77&gt;=0),"",AF77/AF124)</f>
        <v/>
      </c>
      <c r="AI77" s="28" t="str">
        <f t="shared" si="68"/>
        <v/>
      </c>
      <c r="AJ77" s="83">
        <f t="shared" si="95"/>
        <v>10</v>
      </c>
      <c r="AK77" s="28">
        <f>IF(AND(AJ4=0,AJ77&gt;=0), "",AJ77/AJ4)</f>
        <v>7.246376811594203E-4</v>
      </c>
      <c r="AL77" s="42">
        <f>IF(AND(AJ124=0,AJ77&gt;=0),"",AJ77/AJ124)</f>
        <v>6.7114093959731542E-3</v>
      </c>
      <c r="AM77" s="82">
        <f>+'N EERR'!H130</f>
        <v>0</v>
      </c>
      <c r="AN77" s="28" t="str">
        <f>IF(AND(AM4=0,AM77&gt;=0), "",AM77/AM4)</f>
        <v/>
      </c>
      <c r="AO77" s="42" t="str">
        <f>IF(AND(AM124=0,AM77&gt;=0),"",AM77/AM124)</f>
        <v/>
      </c>
      <c r="AP77" s="28" t="str">
        <f t="shared" si="69"/>
        <v/>
      </c>
      <c r="AQ77" s="83">
        <f t="shared" si="96"/>
        <v>10</v>
      </c>
      <c r="AR77" s="28">
        <f>IF(AND(AQ4=0,AQ77&gt;=0), "",AQ77/AQ4)</f>
        <v>7.246376811594203E-4</v>
      </c>
      <c r="AS77" s="42">
        <f>IF(AND(AQ124=0,AQ77&gt;=0),"",AQ77/AQ124)</f>
        <v>6.7114093959731542E-3</v>
      </c>
      <c r="AT77" s="84">
        <f t="shared" si="79"/>
        <v>0</v>
      </c>
      <c r="AU77" s="28" t="str">
        <f>IF(AND(AT4=0,AT77&gt;=0), "",AT77/AT4)</f>
        <v/>
      </c>
      <c r="AV77" s="42">
        <f t="shared" si="91"/>
        <v>1</v>
      </c>
      <c r="AW77" s="84">
        <f t="shared" si="67"/>
        <v>1.6666666666666667</v>
      </c>
      <c r="AX77" s="28">
        <f>IF(AND(AW4=0,AW77&gt;=0), "",AW77/AW4)</f>
        <v>7.2463768115942019E-4</v>
      </c>
      <c r="AY77" s="42">
        <f>IF(AND(AW124=0,AW77&gt;=0),"",AW77/AW124)</f>
        <v>6.7114093959731542E-3</v>
      </c>
      <c r="AZ77" s="84">
        <f t="shared" si="80"/>
        <v>0</v>
      </c>
      <c r="BA77" s="28" t="str">
        <f>IF(AND(AZ4=0,AZ77&gt;=0), "",AZ77/AZ4)</f>
        <v/>
      </c>
      <c r="BB77" s="42">
        <f t="shared" si="92"/>
        <v>1</v>
      </c>
      <c r="BC77" s="82">
        <f>+'N EERR'!I130</f>
        <v>0</v>
      </c>
      <c r="BD77" s="28" t="str">
        <f>IF(AND(BC4=0,BC77&gt;=0), "",BC77/BC4)</f>
        <v/>
      </c>
      <c r="BE77" s="42" t="str">
        <f>IF(AND(BC124=0,BC77&gt;=0),"",BC77/BC124)</f>
        <v/>
      </c>
      <c r="BF77" s="28" t="str">
        <f t="shared" si="93"/>
        <v/>
      </c>
      <c r="BG77" s="83">
        <f t="shared" si="81"/>
        <v>10</v>
      </c>
      <c r="BH77" s="28">
        <f>IF(AND(BG4=0,BG77&gt;=0), "",BG77/BG4)</f>
        <v>7.246376811594203E-4</v>
      </c>
      <c r="BI77" s="42">
        <f>IF(AND(BG124=0,BG77&gt;=0),"",BG77/BG124)</f>
        <v>6.7114093959731542E-3</v>
      </c>
      <c r="BJ77" s="82">
        <f>+'N EERR'!J130</f>
        <v>0</v>
      </c>
      <c r="BK77" s="28" t="str">
        <f>IF(AND(BJ4=0,BJ77&gt;=0), "",BJ77/BJ4)</f>
        <v/>
      </c>
      <c r="BL77" s="42" t="str">
        <f>IF(AND(BJ124=0,BJ77&gt;=0),"",BJ77/BJ124)</f>
        <v/>
      </c>
      <c r="BM77" s="28" t="str">
        <f t="shared" si="70"/>
        <v/>
      </c>
      <c r="BN77" s="83">
        <f t="shared" si="82"/>
        <v>10</v>
      </c>
      <c r="BO77" s="28">
        <f>IF(AND(BN4=0,BN77&gt;=0), "",BN77/BN4)</f>
        <v>7.246376811594203E-4</v>
      </c>
      <c r="BP77" s="42">
        <f>IF(AND(BN124=0,BN77&gt;=0),"",BN77/BN124)</f>
        <v>6.7114093959731542E-3</v>
      </c>
      <c r="BQ77" s="82">
        <f>+'N EERR'!K130</f>
        <v>0</v>
      </c>
      <c r="BR77" s="28" t="str">
        <f>IF(AND(BQ4=0,BQ77&gt;=0), "",BQ77/BQ4)</f>
        <v/>
      </c>
      <c r="BS77" s="42" t="str">
        <f>IF(AND(BQ124=0,BQ77&gt;=0),"",BQ77/BQ124)</f>
        <v/>
      </c>
      <c r="BT77" s="28" t="str">
        <f t="shared" si="71"/>
        <v/>
      </c>
      <c r="BU77" s="83">
        <f t="shared" si="83"/>
        <v>10</v>
      </c>
      <c r="BV77" s="28">
        <f>IF(AND(BU4=0,BU77&gt;=0), "",BU77/BU4)</f>
        <v>7.246376811594203E-4</v>
      </c>
      <c r="BW77" s="42">
        <f>IF(AND(BU124=0,BU77&gt;=0),"",BU77/BU124)</f>
        <v>6.7114093959731542E-3</v>
      </c>
      <c r="BX77" s="84">
        <f t="shared" si="84"/>
        <v>0</v>
      </c>
      <c r="BY77" s="28" t="str">
        <f>IF(AND(BX4=0,BX77&gt;=0), "",BX77/BX4)</f>
        <v/>
      </c>
      <c r="BZ77" s="42">
        <f t="shared" si="72"/>
        <v>1</v>
      </c>
      <c r="CA77" s="82">
        <f>+'N EERR'!L130</f>
        <v>0</v>
      </c>
      <c r="CB77" s="28" t="str">
        <f>IF(AND(CA4=0,CA77&gt;=0), "",CA77/CA4)</f>
        <v/>
      </c>
      <c r="CC77" s="42" t="str">
        <f>IF(AND(CA124=0,CA77&gt;=0),"",CA77/CA124)</f>
        <v/>
      </c>
      <c r="CD77" s="28" t="str">
        <f t="shared" si="94"/>
        <v/>
      </c>
      <c r="CE77" s="83">
        <f t="shared" si="85"/>
        <v>10</v>
      </c>
      <c r="CF77" s="28">
        <f>IF(AND(CE4=0,CE77&gt;=0), "",CE77/CE4)</f>
        <v>7.246376811594203E-4</v>
      </c>
      <c r="CG77" s="42">
        <f>IF(AND(CE124=0,CE77&gt;=0),"",CE77/CE124)</f>
        <v>6.7114093959731542E-3</v>
      </c>
      <c r="CH77" s="82">
        <f>+'N EERR'!M130</f>
        <v>0</v>
      </c>
      <c r="CI77" s="28" t="str">
        <f>IF(AND(CH4=0,CH77&gt;=0), "",CH77/CH4)</f>
        <v/>
      </c>
      <c r="CJ77" s="42" t="str">
        <f>IF(AND(CH124=0,CH77&gt;=0),"",CH77/CH124)</f>
        <v/>
      </c>
      <c r="CK77" s="28" t="str">
        <f t="shared" si="73"/>
        <v/>
      </c>
      <c r="CL77" s="83">
        <f t="shared" si="86"/>
        <v>10</v>
      </c>
      <c r="CM77" s="28">
        <f>IF(AND(CL4=0,CL77&gt;=0), "",CL77/CL4)</f>
        <v>7.246376811594203E-4</v>
      </c>
      <c r="CN77" s="42">
        <f>IF(AND(CL124=0,CL77&gt;=0),"",CL77/CL124)</f>
        <v>6.7114093959731542E-3</v>
      </c>
      <c r="CO77" s="82">
        <f>+'N EERR'!N130</f>
        <v>0</v>
      </c>
      <c r="CP77" s="28" t="str">
        <f>IF(AND(CO4=0,CO77&gt;=0), "",CO77/CO4)</f>
        <v/>
      </c>
      <c r="CQ77" s="42" t="str">
        <f>IF(AND(CO124=0,CO77&gt;=0),"",CO77/CO124)</f>
        <v/>
      </c>
      <c r="CR77" s="28" t="str">
        <f t="shared" si="74"/>
        <v/>
      </c>
      <c r="CS77" s="83">
        <f t="shared" si="87"/>
        <v>10</v>
      </c>
      <c r="CT77" s="28">
        <f>IF(AND(CS4=0,CS77&gt;=0), "",CS77/CS4)</f>
        <v>7.246376811594203E-4</v>
      </c>
      <c r="CU77" s="42">
        <f>IF(AND(CS124=0,CS77&gt;=0),"",CS77/CS124)</f>
        <v>6.7114093959731542E-3</v>
      </c>
      <c r="CV77" s="84">
        <f t="shared" si="88"/>
        <v>0</v>
      </c>
      <c r="CW77" s="28" t="str">
        <f>IF(AND(CV4=0,CV77&gt;=0), "",CV77/CV4)</f>
        <v/>
      </c>
      <c r="CX77" s="42">
        <f t="shared" si="75"/>
        <v>1</v>
      </c>
    </row>
    <row r="78" spans="1:102" hidden="1" outlineLevel="1" x14ac:dyDescent="0.25">
      <c r="A78" s="27" t="s">
        <v>72</v>
      </c>
      <c r="B78" s="82">
        <f>+'N EERR'!B131</f>
        <v>0</v>
      </c>
      <c r="C78" s="28" t="str">
        <f>IF(AND(B4=0,B78&gt;=0), "",B78/B4)</f>
        <v/>
      </c>
      <c r="D78" s="42" t="str">
        <f>IF(AND(B124=0,B78&gt;=0),"",B78/B124)</f>
        <v/>
      </c>
      <c r="E78" s="82">
        <f>+'N EERR'!C131</f>
        <v>10</v>
      </c>
      <c r="F78" s="28">
        <f>IF(AND(E4=0,E78&gt;=0), "",E78/E4)</f>
        <v>7.246376811594203E-4</v>
      </c>
      <c r="G78" s="42">
        <f>IF(AND(E124=0,E78&gt;=0),"",E78/E124)</f>
        <v>6.7114093959731542E-3</v>
      </c>
      <c r="H78" s="82">
        <f>+'N EERR'!D131</f>
        <v>0</v>
      </c>
      <c r="I78" s="28" t="str">
        <f>IF(AND(H4=0,H78&gt;=0), "",H78/H4)</f>
        <v/>
      </c>
      <c r="J78" s="42" t="str">
        <f>IF(AND(H124=0,H78&gt;=0),"",H78/H124)</f>
        <v/>
      </c>
      <c r="K78" s="28">
        <f t="shared" si="46"/>
        <v>-1</v>
      </c>
      <c r="L78" s="83">
        <f t="shared" si="76"/>
        <v>10</v>
      </c>
      <c r="M78" s="28">
        <f>IF(AND(L4=0,L78&gt;=0), "",L78/L4)</f>
        <v>7.246376811594203E-4</v>
      </c>
      <c r="N78" s="42">
        <f>IF(AND(L124=0,L78&gt;=0),"",L78/L124)</f>
        <v>6.7114093959731542E-3</v>
      </c>
      <c r="O78" s="82">
        <f>+'N EERR'!E131</f>
        <v>0</v>
      </c>
      <c r="P78" s="28" t="str">
        <f>IF(AND(O4=0,O78&gt;=0), "",O78/O4)</f>
        <v/>
      </c>
      <c r="Q78" s="42" t="str">
        <f>IF(AND(O124=0,O78&gt;=0),"",O78/O124)</f>
        <v/>
      </c>
      <c r="R78" s="28" t="str">
        <f t="shared" si="47"/>
        <v/>
      </c>
      <c r="S78" s="83">
        <f t="shared" si="77"/>
        <v>10</v>
      </c>
      <c r="T78" s="28">
        <f>IF(AND(S4=0,S78&gt;=0), "",S78/S4)</f>
        <v>7.246376811594203E-4</v>
      </c>
      <c r="U78" s="42">
        <f>IF(AND(S124=0,S78&gt;=0),"",S78/S124)</f>
        <v>6.7114093959731542E-3</v>
      </c>
      <c r="V78" s="84"/>
      <c r="W78" s="28" t="str">
        <f>IF(AND(V4=0,V78&gt;=0), "",V78/V4)</f>
        <v/>
      </c>
      <c r="X78" s="42">
        <f t="shared" si="89"/>
        <v>1</v>
      </c>
      <c r="Y78" s="82">
        <f>+'N EERR'!F131</f>
        <v>0</v>
      </c>
      <c r="Z78" s="28" t="str">
        <f>IF(AND(Y4=0,Y78&gt;=0), "",Y78/Y4)</f>
        <v/>
      </c>
      <c r="AA78" s="42" t="str">
        <f>IF(AND(Y124=0,Y78&gt;=0),"",Y78/Y124)</f>
        <v/>
      </c>
      <c r="AB78" s="28" t="str">
        <f t="shared" si="90"/>
        <v/>
      </c>
      <c r="AC78" s="83">
        <f t="shared" si="78"/>
        <v>10</v>
      </c>
      <c r="AD78" s="28">
        <f>IF(AND(AC4=0,AC78&gt;=0), "",AC78/AC4)</f>
        <v>7.246376811594203E-4</v>
      </c>
      <c r="AE78" s="42">
        <f>IF(AND(AC124=0,AC78&gt;=0),"",AC78/AC124)</f>
        <v>6.7114093959731542E-3</v>
      </c>
      <c r="AF78" s="82">
        <f>+'N EERR'!G131</f>
        <v>0</v>
      </c>
      <c r="AG78" s="28" t="str">
        <f>IF(AND(AF4=0,AF78&gt;=0), "",AF78/AF4)</f>
        <v/>
      </c>
      <c r="AH78" s="42" t="str">
        <f>IF(AND(AF124=0,AF78&gt;=0),"",AF78/AF124)</f>
        <v/>
      </c>
      <c r="AI78" s="28" t="str">
        <f t="shared" si="68"/>
        <v/>
      </c>
      <c r="AJ78" s="83">
        <f t="shared" si="95"/>
        <v>10</v>
      </c>
      <c r="AK78" s="28">
        <f>IF(AND(AJ4=0,AJ78&gt;=0), "",AJ78/AJ4)</f>
        <v>7.246376811594203E-4</v>
      </c>
      <c r="AL78" s="42">
        <f>IF(AND(AJ124=0,AJ78&gt;=0),"",AJ78/AJ124)</f>
        <v>6.7114093959731542E-3</v>
      </c>
      <c r="AM78" s="82">
        <f>+'N EERR'!H131</f>
        <v>0</v>
      </c>
      <c r="AN78" s="28" t="str">
        <f>IF(AND(AM4=0,AM78&gt;=0), "",AM78/AM4)</f>
        <v/>
      </c>
      <c r="AO78" s="42" t="str">
        <f>IF(AND(AM124=0,AM78&gt;=0),"",AM78/AM124)</f>
        <v/>
      </c>
      <c r="AP78" s="28" t="str">
        <f t="shared" si="69"/>
        <v/>
      </c>
      <c r="AQ78" s="83">
        <f t="shared" si="96"/>
        <v>10</v>
      </c>
      <c r="AR78" s="28">
        <f>IF(AND(AQ4=0,AQ78&gt;=0), "",AQ78/AQ4)</f>
        <v>7.246376811594203E-4</v>
      </c>
      <c r="AS78" s="42">
        <f>IF(AND(AQ124=0,AQ78&gt;=0),"",AQ78/AQ124)</f>
        <v>6.7114093959731542E-3</v>
      </c>
      <c r="AT78" s="84">
        <f t="shared" si="79"/>
        <v>0</v>
      </c>
      <c r="AU78" s="28" t="str">
        <f>IF(AND(AT4=0,AT78&gt;=0), "",AT78/AT4)</f>
        <v/>
      </c>
      <c r="AV78" s="42">
        <f t="shared" si="91"/>
        <v>1</v>
      </c>
      <c r="AW78" s="84">
        <f t="shared" si="67"/>
        <v>1.6666666666666667</v>
      </c>
      <c r="AX78" s="28">
        <f>IF(AND(AW4=0,AW78&gt;=0), "",AW78/AW4)</f>
        <v>7.2463768115942019E-4</v>
      </c>
      <c r="AY78" s="42">
        <f>IF(AND(AW124=0,AW78&gt;=0),"",AW78/AW124)</f>
        <v>6.7114093959731542E-3</v>
      </c>
      <c r="AZ78" s="84">
        <f t="shared" si="80"/>
        <v>0</v>
      </c>
      <c r="BA78" s="28" t="str">
        <f>IF(AND(AZ4=0,AZ78&gt;=0), "",AZ78/AZ4)</f>
        <v/>
      </c>
      <c r="BB78" s="42">
        <f t="shared" si="92"/>
        <v>1</v>
      </c>
      <c r="BC78" s="82">
        <f>+'N EERR'!I131</f>
        <v>0</v>
      </c>
      <c r="BD78" s="28" t="str">
        <f>IF(AND(BC4=0,BC78&gt;=0), "",BC78/BC4)</f>
        <v/>
      </c>
      <c r="BE78" s="42" t="str">
        <f>IF(AND(BC124=0,BC78&gt;=0),"",BC78/BC124)</f>
        <v/>
      </c>
      <c r="BF78" s="28" t="str">
        <f t="shared" si="93"/>
        <v/>
      </c>
      <c r="BG78" s="83">
        <f t="shared" si="81"/>
        <v>10</v>
      </c>
      <c r="BH78" s="28">
        <f>IF(AND(BG4=0,BG78&gt;=0), "",BG78/BG4)</f>
        <v>7.246376811594203E-4</v>
      </c>
      <c r="BI78" s="42">
        <f>IF(AND(BG124=0,BG78&gt;=0),"",BG78/BG124)</f>
        <v>6.7114093959731542E-3</v>
      </c>
      <c r="BJ78" s="82">
        <f>+'N EERR'!J131</f>
        <v>0</v>
      </c>
      <c r="BK78" s="28" t="str">
        <f>IF(AND(BJ4=0,BJ78&gt;=0), "",BJ78/BJ4)</f>
        <v/>
      </c>
      <c r="BL78" s="42" t="str">
        <f>IF(AND(BJ124=0,BJ78&gt;=0),"",BJ78/BJ124)</f>
        <v/>
      </c>
      <c r="BM78" s="28" t="str">
        <f t="shared" si="70"/>
        <v/>
      </c>
      <c r="BN78" s="83">
        <f t="shared" si="82"/>
        <v>10</v>
      </c>
      <c r="BO78" s="28">
        <f>IF(AND(BN4=0,BN78&gt;=0), "",BN78/BN4)</f>
        <v>7.246376811594203E-4</v>
      </c>
      <c r="BP78" s="42">
        <f>IF(AND(BN124=0,BN78&gt;=0),"",BN78/BN124)</f>
        <v>6.7114093959731542E-3</v>
      </c>
      <c r="BQ78" s="82">
        <f>+'N EERR'!K131</f>
        <v>0</v>
      </c>
      <c r="BR78" s="28" t="str">
        <f>IF(AND(BQ4=0,BQ78&gt;=0), "",BQ78/BQ4)</f>
        <v/>
      </c>
      <c r="BS78" s="42" t="str">
        <f>IF(AND(BQ124=0,BQ78&gt;=0),"",BQ78/BQ124)</f>
        <v/>
      </c>
      <c r="BT78" s="28" t="str">
        <f t="shared" si="71"/>
        <v/>
      </c>
      <c r="BU78" s="83">
        <f t="shared" si="83"/>
        <v>10</v>
      </c>
      <c r="BV78" s="28">
        <f>IF(AND(BU4=0,BU78&gt;=0), "",BU78/BU4)</f>
        <v>7.246376811594203E-4</v>
      </c>
      <c r="BW78" s="42">
        <f>IF(AND(BU124=0,BU78&gt;=0),"",BU78/BU124)</f>
        <v>6.7114093959731542E-3</v>
      </c>
      <c r="BX78" s="84">
        <f t="shared" si="84"/>
        <v>0</v>
      </c>
      <c r="BY78" s="28" t="str">
        <f>IF(AND(BX4=0,BX78&gt;=0), "",BX78/BX4)</f>
        <v/>
      </c>
      <c r="BZ78" s="42">
        <f t="shared" si="72"/>
        <v>1</v>
      </c>
      <c r="CA78" s="82">
        <f>+'N EERR'!L131</f>
        <v>0</v>
      </c>
      <c r="CB78" s="28" t="str">
        <f>IF(AND(CA4=0,CA78&gt;=0), "",CA78/CA4)</f>
        <v/>
      </c>
      <c r="CC78" s="42" t="str">
        <f>IF(AND(CA124=0,CA78&gt;=0),"",CA78/CA124)</f>
        <v/>
      </c>
      <c r="CD78" s="28" t="str">
        <f t="shared" si="94"/>
        <v/>
      </c>
      <c r="CE78" s="83">
        <f t="shared" si="85"/>
        <v>10</v>
      </c>
      <c r="CF78" s="28">
        <f>IF(AND(CE4=0,CE78&gt;=0), "",CE78/CE4)</f>
        <v>7.246376811594203E-4</v>
      </c>
      <c r="CG78" s="42">
        <f>IF(AND(CE124=0,CE78&gt;=0),"",CE78/CE124)</f>
        <v>6.7114093959731542E-3</v>
      </c>
      <c r="CH78" s="82">
        <f>+'N EERR'!M131</f>
        <v>0</v>
      </c>
      <c r="CI78" s="28" t="str">
        <f>IF(AND(CH4=0,CH78&gt;=0), "",CH78/CH4)</f>
        <v/>
      </c>
      <c r="CJ78" s="42" t="str">
        <f>IF(AND(CH124=0,CH78&gt;=0),"",CH78/CH124)</f>
        <v/>
      </c>
      <c r="CK78" s="28" t="str">
        <f t="shared" si="73"/>
        <v/>
      </c>
      <c r="CL78" s="83">
        <f t="shared" si="86"/>
        <v>10</v>
      </c>
      <c r="CM78" s="28">
        <f>IF(AND(CL4=0,CL78&gt;=0), "",CL78/CL4)</f>
        <v>7.246376811594203E-4</v>
      </c>
      <c r="CN78" s="42">
        <f>IF(AND(CL124=0,CL78&gt;=0),"",CL78/CL124)</f>
        <v>6.7114093959731542E-3</v>
      </c>
      <c r="CO78" s="82">
        <f>+'N EERR'!N131</f>
        <v>0</v>
      </c>
      <c r="CP78" s="28" t="str">
        <f>IF(AND(CO4=0,CO78&gt;=0), "",CO78/CO4)</f>
        <v/>
      </c>
      <c r="CQ78" s="42" t="str">
        <f>IF(AND(CO124=0,CO78&gt;=0),"",CO78/CO124)</f>
        <v/>
      </c>
      <c r="CR78" s="28" t="str">
        <f t="shared" si="74"/>
        <v/>
      </c>
      <c r="CS78" s="83">
        <f t="shared" si="87"/>
        <v>10</v>
      </c>
      <c r="CT78" s="28">
        <f>IF(AND(CS4=0,CS78&gt;=0), "",CS78/CS4)</f>
        <v>7.246376811594203E-4</v>
      </c>
      <c r="CU78" s="42">
        <f>IF(AND(CS124=0,CS78&gt;=0),"",CS78/CS124)</f>
        <v>6.7114093959731542E-3</v>
      </c>
      <c r="CV78" s="84">
        <f t="shared" si="88"/>
        <v>0</v>
      </c>
      <c r="CW78" s="28" t="str">
        <f>IF(AND(CV4=0,CV78&gt;=0), "",CV78/CV4)</f>
        <v/>
      </c>
      <c r="CX78" s="42">
        <f t="shared" si="75"/>
        <v>1</v>
      </c>
    </row>
    <row r="79" spans="1:102" hidden="1" outlineLevel="1" x14ac:dyDescent="0.25">
      <c r="A79" s="27" t="s">
        <v>73</v>
      </c>
      <c r="B79" s="82">
        <f>+'N EERR'!B132</f>
        <v>0</v>
      </c>
      <c r="C79" s="28" t="str">
        <f>IF(AND(B4=0,B79&gt;=0), "",B79/B4)</f>
        <v/>
      </c>
      <c r="D79" s="42" t="str">
        <f>IF(AND(B124=0,B79&gt;=0),"",B79/B124)</f>
        <v/>
      </c>
      <c r="E79" s="82">
        <f>+'N EERR'!C132</f>
        <v>10</v>
      </c>
      <c r="F79" s="28">
        <f>IF(AND(E4=0,E79&gt;=0), "",E79/E4)</f>
        <v>7.246376811594203E-4</v>
      </c>
      <c r="G79" s="42">
        <f>IF(AND(E124=0,E79&gt;=0),"",E79/E124)</f>
        <v>6.7114093959731542E-3</v>
      </c>
      <c r="H79" s="82">
        <f>+'N EERR'!D132</f>
        <v>0</v>
      </c>
      <c r="I79" s="28" t="str">
        <f>IF(AND(H4=0,H79&gt;=0), "",H79/H4)</f>
        <v/>
      </c>
      <c r="J79" s="42" t="str">
        <f>IF(AND(H124=0,H79&gt;=0),"",H79/H124)</f>
        <v/>
      </c>
      <c r="K79" s="28">
        <f t="shared" si="46"/>
        <v>-1</v>
      </c>
      <c r="L79" s="83">
        <f t="shared" si="76"/>
        <v>10</v>
      </c>
      <c r="M79" s="28">
        <f>IF(AND(L4=0,L79&gt;=0), "",L79/L4)</f>
        <v>7.246376811594203E-4</v>
      </c>
      <c r="N79" s="42">
        <f>IF(AND(L124=0,L79&gt;=0),"",L79/L124)</f>
        <v>6.7114093959731542E-3</v>
      </c>
      <c r="O79" s="82">
        <f>+'N EERR'!E132</f>
        <v>0</v>
      </c>
      <c r="P79" s="28" t="str">
        <f>IF(AND(O4=0,O79&gt;=0), "",O79/O4)</f>
        <v/>
      </c>
      <c r="Q79" s="42" t="str">
        <f>IF(AND(O124=0,O79&gt;=0),"",O79/O124)</f>
        <v/>
      </c>
      <c r="R79" s="28" t="str">
        <f t="shared" si="47"/>
        <v/>
      </c>
      <c r="S79" s="83">
        <f t="shared" si="77"/>
        <v>10</v>
      </c>
      <c r="T79" s="28">
        <f>IF(AND(S4=0,S79&gt;=0), "",S79/S4)</f>
        <v>7.246376811594203E-4</v>
      </c>
      <c r="U79" s="42">
        <f>IF(AND(S124=0,S79&gt;=0),"",S79/S124)</f>
        <v>6.7114093959731542E-3</v>
      </c>
      <c r="V79" s="84"/>
      <c r="W79" s="28" t="str">
        <f>IF(AND(V4=0,V79&gt;=0), "",V79/V4)</f>
        <v/>
      </c>
      <c r="X79" s="42">
        <f t="shared" si="89"/>
        <v>1</v>
      </c>
      <c r="Y79" s="82">
        <f>+'N EERR'!F132</f>
        <v>0</v>
      </c>
      <c r="Z79" s="28" t="str">
        <f>IF(AND(Y4=0,Y79&gt;=0), "",Y79/Y4)</f>
        <v/>
      </c>
      <c r="AA79" s="42" t="str">
        <f>IF(AND(Y124=0,Y79&gt;=0),"",Y79/Y124)</f>
        <v/>
      </c>
      <c r="AB79" s="28" t="str">
        <f t="shared" si="90"/>
        <v/>
      </c>
      <c r="AC79" s="83">
        <f t="shared" si="78"/>
        <v>10</v>
      </c>
      <c r="AD79" s="28">
        <f>IF(AND(AC4=0,AC79&gt;=0), "",AC79/AC4)</f>
        <v>7.246376811594203E-4</v>
      </c>
      <c r="AE79" s="42">
        <f>IF(AND(AC124=0,AC79&gt;=0),"",AC79/AC124)</f>
        <v>6.7114093959731542E-3</v>
      </c>
      <c r="AF79" s="82">
        <f>+'N EERR'!G132</f>
        <v>0</v>
      </c>
      <c r="AG79" s="28" t="str">
        <f>IF(AND(AF4=0,AF79&gt;=0), "",AF79/AF4)</f>
        <v/>
      </c>
      <c r="AH79" s="42" t="str">
        <f>IF(AND(AF124=0,AF79&gt;=0),"",AF79/AF124)</f>
        <v/>
      </c>
      <c r="AI79" s="28" t="str">
        <f t="shared" si="68"/>
        <v/>
      </c>
      <c r="AJ79" s="83">
        <f t="shared" si="95"/>
        <v>10</v>
      </c>
      <c r="AK79" s="28">
        <f>IF(AND(AJ4=0,AJ79&gt;=0), "",AJ79/AJ4)</f>
        <v>7.246376811594203E-4</v>
      </c>
      <c r="AL79" s="42">
        <f>IF(AND(AJ124=0,AJ79&gt;=0),"",AJ79/AJ124)</f>
        <v>6.7114093959731542E-3</v>
      </c>
      <c r="AM79" s="82">
        <f>+'N EERR'!H132</f>
        <v>0</v>
      </c>
      <c r="AN79" s="28" t="str">
        <f>IF(AND(AM4=0,AM79&gt;=0), "",AM79/AM4)</f>
        <v/>
      </c>
      <c r="AO79" s="42" t="str">
        <f>IF(AND(AM124=0,AM79&gt;=0),"",AM79/AM124)</f>
        <v/>
      </c>
      <c r="AP79" s="28" t="str">
        <f t="shared" si="69"/>
        <v/>
      </c>
      <c r="AQ79" s="83">
        <f t="shared" si="96"/>
        <v>10</v>
      </c>
      <c r="AR79" s="28">
        <f>IF(AND(AQ4=0,AQ79&gt;=0), "",AQ79/AQ4)</f>
        <v>7.246376811594203E-4</v>
      </c>
      <c r="AS79" s="42">
        <f>IF(AND(AQ124=0,AQ79&gt;=0),"",AQ79/AQ124)</f>
        <v>6.7114093959731542E-3</v>
      </c>
      <c r="AT79" s="84">
        <f t="shared" si="79"/>
        <v>0</v>
      </c>
      <c r="AU79" s="28" t="str">
        <f>IF(AND(AT4=0,AT79&gt;=0), "",AT79/AT4)</f>
        <v/>
      </c>
      <c r="AV79" s="42">
        <f t="shared" si="91"/>
        <v>1</v>
      </c>
      <c r="AW79" s="84">
        <f t="shared" si="67"/>
        <v>1.6666666666666667</v>
      </c>
      <c r="AX79" s="28">
        <f>IF(AND(AW4=0,AW79&gt;=0), "",AW79/AW4)</f>
        <v>7.2463768115942019E-4</v>
      </c>
      <c r="AY79" s="42">
        <f>IF(AND(AW124=0,AW79&gt;=0),"",AW79/AW124)</f>
        <v>6.7114093959731542E-3</v>
      </c>
      <c r="AZ79" s="84">
        <f t="shared" si="80"/>
        <v>0</v>
      </c>
      <c r="BA79" s="28" t="str">
        <f>IF(AND(AZ4=0,AZ79&gt;=0), "",AZ79/AZ4)</f>
        <v/>
      </c>
      <c r="BB79" s="42">
        <f t="shared" si="92"/>
        <v>1</v>
      </c>
      <c r="BC79" s="82">
        <f>+'N EERR'!I132</f>
        <v>0</v>
      </c>
      <c r="BD79" s="28" t="str">
        <f>IF(AND(BC4=0,BC79&gt;=0), "",BC79/BC4)</f>
        <v/>
      </c>
      <c r="BE79" s="42" t="str">
        <f>IF(AND(BC124=0,BC79&gt;=0),"",BC79/BC124)</f>
        <v/>
      </c>
      <c r="BF79" s="28" t="str">
        <f t="shared" si="93"/>
        <v/>
      </c>
      <c r="BG79" s="83">
        <f t="shared" si="81"/>
        <v>10</v>
      </c>
      <c r="BH79" s="28">
        <f>IF(AND(BG4=0,BG79&gt;=0), "",BG79/BG4)</f>
        <v>7.246376811594203E-4</v>
      </c>
      <c r="BI79" s="42">
        <f>IF(AND(BG124=0,BG79&gt;=0),"",BG79/BG124)</f>
        <v>6.7114093959731542E-3</v>
      </c>
      <c r="BJ79" s="82">
        <f>+'N EERR'!J132</f>
        <v>0</v>
      </c>
      <c r="BK79" s="28" t="str">
        <f>IF(AND(BJ4=0,BJ79&gt;=0), "",BJ79/BJ4)</f>
        <v/>
      </c>
      <c r="BL79" s="42" t="str">
        <f>IF(AND(BJ124=0,BJ79&gt;=0),"",BJ79/BJ124)</f>
        <v/>
      </c>
      <c r="BM79" s="28" t="str">
        <f t="shared" si="70"/>
        <v/>
      </c>
      <c r="BN79" s="83">
        <f t="shared" si="82"/>
        <v>10</v>
      </c>
      <c r="BO79" s="28">
        <f>IF(AND(BN4=0,BN79&gt;=0), "",BN79/BN4)</f>
        <v>7.246376811594203E-4</v>
      </c>
      <c r="BP79" s="42">
        <f>IF(AND(BN124=0,BN79&gt;=0),"",BN79/BN124)</f>
        <v>6.7114093959731542E-3</v>
      </c>
      <c r="BQ79" s="82">
        <f>+'N EERR'!K132</f>
        <v>0</v>
      </c>
      <c r="BR79" s="28" t="str">
        <f>IF(AND(BQ4=0,BQ79&gt;=0), "",BQ79/BQ4)</f>
        <v/>
      </c>
      <c r="BS79" s="42" t="str">
        <f>IF(AND(BQ124=0,BQ79&gt;=0),"",BQ79/BQ124)</f>
        <v/>
      </c>
      <c r="BT79" s="28" t="str">
        <f t="shared" si="71"/>
        <v/>
      </c>
      <c r="BU79" s="83">
        <f t="shared" si="83"/>
        <v>10</v>
      </c>
      <c r="BV79" s="28">
        <f>IF(AND(BU4=0,BU79&gt;=0), "",BU79/BU4)</f>
        <v>7.246376811594203E-4</v>
      </c>
      <c r="BW79" s="42">
        <f>IF(AND(BU124=0,BU79&gt;=0),"",BU79/BU124)</f>
        <v>6.7114093959731542E-3</v>
      </c>
      <c r="BX79" s="84">
        <f t="shared" si="84"/>
        <v>0</v>
      </c>
      <c r="BY79" s="28" t="str">
        <f>IF(AND(BX4=0,BX79&gt;=0), "",BX79/BX4)</f>
        <v/>
      </c>
      <c r="BZ79" s="42">
        <f t="shared" si="72"/>
        <v>1</v>
      </c>
      <c r="CA79" s="82">
        <f>+'N EERR'!L132</f>
        <v>0</v>
      </c>
      <c r="CB79" s="28" t="str">
        <f>IF(AND(CA4=0,CA79&gt;=0), "",CA79/CA4)</f>
        <v/>
      </c>
      <c r="CC79" s="42" t="str">
        <f>IF(AND(CA124=0,CA79&gt;=0),"",CA79/CA124)</f>
        <v/>
      </c>
      <c r="CD79" s="28" t="str">
        <f t="shared" si="94"/>
        <v/>
      </c>
      <c r="CE79" s="83">
        <f t="shared" si="85"/>
        <v>10</v>
      </c>
      <c r="CF79" s="28">
        <f>IF(AND(CE4=0,CE79&gt;=0), "",CE79/CE4)</f>
        <v>7.246376811594203E-4</v>
      </c>
      <c r="CG79" s="42">
        <f>IF(AND(CE124=0,CE79&gt;=0),"",CE79/CE124)</f>
        <v>6.7114093959731542E-3</v>
      </c>
      <c r="CH79" s="82">
        <f>+'N EERR'!M132</f>
        <v>0</v>
      </c>
      <c r="CI79" s="28" t="str">
        <f>IF(AND(CH4=0,CH79&gt;=0), "",CH79/CH4)</f>
        <v/>
      </c>
      <c r="CJ79" s="42" t="str">
        <f>IF(AND(CH124=0,CH79&gt;=0),"",CH79/CH124)</f>
        <v/>
      </c>
      <c r="CK79" s="28" t="str">
        <f t="shared" si="73"/>
        <v/>
      </c>
      <c r="CL79" s="83">
        <f t="shared" si="86"/>
        <v>10</v>
      </c>
      <c r="CM79" s="28">
        <f>IF(AND(CL4=0,CL79&gt;=0), "",CL79/CL4)</f>
        <v>7.246376811594203E-4</v>
      </c>
      <c r="CN79" s="42">
        <f>IF(AND(CL124=0,CL79&gt;=0),"",CL79/CL124)</f>
        <v>6.7114093959731542E-3</v>
      </c>
      <c r="CO79" s="82">
        <f>+'N EERR'!N132</f>
        <v>0</v>
      </c>
      <c r="CP79" s="28" t="str">
        <f>IF(AND(CO4=0,CO79&gt;=0), "",CO79/CO4)</f>
        <v/>
      </c>
      <c r="CQ79" s="42" t="str">
        <f>IF(AND(CO124=0,CO79&gt;=0),"",CO79/CO124)</f>
        <v/>
      </c>
      <c r="CR79" s="28" t="str">
        <f t="shared" si="74"/>
        <v/>
      </c>
      <c r="CS79" s="83">
        <f t="shared" si="87"/>
        <v>10</v>
      </c>
      <c r="CT79" s="28">
        <f>IF(AND(CS4=0,CS79&gt;=0), "",CS79/CS4)</f>
        <v>7.246376811594203E-4</v>
      </c>
      <c r="CU79" s="42">
        <f>IF(AND(CS124=0,CS79&gt;=0),"",CS79/CS124)</f>
        <v>6.7114093959731542E-3</v>
      </c>
      <c r="CV79" s="84">
        <f t="shared" si="88"/>
        <v>0</v>
      </c>
      <c r="CW79" s="28" t="str">
        <f>IF(AND(CV4=0,CV79&gt;=0), "",CV79/CV4)</f>
        <v/>
      </c>
      <c r="CX79" s="42">
        <f t="shared" si="75"/>
        <v>1</v>
      </c>
    </row>
    <row r="80" spans="1:102" hidden="1" outlineLevel="1" x14ac:dyDescent="0.25">
      <c r="A80" s="27" t="s">
        <v>74</v>
      </c>
      <c r="B80" s="82">
        <f>+'N EERR'!B133</f>
        <v>0</v>
      </c>
      <c r="C80" s="28" t="str">
        <f>IF(AND(B4=0,B80&gt;=0), "",B80/B4)</f>
        <v/>
      </c>
      <c r="D80" s="42" t="str">
        <f>IF(AND(B124=0,B80&gt;=0),"",B80/B124)</f>
        <v/>
      </c>
      <c r="E80" s="82">
        <f>+'N EERR'!C133</f>
        <v>10</v>
      </c>
      <c r="F80" s="28">
        <f>IF(AND(E4=0,E80&gt;=0), "",E80/E4)</f>
        <v>7.246376811594203E-4</v>
      </c>
      <c r="G80" s="42">
        <f>IF(AND(E124=0,E80&gt;=0),"",E80/E124)</f>
        <v>6.7114093959731542E-3</v>
      </c>
      <c r="H80" s="82">
        <f>+'N EERR'!D133</f>
        <v>0</v>
      </c>
      <c r="I80" s="28" t="str">
        <f>IF(AND(H4=0,H80&gt;=0), "",H80/H4)</f>
        <v/>
      </c>
      <c r="J80" s="42" t="str">
        <f>IF(AND(H124=0,H80&gt;=0),"",H80/H124)</f>
        <v/>
      </c>
      <c r="K80" s="28">
        <f t="shared" si="46"/>
        <v>-1</v>
      </c>
      <c r="L80" s="83">
        <f t="shared" si="76"/>
        <v>10</v>
      </c>
      <c r="M80" s="28">
        <f>IF(AND(L4=0,L80&gt;=0), "",L80/L4)</f>
        <v>7.246376811594203E-4</v>
      </c>
      <c r="N80" s="42">
        <f>IF(AND(L124=0,L80&gt;=0),"",L80/L124)</f>
        <v>6.7114093959731542E-3</v>
      </c>
      <c r="O80" s="82">
        <f>+'N EERR'!E133</f>
        <v>0</v>
      </c>
      <c r="P80" s="28" t="str">
        <f>IF(AND(O4=0,O80&gt;=0), "",O80/O4)</f>
        <v/>
      </c>
      <c r="Q80" s="42" t="str">
        <f>IF(AND(O124=0,O80&gt;=0),"",O80/O124)</f>
        <v/>
      </c>
      <c r="R80" s="28" t="str">
        <f t="shared" si="47"/>
        <v/>
      </c>
      <c r="S80" s="83">
        <f t="shared" si="77"/>
        <v>10</v>
      </c>
      <c r="T80" s="28">
        <f>IF(AND(S4=0,S80&gt;=0), "",S80/S4)</f>
        <v>7.246376811594203E-4</v>
      </c>
      <c r="U80" s="42">
        <f>IF(AND(S124=0,S80&gt;=0),"",S80/S124)</f>
        <v>6.7114093959731542E-3</v>
      </c>
      <c r="V80" s="84"/>
      <c r="W80" s="28" t="str">
        <f>IF(AND(V4=0,V80&gt;=0), "",V80/V4)</f>
        <v/>
      </c>
      <c r="X80" s="42">
        <f t="shared" si="89"/>
        <v>1</v>
      </c>
      <c r="Y80" s="82">
        <f>+'N EERR'!F133</f>
        <v>0</v>
      </c>
      <c r="Z80" s="28" t="str">
        <f>IF(AND(Y4=0,Y80&gt;=0), "",Y80/Y4)</f>
        <v/>
      </c>
      <c r="AA80" s="42" t="str">
        <f>IF(AND(Y124=0,Y80&gt;=0),"",Y80/Y124)</f>
        <v/>
      </c>
      <c r="AB80" s="28" t="str">
        <f t="shared" si="90"/>
        <v/>
      </c>
      <c r="AC80" s="83">
        <f t="shared" si="78"/>
        <v>10</v>
      </c>
      <c r="AD80" s="28">
        <f>IF(AND(AC4=0,AC80&gt;=0), "",AC80/AC4)</f>
        <v>7.246376811594203E-4</v>
      </c>
      <c r="AE80" s="42">
        <f>IF(AND(AC124=0,AC80&gt;=0),"",AC80/AC124)</f>
        <v>6.7114093959731542E-3</v>
      </c>
      <c r="AF80" s="82">
        <f>+'N EERR'!G133</f>
        <v>0</v>
      </c>
      <c r="AG80" s="28" t="str">
        <f>IF(AND(AF4=0,AF80&gt;=0), "",AF80/AF4)</f>
        <v/>
      </c>
      <c r="AH80" s="42" t="str">
        <f>IF(AND(AF124=0,AF80&gt;=0),"",AF80/AF124)</f>
        <v/>
      </c>
      <c r="AI80" s="28" t="str">
        <f t="shared" si="68"/>
        <v/>
      </c>
      <c r="AJ80" s="83">
        <f t="shared" si="95"/>
        <v>10</v>
      </c>
      <c r="AK80" s="28">
        <f>IF(AND(AJ4=0,AJ80&gt;=0), "",AJ80/AJ4)</f>
        <v>7.246376811594203E-4</v>
      </c>
      <c r="AL80" s="42">
        <f>IF(AND(AJ124=0,AJ80&gt;=0),"",AJ80/AJ124)</f>
        <v>6.7114093959731542E-3</v>
      </c>
      <c r="AM80" s="82">
        <f>+'N EERR'!H133</f>
        <v>0</v>
      </c>
      <c r="AN80" s="28" t="str">
        <f>IF(AND(AM4=0,AM80&gt;=0), "",AM80/AM4)</f>
        <v/>
      </c>
      <c r="AO80" s="42" t="str">
        <f>IF(AND(AM124=0,AM80&gt;=0),"",AM80/AM124)</f>
        <v/>
      </c>
      <c r="AP80" s="28" t="str">
        <f t="shared" si="69"/>
        <v/>
      </c>
      <c r="AQ80" s="83">
        <f t="shared" si="96"/>
        <v>10</v>
      </c>
      <c r="AR80" s="28">
        <f>IF(AND(AQ4=0,AQ80&gt;=0), "",AQ80/AQ4)</f>
        <v>7.246376811594203E-4</v>
      </c>
      <c r="AS80" s="42">
        <f>IF(AND(AQ124=0,AQ80&gt;=0),"",AQ80/AQ124)</f>
        <v>6.7114093959731542E-3</v>
      </c>
      <c r="AT80" s="84">
        <f t="shared" si="79"/>
        <v>0</v>
      </c>
      <c r="AU80" s="28" t="str">
        <f>IF(AND(AT4=0,AT80&gt;=0), "",AT80/AT4)</f>
        <v/>
      </c>
      <c r="AV80" s="42">
        <f t="shared" si="91"/>
        <v>1</v>
      </c>
      <c r="AW80" s="84">
        <f t="shared" si="67"/>
        <v>1.6666666666666667</v>
      </c>
      <c r="AX80" s="28">
        <f>IF(AND(AW4=0,AW80&gt;=0), "",AW80/AW4)</f>
        <v>7.2463768115942019E-4</v>
      </c>
      <c r="AY80" s="42">
        <f>IF(AND(AW124=0,AW80&gt;=0),"",AW80/AW124)</f>
        <v>6.7114093959731542E-3</v>
      </c>
      <c r="AZ80" s="84">
        <f t="shared" si="80"/>
        <v>0</v>
      </c>
      <c r="BA80" s="28" t="str">
        <f>IF(AND(AZ4=0,AZ80&gt;=0), "",AZ80/AZ4)</f>
        <v/>
      </c>
      <c r="BB80" s="42">
        <f t="shared" si="92"/>
        <v>1</v>
      </c>
      <c r="BC80" s="82">
        <f>+'N EERR'!I133</f>
        <v>0</v>
      </c>
      <c r="BD80" s="28" t="str">
        <f>IF(AND(BC4=0,BC80&gt;=0), "",BC80/BC4)</f>
        <v/>
      </c>
      <c r="BE80" s="42" t="str">
        <f>IF(AND(BC124=0,BC80&gt;=0),"",BC80/BC124)</f>
        <v/>
      </c>
      <c r="BF80" s="28" t="str">
        <f t="shared" si="93"/>
        <v/>
      </c>
      <c r="BG80" s="83">
        <f t="shared" si="81"/>
        <v>10</v>
      </c>
      <c r="BH80" s="28">
        <f>IF(AND(BG4=0,BG80&gt;=0), "",BG80/BG4)</f>
        <v>7.246376811594203E-4</v>
      </c>
      <c r="BI80" s="42">
        <f>IF(AND(BG124=0,BG80&gt;=0),"",BG80/BG124)</f>
        <v>6.7114093959731542E-3</v>
      </c>
      <c r="BJ80" s="82">
        <f>+'N EERR'!J133</f>
        <v>0</v>
      </c>
      <c r="BK80" s="28" t="str">
        <f>IF(AND(BJ4=0,BJ80&gt;=0), "",BJ80/BJ4)</f>
        <v/>
      </c>
      <c r="BL80" s="42" t="str">
        <f>IF(AND(BJ124=0,BJ80&gt;=0),"",BJ80/BJ124)</f>
        <v/>
      </c>
      <c r="BM80" s="28" t="str">
        <f t="shared" si="70"/>
        <v/>
      </c>
      <c r="BN80" s="83">
        <f t="shared" si="82"/>
        <v>10</v>
      </c>
      <c r="BO80" s="28">
        <f>IF(AND(BN4=0,BN80&gt;=0), "",BN80/BN4)</f>
        <v>7.246376811594203E-4</v>
      </c>
      <c r="BP80" s="42">
        <f>IF(AND(BN124=0,BN80&gt;=0),"",BN80/BN124)</f>
        <v>6.7114093959731542E-3</v>
      </c>
      <c r="BQ80" s="82">
        <f>+'N EERR'!K133</f>
        <v>0</v>
      </c>
      <c r="BR80" s="28" t="str">
        <f>IF(AND(BQ4=0,BQ80&gt;=0), "",BQ80/BQ4)</f>
        <v/>
      </c>
      <c r="BS80" s="42" t="str">
        <f>IF(AND(BQ124=0,BQ80&gt;=0),"",BQ80/BQ124)</f>
        <v/>
      </c>
      <c r="BT80" s="28" t="str">
        <f t="shared" si="71"/>
        <v/>
      </c>
      <c r="BU80" s="83">
        <f t="shared" si="83"/>
        <v>10</v>
      </c>
      <c r="BV80" s="28">
        <f>IF(AND(BU4=0,BU80&gt;=0), "",BU80/BU4)</f>
        <v>7.246376811594203E-4</v>
      </c>
      <c r="BW80" s="42">
        <f>IF(AND(BU124=0,BU80&gt;=0),"",BU80/BU124)</f>
        <v>6.7114093959731542E-3</v>
      </c>
      <c r="BX80" s="84">
        <f t="shared" si="84"/>
        <v>0</v>
      </c>
      <c r="BY80" s="28" t="str">
        <f>IF(AND(BX4=0,BX80&gt;=0), "",BX80/BX4)</f>
        <v/>
      </c>
      <c r="BZ80" s="42">
        <f t="shared" si="72"/>
        <v>1</v>
      </c>
      <c r="CA80" s="82">
        <f>+'N EERR'!L133</f>
        <v>0</v>
      </c>
      <c r="CB80" s="28" t="str">
        <f>IF(AND(CA4=0,CA80&gt;=0), "",CA80/CA4)</f>
        <v/>
      </c>
      <c r="CC80" s="42" t="str">
        <f>IF(AND(CA124=0,CA80&gt;=0),"",CA80/CA124)</f>
        <v/>
      </c>
      <c r="CD80" s="28" t="str">
        <f t="shared" si="94"/>
        <v/>
      </c>
      <c r="CE80" s="83">
        <f t="shared" si="85"/>
        <v>10</v>
      </c>
      <c r="CF80" s="28">
        <f>IF(AND(CE4=0,CE80&gt;=0), "",CE80/CE4)</f>
        <v>7.246376811594203E-4</v>
      </c>
      <c r="CG80" s="42">
        <f>IF(AND(CE124=0,CE80&gt;=0),"",CE80/CE124)</f>
        <v>6.7114093959731542E-3</v>
      </c>
      <c r="CH80" s="82">
        <f>+'N EERR'!M133</f>
        <v>0</v>
      </c>
      <c r="CI80" s="28" t="str">
        <f>IF(AND(CH4=0,CH80&gt;=0), "",CH80/CH4)</f>
        <v/>
      </c>
      <c r="CJ80" s="42" t="str">
        <f>IF(AND(CH124=0,CH80&gt;=0),"",CH80/CH124)</f>
        <v/>
      </c>
      <c r="CK80" s="28" t="str">
        <f t="shared" si="73"/>
        <v/>
      </c>
      <c r="CL80" s="83">
        <f t="shared" si="86"/>
        <v>10</v>
      </c>
      <c r="CM80" s="28">
        <f>IF(AND(CL4=0,CL80&gt;=0), "",CL80/CL4)</f>
        <v>7.246376811594203E-4</v>
      </c>
      <c r="CN80" s="42">
        <f>IF(AND(CL124=0,CL80&gt;=0),"",CL80/CL124)</f>
        <v>6.7114093959731542E-3</v>
      </c>
      <c r="CO80" s="82">
        <f>+'N EERR'!N133</f>
        <v>0</v>
      </c>
      <c r="CP80" s="28" t="str">
        <f>IF(AND(CO4=0,CO80&gt;=0), "",CO80/CO4)</f>
        <v/>
      </c>
      <c r="CQ80" s="42" t="str">
        <f>IF(AND(CO124=0,CO80&gt;=0),"",CO80/CO124)</f>
        <v/>
      </c>
      <c r="CR80" s="28" t="str">
        <f t="shared" si="74"/>
        <v/>
      </c>
      <c r="CS80" s="83">
        <f t="shared" si="87"/>
        <v>10</v>
      </c>
      <c r="CT80" s="28">
        <f>IF(AND(CS4=0,CS80&gt;=0), "",CS80/CS4)</f>
        <v>7.246376811594203E-4</v>
      </c>
      <c r="CU80" s="42">
        <f>IF(AND(CS124=0,CS80&gt;=0),"",CS80/CS124)</f>
        <v>6.7114093959731542E-3</v>
      </c>
      <c r="CV80" s="84">
        <f t="shared" si="88"/>
        <v>0</v>
      </c>
      <c r="CW80" s="28" t="str">
        <f>IF(AND(CV4=0,CV80&gt;=0), "",CV80/CV4)</f>
        <v/>
      </c>
      <c r="CX80" s="42">
        <f t="shared" si="75"/>
        <v>1</v>
      </c>
    </row>
    <row r="81" spans="1:102" hidden="1" outlineLevel="1" x14ac:dyDescent="0.25">
      <c r="A81" s="27" t="s">
        <v>27</v>
      </c>
      <c r="B81" s="82">
        <f>+'N EERR'!B134+'N EERR'!B135+'N EERR'!B136</f>
        <v>0</v>
      </c>
      <c r="C81" s="28" t="str">
        <f>IF(AND(B4=0,B81&gt;=0), "",B81/B4)</f>
        <v/>
      </c>
      <c r="D81" s="42" t="str">
        <f>IF(AND(B124=0,B81&gt;=0),"",B81/B124)</f>
        <v/>
      </c>
      <c r="E81" s="82">
        <f>+'N EERR'!C134+'N EERR'!C135+'N EERR'!C136</f>
        <v>30</v>
      </c>
      <c r="F81" s="28">
        <f>IF(AND(E4=0,E81&gt;=0), "",E81/E4)</f>
        <v>2.1739130434782609E-3</v>
      </c>
      <c r="G81" s="42">
        <f>IF(AND(E124=0,E81&gt;=0),"",E81/E124)</f>
        <v>2.0134228187919462E-2</v>
      </c>
      <c r="H81" s="82">
        <f>+'N EERR'!D134+'N EERR'!D135+'N EERR'!D136</f>
        <v>0</v>
      </c>
      <c r="I81" s="28" t="str">
        <f>IF(AND(H4=0,H81&gt;=0), "",H81/H4)</f>
        <v/>
      </c>
      <c r="J81" s="42" t="str">
        <f>IF(AND(H124=0,H81&gt;=0),"",H81/H124)</f>
        <v/>
      </c>
      <c r="K81" s="28">
        <f t="shared" si="46"/>
        <v>-1</v>
      </c>
      <c r="L81" s="83">
        <f t="shared" si="76"/>
        <v>30</v>
      </c>
      <c r="M81" s="28">
        <f>IF(AND(L4=0,L81&gt;=0), "",L81/L4)</f>
        <v>2.1739130434782609E-3</v>
      </c>
      <c r="N81" s="42">
        <f>IF(AND(L124=0,L81&gt;=0),"",L81/L124)</f>
        <v>2.0134228187919462E-2</v>
      </c>
      <c r="O81" s="82">
        <f>+'N EERR'!E134+'N EERR'!E135+'N EERR'!E136</f>
        <v>0</v>
      </c>
      <c r="P81" s="28" t="str">
        <f>IF(AND(O4=0,O81&gt;=0), "",O81/O4)</f>
        <v/>
      </c>
      <c r="Q81" s="42" t="str">
        <f>IF(AND(O124=0,O81&gt;=0),"",O81/O124)</f>
        <v/>
      </c>
      <c r="R81" s="28" t="str">
        <f t="shared" si="47"/>
        <v/>
      </c>
      <c r="S81" s="83">
        <f t="shared" si="77"/>
        <v>30</v>
      </c>
      <c r="T81" s="28">
        <f>IF(AND(S4=0,S81&gt;=0), "",S81/S4)</f>
        <v>2.1739130434782609E-3</v>
      </c>
      <c r="U81" s="42">
        <f>IF(AND(S124=0,S81&gt;=0),"",S81/S124)</f>
        <v>2.0134228187919462E-2</v>
      </c>
      <c r="V81" s="84"/>
      <c r="W81" s="28" t="str">
        <f>IF(AND(V4=0,V81&gt;=0), "",V81/V4)</f>
        <v/>
      </c>
      <c r="X81" s="42">
        <f t="shared" si="89"/>
        <v>1</v>
      </c>
      <c r="Y81" s="82">
        <f>+'N EERR'!F134+'N EERR'!F135+'N EERR'!F136</f>
        <v>0</v>
      </c>
      <c r="Z81" s="28" t="str">
        <f>IF(AND(Y4=0,Y81&gt;=0), "",Y81/Y4)</f>
        <v/>
      </c>
      <c r="AA81" s="42" t="str">
        <f>IF(AND(Y124=0,Y81&gt;=0),"",Y81/Y124)</f>
        <v/>
      </c>
      <c r="AB81" s="28" t="str">
        <f t="shared" si="90"/>
        <v/>
      </c>
      <c r="AC81" s="83">
        <f t="shared" si="78"/>
        <v>30</v>
      </c>
      <c r="AD81" s="28">
        <f>IF(AND(AC4=0,AC81&gt;=0), "",AC81/AC4)</f>
        <v>2.1739130434782609E-3</v>
      </c>
      <c r="AE81" s="42">
        <f>IF(AND(AC124=0,AC81&gt;=0),"",AC81/AC124)</f>
        <v>2.0134228187919462E-2</v>
      </c>
      <c r="AF81" s="82">
        <f>+'N EERR'!G134+'N EERR'!G135+'N EERR'!G136</f>
        <v>0</v>
      </c>
      <c r="AG81" s="28" t="str">
        <f>IF(AND(AF4=0,AF81&gt;=0), "",AF81/AF4)</f>
        <v/>
      </c>
      <c r="AH81" s="42" t="str">
        <f>IF(AND(AF124=0,AF81&gt;=0),"",AF81/AF124)</f>
        <v/>
      </c>
      <c r="AI81" s="28" t="str">
        <f t="shared" si="68"/>
        <v/>
      </c>
      <c r="AJ81" s="83">
        <f t="shared" si="95"/>
        <v>30</v>
      </c>
      <c r="AK81" s="28">
        <f>IF(AND(AJ4=0,AJ81&gt;=0), "",AJ81/AJ4)</f>
        <v>2.1739130434782609E-3</v>
      </c>
      <c r="AL81" s="42">
        <f>IF(AND(AJ124=0,AJ81&gt;=0),"",AJ81/AJ124)</f>
        <v>2.0134228187919462E-2</v>
      </c>
      <c r="AM81" s="82">
        <f>+'N EERR'!H134+'N EERR'!H135+'N EERR'!H136</f>
        <v>0</v>
      </c>
      <c r="AN81" s="28" t="str">
        <f>IF(AND(AM4=0,AM81&gt;=0), "",AM81/AM4)</f>
        <v/>
      </c>
      <c r="AO81" s="42" t="str">
        <f>IF(AND(AM124=0,AM81&gt;=0),"",AM81/AM124)</f>
        <v/>
      </c>
      <c r="AP81" s="28" t="str">
        <f t="shared" si="69"/>
        <v/>
      </c>
      <c r="AQ81" s="83">
        <f t="shared" si="96"/>
        <v>30</v>
      </c>
      <c r="AR81" s="28">
        <f>IF(AND(AQ4=0,AQ81&gt;=0), "",AQ81/AQ4)</f>
        <v>2.1739130434782609E-3</v>
      </c>
      <c r="AS81" s="42">
        <f>IF(AND(AQ124=0,AQ81&gt;=0),"",AQ81/AQ124)</f>
        <v>2.0134228187919462E-2</v>
      </c>
      <c r="AT81" s="84">
        <f t="shared" si="79"/>
        <v>0</v>
      </c>
      <c r="AU81" s="28" t="str">
        <f>IF(AND(AT4=0,AT81&gt;=0), "",AT81/AT4)</f>
        <v/>
      </c>
      <c r="AV81" s="42">
        <f t="shared" si="91"/>
        <v>1</v>
      </c>
      <c r="AW81" s="84">
        <f t="shared" si="67"/>
        <v>5</v>
      </c>
      <c r="AX81" s="28">
        <f>IF(AND(AW4=0,AW81&gt;=0), "",AW81/AW4)</f>
        <v>2.1739130434782605E-3</v>
      </c>
      <c r="AY81" s="42">
        <f>IF(AND(AW124=0,AW81&gt;=0),"",AW81/AW124)</f>
        <v>2.0134228187919462E-2</v>
      </c>
      <c r="AZ81" s="84">
        <f t="shared" si="80"/>
        <v>0</v>
      </c>
      <c r="BA81" s="28" t="str">
        <f>IF(AND(AZ4=0,AZ81&gt;=0), "",AZ81/AZ4)</f>
        <v/>
      </c>
      <c r="BB81" s="42">
        <f t="shared" si="92"/>
        <v>1</v>
      </c>
      <c r="BC81" s="82">
        <f>+'N EERR'!I134+'N EERR'!I135+'N EERR'!I136</f>
        <v>0</v>
      </c>
      <c r="BD81" s="28" t="str">
        <f>IF(AND(BC4=0,BC81&gt;=0), "",BC81/BC4)</f>
        <v/>
      </c>
      <c r="BE81" s="42" t="str">
        <f>IF(AND(BC124=0,BC81&gt;=0),"",BC81/BC124)</f>
        <v/>
      </c>
      <c r="BF81" s="28" t="str">
        <f t="shared" si="93"/>
        <v/>
      </c>
      <c r="BG81" s="83">
        <f t="shared" si="81"/>
        <v>30</v>
      </c>
      <c r="BH81" s="28">
        <f>IF(AND(BG4=0,BG81&gt;=0), "",BG81/BG4)</f>
        <v>2.1739130434782609E-3</v>
      </c>
      <c r="BI81" s="42">
        <f>IF(AND(BG124=0,BG81&gt;=0),"",BG81/BG124)</f>
        <v>2.0134228187919462E-2</v>
      </c>
      <c r="BJ81" s="82">
        <f>+'N EERR'!J134+'N EERR'!J135+'N EERR'!J136</f>
        <v>0</v>
      </c>
      <c r="BK81" s="28" t="str">
        <f>IF(AND(BJ4=0,BJ81&gt;=0), "",BJ81/BJ4)</f>
        <v/>
      </c>
      <c r="BL81" s="42" t="str">
        <f>IF(AND(BJ124=0,BJ81&gt;=0),"",BJ81/BJ124)</f>
        <v/>
      </c>
      <c r="BM81" s="28" t="str">
        <f t="shared" si="70"/>
        <v/>
      </c>
      <c r="BN81" s="83">
        <f t="shared" si="82"/>
        <v>30</v>
      </c>
      <c r="BO81" s="28">
        <f>IF(AND(BN4=0,BN81&gt;=0), "",BN81/BN4)</f>
        <v>2.1739130434782609E-3</v>
      </c>
      <c r="BP81" s="42">
        <f>IF(AND(BN124=0,BN81&gt;=0),"",BN81/BN124)</f>
        <v>2.0134228187919462E-2</v>
      </c>
      <c r="BQ81" s="82">
        <f>+'N EERR'!K134+'N EERR'!K135+'N EERR'!K136</f>
        <v>0</v>
      </c>
      <c r="BR81" s="28" t="str">
        <f>IF(AND(BQ4=0,BQ81&gt;=0), "",BQ81/BQ4)</f>
        <v/>
      </c>
      <c r="BS81" s="42" t="str">
        <f>IF(AND(BQ124=0,BQ81&gt;=0),"",BQ81/BQ124)</f>
        <v/>
      </c>
      <c r="BT81" s="28" t="str">
        <f t="shared" si="71"/>
        <v/>
      </c>
      <c r="BU81" s="83">
        <f t="shared" si="83"/>
        <v>30</v>
      </c>
      <c r="BV81" s="28">
        <f>IF(AND(BU4=0,BU81&gt;=0), "",BU81/BU4)</f>
        <v>2.1739130434782609E-3</v>
      </c>
      <c r="BW81" s="42">
        <f>IF(AND(BU124=0,BU81&gt;=0),"",BU81/BU124)</f>
        <v>2.0134228187919462E-2</v>
      </c>
      <c r="BX81" s="84">
        <f t="shared" si="84"/>
        <v>0</v>
      </c>
      <c r="BY81" s="28" t="str">
        <f>IF(AND(BX4=0,BX81&gt;=0), "",BX81/BX4)</f>
        <v/>
      </c>
      <c r="BZ81" s="42">
        <f t="shared" si="72"/>
        <v>1</v>
      </c>
      <c r="CA81" s="82">
        <f>+'N EERR'!L134+'N EERR'!L135+'N EERR'!L136</f>
        <v>0</v>
      </c>
      <c r="CB81" s="28" t="str">
        <f>IF(AND(CA4=0,CA81&gt;=0), "",CA81/CA4)</f>
        <v/>
      </c>
      <c r="CC81" s="42" t="str">
        <f>IF(AND(CA124=0,CA81&gt;=0),"",CA81/CA124)</f>
        <v/>
      </c>
      <c r="CD81" s="28" t="str">
        <f t="shared" si="94"/>
        <v/>
      </c>
      <c r="CE81" s="83">
        <f t="shared" si="85"/>
        <v>30</v>
      </c>
      <c r="CF81" s="28">
        <f>IF(AND(CE4=0,CE81&gt;=0), "",CE81/CE4)</f>
        <v>2.1739130434782609E-3</v>
      </c>
      <c r="CG81" s="42">
        <f>IF(AND(CE124=0,CE81&gt;=0),"",CE81/CE124)</f>
        <v>2.0134228187919462E-2</v>
      </c>
      <c r="CH81" s="82">
        <f>+'N EERR'!M134+'N EERR'!M135+'N EERR'!M136</f>
        <v>0</v>
      </c>
      <c r="CI81" s="28" t="str">
        <f>IF(AND(CH4=0,CH81&gt;=0), "",CH81/CH4)</f>
        <v/>
      </c>
      <c r="CJ81" s="42" t="str">
        <f>IF(AND(CH124=0,CH81&gt;=0),"",CH81/CH124)</f>
        <v/>
      </c>
      <c r="CK81" s="28" t="str">
        <f t="shared" si="73"/>
        <v/>
      </c>
      <c r="CL81" s="83">
        <f t="shared" si="86"/>
        <v>30</v>
      </c>
      <c r="CM81" s="28">
        <f>IF(AND(CL4=0,CL81&gt;=0), "",CL81/CL4)</f>
        <v>2.1739130434782609E-3</v>
      </c>
      <c r="CN81" s="42">
        <f>IF(AND(CL124=0,CL81&gt;=0),"",CL81/CL124)</f>
        <v>2.0134228187919462E-2</v>
      </c>
      <c r="CO81" s="82">
        <f>+'N EERR'!N134+'N EERR'!N135+'N EERR'!N136</f>
        <v>0</v>
      </c>
      <c r="CP81" s="28" t="str">
        <f>IF(AND(CO4=0,CO81&gt;=0), "",CO81/CO4)</f>
        <v/>
      </c>
      <c r="CQ81" s="42" t="str">
        <f>IF(AND(CO124=0,CO81&gt;=0),"",CO81/CO124)</f>
        <v/>
      </c>
      <c r="CR81" s="28" t="str">
        <f t="shared" si="74"/>
        <v/>
      </c>
      <c r="CS81" s="83">
        <f t="shared" si="87"/>
        <v>30</v>
      </c>
      <c r="CT81" s="28">
        <f>IF(AND(CS4=0,CS81&gt;=0), "",CS81/CS4)</f>
        <v>2.1739130434782609E-3</v>
      </c>
      <c r="CU81" s="42">
        <f>IF(AND(CS124=0,CS81&gt;=0),"",CS81/CS124)</f>
        <v>2.0134228187919462E-2</v>
      </c>
      <c r="CV81" s="84">
        <f t="shared" si="88"/>
        <v>0</v>
      </c>
      <c r="CW81" s="28" t="str">
        <f>IF(AND(CV4=0,CV81&gt;=0), "",CV81/CV4)</f>
        <v/>
      </c>
      <c r="CX81" s="42">
        <f t="shared" si="75"/>
        <v>1</v>
      </c>
    </row>
    <row r="82" spans="1:102" hidden="1" outlineLevel="1" x14ac:dyDescent="0.25">
      <c r="A82" s="27"/>
      <c r="B82" s="82"/>
      <c r="C82" s="15"/>
      <c r="D82" s="41"/>
      <c r="E82" s="82"/>
      <c r="F82" s="15"/>
      <c r="G82" s="41"/>
      <c r="H82" s="82"/>
      <c r="I82" s="15"/>
      <c r="J82" s="41"/>
      <c r="K82" s="29" t="str">
        <f t="shared" si="46"/>
        <v/>
      </c>
      <c r="M82" s="15"/>
      <c r="N82" s="41"/>
      <c r="O82" s="82"/>
      <c r="P82" s="15"/>
      <c r="Q82" s="41"/>
      <c r="R82" s="29" t="str">
        <f t="shared" si="47"/>
        <v/>
      </c>
      <c r="T82" s="15"/>
      <c r="U82" s="41"/>
      <c r="V82" s="84"/>
      <c r="W82" s="15"/>
      <c r="X82" s="52" t="str">
        <f t="shared" si="89"/>
        <v/>
      </c>
      <c r="Y82" s="82"/>
      <c r="Z82" s="15"/>
      <c r="AA82" s="41"/>
      <c r="AB82" s="29" t="str">
        <f t="shared" si="90"/>
        <v/>
      </c>
      <c r="AD82" s="15"/>
      <c r="AE82" s="41"/>
      <c r="AF82" s="82"/>
      <c r="AG82" s="15"/>
      <c r="AH82" s="41"/>
      <c r="AI82" s="29" t="str">
        <f t="shared" si="68"/>
        <v/>
      </c>
      <c r="AJ82" s="83">
        <f t="shared" si="95"/>
        <v>0</v>
      </c>
      <c r="AK82" s="15"/>
      <c r="AL82" s="41"/>
      <c r="AM82" s="82"/>
      <c r="AN82" s="15"/>
      <c r="AO82" s="41"/>
      <c r="AP82" s="29" t="str">
        <f t="shared" si="69"/>
        <v/>
      </c>
      <c r="AQ82" s="83">
        <f t="shared" si="96"/>
        <v>0</v>
      </c>
      <c r="AR82" s="15"/>
      <c r="AS82" s="41"/>
      <c r="AT82" s="84">
        <f t="shared" si="79"/>
        <v>0</v>
      </c>
      <c r="AU82" s="15"/>
      <c r="AV82" s="52" t="str">
        <f t="shared" si="91"/>
        <v/>
      </c>
      <c r="AW82" s="84">
        <f t="shared" si="67"/>
        <v>0</v>
      </c>
      <c r="AX82" s="15"/>
      <c r="AY82" s="41"/>
      <c r="AZ82" s="84">
        <f t="shared" si="80"/>
        <v>0</v>
      </c>
      <c r="BA82" s="15"/>
      <c r="BB82" s="52" t="str">
        <f t="shared" si="92"/>
        <v/>
      </c>
      <c r="BC82" s="82"/>
      <c r="BD82" s="15"/>
      <c r="BE82" s="41"/>
      <c r="BF82" s="29" t="str">
        <f t="shared" si="93"/>
        <v/>
      </c>
      <c r="BG82" s="83">
        <f t="shared" si="81"/>
        <v>0</v>
      </c>
      <c r="BH82" s="15"/>
      <c r="BI82" s="41"/>
      <c r="BJ82" s="82"/>
      <c r="BK82" s="15"/>
      <c r="BL82" s="41"/>
      <c r="BM82" s="29" t="str">
        <f t="shared" si="70"/>
        <v/>
      </c>
      <c r="BN82" s="83">
        <f t="shared" si="82"/>
        <v>0</v>
      </c>
      <c r="BO82" s="15"/>
      <c r="BP82" s="41"/>
      <c r="BQ82" s="82"/>
      <c r="BR82" s="15"/>
      <c r="BS82" s="41"/>
      <c r="BT82" s="29" t="str">
        <f t="shared" si="71"/>
        <v/>
      </c>
      <c r="BU82" s="83">
        <f t="shared" si="83"/>
        <v>0</v>
      </c>
      <c r="BV82" s="15"/>
      <c r="BW82" s="41"/>
      <c r="BX82" s="84">
        <f t="shared" si="84"/>
        <v>0</v>
      </c>
      <c r="BY82" s="15"/>
      <c r="BZ82" s="52" t="str">
        <f t="shared" si="72"/>
        <v/>
      </c>
      <c r="CA82" s="82"/>
      <c r="CB82" s="15"/>
      <c r="CC82" s="41"/>
      <c r="CD82" s="29" t="str">
        <f t="shared" si="94"/>
        <v/>
      </c>
      <c r="CF82" s="15"/>
      <c r="CG82" s="41"/>
      <c r="CH82" s="82"/>
      <c r="CI82" s="15"/>
      <c r="CJ82" s="41"/>
      <c r="CK82" s="29" t="str">
        <f t="shared" si="73"/>
        <v/>
      </c>
      <c r="CL82" s="83">
        <f t="shared" si="86"/>
        <v>0</v>
      </c>
      <c r="CM82" s="15"/>
      <c r="CN82" s="41"/>
      <c r="CO82" s="82"/>
      <c r="CP82" s="15"/>
      <c r="CQ82" s="41"/>
      <c r="CR82" s="29" t="str">
        <f t="shared" si="74"/>
        <v/>
      </c>
      <c r="CS82" s="83">
        <f t="shared" si="87"/>
        <v>0</v>
      </c>
      <c r="CT82" s="15"/>
      <c r="CU82" s="41"/>
      <c r="CV82" s="84">
        <f t="shared" si="88"/>
        <v>0</v>
      </c>
      <c r="CW82" s="15"/>
      <c r="CX82" s="52" t="str">
        <f t="shared" si="75"/>
        <v/>
      </c>
    </row>
    <row r="83" spans="1:102" s="6" customFormat="1" collapsed="1" x14ac:dyDescent="0.25">
      <c r="A83" s="34" t="s">
        <v>75</v>
      </c>
      <c r="B83" s="79">
        <f>SUM(B84:B92)+B110+B111</f>
        <v>0</v>
      </c>
      <c r="C83" s="35" t="str">
        <f>IF(AND(B4=0,B83&gt;=0), "",B83/B4)</f>
        <v/>
      </c>
      <c r="D83" s="38" t="str">
        <f>IF(AND(B124=0,B83&gt;=0),"",B83/B124)</f>
        <v/>
      </c>
      <c r="E83" s="79">
        <f>SUM(E84:E92)+E110+E111</f>
        <v>300</v>
      </c>
      <c r="F83" s="35">
        <f>IF(AND(E4=0,E83&gt;=0), "",E83/E4)</f>
        <v>2.1739130434782608E-2</v>
      </c>
      <c r="G83" s="38">
        <f>IF(AND(E124=0,E83&gt;=0),"",E83/E124)</f>
        <v>0.20134228187919462</v>
      </c>
      <c r="H83" s="79">
        <f>SUM(H84:H92)+H110+H111</f>
        <v>0</v>
      </c>
      <c r="I83" s="35" t="str">
        <f>IF(AND(H4=0,H83&gt;=0), "",H83/H4)</f>
        <v/>
      </c>
      <c r="J83" s="38" t="str">
        <f>IF(AND(H124=0,H83&gt;=0),"",H83/H124)</f>
        <v/>
      </c>
      <c r="K83" s="35">
        <f>IF(AND(E83=0,H83&gt;0),100%,IF(AND(E83&lt;0,H83&gt;=0),(E83-H83)/E83,IF(AND(E83&gt;0,H83&gt;0),(H83-E83)/E83,IF(AND(E83=0,H83&lt;=0),"",(H83-E83)/E83))))</f>
        <v>-1</v>
      </c>
      <c r="L83" s="80">
        <f>SUM(L84:L92)+L110+L111</f>
        <v>300</v>
      </c>
      <c r="M83" s="35">
        <f>IF(AND(L4=0,L83&gt;=0), "",L83/L4)</f>
        <v>2.1739130434782608E-2</v>
      </c>
      <c r="N83" s="38">
        <f>IF(AND(L124=0,L83&gt;=0),"",L83/L124)</f>
        <v>0.20134228187919462</v>
      </c>
      <c r="O83" s="79">
        <f>SUM(O84:O92)+O110+O111</f>
        <v>0</v>
      </c>
      <c r="P83" s="35" t="str">
        <f>IF(AND(O4=0,O83&gt;=0), "",O83/O4)</f>
        <v/>
      </c>
      <c r="Q83" s="38" t="str">
        <f>IF(AND(O124=0,O83&gt;=0),"",O83/O124)</f>
        <v/>
      </c>
      <c r="R83" s="35" t="str">
        <f>IF(AND(H83=0,O83&gt;0),100%,IF(AND(H83&lt;0,O83&gt;=0),(H83-O83)/H83,IF(AND(H83&gt;0,O83&gt;0),(O83-H83)/H83,IF(AND(H83=0,O83&lt;=0),"",(O83-H83)/H83))))</f>
        <v/>
      </c>
      <c r="S83" s="80">
        <f>SUM(S84:S92)+S110+S111</f>
        <v>300</v>
      </c>
      <c r="T83" s="35">
        <f>IF(AND(S4=0,S83&gt;=0), "",S83/S4)</f>
        <v>2.1739130434782608E-2</v>
      </c>
      <c r="U83" s="38">
        <f>IF(AND(S124=0,S83&gt;=0),"",S83/S124)</f>
        <v>0.20134228187919462</v>
      </c>
      <c r="V83" s="81">
        <f>SUM(V84:V92)+V110+V111</f>
        <v>0</v>
      </c>
      <c r="W83" s="35" t="str">
        <f>IF(AND(V4=0,V83&gt;=0), "",V83/V4)</f>
        <v/>
      </c>
      <c r="X83" s="51">
        <f t="shared" si="89"/>
        <v>1</v>
      </c>
      <c r="Y83" s="79">
        <f>SUM(Y84:Y92)+Y110+Y111</f>
        <v>0</v>
      </c>
      <c r="Z83" s="35" t="str">
        <f>IF(AND(Y4=0,Y83&gt;=0), "",Y83/Y4)</f>
        <v/>
      </c>
      <c r="AA83" s="38" t="str">
        <f>IF(AND(Y124=0,Y83&gt;=0),"",Y83/Y124)</f>
        <v/>
      </c>
      <c r="AB83" s="35" t="str">
        <f t="shared" si="90"/>
        <v/>
      </c>
      <c r="AC83" s="80">
        <f>SUM(AC84:AC92)+AC110+AC111</f>
        <v>300</v>
      </c>
      <c r="AD83" s="35">
        <f>IF(AND(AC4=0,AC83&gt;=0), "",AC83/AC4)</f>
        <v>2.1739130434782608E-2</v>
      </c>
      <c r="AE83" s="38">
        <f>IF(AND(AC124=0,AC83&gt;=0),"",AC83/AC124)</f>
        <v>0.20134228187919462</v>
      </c>
      <c r="AF83" s="79">
        <f>SUM(AF84:AF92)+AF110+AF111</f>
        <v>0</v>
      </c>
      <c r="AG83" s="35" t="str">
        <f>IF(AND(AF4=0,AF83&gt;=0), "",AF83/AF4)</f>
        <v/>
      </c>
      <c r="AH83" s="38" t="str">
        <f>IF(AND(AF124=0,AF83&gt;=0),"",AF83/AF124)</f>
        <v/>
      </c>
      <c r="AI83" s="35" t="str">
        <f t="shared" si="68"/>
        <v/>
      </c>
      <c r="AJ83" s="80">
        <f>SUM(AJ84:AJ92)+AJ110+AJ111</f>
        <v>300</v>
      </c>
      <c r="AK83" s="35">
        <f>IF(AND(AJ4=0,AJ83&gt;=0), "",AJ83/AJ4)</f>
        <v>2.1739130434782608E-2</v>
      </c>
      <c r="AL83" s="38">
        <f>IF(AND(AJ124=0,AJ83&gt;=0),"",AJ83/AJ124)</f>
        <v>0.20134228187919462</v>
      </c>
      <c r="AM83" s="79">
        <f>SUM(AM84:AM92)+AM110+AM111</f>
        <v>0</v>
      </c>
      <c r="AN83" s="35" t="str">
        <f>IF(AND(AM4=0,AM83&gt;=0), "",AM83/AM4)</f>
        <v/>
      </c>
      <c r="AO83" s="38" t="str">
        <f>IF(AND(AM124=0,AM83&gt;=0),"",AM83/AM124)</f>
        <v/>
      </c>
      <c r="AP83" s="35" t="str">
        <f t="shared" si="69"/>
        <v/>
      </c>
      <c r="AQ83" s="80">
        <f>SUM(AQ84:AQ92)+AQ110+AQ111</f>
        <v>300</v>
      </c>
      <c r="AR83" s="35">
        <f>IF(AND(AQ4=0,AQ83&gt;=0), "",AQ83/AQ4)</f>
        <v>2.1739130434782608E-2</v>
      </c>
      <c r="AS83" s="38">
        <f>IF(AND(AQ124=0,AQ83&gt;=0),"",AQ83/AQ124)</f>
        <v>0.20134228187919462</v>
      </c>
      <c r="AT83" s="81">
        <f>SUM(AT84:AT92)+AT110+AT111</f>
        <v>0</v>
      </c>
      <c r="AU83" s="35" t="str">
        <f>IF(AND(AT4=0,AT83&gt;=0), "",AT83/AT4)</f>
        <v/>
      </c>
      <c r="AV83" s="51">
        <f t="shared" si="91"/>
        <v>1</v>
      </c>
      <c r="AW83" s="81">
        <f>SUM(AW84:AW92)+AW110+AW111</f>
        <v>50.000000000000007</v>
      </c>
      <c r="AX83" s="35">
        <f>IF(AND(AW4=0,AW83&gt;=0), "",AW83/AW4)</f>
        <v>2.1739130434782608E-2</v>
      </c>
      <c r="AY83" s="38">
        <f>IF(AND(AW124=0,AW83&gt;=0),"",AW83/AW124)</f>
        <v>0.20134228187919465</v>
      </c>
      <c r="AZ83" s="81">
        <f>SUM(AZ84:AZ92)+AZ110+AZ111</f>
        <v>0</v>
      </c>
      <c r="BA83" s="35" t="str">
        <f>IF(AND(AZ4=0,AZ83&gt;=0), "",AZ83/AZ4)</f>
        <v/>
      </c>
      <c r="BB83" s="51">
        <f t="shared" si="92"/>
        <v>1</v>
      </c>
      <c r="BC83" s="79">
        <f>SUM(BC84:BC92)+BC110+BC111</f>
        <v>0</v>
      </c>
      <c r="BD83" s="35" t="str">
        <f>IF(AND(BC4=0,BC83&gt;=0), "",BC83/BC4)</f>
        <v/>
      </c>
      <c r="BE83" s="38" t="str">
        <f>IF(AND(BC124=0,BC83&gt;=0),"",BC83/BC124)</f>
        <v/>
      </c>
      <c r="BF83" s="35" t="str">
        <f t="shared" si="93"/>
        <v/>
      </c>
      <c r="BG83" s="80">
        <f>SUM(BG84:BG92)+BG110+BG111</f>
        <v>300</v>
      </c>
      <c r="BH83" s="35">
        <f>IF(AND(BG4=0,BG83&gt;=0), "",BG83/BG4)</f>
        <v>2.1739130434782608E-2</v>
      </c>
      <c r="BI83" s="38">
        <f>IF(AND(BG124=0,BG83&gt;=0),"",BG83/BG124)</f>
        <v>0.20134228187919462</v>
      </c>
      <c r="BJ83" s="79">
        <f>SUM(BJ84:BJ92)+BJ110+BJ111</f>
        <v>0</v>
      </c>
      <c r="BK83" s="35" t="str">
        <f>IF(AND(BJ4=0,BJ83&gt;=0), "",BJ83/BJ4)</f>
        <v/>
      </c>
      <c r="BL83" s="38" t="str">
        <f>IF(AND(BJ124=0,BJ83&gt;=0),"",BJ83/BJ124)</f>
        <v/>
      </c>
      <c r="BM83" s="35" t="str">
        <f t="shared" si="70"/>
        <v/>
      </c>
      <c r="BN83" s="80">
        <f>SUM(BN84:BN92)+BN110+BN111</f>
        <v>300</v>
      </c>
      <c r="BO83" s="35">
        <f>IF(AND(BN4=0,BN83&gt;=0), "",BN83/BN4)</f>
        <v>2.1739130434782608E-2</v>
      </c>
      <c r="BP83" s="38">
        <f>IF(AND(BN124=0,BN83&gt;=0),"",BN83/BN124)</f>
        <v>0.20134228187919462</v>
      </c>
      <c r="BQ83" s="79">
        <f>SUM(BQ84:BQ92)+BQ110+BQ111</f>
        <v>0</v>
      </c>
      <c r="BR83" s="35" t="str">
        <f>IF(AND(BQ4=0,BQ83&gt;=0), "",BQ83/BQ4)</f>
        <v/>
      </c>
      <c r="BS83" s="38" t="str">
        <f>IF(AND(BQ124=0,BQ83&gt;=0),"",BQ83/BQ124)</f>
        <v/>
      </c>
      <c r="BT83" s="35" t="str">
        <f t="shared" si="71"/>
        <v/>
      </c>
      <c r="BU83" s="80">
        <f>SUM(BU84:BU92)+BU110+BU111</f>
        <v>300</v>
      </c>
      <c r="BV83" s="35">
        <f>IF(AND(BU4=0,BU83&gt;=0), "",BU83/BU4)</f>
        <v>2.1739130434782608E-2</v>
      </c>
      <c r="BW83" s="38">
        <f>IF(AND(BU124=0,BU83&gt;=0),"",BU83/BU124)</f>
        <v>0.20134228187919462</v>
      </c>
      <c r="BX83" s="81">
        <f>SUM(BX84:BX92)+BX110+BX111</f>
        <v>0</v>
      </c>
      <c r="BY83" s="35" t="str">
        <f>IF(AND(BX4=0,BX83&gt;=0), "",BX83/BX4)</f>
        <v/>
      </c>
      <c r="BZ83" s="51">
        <f t="shared" si="72"/>
        <v>1</v>
      </c>
      <c r="CA83" s="79">
        <f>SUM(CA84:CA92)+CA110+CA111</f>
        <v>0</v>
      </c>
      <c r="CB83" s="35" t="str">
        <f>IF(AND(CA4=0,CA83&gt;=0), "",CA83/CA4)</f>
        <v/>
      </c>
      <c r="CC83" s="38" t="str">
        <f>IF(AND(CA124=0,CA83&gt;=0),"",CA83/CA124)</f>
        <v/>
      </c>
      <c r="CD83" s="35" t="str">
        <f t="shared" si="94"/>
        <v/>
      </c>
      <c r="CE83" s="80">
        <f>SUM(CE84:CE92)+CE110+CE111</f>
        <v>300</v>
      </c>
      <c r="CF83" s="35">
        <f>IF(AND(CE4=0,CE83&gt;=0), "",CE83/CE4)</f>
        <v>2.1739130434782608E-2</v>
      </c>
      <c r="CG83" s="38">
        <f>IF(AND(CE124=0,CE83&gt;=0),"",CE83/CE124)</f>
        <v>0.20134228187919462</v>
      </c>
      <c r="CH83" s="79">
        <f>SUM(CH84:CH92)+CH110+CH111</f>
        <v>0</v>
      </c>
      <c r="CI83" s="35" t="str">
        <f>IF(AND(CH4=0,CH83&gt;=0), "",CH83/CH4)</f>
        <v/>
      </c>
      <c r="CJ83" s="38" t="str">
        <f>IF(AND(CH124=0,CH83&gt;=0),"",CH83/CH124)</f>
        <v/>
      </c>
      <c r="CK83" s="35" t="str">
        <f t="shared" si="73"/>
        <v/>
      </c>
      <c r="CL83" s="80">
        <f>SUM(CL84:CL92)+CL110+CL111</f>
        <v>300</v>
      </c>
      <c r="CM83" s="35">
        <f>IF(AND(CL4=0,CL83&gt;=0), "",CL83/CL4)</f>
        <v>2.1739130434782608E-2</v>
      </c>
      <c r="CN83" s="38">
        <f>IF(AND(CL124=0,CL83&gt;=0),"",CL83/CL124)</f>
        <v>0.20134228187919462</v>
      </c>
      <c r="CO83" s="79">
        <f>SUM(CO84:CO92)+CO110+CO111</f>
        <v>0</v>
      </c>
      <c r="CP83" s="35" t="str">
        <f>IF(AND(CO4=0,CO83&gt;=0), "",CO83/CO4)</f>
        <v/>
      </c>
      <c r="CQ83" s="38" t="str">
        <f>IF(AND(CO124=0,CO83&gt;=0),"",CO83/CO124)</f>
        <v/>
      </c>
      <c r="CR83" s="35" t="str">
        <f t="shared" si="74"/>
        <v/>
      </c>
      <c r="CS83" s="80">
        <f>SUM(CS84:CS92)+CS110+CS111</f>
        <v>300</v>
      </c>
      <c r="CT83" s="35">
        <f>IF(AND(CS4=0,CS83&gt;=0), "",CS83/CS4)</f>
        <v>2.1739130434782608E-2</v>
      </c>
      <c r="CU83" s="38">
        <f>IF(AND(CS124=0,CS83&gt;=0),"",CS83/CS124)</f>
        <v>0.20134228187919462</v>
      </c>
      <c r="CV83" s="81">
        <f>SUM(CV84:CV92)+CV110+CV111</f>
        <v>0</v>
      </c>
      <c r="CW83" s="35" t="str">
        <f>IF(AND(CV4=0,CV83&gt;=0), "",CV83/CV4)</f>
        <v/>
      </c>
      <c r="CX83" s="51">
        <f t="shared" si="75"/>
        <v>1</v>
      </c>
    </row>
    <row r="84" spans="1:102" hidden="1" outlineLevel="2" x14ac:dyDescent="0.25">
      <c r="A84" s="27" t="s">
        <v>76</v>
      </c>
      <c r="B84" s="82">
        <f>+'N EERR'!B140+'N EERR'!B141+'N EERR'!B142+'N EERR'!B143+'N EERR'!B144</f>
        <v>0</v>
      </c>
      <c r="C84" s="28" t="str">
        <f>IF(AND(B4=0,B84&gt;=0), "",B84/B4)</f>
        <v/>
      </c>
      <c r="D84" s="42" t="str">
        <f>IF(AND(B124=0,B84&gt;=0),"",B84/B124)</f>
        <v/>
      </c>
      <c r="E84" s="82">
        <f>+'N EERR'!C140+'N EERR'!C141+'N EERR'!C142+'N EERR'!C143+'N EERR'!C144</f>
        <v>50</v>
      </c>
      <c r="F84" s="28">
        <f>IF(AND(E4=0,E84&gt;=0), "",E84/E4)</f>
        <v>3.6231884057971015E-3</v>
      </c>
      <c r="G84" s="42">
        <f>IF(AND(E124=0,E84&gt;=0),"",E84/E124)</f>
        <v>3.3557046979865772E-2</v>
      </c>
      <c r="H84" s="82">
        <f>+'N EERR'!D140+'N EERR'!D141+'N EERR'!D142+'N EERR'!D143+'N EERR'!D144</f>
        <v>0</v>
      </c>
      <c r="I84" s="28" t="str">
        <f>IF(AND(H4=0,H84&gt;=0), "",H84/H4)</f>
        <v/>
      </c>
      <c r="J84" s="42" t="str">
        <f>IF(AND(H124=0,H84&gt;=0),"",H84/H124)</f>
        <v/>
      </c>
      <c r="K84" s="28">
        <f t="shared" ref="K84:K108" si="97">IF(AND(E84=0,H84&gt;0),100%,IF(AND(E84&lt;0,H84=0),(E84-H84)/E84,IF(AND(E84&gt;0,H84&gt;0),(H84-E84)/E84,IF(AND(E84=0,H84=0),"",(H84-E84)/E84))))</f>
        <v>-1</v>
      </c>
      <c r="L84" s="83">
        <f t="shared" ref="L84:L91" si="98">+E84+H84</f>
        <v>50</v>
      </c>
      <c r="M84" s="28">
        <f>IF(AND(L4=0,L84&gt;=0), "",L84/L4)</f>
        <v>3.6231884057971015E-3</v>
      </c>
      <c r="N84" s="42">
        <f>IF(AND(L124=0,L84&gt;=0),"",L84/L124)</f>
        <v>3.3557046979865772E-2</v>
      </c>
      <c r="O84" s="82">
        <f>+'N EERR'!E140+'N EERR'!E141+'N EERR'!E142+'N EERR'!E143+'N EERR'!E144</f>
        <v>0</v>
      </c>
      <c r="P84" s="28" t="str">
        <f>IF(AND(O4=0,O84&gt;=0), "",O84/O4)</f>
        <v/>
      </c>
      <c r="Q84" s="42" t="str">
        <f>IF(AND(O124=0,O84&gt;=0),"",O84/O124)</f>
        <v/>
      </c>
      <c r="R84" s="28" t="str">
        <f t="shared" ref="R84:R108" si="99">IF(AND(H84=0,O84&gt;0),100%,IF(AND(H84&lt;0,O84=0),(H84-O84)/H84,IF(AND(H84&gt;0,O84&gt;0),(O84-H84)/H84,IF(AND(H84=0,O84=0),"",(O84-H84)/H84))))</f>
        <v/>
      </c>
      <c r="S84" s="83">
        <f t="shared" ref="S84:S91" si="100">+L84+O84</f>
        <v>50</v>
      </c>
      <c r="T84" s="28">
        <f>IF(AND(S4=0,S84&gt;=0), "",S84/S4)</f>
        <v>3.6231884057971015E-3</v>
      </c>
      <c r="U84" s="42">
        <f>IF(AND(S124=0,S84&gt;=0),"",S84/S124)</f>
        <v>3.3557046979865772E-2</v>
      </c>
      <c r="V84" s="84"/>
      <c r="W84" s="28" t="str">
        <f>IF(AND(V4=0,V84&gt;=0), "",V84/V4)</f>
        <v/>
      </c>
      <c r="X84" s="42">
        <f t="shared" si="89"/>
        <v>1</v>
      </c>
      <c r="Y84" s="82">
        <f>+'N EERR'!F140+'N EERR'!F141+'N EERR'!F142+'N EERR'!F143+'N EERR'!F144</f>
        <v>0</v>
      </c>
      <c r="Z84" s="28" t="str">
        <f>IF(AND(Y4=0,Y84&gt;=0), "",Y84/Y4)</f>
        <v/>
      </c>
      <c r="AA84" s="42" t="str">
        <f>IF(AND(Y124=0,Y84&gt;=0),"",Y84/Y124)</f>
        <v/>
      </c>
      <c r="AB84" s="28" t="str">
        <f t="shared" si="90"/>
        <v/>
      </c>
      <c r="AC84" s="83">
        <f t="shared" ref="AC84:AC89" si="101">+S84+Y84</f>
        <v>50</v>
      </c>
      <c r="AD84" s="28">
        <f>IF(AND(AC4=0,AC84&gt;=0), "",AC84/AC4)</f>
        <v>3.6231884057971015E-3</v>
      </c>
      <c r="AE84" s="42">
        <f>IF(AND(AC124=0,AC84&gt;=0),"",AC84/AC124)</f>
        <v>3.3557046979865772E-2</v>
      </c>
      <c r="AF84" s="82">
        <f>+'N EERR'!G140+'N EERR'!G141+'N EERR'!G142+'N EERR'!G143+'N EERR'!G144</f>
        <v>0</v>
      </c>
      <c r="AG84" s="28" t="str">
        <f>IF(AND(AF4=0,AF84&gt;=0), "",AF84/AF4)</f>
        <v/>
      </c>
      <c r="AH84" s="42" t="str">
        <f>IF(AND(AF124=0,AF84&gt;=0),"",AF84/AF124)</f>
        <v/>
      </c>
      <c r="AI84" s="28" t="str">
        <f t="shared" si="68"/>
        <v/>
      </c>
      <c r="AJ84" s="83">
        <f t="shared" si="95"/>
        <v>50</v>
      </c>
      <c r="AK84" s="28">
        <f>IF(AND(AJ4=0,AJ84&gt;=0), "",AJ84/AJ4)</f>
        <v>3.6231884057971015E-3</v>
      </c>
      <c r="AL84" s="42">
        <f>IF(AND(AJ124=0,AJ84&gt;=0),"",AJ84/AJ124)</f>
        <v>3.3557046979865772E-2</v>
      </c>
      <c r="AM84" s="82">
        <f>+'N EERR'!H140+'N EERR'!H141+'N EERR'!H142+'N EERR'!H143+'N EERR'!H144</f>
        <v>0</v>
      </c>
      <c r="AN84" s="28" t="str">
        <f>IF(AND(AM4=0,AM84&gt;=0), "",AM84/AM4)</f>
        <v/>
      </c>
      <c r="AO84" s="42" t="str">
        <f>IF(AND(AM124=0,AM84&gt;=0),"",AM84/AM124)</f>
        <v/>
      </c>
      <c r="AP84" s="28" t="str">
        <f t="shared" si="69"/>
        <v/>
      </c>
      <c r="AQ84" s="83">
        <f t="shared" si="96"/>
        <v>50</v>
      </c>
      <c r="AR84" s="28">
        <f>IF(AND(AQ4=0,AQ84&gt;=0), "",AQ84/AQ4)</f>
        <v>3.6231884057971015E-3</v>
      </c>
      <c r="AS84" s="42">
        <f>IF(AND(AQ124=0,AQ84&gt;=0),"",AQ84/AQ124)</f>
        <v>3.3557046979865772E-2</v>
      </c>
      <c r="AT84" s="84">
        <f t="shared" ref="AT84:AT92" si="102">+V84*2</f>
        <v>0</v>
      </c>
      <c r="AU84" s="28" t="str">
        <f>IF(AND(AT4=0,AT84&gt;=0), "",AT84/AT4)</f>
        <v/>
      </c>
      <c r="AV84" s="42">
        <f t="shared" si="91"/>
        <v>1</v>
      </c>
      <c r="AW84" s="84">
        <f t="shared" si="67"/>
        <v>8.3333333333333339</v>
      </c>
      <c r="AX84" s="28">
        <f>IF(AND(AW4=0,AW84&gt;=0), "",AW84/AW4)</f>
        <v>3.6231884057971011E-3</v>
      </c>
      <c r="AY84" s="42">
        <f>IF(AND(AW124=0,AW84&gt;=0),"",AW84/AW124)</f>
        <v>3.3557046979865772E-2</v>
      </c>
      <c r="AZ84" s="84">
        <f t="shared" ref="AZ84:AZ102" si="103">+AT84/6</f>
        <v>0</v>
      </c>
      <c r="BA84" s="28" t="str">
        <f>IF(AND(AZ4=0,AZ84&gt;=0), "",AZ84/AZ4)</f>
        <v/>
      </c>
      <c r="BB84" s="42">
        <f t="shared" si="92"/>
        <v>1</v>
      </c>
      <c r="BC84" s="82">
        <f>+'N EERR'!I140+'N EERR'!I141+'N EERR'!I142+'N EERR'!I143+'N EERR'!I144</f>
        <v>0</v>
      </c>
      <c r="BD84" s="28" t="str">
        <f>IF(AND(BC4=0,BC84&gt;=0), "",BC84/BC4)</f>
        <v/>
      </c>
      <c r="BE84" s="42" t="str">
        <f>IF(AND(BC124=0,BC84&gt;=0),"",BC84/BC124)</f>
        <v/>
      </c>
      <c r="BF84" s="28" t="str">
        <f t="shared" si="93"/>
        <v/>
      </c>
      <c r="BG84" s="83">
        <f t="shared" ref="BG84:BG92" si="104">+AQ84+BC84</f>
        <v>50</v>
      </c>
      <c r="BH84" s="28">
        <f>IF(AND(BG4=0,BG84&gt;=0), "",BG84/BG4)</f>
        <v>3.6231884057971015E-3</v>
      </c>
      <c r="BI84" s="42">
        <f>IF(AND(BG124=0,BG84&gt;=0),"",BG84/BG124)</f>
        <v>3.3557046979865772E-2</v>
      </c>
      <c r="BJ84" s="82">
        <f>+'N EERR'!J140+'N EERR'!J141+'N EERR'!J142+'N EERR'!J143+'N EERR'!J144</f>
        <v>0</v>
      </c>
      <c r="BK84" s="28" t="str">
        <f>IF(AND(BJ4=0,BJ84&gt;=0), "",BJ84/BJ4)</f>
        <v/>
      </c>
      <c r="BL84" s="42" t="str">
        <f>IF(AND(BJ124=0,BJ84&gt;=0),"",BJ84/BJ124)</f>
        <v/>
      </c>
      <c r="BM84" s="28" t="str">
        <f t="shared" si="70"/>
        <v/>
      </c>
      <c r="BN84" s="83">
        <f t="shared" ref="BN84:BN92" si="105">+BG84+BJ84</f>
        <v>50</v>
      </c>
      <c r="BO84" s="28">
        <f>IF(AND(BN4=0,BN84&gt;=0), "",BN84/BN4)</f>
        <v>3.6231884057971015E-3</v>
      </c>
      <c r="BP84" s="42">
        <f>IF(AND(BN124=0,BN84&gt;=0),"",BN84/BN124)</f>
        <v>3.3557046979865772E-2</v>
      </c>
      <c r="BQ84" s="82">
        <f>+'N EERR'!K140+'N EERR'!K141+'N EERR'!K142+'N EERR'!K143+'N EERR'!K144</f>
        <v>0</v>
      </c>
      <c r="BR84" s="28" t="str">
        <f>IF(AND(BQ4=0,BQ84&gt;=0), "",BQ84/BQ4)</f>
        <v/>
      </c>
      <c r="BS84" s="42" t="str">
        <f>IF(AND(BQ124=0,BQ84&gt;=0),"",BQ84/BQ124)</f>
        <v/>
      </c>
      <c r="BT84" s="28" t="str">
        <f t="shared" si="71"/>
        <v/>
      </c>
      <c r="BU84" s="83">
        <f t="shared" ref="BU84:BU92" si="106">+BN84+BQ84</f>
        <v>50</v>
      </c>
      <c r="BV84" s="28">
        <f>IF(AND(BU4=0,BU84&gt;=0), "",BU84/BU4)</f>
        <v>3.6231884057971015E-3</v>
      </c>
      <c r="BW84" s="42">
        <f>IF(AND(BU124=0,BU84&gt;=0),"",BU84/BU124)</f>
        <v>3.3557046979865772E-2</v>
      </c>
      <c r="BX84" s="84">
        <f t="shared" ref="BX84:BX92" si="107">+AZ84*9</f>
        <v>0</v>
      </c>
      <c r="BY84" s="28" t="str">
        <f>IF(AND(BX4=0,BX84&gt;=0), "",BX84/BX4)</f>
        <v/>
      </c>
      <c r="BZ84" s="42">
        <f t="shared" si="72"/>
        <v>1</v>
      </c>
      <c r="CA84" s="82">
        <f>+'N EERR'!L140+'N EERR'!L141+'N EERR'!L142+'N EERR'!L143+'N EERR'!L144</f>
        <v>0</v>
      </c>
      <c r="CB84" s="28" t="str">
        <f>IF(AND(CA4=0,CA84&gt;=0), "",CA84/CA4)</f>
        <v/>
      </c>
      <c r="CC84" s="42" t="str">
        <f>IF(AND(CA124=0,CA84&gt;=0),"",CA84/CA124)</f>
        <v/>
      </c>
      <c r="CD84" s="28" t="str">
        <f t="shared" si="94"/>
        <v/>
      </c>
      <c r="CE84" s="83">
        <f t="shared" ref="CE84:CE92" si="108">+BU84+CA84</f>
        <v>50</v>
      </c>
      <c r="CF84" s="28">
        <f>IF(AND(CE4=0,CE84&gt;=0), "",CE84/CE4)</f>
        <v>3.6231884057971015E-3</v>
      </c>
      <c r="CG84" s="42">
        <f>IF(AND(CE124=0,CE84&gt;=0),"",CE84/CE124)</f>
        <v>3.3557046979865772E-2</v>
      </c>
      <c r="CH84" s="82">
        <f>+'N EERR'!M140+'N EERR'!M141+'N EERR'!M142+'N EERR'!M143+'N EERR'!M144</f>
        <v>0</v>
      </c>
      <c r="CI84" s="28" t="str">
        <f>IF(AND(CH4=0,CH84&gt;=0), "",CH84/CH4)</f>
        <v/>
      </c>
      <c r="CJ84" s="42" t="str">
        <f>IF(AND(CH124=0,CH84&gt;=0),"",CH84/CH124)</f>
        <v/>
      </c>
      <c r="CK84" s="28" t="str">
        <f t="shared" si="73"/>
        <v/>
      </c>
      <c r="CL84" s="83">
        <f t="shared" ref="CL84:CL92" si="109">+CE84+CH84</f>
        <v>50</v>
      </c>
      <c r="CM84" s="28">
        <f>IF(AND(CL4=0,CL84&gt;=0), "",CL84/CL4)</f>
        <v>3.6231884057971015E-3</v>
      </c>
      <c r="CN84" s="42">
        <f>IF(AND(CL124=0,CL84&gt;=0),"",CL84/CL124)</f>
        <v>3.3557046979865772E-2</v>
      </c>
      <c r="CO84" s="82">
        <f>+'N EERR'!N140+'N EERR'!N141+'N EERR'!N142+'N EERR'!N143+'N EERR'!N144</f>
        <v>0</v>
      </c>
      <c r="CP84" s="28" t="str">
        <f>IF(AND(CO4=0,CO84&gt;=0), "",CO84/CO4)</f>
        <v/>
      </c>
      <c r="CQ84" s="42" t="str">
        <f>IF(AND(CO124=0,CO84&gt;=0),"",CO84/CO124)</f>
        <v/>
      </c>
      <c r="CR84" s="28" t="str">
        <f t="shared" si="74"/>
        <v/>
      </c>
      <c r="CS84" s="83">
        <f t="shared" ref="CS84:CS92" si="110">+CL84+CO84</f>
        <v>50</v>
      </c>
      <c r="CT84" s="28">
        <f>IF(AND(CS4=0,CS84&gt;=0), "",CS84/CS4)</f>
        <v>3.6231884057971015E-3</v>
      </c>
      <c r="CU84" s="42">
        <f>IF(AND(CS124=0,CS84&gt;=0),"",CS84/CS124)</f>
        <v>3.3557046979865772E-2</v>
      </c>
      <c r="CV84" s="84">
        <f t="shared" ref="CV84:CV92" si="111">+AZ84*12</f>
        <v>0</v>
      </c>
      <c r="CW84" s="28" t="str">
        <f>IF(AND(CV4=0,CV84&gt;=0), "",CV84/CV4)</f>
        <v/>
      </c>
      <c r="CX84" s="42">
        <f t="shared" si="75"/>
        <v>1</v>
      </c>
    </row>
    <row r="85" spans="1:102" hidden="1" outlineLevel="2" x14ac:dyDescent="0.25">
      <c r="A85" s="27" t="s">
        <v>77</v>
      </c>
      <c r="B85" s="82">
        <f>+'N EERR'!B145</f>
        <v>0</v>
      </c>
      <c r="C85" s="28" t="str">
        <f>IF(AND(B4=0,B85&gt;=0), "",B85/B4)</f>
        <v/>
      </c>
      <c r="D85" s="42" t="str">
        <f>IF(AND(B124=0,B85&gt;=0),"",B85/B124)</f>
        <v/>
      </c>
      <c r="E85" s="82">
        <f>+'N EERR'!C145</f>
        <v>10</v>
      </c>
      <c r="F85" s="28">
        <f>IF(AND(E4=0,E85&gt;=0), "",E85/E4)</f>
        <v>7.246376811594203E-4</v>
      </c>
      <c r="G85" s="42">
        <f>IF(AND(E124=0,E85&gt;=0),"",E85/E124)</f>
        <v>6.7114093959731542E-3</v>
      </c>
      <c r="H85" s="82">
        <f>+'N EERR'!D145</f>
        <v>0</v>
      </c>
      <c r="I85" s="28" t="str">
        <f>IF(AND(H4=0,H85&gt;=0), "",H85/H4)</f>
        <v/>
      </c>
      <c r="J85" s="42" t="str">
        <f>IF(AND(H124=0,H85&gt;=0),"",H85/H124)</f>
        <v/>
      </c>
      <c r="K85" s="28">
        <f t="shared" si="97"/>
        <v>-1</v>
      </c>
      <c r="L85" s="83">
        <f t="shared" si="98"/>
        <v>10</v>
      </c>
      <c r="M85" s="28">
        <f>IF(AND(L4=0,L85&gt;=0), "",L85/L4)</f>
        <v>7.246376811594203E-4</v>
      </c>
      <c r="N85" s="42">
        <f>IF(AND(L124=0,L85&gt;=0),"",L85/L124)</f>
        <v>6.7114093959731542E-3</v>
      </c>
      <c r="O85" s="82">
        <f>+'N EERR'!E145</f>
        <v>0</v>
      </c>
      <c r="P85" s="28" t="str">
        <f>IF(AND(O4=0,O85&gt;=0), "",O85/O4)</f>
        <v/>
      </c>
      <c r="Q85" s="42" t="str">
        <f>IF(AND(O124=0,O85&gt;=0),"",O85/O124)</f>
        <v/>
      </c>
      <c r="R85" s="28" t="str">
        <f t="shared" si="99"/>
        <v/>
      </c>
      <c r="S85" s="83">
        <f t="shared" si="100"/>
        <v>10</v>
      </c>
      <c r="T85" s="28">
        <f>IF(AND(S4=0,S85&gt;=0), "",S85/S4)</f>
        <v>7.246376811594203E-4</v>
      </c>
      <c r="U85" s="42">
        <f>IF(AND(S124=0,S85&gt;=0),"",S85/S124)</f>
        <v>6.7114093959731542E-3</v>
      </c>
      <c r="V85" s="84"/>
      <c r="W85" s="28" t="str">
        <f>IF(AND(V4=0,V85&gt;=0), "",V85/V4)</f>
        <v/>
      </c>
      <c r="X85" s="42">
        <f t="shared" si="89"/>
        <v>1</v>
      </c>
      <c r="Y85" s="82">
        <f>+'N EERR'!F145</f>
        <v>0</v>
      </c>
      <c r="Z85" s="28" t="str">
        <f>IF(AND(Y4=0,Y85&gt;=0), "",Y85/Y4)</f>
        <v/>
      </c>
      <c r="AA85" s="42" t="str">
        <f>IF(AND(Y124=0,Y85&gt;=0),"",Y85/Y124)</f>
        <v/>
      </c>
      <c r="AB85" s="28" t="str">
        <f t="shared" si="90"/>
        <v/>
      </c>
      <c r="AC85" s="83">
        <f t="shared" si="101"/>
        <v>10</v>
      </c>
      <c r="AD85" s="28">
        <f>IF(AND(AC4=0,AC85&gt;=0), "",AC85/AC4)</f>
        <v>7.246376811594203E-4</v>
      </c>
      <c r="AE85" s="42">
        <f>IF(AND(AC124=0,AC85&gt;=0),"",AC85/AC124)</f>
        <v>6.7114093959731542E-3</v>
      </c>
      <c r="AF85" s="82">
        <f>+'N EERR'!G145</f>
        <v>0</v>
      </c>
      <c r="AG85" s="28" t="str">
        <f>IF(AND(AF4=0,AF85&gt;=0), "",AF85/AF4)</f>
        <v/>
      </c>
      <c r="AH85" s="42" t="str">
        <f>IF(AND(AF124=0,AF85&gt;=0),"",AF85/AF124)</f>
        <v/>
      </c>
      <c r="AI85" s="28" t="str">
        <f t="shared" si="68"/>
        <v/>
      </c>
      <c r="AJ85" s="83">
        <f t="shared" si="95"/>
        <v>10</v>
      </c>
      <c r="AK85" s="28">
        <f>IF(AND(AJ4=0,AJ85&gt;=0), "",AJ85/AJ4)</f>
        <v>7.246376811594203E-4</v>
      </c>
      <c r="AL85" s="42">
        <f>IF(AND(AJ124=0,AJ85&gt;=0),"",AJ85/AJ124)</f>
        <v>6.7114093959731542E-3</v>
      </c>
      <c r="AM85" s="82">
        <f>+'N EERR'!H145</f>
        <v>0</v>
      </c>
      <c r="AN85" s="28" t="str">
        <f>IF(AND(AM4=0,AM85&gt;=0), "",AM85/AM4)</f>
        <v/>
      </c>
      <c r="AO85" s="42" t="str">
        <f>IF(AND(AM124=0,AM85&gt;=0),"",AM85/AM124)</f>
        <v/>
      </c>
      <c r="AP85" s="28" t="str">
        <f t="shared" si="69"/>
        <v/>
      </c>
      <c r="AQ85" s="83">
        <f t="shared" si="96"/>
        <v>10</v>
      </c>
      <c r="AR85" s="28">
        <f>IF(AND(AQ4=0,AQ85&gt;=0), "",AQ85/AQ4)</f>
        <v>7.246376811594203E-4</v>
      </c>
      <c r="AS85" s="42">
        <f>IF(AND(AQ124=0,AQ85&gt;=0),"",AQ85/AQ124)</f>
        <v>6.7114093959731542E-3</v>
      </c>
      <c r="AT85" s="84">
        <f t="shared" si="102"/>
        <v>0</v>
      </c>
      <c r="AU85" s="28" t="str">
        <f>IF(AND(AT4=0,AT85&gt;=0), "",AT85/AT4)</f>
        <v/>
      </c>
      <c r="AV85" s="42">
        <f t="shared" si="91"/>
        <v>1</v>
      </c>
      <c r="AW85" s="84">
        <f t="shared" si="67"/>
        <v>1.6666666666666667</v>
      </c>
      <c r="AX85" s="28">
        <f>IF(AND(AW4=0,AW85&gt;=0), "",AW85/AW4)</f>
        <v>7.2463768115942019E-4</v>
      </c>
      <c r="AY85" s="42">
        <f>IF(AND(AW124=0,AW85&gt;=0),"",AW85/AW124)</f>
        <v>6.7114093959731542E-3</v>
      </c>
      <c r="AZ85" s="84">
        <f t="shared" si="103"/>
        <v>0</v>
      </c>
      <c r="BA85" s="28" t="str">
        <f>IF(AND(AZ4=0,AZ85&gt;=0), "",AZ85/AZ4)</f>
        <v/>
      </c>
      <c r="BB85" s="42">
        <f t="shared" si="92"/>
        <v>1</v>
      </c>
      <c r="BC85" s="82">
        <f>+'N EERR'!I145</f>
        <v>0</v>
      </c>
      <c r="BD85" s="28" t="str">
        <f>IF(AND(BC4=0,BC85&gt;=0), "",BC85/BC4)</f>
        <v/>
      </c>
      <c r="BE85" s="42" t="str">
        <f>IF(AND(BC124=0,BC85&gt;=0),"",BC85/BC124)</f>
        <v/>
      </c>
      <c r="BF85" s="28" t="str">
        <f t="shared" si="93"/>
        <v/>
      </c>
      <c r="BG85" s="83">
        <f t="shared" si="104"/>
        <v>10</v>
      </c>
      <c r="BH85" s="28">
        <f>IF(AND(BG4=0,BG85&gt;=0), "",BG85/BG4)</f>
        <v>7.246376811594203E-4</v>
      </c>
      <c r="BI85" s="42">
        <f>IF(AND(BG124=0,BG85&gt;=0),"",BG85/BG124)</f>
        <v>6.7114093959731542E-3</v>
      </c>
      <c r="BJ85" s="82">
        <f>+'N EERR'!J145</f>
        <v>0</v>
      </c>
      <c r="BK85" s="28" t="str">
        <f>IF(AND(BJ4=0,BJ85&gt;=0), "",BJ85/BJ4)</f>
        <v/>
      </c>
      <c r="BL85" s="42" t="str">
        <f>IF(AND(BJ124=0,BJ85&gt;=0),"",BJ85/BJ124)</f>
        <v/>
      </c>
      <c r="BM85" s="28" t="str">
        <f t="shared" si="70"/>
        <v/>
      </c>
      <c r="BN85" s="83">
        <f t="shared" si="105"/>
        <v>10</v>
      </c>
      <c r="BO85" s="28">
        <f>IF(AND(BN4=0,BN85&gt;=0), "",BN85/BN4)</f>
        <v>7.246376811594203E-4</v>
      </c>
      <c r="BP85" s="42">
        <f>IF(AND(BN124=0,BN85&gt;=0),"",BN85/BN124)</f>
        <v>6.7114093959731542E-3</v>
      </c>
      <c r="BQ85" s="82">
        <f>+'N EERR'!K145</f>
        <v>0</v>
      </c>
      <c r="BR85" s="28" t="str">
        <f>IF(AND(BQ4=0,BQ85&gt;=0), "",BQ85/BQ4)</f>
        <v/>
      </c>
      <c r="BS85" s="42" t="str">
        <f>IF(AND(BQ124=0,BQ85&gt;=0),"",BQ85/BQ124)</f>
        <v/>
      </c>
      <c r="BT85" s="28" t="str">
        <f t="shared" si="71"/>
        <v/>
      </c>
      <c r="BU85" s="83">
        <f t="shared" si="106"/>
        <v>10</v>
      </c>
      <c r="BV85" s="28">
        <f>IF(AND(BU4=0,BU85&gt;=0), "",BU85/BU4)</f>
        <v>7.246376811594203E-4</v>
      </c>
      <c r="BW85" s="42">
        <f>IF(AND(BU124=0,BU85&gt;=0),"",BU85/BU124)</f>
        <v>6.7114093959731542E-3</v>
      </c>
      <c r="BX85" s="84">
        <f t="shared" si="107"/>
        <v>0</v>
      </c>
      <c r="BY85" s="28" t="str">
        <f>IF(AND(BX4=0,BX85&gt;=0), "",BX85/BX4)</f>
        <v/>
      </c>
      <c r="BZ85" s="42">
        <f t="shared" si="72"/>
        <v>1</v>
      </c>
      <c r="CA85" s="82">
        <f>+'N EERR'!L145</f>
        <v>0</v>
      </c>
      <c r="CB85" s="28" t="str">
        <f>IF(AND(CA4=0,CA85&gt;=0), "",CA85/CA4)</f>
        <v/>
      </c>
      <c r="CC85" s="42" t="str">
        <f>IF(AND(CA124=0,CA85&gt;=0),"",CA85/CA124)</f>
        <v/>
      </c>
      <c r="CD85" s="28" t="str">
        <f t="shared" si="94"/>
        <v/>
      </c>
      <c r="CE85" s="83">
        <f t="shared" si="108"/>
        <v>10</v>
      </c>
      <c r="CF85" s="28">
        <f>IF(AND(CE4=0,CE85&gt;=0), "",CE85/CE4)</f>
        <v>7.246376811594203E-4</v>
      </c>
      <c r="CG85" s="42">
        <f>IF(AND(CE124=0,CE85&gt;=0),"",CE85/CE124)</f>
        <v>6.7114093959731542E-3</v>
      </c>
      <c r="CH85" s="82">
        <f>+'N EERR'!M145</f>
        <v>0</v>
      </c>
      <c r="CI85" s="28" t="str">
        <f>IF(AND(CH4=0,CH85&gt;=0), "",CH85/CH4)</f>
        <v/>
      </c>
      <c r="CJ85" s="42" t="str">
        <f>IF(AND(CH124=0,CH85&gt;=0),"",CH85/CH124)</f>
        <v/>
      </c>
      <c r="CK85" s="28" t="str">
        <f t="shared" si="73"/>
        <v/>
      </c>
      <c r="CL85" s="83">
        <f t="shared" si="109"/>
        <v>10</v>
      </c>
      <c r="CM85" s="28">
        <f>IF(AND(CL4=0,CL85&gt;=0), "",CL85/CL4)</f>
        <v>7.246376811594203E-4</v>
      </c>
      <c r="CN85" s="42">
        <f>IF(AND(CL124=0,CL85&gt;=0),"",CL85/CL124)</f>
        <v>6.7114093959731542E-3</v>
      </c>
      <c r="CO85" s="82">
        <f>+'N EERR'!N145</f>
        <v>0</v>
      </c>
      <c r="CP85" s="28" t="str">
        <f>IF(AND(CO4=0,CO85&gt;=0), "",CO85/CO4)</f>
        <v/>
      </c>
      <c r="CQ85" s="42" t="str">
        <f>IF(AND(CO124=0,CO85&gt;=0),"",CO85/CO124)</f>
        <v/>
      </c>
      <c r="CR85" s="28" t="str">
        <f t="shared" si="74"/>
        <v/>
      </c>
      <c r="CS85" s="83">
        <f t="shared" si="110"/>
        <v>10</v>
      </c>
      <c r="CT85" s="28">
        <f>IF(AND(CS4=0,CS85&gt;=0), "",CS85/CS4)</f>
        <v>7.246376811594203E-4</v>
      </c>
      <c r="CU85" s="42">
        <f>IF(AND(CS124=0,CS85&gt;=0),"",CS85/CS124)</f>
        <v>6.7114093959731542E-3</v>
      </c>
      <c r="CV85" s="84">
        <f t="shared" si="111"/>
        <v>0</v>
      </c>
      <c r="CW85" s="28" t="str">
        <f>IF(AND(CV4=0,CV85&gt;=0), "",CV85/CV4)</f>
        <v/>
      </c>
      <c r="CX85" s="42">
        <f t="shared" si="75"/>
        <v>1</v>
      </c>
    </row>
    <row r="86" spans="1:102" hidden="1" outlineLevel="2" x14ac:dyDescent="0.25">
      <c r="A86" s="27" t="s">
        <v>1</v>
      </c>
      <c r="B86" s="82">
        <f>+'N EERR'!B146+'N EERR'!B147+'N EERR'!B148+'N EERR'!B149+'N EERR'!B150+'N EERR'!B151+'N EERR'!B152+'N EERR'!B153</f>
        <v>0</v>
      </c>
      <c r="C86" s="28" t="str">
        <f>IF(AND(B4=0,B86&gt;=0), "",B86/B4)</f>
        <v/>
      </c>
      <c r="D86" s="42" t="str">
        <f>IF(AND(B124=0,B86&gt;=0),"",B86/B124)</f>
        <v/>
      </c>
      <c r="E86" s="82">
        <f>+'N EERR'!C146+'N EERR'!C147+'N EERR'!C148+'N EERR'!C149+'N EERR'!C150+'N EERR'!C151+'N EERR'!C152+'N EERR'!C153</f>
        <v>80</v>
      </c>
      <c r="F86" s="28">
        <f>IF(AND(E4=0,E86&gt;=0), "",E86/E4)</f>
        <v>5.7971014492753624E-3</v>
      </c>
      <c r="G86" s="42">
        <f>IF(AND(E124=0,E86&gt;=0),"",E86/E124)</f>
        <v>5.3691275167785234E-2</v>
      </c>
      <c r="H86" s="82">
        <f>+'N EERR'!D146+'N EERR'!D147+'N EERR'!D148+'N EERR'!D149+'N EERR'!D150+'N EERR'!D151+'N EERR'!D152+'N EERR'!D153</f>
        <v>0</v>
      </c>
      <c r="I86" s="28" t="str">
        <f>IF(AND(H4=0,H86&gt;=0), "",H86/H4)</f>
        <v/>
      </c>
      <c r="J86" s="42" t="str">
        <f>IF(AND(H124=0,H86&gt;=0),"",H86/H124)</f>
        <v/>
      </c>
      <c r="K86" s="28">
        <f t="shared" si="97"/>
        <v>-1</v>
      </c>
      <c r="L86" s="83">
        <f t="shared" si="98"/>
        <v>80</v>
      </c>
      <c r="M86" s="28">
        <f>IF(AND(L4=0,L86&gt;=0), "",L86/L4)</f>
        <v>5.7971014492753624E-3</v>
      </c>
      <c r="N86" s="42">
        <f>IF(AND(L124=0,L86&gt;=0),"",L86/L124)</f>
        <v>5.3691275167785234E-2</v>
      </c>
      <c r="O86" s="82">
        <f>+'N EERR'!E146+'N EERR'!E147+'N EERR'!E148+'N EERR'!E149+'N EERR'!E150+'N EERR'!E151+'N EERR'!E152+'N EERR'!E153</f>
        <v>0</v>
      </c>
      <c r="P86" s="28" t="str">
        <f>IF(AND(O4=0,O86&gt;=0), "",O86/O4)</f>
        <v/>
      </c>
      <c r="Q86" s="42" t="str">
        <f>IF(AND(O124=0,O86&gt;=0),"",O86/O124)</f>
        <v/>
      </c>
      <c r="R86" s="28" t="str">
        <f t="shared" si="99"/>
        <v/>
      </c>
      <c r="S86" s="83">
        <f t="shared" si="100"/>
        <v>80</v>
      </c>
      <c r="T86" s="28">
        <f>IF(AND(S4=0,S86&gt;=0), "",S86/S4)</f>
        <v>5.7971014492753624E-3</v>
      </c>
      <c r="U86" s="42">
        <f>IF(AND(S124=0,S86&gt;=0),"",S86/S124)</f>
        <v>5.3691275167785234E-2</v>
      </c>
      <c r="V86" s="84"/>
      <c r="W86" s="28" t="str">
        <f>IF(AND(V4=0,V86&gt;=0), "",V86/V4)</f>
        <v/>
      </c>
      <c r="X86" s="42">
        <f t="shared" si="89"/>
        <v>1</v>
      </c>
      <c r="Y86" s="82">
        <f>+'N EERR'!F146+'N EERR'!F147+'N EERR'!F148+'N EERR'!F149+'N EERR'!F150+'N EERR'!F151+'N EERR'!F152+'N EERR'!F153</f>
        <v>0</v>
      </c>
      <c r="Z86" s="28" t="str">
        <f>IF(AND(Y4=0,Y86&gt;=0), "",Y86/Y4)</f>
        <v/>
      </c>
      <c r="AA86" s="42" t="str">
        <f>IF(AND(Y124=0,Y86&gt;=0),"",Y86/Y124)</f>
        <v/>
      </c>
      <c r="AB86" s="28" t="str">
        <f t="shared" si="90"/>
        <v/>
      </c>
      <c r="AC86" s="83">
        <f t="shared" si="101"/>
        <v>80</v>
      </c>
      <c r="AD86" s="28">
        <f>IF(AND(AC4=0,AC86&gt;=0), "",AC86/AC4)</f>
        <v>5.7971014492753624E-3</v>
      </c>
      <c r="AE86" s="42">
        <f>IF(AND(AC124=0,AC86&gt;=0),"",AC86/AC124)</f>
        <v>5.3691275167785234E-2</v>
      </c>
      <c r="AF86" s="82">
        <f>+'N EERR'!G146+'N EERR'!G147+'N EERR'!G148+'N EERR'!G149+'N EERR'!G150+'N EERR'!G151+'N EERR'!G152+'N EERR'!G153</f>
        <v>0</v>
      </c>
      <c r="AG86" s="28" t="str">
        <f>IF(AND(AF4=0,AF86&gt;=0), "",AF86/AF4)</f>
        <v/>
      </c>
      <c r="AH86" s="42" t="str">
        <f>IF(AND(AF124=0,AF86&gt;=0),"",AF86/AF124)</f>
        <v/>
      </c>
      <c r="AI86" s="28" t="str">
        <f t="shared" si="68"/>
        <v/>
      </c>
      <c r="AJ86" s="83">
        <f t="shared" si="95"/>
        <v>80</v>
      </c>
      <c r="AK86" s="28">
        <f>IF(AND(AJ4=0,AJ86&gt;=0), "",AJ86/AJ4)</f>
        <v>5.7971014492753624E-3</v>
      </c>
      <c r="AL86" s="42">
        <f>IF(AND(AJ124=0,AJ86&gt;=0),"",AJ86/AJ124)</f>
        <v>5.3691275167785234E-2</v>
      </c>
      <c r="AM86" s="82">
        <f>+'N EERR'!H146+'N EERR'!H147+'N EERR'!H148+'N EERR'!H149+'N EERR'!H150+'N EERR'!H151+'N EERR'!H152+'N EERR'!H153</f>
        <v>0</v>
      </c>
      <c r="AN86" s="28" t="str">
        <f>IF(AND(AM4=0,AM86&gt;=0), "",AM86/AM4)</f>
        <v/>
      </c>
      <c r="AO86" s="42" t="str">
        <f>IF(AND(AM124=0,AM86&gt;=0),"",AM86/AM124)</f>
        <v/>
      </c>
      <c r="AP86" s="28" t="str">
        <f t="shared" si="69"/>
        <v/>
      </c>
      <c r="AQ86" s="83">
        <f t="shared" si="96"/>
        <v>80</v>
      </c>
      <c r="AR86" s="28">
        <f>IF(AND(AQ4=0,AQ86&gt;=0), "",AQ86/AQ4)</f>
        <v>5.7971014492753624E-3</v>
      </c>
      <c r="AS86" s="42">
        <f>IF(AND(AQ124=0,AQ86&gt;=0),"",AQ86/AQ124)</f>
        <v>5.3691275167785234E-2</v>
      </c>
      <c r="AT86" s="84">
        <f t="shared" si="102"/>
        <v>0</v>
      </c>
      <c r="AU86" s="28" t="str">
        <f>IF(AND(AT4=0,AT86&gt;=0), "",AT86/AT4)</f>
        <v/>
      </c>
      <c r="AV86" s="42">
        <f t="shared" si="91"/>
        <v>1</v>
      </c>
      <c r="AW86" s="84">
        <f t="shared" si="67"/>
        <v>13.333333333333334</v>
      </c>
      <c r="AX86" s="28">
        <f>IF(AND(AW4=0,AW86&gt;=0), "",AW86/AW4)</f>
        <v>5.7971014492753615E-3</v>
      </c>
      <c r="AY86" s="42">
        <f>IF(AND(AW124=0,AW86&gt;=0),"",AW86/AW124)</f>
        <v>5.3691275167785234E-2</v>
      </c>
      <c r="AZ86" s="84">
        <f t="shared" si="103"/>
        <v>0</v>
      </c>
      <c r="BA86" s="28" t="str">
        <f>IF(AND(AZ4=0,AZ86&gt;=0), "",AZ86/AZ4)</f>
        <v/>
      </c>
      <c r="BB86" s="42">
        <f t="shared" si="92"/>
        <v>1</v>
      </c>
      <c r="BC86" s="82">
        <f>+'N EERR'!I146+'N EERR'!I147+'N EERR'!I148+'N EERR'!I149+'N EERR'!I150+'N EERR'!I151+'N EERR'!I152+'N EERR'!I153</f>
        <v>0</v>
      </c>
      <c r="BD86" s="28" t="str">
        <f>IF(AND(BC4=0,BC86&gt;=0), "",BC86/BC4)</f>
        <v/>
      </c>
      <c r="BE86" s="42" t="str">
        <f>IF(AND(BC124=0,BC86&gt;=0),"",BC86/BC124)</f>
        <v/>
      </c>
      <c r="BF86" s="28" t="str">
        <f t="shared" si="93"/>
        <v/>
      </c>
      <c r="BG86" s="83">
        <f t="shared" si="104"/>
        <v>80</v>
      </c>
      <c r="BH86" s="28">
        <f>IF(AND(BG4=0,BG86&gt;=0), "",BG86/BG4)</f>
        <v>5.7971014492753624E-3</v>
      </c>
      <c r="BI86" s="42">
        <f>IF(AND(BG124=0,BG86&gt;=0),"",BG86/BG124)</f>
        <v>5.3691275167785234E-2</v>
      </c>
      <c r="BJ86" s="82">
        <f>+'N EERR'!J146+'N EERR'!J147+'N EERR'!J148+'N EERR'!J149+'N EERR'!J150+'N EERR'!J151+'N EERR'!J152+'N EERR'!J153</f>
        <v>0</v>
      </c>
      <c r="BK86" s="28" t="str">
        <f>IF(AND(BJ4=0,BJ86&gt;=0), "",BJ86/BJ4)</f>
        <v/>
      </c>
      <c r="BL86" s="42" t="str">
        <f>IF(AND(BJ124=0,BJ86&gt;=0),"",BJ86/BJ124)</f>
        <v/>
      </c>
      <c r="BM86" s="28" t="str">
        <f t="shared" si="70"/>
        <v/>
      </c>
      <c r="BN86" s="83">
        <f t="shared" si="105"/>
        <v>80</v>
      </c>
      <c r="BO86" s="28">
        <f>IF(AND(BN4=0,BN86&gt;=0), "",BN86/BN4)</f>
        <v>5.7971014492753624E-3</v>
      </c>
      <c r="BP86" s="42">
        <f>IF(AND(BN124=0,BN86&gt;=0),"",BN86/BN124)</f>
        <v>5.3691275167785234E-2</v>
      </c>
      <c r="BQ86" s="82">
        <f>+'N EERR'!K146+'N EERR'!K147+'N EERR'!K148+'N EERR'!K149+'N EERR'!K150+'N EERR'!K151+'N EERR'!K152+'N EERR'!K153</f>
        <v>0</v>
      </c>
      <c r="BR86" s="28" t="str">
        <f>IF(AND(BQ4=0,BQ86&gt;=0), "",BQ86/BQ4)</f>
        <v/>
      </c>
      <c r="BS86" s="42" t="str">
        <f>IF(AND(BQ124=0,BQ86&gt;=0),"",BQ86/BQ124)</f>
        <v/>
      </c>
      <c r="BT86" s="28" t="str">
        <f t="shared" si="71"/>
        <v/>
      </c>
      <c r="BU86" s="83">
        <f t="shared" si="106"/>
        <v>80</v>
      </c>
      <c r="BV86" s="28">
        <f>IF(AND(BU4=0,BU86&gt;=0), "",BU86/BU4)</f>
        <v>5.7971014492753624E-3</v>
      </c>
      <c r="BW86" s="42">
        <f>IF(AND(BU124=0,BU86&gt;=0),"",BU86/BU124)</f>
        <v>5.3691275167785234E-2</v>
      </c>
      <c r="BX86" s="84">
        <f t="shared" si="107"/>
        <v>0</v>
      </c>
      <c r="BY86" s="28" t="str">
        <f>IF(AND(BX4=0,BX86&gt;=0), "",BX86/BX4)</f>
        <v/>
      </c>
      <c r="BZ86" s="42">
        <f t="shared" si="72"/>
        <v>1</v>
      </c>
      <c r="CA86" s="82">
        <f>+'N EERR'!L146+'N EERR'!L147+'N EERR'!L148+'N EERR'!L149+'N EERR'!L150+'N EERR'!L151+'N EERR'!L152+'N EERR'!L153</f>
        <v>0</v>
      </c>
      <c r="CB86" s="28" t="str">
        <f>IF(AND(CA4=0,CA86&gt;=0), "",CA86/CA4)</f>
        <v/>
      </c>
      <c r="CC86" s="42" t="str">
        <f>IF(AND(CA124=0,CA86&gt;=0),"",CA86/CA124)</f>
        <v/>
      </c>
      <c r="CD86" s="28" t="str">
        <f t="shared" si="94"/>
        <v/>
      </c>
      <c r="CE86" s="83">
        <f t="shared" si="108"/>
        <v>80</v>
      </c>
      <c r="CF86" s="28">
        <f>IF(AND(CE4=0,CE86&gt;=0), "",CE86/CE4)</f>
        <v>5.7971014492753624E-3</v>
      </c>
      <c r="CG86" s="42">
        <f>IF(AND(CE124=0,CE86&gt;=0),"",CE86/CE124)</f>
        <v>5.3691275167785234E-2</v>
      </c>
      <c r="CH86" s="82">
        <f>+'N EERR'!M146+'N EERR'!M147+'N EERR'!M148+'N EERR'!M149+'N EERR'!M150+'N EERR'!M151+'N EERR'!M152+'N EERR'!M153</f>
        <v>0</v>
      </c>
      <c r="CI86" s="28" t="str">
        <f>IF(AND(CH4=0,CH86&gt;=0), "",CH86/CH4)</f>
        <v/>
      </c>
      <c r="CJ86" s="42" t="str">
        <f>IF(AND(CH124=0,CH86&gt;=0),"",CH86/CH124)</f>
        <v/>
      </c>
      <c r="CK86" s="28" t="str">
        <f t="shared" si="73"/>
        <v/>
      </c>
      <c r="CL86" s="83">
        <f t="shared" si="109"/>
        <v>80</v>
      </c>
      <c r="CM86" s="28">
        <f>IF(AND(CL4=0,CL86&gt;=0), "",CL86/CL4)</f>
        <v>5.7971014492753624E-3</v>
      </c>
      <c r="CN86" s="42">
        <f>IF(AND(CL124=0,CL86&gt;=0),"",CL86/CL124)</f>
        <v>5.3691275167785234E-2</v>
      </c>
      <c r="CO86" s="82">
        <f>+'N EERR'!N146+'N EERR'!N147+'N EERR'!N148+'N EERR'!N149+'N EERR'!N150+'N EERR'!N151+'N EERR'!N152+'N EERR'!N153</f>
        <v>0</v>
      </c>
      <c r="CP86" s="28" t="str">
        <f>IF(AND(CO4=0,CO86&gt;=0), "",CO86/CO4)</f>
        <v/>
      </c>
      <c r="CQ86" s="42" t="str">
        <f>IF(AND(CO124=0,CO86&gt;=0),"",CO86/CO124)</f>
        <v/>
      </c>
      <c r="CR86" s="28" t="str">
        <f t="shared" si="74"/>
        <v/>
      </c>
      <c r="CS86" s="83">
        <f t="shared" si="110"/>
        <v>80</v>
      </c>
      <c r="CT86" s="28">
        <f>IF(AND(CS4=0,CS86&gt;=0), "",CS86/CS4)</f>
        <v>5.7971014492753624E-3</v>
      </c>
      <c r="CU86" s="42">
        <f>IF(AND(CS124=0,CS86&gt;=0),"",CS86/CS124)</f>
        <v>5.3691275167785234E-2</v>
      </c>
      <c r="CV86" s="84">
        <f t="shared" si="111"/>
        <v>0</v>
      </c>
      <c r="CW86" s="28" t="str">
        <f>IF(AND(CV4=0,CV86&gt;=0), "",CV86/CV4)</f>
        <v/>
      </c>
      <c r="CX86" s="42">
        <f t="shared" si="75"/>
        <v>1</v>
      </c>
    </row>
    <row r="87" spans="1:102" hidden="1" outlineLevel="2" x14ac:dyDescent="0.25">
      <c r="A87" s="27" t="s">
        <v>78</v>
      </c>
      <c r="B87" s="82">
        <f>+'N EERR'!B157+'N EERR'!B158</f>
        <v>0</v>
      </c>
      <c r="C87" s="28" t="str">
        <f>IF(AND(B4=0,B87&gt;=0), "",B87/B4)</f>
        <v/>
      </c>
      <c r="D87" s="42" t="str">
        <f>IF(AND(B124=0,B87&gt;=0),"",B87/B124)</f>
        <v/>
      </c>
      <c r="E87" s="82">
        <f>+'N EERR'!C157+'N EERR'!C158</f>
        <v>20</v>
      </c>
      <c r="F87" s="28">
        <f>IF(AND(E4=0,E87&gt;=0), "",E87/E4)</f>
        <v>1.4492753623188406E-3</v>
      </c>
      <c r="G87" s="42">
        <f>IF(AND(E124=0,E87&gt;=0),"",E87/E124)</f>
        <v>1.3422818791946308E-2</v>
      </c>
      <c r="H87" s="82">
        <f>+'N EERR'!D157+'N EERR'!D158</f>
        <v>0</v>
      </c>
      <c r="I87" s="28" t="str">
        <f>IF(AND(H4=0,H87&gt;=0), "",H87/H4)</f>
        <v/>
      </c>
      <c r="J87" s="42" t="str">
        <f>IF(AND(H124=0,H87&gt;=0),"",H87/H124)</f>
        <v/>
      </c>
      <c r="K87" s="28">
        <f t="shared" si="97"/>
        <v>-1</v>
      </c>
      <c r="L87" s="83">
        <f t="shared" si="98"/>
        <v>20</v>
      </c>
      <c r="M87" s="28">
        <f>IF(AND(L4=0,L87&gt;=0), "",L87/L4)</f>
        <v>1.4492753623188406E-3</v>
      </c>
      <c r="N87" s="42">
        <f>IF(AND(L124=0,L87&gt;=0),"",L87/L124)</f>
        <v>1.3422818791946308E-2</v>
      </c>
      <c r="O87" s="82">
        <f>+'N EERR'!E157+'N EERR'!E158</f>
        <v>0</v>
      </c>
      <c r="P87" s="28" t="str">
        <f>IF(AND(O4=0,O87&gt;=0), "",O87/O4)</f>
        <v/>
      </c>
      <c r="Q87" s="42" t="str">
        <f>IF(AND(O124=0,O87&gt;=0),"",O87/O124)</f>
        <v/>
      </c>
      <c r="R87" s="28" t="str">
        <f t="shared" si="99"/>
        <v/>
      </c>
      <c r="S87" s="83">
        <f t="shared" si="100"/>
        <v>20</v>
      </c>
      <c r="T87" s="28">
        <f>IF(AND(S4=0,S87&gt;=0), "",S87/S4)</f>
        <v>1.4492753623188406E-3</v>
      </c>
      <c r="U87" s="42">
        <f>IF(AND(S124=0,S87&gt;=0),"",S87/S124)</f>
        <v>1.3422818791946308E-2</v>
      </c>
      <c r="V87" s="84"/>
      <c r="W87" s="28" t="str">
        <f>IF(AND(V4=0,V87&gt;=0), "",V87/V4)</f>
        <v/>
      </c>
      <c r="X87" s="42">
        <f t="shared" si="89"/>
        <v>1</v>
      </c>
      <c r="Y87" s="82">
        <f>+'N EERR'!F157+'N EERR'!F158</f>
        <v>0</v>
      </c>
      <c r="Z87" s="28" t="str">
        <f>IF(AND(Y4=0,Y87&gt;=0), "",Y87/Y4)</f>
        <v/>
      </c>
      <c r="AA87" s="42" t="str">
        <f>IF(AND(Y124=0,Y87&gt;=0),"",Y87/Y124)</f>
        <v/>
      </c>
      <c r="AB87" s="28" t="str">
        <f t="shared" si="90"/>
        <v/>
      </c>
      <c r="AC87" s="83">
        <f t="shared" si="101"/>
        <v>20</v>
      </c>
      <c r="AD87" s="28">
        <f>IF(AND(AC4=0,AC87&gt;=0), "",AC87/AC4)</f>
        <v>1.4492753623188406E-3</v>
      </c>
      <c r="AE87" s="42">
        <f>IF(AND(AC124=0,AC87&gt;=0),"",AC87/AC124)</f>
        <v>1.3422818791946308E-2</v>
      </c>
      <c r="AF87" s="82">
        <f>+'N EERR'!G157+'N EERR'!G158</f>
        <v>0</v>
      </c>
      <c r="AG87" s="28" t="str">
        <f>IF(AND(AF4=0,AF87&gt;=0), "",AF87/AF4)</f>
        <v/>
      </c>
      <c r="AH87" s="42" t="str">
        <f>IF(AND(AF124=0,AF87&gt;=0),"",AF87/AF124)</f>
        <v/>
      </c>
      <c r="AI87" s="28" t="str">
        <f t="shared" si="68"/>
        <v/>
      </c>
      <c r="AJ87" s="83">
        <f t="shared" si="95"/>
        <v>20</v>
      </c>
      <c r="AK87" s="28">
        <f>IF(AND(AJ4=0,AJ87&gt;=0), "",AJ87/AJ4)</f>
        <v>1.4492753623188406E-3</v>
      </c>
      <c r="AL87" s="42">
        <f>IF(AND(AJ124=0,AJ87&gt;=0),"",AJ87/AJ124)</f>
        <v>1.3422818791946308E-2</v>
      </c>
      <c r="AM87" s="82">
        <f>+'N EERR'!H157+'N EERR'!H158</f>
        <v>0</v>
      </c>
      <c r="AN87" s="28" t="str">
        <f>IF(AND(AM4=0,AM87&gt;=0), "",AM87/AM4)</f>
        <v/>
      </c>
      <c r="AO87" s="42" t="str">
        <f>IF(AND(AM124=0,AM87&gt;=0),"",AM87/AM124)</f>
        <v/>
      </c>
      <c r="AP87" s="28" t="str">
        <f t="shared" si="69"/>
        <v/>
      </c>
      <c r="AQ87" s="83">
        <f t="shared" si="96"/>
        <v>20</v>
      </c>
      <c r="AR87" s="28">
        <f>IF(AND(AQ4=0,AQ87&gt;=0), "",AQ87/AQ4)</f>
        <v>1.4492753623188406E-3</v>
      </c>
      <c r="AS87" s="42">
        <f>IF(AND(AQ124=0,AQ87&gt;=0),"",AQ87/AQ124)</f>
        <v>1.3422818791946308E-2</v>
      </c>
      <c r="AT87" s="84">
        <f t="shared" si="102"/>
        <v>0</v>
      </c>
      <c r="AU87" s="28" t="str">
        <f>IF(AND(AT4=0,AT87&gt;=0), "",AT87/AT4)</f>
        <v/>
      </c>
      <c r="AV87" s="42">
        <f t="shared" si="91"/>
        <v>1</v>
      </c>
      <c r="AW87" s="84">
        <f t="shared" si="67"/>
        <v>3.3333333333333335</v>
      </c>
      <c r="AX87" s="28">
        <f>IF(AND(AW4=0,AW87&gt;=0), "",AW87/AW4)</f>
        <v>1.4492753623188404E-3</v>
      </c>
      <c r="AY87" s="42">
        <f>IF(AND(AW124=0,AW87&gt;=0),"",AW87/AW124)</f>
        <v>1.3422818791946308E-2</v>
      </c>
      <c r="AZ87" s="84">
        <f t="shared" si="103"/>
        <v>0</v>
      </c>
      <c r="BA87" s="28" t="str">
        <f>IF(AND(AZ4=0,AZ87&gt;=0), "",AZ87/AZ4)</f>
        <v/>
      </c>
      <c r="BB87" s="42">
        <f t="shared" si="92"/>
        <v>1</v>
      </c>
      <c r="BC87" s="82">
        <f>+'N EERR'!I157+'N EERR'!I158</f>
        <v>0</v>
      </c>
      <c r="BD87" s="28" t="str">
        <f>IF(AND(BC4=0,BC87&gt;=0), "",BC87/BC4)</f>
        <v/>
      </c>
      <c r="BE87" s="42" t="str">
        <f>IF(AND(BC124=0,BC87&gt;=0),"",BC87/BC124)</f>
        <v/>
      </c>
      <c r="BF87" s="28" t="str">
        <f t="shared" si="93"/>
        <v/>
      </c>
      <c r="BG87" s="83">
        <f t="shared" si="104"/>
        <v>20</v>
      </c>
      <c r="BH87" s="28">
        <f>IF(AND(BG4=0,BG87&gt;=0), "",BG87/BG4)</f>
        <v>1.4492753623188406E-3</v>
      </c>
      <c r="BI87" s="42">
        <f>IF(AND(BG124=0,BG87&gt;=0),"",BG87/BG124)</f>
        <v>1.3422818791946308E-2</v>
      </c>
      <c r="BJ87" s="82">
        <f>+'N EERR'!J157+'N EERR'!J158</f>
        <v>0</v>
      </c>
      <c r="BK87" s="28" t="str">
        <f>IF(AND(BJ4=0,BJ87&gt;=0), "",BJ87/BJ4)</f>
        <v/>
      </c>
      <c r="BL87" s="42" t="str">
        <f>IF(AND(BJ124=0,BJ87&gt;=0),"",BJ87/BJ124)</f>
        <v/>
      </c>
      <c r="BM87" s="28" t="str">
        <f t="shared" si="70"/>
        <v/>
      </c>
      <c r="BN87" s="83">
        <f t="shared" si="105"/>
        <v>20</v>
      </c>
      <c r="BO87" s="28">
        <f>IF(AND(BN4=0,BN87&gt;=0), "",BN87/BN4)</f>
        <v>1.4492753623188406E-3</v>
      </c>
      <c r="BP87" s="42">
        <f>IF(AND(BN124=0,BN87&gt;=0),"",BN87/BN124)</f>
        <v>1.3422818791946308E-2</v>
      </c>
      <c r="BQ87" s="82">
        <f>+'N EERR'!K157+'N EERR'!K158</f>
        <v>0</v>
      </c>
      <c r="BR87" s="28" t="str">
        <f>IF(AND(BQ4=0,BQ87&gt;=0), "",BQ87/BQ4)</f>
        <v/>
      </c>
      <c r="BS87" s="42" t="str">
        <f>IF(AND(BQ124=0,BQ87&gt;=0),"",BQ87/BQ124)</f>
        <v/>
      </c>
      <c r="BT87" s="28" t="str">
        <f t="shared" si="71"/>
        <v/>
      </c>
      <c r="BU87" s="83">
        <f t="shared" si="106"/>
        <v>20</v>
      </c>
      <c r="BV87" s="28">
        <f>IF(AND(BU4=0,BU87&gt;=0), "",BU87/BU4)</f>
        <v>1.4492753623188406E-3</v>
      </c>
      <c r="BW87" s="42">
        <f>IF(AND(BU124=0,BU87&gt;=0),"",BU87/BU124)</f>
        <v>1.3422818791946308E-2</v>
      </c>
      <c r="BX87" s="84">
        <f t="shared" si="107"/>
        <v>0</v>
      </c>
      <c r="BY87" s="28" t="str">
        <f>IF(AND(BX4=0,BX87&gt;=0), "",BX87/BX4)</f>
        <v/>
      </c>
      <c r="BZ87" s="42">
        <f t="shared" si="72"/>
        <v>1</v>
      </c>
      <c r="CA87" s="82">
        <f>+'N EERR'!L157+'N EERR'!L158</f>
        <v>0</v>
      </c>
      <c r="CB87" s="28" t="str">
        <f>IF(AND(CA4=0,CA87&gt;=0), "",CA87/CA4)</f>
        <v/>
      </c>
      <c r="CC87" s="42" t="str">
        <f>IF(AND(CA124=0,CA87&gt;=0),"",CA87/CA124)</f>
        <v/>
      </c>
      <c r="CD87" s="28" t="str">
        <f t="shared" si="94"/>
        <v/>
      </c>
      <c r="CE87" s="83">
        <f t="shared" si="108"/>
        <v>20</v>
      </c>
      <c r="CF87" s="28">
        <f>IF(AND(CE4=0,CE87&gt;=0), "",CE87/CE4)</f>
        <v>1.4492753623188406E-3</v>
      </c>
      <c r="CG87" s="42">
        <f>IF(AND(CE124=0,CE87&gt;=0),"",CE87/CE124)</f>
        <v>1.3422818791946308E-2</v>
      </c>
      <c r="CH87" s="82">
        <f>+'N EERR'!M157+'N EERR'!M158</f>
        <v>0</v>
      </c>
      <c r="CI87" s="28" t="str">
        <f>IF(AND(CH4=0,CH87&gt;=0), "",CH87/CH4)</f>
        <v/>
      </c>
      <c r="CJ87" s="42" t="str">
        <f>IF(AND(CH124=0,CH87&gt;=0),"",CH87/CH124)</f>
        <v/>
      </c>
      <c r="CK87" s="28" t="str">
        <f t="shared" si="73"/>
        <v/>
      </c>
      <c r="CL87" s="83">
        <f t="shared" si="109"/>
        <v>20</v>
      </c>
      <c r="CM87" s="28">
        <f>IF(AND(CL4=0,CL87&gt;=0), "",CL87/CL4)</f>
        <v>1.4492753623188406E-3</v>
      </c>
      <c r="CN87" s="42">
        <f>IF(AND(CL124=0,CL87&gt;=0),"",CL87/CL124)</f>
        <v>1.3422818791946308E-2</v>
      </c>
      <c r="CO87" s="82">
        <f>+'N EERR'!N157+'N EERR'!N158</f>
        <v>0</v>
      </c>
      <c r="CP87" s="28" t="str">
        <f>IF(AND(CO4=0,CO87&gt;=0), "",CO87/CO4)</f>
        <v/>
      </c>
      <c r="CQ87" s="42" t="str">
        <f>IF(AND(CO124=0,CO87&gt;=0),"",CO87/CO124)</f>
        <v/>
      </c>
      <c r="CR87" s="28" t="str">
        <f t="shared" si="74"/>
        <v/>
      </c>
      <c r="CS87" s="83">
        <f t="shared" si="110"/>
        <v>20</v>
      </c>
      <c r="CT87" s="28">
        <f>IF(AND(CS4=0,CS87&gt;=0), "",CS87/CS4)</f>
        <v>1.4492753623188406E-3</v>
      </c>
      <c r="CU87" s="42">
        <f>IF(AND(CS124=0,CS87&gt;=0),"",CS87/CS124)</f>
        <v>1.3422818791946308E-2</v>
      </c>
      <c r="CV87" s="84">
        <f t="shared" si="111"/>
        <v>0</v>
      </c>
      <c r="CW87" s="28" t="str">
        <f>IF(AND(CV4=0,CV87&gt;=0), "",CV87/CV4)</f>
        <v/>
      </c>
      <c r="CX87" s="42">
        <f t="shared" si="75"/>
        <v>1</v>
      </c>
    </row>
    <row r="88" spans="1:102" hidden="1" outlineLevel="2" x14ac:dyDescent="0.25">
      <c r="A88" s="27" t="s">
        <v>80</v>
      </c>
      <c r="B88" s="82">
        <f>+'N EERR'!B159</f>
        <v>0</v>
      </c>
      <c r="C88" s="28" t="str">
        <f>IF(AND(B4=0,B88&gt;=0), "",B88/B4)</f>
        <v/>
      </c>
      <c r="D88" s="42" t="str">
        <f>IF(AND(B124=0,B88&gt;=0),"",B88/B124)</f>
        <v/>
      </c>
      <c r="E88" s="82">
        <f>+'N EERR'!C159</f>
        <v>10</v>
      </c>
      <c r="F88" s="28">
        <f>IF(AND(E4=0,E88&gt;=0), "",E88/E4)</f>
        <v>7.246376811594203E-4</v>
      </c>
      <c r="G88" s="42">
        <f>IF(AND(E124=0,E88&gt;=0),"",E88/E124)</f>
        <v>6.7114093959731542E-3</v>
      </c>
      <c r="H88" s="82">
        <f>+'N EERR'!D159</f>
        <v>0</v>
      </c>
      <c r="I88" s="28" t="str">
        <f>IF(AND(H4=0,H88&gt;=0), "",H88/H4)</f>
        <v/>
      </c>
      <c r="J88" s="42" t="str">
        <f>IF(AND(H124=0,H88&gt;=0),"",H88/H124)</f>
        <v/>
      </c>
      <c r="K88" s="28">
        <f t="shared" si="97"/>
        <v>-1</v>
      </c>
      <c r="L88" s="83">
        <f t="shared" si="98"/>
        <v>10</v>
      </c>
      <c r="M88" s="28">
        <f>IF(AND(L4=0,L88&gt;=0), "",L88/L4)</f>
        <v>7.246376811594203E-4</v>
      </c>
      <c r="N88" s="42">
        <f>IF(AND(L124=0,L88&gt;=0),"",L88/L124)</f>
        <v>6.7114093959731542E-3</v>
      </c>
      <c r="O88" s="82">
        <f>+'N EERR'!E159</f>
        <v>0</v>
      </c>
      <c r="P88" s="28" t="str">
        <f>IF(AND(O4=0,O88&gt;=0), "",O88/O4)</f>
        <v/>
      </c>
      <c r="Q88" s="42" t="str">
        <f>IF(AND(O124=0,O88&gt;=0),"",O88/O124)</f>
        <v/>
      </c>
      <c r="R88" s="28" t="str">
        <f t="shared" si="99"/>
        <v/>
      </c>
      <c r="S88" s="83">
        <f t="shared" si="100"/>
        <v>10</v>
      </c>
      <c r="T88" s="28">
        <f>IF(AND(S4=0,S88&gt;=0), "",S88/S4)</f>
        <v>7.246376811594203E-4</v>
      </c>
      <c r="U88" s="42">
        <f>IF(AND(S124=0,S88&gt;=0),"",S88/S124)</f>
        <v>6.7114093959731542E-3</v>
      </c>
      <c r="V88" s="84"/>
      <c r="W88" s="28" t="str">
        <f>IF(AND(V4=0,V88&gt;=0), "",V88/V4)</f>
        <v/>
      </c>
      <c r="X88" s="42">
        <f t="shared" si="89"/>
        <v>1</v>
      </c>
      <c r="Y88" s="82">
        <f>+'N EERR'!F159</f>
        <v>0</v>
      </c>
      <c r="Z88" s="28" t="str">
        <f>IF(AND(Y4=0,Y88&gt;=0), "",Y88/Y4)</f>
        <v/>
      </c>
      <c r="AA88" s="42" t="str">
        <f>IF(AND(Y124=0,Y88&gt;=0),"",Y88/Y124)</f>
        <v/>
      </c>
      <c r="AB88" s="28" t="str">
        <f t="shared" si="90"/>
        <v/>
      </c>
      <c r="AC88" s="83">
        <f t="shared" si="101"/>
        <v>10</v>
      </c>
      <c r="AD88" s="28">
        <f>IF(AND(AC4=0,AC88&gt;=0), "",AC88/AC4)</f>
        <v>7.246376811594203E-4</v>
      </c>
      <c r="AE88" s="42">
        <f>IF(AND(AC124=0,AC88&gt;=0),"",AC88/AC124)</f>
        <v>6.7114093959731542E-3</v>
      </c>
      <c r="AF88" s="82">
        <f>+'N EERR'!G159</f>
        <v>0</v>
      </c>
      <c r="AG88" s="28" t="str">
        <f>IF(AND(AF4=0,AF88&gt;=0), "",AF88/AF4)</f>
        <v/>
      </c>
      <c r="AH88" s="42" t="str">
        <f>IF(AND(AF124=0,AF88&gt;=0),"",AF88/AF124)</f>
        <v/>
      </c>
      <c r="AI88" s="28" t="str">
        <f t="shared" si="68"/>
        <v/>
      </c>
      <c r="AJ88" s="83">
        <f t="shared" si="95"/>
        <v>10</v>
      </c>
      <c r="AK88" s="28">
        <f>IF(AND(AJ4=0,AJ88&gt;=0), "",AJ88/AJ4)</f>
        <v>7.246376811594203E-4</v>
      </c>
      <c r="AL88" s="42">
        <f>IF(AND(AJ124=0,AJ88&gt;=0),"",AJ88/AJ124)</f>
        <v>6.7114093959731542E-3</v>
      </c>
      <c r="AM88" s="82">
        <f>+'N EERR'!H159</f>
        <v>0</v>
      </c>
      <c r="AN88" s="28" t="str">
        <f>IF(AND(AM4=0,AM88&gt;=0), "",AM88/AM4)</f>
        <v/>
      </c>
      <c r="AO88" s="42" t="str">
        <f>IF(AND(AM124=0,AM88&gt;=0),"",AM88/AM124)</f>
        <v/>
      </c>
      <c r="AP88" s="28" t="str">
        <f t="shared" si="69"/>
        <v/>
      </c>
      <c r="AQ88" s="83">
        <f t="shared" si="96"/>
        <v>10</v>
      </c>
      <c r="AR88" s="28">
        <f>IF(AND(AQ4=0,AQ88&gt;=0), "",AQ88/AQ4)</f>
        <v>7.246376811594203E-4</v>
      </c>
      <c r="AS88" s="42">
        <f>IF(AND(AQ124=0,AQ88&gt;=0),"",AQ88/AQ124)</f>
        <v>6.7114093959731542E-3</v>
      </c>
      <c r="AT88" s="84">
        <f t="shared" si="102"/>
        <v>0</v>
      </c>
      <c r="AU88" s="28" t="str">
        <f>IF(AND(AT4=0,AT88&gt;=0), "",AT88/AT4)</f>
        <v/>
      </c>
      <c r="AV88" s="42">
        <f t="shared" si="91"/>
        <v>1</v>
      </c>
      <c r="AW88" s="84">
        <f t="shared" si="67"/>
        <v>1.6666666666666667</v>
      </c>
      <c r="AX88" s="28">
        <f>IF(AND(AW4=0,AW88&gt;=0), "",AW88/AW4)</f>
        <v>7.2463768115942019E-4</v>
      </c>
      <c r="AY88" s="42">
        <f>IF(AND(AW124=0,AW88&gt;=0),"",AW88/AW124)</f>
        <v>6.7114093959731542E-3</v>
      </c>
      <c r="AZ88" s="84">
        <f t="shared" si="103"/>
        <v>0</v>
      </c>
      <c r="BA88" s="28" t="str">
        <f>IF(AND(AZ4=0,AZ88&gt;=0), "",AZ88/AZ4)</f>
        <v/>
      </c>
      <c r="BB88" s="42">
        <f t="shared" si="92"/>
        <v>1</v>
      </c>
      <c r="BC88" s="82">
        <f>+'N EERR'!I159</f>
        <v>0</v>
      </c>
      <c r="BD88" s="28" t="str">
        <f>IF(AND(BC4=0,BC88&gt;=0), "",BC88/BC4)</f>
        <v/>
      </c>
      <c r="BE88" s="42" t="str">
        <f>IF(AND(BC124=0,BC88&gt;=0),"",BC88/BC124)</f>
        <v/>
      </c>
      <c r="BF88" s="28" t="str">
        <f t="shared" si="93"/>
        <v/>
      </c>
      <c r="BG88" s="83">
        <f t="shared" si="104"/>
        <v>10</v>
      </c>
      <c r="BH88" s="28">
        <f>IF(AND(BG4=0,BG88&gt;=0), "",BG88/BG4)</f>
        <v>7.246376811594203E-4</v>
      </c>
      <c r="BI88" s="42">
        <f>IF(AND(BG124=0,BG88&gt;=0),"",BG88/BG124)</f>
        <v>6.7114093959731542E-3</v>
      </c>
      <c r="BJ88" s="82">
        <f>+'N EERR'!J159</f>
        <v>0</v>
      </c>
      <c r="BK88" s="28" t="str">
        <f>IF(AND(BJ4=0,BJ88&gt;=0), "",BJ88/BJ4)</f>
        <v/>
      </c>
      <c r="BL88" s="42" t="str">
        <f>IF(AND(BJ124=0,BJ88&gt;=0),"",BJ88/BJ124)</f>
        <v/>
      </c>
      <c r="BM88" s="28" t="str">
        <f t="shared" si="70"/>
        <v/>
      </c>
      <c r="BN88" s="83">
        <f t="shared" si="105"/>
        <v>10</v>
      </c>
      <c r="BO88" s="28">
        <f>IF(AND(BN4=0,BN88&gt;=0), "",BN88/BN4)</f>
        <v>7.246376811594203E-4</v>
      </c>
      <c r="BP88" s="42">
        <f>IF(AND(BN124=0,BN88&gt;=0),"",BN88/BN124)</f>
        <v>6.7114093959731542E-3</v>
      </c>
      <c r="BQ88" s="82">
        <f>+'N EERR'!K159</f>
        <v>0</v>
      </c>
      <c r="BR88" s="28" t="str">
        <f>IF(AND(BQ4=0,BQ88&gt;=0), "",BQ88/BQ4)</f>
        <v/>
      </c>
      <c r="BS88" s="42" t="str">
        <f>IF(AND(BQ124=0,BQ88&gt;=0),"",BQ88/BQ124)</f>
        <v/>
      </c>
      <c r="BT88" s="28" t="str">
        <f t="shared" si="71"/>
        <v/>
      </c>
      <c r="BU88" s="83">
        <f t="shared" si="106"/>
        <v>10</v>
      </c>
      <c r="BV88" s="28">
        <f>IF(AND(BU4=0,BU88&gt;=0), "",BU88/BU4)</f>
        <v>7.246376811594203E-4</v>
      </c>
      <c r="BW88" s="42">
        <f>IF(AND(BU124=0,BU88&gt;=0),"",BU88/BU124)</f>
        <v>6.7114093959731542E-3</v>
      </c>
      <c r="BX88" s="84">
        <f t="shared" si="107"/>
        <v>0</v>
      </c>
      <c r="BY88" s="28" t="str">
        <f>IF(AND(BX4=0,BX88&gt;=0), "",BX88/BX4)</f>
        <v/>
      </c>
      <c r="BZ88" s="42">
        <f t="shared" si="72"/>
        <v>1</v>
      </c>
      <c r="CA88" s="82">
        <f>+'N EERR'!L159</f>
        <v>0</v>
      </c>
      <c r="CB88" s="28" t="str">
        <f>IF(AND(CA4=0,CA88&gt;=0), "",CA88/CA4)</f>
        <v/>
      </c>
      <c r="CC88" s="42" t="str">
        <f>IF(AND(CA124=0,CA88&gt;=0),"",CA88/CA124)</f>
        <v/>
      </c>
      <c r="CD88" s="28" t="str">
        <f t="shared" si="94"/>
        <v/>
      </c>
      <c r="CE88" s="83">
        <f t="shared" si="108"/>
        <v>10</v>
      </c>
      <c r="CF88" s="28">
        <f>IF(AND(CE4=0,CE88&gt;=0), "",CE88/CE4)</f>
        <v>7.246376811594203E-4</v>
      </c>
      <c r="CG88" s="42">
        <f>IF(AND(CE124=0,CE88&gt;=0),"",CE88/CE124)</f>
        <v>6.7114093959731542E-3</v>
      </c>
      <c r="CH88" s="82">
        <f>+'N EERR'!M159</f>
        <v>0</v>
      </c>
      <c r="CI88" s="28" t="str">
        <f>IF(AND(CH4=0,CH88&gt;=0), "",CH88/CH4)</f>
        <v/>
      </c>
      <c r="CJ88" s="42" t="str">
        <f>IF(AND(CH124=0,CH88&gt;=0),"",CH88/CH124)</f>
        <v/>
      </c>
      <c r="CK88" s="28" t="str">
        <f t="shared" si="73"/>
        <v/>
      </c>
      <c r="CL88" s="83">
        <f t="shared" si="109"/>
        <v>10</v>
      </c>
      <c r="CM88" s="28">
        <f>IF(AND(CL4=0,CL88&gt;=0), "",CL88/CL4)</f>
        <v>7.246376811594203E-4</v>
      </c>
      <c r="CN88" s="42">
        <f>IF(AND(CL124=0,CL88&gt;=0),"",CL88/CL124)</f>
        <v>6.7114093959731542E-3</v>
      </c>
      <c r="CO88" s="82">
        <f>+'N EERR'!N159</f>
        <v>0</v>
      </c>
      <c r="CP88" s="28" t="str">
        <f>IF(AND(CO4=0,CO88&gt;=0), "",CO88/CO4)</f>
        <v/>
      </c>
      <c r="CQ88" s="42" t="str">
        <f>IF(AND(CO124=0,CO88&gt;=0),"",CO88/CO124)</f>
        <v/>
      </c>
      <c r="CR88" s="28" t="str">
        <f t="shared" si="74"/>
        <v/>
      </c>
      <c r="CS88" s="83">
        <f t="shared" si="110"/>
        <v>10</v>
      </c>
      <c r="CT88" s="28">
        <f>IF(AND(CS4=0,CS88&gt;=0), "",CS88/CS4)</f>
        <v>7.246376811594203E-4</v>
      </c>
      <c r="CU88" s="42">
        <f>IF(AND(CS124=0,CS88&gt;=0),"",CS88/CS124)</f>
        <v>6.7114093959731542E-3</v>
      </c>
      <c r="CV88" s="84">
        <f t="shared" si="111"/>
        <v>0</v>
      </c>
      <c r="CW88" s="28" t="str">
        <f>IF(AND(CV4=0,CV88&gt;=0), "",CV88/CV4)</f>
        <v/>
      </c>
      <c r="CX88" s="42">
        <f t="shared" si="75"/>
        <v>1</v>
      </c>
    </row>
    <row r="89" spans="1:102" hidden="1" outlineLevel="2" x14ac:dyDescent="0.25">
      <c r="A89" s="27" t="s">
        <v>79</v>
      </c>
      <c r="B89" s="82">
        <f>+'N EERR'!B160</f>
        <v>0</v>
      </c>
      <c r="C89" s="28" t="str">
        <f>IF(AND(B4=0,B89&gt;=0), "",B89/B4)</f>
        <v/>
      </c>
      <c r="D89" s="42" t="str">
        <f>IF(AND(B124=0,B89&gt;=0),"",B89/B124)</f>
        <v/>
      </c>
      <c r="E89" s="82">
        <f>+'N EERR'!C160</f>
        <v>10</v>
      </c>
      <c r="F89" s="28">
        <f>IF(AND(E4=0,E89&gt;=0), "",E89/E4)</f>
        <v>7.246376811594203E-4</v>
      </c>
      <c r="G89" s="42">
        <f>IF(AND(E124=0,E89&gt;=0),"",E89/E124)</f>
        <v>6.7114093959731542E-3</v>
      </c>
      <c r="H89" s="82">
        <f>+'N EERR'!D160</f>
        <v>0</v>
      </c>
      <c r="I89" s="28" t="str">
        <f>IF(AND(H4=0,H89&gt;=0), "",H89/H4)</f>
        <v/>
      </c>
      <c r="J89" s="42" t="str">
        <f>IF(AND(H124=0,H89&gt;=0),"",H89/H124)</f>
        <v/>
      </c>
      <c r="K89" s="28">
        <f t="shared" si="97"/>
        <v>-1</v>
      </c>
      <c r="L89" s="83">
        <f t="shared" si="98"/>
        <v>10</v>
      </c>
      <c r="M89" s="28">
        <f>IF(AND(L4=0,L89&gt;=0), "",L89/L4)</f>
        <v>7.246376811594203E-4</v>
      </c>
      <c r="N89" s="42">
        <f>IF(AND(L124=0,L89&gt;=0),"",L89/L124)</f>
        <v>6.7114093959731542E-3</v>
      </c>
      <c r="O89" s="82">
        <f>+'N EERR'!E160</f>
        <v>0</v>
      </c>
      <c r="P89" s="28" t="str">
        <f>IF(AND(O4=0,O89&gt;=0), "",O89/O4)</f>
        <v/>
      </c>
      <c r="Q89" s="42" t="str">
        <f>IF(AND(O124=0,O89&gt;=0),"",O89/O124)</f>
        <v/>
      </c>
      <c r="R89" s="28" t="str">
        <f t="shared" si="99"/>
        <v/>
      </c>
      <c r="S89" s="83">
        <f t="shared" si="100"/>
        <v>10</v>
      </c>
      <c r="T89" s="28">
        <f>IF(AND(S4=0,S89&gt;=0), "",S89/S4)</f>
        <v>7.246376811594203E-4</v>
      </c>
      <c r="U89" s="42">
        <f>IF(AND(S124=0,S89&gt;=0),"",S89/S124)</f>
        <v>6.7114093959731542E-3</v>
      </c>
      <c r="V89" s="84"/>
      <c r="W89" s="28" t="str">
        <f>IF(AND(V4=0,V89&gt;=0), "",V89/V4)</f>
        <v/>
      </c>
      <c r="X89" s="42">
        <f t="shared" si="89"/>
        <v>1</v>
      </c>
      <c r="Y89" s="82">
        <f>+'N EERR'!F160</f>
        <v>0</v>
      </c>
      <c r="Z89" s="28" t="str">
        <f>IF(AND(Y4=0,Y89&gt;=0), "",Y89/Y4)</f>
        <v/>
      </c>
      <c r="AA89" s="42" t="str">
        <f>IF(AND(Y124=0,Y89&gt;=0),"",Y89/Y124)</f>
        <v/>
      </c>
      <c r="AB89" s="28" t="str">
        <f t="shared" si="90"/>
        <v/>
      </c>
      <c r="AC89" s="83">
        <f t="shared" si="101"/>
        <v>10</v>
      </c>
      <c r="AD89" s="28">
        <f>IF(AND(AC4=0,AC89&gt;=0), "",AC89/AC4)</f>
        <v>7.246376811594203E-4</v>
      </c>
      <c r="AE89" s="42">
        <f>IF(AND(AC124=0,AC89&gt;=0),"",AC89/AC124)</f>
        <v>6.7114093959731542E-3</v>
      </c>
      <c r="AF89" s="82">
        <f>+'N EERR'!G160</f>
        <v>0</v>
      </c>
      <c r="AG89" s="28" t="str">
        <f>IF(AND(AF4=0,AF89&gt;=0), "",AF89/AF4)</f>
        <v/>
      </c>
      <c r="AH89" s="42" t="str">
        <f>IF(AND(AF124=0,AF89&gt;=0),"",AF89/AF124)</f>
        <v/>
      </c>
      <c r="AI89" s="28" t="str">
        <f t="shared" si="68"/>
        <v/>
      </c>
      <c r="AJ89" s="83">
        <f t="shared" si="95"/>
        <v>10</v>
      </c>
      <c r="AK89" s="28">
        <f>IF(AND(AJ4=0,AJ89&gt;=0), "",AJ89/AJ4)</f>
        <v>7.246376811594203E-4</v>
      </c>
      <c r="AL89" s="42">
        <f>IF(AND(AJ124=0,AJ89&gt;=0),"",AJ89/AJ124)</f>
        <v>6.7114093959731542E-3</v>
      </c>
      <c r="AM89" s="82">
        <f>+'N EERR'!H160</f>
        <v>0</v>
      </c>
      <c r="AN89" s="28" t="str">
        <f>IF(AND(AM4=0,AM89&gt;=0), "",AM89/AM4)</f>
        <v/>
      </c>
      <c r="AO89" s="42" t="str">
        <f>IF(AND(AM124=0,AM89&gt;=0),"",AM89/AM124)</f>
        <v/>
      </c>
      <c r="AP89" s="28" t="str">
        <f t="shared" si="69"/>
        <v/>
      </c>
      <c r="AQ89" s="83">
        <f t="shared" si="96"/>
        <v>10</v>
      </c>
      <c r="AR89" s="28">
        <f>IF(AND(AQ4=0,AQ89&gt;=0), "",AQ89/AQ4)</f>
        <v>7.246376811594203E-4</v>
      </c>
      <c r="AS89" s="42">
        <f>IF(AND(AQ124=0,AQ89&gt;=0),"",AQ89/AQ124)</f>
        <v>6.7114093959731542E-3</v>
      </c>
      <c r="AT89" s="84">
        <f t="shared" si="102"/>
        <v>0</v>
      </c>
      <c r="AU89" s="28" t="str">
        <f>IF(AND(AT4=0,AT89&gt;=0), "",AT89/AT4)</f>
        <v/>
      </c>
      <c r="AV89" s="42">
        <f t="shared" si="91"/>
        <v>1</v>
      </c>
      <c r="AW89" s="84">
        <f t="shared" si="67"/>
        <v>1.6666666666666667</v>
      </c>
      <c r="AX89" s="28">
        <f>IF(AND(AW4=0,AW89&gt;=0), "",AW89/AW4)</f>
        <v>7.2463768115942019E-4</v>
      </c>
      <c r="AY89" s="42">
        <f>IF(AND(AW124=0,AW89&gt;=0),"",AW89/AW124)</f>
        <v>6.7114093959731542E-3</v>
      </c>
      <c r="AZ89" s="84">
        <f t="shared" si="103"/>
        <v>0</v>
      </c>
      <c r="BA89" s="28" t="str">
        <f>IF(AND(AZ4=0,AZ89&gt;=0), "",AZ89/AZ4)</f>
        <v/>
      </c>
      <c r="BB89" s="42">
        <f t="shared" si="92"/>
        <v>1</v>
      </c>
      <c r="BC89" s="82">
        <f>+'N EERR'!I160</f>
        <v>0</v>
      </c>
      <c r="BD89" s="28" t="str">
        <f>IF(AND(BC4=0,BC89&gt;=0), "",BC89/BC4)</f>
        <v/>
      </c>
      <c r="BE89" s="42" t="str">
        <f>IF(AND(BC124=0,BC89&gt;=0),"",BC89/BC124)</f>
        <v/>
      </c>
      <c r="BF89" s="28" t="str">
        <f t="shared" si="93"/>
        <v/>
      </c>
      <c r="BG89" s="83">
        <f t="shared" si="104"/>
        <v>10</v>
      </c>
      <c r="BH89" s="28">
        <f>IF(AND(BG4=0,BG89&gt;=0), "",BG89/BG4)</f>
        <v>7.246376811594203E-4</v>
      </c>
      <c r="BI89" s="42">
        <f>IF(AND(BG124=0,BG89&gt;=0),"",BG89/BG124)</f>
        <v>6.7114093959731542E-3</v>
      </c>
      <c r="BJ89" s="82">
        <f>+'N EERR'!J160</f>
        <v>0</v>
      </c>
      <c r="BK89" s="28" t="str">
        <f>IF(AND(BJ4=0,BJ89&gt;=0), "",BJ89/BJ4)</f>
        <v/>
      </c>
      <c r="BL89" s="42" t="str">
        <f>IF(AND(BJ124=0,BJ89&gt;=0),"",BJ89/BJ124)</f>
        <v/>
      </c>
      <c r="BM89" s="28" t="str">
        <f t="shared" si="70"/>
        <v/>
      </c>
      <c r="BN89" s="83">
        <f t="shared" si="105"/>
        <v>10</v>
      </c>
      <c r="BO89" s="28">
        <f>IF(AND(BN4=0,BN89&gt;=0), "",BN89/BN4)</f>
        <v>7.246376811594203E-4</v>
      </c>
      <c r="BP89" s="42">
        <f>IF(AND(BN124=0,BN89&gt;=0),"",BN89/BN124)</f>
        <v>6.7114093959731542E-3</v>
      </c>
      <c r="BQ89" s="82">
        <f>+'N EERR'!K160</f>
        <v>0</v>
      </c>
      <c r="BR89" s="28" t="str">
        <f>IF(AND(BQ4=0,BQ89&gt;=0), "",BQ89/BQ4)</f>
        <v/>
      </c>
      <c r="BS89" s="42" t="str">
        <f>IF(AND(BQ124=0,BQ89&gt;=0),"",BQ89/BQ124)</f>
        <v/>
      </c>
      <c r="BT89" s="28" t="str">
        <f t="shared" si="71"/>
        <v/>
      </c>
      <c r="BU89" s="83">
        <f t="shared" si="106"/>
        <v>10</v>
      </c>
      <c r="BV89" s="28">
        <f>IF(AND(BU4=0,BU89&gt;=0), "",BU89/BU4)</f>
        <v>7.246376811594203E-4</v>
      </c>
      <c r="BW89" s="42">
        <f>IF(AND(BU124=0,BU89&gt;=0),"",BU89/BU124)</f>
        <v>6.7114093959731542E-3</v>
      </c>
      <c r="BX89" s="84">
        <f t="shared" si="107"/>
        <v>0</v>
      </c>
      <c r="BY89" s="28" t="str">
        <f>IF(AND(BX4=0,BX89&gt;=0), "",BX89/BX4)</f>
        <v/>
      </c>
      <c r="BZ89" s="42">
        <f t="shared" si="72"/>
        <v>1</v>
      </c>
      <c r="CA89" s="82">
        <f>+'N EERR'!L160</f>
        <v>0</v>
      </c>
      <c r="CB89" s="28" t="str">
        <f>IF(AND(CA4=0,CA89&gt;=0), "",CA89/CA4)</f>
        <v/>
      </c>
      <c r="CC89" s="42" t="str">
        <f>IF(AND(CA124=0,CA89&gt;=0),"",CA89/CA124)</f>
        <v/>
      </c>
      <c r="CD89" s="28" t="str">
        <f t="shared" si="94"/>
        <v/>
      </c>
      <c r="CE89" s="83">
        <f t="shared" si="108"/>
        <v>10</v>
      </c>
      <c r="CF89" s="28">
        <f>IF(AND(CE4=0,CE89&gt;=0), "",CE89/CE4)</f>
        <v>7.246376811594203E-4</v>
      </c>
      <c r="CG89" s="42">
        <f>IF(AND(CE124=0,CE89&gt;=0),"",CE89/CE124)</f>
        <v>6.7114093959731542E-3</v>
      </c>
      <c r="CH89" s="82">
        <f>+'N EERR'!M160</f>
        <v>0</v>
      </c>
      <c r="CI89" s="28" t="str">
        <f>IF(AND(CH4=0,CH89&gt;=0), "",CH89/CH4)</f>
        <v/>
      </c>
      <c r="CJ89" s="42" t="str">
        <f>IF(AND(CH124=0,CH89&gt;=0),"",CH89/CH124)</f>
        <v/>
      </c>
      <c r="CK89" s="28" t="str">
        <f t="shared" si="73"/>
        <v/>
      </c>
      <c r="CL89" s="83">
        <f t="shared" si="109"/>
        <v>10</v>
      </c>
      <c r="CM89" s="28">
        <f>IF(AND(CL4=0,CL89&gt;=0), "",CL89/CL4)</f>
        <v>7.246376811594203E-4</v>
      </c>
      <c r="CN89" s="42">
        <f>IF(AND(CL124=0,CL89&gt;=0),"",CL89/CL124)</f>
        <v>6.7114093959731542E-3</v>
      </c>
      <c r="CO89" s="82">
        <f>+'N EERR'!N160</f>
        <v>0</v>
      </c>
      <c r="CP89" s="28" t="str">
        <f>IF(AND(CO4=0,CO89&gt;=0), "",CO89/CO4)</f>
        <v/>
      </c>
      <c r="CQ89" s="42" t="str">
        <f>IF(AND(CO124=0,CO89&gt;=0),"",CO89/CO124)</f>
        <v/>
      </c>
      <c r="CR89" s="28" t="str">
        <f t="shared" si="74"/>
        <v/>
      </c>
      <c r="CS89" s="83">
        <f t="shared" si="110"/>
        <v>10</v>
      </c>
      <c r="CT89" s="28">
        <f>IF(AND(CS4=0,CS89&gt;=0), "",CS89/CS4)</f>
        <v>7.246376811594203E-4</v>
      </c>
      <c r="CU89" s="42">
        <f>IF(AND(CS124=0,CS89&gt;=0),"",CS89/CS124)</f>
        <v>6.7114093959731542E-3</v>
      </c>
      <c r="CV89" s="84">
        <f t="shared" si="111"/>
        <v>0</v>
      </c>
      <c r="CW89" s="28" t="str">
        <f>IF(AND(CV4=0,CV89&gt;=0), "",CV89/CV4)</f>
        <v/>
      </c>
      <c r="CX89" s="42">
        <f t="shared" si="75"/>
        <v>1</v>
      </c>
    </row>
    <row r="90" spans="1:102" hidden="1" outlineLevel="2" x14ac:dyDescent="0.25">
      <c r="A90" s="27" t="s">
        <v>81</v>
      </c>
      <c r="B90" s="82">
        <f>+'N EERR'!B161</f>
        <v>0</v>
      </c>
      <c r="C90" s="28" t="str">
        <f>IF(AND(B4=0,B90&gt;=0), "",B90/B4)</f>
        <v/>
      </c>
      <c r="D90" s="42" t="str">
        <f>IF(AND(B124=0,B90&gt;=0),"",B90/B124)</f>
        <v/>
      </c>
      <c r="E90" s="82">
        <f>+'N EERR'!C161</f>
        <v>10</v>
      </c>
      <c r="F90" s="28">
        <f>IF(AND(E4=0,E90&gt;=0), "",E90/E4)</f>
        <v>7.246376811594203E-4</v>
      </c>
      <c r="G90" s="42">
        <f>IF(AND(E124=0,E90&gt;=0),"",E90/E124)</f>
        <v>6.7114093959731542E-3</v>
      </c>
      <c r="H90" s="82">
        <f>+'N EERR'!D161</f>
        <v>0</v>
      </c>
      <c r="I90" s="28" t="str">
        <f>IF(AND(H4=0,H90&gt;=0), "",H90/H4)</f>
        <v/>
      </c>
      <c r="J90" s="42" t="str">
        <f>IF(AND(H124=0,H90&gt;=0),"",H90/H124)</f>
        <v/>
      </c>
      <c r="K90" s="28">
        <f t="shared" si="97"/>
        <v>-1</v>
      </c>
      <c r="L90" s="83">
        <f t="shared" si="98"/>
        <v>10</v>
      </c>
      <c r="M90" s="28">
        <f>IF(AND(L4=0,L90&gt;=0), "",L90/L4)</f>
        <v>7.246376811594203E-4</v>
      </c>
      <c r="N90" s="42">
        <f>IF(AND(L124=0,L90&gt;=0),"",L90/L124)</f>
        <v>6.7114093959731542E-3</v>
      </c>
      <c r="O90" s="82">
        <f>+'N EERR'!E161</f>
        <v>0</v>
      </c>
      <c r="P90" s="28" t="str">
        <f>IF(AND(O4=0,O90&gt;=0), "",O90/O4)</f>
        <v/>
      </c>
      <c r="Q90" s="42" t="str">
        <f>IF(AND(O124=0,O90&gt;=0),"",O90/O124)</f>
        <v/>
      </c>
      <c r="R90" s="28" t="str">
        <f t="shared" si="99"/>
        <v/>
      </c>
      <c r="S90" s="83">
        <f t="shared" si="100"/>
        <v>10</v>
      </c>
      <c r="T90" s="28">
        <f>IF(AND(S4=0,S90&gt;=0), "",S90/S4)</f>
        <v>7.246376811594203E-4</v>
      </c>
      <c r="U90" s="42">
        <f>IF(AND(S124=0,S90&gt;=0),"",S90/S124)</f>
        <v>6.7114093959731542E-3</v>
      </c>
      <c r="V90" s="84"/>
      <c r="W90" s="28" t="str">
        <f>IF(AND(V4=0,V90&gt;=0), "",V90/V4)</f>
        <v/>
      </c>
      <c r="X90" s="42">
        <f t="shared" si="89"/>
        <v>1</v>
      </c>
      <c r="Y90" s="82">
        <f>+'N EERR'!F161</f>
        <v>0</v>
      </c>
      <c r="Z90" s="28" t="str">
        <f>IF(AND(Y4=0,Y90&gt;=0), "",Y90/Y4)</f>
        <v/>
      </c>
      <c r="AA90" s="42" t="str">
        <f>IF(AND(Y124=0,Y90&gt;=0),"",Y90/Y124)</f>
        <v/>
      </c>
      <c r="AB90" s="28" t="str">
        <f t="shared" si="90"/>
        <v/>
      </c>
      <c r="AC90" s="83">
        <f>+S90+Y90</f>
        <v>10</v>
      </c>
      <c r="AD90" s="28">
        <f>IF(AND(AC4=0,AC90&gt;=0), "",AC90/AC4)</f>
        <v>7.246376811594203E-4</v>
      </c>
      <c r="AE90" s="42">
        <f>IF(AND(AC124=0,AC90&gt;=0),"",AC90/AC124)</f>
        <v>6.7114093959731542E-3</v>
      </c>
      <c r="AF90" s="82">
        <f>+'N EERR'!G161</f>
        <v>0</v>
      </c>
      <c r="AG90" s="28" t="str">
        <f>IF(AND(AF4=0,AF90&gt;=0), "",AF90/AF4)</f>
        <v/>
      </c>
      <c r="AH90" s="42" t="str">
        <f>IF(AND(AF124=0,AF90&gt;=0),"",AF90/AF124)</f>
        <v/>
      </c>
      <c r="AI90" s="28" t="str">
        <f t="shared" si="68"/>
        <v/>
      </c>
      <c r="AJ90" s="83">
        <f t="shared" si="95"/>
        <v>10</v>
      </c>
      <c r="AK90" s="28">
        <f>IF(AND(AJ4=0,AJ90&gt;=0), "",AJ90/AJ4)</f>
        <v>7.246376811594203E-4</v>
      </c>
      <c r="AL90" s="42">
        <f>IF(AND(AJ124=0,AJ90&gt;=0),"",AJ90/AJ124)</f>
        <v>6.7114093959731542E-3</v>
      </c>
      <c r="AM90" s="82">
        <f>+'N EERR'!H161</f>
        <v>0</v>
      </c>
      <c r="AN90" s="28" t="str">
        <f>IF(AND(AM4=0,AM90&gt;=0), "",AM90/AM4)</f>
        <v/>
      </c>
      <c r="AO90" s="42" t="str">
        <f>IF(AND(AM124=0,AM90&gt;=0),"",AM90/AM124)</f>
        <v/>
      </c>
      <c r="AP90" s="28" t="str">
        <f t="shared" si="69"/>
        <v/>
      </c>
      <c r="AQ90" s="83">
        <f t="shared" si="96"/>
        <v>10</v>
      </c>
      <c r="AR90" s="28">
        <f>IF(AND(AQ4=0,AQ90&gt;=0), "",AQ90/AQ4)</f>
        <v>7.246376811594203E-4</v>
      </c>
      <c r="AS90" s="42">
        <f>IF(AND(AQ124=0,AQ90&gt;=0),"",AQ90/AQ124)</f>
        <v>6.7114093959731542E-3</v>
      </c>
      <c r="AT90" s="84">
        <f t="shared" si="102"/>
        <v>0</v>
      </c>
      <c r="AU90" s="28" t="str">
        <f>IF(AND(AT4=0,AT90&gt;=0), "",AT90/AT4)</f>
        <v/>
      </c>
      <c r="AV90" s="42">
        <f t="shared" si="91"/>
        <v>1</v>
      </c>
      <c r="AW90" s="84">
        <f t="shared" si="67"/>
        <v>1.6666666666666667</v>
      </c>
      <c r="AX90" s="28">
        <f>IF(AND(AW4=0,AW90&gt;=0), "",AW90/AW4)</f>
        <v>7.2463768115942019E-4</v>
      </c>
      <c r="AY90" s="42">
        <f>IF(AND(AW124=0,AW90&gt;=0),"",AW90/AW124)</f>
        <v>6.7114093959731542E-3</v>
      </c>
      <c r="AZ90" s="84">
        <f t="shared" si="103"/>
        <v>0</v>
      </c>
      <c r="BA90" s="28" t="str">
        <f>IF(AND(AZ4=0,AZ90&gt;=0), "",AZ90/AZ4)</f>
        <v/>
      </c>
      <c r="BB90" s="42">
        <f t="shared" si="92"/>
        <v>1</v>
      </c>
      <c r="BC90" s="82">
        <f>+'N EERR'!I161</f>
        <v>0</v>
      </c>
      <c r="BD90" s="28" t="str">
        <f>IF(AND(BC4=0,BC90&gt;=0), "",BC90/BC4)</f>
        <v/>
      </c>
      <c r="BE90" s="42" t="str">
        <f>IF(AND(BC124=0,BC90&gt;=0),"",BC90/BC124)</f>
        <v/>
      </c>
      <c r="BF90" s="28" t="str">
        <f t="shared" si="93"/>
        <v/>
      </c>
      <c r="BG90" s="83">
        <f t="shared" si="104"/>
        <v>10</v>
      </c>
      <c r="BH90" s="28">
        <f>IF(AND(BG4=0,BG90&gt;=0), "",BG90/BG4)</f>
        <v>7.246376811594203E-4</v>
      </c>
      <c r="BI90" s="42">
        <f>IF(AND(BG124=0,BG90&gt;=0),"",BG90/BG124)</f>
        <v>6.7114093959731542E-3</v>
      </c>
      <c r="BJ90" s="82">
        <f>+'N EERR'!J161</f>
        <v>0</v>
      </c>
      <c r="BK90" s="28" t="str">
        <f>IF(AND(BJ4=0,BJ90&gt;=0), "",BJ90/BJ4)</f>
        <v/>
      </c>
      <c r="BL90" s="42" t="str">
        <f>IF(AND(BJ124=0,BJ90&gt;=0),"",BJ90/BJ124)</f>
        <v/>
      </c>
      <c r="BM90" s="28" t="str">
        <f t="shared" si="70"/>
        <v/>
      </c>
      <c r="BN90" s="83">
        <f t="shared" si="105"/>
        <v>10</v>
      </c>
      <c r="BO90" s="28">
        <f>IF(AND(BN4=0,BN90&gt;=0), "",BN90/BN4)</f>
        <v>7.246376811594203E-4</v>
      </c>
      <c r="BP90" s="42">
        <f>IF(AND(BN124=0,BN90&gt;=0),"",BN90/BN124)</f>
        <v>6.7114093959731542E-3</v>
      </c>
      <c r="BQ90" s="82">
        <f>+'N EERR'!K161</f>
        <v>0</v>
      </c>
      <c r="BR90" s="28" t="str">
        <f>IF(AND(BQ4=0,BQ90&gt;=0), "",BQ90/BQ4)</f>
        <v/>
      </c>
      <c r="BS90" s="42" t="str">
        <f>IF(AND(BQ124=0,BQ90&gt;=0),"",BQ90/BQ124)</f>
        <v/>
      </c>
      <c r="BT90" s="28" t="str">
        <f t="shared" si="71"/>
        <v/>
      </c>
      <c r="BU90" s="83">
        <f t="shared" si="106"/>
        <v>10</v>
      </c>
      <c r="BV90" s="28">
        <f>IF(AND(BU4=0,BU90&gt;=0), "",BU90/BU4)</f>
        <v>7.246376811594203E-4</v>
      </c>
      <c r="BW90" s="42">
        <f>IF(AND(BU124=0,BU90&gt;=0),"",BU90/BU124)</f>
        <v>6.7114093959731542E-3</v>
      </c>
      <c r="BX90" s="84">
        <f t="shared" si="107"/>
        <v>0</v>
      </c>
      <c r="BY90" s="28" t="str">
        <f>IF(AND(BX4=0,BX90&gt;=0), "",BX90/BX4)</f>
        <v/>
      </c>
      <c r="BZ90" s="42">
        <f t="shared" si="72"/>
        <v>1</v>
      </c>
      <c r="CA90" s="82">
        <f>+'N EERR'!L161</f>
        <v>0</v>
      </c>
      <c r="CB90" s="28" t="str">
        <f>IF(AND(CA4=0,CA90&gt;=0), "",CA90/CA4)</f>
        <v/>
      </c>
      <c r="CC90" s="42" t="str">
        <f>IF(AND(CA124=0,CA90&gt;=0),"",CA90/CA124)</f>
        <v/>
      </c>
      <c r="CD90" s="28" t="str">
        <f t="shared" si="94"/>
        <v/>
      </c>
      <c r="CE90" s="83">
        <f t="shared" si="108"/>
        <v>10</v>
      </c>
      <c r="CF90" s="28">
        <f>IF(AND(CE4=0,CE90&gt;=0), "",CE90/CE4)</f>
        <v>7.246376811594203E-4</v>
      </c>
      <c r="CG90" s="42">
        <f>IF(AND(CE124=0,CE90&gt;=0),"",CE90/CE124)</f>
        <v>6.7114093959731542E-3</v>
      </c>
      <c r="CH90" s="82">
        <f>+'N EERR'!M161</f>
        <v>0</v>
      </c>
      <c r="CI90" s="28" t="str">
        <f>IF(AND(CH4=0,CH90&gt;=0), "",CH90/CH4)</f>
        <v/>
      </c>
      <c r="CJ90" s="42" t="str">
        <f>IF(AND(CH124=0,CH90&gt;=0),"",CH90/CH124)</f>
        <v/>
      </c>
      <c r="CK90" s="28" t="str">
        <f t="shared" si="73"/>
        <v/>
      </c>
      <c r="CL90" s="83">
        <f t="shared" si="109"/>
        <v>10</v>
      </c>
      <c r="CM90" s="28">
        <f>IF(AND(CL4=0,CL90&gt;=0), "",CL90/CL4)</f>
        <v>7.246376811594203E-4</v>
      </c>
      <c r="CN90" s="42">
        <f>IF(AND(CL124=0,CL90&gt;=0),"",CL90/CL124)</f>
        <v>6.7114093959731542E-3</v>
      </c>
      <c r="CO90" s="82">
        <f>+'N EERR'!N161</f>
        <v>0</v>
      </c>
      <c r="CP90" s="28" t="str">
        <f>IF(AND(CO4=0,CO90&gt;=0), "",CO90/CO4)</f>
        <v/>
      </c>
      <c r="CQ90" s="42" t="str">
        <f>IF(AND(CO124=0,CO90&gt;=0),"",CO90/CO124)</f>
        <v/>
      </c>
      <c r="CR90" s="28" t="str">
        <f t="shared" si="74"/>
        <v/>
      </c>
      <c r="CS90" s="83">
        <f t="shared" si="110"/>
        <v>10</v>
      </c>
      <c r="CT90" s="28">
        <f>IF(AND(CS4=0,CS90&gt;=0), "",CS90/CS4)</f>
        <v>7.246376811594203E-4</v>
      </c>
      <c r="CU90" s="42">
        <f>IF(AND(CS124=0,CS90&gt;=0),"",CS90/CS124)</f>
        <v>6.7114093959731542E-3</v>
      </c>
      <c r="CV90" s="84">
        <f t="shared" si="111"/>
        <v>0</v>
      </c>
      <c r="CW90" s="28" t="str">
        <f>IF(AND(CV4=0,CV90&gt;=0), "",CV90/CV4)</f>
        <v/>
      </c>
      <c r="CX90" s="42">
        <f t="shared" si="75"/>
        <v>1</v>
      </c>
    </row>
    <row r="91" spans="1:102" hidden="1" outlineLevel="2" x14ac:dyDescent="0.25">
      <c r="A91" s="27" t="s">
        <v>348</v>
      </c>
      <c r="B91" s="82">
        <f>+'N EERR'!B162+'N EERR'!B163+'N EERR'!B164+'N EERR'!B165+'N EERR'!B166+'N EERR'!B167+'N EERR'!B168+'N EERR'!B169</f>
        <v>0</v>
      </c>
      <c r="C91" s="28" t="str">
        <f>IF(AND(B4=0,B91&gt;=0), "",B91/B4)</f>
        <v/>
      </c>
      <c r="D91" s="42" t="str">
        <f>IF(AND(B124=0,B91&gt;=0),"",B91/B124)</f>
        <v/>
      </c>
      <c r="E91" s="82">
        <f>+'N EERR'!C162+'N EERR'!C163+'N EERR'!C164+'N EERR'!C165+'N EERR'!C166+'N EERR'!C167+'N EERR'!C168+'N EERR'!C169</f>
        <v>80</v>
      </c>
      <c r="F91" s="28">
        <f>IF(AND(E4=0,E91&gt;=0), "",E91/E4)</f>
        <v>5.7971014492753624E-3</v>
      </c>
      <c r="G91" s="42">
        <f>IF(AND(E124=0,E91&gt;=0),"",E91/E124)</f>
        <v>5.3691275167785234E-2</v>
      </c>
      <c r="H91" s="82">
        <f>+'N EERR'!D162+'N EERR'!D163+'N EERR'!D164+'N EERR'!D165+'N EERR'!D166+'N EERR'!D167+'N EERR'!D168+'N EERR'!D169</f>
        <v>0</v>
      </c>
      <c r="I91" s="28" t="str">
        <f>IF(AND(H4=0,H91&gt;=0), "",H91/H4)</f>
        <v/>
      </c>
      <c r="J91" s="42" t="str">
        <f>IF(AND(H124=0,H91&gt;=0),"",H91/H124)</f>
        <v/>
      </c>
      <c r="K91" s="28">
        <f t="shared" si="97"/>
        <v>-1</v>
      </c>
      <c r="L91" s="83">
        <f t="shared" si="98"/>
        <v>80</v>
      </c>
      <c r="M91" s="28">
        <f>IF(AND(L4=0,L91&gt;=0), "",L91/L4)</f>
        <v>5.7971014492753624E-3</v>
      </c>
      <c r="N91" s="42">
        <f>IF(AND(L124=0,L91&gt;=0),"",L91/L124)</f>
        <v>5.3691275167785234E-2</v>
      </c>
      <c r="O91" s="82">
        <f>+'N EERR'!E162+'N EERR'!E163+'N EERR'!E164+'N EERR'!E165+'N EERR'!E166+'N EERR'!E167+'N EERR'!E168+'N EERR'!E169</f>
        <v>0</v>
      </c>
      <c r="P91" s="28" t="str">
        <f>IF(AND(O4=0,O91&gt;=0), "",O91/O4)</f>
        <v/>
      </c>
      <c r="Q91" s="42" t="str">
        <f>IF(AND(O124=0,O91&gt;=0),"",O91/O124)</f>
        <v/>
      </c>
      <c r="R91" s="28" t="str">
        <f t="shared" si="99"/>
        <v/>
      </c>
      <c r="S91" s="83">
        <f t="shared" si="100"/>
        <v>80</v>
      </c>
      <c r="T91" s="28">
        <f>IF(AND(S4=0,S91&gt;=0), "",S91/S4)</f>
        <v>5.7971014492753624E-3</v>
      </c>
      <c r="U91" s="42">
        <f>IF(AND(S124=0,S91&gt;=0),"",S91/S124)</f>
        <v>5.3691275167785234E-2</v>
      </c>
      <c r="V91" s="84"/>
      <c r="W91" s="28" t="str">
        <f>IF(AND(V4=0,V91&gt;=0), "",V91/V4)</f>
        <v/>
      </c>
      <c r="X91" s="42">
        <f t="shared" si="89"/>
        <v>1</v>
      </c>
      <c r="Y91" s="82">
        <f>+'N EERR'!F162+'N EERR'!F163+'N EERR'!F164+'N EERR'!F165+'N EERR'!F166+'N EERR'!F167+'N EERR'!F168+'N EERR'!F169</f>
        <v>0</v>
      </c>
      <c r="Z91" s="28" t="str">
        <f>IF(AND(Y4=0,Y91&gt;=0), "",Y91/Y4)</f>
        <v/>
      </c>
      <c r="AA91" s="42" t="str">
        <f>IF(AND(Y124=0,Y91&gt;=0),"",Y91/Y124)</f>
        <v/>
      </c>
      <c r="AB91" s="28" t="str">
        <f t="shared" si="90"/>
        <v/>
      </c>
      <c r="AC91" s="83">
        <f>+S91+Y91</f>
        <v>80</v>
      </c>
      <c r="AD91" s="28">
        <f>IF(AND(AC4=0,AC91&gt;=0), "",AC91/AC4)</f>
        <v>5.7971014492753624E-3</v>
      </c>
      <c r="AE91" s="42">
        <f>IF(AND(AC124=0,AC91&gt;=0),"",AC91/AC124)</f>
        <v>5.3691275167785234E-2</v>
      </c>
      <c r="AF91" s="82">
        <f>+'N EERR'!G162+'N EERR'!G163+'N EERR'!G164+'N EERR'!G165+'N EERR'!G166+'N EERR'!G167+'N EERR'!G168+'N EERR'!G169</f>
        <v>0</v>
      </c>
      <c r="AG91" s="28" t="str">
        <f>IF(AND(AF4=0,AF91&gt;=0), "",AF91/AF4)</f>
        <v/>
      </c>
      <c r="AH91" s="42" t="str">
        <f>IF(AND(AF124=0,AF91&gt;=0),"",AF91/AF124)</f>
        <v/>
      </c>
      <c r="AI91" s="28" t="str">
        <f t="shared" si="68"/>
        <v/>
      </c>
      <c r="AJ91" s="83">
        <f t="shared" si="95"/>
        <v>80</v>
      </c>
      <c r="AK91" s="28">
        <f>IF(AND(AJ4=0,AJ91&gt;=0), "",AJ91/AJ4)</f>
        <v>5.7971014492753624E-3</v>
      </c>
      <c r="AL91" s="42">
        <f>IF(AND(AJ124=0,AJ91&gt;=0),"",AJ91/AJ124)</f>
        <v>5.3691275167785234E-2</v>
      </c>
      <c r="AM91" s="82">
        <f>+'N EERR'!H162+'N EERR'!H163+'N EERR'!H164+'N EERR'!H165+'N EERR'!H166+'N EERR'!H167+'N EERR'!H168+'N EERR'!H169</f>
        <v>0</v>
      </c>
      <c r="AN91" s="28" t="str">
        <f>IF(AND(AM4=0,AM91&gt;=0), "",AM91/AM4)</f>
        <v/>
      </c>
      <c r="AO91" s="42" t="str">
        <f>IF(AND(AM124=0,AM91&gt;=0),"",AM91/AM124)</f>
        <v/>
      </c>
      <c r="AP91" s="28" t="str">
        <f t="shared" si="69"/>
        <v/>
      </c>
      <c r="AQ91" s="83">
        <f t="shared" si="96"/>
        <v>80</v>
      </c>
      <c r="AR91" s="28">
        <f>IF(AND(AQ4=0,AQ91&gt;=0), "",AQ91/AQ4)</f>
        <v>5.7971014492753624E-3</v>
      </c>
      <c r="AS91" s="42">
        <f>IF(AND(AQ124=0,AQ91&gt;=0),"",AQ91/AQ124)</f>
        <v>5.3691275167785234E-2</v>
      </c>
      <c r="AT91" s="84">
        <f t="shared" si="102"/>
        <v>0</v>
      </c>
      <c r="AU91" s="28" t="str">
        <f>IF(AND(AT4=0,AT91&gt;=0), "",AT91/AT4)</f>
        <v/>
      </c>
      <c r="AV91" s="42">
        <f t="shared" si="91"/>
        <v>1</v>
      </c>
      <c r="AW91" s="84">
        <f t="shared" si="67"/>
        <v>13.333333333333334</v>
      </c>
      <c r="AX91" s="28">
        <f>IF(AND(AW4=0,AW91&gt;=0), "",AW91/AW4)</f>
        <v>5.7971014492753615E-3</v>
      </c>
      <c r="AY91" s="42">
        <f>IF(AND(AW124=0,AW91&gt;=0),"",AW91/AW124)</f>
        <v>5.3691275167785234E-2</v>
      </c>
      <c r="AZ91" s="84">
        <f t="shared" si="103"/>
        <v>0</v>
      </c>
      <c r="BA91" s="28" t="str">
        <f>IF(AND(AZ4=0,AZ91&gt;=0), "",AZ91/AZ4)</f>
        <v/>
      </c>
      <c r="BB91" s="42">
        <f t="shared" si="92"/>
        <v>1</v>
      </c>
      <c r="BC91" s="82">
        <f>+'N EERR'!I162+'N EERR'!I163+'N EERR'!I164+'N EERR'!I165+'N EERR'!I166+'N EERR'!I167+'N EERR'!I168+'N EERR'!I169</f>
        <v>0</v>
      </c>
      <c r="BD91" s="28" t="str">
        <f>IF(AND(BC4=0,BC91&gt;=0), "",BC91/BC4)</f>
        <v/>
      </c>
      <c r="BE91" s="42" t="str">
        <f>IF(AND(BC124=0,BC91&gt;=0),"",BC91/BC124)</f>
        <v/>
      </c>
      <c r="BF91" s="28" t="str">
        <f t="shared" si="93"/>
        <v/>
      </c>
      <c r="BG91" s="83">
        <f t="shared" si="104"/>
        <v>80</v>
      </c>
      <c r="BH91" s="28">
        <f>IF(AND(BG4=0,BG91&gt;=0), "",BG91/BG4)</f>
        <v>5.7971014492753624E-3</v>
      </c>
      <c r="BI91" s="42">
        <f>IF(AND(BG124=0,BG91&gt;=0),"",BG91/BG124)</f>
        <v>5.3691275167785234E-2</v>
      </c>
      <c r="BJ91" s="82">
        <f>+'N EERR'!J162+'N EERR'!J163+'N EERR'!J164+'N EERR'!J165+'N EERR'!J166+'N EERR'!J167+'N EERR'!J168+'N EERR'!J169</f>
        <v>0</v>
      </c>
      <c r="BK91" s="28" t="str">
        <f>IF(AND(BJ4=0,BJ91&gt;=0), "",BJ91/BJ4)</f>
        <v/>
      </c>
      <c r="BL91" s="42" t="str">
        <f>IF(AND(BJ124=0,BJ91&gt;=0),"",BJ91/BJ124)</f>
        <v/>
      </c>
      <c r="BM91" s="28" t="str">
        <f t="shared" si="70"/>
        <v/>
      </c>
      <c r="BN91" s="83">
        <f t="shared" si="105"/>
        <v>80</v>
      </c>
      <c r="BO91" s="28">
        <f>IF(AND(BN4=0,BN91&gt;=0), "",BN91/BN4)</f>
        <v>5.7971014492753624E-3</v>
      </c>
      <c r="BP91" s="42">
        <f>IF(AND(BN124=0,BN91&gt;=0),"",BN91/BN124)</f>
        <v>5.3691275167785234E-2</v>
      </c>
      <c r="BQ91" s="82">
        <f>+'N EERR'!K162+'N EERR'!K163+'N EERR'!K164+'N EERR'!K165+'N EERR'!K166+'N EERR'!K167+'N EERR'!K168+'N EERR'!K169</f>
        <v>0</v>
      </c>
      <c r="BR91" s="28" t="str">
        <f>IF(AND(BQ4=0,BQ91&gt;=0), "",BQ91/BQ4)</f>
        <v/>
      </c>
      <c r="BS91" s="42" t="str">
        <f>IF(AND(BQ124=0,BQ91&gt;=0),"",BQ91/BQ124)</f>
        <v/>
      </c>
      <c r="BT91" s="28" t="str">
        <f t="shared" si="71"/>
        <v/>
      </c>
      <c r="BU91" s="83">
        <f t="shared" si="106"/>
        <v>80</v>
      </c>
      <c r="BV91" s="28">
        <f>IF(AND(BU4=0,BU91&gt;=0), "",BU91/BU4)</f>
        <v>5.7971014492753624E-3</v>
      </c>
      <c r="BW91" s="42">
        <f>IF(AND(BU124=0,BU91&gt;=0),"",BU91/BU124)</f>
        <v>5.3691275167785234E-2</v>
      </c>
      <c r="BX91" s="84">
        <f t="shared" si="107"/>
        <v>0</v>
      </c>
      <c r="BY91" s="28" t="str">
        <f>IF(AND(BX4=0,BX91&gt;=0), "",BX91/BX4)</f>
        <v/>
      </c>
      <c r="BZ91" s="42">
        <f t="shared" si="72"/>
        <v>1</v>
      </c>
      <c r="CA91" s="82">
        <f>+'N EERR'!L162+'N EERR'!L163+'N EERR'!L164+'N EERR'!L165+'N EERR'!L166+'N EERR'!L167+'N EERR'!L168+'N EERR'!L169</f>
        <v>0</v>
      </c>
      <c r="CB91" s="28" t="str">
        <f>IF(AND(CA4=0,CA91&gt;=0), "",CA91/CA4)</f>
        <v/>
      </c>
      <c r="CC91" s="42" t="str">
        <f>IF(AND(CA124=0,CA91&gt;=0),"",CA91/CA124)</f>
        <v/>
      </c>
      <c r="CD91" s="28" t="str">
        <f t="shared" si="94"/>
        <v/>
      </c>
      <c r="CE91" s="83">
        <f t="shared" si="108"/>
        <v>80</v>
      </c>
      <c r="CF91" s="28">
        <f>IF(AND(CE4=0,CE91&gt;=0), "",CE91/CE4)</f>
        <v>5.7971014492753624E-3</v>
      </c>
      <c r="CG91" s="42">
        <f>IF(AND(CE124=0,CE91&gt;=0),"",CE91/CE124)</f>
        <v>5.3691275167785234E-2</v>
      </c>
      <c r="CH91" s="82">
        <f>+'N EERR'!M162+'N EERR'!M163+'N EERR'!M164+'N EERR'!M165+'N EERR'!M166+'N EERR'!M167+'N EERR'!M168+'N EERR'!M169</f>
        <v>0</v>
      </c>
      <c r="CI91" s="28" t="str">
        <f>IF(AND(CH4=0,CH91&gt;=0), "",CH91/CH4)</f>
        <v/>
      </c>
      <c r="CJ91" s="42" t="str">
        <f>IF(AND(CH124=0,CH91&gt;=0),"",CH91/CH124)</f>
        <v/>
      </c>
      <c r="CK91" s="28" t="str">
        <f t="shared" si="73"/>
        <v/>
      </c>
      <c r="CL91" s="83">
        <f t="shared" si="109"/>
        <v>80</v>
      </c>
      <c r="CM91" s="28">
        <f>IF(AND(CL4=0,CL91&gt;=0), "",CL91/CL4)</f>
        <v>5.7971014492753624E-3</v>
      </c>
      <c r="CN91" s="42">
        <f>IF(AND(CL124=0,CL91&gt;=0),"",CL91/CL124)</f>
        <v>5.3691275167785234E-2</v>
      </c>
      <c r="CO91" s="82">
        <f>+'N EERR'!N162+'N EERR'!N163+'N EERR'!N164+'N EERR'!N165+'N EERR'!N166+'N EERR'!N167+'N EERR'!N168+'N EERR'!N169</f>
        <v>0</v>
      </c>
      <c r="CP91" s="28" t="str">
        <f>IF(AND(CO4=0,CO91&gt;=0), "",CO91/CO4)</f>
        <v/>
      </c>
      <c r="CQ91" s="42" t="str">
        <f>IF(AND(CO124=0,CO91&gt;=0),"",CO91/CO124)</f>
        <v/>
      </c>
      <c r="CR91" s="28" t="str">
        <f t="shared" si="74"/>
        <v/>
      </c>
      <c r="CS91" s="83">
        <f t="shared" si="110"/>
        <v>80</v>
      </c>
      <c r="CT91" s="28">
        <f>IF(AND(CS4=0,CS91&gt;=0), "",CS91/CS4)</f>
        <v>5.7971014492753624E-3</v>
      </c>
      <c r="CU91" s="42">
        <f>IF(AND(CS124=0,CS91&gt;=0),"",CS91/CS124)</f>
        <v>5.3691275167785234E-2</v>
      </c>
      <c r="CV91" s="84">
        <f t="shared" si="111"/>
        <v>0</v>
      </c>
      <c r="CW91" s="28" t="str">
        <f>IF(AND(CV4=0,CV91&gt;=0), "",CV91/CV4)</f>
        <v/>
      </c>
      <c r="CX91" s="42">
        <f t="shared" si="75"/>
        <v>1</v>
      </c>
    </row>
    <row r="92" spans="1:102" hidden="1" outlineLevel="2" x14ac:dyDescent="0.25">
      <c r="A92" s="27"/>
      <c r="B92" s="82"/>
      <c r="C92" s="15"/>
      <c r="D92" s="41"/>
      <c r="E92" s="82"/>
      <c r="F92" s="15"/>
      <c r="G92" s="41"/>
      <c r="H92" s="82"/>
      <c r="I92" s="15"/>
      <c r="J92" s="41"/>
      <c r="K92" s="29" t="str">
        <f t="shared" si="97"/>
        <v/>
      </c>
      <c r="M92" s="15"/>
      <c r="N92" s="41"/>
      <c r="O92" s="82"/>
      <c r="P92" s="15"/>
      <c r="Q92" s="41"/>
      <c r="R92" s="29" t="str">
        <f t="shared" si="99"/>
        <v/>
      </c>
      <c r="T92" s="15"/>
      <c r="U92" s="41"/>
      <c r="V92" s="84"/>
      <c r="W92" s="15"/>
      <c r="X92" s="52" t="str">
        <f t="shared" si="89"/>
        <v/>
      </c>
      <c r="Y92" s="82"/>
      <c r="Z92" s="15"/>
      <c r="AA92" s="41"/>
      <c r="AB92" s="29" t="str">
        <f t="shared" si="90"/>
        <v/>
      </c>
      <c r="AD92" s="15"/>
      <c r="AE92" s="41"/>
      <c r="AF92" s="82"/>
      <c r="AG92" s="15"/>
      <c r="AH92" s="41"/>
      <c r="AI92" s="29" t="str">
        <f t="shared" si="68"/>
        <v/>
      </c>
      <c r="AJ92" s="83">
        <f t="shared" si="95"/>
        <v>0</v>
      </c>
      <c r="AK92" s="15"/>
      <c r="AL92" s="41"/>
      <c r="AM92" s="82"/>
      <c r="AN92" s="15"/>
      <c r="AO92" s="41"/>
      <c r="AP92" s="29" t="str">
        <f t="shared" si="69"/>
        <v/>
      </c>
      <c r="AQ92" s="83">
        <f t="shared" si="96"/>
        <v>0</v>
      </c>
      <c r="AR92" s="15"/>
      <c r="AS92" s="41"/>
      <c r="AT92" s="84">
        <f t="shared" si="102"/>
        <v>0</v>
      </c>
      <c r="AU92" s="15"/>
      <c r="AV92" s="52" t="str">
        <f t="shared" si="91"/>
        <v/>
      </c>
      <c r="AW92" s="84">
        <f t="shared" si="67"/>
        <v>0</v>
      </c>
      <c r="AX92" s="15"/>
      <c r="AY92" s="41"/>
      <c r="AZ92" s="84">
        <f t="shared" si="103"/>
        <v>0</v>
      </c>
      <c r="BA92" s="15"/>
      <c r="BB92" s="52" t="str">
        <f t="shared" si="92"/>
        <v/>
      </c>
      <c r="BC92" s="82"/>
      <c r="BD92" s="15"/>
      <c r="BE92" s="41"/>
      <c r="BF92" s="29" t="str">
        <f t="shared" si="93"/>
        <v/>
      </c>
      <c r="BG92" s="83">
        <f t="shared" si="104"/>
        <v>0</v>
      </c>
      <c r="BH92" s="15"/>
      <c r="BI92" s="41"/>
      <c r="BJ92" s="82"/>
      <c r="BK92" s="15"/>
      <c r="BL92" s="41"/>
      <c r="BM92" s="29" t="str">
        <f t="shared" si="70"/>
        <v/>
      </c>
      <c r="BN92" s="83">
        <f t="shared" si="105"/>
        <v>0</v>
      </c>
      <c r="BO92" s="15"/>
      <c r="BP92" s="41"/>
      <c r="BQ92" s="82"/>
      <c r="BR92" s="15"/>
      <c r="BS92" s="41"/>
      <c r="BT92" s="29" t="str">
        <f t="shared" si="71"/>
        <v/>
      </c>
      <c r="BU92" s="83">
        <f t="shared" si="106"/>
        <v>0</v>
      </c>
      <c r="BV92" s="15"/>
      <c r="BW92" s="41"/>
      <c r="BX92" s="84">
        <f t="shared" si="107"/>
        <v>0</v>
      </c>
      <c r="BY92" s="15"/>
      <c r="BZ92" s="52" t="str">
        <f t="shared" si="72"/>
        <v/>
      </c>
      <c r="CA92" s="82"/>
      <c r="CB92" s="15"/>
      <c r="CC92" s="41"/>
      <c r="CD92" s="29" t="str">
        <f t="shared" si="94"/>
        <v/>
      </c>
      <c r="CE92" s="83">
        <f t="shared" si="108"/>
        <v>0</v>
      </c>
      <c r="CF92" s="15"/>
      <c r="CG92" s="41"/>
      <c r="CH92" s="82"/>
      <c r="CI92" s="15"/>
      <c r="CJ92" s="41"/>
      <c r="CK92" s="29" t="str">
        <f t="shared" si="73"/>
        <v/>
      </c>
      <c r="CL92" s="83">
        <f t="shared" si="109"/>
        <v>0</v>
      </c>
      <c r="CM92" s="15"/>
      <c r="CN92" s="41"/>
      <c r="CO92" s="82"/>
      <c r="CP92" s="15"/>
      <c r="CQ92" s="41"/>
      <c r="CR92" s="29" t="str">
        <f t="shared" si="74"/>
        <v/>
      </c>
      <c r="CS92" s="83">
        <f t="shared" si="110"/>
        <v>0</v>
      </c>
      <c r="CT92" s="15"/>
      <c r="CU92" s="41"/>
      <c r="CV92" s="84">
        <f t="shared" si="111"/>
        <v>0</v>
      </c>
      <c r="CW92" s="15"/>
      <c r="CX92" s="52" t="str">
        <f t="shared" si="75"/>
        <v/>
      </c>
    </row>
    <row r="93" spans="1:102" s="6" customFormat="1" collapsed="1" x14ac:dyDescent="0.25">
      <c r="A93" s="34" t="s">
        <v>82</v>
      </c>
      <c r="B93" s="79">
        <f>SUM(B94:B103)</f>
        <v>0</v>
      </c>
      <c r="C93" s="35" t="str">
        <f>IF(AND(B4=0,B93&gt;=0), "",B93/B4)</f>
        <v/>
      </c>
      <c r="D93" s="38" t="str">
        <f>IF(AND(B124=0,B93&gt;=0),"",B93/B124)</f>
        <v/>
      </c>
      <c r="E93" s="79">
        <f>SUM(E94:E103)</f>
        <v>130</v>
      </c>
      <c r="F93" s="35">
        <f>IF(AND(E4=0,E93&gt;=0), "",E93/E4)</f>
        <v>9.4202898550724643E-3</v>
      </c>
      <c r="G93" s="38">
        <f>IF(AND(E124=0,E93&gt;=0),"",E93/E124)</f>
        <v>8.7248322147651006E-2</v>
      </c>
      <c r="H93" s="79">
        <f>SUM(H94:H103)</f>
        <v>0</v>
      </c>
      <c r="I93" s="35" t="str">
        <f>IF(AND(H4=0,H93&gt;=0), "",H93/H4)</f>
        <v/>
      </c>
      <c r="J93" s="38" t="str">
        <f>IF(AND(H124=0,H93&gt;=0),"",H93/H124)</f>
        <v/>
      </c>
      <c r="K93" s="35">
        <f t="shared" si="97"/>
        <v>-1</v>
      </c>
      <c r="L93" s="80">
        <f>SUM(L94:L103)</f>
        <v>130</v>
      </c>
      <c r="M93" s="35">
        <f>IF(AND(L4=0,L93&gt;=0), "",L93/L4)</f>
        <v>9.4202898550724643E-3</v>
      </c>
      <c r="N93" s="38">
        <f>IF(AND(L124=0,L93&gt;=0),"",L93/L124)</f>
        <v>8.7248322147651006E-2</v>
      </c>
      <c r="O93" s="79">
        <f>SUM(O94:O103)</f>
        <v>0</v>
      </c>
      <c r="P93" s="35" t="str">
        <f>IF(AND(O4=0,O93&gt;=0), "",O93/O4)</f>
        <v/>
      </c>
      <c r="Q93" s="38" t="str">
        <f>IF(AND(O124=0,O93&gt;=0),"",O93/O124)</f>
        <v/>
      </c>
      <c r="R93" s="35" t="str">
        <f t="shared" si="99"/>
        <v/>
      </c>
      <c r="S93" s="80">
        <f>SUM(S94:S103)</f>
        <v>130</v>
      </c>
      <c r="T93" s="35">
        <f>IF(AND(S4=0,S93&gt;=0), "",S93/S4)</f>
        <v>9.4202898550724643E-3</v>
      </c>
      <c r="U93" s="38">
        <f>IF(AND(S124=0,S93&gt;=0),"",S93/S124)</f>
        <v>8.7248322147651006E-2</v>
      </c>
      <c r="V93" s="81">
        <f>SUM(V94:V103)</f>
        <v>0</v>
      </c>
      <c r="W93" s="35" t="str">
        <f>IF(AND(V4=0,V93&gt;=0), "",V93/V4)</f>
        <v/>
      </c>
      <c r="X93" s="51">
        <f t="shared" si="89"/>
        <v>1</v>
      </c>
      <c r="Y93" s="79">
        <f>SUM(Y94:Y103)</f>
        <v>0</v>
      </c>
      <c r="Z93" s="35" t="str">
        <f>IF(AND(Y4=0,Y93&gt;=0), "",Y93/Y4)</f>
        <v/>
      </c>
      <c r="AA93" s="38" t="str">
        <f>IF(AND(Y124=0,Y93&gt;=0),"",Y93/Y124)</f>
        <v/>
      </c>
      <c r="AB93" s="35" t="str">
        <f t="shared" si="90"/>
        <v/>
      </c>
      <c r="AC93" s="80">
        <f>SUM(AC94:AC103)</f>
        <v>130</v>
      </c>
      <c r="AD93" s="35">
        <f>IF(AND(AC4=0,AC93&gt;=0), "",AC93/AC4)</f>
        <v>9.4202898550724643E-3</v>
      </c>
      <c r="AE93" s="38">
        <f>IF(AND(AC124=0,AC93&gt;=0),"",AC93/AC124)</f>
        <v>8.7248322147651006E-2</v>
      </c>
      <c r="AF93" s="79">
        <f>SUM(AF94:AF103)</f>
        <v>0</v>
      </c>
      <c r="AG93" s="35" t="str">
        <f>IF(AND(AF4=0,AF93&gt;=0), "",AF93/AF4)</f>
        <v/>
      </c>
      <c r="AH93" s="38" t="str">
        <f>IF(AND(AF124=0,AF93&gt;=0),"",AF93/AF124)</f>
        <v/>
      </c>
      <c r="AI93" s="35" t="str">
        <f t="shared" si="68"/>
        <v/>
      </c>
      <c r="AJ93" s="80">
        <f>SUM(AJ94:AJ103)</f>
        <v>130</v>
      </c>
      <c r="AK93" s="35">
        <f>IF(AND(AJ4=0,AJ93&gt;=0), "",AJ93/AJ4)</f>
        <v>9.4202898550724643E-3</v>
      </c>
      <c r="AL93" s="38">
        <f>IF(AND(AJ124=0,AJ93&gt;=0),"",AJ93/AJ124)</f>
        <v>8.7248322147651006E-2</v>
      </c>
      <c r="AM93" s="79">
        <f>SUM(AM94:AM103)</f>
        <v>0</v>
      </c>
      <c r="AN93" s="35" t="str">
        <f>IF(AND(AM4=0,AM93&gt;=0), "",AM93/AM4)</f>
        <v/>
      </c>
      <c r="AO93" s="38" t="str">
        <f>IF(AND(AM124=0,AM93&gt;=0),"",AM93/AM124)</f>
        <v/>
      </c>
      <c r="AP93" s="35" t="str">
        <f t="shared" si="69"/>
        <v/>
      </c>
      <c r="AQ93" s="80">
        <f>SUM(AQ94:AQ103)</f>
        <v>130</v>
      </c>
      <c r="AR93" s="35">
        <f>IF(AND(AQ4=0,AQ93&gt;=0), "",AQ93/AQ4)</f>
        <v>9.4202898550724643E-3</v>
      </c>
      <c r="AS93" s="38">
        <f>IF(AND(AQ124=0,AQ93&gt;=0),"",AQ93/AQ124)</f>
        <v>8.7248322147651006E-2</v>
      </c>
      <c r="AT93" s="81">
        <f>SUM(AT94:AT103)</f>
        <v>0</v>
      </c>
      <c r="AU93" s="35" t="str">
        <f>IF(AND(AT4=0,AT93&gt;=0), "",AT93/AT4)</f>
        <v/>
      </c>
      <c r="AV93" s="51">
        <f t="shared" si="91"/>
        <v>1</v>
      </c>
      <c r="AW93" s="81">
        <f>SUM(AW94:AW103)</f>
        <v>21.666666666666671</v>
      </c>
      <c r="AX93" s="35">
        <f>IF(AND(AW4=0,AW93&gt;=0), "",AW93/AW4)</f>
        <v>9.4202898550724643E-3</v>
      </c>
      <c r="AY93" s="38">
        <f>IF(AND(AW124=0,AW93&gt;=0),"",AW93/AW124)</f>
        <v>8.724832214765102E-2</v>
      </c>
      <c r="AZ93" s="81">
        <f>SUM(AZ94:AZ103)</f>
        <v>0</v>
      </c>
      <c r="BA93" s="35" t="str">
        <f>IF(AND(AZ4=0,AZ93&gt;=0), "",AZ93/AZ4)</f>
        <v/>
      </c>
      <c r="BB93" s="51">
        <f t="shared" si="92"/>
        <v>1</v>
      </c>
      <c r="BC93" s="79">
        <f>SUM(BC94:BC103)</f>
        <v>0</v>
      </c>
      <c r="BD93" s="35" t="str">
        <f>IF(AND(BC4=0,BC93&gt;=0), "",BC93/BC4)</f>
        <v/>
      </c>
      <c r="BE93" s="38" t="str">
        <f>IF(AND(BC124=0,BC93&gt;=0),"",BC93/BC124)</f>
        <v/>
      </c>
      <c r="BF93" s="35" t="str">
        <f t="shared" si="93"/>
        <v/>
      </c>
      <c r="BG93" s="80">
        <f>SUM(BG94:BG103)</f>
        <v>130</v>
      </c>
      <c r="BH93" s="35">
        <f>IF(AND(BG4=0,BG93&gt;=0), "",BG93/BG4)</f>
        <v>9.4202898550724643E-3</v>
      </c>
      <c r="BI93" s="38">
        <f>IF(AND(BG124=0,BG93&gt;=0),"",BG93/BG124)</f>
        <v>8.7248322147651006E-2</v>
      </c>
      <c r="BJ93" s="79">
        <f>SUM(BJ94:BJ103)</f>
        <v>0</v>
      </c>
      <c r="BK93" s="35" t="str">
        <f>IF(AND(BJ4=0,BJ93&gt;=0), "",BJ93/BJ4)</f>
        <v/>
      </c>
      <c r="BL93" s="38" t="str">
        <f>IF(AND(BJ124=0,BJ93&gt;=0),"",BJ93/BJ124)</f>
        <v/>
      </c>
      <c r="BM93" s="35" t="str">
        <f t="shared" si="70"/>
        <v/>
      </c>
      <c r="BN93" s="80">
        <f>SUM(BN94:BN103)</f>
        <v>130</v>
      </c>
      <c r="BO93" s="35">
        <f>IF(AND(BN4=0,BN93&gt;=0), "",BN93/BN4)</f>
        <v>9.4202898550724643E-3</v>
      </c>
      <c r="BP93" s="38">
        <f>IF(AND(BN124=0,BN93&gt;=0),"",BN93/BN124)</f>
        <v>8.7248322147651006E-2</v>
      </c>
      <c r="BQ93" s="79">
        <f>SUM(BQ94:BQ103)</f>
        <v>0</v>
      </c>
      <c r="BR93" s="35" t="str">
        <f>IF(AND(BQ4=0,BQ93&gt;=0), "",BQ93/BQ4)</f>
        <v/>
      </c>
      <c r="BS93" s="38" t="str">
        <f>IF(AND(BQ124=0,BQ93&gt;=0),"",BQ93/BQ124)</f>
        <v/>
      </c>
      <c r="BT93" s="35" t="str">
        <f t="shared" si="71"/>
        <v/>
      </c>
      <c r="BU93" s="80">
        <f>SUM(BU94:BU103)</f>
        <v>130</v>
      </c>
      <c r="BV93" s="35">
        <f>IF(AND(BU4=0,BU93&gt;=0), "",BU93/BU4)</f>
        <v>9.4202898550724643E-3</v>
      </c>
      <c r="BW93" s="38">
        <f>IF(AND(BU124=0,BU93&gt;=0),"",BU93/BU124)</f>
        <v>8.7248322147651006E-2</v>
      </c>
      <c r="BX93" s="81">
        <f>SUM(BX94:BX103)</f>
        <v>0</v>
      </c>
      <c r="BY93" s="35" t="str">
        <f>IF(AND(BX4=0,BX93&gt;=0), "",BX93/BX4)</f>
        <v/>
      </c>
      <c r="BZ93" s="51">
        <f t="shared" si="72"/>
        <v>1</v>
      </c>
      <c r="CA93" s="79">
        <f>SUM(CA94:CA103)</f>
        <v>0</v>
      </c>
      <c r="CB93" s="35" t="str">
        <f>IF(AND(CA4=0,CA93&gt;=0), "",CA93/CA4)</f>
        <v/>
      </c>
      <c r="CC93" s="38" t="str">
        <f>IF(AND(CA124=0,CA93&gt;=0),"",CA93/CA124)</f>
        <v/>
      </c>
      <c r="CD93" s="35" t="str">
        <f t="shared" si="94"/>
        <v/>
      </c>
      <c r="CE93" s="80">
        <f>SUM(CE94:CE103)</f>
        <v>130</v>
      </c>
      <c r="CF93" s="35">
        <f>IF(AND(CE4=0,CE93&gt;=0), "",CE93/CE4)</f>
        <v>9.4202898550724643E-3</v>
      </c>
      <c r="CG93" s="38">
        <f>IF(AND(CE124=0,CE93&gt;=0),"",CE93/CE124)</f>
        <v>8.7248322147651006E-2</v>
      </c>
      <c r="CH93" s="79">
        <f>SUM(CH94:CH103)</f>
        <v>0</v>
      </c>
      <c r="CI93" s="35" t="str">
        <f>IF(AND(CH4=0,CH93&gt;=0), "",CH93/CH4)</f>
        <v/>
      </c>
      <c r="CJ93" s="38" t="str">
        <f>IF(AND(CH124=0,CH93&gt;=0),"",CH93/CH124)</f>
        <v/>
      </c>
      <c r="CK93" s="35" t="str">
        <f t="shared" si="73"/>
        <v/>
      </c>
      <c r="CL93" s="80">
        <f>SUM(CL94:CL103)</f>
        <v>130</v>
      </c>
      <c r="CM93" s="35">
        <f>IF(AND(CL4=0,CL93&gt;=0), "",CL93/CL4)</f>
        <v>9.4202898550724643E-3</v>
      </c>
      <c r="CN93" s="38">
        <f>IF(AND(CL124=0,CL93&gt;=0),"",CL93/CL124)</f>
        <v>8.7248322147651006E-2</v>
      </c>
      <c r="CO93" s="79">
        <f>SUM(CO94:CO103)</f>
        <v>0</v>
      </c>
      <c r="CP93" s="35" t="str">
        <f>IF(AND(CO4=0,CO93&gt;=0), "",CO93/CO4)</f>
        <v/>
      </c>
      <c r="CQ93" s="38" t="str">
        <f>IF(AND(CO124=0,CO93&gt;=0),"",CO93/CO124)</f>
        <v/>
      </c>
      <c r="CR93" s="35" t="str">
        <f t="shared" si="74"/>
        <v/>
      </c>
      <c r="CS93" s="80">
        <f>SUM(CS94:CS103)</f>
        <v>130</v>
      </c>
      <c r="CT93" s="35">
        <f>IF(AND(CS4=0,CS93&gt;=0), "",CS93/CS4)</f>
        <v>9.4202898550724643E-3</v>
      </c>
      <c r="CU93" s="38">
        <f>IF(AND(CS124=0,CS93&gt;=0),"",CS93/CS124)</f>
        <v>8.7248322147651006E-2</v>
      </c>
      <c r="CV93" s="81">
        <f>SUM(CV94:CV103)</f>
        <v>0</v>
      </c>
      <c r="CW93" s="35" t="str">
        <f>IF(AND(CV4=0,CV93&gt;=0), "",CV93/CV4)</f>
        <v/>
      </c>
      <c r="CX93" s="51">
        <f t="shared" si="75"/>
        <v>1</v>
      </c>
    </row>
    <row r="94" spans="1:102" hidden="1" outlineLevel="1" x14ac:dyDescent="0.25">
      <c r="A94" s="27" t="s">
        <v>83</v>
      </c>
      <c r="B94" s="82">
        <f>+'N EERR'!B173</f>
        <v>0</v>
      </c>
      <c r="C94" s="28" t="str">
        <f>IF(AND(B4=0,B94&gt;=0), "",B94/B4)</f>
        <v/>
      </c>
      <c r="D94" s="42" t="str">
        <f>IF(AND(B124=0,B94&gt;=0),"",B94/B124)</f>
        <v/>
      </c>
      <c r="E94" s="82">
        <f>+'N EERR'!C173</f>
        <v>10</v>
      </c>
      <c r="F94" s="28">
        <f>IF(AND(E4=0,E94&gt;=0), "",E94/E4)</f>
        <v>7.246376811594203E-4</v>
      </c>
      <c r="G94" s="42">
        <f>IF(AND(E124=0,E94&gt;=0),"",E94/E124)</f>
        <v>6.7114093959731542E-3</v>
      </c>
      <c r="H94" s="82">
        <f>+'N EERR'!D173</f>
        <v>0</v>
      </c>
      <c r="I94" s="28" t="str">
        <f>IF(AND(H4=0,H94&gt;=0), "",H94/H4)</f>
        <v/>
      </c>
      <c r="J94" s="42" t="str">
        <f>IF(AND(H124=0,H94&gt;=0),"",H94/H124)</f>
        <v/>
      </c>
      <c r="K94" s="28">
        <f t="shared" si="97"/>
        <v>-1</v>
      </c>
      <c r="L94" s="83">
        <f t="shared" ref="L94:L102" si="112">+E94+H94</f>
        <v>10</v>
      </c>
      <c r="M94" s="28">
        <f>IF(AND(L4=0,L94&gt;=0), "",L94/L4)</f>
        <v>7.246376811594203E-4</v>
      </c>
      <c r="N94" s="42">
        <f>IF(AND(L124=0,L94&gt;=0),"",L94/L124)</f>
        <v>6.7114093959731542E-3</v>
      </c>
      <c r="O94" s="82">
        <f>+'N EERR'!E173</f>
        <v>0</v>
      </c>
      <c r="P94" s="28" t="str">
        <f>IF(AND(O4=0,O94&gt;=0), "",O94/O4)</f>
        <v/>
      </c>
      <c r="Q94" s="42" t="str">
        <f>IF(AND(O124=0,O94&gt;=0),"",O94/O124)</f>
        <v/>
      </c>
      <c r="R94" s="28" t="str">
        <f t="shared" si="99"/>
        <v/>
      </c>
      <c r="S94" s="83">
        <f t="shared" ref="S94:S102" si="113">+L94+O94</f>
        <v>10</v>
      </c>
      <c r="T94" s="28">
        <f>IF(AND(S4=0,S94&gt;=0), "",S94/S4)</f>
        <v>7.246376811594203E-4</v>
      </c>
      <c r="U94" s="42">
        <f>IF(AND(S124=0,S94&gt;=0),"",S94/S124)</f>
        <v>6.7114093959731542E-3</v>
      </c>
      <c r="V94" s="84"/>
      <c r="W94" s="28" t="str">
        <f>IF(AND(V4=0,V94&gt;=0), "",V94/V4)</f>
        <v/>
      </c>
      <c r="X94" s="42">
        <f t="shared" si="89"/>
        <v>1</v>
      </c>
      <c r="Y94" s="82">
        <f>+'N EERR'!F173</f>
        <v>0</v>
      </c>
      <c r="Z94" s="28" t="str">
        <f>IF(AND(Y4=0,Y94&gt;=0), "",Y94/Y4)</f>
        <v/>
      </c>
      <c r="AA94" s="42" t="str">
        <f>IF(AND(Y124=0,Y94&gt;=0),"",Y94/Y124)</f>
        <v/>
      </c>
      <c r="AB94" s="28" t="str">
        <f t="shared" si="90"/>
        <v/>
      </c>
      <c r="AC94" s="83">
        <f t="shared" ref="AC94:AC103" si="114">+S94+Y94</f>
        <v>10</v>
      </c>
      <c r="AD94" s="28">
        <f>IF(AND(AC4=0,AC94&gt;=0), "",AC94/AC4)</f>
        <v>7.246376811594203E-4</v>
      </c>
      <c r="AE94" s="42">
        <f>IF(AND(AC124=0,AC94&gt;=0),"",AC94/AC124)</f>
        <v>6.7114093959731542E-3</v>
      </c>
      <c r="AF94" s="82">
        <f>+'N EERR'!G173</f>
        <v>0</v>
      </c>
      <c r="AG94" s="28" t="str">
        <f>IF(AND(AF4=0,AF94&gt;=0), "",AF94/AF4)</f>
        <v/>
      </c>
      <c r="AH94" s="42" t="str">
        <f>IF(AND(AF124=0,AF94&gt;=0),"",AF94/AF124)</f>
        <v/>
      </c>
      <c r="AI94" s="28" t="str">
        <f t="shared" si="68"/>
        <v/>
      </c>
      <c r="AJ94" s="83">
        <f t="shared" si="95"/>
        <v>10</v>
      </c>
      <c r="AK94" s="28">
        <f>IF(AND(AJ4=0,AJ94&gt;=0), "",AJ94/AJ4)</f>
        <v>7.246376811594203E-4</v>
      </c>
      <c r="AL94" s="42">
        <f>IF(AND(AJ124=0,AJ94&gt;=0),"",AJ94/AJ124)</f>
        <v>6.7114093959731542E-3</v>
      </c>
      <c r="AM94" s="82">
        <f>+'N EERR'!H173</f>
        <v>0</v>
      </c>
      <c r="AN94" s="28" t="str">
        <f>IF(AND(AM4=0,AM94&gt;=0), "",AM94/AM4)</f>
        <v/>
      </c>
      <c r="AO94" s="42" t="str">
        <f>IF(AND(AM124=0,AM94&gt;=0),"",AM94/AM124)</f>
        <v/>
      </c>
      <c r="AP94" s="28" t="str">
        <f t="shared" si="69"/>
        <v/>
      </c>
      <c r="AQ94" s="83">
        <f t="shared" si="96"/>
        <v>10</v>
      </c>
      <c r="AR94" s="28">
        <f>IF(AND(AQ4=0,AQ94&gt;=0), "",AQ94/AQ4)</f>
        <v>7.246376811594203E-4</v>
      </c>
      <c r="AS94" s="42">
        <f>IF(AND(AQ124=0,AQ94&gt;=0),"",AQ94/AQ124)</f>
        <v>6.7114093959731542E-3</v>
      </c>
      <c r="AT94" s="84">
        <f t="shared" ref="AT94:AT102" si="115">+V94*2</f>
        <v>0</v>
      </c>
      <c r="AU94" s="28" t="str">
        <f>IF(AND(AT4=0,AT94&gt;=0), "",AT94/AT4)</f>
        <v/>
      </c>
      <c r="AV94" s="42">
        <f t="shared" si="91"/>
        <v>1</v>
      </c>
      <c r="AW94" s="84">
        <f t="shared" si="67"/>
        <v>1.6666666666666667</v>
      </c>
      <c r="AX94" s="28">
        <f>IF(AND(AW4=0,AW94&gt;=0), "",AW94/AW4)</f>
        <v>7.2463768115942019E-4</v>
      </c>
      <c r="AY94" s="42">
        <f>IF(AND(AW124=0,AW94&gt;=0),"",AW94/AW124)</f>
        <v>6.7114093959731542E-3</v>
      </c>
      <c r="AZ94" s="84">
        <f t="shared" si="103"/>
        <v>0</v>
      </c>
      <c r="BA94" s="28" t="str">
        <f>IF(AND(AZ4=0,AZ94&gt;=0), "",AZ94/AZ4)</f>
        <v/>
      </c>
      <c r="BB94" s="42">
        <f t="shared" si="92"/>
        <v>1</v>
      </c>
      <c r="BC94" s="82">
        <f>+'N EERR'!I173</f>
        <v>0</v>
      </c>
      <c r="BD94" s="28" t="str">
        <f>IF(AND(BC4=0,BC94&gt;=0), "",BC94/BC4)</f>
        <v/>
      </c>
      <c r="BE94" s="42" t="str">
        <f>IF(AND(BC124=0,BC94&gt;=0),"",BC94/BC124)</f>
        <v/>
      </c>
      <c r="BF94" s="28" t="str">
        <f t="shared" si="93"/>
        <v/>
      </c>
      <c r="BG94" s="83">
        <f t="shared" ref="BG94:BG103" si="116">+AQ94+BC94</f>
        <v>10</v>
      </c>
      <c r="BH94" s="28">
        <f>IF(AND(BG4=0,BG94&gt;=0), "",BG94/BG4)</f>
        <v>7.246376811594203E-4</v>
      </c>
      <c r="BI94" s="42">
        <f>IF(AND(BG124=0,BG94&gt;=0),"",BG94/BG124)</f>
        <v>6.7114093959731542E-3</v>
      </c>
      <c r="BJ94" s="82">
        <f>+'N EERR'!J173</f>
        <v>0</v>
      </c>
      <c r="BK94" s="28" t="str">
        <f>IF(AND(BJ4=0,BJ94&gt;=0), "",BJ94/BJ4)</f>
        <v/>
      </c>
      <c r="BL94" s="42" t="str">
        <f>IF(AND(BJ124=0,BJ94&gt;=0),"",BJ94/BJ124)</f>
        <v/>
      </c>
      <c r="BM94" s="28" t="str">
        <f t="shared" si="70"/>
        <v/>
      </c>
      <c r="BN94" s="83">
        <f t="shared" ref="BN94:BN103" si="117">+BG94+BJ94</f>
        <v>10</v>
      </c>
      <c r="BO94" s="28">
        <f>IF(AND(BN4=0,BN94&gt;=0), "",BN94/BN4)</f>
        <v>7.246376811594203E-4</v>
      </c>
      <c r="BP94" s="42">
        <f>IF(AND(BN124=0,BN94&gt;=0),"",BN94/BN124)</f>
        <v>6.7114093959731542E-3</v>
      </c>
      <c r="BQ94" s="82">
        <f>+'N EERR'!K173</f>
        <v>0</v>
      </c>
      <c r="BR94" s="28" t="str">
        <f>IF(AND(BQ4=0,BQ94&gt;=0), "",BQ94/BQ4)</f>
        <v/>
      </c>
      <c r="BS94" s="42" t="str">
        <f>IF(AND(BQ124=0,BQ94&gt;=0),"",BQ94/BQ124)</f>
        <v/>
      </c>
      <c r="BT94" s="28" t="str">
        <f t="shared" si="71"/>
        <v/>
      </c>
      <c r="BU94" s="83">
        <f t="shared" ref="BU94:BU103" si="118">+BN94+BQ94</f>
        <v>10</v>
      </c>
      <c r="BV94" s="28">
        <f>IF(AND(BU4=0,BU94&gt;=0), "",BU94/BU4)</f>
        <v>7.246376811594203E-4</v>
      </c>
      <c r="BW94" s="42">
        <f>IF(AND(BU124=0,BU94&gt;=0),"",BU94/BU124)</f>
        <v>6.7114093959731542E-3</v>
      </c>
      <c r="BX94" s="84">
        <f t="shared" ref="BX94:BX102" si="119">+AZ94*9</f>
        <v>0</v>
      </c>
      <c r="BY94" s="28" t="str">
        <f>IF(AND(BX4=0,BX94&gt;=0), "",BX94/BX4)</f>
        <v/>
      </c>
      <c r="BZ94" s="42">
        <f t="shared" si="72"/>
        <v>1</v>
      </c>
      <c r="CA94" s="82">
        <f>+'N EERR'!L173</f>
        <v>0</v>
      </c>
      <c r="CB94" s="28" t="str">
        <f>IF(AND(CA4=0,CA94&gt;=0), "",CA94/CA4)</f>
        <v/>
      </c>
      <c r="CC94" s="42" t="str">
        <f>IF(AND(CA124=0,CA94&gt;=0),"",CA94/CA124)</f>
        <v/>
      </c>
      <c r="CD94" s="28" t="str">
        <f t="shared" si="94"/>
        <v/>
      </c>
      <c r="CE94" s="83">
        <f t="shared" ref="CE94:CE103" si="120">+BU94+CA94</f>
        <v>10</v>
      </c>
      <c r="CF94" s="28">
        <f>IF(AND(CE4=0,CE94&gt;=0), "",CE94/CE4)</f>
        <v>7.246376811594203E-4</v>
      </c>
      <c r="CG94" s="42">
        <f>IF(AND(CE124=0,CE94&gt;=0),"",CE94/CE124)</f>
        <v>6.7114093959731542E-3</v>
      </c>
      <c r="CH94" s="82">
        <f>+'N EERR'!M173</f>
        <v>0</v>
      </c>
      <c r="CI94" s="28" t="str">
        <f>IF(AND(CH4=0,CH94&gt;=0), "",CH94/CH4)</f>
        <v/>
      </c>
      <c r="CJ94" s="42" t="str">
        <f>IF(AND(CH124=0,CH94&gt;=0),"",CH94/CH124)</f>
        <v/>
      </c>
      <c r="CK94" s="28" t="str">
        <f t="shared" si="73"/>
        <v/>
      </c>
      <c r="CL94" s="83">
        <f t="shared" ref="CL94:CL103" si="121">+CE94+CH94</f>
        <v>10</v>
      </c>
      <c r="CM94" s="28">
        <f>IF(AND(CL4=0,CL94&gt;=0), "",CL94/CL4)</f>
        <v>7.246376811594203E-4</v>
      </c>
      <c r="CN94" s="42">
        <f>IF(AND(CL124=0,CL94&gt;=0),"",CL94/CL124)</f>
        <v>6.7114093959731542E-3</v>
      </c>
      <c r="CO94" s="82">
        <f>+'N EERR'!N173</f>
        <v>0</v>
      </c>
      <c r="CP94" s="28" t="str">
        <f>IF(AND(CO4=0,CO94&gt;=0), "",CO94/CO4)</f>
        <v/>
      </c>
      <c r="CQ94" s="42" t="str">
        <f>IF(AND(CO124=0,CO94&gt;=0),"",CO94/CO124)</f>
        <v/>
      </c>
      <c r="CR94" s="28" t="str">
        <f t="shared" si="74"/>
        <v/>
      </c>
      <c r="CS94" s="83">
        <f t="shared" ref="CS94:CS103" si="122">+CL94+CO94</f>
        <v>10</v>
      </c>
      <c r="CT94" s="28">
        <f>IF(AND(CS4=0,CS94&gt;=0), "",CS94/CS4)</f>
        <v>7.246376811594203E-4</v>
      </c>
      <c r="CU94" s="42">
        <f>IF(AND(CS124=0,CS94&gt;=0),"",CS94/CS124)</f>
        <v>6.7114093959731542E-3</v>
      </c>
      <c r="CV94" s="84">
        <f t="shared" ref="CV94:CV102" si="123">+AZ94*12</f>
        <v>0</v>
      </c>
      <c r="CW94" s="28" t="str">
        <f>IF(AND(CV4=0,CV94&gt;=0), "",CV94/CV4)</f>
        <v/>
      </c>
      <c r="CX94" s="42">
        <f t="shared" si="75"/>
        <v>1</v>
      </c>
    </row>
    <row r="95" spans="1:102" hidden="1" outlineLevel="1" x14ac:dyDescent="0.25">
      <c r="A95" s="27" t="s">
        <v>84</v>
      </c>
      <c r="B95" s="82">
        <f>+'N EERR'!B174</f>
        <v>0</v>
      </c>
      <c r="C95" s="28" t="str">
        <f>IF(AND(B4=0,B95&gt;=0), "",B95/B4)</f>
        <v/>
      </c>
      <c r="D95" s="42" t="str">
        <f>IF(AND(B124=0,B95&gt;=0),"",B95/B124)</f>
        <v/>
      </c>
      <c r="E95" s="82">
        <f>+'N EERR'!C174</f>
        <v>10</v>
      </c>
      <c r="F95" s="28">
        <f>IF(AND(E4=0,E95&gt;=0), "",E95/E4)</f>
        <v>7.246376811594203E-4</v>
      </c>
      <c r="G95" s="42">
        <f>IF(AND(E124=0,E95&gt;=0),"",E95/E124)</f>
        <v>6.7114093959731542E-3</v>
      </c>
      <c r="H95" s="82">
        <f>+'N EERR'!D174</f>
        <v>0</v>
      </c>
      <c r="I95" s="28" t="str">
        <f>IF(AND(H4=0,H95&gt;=0), "",H95/H4)</f>
        <v/>
      </c>
      <c r="J95" s="42" t="str">
        <f>IF(AND(H124=0,H95&gt;=0),"",H95/H124)</f>
        <v/>
      </c>
      <c r="K95" s="28">
        <f t="shared" si="97"/>
        <v>-1</v>
      </c>
      <c r="L95" s="83">
        <f t="shared" si="112"/>
        <v>10</v>
      </c>
      <c r="M95" s="28">
        <f>IF(AND(L4=0,L95&gt;=0), "",L95/L4)</f>
        <v>7.246376811594203E-4</v>
      </c>
      <c r="N95" s="42">
        <f>IF(AND(L124=0,L95&gt;=0),"",L95/L124)</f>
        <v>6.7114093959731542E-3</v>
      </c>
      <c r="O95" s="82">
        <f>+'N EERR'!E174</f>
        <v>0</v>
      </c>
      <c r="P95" s="28" t="str">
        <f>IF(AND(O4=0,O95&gt;=0), "",O95/O4)</f>
        <v/>
      </c>
      <c r="Q95" s="42" t="str">
        <f>IF(AND(O124=0,O95&gt;=0),"",O95/O124)</f>
        <v/>
      </c>
      <c r="R95" s="28" t="str">
        <f t="shared" si="99"/>
        <v/>
      </c>
      <c r="S95" s="83">
        <f t="shared" si="113"/>
        <v>10</v>
      </c>
      <c r="T95" s="28">
        <f>IF(AND(S4=0,S95&gt;=0), "",S95/S4)</f>
        <v>7.246376811594203E-4</v>
      </c>
      <c r="U95" s="42">
        <f>IF(AND(S124=0,S95&gt;=0),"",S95/S124)</f>
        <v>6.7114093959731542E-3</v>
      </c>
      <c r="V95" s="84"/>
      <c r="W95" s="28" t="str">
        <f>IF(AND(V4=0,V95&gt;=0), "",V95/V4)</f>
        <v/>
      </c>
      <c r="X95" s="42">
        <f t="shared" si="89"/>
        <v>1</v>
      </c>
      <c r="Y95" s="82">
        <f>+'N EERR'!F174</f>
        <v>0</v>
      </c>
      <c r="Z95" s="28" t="str">
        <f>IF(AND(Y4=0,Y95&gt;=0), "",Y95/Y4)</f>
        <v/>
      </c>
      <c r="AA95" s="42" t="str">
        <f>IF(AND(Y124=0,Y95&gt;=0),"",Y95/Y124)</f>
        <v/>
      </c>
      <c r="AB95" s="28" t="str">
        <f t="shared" si="90"/>
        <v/>
      </c>
      <c r="AC95" s="83">
        <f t="shared" si="114"/>
        <v>10</v>
      </c>
      <c r="AD95" s="28">
        <f>IF(AND(AC4=0,AC95&gt;=0), "",AC95/AC4)</f>
        <v>7.246376811594203E-4</v>
      </c>
      <c r="AE95" s="42">
        <f>IF(AND(AC124=0,AC95&gt;=0),"",AC95/AC124)</f>
        <v>6.7114093959731542E-3</v>
      </c>
      <c r="AF95" s="82">
        <f>+'N EERR'!G174</f>
        <v>0</v>
      </c>
      <c r="AG95" s="28" t="str">
        <f>IF(AND(AF4=0,AF95&gt;=0), "",AF95/AF4)</f>
        <v/>
      </c>
      <c r="AH95" s="42" t="str">
        <f>IF(AND(AF124=0,AF95&gt;=0),"",AF95/AF124)</f>
        <v/>
      </c>
      <c r="AI95" s="28" t="str">
        <f t="shared" si="68"/>
        <v/>
      </c>
      <c r="AJ95" s="83">
        <f t="shared" si="95"/>
        <v>10</v>
      </c>
      <c r="AK95" s="28">
        <f>IF(AND(AJ4=0,AJ95&gt;=0), "",AJ95/AJ4)</f>
        <v>7.246376811594203E-4</v>
      </c>
      <c r="AL95" s="42">
        <f>IF(AND(AJ124=0,AJ95&gt;=0),"",AJ95/AJ124)</f>
        <v>6.7114093959731542E-3</v>
      </c>
      <c r="AM95" s="82">
        <f>+'N EERR'!H174</f>
        <v>0</v>
      </c>
      <c r="AN95" s="28" t="str">
        <f>IF(AND(AM4=0,AM95&gt;=0), "",AM95/AM4)</f>
        <v/>
      </c>
      <c r="AO95" s="42" t="str">
        <f>IF(AND(AM124=0,AM95&gt;=0),"",AM95/AM124)</f>
        <v/>
      </c>
      <c r="AP95" s="28" t="str">
        <f t="shared" si="69"/>
        <v/>
      </c>
      <c r="AQ95" s="83">
        <f t="shared" si="96"/>
        <v>10</v>
      </c>
      <c r="AR95" s="28">
        <f>IF(AND(AQ4=0,AQ95&gt;=0), "",AQ95/AQ4)</f>
        <v>7.246376811594203E-4</v>
      </c>
      <c r="AS95" s="42">
        <f>IF(AND(AQ124=0,AQ95&gt;=0),"",AQ95/AQ124)</f>
        <v>6.7114093959731542E-3</v>
      </c>
      <c r="AT95" s="84">
        <f t="shared" si="115"/>
        <v>0</v>
      </c>
      <c r="AU95" s="28" t="str">
        <f>IF(AND(AT4=0,AT95&gt;=0), "",AT95/AT4)</f>
        <v/>
      </c>
      <c r="AV95" s="42">
        <f t="shared" si="91"/>
        <v>1</v>
      </c>
      <c r="AW95" s="84">
        <f t="shared" si="67"/>
        <v>1.6666666666666667</v>
      </c>
      <c r="AX95" s="28">
        <f>IF(AND(AW4=0,AW95&gt;=0), "",AW95/AW4)</f>
        <v>7.2463768115942019E-4</v>
      </c>
      <c r="AY95" s="42">
        <f>IF(AND(AW124=0,AW95&gt;=0),"",AW95/AW124)</f>
        <v>6.7114093959731542E-3</v>
      </c>
      <c r="AZ95" s="84">
        <f t="shared" si="103"/>
        <v>0</v>
      </c>
      <c r="BA95" s="28" t="str">
        <f>IF(AND(AZ4=0,AZ95&gt;=0), "",AZ95/AZ4)</f>
        <v/>
      </c>
      <c r="BB95" s="42">
        <f t="shared" si="92"/>
        <v>1</v>
      </c>
      <c r="BC95" s="82">
        <f>+'N EERR'!I174</f>
        <v>0</v>
      </c>
      <c r="BD95" s="28" t="str">
        <f>IF(AND(BC4=0,BC95&gt;=0), "",BC95/BC4)</f>
        <v/>
      </c>
      <c r="BE95" s="42" t="str">
        <f>IF(AND(BC124=0,BC95&gt;=0),"",BC95/BC124)</f>
        <v/>
      </c>
      <c r="BF95" s="28" t="str">
        <f t="shared" si="93"/>
        <v/>
      </c>
      <c r="BG95" s="83">
        <f t="shared" si="116"/>
        <v>10</v>
      </c>
      <c r="BH95" s="28">
        <f>IF(AND(BG4=0,BG95&gt;=0), "",BG95/BG4)</f>
        <v>7.246376811594203E-4</v>
      </c>
      <c r="BI95" s="42">
        <f>IF(AND(BG124=0,BG95&gt;=0),"",BG95/BG124)</f>
        <v>6.7114093959731542E-3</v>
      </c>
      <c r="BJ95" s="82">
        <f>+'N EERR'!J174</f>
        <v>0</v>
      </c>
      <c r="BK95" s="28" t="str">
        <f>IF(AND(BJ4=0,BJ95&gt;=0), "",BJ95/BJ4)</f>
        <v/>
      </c>
      <c r="BL95" s="42" t="str">
        <f>IF(AND(BJ124=0,BJ95&gt;=0),"",BJ95/BJ124)</f>
        <v/>
      </c>
      <c r="BM95" s="28" t="str">
        <f t="shared" si="70"/>
        <v/>
      </c>
      <c r="BN95" s="83">
        <f t="shared" si="117"/>
        <v>10</v>
      </c>
      <c r="BO95" s="28">
        <f>IF(AND(BN4=0,BN95&gt;=0), "",BN95/BN4)</f>
        <v>7.246376811594203E-4</v>
      </c>
      <c r="BP95" s="42">
        <f>IF(AND(BN124=0,BN95&gt;=0),"",BN95/BN124)</f>
        <v>6.7114093959731542E-3</v>
      </c>
      <c r="BQ95" s="82">
        <f>+'N EERR'!K174</f>
        <v>0</v>
      </c>
      <c r="BR95" s="28" t="str">
        <f>IF(AND(BQ4=0,BQ95&gt;=0), "",BQ95/BQ4)</f>
        <v/>
      </c>
      <c r="BS95" s="42" t="str">
        <f>IF(AND(BQ124=0,BQ95&gt;=0),"",BQ95/BQ124)</f>
        <v/>
      </c>
      <c r="BT95" s="28" t="str">
        <f t="shared" si="71"/>
        <v/>
      </c>
      <c r="BU95" s="83">
        <f t="shared" si="118"/>
        <v>10</v>
      </c>
      <c r="BV95" s="28">
        <f>IF(AND(BU4=0,BU95&gt;=0), "",BU95/BU4)</f>
        <v>7.246376811594203E-4</v>
      </c>
      <c r="BW95" s="42">
        <f>IF(AND(BU124=0,BU95&gt;=0),"",BU95/BU124)</f>
        <v>6.7114093959731542E-3</v>
      </c>
      <c r="BX95" s="84">
        <f t="shared" si="119"/>
        <v>0</v>
      </c>
      <c r="BY95" s="28" t="str">
        <f>IF(AND(BX4=0,BX95&gt;=0), "",BX95/BX4)</f>
        <v/>
      </c>
      <c r="BZ95" s="42">
        <f t="shared" si="72"/>
        <v>1</v>
      </c>
      <c r="CA95" s="82">
        <f>+'N EERR'!L174</f>
        <v>0</v>
      </c>
      <c r="CB95" s="28" t="str">
        <f>IF(AND(CA4=0,CA95&gt;=0), "",CA95/CA4)</f>
        <v/>
      </c>
      <c r="CC95" s="42" t="str">
        <f>IF(AND(CA124=0,CA95&gt;=0),"",CA95/CA124)</f>
        <v/>
      </c>
      <c r="CD95" s="28" t="str">
        <f t="shared" si="94"/>
        <v/>
      </c>
      <c r="CE95" s="83">
        <f t="shared" si="120"/>
        <v>10</v>
      </c>
      <c r="CF95" s="28">
        <f>IF(AND(CE4=0,CE95&gt;=0), "",CE95/CE4)</f>
        <v>7.246376811594203E-4</v>
      </c>
      <c r="CG95" s="42">
        <f>IF(AND(CE124=0,CE95&gt;=0),"",CE95/CE124)</f>
        <v>6.7114093959731542E-3</v>
      </c>
      <c r="CH95" s="82">
        <f>+'N EERR'!M174</f>
        <v>0</v>
      </c>
      <c r="CI95" s="28" t="str">
        <f>IF(AND(CH4=0,CH95&gt;=0), "",CH95/CH4)</f>
        <v/>
      </c>
      <c r="CJ95" s="42" t="str">
        <f>IF(AND(CH124=0,CH95&gt;=0),"",CH95/CH124)</f>
        <v/>
      </c>
      <c r="CK95" s="28" t="str">
        <f t="shared" si="73"/>
        <v/>
      </c>
      <c r="CL95" s="83">
        <f t="shared" si="121"/>
        <v>10</v>
      </c>
      <c r="CM95" s="28">
        <f>IF(AND(CL4=0,CL95&gt;=0), "",CL95/CL4)</f>
        <v>7.246376811594203E-4</v>
      </c>
      <c r="CN95" s="42">
        <f>IF(AND(CL124=0,CL95&gt;=0),"",CL95/CL124)</f>
        <v>6.7114093959731542E-3</v>
      </c>
      <c r="CO95" s="82">
        <f>+'N EERR'!N174</f>
        <v>0</v>
      </c>
      <c r="CP95" s="28" t="str">
        <f>IF(AND(CO4=0,CO95&gt;=0), "",CO95/CO4)</f>
        <v/>
      </c>
      <c r="CQ95" s="42" t="str">
        <f>IF(AND(CO124=0,CO95&gt;=0),"",CO95/CO124)</f>
        <v/>
      </c>
      <c r="CR95" s="28" t="str">
        <f t="shared" si="74"/>
        <v/>
      </c>
      <c r="CS95" s="83">
        <f t="shared" si="122"/>
        <v>10</v>
      </c>
      <c r="CT95" s="28">
        <f>IF(AND(CS4=0,CS95&gt;=0), "",CS95/CS4)</f>
        <v>7.246376811594203E-4</v>
      </c>
      <c r="CU95" s="42">
        <f>IF(AND(CS124=0,CS95&gt;=0),"",CS95/CS124)</f>
        <v>6.7114093959731542E-3</v>
      </c>
      <c r="CV95" s="84">
        <f t="shared" si="123"/>
        <v>0</v>
      </c>
      <c r="CW95" s="28" t="str">
        <f>IF(AND(CV4=0,CV95&gt;=0), "",CV95/CV4)</f>
        <v/>
      </c>
      <c r="CX95" s="42">
        <f t="shared" si="75"/>
        <v>1</v>
      </c>
    </row>
    <row r="96" spans="1:102" hidden="1" outlineLevel="1" x14ac:dyDescent="0.25">
      <c r="A96" s="27" t="s">
        <v>2</v>
      </c>
      <c r="B96" s="82">
        <f>+'N EERR'!B175+'N EERR'!B176+'N EERR'!B177+'N EERR'!B178</f>
        <v>0</v>
      </c>
      <c r="C96" s="28" t="str">
        <f>IF(AND(B4=0,B96&gt;=0), "",B96/B4)</f>
        <v/>
      </c>
      <c r="D96" s="42" t="str">
        <f>IF(AND(B124=0,B96&gt;=0),"",B96/B124)</f>
        <v/>
      </c>
      <c r="E96" s="82">
        <f>+'N EERR'!C175+'N EERR'!C176+'N EERR'!C177+'N EERR'!C178</f>
        <v>40</v>
      </c>
      <c r="F96" s="28">
        <f>IF(AND(E4=0,E96&gt;=0), "",E96/E4)</f>
        <v>2.8985507246376812E-3</v>
      </c>
      <c r="G96" s="42">
        <f>IF(AND(E124=0,E96&gt;=0),"",E96/E124)</f>
        <v>2.6845637583892617E-2</v>
      </c>
      <c r="H96" s="82">
        <f>+'N EERR'!D175+'N EERR'!D176+'N EERR'!D177+'N EERR'!D178</f>
        <v>0</v>
      </c>
      <c r="I96" s="28" t="str">
        <f>IF(AND(H4=0,H96&gt;=0), "",H96/H4)</f>
        <v/>
      </c>
      <c r="J96" s="42" t="str">
        <f>IF(AND(H124=0,H96&gt;=0),"",H96/H124)</f>
        <v/>
      </c>
      <c r="K96" s="28">
        <f t="shared" si="97"/>
        <v>-1</v>
      </c>
      <c r="L96" s="83">
        <f t="shared" si="112"/>
        <v>40</v>
      </c>
      <c r="M96" s="28">
        <f>IF(AND(L4=0,L96&gt;=0), "",L96/L4)</f>
        <v>2.8985507246376812E-3</v>
      </c>
      <c r="N96" s="42">
        <f>IF(AND(L124=0,L96&gt;=0),"",L96/L124)</f>
        <v>2.6845637583892617E-2</v>
      </c>
      <c r="O96" s="82">
        <f>+'N EERR'!E175+'N EERR'!E176+'N EERR'!E177+'N EERR'!E178</f>
        <v>0</v>
      </c>
      <c r="P96" s="28" t="str">
        <f>IF(AND(O4=0,O96&gt;=0), "",O96/O4)</f>
        <v/>
      </c>
      <c r="Q96" s="42" t="str">
        <f>IF(AND(O124=0,O96&gt;=0),"",O96/O124)</f>
        <v/>
      </c>
      <c r="R96" s="28" t="str">
        <f t="shared" si="99"/>
        <v/>
      </c>
      <c r="S96" s="83">
        <f t="shared" si="113"/>
        <v>40</v>
      </c>
      <c r="T96" s="28">
        <f>IF(AND(S4=0,S96&gt;=0), "",S96/S4)</f>
        <v>2.8985507246376812E-3</v>
      </c>
      <c r="U96" s="42">
        <f>IF(AND(S124=0,S96&gt;=0),"",S96/S124)</f>
        <v>2.6845637583892617E-2</v>
      </c>
      <c r="V96" s="84"/>
      <c r="W96" s="28" t="str">
        <f>IF(AND(V4=0,V96&gt;=0), "",V96/V4)</f>
        <v/>
      </c>
      <c r="X96" s="42">
        <f t="shared" si="89"/>
        <v>1</v>
      </c>
      <c r="Y96" s="82">
        <f>+'N EERR'!F175+'N EERR'!F176+'N EERR'!F177+'N EERR'!F178</f>
        <v>0</v>
      </c>
      <c r="Z96" s="28" t="str">
        <f>IF(AND(Y4=0,Y96&gt;=0), "",Y96/Y4)</f>
        <v/>
      </c>
      <c r="AA96" s="42" t="str">
        <f>IF(AND(Y124=0,Y96&gt;=0),"",Y96/Y124)</f>
        <v/>
      </c>
      <c r="AB96" s="28" t="str">
        <f t="shared" si="90"/>
        <v/>
      </c>
      <c r="AC96" s="83">
        <f t="shared" si="114"/>
        <v>40</v>
      </c>
      <c r="AD96" s="28">
        <f>IF(AND(AC4=0,AC96&gt;=0), "",AC96/AC4)</f>
        <v>2.8985507246376812E-3</v>
      </c>
      <c r="AE96" s="42">
        <f>IF(AND(AC124=0,AC96&gt;=0),"",AC96/AC124)</f>
        <v>2.6845637583892617E-2</v>
      </c>
      <c r="AF96" s="82">
        <f>+'N EERR'!G175+'N EERR'!G176+'N EERR'!G177+'N EERR'!G178</f>
        <v>0</v>
      </c>
      <c r="AG96" s="28" t="str">
        <f>IF(AND(AF4=0,AF96&gt;=0), "",AF96/AF4)</f>
        <v/>
      </c>
      <c r="AH96" s="42" t="str">
        <f>IF(AND(AF124=0,AF96&gt;=0),"",AF96/AF124)</f>
        <v/>
      </c>
      <c r="AI96" s="28" t="str">
        <f t="shared" si="68"/>
        <v/>
      </c>
      <c r="AJ96" s="83">
        <f t="shared" si="95"/>
        <v>40</v>
      </c>
      <c r="AK96" s="28">
        <f>IF(AND(AJ4=0,AJ96&gt;=0), "",AJ96/AJ4)</f>
        <v>2.8985507246376812E-3</v>
      </c>
      <c r="AL96" s="42">
        <f>IF(AND(AJ124=0,AJ96&gt;=0),"",AJ96/AJ124)</f>
        <v>2.6845637583892617E-2</v>
      </c>
      <c r="AM96" s="82">
        <f>+'N EERR'!H175+'N EERR'!H176+'N EERR'!H177+'N EERR'!H178</f>
        <v>0</v>
      </c>
      <c r="AN96" s="28" t="str">
        <f>IF(AND(AM4=0,AM96&gt;=0), "",AM96/AM4)</f>
        <v/>
      </c>
      <c r="AO96" s="42" t="str">
        <f>IF(AND(AM124=0,AM96&gt;=0),"",AM96/AM124)</f>
        <v/>
      </c>
      <c r="AP96" s="28" t="str">
        <f t="shared" si="69"/>
        <v/>
      </c>
      <c r="AQ96" s="83">
        <f t="shared" si="96"/>
        <v>40</v>
      </c>
      <c r="AR96" s="28">
        <f>IF(AND(AQ4=0,AQ96&gt;=0), "",AQ96/AQ4)</f>
        <v>2.8985507246376812E-3</v>
      </c>
      <c r="AS96" s="42">
        <f>IF(AND(AQ124=0,AQ96&gt;=0),"",AQ96/AQ124)</f>
        <v>2.6845637583892617E-2</v>
      </c>
      <c r="AT96" s="84">
        <f t="shared" si="115"/>
        <v>0</v>
      </c>
      <c r="AU96" s="28" t="str">
        <f>IF(AND(AT4=0,AT96&gt;=0), "",AT96/AT4)</f>
        <v/>
      </c>
      <c r="AV96" s="42">
        <f t="shared" si="91"/>
        <v>1</v>
      </c>
      <c r="AW96" s="84">
        <f t="shared" si="67"/>
        <v>6.666666666666667</v>
      </c>
      <c r="AX96" s="28">
        <f>IF(AND(AW4=0,AW96&gt;=0), "",AW96/AW4)</f>
        <v>2.8985507246376808E-3</v>
      </c>
      <c r="AY96" s="42">
        <f>IF(AND(AW124=0,AW96&gt;=0),"",AW96/AW124)</f>
        <v>2.6845637583892617E-2</v>
      </c>
      <c r="AZ96" s="84">
        <f t="shared" si="103"/>
        <v>0</v>
      </c>
      <c r="BA96" s="28" t="str">
        <f>IF(AND(AZ4=0,AZ96&gt;=0), "",AZ96/AZ4)</f>
        <v/>
      </c>
      <c r="BB96" s="42">
        <f t="shared" si="92"/>
        <v>1</v>
      </c>
      <c r="BC96" s="82">
        <f>+'N EERR'!I175+'N EERR'!I176+'N EERR'!I177+'N EERR'!I178</f>
        <v>0</v>
      </c>
      <c r="BD96" s="28" t="str">
        <f>IF(AND(BC4=0,BC96&gt;=0), "",BC96/BC4)</f>
        <v/>
      </c>
      <c r="BE96" s="42" t="str">
        <f>IF(AND(BC124=0,BC96&gt;=0),"",BC96/BC124)</f>
        <v/>
      </c>
      <c r="BF96" s="28" t="str">
        <f t="shared" si="93"/>
        <v/>
      </c>
      <c r="BG96" s="83">
        <f t="shared" si="116"/>
        <v>40</v>
      </c>
      <c r="BH96" s="28">
        <f>IF(AND(BG4=0,BG96&gt;=0), "",BG96/BG4)</f>
        <v>2.8985507246376812E-3</v>
      </c>
      <c r="BI96" s="42">
        <f>IF(AND(BG124=0,BG96&gt;=0),"",BG96/BG124)</f>
        <v>2.6845637583892617E-2</v>
      </c>
      <c r="BJ96" s="82">
        <f>+'N EERR'!J175+'N EERR'!J176+'N EERR'!J177+'N EERR'!J178</f>
        <v>0</v>
      </c>
      <c r="BK96" s="28" t="str">
        <f>IF(AND(BJ4=0,BJ96&gt;=0), "",BJ96/BJ4)</f>
        <v/>
      </c>
      <c r="BL96" s="42" t="str">
        <f>IF(AND(BJ124=0,BJ96&gt;=0),"",BJ96/BJ124)</f>
        <v/>
      </c>
      <c r="BM96" s="28" t="str">
        <f t="shared" si="70"/>
        <v/>
      </c>
      <c r="BN96" s="83">
        <f t="shared" si="117"/>
        <v>40</v>
      </c>
      <c r="BO96" s="28">
        <f>IF(AND(BN4=0,BN96&gt;=0), "",BN96/BN4)</f>
        <v>2.8985507246376812E-3</v>
      </c>
      <c r="BP96" s="42">
        <f>IF(AND(BN124=0,BN96&gt;=0),"",BN96/BN124)</f>
        <v>2.6845637583892617E-2</v>
      </c>
      <c r="BQ96" s="82">
        <f>+'N EERR'!K175+'N EERR'!K176+'N EERR'!K177+'N EERR'!K178</f>
        <v>0</v>
      </c>
      <c r="BR96" s="28" t="str">
        <f>IF(AND(BQ4=0,BQ96&gt;=0), "",BQ96/BQ4)</f>
        <v/>
      </c>
      <c r="BS96" s="42" t="str">
        <f>IF(AND(BQ124=0,BQ96&gt;=0),"",BQ96/BQ124)</f>
        <v/>
      </c>
      <c r="BT96" s="28" t="str">
        <f t="shared" si="71"/>
        <v/>
      </c>
      <c r="BU96" s="83">
        <f t="shared" si="118"/>
        <v>40</v>
      </c>
      <c r="BV96" s="28">
        <f>IF(AND(BU4=0,BU96&gt;=0), "",BU96/BU4)</f>
        <v>2.8985507246376812E-3</v>
      </c>
      <c r="BW96" s="42">
        <f>IF(AND(BU124=0,BU96&gt;=0),"",BU96/BU124)</f>
        <v>2.6845637583892617E-2</v>
      </c>
      <c r="BX96" s="84">
        <f t="shared" si="119"/>
        <v>0</v>
      </c>
      <c r="BY96" s="28" t="str">
        <f>IF(AND(BX4=0,BX96&gt;=0), "",BX96/BX4)</f>
        <v/>
      </c>
      <c r="BZ96" s="42">
        <f t="shared" si="72"/>
        <v>1</v>
      </c>
      <c r="CA96" s="82">
        <f>+'N EERR'!L175+'N EERR'!L176+'N EERR'!L177+'N EERR'!L178</f>
        <v>0</v>
      </c>
      <c r="CB96" s="28" t="str">
        <f>IF(AND(CA4=0,CA96&gt;=0), "",CA96/CA4)</f>
        <v/>
      </c>
      <c r="CC96" s="42" t="str">
        <f>IF(AND(CA124=0,CA96&gt;=0),"",CA96/CA124)</f>
        <v/>
      </c>
      <c r="CD96" s="28" t="str">
        <f t="shared" si="94"/>
        <v/>
      </c>
      <c r="CE96" s="83">
        <f t="shared" si="120"/>
        <v>40</v>
      </c>
      <c r="CF96" s="28">
        <f>IF(AND(CE4=0,CE96&gt;=0), "",CE96/CE4)</f>
        <v>2.8985507246376812E-3</v>
      </c>
      <c r="CG96" s="42">
        <f>IF(AND(CE124=0,CE96&gt;=0),"",CE96/CE124)</f>
        <v>2.6845637583892617E-2</v>
      </c>
      <c r="CH96" s="82">
        <f>+'N EERR'!M175+'N EERR'!M176+'N EERR'!M177+'N EERR'!M178</f>
        <v>0</v>
      </c>
      <c r="CI96" s="28" t="str">
        <f>IF(AND(CH4=0,CH96&gt;=0), "",CH96/CH4)</f>
        <v/>
      </c>
      <c r="CJ96" s="42" t="str">
        <f>IF(AND(CH124=0,CH96&gt;=0),"",CH96/CH124)</f>
        <v/>
      </c>
      <c r="CK96" s="28" t="str">
        <f t="shared" si="73"/>
        <v/>
      </c>
      <c r="CL96" s="83">
        <f t="shared" si="121"/>
        <v>40</v>
      </c>
      <c r="CM96" s="28">
        <f>IF(AND(CL4=0,CL96&gt;=0), "",CL96/CL4)</f>
        <v>2.8985507246376812E-3</v>
      </c>
      <c r="CN96" s="42">
        <f>IF(AND(CL124=0,CL96&gt;=0),"",CL96/CL124)</f>
        <v>2.6845637583892617E-2</v>
      </c>
      <c r="CO96" s="82">
        <f>+'N EERR'!N175+'N EERR'!N176+'N EERR'!N177+'N EERR'!N178</f>
        <v>0</v>
      </c>
      <c r="CP96" s="28" t="str">
        <f>IF(AND(CO4=0,CO96&gt;=0), "",CO96/CO4)</f>
        <v/>
      </c>
      <c r="CQ96" s="42" t="str">
        <f>IF(AND(CO124=0,CO96&gt;=0),"",CO96/CO124)</f>
        <v/>
      </c>
      <c r="CR96" s="28" t="str">
        <f t="shared" si="74"/>
        <v/>
      </c>
      <c r="CS96" s="83">
        <f t="shared" si="122"/>
        <v>40</v>
      </c>
      <c r="CT96" s="28">
        <f>IF(AND(CS4=0,CS96&gt;=0), "",CS96/CS4)</f>
        <v>2.8985507246376812E-3</v>
      </c>
      <c r="CU96" s="42">
        <f>IF(AND(CS124=0,CS96&gt;=0),"",CS96/CS124)</f>
        <v>2.6845637583892617E-2</v>
      </c>
      <c r="CV96" s="84">
        <f t="shared" si="123"/>
        <v>0</v>
      </c>
      <c r="CW96" s="28" t="str">
        <f>IF(AND(CV4=0,CV96&gt;=0), "",CV96/CV4)</f>
        <v/>
      </c>
      <c r="CX96" s="42">
        <f t="shared" si="75"/>
        <v>1</v>
      </c>
    </row>
    <row r="97" spans="1:219" hidden="1" outlineLevel="1" x14ac:dyDescent="0.25">
      <c r="A97" s="27" t="s">
        <v>85</v>
      </c>
      <c r="B97" s="82">
        <f>+'N EERR'!B179+'N EERR'!B180</f>
        <v>0</v>
      </c>
      <c r="C97" s="28" t="str">
        <f>IF(AND(B4=0,B97&gt;=0), "",B97/B4)</f>
        <v/>
      </c>
      <c r="D97" s="42" t="str">
        <f>IF(AND(B124=0,B97&gt;=0),"",B97/B124)</f>
        <v/>
      </c>
      <c r="E97" s="82">
        <f>+'N EERR'!C179+'N EERR'!C180</f>
        <v>20</v>
      </c>
      <c r="F97" s="28">
        <f>IF(AND(E4=0,E97&gt;=0), "",E97/E4)</f>
        <v>1.4492753623188406E-3</v>
      </c>
      <c r="G97" s="42">
        <f>IF(AND(E124=0,E97&gt;=0),"",E97/E124)</f>
        <v>1.3422818791946308E-2</v>
      </c>
      <c r="H97" s="82">
        <f>+'N EERR'!D179+'N EERR'!D180</f>
        <v>0</v>
      </c>
      <c r="I97" s="28" t="str">
        <f>IF(AND(H4=0,H97&gt;=0), "",H97/H4)</f>
        <v/>
      </c>
      <c r="J97" s="42" t="str">
        <f>IF(AND(H124=0,H97&gt;=0),"",H97/H124)</f>
        <v/>
      </c>
      <c r="K97" s="28">
        <f t="shared" si="97"/>
        <v>-1</v>
      </c>
      <c r="L97" s="83">
        <f t="shared" si="112"/>
        <v>20</v>
      </c>
      <c r="M97" s="28">
        <f>IF(AND(L4=0,L97&gt;=0), "",L97/L4)</f>
        <v>1.4492753623188406E-3</v>
      </c>
      <c r="N97" s="42">
        <f>IF(AND(L124=0,L97&gt;=0),"",L97/L124)</f>
        <v>1.3422818791946308E-2</v>
      </c>
      <c r="O97" s="82">
        <f>+'N EERR'!E179+'N EERR'!E180</f>
        <v>0</v>
      </c>
      <c r="P97" s="28" t="str">
        <f>IF(AND(O4=0,O97&gt;=0), "",O97/O4)</f>
        <v/>
      </c>
      <c r="Q97" s="42" t="str">
        <f>IF(AND(O124=0,O97&gt;=0),"",O97/O124)</f>
        <v/>
      </c>
      <c r="R97" s="28" t="str">
        <f t="shared" si="99"/>
        <v/>
      </c>
      <c r="S97" s="83">
        <f t="shared" si="113"/>
        <v>20</v>
      </c>
      <c r="T97" s="28">
        <f>IF(AND(S4=0,S97&gt;=0), "",S97/S4)</f>
        <v>1.4492753623188406E-3</v>
      </c>
      <c r="U97" s="42">
        <f>IF(AND(S124=0,S97&gt;=0),"",S97/S124)</f>
        <v>1.3422818791946308E-2</v>
      </c>
      <c r="V97" s="84"/>
      <c r="W97" s="28" t="str">
        <f>IF(AND(V4=0,V97&gt;=0), "",V97/V4)</f>
        <v/>
      </c>
      <c r="X97" s="42">
        <f t="shared" si="89"/>
        <v>1</v>
      </c>
      <c r="Y97" s="82">
        <f>+'N EERR'!F179+'N EERR'!F180</f>
        <v>0</v>
      </c>
      <c r="Z97" s="28" t="str">
        <f>IF(AND(Y4=0,Y97&gt;=0), "",Y97/Y4)</f>
        <v/>
      </c>
      <c r="AA97" s="42" t="str">
        <f>IF(AND(Y124=0,Y97&gt;=0),"",Y97/Y124)</f>
        <v/>
      </c>
      <c r="AB97" s="28" t="str">
        <f t="shared" si="90"/>
        <v/>
      </c>
      <c r="AC97" s="83">
        <f t="shared" si="114"/>
        <v>20</v>
      </c>
      <c r="AD97" s="28">
        <f>IF(AND(AC4=0,AC97&gt;=0), "",AC97/AC4)</f>
        <v>1.4492753623188406E-3</v>
      </c>
      <c r="AE97" s="42">
        <f>IF(AND(AC124=0,AC97&gt;=0),"",AC97/AC124)</f>
        <v>1.3422818791946308E-2</v>
      </c>
      <c r="AF97" s="82">
        <f>+'N EERR'!G179+'N EERR'!G180</f>
        <v>0</v>
      </c>
      <c r="AG97" s="28" t="str">
        <f>IF(AND(AF4=0,AF97&gt;=0), "",AF97/AF4)</f>
        <v/>
      </c>
      <c r="AH97" s="42" t="str">
        <f>IF(AND(AF124=0,AF97&gt;=0),"",AF97/AF124)</f>
        <v/>
      </c>
      <c r="AI97" s="28" t="str">
        <f t="shared" si="68"/>
        <v/>
      </c>
      <c r="AJ97" s="83">
        <f t="shared" si="95"/>
        <v>20</v>
      </c>
      <c r="AK97" s="28">
        <f>IF(AND(AJ4=0,AJ97&gt;=0), "",AJ97/AJ4)</f>
        <v>1.4492753623188406E-3</v>
      </c>
      <c r="AL97" s="42">
        <f>IF(AND(AJ124=0,AJ97&gt;=0),"",AJ97/AJ124)</f>
        <v>1.3422818791946308E-2</v>
      </c>
      <c r="AM97" s="82">
        <f>+'N EERR'!H179+'N EERR'!H180</f>
        <v>0</v>
      </c>
      <c r="AN97" s="28" t="str">
        <f>IF(AND(AM4=0,AM97&gt;=0), "",AM97/AM4)</f>
        <v/>
      </c>
      <c r="AO97" s="42" t="str">
        <f>IF(AND(AM124=0,AM97&gt;=0),"",AM97/AM124)</f>
        <v/>
      </c>
      <c r="AP97" s="28" t="str">
        <f t="shared" si="69"/>
        <v/>
      </c>
      <c r="AQ97" s="83">
        <f t="shared" si="96"/>
        <v>20</v>
      </c>
      <c r="AR97" s="28">
        <f>IF(AND(AQ4=0,AQ97&gt;=0), "",AQ97/AQ4)</f>
        <v>1.4492753623188406E-3</v>
      </c>
      <c r="AS97" s="42">
        <f>IF(AND(AQ124=0,AQ97&gt;=0),"",AQ97/AQ124)</f>
        <v>1.3422818791946308E-2</v>
      </c>
      <c r="AT97" s="84">
        <f t="shared" si="115"/>
        <v>0</v>
      </c>
      <c r="AU97" s="28" t="str">
        <f>IF(AND(AT4=0,AT97&gt;=0), "",AT97/AT4)</f>
        <v/>
      </c>
      <c r="AV97" s="42">
        <f t="shared" si="91"/>
        <v>1</v>
      </c>
      <c r="AW97" s="84">
        <f t="shared" si="67"/>
        <v>3.3333333333333335</v>
      </c>
      <c r="AX97" s="28">
        <f>IF(AND(AW4=0,AW97&gt;=0), "",AW97/AW4)</f>
        <v>1.4492753623188404E-3</v>
      </c>
      <c r="AY97" s="42">
        <f>IF(AND(AW124=0,AW97&gt;=0),"",AW97/AW124)</f>
        <v>1.3422818791946308E-2</v>
      </c>
      <c r="AZ97" s="84">
        <f t="shared" si="103"/>
        <v>0</v>
      </c>
      <c r="BA97" s="28" t="str">
        <f>IF(AND(AZ4=0,AZ97&gt;=0), "",AZ97/AZ4)</f>
        <v/>
      </c>
      <c r="BB97" s="42">
        <f t="shared" si="92"/>
        <v>1</v>
      </c>
      <c r="BC97" s="82">
        <f>+'N EERR'!I179+'N EERR'!I180</f>
        <v>0</v>
      </c>
      <c r="BD97" s="28" t="str">
        <f>IF(AND(BC4=0,BC97&gt;=0), "",BC97/BC4)</f>
        <v/>
      </c>
      <c r="BE97" s="42" t="str">
        <f>IF(AND(BC124=0,BC97&gt;=0),"",BC97/BC124)</f>
        <v/>
      </c>
      <c r="BF97" s="28" t="str">
        <f t="shared" si="93"/>
        <v/>
      </c>
      <c r="BG97" s="83">
        <f t="shared" si="116"/>
        <v>20</v>
      </c>
      <c r="BH97" s="28">
        <f>IF(AND(BG4=0,BG97&gt;=0), "",BG97/BG4)</f>
        <v>1.4492753623188406E-3</v>
      </c>
      <c r="BI97" s="42">
        <f>IF(AND(BG124=0,BG97&gt;=0),"",BG97/BG124)</f>
        <v>1.3422818791946308E-2</v>
      </c>
      <c r="BJ97" s="82">
        <f>+'N EERR'!J179+'N EERR'!J180</f>
        <v>0</v>
      </c>
      <c r="BK97" s="28" t="str">
        <f>IF(AND(BJ4=0,BJ97&gt;=0), "",BJ97/BJ4)</f>
        <v/>
      </c>
      <c r="BL97" s="42" t="str">
        <f>IF(AND(BJ124=0,BJ97&gt;=0),"",BJ97/BJ124)</f>
        <v/>
      </c>
      <c r="BM97" s="28" t="str">
        <f t="shared" si="70"/>
        <v/>
      </c>
      <c r="BN97" s="83">
        <f t="shared" si="117"/>
        <v>20</v>
      </c>
      <c r="BO97" s="28">
        <f>IF(AND(BN4=0,BN97&gt;=0), "",BN97/BN4)</f>
        <v>1.4492753623188406E-3</v>
      </c>
      <c r="BP97" s="42">
        <f>IF(AND(BN124=0,BN97&gt;=0),"",BN97/BN124)</f>
        <v>1.3422818791946308E-2</v>
      </c>
      <c r="BQ97" s="82">
        <f>+'N EERR'!K179+'N EERR'!K180</f>
        <v>0</v>
      </c>
      <c r="BR97" s="28" t="str">
        <f>IF(AND(BQ4=0,BQ97&gt;=0), "",BQ97/BQ4)</f>
        <v/>
      </c>
      <c r="BS97" s="42" t="str">
        <f>IF(AND(BQ124=0,BQ97&gt;=0),"",BQ97/BQ124)</f>
        <v/>
      </c>
      <c r="BT97" s="28" t="str">
        <f t="shared" si="71"/>
        <v/>
      </c>
      <c r="BU97" s="83">
        <f t="shared" si="118"/>
        <v>20</v>
      </c>
      <c r="BV97" s="28">
        <f>IF(AND(BU4=0,BU97&gt;=0), "",BU97/BU4)</f>
        <v>1.4492753623188406E-3</v>
      </c>
      <c r="BW97" s="42">
        <f>IF(AND(BU124=0,BU97&gt;=0),"",BU97/BU124)</f>
        <v>1.3422818791946308E-2</v>
      </c>
      <c r="BX97" s="84">
        <f t="shared" si="119"/>
        <v>0</v>
      </c>
      <c r="BY97" s="28" t="str">
        <f>IF(AND(BX4=0,BX97&gt;=0), "",BX97/BX4)</f>
        <v/>
      </c>
      <c r="BZ97" s="42">
        <f t="shared" si="72"/>
        <v>1</v>
      </c>
      <c r="CA97" s="82">
        <f>+'N EERR'!L179+'N EERR'!L180</f>
        <v>0</v>
      </c>
      <c r="CB97" s="28" t="str">
        <f>IF(AND(CA4=0,CA97&gt;=0), "",CA97/CA4)</f>
        <v/>
      </c>
      <c r="CC97" s="42" t="str">
        <f>IF(AND(CA124=0,CA97&gt;=0),"",CA97/CA124)</f>
        <v/>
      </c>
      <c r="CD97" s="28" t="str">
        <f t="shared" si="94"/>
        <v/>
      </c>
      <c r="CE97" s="83">
        <f t="shared" si="120"/>
        <v>20</v>
      </c>
      <c r="CF97" s="28">
        <f>IF(AND(CE4=0,CE97&gt;=0), "",CE97/CE4)</f>
        <v>1.4492753623188406E-3</v>
      </c>
      <c r="CG97" s="42">
        <f>IF(AND(CE124=0,CE97&gt;=0),"",CE97/CE124)</f>
        <v>1.3422818791946308E-2</v>
      </c>
      <c r="CH97" s="82">
        <f>+'N EERR'!M179+'N EERR'!M180</f>
        <v>0</v>
      </c>
      <c r="CI97" s="28" t="str">
        <f>IF(AND(CH4=0,CH97&gt;=0), "",CH97/CH4)</f>
        <v/>
      </c>
      <c r="CJ97" s="42" t="str">
        <f>IF(AND(CH124=0,CH97&gt;=0),"",CH97/CH124)</f>
        <v/>
      </c>
      <c r="CK97" s="28" t="str">
        <f t="shared" si="73"/>
        <v/>
      </c>
      <c r="CL97" s="83">
        <f t="shared" si="121"/>
        <v>20</v>
      </c>
      <c r="CM97" s="28">
        <f>IF(AND(CL4=0,CL97&gt;=0), "",CL97/CL4)</f>
        <v>1.4492753623188406E-3</v>
      </c>
      <c r="CN97" s="42">
        <f>IF(AND(CL124=0,CL97&gt;=0),"",CL97/CL124)</f>
        <v>1.3422818791946308E-2</v>
      </c>
      <c r="CO97" s="82">
        <f>+'N EERR'!N179+'N EERR'!N180</f>
        <v>0</v>
      </c>
      <c r="CP97" s="28" t="str">
        <f>IF(AND(CO4=0,CO97&gt;=0), "",CO97/CO4)</f>
        <v/>
      </c>
      <c r="CQ97" s="42" t="str">
        <f>IF(AND(CO124=0,CO97&gt;=0),"",CO97/CO124)</f>
        <v/>
      </c>
      <c r="CR97" s="28" t="str">
        <f t="shared" si="74"/>
        <v/>
      </c>
      <c r="CS97" s="83">
        <f t="shared" si="122"/>
        <v>20</v>
      </c>
      <c r="CT97" s="28">
        <f>IF(AND(CS4=0,CS97&gt;=0), "",CS97/CS4)</f>
        <v>1.4492753623188406E-3</v>
      </c>
      <c r="CU97" s="42">
        <f>IF(AND(CS124=0,CS97&gt;=0),"",CS97/CS124)</f>
        <v>1.3422818791946308E-2</v>
      </c>
      <c r="CV97" s="84">
        <f t="shared" si="123"/>
        <v>0</v>
      </c>
      <c r="CW97" s="28" t="str">
        <f>IF(AND(CV4=0,CV97&gt;=0), "",CV97/CV4)</f>
        <v/>
      </c>
      <c r="CX97" s="42">
        <f t="shared" si="75"/>
        <v>1</v>
      </c>
    </row>
    <row r="98" spans="1:219" hidden="1" outlineLevel="1" x14ac:dyDescent="0.25">
      <c r="A98" s="27" t="s">
        <v>86</v>
      </c>
      <c r="B98" s="82">
        <f>+'N EERR'!B181</f>
        <v>0</v>
      </c>
      <c r="C98" s="28" t="str">
        <f>IF(AND(B4=0,B98&gt;=0), "",B98/B4)</f>
        <v/>
      </c>
      <c r="D98" s="42" t="str">
        <f>IF(AND(B124=0,B98&gt;=0),"",B98/B124)</f>
        <v/>
      </c>
      <c r="E98" s="82">
        <f>+'N EERR'!C181</f>
        <v>10</v>
      </c>
      <c r="F98" s="28">
        <f>IF(AND(E4=0,E98&gt;=0), "",E98/E4)</f>
        <v>7.246376811594203E-4</v>
      </c>
      <c r="G98" s="42">
        <f>IF(AND(E124=0,E98&gt;=0),"",E98/E124)</f>
        <v>6.7114093959731542E-3</v>
      </c>
      <c r="H98" s="82">
        <f>+'N EERR'!D181</f>
        <v>0</v>
      </c>
      <c r="I98" s="28" t="str">
        <f>IF(AND(H4=0,H98&gt;=0), "",H98/H4)</f>
        <v/>
      </c>
      <c r="J98" s="42" t="str">
        <f>IF(AND(H124=0,H98&gt;=0),"",H98/H124)</f>
        <v/>
      </c>
      <c r="K98" s="28">
        <f t="shared" si="97"/>
        <v>-1</v>
      </c>
      <c r="L98" s="83">
        <f t="shared" si="112"/>
        <v>10</v>
      </c>
      <c r="M98" s="28">
        <f>IF(AND(L4=0,L98&gt;=0), "",L98/L4)</f>
        <v>7.246376811594203E-4</v>
      </c>
      <c r="N98" s="42">
        <f>IF(AND(L124=0,L98&gt;=0),"",L98/L124)</f>
        <v>6.7114093959731542E-3</v>
      </c>
      <c r="O98" s="82">
        <f>+'N EERR'!E181</f>
        <v>0</v>
      </c>
      <c r="P98" s="28" t="str">
        <f>IF(AND(O4=0,O98&gt;=0), "",O98/O4)</f>
        <v/>
      </c>
      <c r="Q98" s="42" t="str">
        <f>IF(AND(O124=0,O98&gt;=0),"",O98/O124)</f>
        <v/>
      </c>
      <c r="R98" s="28" t="str">
        <f t="shared" si="99"/>
        <v/>
      </c>
      <c r="S98" s="83">
        <f t="shared" si="113"/>
        <v>10</v>
      </c>
      <c r="T98" s="28">
        <f>IF(AND(S4=0,S98&gt;=0), "",S98/S4)</f>
        <v>7.246376811594203E-4</v>
      </c>
      <c r="U98" s="42">
        <f>IF(AND(S124=0,S98&gt;=0),"",S98/S124)</f>
        <v>6.7114093959731542E-3</v>
      </c>
      <c r="V98" s="84"/>
      <c r="W98" s="28" t="str">
        <f>IF(AND(V4=0,V98&gt;=0), "",V98/V4)</f>
        <v/>
      </c>
      <c r="X98" s="42">
        <f t="shared" si="89"/>
        <v>1</v>
      </c>
      <c r="Y98" s="82">
        <f>+'N EERR'!F181</f>
        <v>0</v>
      </c>
      <c r="Z98" s="28" t="str">
        <f>IF(AND(Y4=0,Y98&gt;=0), "",Y98/Y4)</f>
        <v/>
      </c>
      <c r="AA98" s="42" t="str">
        <f>IF(AND(Y124=0,Y98&gt;=0),"",Y98/Y124)</f>
        <v/>
      </c>
      <c r="AB98" s="28" t="str">
        <f t="shared" si="90"/>
        <v/>
      </c>
      <c r="AC98" s="83">
        <f t="shared" si="114"/>
        <v>10</v>
      </c>
      <c r="AD98" s="28">
        <f>IF(AND(AC4=0,AC98&gt;=0), "",AC98/AC4)</f>
        <v>7.246376811594203E-4</v>
      </c>
      <c r="AE98" s="42">
        <f>IF(AND(AC124=0,AC98&gt;=0),"",AC98/AC124)</f>
        <v>6.7114093959731542E-3</v>
      </c>
      <c r="AF98" s="82">
        <f>+'N EERR'!G181</f>
        <v>0</v>
      </c>
      <c r="AG98" s="28" t="str">
        <f>IF(AND(AF4=0,AF98&gt;=0), "",AF98/AF4)</f>
        <v/>
      </c>
      <c r="AH98" s="42" t="str">
        <f>IF(AND(AF124=0,AF98&gt;=0),"",AF98/AF124)</f>
        <v/>
      </c>
      <c r="AI98" s="28" t="str">
        <f t="shared" si="68"/>
        <v/>
      </c>
      <c r="AJ98" s="83">
        <f t="shared" si="95"/>
        <v>10</v>
      </c>
      <c r="AK98" s="28">
        <f>IF(AND(AJ4=0,AJ98&gt;=0), "",AJ98/AJ4)</f>
        <v>7.246376811594203E-4</v>
      </c>
      <c r="AL98" s="42">
        <f>IF(AND(AJ124=0,AJ98&gt;=0),"",AJ98/AJ124)</f>
        <v>6.7114093959731542E-3</v>
      </c>
      <c r="AM98" s="82">
        <f>+'N EERR'!H181</f>
        <v>0</v>
      </c>
      <c r="AN98" s="28" t="str">
        <f>IF(AND(AM4=0,AM98&gt;=0), "",AM98/AM4)</f>
        <v/>
      </c>
      <c r="AO98" s="42" t="str">
        <f>IF(AND(AM124=0,AM98&gt;=0),"",AM98/AM124)</f>
        <v/>
      </c>
      <c r="AP98" s="28" t="str">
        <f t="shared" si="69"/>
        <v/>
      </c>
      <c r="AQ98" s="83">
        <f t="shared" si="96"/>
        <v>10</v>
      </c>
      <c r="AR98" s="28">
        <f>IF(AND(AQ4=0,AQ98&gt;=0), "",AQ98/AQ4)</f>
        <v>7.246376811594203E-4</v>
      </c>
      <c r="AS98" s="42">
        <f>IF(AND(AQ124=0,AQ98&gt;=0),"",AQ98/AQ124)</f>
        <v>6.7114093959731542E-3</v>
      </c>
      <c r="AT98" s="84">
        <f t="shared" si="115"/>
        <v>0</v>
      </c>
      <c r="AU98" s="28" t="str">
        <f>IF(AND(AT4=0,AT98&gt;=0), "",AT98/AT4)</f>
        <v/>
      </c>
      <c r="AV98" s="42">
        <f t="shared" si="91"/>
        <v>1</v>
      </c>
      <c r="AW98" s="84">
        <f t="shared" si="67"/>
        <v>1.6666666666666667</v>
      </c>
      <c r="AX98" s="28">
        <f>IF(AND(AW4=0,AW98&gt;=0), "",AW98/AW4)</f>
        <v>7.2463768115942019E-4</v>
      </c>
      <c r="AY98" s="42">
        <f>IF(AND(AW124=0,AW98&gt;=0),"",AW98/AW124)</f>
        <v>6.7114093959731542E-3</v>
      </c>
      <c r="AZ98" s="84">
        <f t="shared" si="103"/>
        <v>0</v>
      </c>
      <c r="BA98" s="28" t="str">
        <f>IF(AND(AZ4=0,AZ98&gt;=0), "",AZ98/AZ4)</f>
        <v/>
      </c>
      <c r="BB98" s="42">
        <f t="shared" si="92"/>
        <v>1</v>
      </c>
      <c r="BC98" s="82">
        <f>+'N EERR'!I181</f>
        <v>0</v>
      </c>
      <c r="BD98" s="28" t="str">
        <f>IF(AND(BC4=0,BC98&gt;=0), "",BC98/BC4)</f>
        <v/>
      </c>
      <c r="BE98" s="42" t="str">
        <f>IF(AND(BC124=0,BC98&gt;=0),"",BC98/BC124)</f>
        <v/>
      </c>
      <c r="BF98" s="28" t="str">
        <f t="shared" si="93"/>
        <v/>
      </c>
      <c r="BG98" s="83">
        <f t="shared" si="116"/>
        <v>10</v>
      </c>
      <c r="BH98" s="28">
        <f>IF(AND(BG4=0,BG98&gt;=0), "",BG98/BG4)</f>
        <v>7.246376811594203E-4</v>
      </c>
      <c r="BI98" s="42">
        <f>IF(AND(BG124=0,BG98&gt;=0),"",BG98/BG124)</f>
        <v>6.7114093959731542E-3</v>
      </c>
      <c r="BJ98" s="82">
        <f>+'N EERR'!J181</f>
        <v>0</v>
      </c>
      <c r="BK98" s="28" t="str">
        <f>IF(AND(BJ4=0,BJ98&gt;=0), "",BJ98/BJ4)</f>
        <v/>
      </c>
      <c r="BL98" s="42" t="str">
        <f>IF(AND(BJ124=0,BJ98&gt;=0),"",BJ98/BJ124)</f>
        <v/>
      </c>
      <c r="BM98" s="28" t="str">
        <f t="shared" si="70"/>
        <v/>
      </c>
      <c r="BN98" s="83">
        <f t="shared" si="117"/>
        <v>10</v>
      </c>
      <c r="BO98" s="28">
        <f>IF(AND(BN4=0,BN98&gt;=0), "",BN98/BN4)</f>
        <v>7.246376811594203E-4</v>
      </c>
      <c r="BP98" s="42">
        <f>IF(AND(BN124=0,BN98&gt;=0),"",BN98/BN124)</f>
        <v>6.7114093959731542E-3</v>
      </c>
      <c r="BQ98" s="82">
        <f>+'N EERR'!K181</f>
        <v>0</v>
      </c>
      <c r="BR98" s="28" t="str">
        <f>IF(AND(BQ4=0,BQ98&gt;=0), "",BQ98/BQ4)</f>
        <v/>
      </c>
      <c r="BS98" s="42" t="str">
        <f>IF(AND(BQ124=0,BQ98&gt;=0),"",BQ98/BQ124)</f>
        <v/>
      </c>
      <c r="BT98" s="28" t="str">
        <f t="shared" si="71"/>
        <v/>
      </c>
      <c r="BU98" s="83">
        <f t="shared" si="118"/>
        <v>10</v>
      </c>
      <c r="BV98" s="28">
        <f>IF(AND(BU4=0,BU98&gt;=0), "",BU98/BU4)</f>
        <v>7.246376811594203E-4</v>
      </c>
      <c r="BW98" s="42">
        <f>IF(AND(BU124=0,BU98&gt;=0),"",BU98/BU124)</f>
        <v>6.7114093959731542E-3</v>
      </c>
      <c r="BX98" s="84">
        <f t="shared" si="119"/>
        <v>0</v>
      </c>
      <c r="BY98" s="28" t="str">
        <f>IF(AND(BX4=0,BX98&gt;=0), "",BX98/BX4)</f>
        <v/>
      </c>
      <c r="BZ98" s="42">
        <f t="shared" si="72"/>
        <v>1</v>
      </c>
      <c r="CA98" s="82">
        <f>+'N EERR'!L181</f>
        <v>0</v>
      </c>
      <c r="CB98" s="28" t="str">
        <f>IF(AND(CA4=0,CA98&gt;=0), "",CA98/CA4)</f>
        <v/>
      </c>
      <c r="CC98" s="42" t="str">
        <f>IF(AND(CA124=0,CA98&gt;=0),"",CA98/CA124)</f>
        <v/>
      </c>
      <c r="CD98" s="28" t="str">
        <f t="shared" si="94"/>
        <v/>
      </c>
      <c r="CE98" s="83">
        <f t="shared" si="120"/>
        <v>10</v>
      </c>
      <c r="CF98" s="28">
        <f>IF(AND(CE4=0,CE98&gt;=0), "",CE98/CE4)</f>
        <v>7.246376811594203E-4</v>
      </c>
      <c r="CG98" s="42">
        <f>IF(AND(CE124=0,CE98&gt;=0),"",CE98/CE124)</f>
        <v>6.7114093959731542E-3</v>
      </c>
      <c r="CH98" s="82">
        <f>+'N EERR'!M181</f>
        <v>0</v>
      </c>
      <c r="CI98" s="28" t="str">
        <f>IF(AND(CH4=0,CH98&gt;=0), "",CH98/CH4)</f>
        <v/>
      </c>
      <c r="CJ98" s="42" t="str">
        <f>IF(AND(CH124=0,CH98&gt;=0),"",CH98/CH124)</f>
        <v/>
      </c>
      <c r="CK98" s="28" t="str">
        <f t="shared" si="73"/>
        <v/>
      </c>
      <c r="CL98" s="83">
        <f t="shared" si="121"/>
        <v>10</v>
      </c>
      <c r="CM98" s="28">
        <f>IF(AND(CL4=0,CL98&gt;=0), "",CL98/CL4)</f>
        <v>7.246376811594203E-4</v>
      </c>
      <c r="CN98" s="42">
        <f>IF(AND(CL124=0,CL98&gt;=0),"",CL98/CL124)</f>
        <v>6.7114093959731542E-3</v>
      </c>
      <c r="CO98" s="82">
        <f>+'N EERR'!N181</f>
        <v>0</v>
      </c>
      <c r="CP98" s="28" t="str">
        <f>IF(AND(CO4=0,CO98&gt;=0), "",CO98/CO4)</f>
        <v/>
      </c>
      <c r="CQ98" s="42" t="str">
        <f>IF(AND(CO124=0,CO98&gt;=0),"",CO98/CO124)</f>
        <v/>
      </c>
      <c r="CR98" s="28" t="str">
        <f t="shared" si="74"/>
        <v/>
      </c>
      <c r="CS98" s="83">
        <f t="shared" si="122"/>
        <v>10</v>
      </c>
      <c r="CT98" s="28">
        <f>IF(AND(CS4=0,CS98&gt;=0), "",CS98/CS4)</f>
        <v>7.246376811594203E-4</v>
      </c>
      <c r="CU98" s="42">
        <f>IF(AND(CS124=0,CS98&gt;=0),"",CS98/CS124)</f>
        <v>6.7114093959731542E-3</v>
      </c>
      <c r="CV98" s="84">
        <f t="shared" si="123"/>
        <v>0</v>
      </c>
      <c r="CW98" s="28" t="str">
        <f>IF(AND(CV4=0,CV98&gt;=0), "",CV98/CV4)</f>
        <v/>
      </c>
      <c r="CX98" s="42">
        <f t="shared" si="75"/>
        <v>1</v>
      </c>
    </row>
    <row r="99" spans="1:219" hidden="1" outlineLevel="1" x14ac:dyDescent="0.25">
      <c r="A99" s="27" t="s">
        <v>87</v>
      </c>
      <c r="B99" s="82">
        <f>+'N EERR'!B182</f>
        <v>0</v>
      </c>
      <c r="C99" s="28" t="str">
        <f>IF(AND(B4=0,B99&gt;=0), "",B99/B4)</f>
        <v/>
      </c>
      <c r="D99" s="42" t="str">
        <f>IF(AND(B124=0,B99&gt;=0),"",B99/B124)</f>
        <v/>
      </c>
      <c r="E99" s="82">
        <f>+'N EERR'!C182</f>
        <v>10</v>
      </c>
      <c r="F99" s="28">
        <f>IF(AND(E4=0,E99&gt;=0), "",E99/E4)</f>
        <v>7.246376811594203E-4</v>
      </c>
      <c r="G99" s="42">
        <f>IF(AND(E124=0,E99&gt;=0),"",E99/E124)</f>
        <v>6.7114093959731542E-3</v>
      </c>
      <c r="H99" s="82">
        <f>+'N EERR'!D182</f>
        <v>0</v>
      </c>
      <c r="I99" s="28" t="str">
        <f>IF(AND(H4=0,H99&gt;=0), "",H99/H4)</f>
        <v/>
      </c>
      <c r="J99" s="42" t="str">
        <f>IF(AND(H124=0,H99&gt;=0),"",H99/H124)</f>
        <v/>
      </c>
      <c r="K99" s="28">
        <f t="shared" si="97"/>
        <v>-1</v>
      </c>
      <c r="L99" s="83">
        <f t="shared" si="112"/>
        <v>10</v>
      </c>
      <c r="M99" s="28">
        <f>IF(AND(L4=0,L99&gt;=0), "",L99/L4)</f>
        <v>7.246376811594203E-4</v>
      </c>
      <c r="N99" s="42">
        <f>IF(AND(L124=0,L99&gt;=0),"",L99/L124)</f>
        <v>6.7114093959731542E-3</v>
      </c>
      <c r="O99" s="82">
        <f>+'N EERR'!E182</f>
        <v>0</v>
      </c>
      <c r="P99" s="28" t="str">
        <f>IF(AND(O4=0,O99&gt;=0), "",O99/O4)</f>
        <v/>
      </c>
      <c r="Q99" s="42" t="str">
        <f>IF(AND(O124=0,O99&gt;=0),"",O99/O124)</f>
        <v/>
      </c>
      <c r="R99" s="28" t="str">
        <f t="shared" si="99"/>
        <v/>
      </c>
      <c r="S99" s="83">
        <f t="shared" si="113"/>
        <v>10</v>
      </c>
      <c r="T99" s="28">
        <f>IF(AND(S4=0,S99&gt;=0), "",S99/S4)</f>
        <v>7.246376811594203E-4</v>
      </c>
      <c r="U99" s="42">
        <f>IF(AND(S124=0,S99&gt;=0),"",S99/S124)</f>
        <v>6.7114093959731542E-3</v>
      </c>
      <c r="V99" s="84"/>
      <c r="W99" s="28" t="str">
        <f>IF(AND(V4=0,V99&gt;=0), "",V99/V4)</f>
        <v/>
      </c>
      <c r="X99" s="42">
        <f t="shared" si="89"/>
        <v>1</v>
      </c>
      <c r="Y99" s="82">
        <f>+'N EERR'!F182</f>
        <v>0</v>
      </c>
      <c r="Z99" s="28" t="str">
        <f>IF(AND(Y4=0,Y99&gt;=0), "",Y99/Y4)</f>
        <v/>
      </c>
      <c r="AA99" s="42" t="str">
        <f>IF(AND(Y124=0,Y99&gt;=0),"",Y99/Y124)</f>
        <v/>
      </c>
      <c r="AB99" s="28" t="str">
        <f t="shared" si="90"/>
        <v/>
      </c>
      <c r="AC99" s="83">
        <f t="shared" si="114"/>
        <v>10</v>
      </c>
      <c r="AD99" s="28">
        <f>IF(AND(AC4=0,AC99&gt;=0), "",AC99/AC4)</f>
        <v>7.246376811594203E-4</v>
      </c>
      <c r="AE99" s="42">
        <f>IF(AND(AC124=0,AC99&gt;=0),"",AC99/AC124)</f>
        <v>6.7114093959731542E-3</v>
      </c>
      <c r="AF99" s="82">
        <f>+'N EERR'!G182</f>
        <v>0</v>
      </c>
      <c r="AG99" s="28" t="str">
        <f>IF(AND(AF4=0,AF99&gt;=0), "",AF99/AF4)</f>
        <v/>
      </c>
      <c r="AH99" s="42" t="str">
        <f>IF(AND(AF124=0,AF99&gt;=0),"",AF99/AF124)</f>
        <v/>
      </c>
      <c r="AI99" s="28" t="str">
        <f t="shared" si="68"/>
        <v/>
      </c>
      <c r="AJ99" s="83">
        <f t="shared" si="95"/>
        <v>10</v>
      </c>
      <c r="AK99" s="28">
        <f>IF(AND(AJ4=0,AJ99&gt;=0), "",AJ99/AJ4)</f>
        <v>7.246376811594203E-4</v>
      </c>
      <c r="AL99" s="42">
        <f>IF(AND(AJ124=0,AJ99&gt;=0),"",AJ99/AJ124)</f>
        <v>6.7114093959731542E-3</v>
      </c>
      <c r="AM99" s="82">
        <f>+'N EERR'!H182</f>
        <v>0</v>
      </c>
      <c r="AN99" s="28" t="str">
        <f>IF(AND(AM4=0,AM99&gt;=0), "",AM99/AM4)</f>
        <v/>
      </c>
      <c r="AO99" s="42" t="str">
        <f>IF(AND(AM124=0,AM99&gt;=0),"",AM99/AM124)</f>
        <v/>
      </c>
      <c r="AP99" s="28" t="str">
        <f t="shared" si="69"/>
        <v/>
      </c>
      <c r="AQ99" s="83">
        <f t="shared" si="96"/>
        <v>10</v>
      </c>
      <c r="AR99" s="28">
        <f>IF(AND(AQ4=0,AQ99&gt;=0), "",AQ99/AQ4)</f>
        <v>7.246376811594203E-4</v>
      </c>
      <c r="AS99" s="42">
        <f>IF(AND(AQ124=0,AQ99&gt;=0),"",AQ99/AQ124)</f>
        <v>6.7114093959731542E-3</v>
      </c>
      <c r="AT99" s="84">
        <f t="shared" si="115"/>
        <v>0</v>
      </c>
      <c r="AU99" s="28" t="str">
        <f>IF(AND(AT4=0,AT99&gt;=0), "",AT99/AT4)</f>
        <v/>
      </c>
      <c r="AV99" s="42">
        <f t="shared" si="91"/>
        <v>1</v>
      </c>
      <c r="AW99" s="84">
        <f t="shared" si="67"/>
        <v>1.6666666666666667</v>
      </c>
      <c r="AX99" s="28">
        <f>IF(AND(AW4=0,AW99&gt;=0), "",AW99/AW4)</f>
        <v>7.2463768115942019E-4</v>
      </c>
      <c r="AY99" s="42">
        <f>IF(AND(AW124=0,AW99&gt;=0),"",AW99/AW124)</f>
        <v>6.7114093959731542E-3</v>
      </c>
      <c r="AZ99" s="84">
        <f t="shared" si="103"/>
        <v>0</v>
      </c>
      <c r="BA99" s="28" t="str">
        <f>IF(AND(AZ4=0,AZ99&gt;=0), "",AZ99/AZ4)</f>
        <v/>
      </c>
      <c r="BB99" s="42">
        <f t="shared" si="92"/>
        <v>1</v>
      </c>
      <c r="BC99" s="82">
        <f>+'N EERR'!I182</f>
        <v>0</v>
      </c>
      <c r="BD99" s="28" t="str">
        <f>IF(AND(BC4=0,BC99&gt;=0), "",BC99/BC4)</f>
        <v/>
      </c>
      <c r="BE99" s="42" t="str">
        <f>IF(AND(BC124=0,BC99&gt;=0),"",BC99/BC124)</f>
        <v/>
      </c>
      <c r="BF99" s="28" t="str">
        <f t="shared" si="93"/>
        <v/>
      </c>
      <c r="BG99" s="83">
        <f t="shared" si="116"/>
        <v>10</v>
      </c>
      <c r="BH99" s="28">
        <f>IF(AND(BG4=0,BG99&gt;=0), "",BG99/BG4)</f>
        <v>7.246376811594203E-4</v>
      </c>
      <c r="BI99" s="42">
        <f>IF(AND(BG124=0,BG99&gt;=0),"",BG99/BG124)</f>
        <v>6.7114093959731542E-3</v>
      </c>
      <c r="BJ99" s="82">
        <f>+'N EERR'!J182</f>
        <v>0</v>
      </c>
      <c r="BK99" s="28" t="str">
        <f>IF(AND(BJ4=0,BJ99&gt;=0), "",BJ99/BJ4)</f>
        <v/>
      </c>
      <c r="BL99" s="42" t="str">
        <f>IF(AND(BJ124=0,BJ99&gt;=0),"",BJ99/BJ124)</f>
        <v/>
      </c>
      <c r="BM99" s="28" t="str">
        <f t="shared" si="70"/>
        <v/>
      </c>
      <c r="BN99" s="83">
        <f t="shared" si="117"/>
        <v>10</v>
      </c>
      <c r="BO99" s="28">
        <f>IF(AND(BN4=0,BN99&gt;=0), "",BN99/BN4)</f>
        <v>7.246376811594203E-4</v>
      </c>
      <c r="BP99" s="42">
        <f>IF(AND(BN124=0,BN99&gt;=0),"",BN99/BN124)</f>
        <v>6.7114093959731542E-3</v>
      </c>
      <c r="BQ99" s="82">
        <f>+'N EERR'!K182</f>
        <v>0</v>
      </c>
      <c r="BR99" s="28" t="str">
        <f>IF(AND(BQ4=0,BQ99&gt;=0), "",BQ99/BQ4)</f>
        <v/>
      </c>
      <c r="BS99" s="42" t="str">
        <f>IF(AND(BQ124=0,BQ99&gt;=0),"",BQ99/BQ124)</f>
        <v/>
      </c>
      <c r="BT99" s="28" t="str">
        <f t="shared" si="71"/>
        <v/>
      </c>
      <c r="BU99" s="83">
        <f t="shared" si="118"/>
        <v>10</v>
      </c>
      <c r="BV99" s="28">
        <f>IF(AND(BU4=0,BU99&gt;=0), "",BU99/BU4)</f>
        <v>7.246376811594203E-4</v>
      </c>
      <c r="BW99" s="42">
        <f>IF(AND(BU124=0,BU99&gt;=0),"",BU99/BU124)</f>
        <v>6.7114093959731542E-3</v>
      </c>
      <c r="BX99" s="84">
        <f t="shared" si="119"/>
        <v>0</v>
      </c>
      <c r="BY99" s="28" t="str">
        <f>IF(AND(BX4=0,BX99&gt;=0), "",BX99/BX4)</f>
        <v/>
      </c>
      <c r="BZ99" s="42">
        <f t="shared" si="72"/>
        <v>1</v>
      </c>
      <c r="CA99" s="82">
        <f>+'N EERR'!L182</f>
        <v>0</v>
      </c>
      <c r="CB99" s="28" t="str">
        <f>IF(AND(CA4=0,CA99&gt;=0), "",CA99/CA4)</f>
        <v/>
      </c>
      <c r="CC99" s="42" t="str">
        <f>IF(AND(CA124=0,CA99&gt;=0),"",CA99/CA124)</f>
        <v/>
      </c>
      <c r="CD99" s="28" t="str">
        <f t="shared" si="94"/>
        <v/>
      </c>
      <c r="CE99" s="83">
        <f t="shared" si="120"/>
        <v>10</v>
      </c>
      <c r="CF99" s="28">
        <f>IF(AND(CE4=0,CE99&gt;=0), "",CE99/CE4)</f>
        <v>7.246376811594203E-4</v>
      </c>
      <c r="CG99" s="42">
        <f>IF(AND(CE124=0,CE99&gt;=0),"",CE99/CE124)</f>
        <v>6.7114093959731542E-3</v>
      </c>
      <c r="CH99" s="82">
        <f>+'N EERR'!M182</f>
        <v>0</v>
      </c>
      <c r="CI99" s="28" t="str">
        <f>IF(AND(CH4=0,CH99&gt;=0), "",CH99/CH4)</f>
        <v/>
      </c>
      <c r="CJ99" s="42" t="str">
        <f>IF(AND(CH124=0,CH99&gt;=0),"",CH99/CH124)</f>
        <v/>
      </c>
      <c r="CK99" s="28" t="str">
        <f t="shared" si="73"/>
        <v/>
      </c>
      <c r="CL99" s="83">
        <f t="shared" si="121"/>
        <v>10</v>
      </c>
      <c r="CM99" s="28">
        <f>IF(AND(CL4=0,CL99&gt;=0), "",CL99/CL4)</f>
        <v>7.246376811594203E-4</v>
      </c>
      <c r="CN99" s="42">
        <f>IF(AND(CL124=0,CL99&gt;=0),"",CL99/CL124)</f>
        <v>6.7114093959731542E-3</v>
      </c>
      <c r="CO99" s="82">
        <f>+'N EERR'!N182</f>
        <v>0</v>
      </c>
      <c r="CP99" s="28" t="str">
        <f>IF(AND(CO4=0,CO99&gt;=0), "",CO99/CO4)</f>
        <v/>
      </c>
      <c r="CQ99" s="42" t="str">
        <f>IF(AND(CO124=0,CO99&gt;=0),"",CO99/CO124)</f>
        <v/>
      </c>
      <c r="CR99" s="28" t="str">
        <f t="shared" si="74"/>
        <v/>
      </c>
      <c r="CS99" s="83">
        <f t="shared" si="122"/>
        <v>10</v>
      </c>
      <c r="CT99" s="28">
        <f>IF(AND(CS4=0,CS99&gt;=0), "",CS99/CS4)</f>
        <v>7.246376811594203E-4</v>
      </c>
      <c r="CU99" s="42">
        <f>IF(AND(CS124=0,CS99&gt;=0),"",CS99/CS124)</f>
        <v>6.7114093959731542E-3</v>
      </c>
      <c r="CV99" s="84">
        <f t="shared" si="123"/>
        <v>0</v>
      </c>
      <c r="CW99" s="28" t="str">
        <f>IF(AND(CV4=0,CV99&gt;=0), "",CV99/CV4)</f>
        <v/>
      </c>
      <c r="CX99" s="42">
        <f t="shared" si="75"/>
        <v>1</v>
      </c>
    </row>
    <row r="100" spans="1:219" hidden="1" outlineLevel="1" x14ac:dyDescent="0.25">
      <c r="A100" s="27" t="s">
        <v>88</v>
      </c>
      <c r="B100" s="82">
        <f>+'N EERR'!B183</f>
        <v>0</v>
      </c>
      <c r="C100" s="28" t="str">
        <f>IF(AND(B4=0,B100&gt;=0), "",B100/B4)</f>
        <v/>
      </c>
      <c r="D100" s="42" t="str">
        <f>IF(AND(B124=0,B100&gt;=0),"",B100/B124)</f>
        <v/>
      </c>
      <c r="E100" s="82">
        <f>+'N EERR'!C183</f>
        <v>10</v>
      </c>
      <c r="F100" s="28">
        <f>IF(AND(E4=0,E100&gt;=0), "",E100/E4)</f>
        <v>7.246376811594203E-4</v>
      </c>
      <c r="G100" s="42">
        <f>IF(AND(E124=0,E100&gt;=0),"",E100/E124)</f>
        <v>6.7114093959731542E-3</v>
      </c>
      <c r="H100" s="82">
        <f>+'N EERR'!D183</f>
        <v>0</v>
      </c>
      <c r="I100" s="28" t="str">
        <f>IF(AND(H4=0,H100&gt;=0), "",H100/H4)</f>
        <v/>
      </c>
      <c r="J100" s="42" t="str">
        <f>IF(AND(H124=0,H100&gt;=0),"",H100/H124)</f>
        <v/>
      </c>
      <c r="K100" s="28">
        <f t="shared" si="97"/>
        <v>-1</v>
      </c>
      <c r="L100" s="83">
        <f t="shared" si="112"/>
        <v>10</v>
      </c>
      <c r="M100" s="28">
        <f>IF(AND(L4=0,L100&gt;=0), "",L100/L4)</f>
        <v>7.246376811594203E-4</v>
      </c>
      <c r="N100" s="42">
        <f>IF(AND(L124=0,L100&gt;=0),"",L100/L124)</f>
        <v>6.7114093959731542E-3</v>
      </c>
      <c r="O100" s="82">
        <f>+'N EERR'!E183</f>
        <v>0</v>
      </c>
      <c r="P100" s="28" t="str">
        <f>IF(AND(O4=0,O100&gt;=0), "",O100/O4)</f>
        <v/>
      </c>
      <c r="Q100" s="42" t="str">
        <f>IF(AND(O124=0,O100&gt;=0),"",O100/O124)</f>
        <v/>
      </c>
      <c r="R100" s="28" t="str">
        <f t="shared" si="99"/>
        <v/>
      </c>
      <c r="S100" s="83">
        <f t="shared" si="113"/>
        <v>10</v>
      </c>
      <c r="T100" s="28">
        <f>IF(AND(S4=0,S100&gt;=0), "",S100/S4)</f>
        <v>7.246376811594203E-4</v>
      </c>
      <c r="U100" s="42">
        <f>IF(AND(S124=0,S100&gt;=0),"",S100/S124)</f>
        <v>6.7114093959731542E-3</v>
      </c>
      <c r="V100" s="84"/>
      <c r="W100" s="28" t="str">
        <f>IF(AND(V4=0,V100&gt;=0), "",V100/V4)</f>
        <v/>
      </c>
      <c r="X100" s="42">
        <f t="shared" si="89"/>
        <v>1</v>
      </c>
      <c r="Y100" s="82">
        <f>+'N EERR'!F183</f>
        <v>0</v>
      </c>
      <c r="Z100" s="28" t="str">
        <f>IF(AND(Y4=0,Y100&gt;=0), "",Y100/Y4)</f>
        <v/>
      </c>
      <c r="AA100" s="42" t="str">
        <f>IF(AND(Y124=0,Y100&gt;=0),"",Y100/Y124)</f>
        <v/>
      </c>
      <c r="AB100" s="28" t="str">
        <f t="shared" si="90"/>
        <v/>
      </c>
      <c r="AC100" s="83">
        <f t="shared" si="114"/>
        <v>10</v>
      </c>
      <c r="AD100" s="28">
        <f>IF(AND(AC4=0,AC100&gt;=0), "",AC100/AC4)</f>
        <v>7.246376811594203E-4</v>
      </c>
      <c r="AE100" s="42">
        <f>IF(AND(AC124=0,AC100&gt;=0),"",AC100/AC124)</f>
        <v>6.7114093959731542E-3</v>
      </c>
      <c r="AF100" s="82">
        <f>+'N EERR'!G183</f>
        <v>0</v>
      </c>
      <c r="AG100" s="28" t="str">
        <f>IF(AND(AF4=0,AF100&gt;=0), "",AF100/AF4)</f>
        <v/>
      </c>
      <c r="AH100" s="42" t="str">
        <f>IF(AND(AF124=0,AF100&gt;=0),"",AF100/AF124)</f>
        <v/>
      </c>
      <c r="AI100" s="28" t="str">
        <f t="shared" ref="AI100:AI131" si="124">IF(AND(Y100=0,AF100&gt;0),100%,IF(AND(Y100&lt;0,AF100=0),(Y100-AF100)/Y100,IF(AND(Y100&gt;0,AF100&gt;0),(AF100-Y100)/Y100,IF(AND(Y100=0,AF100=0),"",(AF100-Y100)/Y100))))</f>
        <v/>
      </c>
      <c r="AJ100" s="83">
        <f t="shared" si="95"/>
        <v>10</v>
      </c>
      <c r="AK100" s="28">
        <f>IF(AND(AJ4=0,AJ100&gt;=0), "",AJ100/AJ4)</f>
        <v>7.246376811594203E-4</v>
      </c>
      <c r="AL100" s="42">
        <f>IF(AND(AJ124=0,AJ100&gt;=0),"",AJ100/AJ124)</f>
        <v>6.7114093959731542E-3</v>
      </c>
      <c r="AM100" s="82">
        <f>+'N EERR'!H183</f>
        <v>0</v>
      </c>
      <c r="AN100" s="28" t="str">
        <f>IF(AND(AM4=0,AM100&gt;=0), "",AM100/AM4)</f>
        <v/>
      </c>
      <c r="AO100" s="42" t="str">
        <f>IF(AND(AM124=0,AM100&gt;=0),"",AM100/AM124)</f>
        <v/>
      </c>
      <c r="AP100" s="28" t="str">
        <f t="shared" ref="AP100:AP131" si="125">IF(AND(AF100=0,AM100&gt;0),100%,IF(AND(AF100&lt;0,AM100=0),(AF100-AM100)/AF100,IF(AND(AF100&gt;0,AM100&gt;0),(AM100-AF100)/AF100,IF(AND(AF100=0,AM100=0),"",(AM100-AF100)/AF100))))</f>
        <v/>
      </c>
      <c r="AQ100" s="83">
        <f t="shared" si="96"/>
        <v>10</v>
      </c>
      <c r="AR100" s="28">
        <f>IF(AND(AQ4=0,AQ100&gt;=0), "",AQ100/AQ4)</f>
        <v>7.246376811594203E-4</v>
      </c>
      <c r="AS100" s="42">
        <f>IF(AND(AQ124=0,AQ100&gt;=0),"",AQ100/AQ124)</f>
        <v>6.7114093959731542E-3</v>
      </c>
      <c r="AT100" s="84">
        <f t="shared" si="115"/>
        <v>0</v>
      </c>
      <c r="AU100" s="28" t="str">
        <f>IF(AND(AT4=0,AT100&gt;=0), "",AT100/AT4)</f>
        <v/>
      </c>
      <c r="AV100" s="42">
        <f t="shared" si="91"/>
        <v>1</v>
      </c>
      <c r="AW100" s="84">
        <f t="shared" si="67"/>
        <v>1.6666666666666667</v>
      </c>
      <c r="AX100" s="28">
        <f>IF(AND(AW4=0,AW100&gt;=0), "",AW100/AW4)</f>
        <v>7.2463768115942019E-4</v>
      </c>
      <c r="AY100" s="42">
        <f>IF(AND(AW124=0,AW100&gt;=0),"",AW100/AW124)</f>
        <v>6.7114093959731542E-3</v>
      </c>
      <c r="AZ100" s="84">
        <f t="shared" si="103"/>
        <v>0</v>
      </c>
      <c r="BA100" s="28" t="str">
        <f>IF(AND(AZ4=0,AZ100&gt;=0), "",AZ100/AZ4)</f>
        <v/>
      </c>
      <c r="BB100" s="42">
        <f t="shared" si="92"/>
        <v>1</v>
      </c>
      <c r="BC100" s="82">
        <f>+'N EERR'!I183</f>
        <v>0</v>
      </c>
      <c r="BD100" s="28" t="str">
        <f>IF(AND(BC4=0,BC100&gt;=0), "",BC100/BC4)</f>
        <v/>
      </c>
      <c r="BE100" s="42" t="str">
        <f>IF(AND(BC124=0,BC100&gt;=0),"",BC100/BC124)</f>
        <v/>
      </c>
      <c r="BF100" s="28" t="str">
        <f t="shared" si="93"/>
        <v/>
      </c>
      <c r="BG100" s="83">
        <f t="shared" si="116"/>
        <v>10</v>
      </c>
      <c r="BH100" s="28">
        <f>IF(AND(BG4=0,BG100&gt;=0), "",BG100/BG4)</f>
        <v>7.246376811594203E-4</v>
      </c>
      <c r="BI100" s="42">
        <f>IF(AND(BG124=0,BG100&gt;=0),"",BG100/BG124)</f>
        <v>6.7114093959731542E-3</v>
      </c>
      <c r="BJ100" s="82">
        <f>+'N EERR'!J183</f>
        <v>0</v>
      </c>
      <c r="BK100" s="28" t="str">
        <f>IF(AND(BJ4=0,BJ100&gt;=0), "",BJ100/BJ4)</f>
        <v/>
      </c>
      <c r="BL100" s="42" t="str">
        <f>IF(AND(BJ124=0,BJ100&gt;=0),"",BJ100/BJ124)</f>
        <v/>
      </c>
      <c r="BM100" s="28" t="str">
        <f t="shared" ref="BM100:BM131" si="126">IF(AND(BC100=0,BJ100&gt;0),100%,IF(AND(BC100&lt;0,BJ100=0),(BC100-BJ100)/BC100,IF(AND(BC100&gt;0,BJ100&gt;0),(BJ100-BC100)/BC100,IF(AND(BC100=0,BJ100=0),"",(BJ100-BC100)/BC100))))</f>
        <v/>
      </c>
      <c r="BN100" s="83">
        <f t="shared" si="117"/>
        <v>10</v>
      </c>
      <c r="BO100" s="28">
        <f>IF(AND(BN4=0,BN100&gt;=0), "",BN100/BN4)</f>
        <v>7.246376811594203E-4</v>
      </c>
      <c r="BP100" s="42">
        <f>IF(AND(BN124=0,BN100&gt;=0),"",BN100/BN124)</f>
        <v>6.7114093959731542E-3</v>
      </c>
      <c r="BQ100" s="82">
        <f>+'N EERR'!K183</f>
        <v>0</v>
      </c>
      <c r="BR100" s="28" t="str">
        <f>IF(AND(BQ4=0,BQ100&gt;=0), "",BQ100/BQ4)</f>
        <v/>
      </c>
      <c r="BS100" s="42" t="str">
        <f>IF(AND(BQ124=0,BQ100&gt;=0),"",BQ100/BQ124)</f>
        <v/>
      </c>
      <c r="BT100" s="28" t="str">
        <f t="shared" ref="BT100:BT131" si="127">IF(AND(BJ100=0,BQ100&gt;0),100%,IF(AND(BJ100&lt;0,BQ100=0),(BJ100-BQ100)/BJ100,IF(AND(BJ100&gt;0,BQ100&gt;0),(BQ100-BJ100)/BJ100,IF(AND(BJ100=0,BQ100=0),"",(BQ100-BJ100)/BJ100))))</f>
        <v/>
      </c>
      <c r="BU100" s="83">
        <f t="shared" si="118"/>
        <v>10</v>
      </c>
      <c r="BV100" s="28">
        <f>IF(AND(BU4=0,BU100&gt;=0), "",BU100/BU4)</f>
        <v>7.246376811594203E-4</v>
      </c>
      <c r="BW100" s="42">
        <f>IF(AND(BU124=0,BU100&gt;=0),"",BU100/BU124)</f>
        <v>6.7114093959731542E-3</v>
      </c>
      <c r="BX100" s="84">
        <f t="shared" si="119"/>
        <v>0</v>
      </c>
      <c r="BY100" s="28" t="str">
        <f>IF(AND(BX4=0,BX100&gt;=0), "",BX100/BX4)</f>
        <v/>
      </c>
      <c r="BZ100" s="42">
        <f t="shared" ref="BZ100:BZ131" si="128">IF(AND(BX100=0,BU100&gt;0),100%,IF(AND(BX100&lt;0,BU100=0),(BX100-BU100)/BX100,IF(AND(BX100&gt;0,BU100&gt;0),(BU100-BX100)/BX100,IF(AND(BX100=0,BU100=0),"",(BU100-BX100)/BX100))))</f>
        <v>1</v>
      </c>
      <c r="CA100" s="82">
        <f>+'N EERR'!L183</f>
        <v>0</v>
      </c>
      <c r="CB100" s="28" t="str">
        <f>IF(AND(CA4=0,CA100&gt;=0), "",CA100/CA4)</f>
        <v/>
      </c>
      <c r="CC100" s="42" t="str">
        <f>IF(AND(CA124=0,CA100&gt;=0),"",CA100/CA124)</f>
        <v/>
      </c>
      <c r="CD100" s="28" t="str">
        <f t="shared" si="94"/>
        <v/>
      </c>
      <c r="CE100" s="83">
        <f t="shared" si="120"/>
        <v>10</v>
      </c>
      <c r="CF100" s="28">
        <f>IF(AND(CE4=0,CE100&gt;=0), "",CE100/CE4)</f>
        <v>7.246376811594203E-4</v>
      </c>
      <c r="CG100" s="42">
        <f>IF(AND(CE124=0,CE100&gt;=0),"",CE100/CE124)</f>
        <v>6.7114093959731542E-3</v>
      </c>
      <c r="CH100" s="82">
        <f>+'N EERR'!M183</f>
        <v>0</v>
      </c>
      <c r="CI100" s="28" t="str">
        <f>IF(AND(CH4=0,CH100&gt;=0), "",CH100/CH4)</f>
        <v/>
      </c>
      <c r="CJ100" s="42" t="str">
        <f>IF(AND(CH124=0,CH100&gt;=0),"",CH100/CH124)</f>
        <v/>
      </c>
      <c r="CK100" s="28" t="str">
        <f t="shared" ref="CK100:CK131" si="129">IF(AND(CA100=0,CH100&gt;0),100%,IF(AND(CA100&lt;0,CH100=0),(CA100-CH100)/CA100,IF(AND(CA100&gt;0,CH100&gt;0),(CH100-CA100)/CA100,IF(AND(CA100=0,CH100=0),"",(CH100-CA100)/CA100))))</f>
        <v/>
      </c>
      <c r="CL100" s="83">
        <f t="shared" si="121"/>
        <v>10</v>
      </c>
      <c r="CM100" s="28">
        <f>IF(AND(CL4=0,CL100&gt;=0), "",CL100/CL4)</f>
        <v>7.246376811594203E-4</v>
      </c>
      <c r="CN100" s="42">
        <f>IF(AND(CL124=0,CL100&gt;=0),"",CL100/CL124)</f>
        <v>6.7114093959731542E-3</v>
      </c>
      <c r="CO100" s="82">
        <f>+'N EERR'!N183</f>
        <v>0</v>
      </c>
      <c r="CP100" s="28" t="str">
        <f>IF(AND(CO4=0,CO100&gt;=0), "",CO100/CO4)</f>
        <v/>
      </c>
      <c r="CQ100" s="42" t="str">
        <f>IF(AND(CO124=0,CO100&gt;=0),"",CO100/CO124)</f>
        <v/>
      </c>
      <c r="CR100" s="28" t="str">
        <f t="shared" ref="CR100:CR131" si="130">IF(AND(CH100=0,CO100&gt;0),100%,IF(AND(CH100&lt;0,CO100=0),(CH100-CO100)/CH100,IF(AND(CH100&gt;0,CO100&gt;0),(CO100-CH100)/CH100,IF(AND(CH100=0,CO100=0),"",(CO100-CH100)/CH100))))</f>
        <v/>
      </c>
      <c r="CS100" s="83">
        <f t="shared" si="122"/>
        <v>10</v>
      </c>
      <c r="CT100" s="28">
        <f>IF(AND(CS4=0,CS100&gt;=0), "",CS100/CS4)</f>
        <v>7.246376811594203E-4</v>
      </c>
      <c r="CU100" s="42">
        <f>IF(AND(CS124=0,CS100&gt;=0),"",CS100/CS124)</f>
        <v>6.7114093959731542E-3</v>
      </c>
      <c r="CV100" s="84">
        <f t="shared" si="123"/>
        <v>0</v>
      </c>
      <c r="CW100" s="28" t="str">
        <f>IF(AND(CV4=0,CV100&gt;=0), "",CV100/CV4)</f>
        <v/>
      </c>
      <c r="CX100" s="42">
        <f t="shared" ref="CX100:CX131" si="131">IF(AND(CV100=0,CS100&gt;0),100%,IF(AND(CV100&lt;0,CS100=0),(CV100-CS100)/CV100,IF(AND(CV100&gt;0,CS100&gt;0),(CS100-CV100)/CV100,IF(AND(CV100=0,CS100=0),"",(CS100-CV100)/CV100))))</f>
        <v>1</v>
      </c>
    </row>
    <row r="101" spans="1:219" hidden="1" outlineLevel="1" x14ac:dyDescent="0.25">
      <c r="A101" s="27" t="s">
        <v>89</v>
      </c>
      <c r="B101" s="82">
        <f>+'N EERR'!B184</f>
        <v>0</v>
      </c>
      <c r="C101" s="28" t="str">
        <f>IF(AND(B4=0,B101&gt;=0), "",B101/B4)</f>
        <v/>
      </c>
      <c r="D101" s="42" t="str">
        <f>IF(AND(B124=0,B101&gt;=0),"",B101/B124)</f>
        <v/>
      </c>
      <c r="E101" s="82">
        <f>+'N EERR'!C184</f>
        <v>10</v>
      </c>
      <c r="F101" s="28">
        <f>IF(AND(E4=0,E101&gt;=0), "",E101/E4)</f>
        <v>7.246376811594203E-4</v>
      </c>
      <c r="G101" s="42">
        <f>IF(AND(E124=0,E101&gt;=0),"",E101/E124)</f>
        <v>6.7114093959731542E-3</v>
      </c>
      <c r="H101" s="82">
        <f>+'N EERR'!D184</f>
        <v>0</v>
      </c>
      <c r="I101" s="28" t="str">
        <f>IF(AND(H4=0,H101&gt;=0), "",H101/H4)</f>
        <v/>
      </c>
      <c r="J101" s="42" t="str">
        <f>IF(AND(H124=0,H101&gt;=0),"",H101/H124)</f>
        <v/>
      </c>
      <c r="K101" s="28">
        <f t="shared" si="97"/>
        <v>-1</v>
      </c>
      <c r="L101" s="83">
        <f t="shared" si="112"/>
        <v>10</v>
      </c>
      <c r="M101" s="28">
        <f>IF(AND(L4=0,L101&gt;=0), "",L101/L4)</f>
        <v>7.246376811594203E-4</v>
      </c>
      <c r="N101" s="42">
        <f>IF(AND(L124=0,L101&gt;=0),"",L101/L124)</f>
        <v>6.7114093959731542E-3</v>
      </c>
      <c r="O101" s="82">
        <f>+'N EERR'!E184</f>
        <v>0</v>
      </c>
      <c r="P101" s="28" t="str">
        <f>IF(AND(O4=0,O101&gt;=0), "",O101/O4)</f>
        <v/>
      </c>
      <c r="Q101" s="42" t="str">
        <f>IF(AND(O124=0,O101&gt;=0),"",O101/O124)</f>
        <v/>
      </c>
      <c r="R101" s="28" t="str">
        <f t="shared" si="99"/>
        <v/>
      </c>
      <c r="S101" s="83">
        <f t="shared" si="113"/>
        <v>10</v>
      </c>
      <c r="T101" s="28">
        <f>IF(AND(S4=0,S101&gt;=0), "",S101/S4)</f>
        <v>7.246376811594203E-4</v>
      </c>
      <c r="U101" s="42">
        <f>IF(AND(S124=0,S101&gt;=0),"",S101/S124)</f>
        <v>6.7114093959731542E-3</v>
      </c>
      <c r="V101" s="84"/>
      <c r="W101" s="28" t="str">
        <f>IF(AND(V4=0,V101&gt;=0), "",V101/V4)</f>
        <v/>
      </c>
      <c r="X101" s="42">
        <f t="shared" si="89"/>
        <v>1</v>
      </c>
      <c r="Y101" s="82">
        <f>+'N EERR'!F184</f>
        <v>0</v>
      </c>
      <c r="Z101" s="28" t="str">
        <f>IF(AND(Y4=0,Y101&gt;=0), "",Y101/Y4)</f>
        <v/>
      </c>
      <c r="AA101" s="42" t="str">
        <f>IF(AND(Y124=0,Y101&gt;=0),"",Y101/Y124)</f>
        <v/>
      </c>
      <c r="AB101" s="28" t="str">
        <f t="shared" si="90"/>
        <v/>
      </c>
      <c r="AC101" s="83">
        <f t="shared" si="114"/>
        <v>10</v>
      </c>
      <c r="AD101" s="28">
        <f>IF(AND(AC4=0,AC101&gt;=0), "",AC101/AC4)</f>
        <v>7.246376811594203E-4</v>
      </c>
      <c r="AE101" s="42">
        <f>IF(AND(AC124=0,AC101&gt;=0),"",AC101/AC124)</f>
        <v>6.7114093959731542E-3</v>
      </c>
      <c r="AF101" s="82">
        <f>+'N EERR'!G184</f>
        <v>0</v>
      </c>
      <c r="AG101" s="28" t="str">
        <f>IF(AND(AF4=0,AF101&gt;=0), "",AF101/AF4)</f>
        <v/>
      </c>
      <c r="AH101" s="42" t="str">
        <f>IF(AND(AF124=0,AF101&gt;=0),"",AF101/AF124)</f>
        <v/>
      </c>
      <c r="AI101" s="28" t="str">
        <f t="shared" si="124"/>
        <v/>
      </c>
      <c r="AJ101" s="83">
        <f t="shared" si="95"/>
        <v>10</v>
      </c>
      <c r="AK101" s="28">
        <f>IF(AND(AJ4=0,AJ101&gt;=0), "",AJ101/AJ4)</f>
        <v>7.246376811594203E-4</v>
      </c>
      <c r="AL101" s="42">
        <f>IF(AND(AJ124=0,AJ101&gt;=0),"",AJ101/AJ124)</f>
        <v>6.7114093959731542E-3</v>
      </c>
      <c r="AM101" s="82">
        <f>+'N EERR'!H184</f>
        <v>0</v>
      </c>
      <c r="AN101" s="28" t="str">
        <f>IF(AND(AM4=0,AM101&gt;=0), "",AM101/AM4)</f>
        <v/>
      </c>
      <c r="AO101" s="42" t="str">
        <f>IF(AND(AM124=0,AM101&gt;=0),"",AM101/AM124)</f>
        <v/>
      </c>
      <c r="AP101" s="28" t="str">
        <f t="shared" si="125"/>
        <v/>
      </c>
      <c r="AQ101" s="83">
        <f t="shared" si="96"/>
        <v>10</v>
      </c>
      <c r="AR101" s="28">
        <f>IF(AND(AQ4=0,AQ101&gt;=0), "",AQ101/AQ4)</f>
        <v>7.246376811594203E-4</v>
      </c>
      <c r="AS101" s="42">
        <f>IF(AND(AQ124=0,AQ101&gt;=0),"",AQ101/AQ124)</f>
        <v>6.7114093959731542E-3</v>
      </c>
      <c r="AT101" s="84">
        <f t="shared" si="115"/>
        <v>0</v>
      </c>
      <c r="AU101" s="28" t="str">
        <f>IF(AND(AT4=0,AT101&gt;=0), "",AT101/AT4)</f>
        <v/>
      </c>
      <c r="AV101" s="42">
        <f t="shared" si="91"/>
        <v>1</v>
      </c>
      <c r="AW101" s="84">
        <f t="shared" si="67"/>
        <v>1.6666666666666667</v>
      </c>
      <c r="AX101" s="28">
        <f>IF(AND(AW4=0,AW101&gt;=0), "",AW101/AW4)</f>
        <v>7.2463768115942019E-4</v>
      </c>
      <c r="AY101" s="42">
        <f>IF(AND(AW124=0,AW101&gt;=0),"",AW101/AW124)</f>
        <v>6.7114093959731542E-3</v>
      </c>
      <c r="AZ101" s="84">
        <f t="shared" si="103"/>
        <v>0</v>
      </c>
      <c r="BA101" s="28" t="str">
        <f>IF(AND(AZ4=0,AZ101&gt;=0), "",AZ101/AZ4)</f>
        <v/>
      </c>
      <c r="BB101" s="42">
        <f t="shared" si="92"/>
        <v>1</v>
      </c>
      <c r="BC101" s="82">
        <f>+'N EERR'!I184</f>
        <v>0</v>
      </c>
      <c r="BD101" s="28" t="str">
        <f>IF(AND(BC4=0,BC101&gt;=0), "",BC101/BC4)</f>
        <v/>
      </c>
      <c r="BE101" s="42" t="str">
        <f>IF(AND(BC124=0,BC101&gt;=0),"",BC101/BC124)</f>
        <v/>
      </c>
      <c r="BF101" s="28" t="str">
        <f t="shared" si="93"/>
        <v/>
      </c>
      <c r="BG101" s="83">
        <f t="shared" si="116"/>
        <v>10</v>
      </c>
      <c r="BH101" s="28">
        <f>IF(AND(BG4=0,BG101&gt;=0), "",BG101/BG4)</f>
        <v>7.246376811594203E-4</v>
      </c>
      <c r="BI101" s="42">
        <f>IF(AND(BG124=0,BG101&gt;=0),"",BG101/BG124)</f>
        <v>6.7114093959731542E-3</v>
      </c>
      <c r="BJ101" s="82">
        <f>+'N EERR'!J184</f>
        <v>0</v>
      </c>
      <c r="BK101" s="28" t="str">
        <f>IF(AND(BJ4=0,BJ101&gt;=0), "",BJ101/BJ4)</f>
        <v/>
      </c>
      <c r="BL101" s="42" t="str">
        <f>IF(AND(BJ124=0,BJ101&gt;=0),"",BJ101/BJ124)</f>
        <v/>
      </c>
      <c r="BM101" s="28" t="str">
        <f t="shared" si="126"/>
        <v/>
      </c>
      <c r="BN101" s="83">
        <f t="shared" si="117"/>
        <v>10</v>
      </c>
      <c r="BO101" s="28">
        <f>IF(AND(BN4=0,BN101&gt;=0), "",BN101/BN4)</f>
        <v>7.246376811594203E-4</v>
      </c>
      <c r="BP101" s="42">
        <f>IF(AND(BN124=0,BN101&gt;=0),"",BN101/BN124)</f>
        <v>6.7114093959731542E-3</v>
      </c>
      <c r="BQ101" s="82">
        <f>+'N EERR'!K184</f>
        <v>0</v>
      </c>
      <c r="BR101" s="28" t="str">
        <f>IF(AND(BQ4=0,BQ101&gt;=0), "",BQ101/BQ4)</f>
        <v/>
      </c>
      <c r="BS101" s="42" t="str">
        <f>IF(AND(BQ124=0,BQ101&gt;=0),"",BQ101/BQ124)</f>
        <v/>
      </c>
      <c r="BT101" s="28" t="str">
        <f t="shared" si="127"/>
        <v/>
      </c>
      <c r="BU101" s="83">
        <f t="shared" si="118"/>
        <v>10</v>
      </c>
      <c r="BV101" s="28">
        <f>IF(AND(BU4=0,BU101&gt;=0), "",BU101/BU4)</f>
        <v>7.246376811594203E-4</v>
      </c>
      <c r="BW101" s="42">
        <f>IF(AND(BU124=0,BU101&gt;=0),"",BU101/BU124)</f>
        <v>6.7114093959731542E-3</v>
      </c>
      <c r="BX101" s="84">
        <f t="shared" si="119"/>
        <v>0</v>
      </c>
      <c r="BY101" s="28" t="str">
        <f>IF(AND(BX4=0,BX101&gt;=0), "",BX101/BX4)</f>
        <v/>
      </c>
      <c r="BZ101" s="42">
        <f t="shared" si="128"/>
        <v>1</v>
      </c>
      <c r="CA101" s="82">
        <f>+'N EERR'!L184</f>
        <v>0</v>
      </c>
      <c r="CB101" s="28" t="str">
        <f>IF(AND(CA4=0,CA101&gt;=0), "",CA101/CA4)</f>
        <v/>
      </c>
      <c r="CC101" s="42" t="str">
        <f>IF(AND(CA124=0,CA101&gt;=0),"",CA101/CA124)</f>
        <v/>
      </c>
      <c r="CD101" s="28" t="str">
        <f t="shared" si="94"/>
        <v/>
      </c>
      <c r="CE101" s="83">
        <f t="shared" si="120"/>
        <v>10</v>
      </c>
      <c r="CF101" s="28">
        <f>IF(AND(CE4=0,CE101&gt;=0), "",CE101/CE4)</f>
        <v>7.246376811594203E-4</v>
      </c>
      <c r="CG101" s="42">
        <f>IF(AND(CE124=0,CE101&gt;=0),"",CE101/CE124)</f>
        <v>6.7114093959731542E-3</v>
      </c>
      <c r="CH101" s="82">
        <f>+'N EERR'!M184</f>
        <v>0</v>
      </c>
      <c r="CI101" s="28" t="str">
        <f>IF(AND(CH4=0,CH101&gt;=0), "",CH101/CH4)</f>
        <v/>
      </c>
      <c r="CJ101" s="42" t="str">
        <f>IF(AND(CH124=0,CH101&gt;=0),"",CH101/CH124)</f>
        <v/>
      </c>
      <c r="CK101" s="28" t="str">
        <f t="shared" si="129"/>
        <v/>
      </c>
      <c r="CL101" s="83">
        <f t="shared" si="121"/>
        <v>10</v>
      </c>
      <c r="CM101" s="28">
        <f>IF(AND(CL4=0,CL101&gt;=0), "",CL101/CL4)</f>
        <v>7.246376811594203E-4</v>
      </c>
      <c r="CN101" s="42">
        <f>IF(AND(CL124=0,CL101&gt;=0),"",CL101/CL124)</f>
        <v>6.7114093959731542E-3</v>
      </c>
      <c r="CO101" s="82">
        <f>+'N EERR'!N184</f>
        <v>0</v>
      </c>
      <c r="CP101" s="28" t="str">
        <f>IF(AND(CO4=0,CO101&gt;=0), "",CO101/CO4)</f>
        <v/>
      </c>
      <c r="CQ101" s="42" t="str">
        <f>IF(AND(CO124=0,CO101&gt;=0),"",CO101/CO124)</f>
        <v/>
      </c>
      <c r="CR101" s="28" t="str">
        <f t="shared" si="130"/>
        <v/>
      </c>
      <c r="CS101" s="83">
        <f t="shared" si="122"/>
        <v>10</v>
      </c>
      <c r="CT101" s="28">
        <f>IF(AND(CS4=0,CS101&gt;=0), "",CS101/CS4)</f>
        <v>7.246376811594203E-4</v>
      </c>
      <c r="CU101" s="42">
        <f>IF(AND(CS124=0,CS101&gt;=0),"",CS101/CS124)</f>
        <v>6.7114093959731542E-3</v>
      </c>
      <c r="CV101" s="84">
        <f t="shared" si="123"/>
        <v>0</v>
      </c>
      <c r="CW101" s="28" t="str">
        <f>IF(AND(CV4=0,CV101&gt;=0), "",CV101/CV4)</f>
        <v/>
      </c>
      <c r="CX101" s="42">
        <f t="shared" si="131"/>
        <v>1</v>
      </c>
    </row>
    <row r="102" spans="1:219" hidden="1" outlineLevel="1" x14ac:dyDescent="0.25">
      <c r="A102" s="27" t="s">
        <v>90</v>
      </c>
      <c r="B102" s="82">
        <f>+'N EERR'!B185</f>
        <v>0</v>
      </c>
      <c r="C102" s="28" t="str">
        <f>IF(AND(B4=0,B102&gt;=0), "",B102/B4)</f>
        <v/>
      </c>
      <c r="D102" s="42" t="str">
        <f>IF(AND(B124=0,B102&gt;=0),"",B102/B124)</f>
        <v/>
      </c>
      <c r="E102" s="82">
        <f>+'N EERR'!C185</f>
        <v>10</v>
      </c>
      <c r="F102" s="28">
        <f>IF(AND(E4=0,E102&gt;=0), "",E102/E4)</f>
        <v>7.246376811594203E-4</v>
      </c>
      <c r="G102" s="42">
        <f>IF(AND(E124=0,E102&gt;=0),"",E102/E124)</f>
        <v>6.7114093959731542E-3</v>
      </c>
      <c r="H102" s="82">
        <f>+'N EERR'!D185</f>
        <v>0</v>
      </c>
      <c r="I102" s="28" t="str">
        <f>IF(AND(H4=0,H102&gt;=0), "",H102/H4)</f>
        <v/>
      </c>
      <c r="J102" s="42" t="str">
        <f>IF(AND(H124=0,H102&gt;=0),"",H102/H124)</f>
        <v/>
      </c>
      <c r="K102" s="28">
        <f t="shared" si="97"/>
        <v>-1</v>
      </c>
      <c r="L102" s="83">
        <f t="shared" si="112"/>
        <v>10</v>
      </c>
      <c r="M102" s="28">
        <f>IF(AND(L4=0,L102&gt;=0), "",L102/L4)</f>
        <v>7.246376811594203E-4</v>
      </c>
      <c r="N102" s="42">
        <f>IF(AND(L124=0,L102&gt;=0),"",L102/L124)</f>
        <v>6.7114093959731542E-3</v>
      </c>
      <c r="O102" s="82">
        <f>+'N EERR'!E185</f>
        <v>0</v>
      </c>
      <c r="P102" s="28" t="str">
        <f>IF(AND(O4=0,O102&gt;=0), "",O102/O4)</f>
        <v/>
      </c>
      <c r="Q102" s="42" t="str">
        <f>IF(AND(O124=0,O102&gt;=0),"",O102/O124)</f>
        <v/>
      </c>
      <c r="R102" s="28" t="str">
        <f t="shared" si="99"/>
        <v/>
      </c>
      <c r="S102" s="83">
        <f t="shared" si="113"/>
        <v>10</v>
      </c>
      <c r="T102" s="28">
        <f>IF(AND(S4=0,S102&gt;=0), "",S102/S4)</f>
        <v>7.246376811594203E-4</v>
      </c>
      <c r="U102" s="42">
        <f>IF(AND(S124=0,S102&gt;=0),"",S102/S124)</f>
        <v>6.7114093959731542E-3</v>
      </c>
      <c r="V102" s="84"/>
      <c r="W102" s="28" t="str">
        <f>IF(AND(V4=0,V102&gt;=0), "",V102/V4)</f>
        <v/>
      </c>
      <c r="X102" s="42">
        <f t="shared" ref="X102:X114" si="132">IF(AND(V102=0,S102&gt;0),100%,IF(AND(V102&lt;0,S102=0),(V102-S102)/V102,IF(AND(V102&gt;0,S102&gt;0),(S102-V102)/V102,IF(AND(V102=0,S102=0),"",(S102-V102)/V102))))</f>
        <v>1</v>
      </c>
      <c r="Y102" s="82">
        <f>+'N EERR'!F185</f>
        <v>0</v>
      </c>
      <c r="Z102" s="28" t="str">
        <f>IF(AND(Y4=0,Y102&gt;=0), "",Y102/Y4)</f>
        <v/>
      </c>
      <c r="AA102" s="42" t="str">
        <f>IF(AND(Y124=0,Y102&gt;=0),"",Y102/Y124)</f>
        <v/>
      </c>
      <c r="AB102" s="28" t="str">
        <f t="shared" ref="AB102:AB114" si="133">IF(AND(O102=0,Y102&gt;0),100%,IF(AND(O102&lt;0,Y102=0),(O102-Y102)/O102,IF(AND(O102&gt;0,Y102&gt;0),(Y102-O102)/O102,IF(AND(O102=0,Y102=0),"",(Y102-O102)/O102))))</f>
        <v/>
      </c>
      <c r="AC102" s="83">
        <f t="shared" si="114"/>
        <v>10</v>
      </c>
      <c r="AD102" s="28">
        <f>IF(AND(AC4=0,AC102&gt;=0), "",AC102/AC4)</f>
        <v>7.246376811594203E-4</v>
      </c>
      <c r="AE102" s="42">
        <f>IF(AND(AC124=0,AC102&gt;=0),"",AC102/AC124)</f>
        <v>6.7114093959731542E-3</v>
      </c>
      <c r="AF102" s="82">
        <f>+'N EERR'!G185</f>
        <v>0</v>
      </c>
      <c r="AG102" s="28" t="str">
        <f>IF(AND(AF4=0,AF102&gt;=0), "",AF102/AF4)</f>
        <v/>
      </c>
      <c r="AH102" s="42" t="str">
        <f>IF(AND(AF124=0,AF102&gt;=0),"",AF102/AF124)</f>
        <v/>
      </c>
      <c r="AI102" s="28" t="str">
        <f t="shared" si="124"/>
        <v/>
      </c>
      <c r="AJ102" s="83">
        <f t="shared" si="95"/>
        <v>10</v>
      </c>
      <c r="AK102" s="28">
        <f>IF(AND(AJ4=0,AJ102&gt;=0), "",AJ102/AJ4)</f>
        <v>7.246376811594203E-4</v>
      </c>
      <c r="AL102" s="42">
        <f>IF(AND(AJ124=0,AJ102&gt;=0),"",AJ102/AJ124)</f>
        <v>6.7114093959731542E-3</v>
      </c>
      <c r="AM102" s="82">
        <f>+'N EERR'!H185</f>
        <v>0</v>
      </c>
      <c r="AN102" s="28" t="str">
        <f>IF(AND(AM4=0,AM102&gt;=0), "",AM102/AM4)</f>
        <v/>
      </c>
      <c r="AO102" s="42" t="str">
        <f>IF(AND(AM124=0,AM102&gt;=0),"",AM102/AM124)</f>
        <v/>
      </c>
      <c r="AP102" s="28" t="str">
        <f t="shared" si="125"/>
        <v/>
      </c>
      <c r="AQ102" s="83">
        <f t="shared" si="96"/>
        <v>10</v>
      </c>
      <c r="AR102" s="28">
        <f>IF(AND(AQ4=0,AQ102&gt;=0), "",AQ102/AQ4)</f>
        <v>7.246376811594203E-4</v>
      </c>
      <c r="AS102" s="42">
        <f>IF(AND(AQ124=0,AQ102&gt;=0),"",AQ102/AQ124)</f>
        <v>6.7114093959731542E-3</v>
      </c>
      <c r="AT102" s="84">
        <f t="shared" si="115"/>
        <v>0</v>
      </c>
      <c r="AU102" s="28" t="str">
        <f>IF(AND(AT4=0,AT102&gt;=0), "",AT102/AT4)</f>
        <v/>
      </c>
      <c r="AV102" s="42">
        <f t="shared" ref="AV102:AV114" si="134">IF(AND(AT102=0,AQ102&gt;0),100%,IF(AND(AT102&lt;0,AQ102=0),(AT102-AQ102)/AT102,IF(AND(AT102&gt;0,AQ102&gt;0),(AQ102-AT102)/AT102,IF(AND(AT102=0,AQ102=0),"",(AQ102-AT102)/AT102))))</f>
        <v>1</v>
      </c>
      <c r="AW102" s="84">
        <f t="shared" si="67"/>
        <v>1.6666666666666667</v>
      </c>
      <c r="AX102" s="28">
        <f>IF(AND(AW4=0,AW102&gt;=0), "",AW102/AW4)</f>
        <v>7.2463768115942019E-4</v>
      </c>
      <c r="AY102" s="42">
        <f>IF(AND(AW124=0,AW102&gt;=0),"",AW102/AW124)</f>
        <v>6.7114093959731542E-3</v>
      </c>
      <c r="AZ102" s="84">
        <f t="shared" si="103"/>
        <v>0</v>
      </c>
      <c r="BA102" s="28" t="str">
        <f>IF(AND(AZ4=0,AZ102&gt;=0), "",AZ102/AZ4)</f>
        <v/>
      </c>
      <c r="BB102" s="42">
        <f t="shared" ref="BB102:BB114" si="135">IF(AND(AZ102=0,AW102&gt;0),100%,IF(AND(AZ102&lt;0,AW102=0),(AZ102-AW102)/AZ102,IF(AND(AZ102&gt;0,AW102&gt;0),(AW102-AZ102)/AZ102,IF(AND(AZ102=0,AW102=0),"",(AW102-AZ102)/AZ102))))</f>
        <v>1</v>
      </c>
      <c r="BC102" s="82">
        <f>+'N EERR'!I185</f>
        <v>0</v>
      </c>
      <c r="BD102" s="28" t="str">
        <f>IF(AND(BC4=0,BC102&gt;=0), "",BC102/BC4)</f>
        <v/>
      </c>
      <c r="BE102" s="42" t="str">
        <f>IF(AND(BC124=0,BC102&gt;=0),"",BC102/BC124)</f>
        <v/>
      </c>
      <c r="BF102" s="28" t="str">
        <f t="shared" ref="BF102:BF114" si="136">IF(AND(AM102=0,BC102&gt;0),100%,IF(AND(AM102&lt;0,BC102=0),(AM102-BC102)/AM102,IF(AND(AM102&gt;0,BC102&gt;0),(BC102-AM102)/AM102,IF(AND(AM102=0,BC102=0),"",(BC102-AM102)/AM102))))</f>
        <v/>
      </c>
      <c r="BG102" s="83">
        <f t="shared" si="116"/>
        <v>10</v>
      </c>
      <c r="BH102" s="28">
        <f>IF(AND(BG4=0,BG102&gt;=0), "",BG102/BG4)</f>
        <v>7.246376811594203E-4</v>
      </c>
      <c r="BI102" s="42">
        <f>IF(AND(BG124=0,BG102&gt;=0),"",BG102/BG124)</f>
        <v>6.7114093959731542E-3</v>
      </c>
      <c r="BJ102" s="82">
        <f>+'N EERR'!J185</f>
        <v>0</v>
      </c>
      <c r="BK102" s="28" t="str">
        <f>IF(AND(BJ4=0,BJ102&gt;=0), "",BJ102/BJ4)</f>
        <v/>
      </c>
      <c r="BL102" s="42" t="str">
        <f>IF(AND(BJ124=0,BJ102&gt;=0),"",BJ102/BJ124)</f>
        <v/>
      </c>
      <c r="BM102" s="28" t="str">
        <f t="shared" si="126"/>
        <v/>
      </c>
      <c r="BN102" s="83">
        <f t="shared" si="117"/>
        <v>10</v>
      </c>
      <c r="BO102" s="28">
        <f>IF(AND(BN4=0,BN102&gt;=0), "",BN102/BN4)</f>
        <v>7.246376811594203E-4</v>
      </c>
      <c r="BP102" s="42">
        <f>IF(AND(BN124=0,BN102&gt;=0),"",BN102/BN124)</f>
        <v>6.7114093959731542E-3</v>
      </c>
      <c r="BQ102" s="82">
        <f>+'N EERR'!K185</f>
        <v>0</v>
      </c>
      <c r="BR102" s="28" t="str">
        <f>IF(AND(BQ4=0,BQ102&gt;=0), "",BQ102/BQ4)</f>
        <v/>
      </c>
      <c r="BS102" s="42" t="str">
        <f>IF(AND(BQ124=0,BQ102&gt;=0),"",BQ102/BQ124)</f>
        <v/>
      </c>
      <c r="BT102" s="28" t="str">
        <f t="shared" si="127"/>
        <v/>
      </c>
      <c r="BU102" s="83">
        <f t="shared" si="118"/>
        <v>10</v>
      </c>
      <c r="BV102" s="28">
        <f>IF(AND(BU4=0,BU102&gt;=0), "",BU102/BU4)</f>
        <v>7.246376811594203E-4</v>
      </c>
      <c r="BW102" s="42">
        <f>IF(AND(BU124=0,BU102&gt;=0),"",BU102/BU124)</f>
        <v>6.7114093959731542E-3</v>
      </c>
      <c r="BX102" s="84">
        <f t="shared" si="119"/>
        <v>0</v>
      </c>
      <c r="BY102" s="28" t="str">
        <f>IF(AND(BX4=0,BX102&gt;=0), "",BX102/BX4)</f>
        <v/>
      </c>
      <c r="BZ102" s="42">
        <f t="shared" si="128"/>
        <v>1</v>
      </c>
      <c r="CA102" s="82">
        <f>+'N EERR'!L185</f>
        <v>0</v>
      </c>
      <c r="CB102" s="28" t="str">
        <f>IF(AND(CA4=0,CA102&gt;=0), "",CA102/CA4)</f>
        <v/>
      </c>
      <c r="CC102" s="42" t="str">
        <f>IF(AND(CA124=0,CA102&gt;=0),"",CA102/CA124)</f>
        <v/>
      </c>
      <c r="CD102" s="28" t="str">
        <f t="shared" ref="CD102:CD114" si="137">IF(AND(BQ102=0,CA102&gt;0),100%,IF(AND(BQ102&lt;0,CA102=0),(BQ102-CA102)/BQ102,IF(AND(BQ102&gt;0,CA102&gt;0),(CA102-BQ102)/BQ102,IF(AND(BQ102=0,CA102=0),"",(CA102-BQ102)/BQ102))))</f>
        <v/>
      </c>
      <c r="CE102" s="83">
        <f t="shared" si="120"/>
        <v>10</v>
      </c>
      <c r="CF102" s="28">
        <f>IF(AND(CE4=0,CE102&gt;=0), "",CE102/CE4)</f>
        <v>7.246376811594203E-4</v>
      </c>
      <c r="CG102" s="42">
        <f>IF(AND(CE124=0,CE102&gt;=0),"",CE102/CE124)</f>
        <v>6.7114093959731542E-3</v>
      </c>
      <c r="CH102" s="82">
        <f>+'N EERR'!M185</f>
        <v>0</v>
      </c>
      <c r="CI102" s="28" t="str">
        <f>IF(AND(CH4=0,CH102&gt;=0), "",CH102/CH4)</f>
        <v/>
      </c>
      <c r="CJ102" s="42" t="str">
        <f>IF(AND(CH124=0,CH102&gt;=0),"",CH102/CH124)</f>
        <v/>
      </c>
      <c r="CK102" s="28" t="str">
        <f t="shared" si="129"/>
        <v/>
      </c>
      <c r="CL102" s="83">
        <f t="shared" si="121"/>
        <v>10</v>
      </c>
      <c r="CM102" s="28">
        <f>IF(AND(CL4=0,CL102&gt;=0), "",CL102/CL4)</f>
        <v>7.246376811594203E-4</v>
      </c>
      <c r="CN102" s="42">
        <f>IF(AND(CL124=0,CL102&gt;=0),"",CL102/CL124)</f>
        <v>6.7114093959731542E-3</v>
      </c>
      <c r="CO102" s="82">
        <f>+'N EERR'!N185</f>
        <v>0</v>
      </c>
      <c r="CP102" s="28" t="str">
        <f>IF(AND(CO4=0,CO102&gt;=0), "",CO102/CO4)</f>
        <v/>
      </c>
      <c r="CQ102" s="42" t="str">
        <f>IF(AND(CO124=0,CO102&gt;=0),"",CO102/CO124)</f>
        <v/>
      </c>
      <c r="CR102" s="28" t="str">
        <f t="shared" si="130"/>
        <v/>
      </c>
      <c r="CS102" s="83">
        <f t="shared" si="122"/>
        <v>10</v>
      </c>
      <c r="CT102" s="28">
        <f>IF(AND(CS4=0,CS102&gt;=0), "",CS102/CS4)</f>
        <v>7.246376811594203E-4</v>
      </c>
      <c r="CU102" s="42">
        <f>IF(AND(CS124=0,CS102&gt;=0),"",CS102/CS124)</f>
        <v>6.7114093959731542E-3</v>
      </c>
      <c r="CV102" s="84">
        <f t="shared" si="123"/>
        <v>0</v>
      </c>
      <c r="CW102" s="28" t="str">
        <f>IF(AND(CV4=0,CV102&gt;=0), "",CV102/CV4)</f>
        <v/>
      </c>
      <c r="CX102" s="42">
        <f t="shared" si="131"/>
        <v>1</v>
      </c>
    </row>
    <row r="103" spans="1:219" hidden="1" outlineLevel="1" x14ac:dyDescent="0.25">
      <c r="A103" s="27"/>
      <c r="B103" s="82"/>
      <c r="C103" s="15"/>
      <c r="D103" s="41"/>
      <c r="E103" s="82"/>
      <c r="F103" s="15"/>
      <c r="G103" s="41"/>
      <c r="H103" s="82"/>
      <c r="I103" s="15"/>
      <c r="J103" s="41"/>
      <c r="K103" s="29" t="str">
        <f t="shared" si="97"/>
        <v/>
      </c>
      <c r="M103" s="15"/>
      <c r="N103" s="41"/>
      <c r="O103" s="82"/>
      <c r="P103" s="15"/>
      <c r="Q103" s="41"/>
      <c r="R103" s="29" t="str">
        <f t="shared" si="99"/>
        <v/>
      </c>
      <c r="T103" s="15"/>
      <c r="U103" s="41"/>
      <c r="V103" s="84"/>
      <c r="W103" s="15"/>
      <c r="X103" s="52" t="str">
        <f t="shared" si="132"/>
        <v/>
      </c>
      <c r="Y103" s="82"/>
      <c r="Z103" s="15"/>
      <c r="AA103" s="41"/>
      <c r="AB103" s="29" t="str">
        <f t="shared" si="133"/>
        <v/>
      </c>
      <c r="AC103" s="83">
        <f t="shared" si="114"/>
        <v>0</v>
      </c>
      <c r="AD103" s="15"/>
      <c r="AE103" s="41"/>
      <c r="AF103" s="82"/>
      <c r="AG103" s="15"/>
      <c r="AH103" s="41"/>
      <c r="AI103" s="29" t="str">
        <f t="shared" si="124"/>
        <v/>
      </c>
      <c r="AJ103" s="83">
        <f t="shared" si="95"/>
        <v>0</v>
      </c>
      <c r="AK103" s="15"/>
      <c r="AL103" s="41"/>
      <c r="AM103" s="82"/>
      <c r="AN103" s="15"/>
      <c r="AO103" s="41"/>
      <c r="AP103" s="29" t="str">
        <f t="shared" si="125"/>
        <v/>
      </c>
      <c r="AQ103" s="83">
        <f t="shared" si="96"/>
        <v>0</v>
      </c>
      <c r="AR103" s="15"/>
      <c r="AS103" s="41"/>
      <c r="AT103" s="84"/>
      <c r="AU103" s="15"/>
      <c r="AV103" s="52" t="str">
        <f t="shared" si="134"/>
        <v/>
      </c>
      <c r="AW103" s="84"/>
      <c r="AX103" s="15"/>
      <c r="AY103" s="41"/>
      <c r="AZ103" s="84"/>
      <c r="BA103" s="15"/>
      <c r="BB103" s="52" t="str">
        <f t="shared" si="135"/>
        <v/>
      </c>
      <c r="BC103" s="82"/>
      <c r="BD103" s="15"/>
      <c r="BE103" s="41"/>
      <c r="BF103" s="29" t="str">
        <f t="shared" si="136"/>
        <v/>
      </c>
      <c r="BG103" s="83">
        <f t="shared" si="116"/>
        <v>0</v>
      </c>
      <c r="BH103" s="15"/>
      <c r="BI103" s="41"/>
      <c r="BJ103" s="82"/>
      <c r="BK103" s="15"/>
      <c r="BL103" s="41"/>
      <c r="BM103" s="29" t="str">
        <f t="shared" si="126"/>
        <v/>
      </c>
      <c r="BN103" s="83">
        <f t="shared" si="117"/>
        <v>0</v>
      </c>
      <c r="BO103" s="15"/>
      <c r="BP103" s="41"/>
      <c r="BQ103" s="82"/>
      <c r="BR103" s="15"/>
      <c r="BS103" s="41"/>
      <c r="BT103" s="29" t="str">
        <f t="shared" si="127"/>
        <v/>
      </c>
      <c r="BU103" s="83">
        <f t="shared" si="118"/>
        <v>0</v>
      </c>
      <c r="BV103" s="15"/>
      <c r="BW103" s="41"/>
      <c r="BX103" s="84"/>
      <c r="BY103" s="15"/>
      <c r="BZ103" s="52" t="str">
        <f t="shared" si="128"/>
        <v/>
      </c>
      <c r="CA103" s="82"/>
      <c r="CB103" s="15"/>
      <c r="CC103" s="41"/>
      <c r="CD103" s="29" t="str">
        <f t="shared" si="137"/>
        <v/>
      </c>
      <c r="CE103" s="83">
        <f t="shared" si="120"/>
        <v>0</v>
      </c>
      <c r="CF103" s="15"/>
      <c r="CG103" s="41"/>
      <c r="CH103" s="82"/>
      <c r="CI103" s="15"/>
      <c r="CJ103" s="41"/>
      <c r="CK103" s="29" t="str">
        <f t="shared" si="129"/>
        <v/>
      </c>
      <c r="CL103" s="83">
        <f t="shared" si="121"/>
        <v>0</v>
      </c>
      <c r="CM103" s="15"/>
      <c r="CN103" s="41"/>
      <c r="CO103" s="82"/>
      <c r="CP103" s="15"/>
      <c r="CQ103" s="41"/>
      <c r="CR103" s="29" t="str">
        <f t="shared" si="130"/>
        <v/>
      </c>
      <c r="CS103" s="83">
        <f t="shared" si="122"/>
        <v>0</v>
      </c>
      <c r="CT103" s="15"/>
      <c r="CU103" s="41"/>
      <c r="CV103" s="84"/>
      <c r="CW103" s="15"/>
      <c r="CX103" s="52" t="str">
        <f t="shared" si="131"/>
        <v/>
      </c>
    </row>
    <row r="104" spans="1:219" s="6" customFormat="1" collapsed="1" x14ac:dyDescent="0.25">
      <c r="A104" s="34" t="s">
        <v>35</v>
      </c>
      <c r="B104" s="79">
        <f>SUM(B105:B107)</f>
        <v>0</v>
      </c>
      <c r="C104" s="35" t="str">
        <f>IF(AND(B4=0,B104&gt;=0), "",B104/B4)</f>
        <v/>
      </c>
      <c r="D104" s="38" t="str">
        <f>IF(AND(B124=0,B104&gt;=0),"",B104/B124)</f>
        <v/>
      </c>
      <c r="E104" s="79">
        <f>SUM(E105:E107)</f>
        <v>30</v>
      </c>
      <c r="F104" s="35">
        <f>IF(AND(E4=0,E104&gt;=0), "",E104/E4)</f>
        <v>2.1739130434782609E-3</v>
      </c>
      <c r="G104" s="38">
        <f>IF(AND(E124=0,E104&gt;=0),"",E104/E124)</f>
        <v>2.0134228187919462E-2</v>
      </c>
      <c r="H104" s="79">
        <f>SUM(H105:H107)</f>
        <v>0</v>
      </c>
      <c r="I104" s="35" t="str">
        <f>IF(AND(H4=0,H104&gt;=0), "",H104/H4)</f>
        <v/>
      </c>
      <c r="J104" s="38" t="str">
        <f>IF(AND(H124=0,H104&gt;=0),"",H104/H124)</f>
        <v/>
      </c>
      <c r="K104" s="35">
        <f t="shared" si="97"/>
        <v>-1</v>
      </c>
      <c r="L104" s="80">
        <f>SUM(L105:L107)</f>
        <v>30</v>
      </c>
      <c r="M104" s="35">
        <f>IF(AND(L4=0,L104&gt;=0), "",L104/L4)</f>
        <v>2.1739130434782609E-3</v>
      </c>
      <c r="N104" s="38">
        <f>IF(AND(L124=0,L104&gt;=0),"",L104/L124)</f>
        <v>2.0134228187919462E-2</v>
      </c>
      <c r="O104" s="79">
        <f>SUM(O105:O107)</f>
        <v>0</v>
      </c>
      <c r="P104" s="35" t="str">
        <f>IF(AND(O4=0,O104&gt;=0), "",O104/O4)</f>
        <v/>
      </c>
      <c r="Q104" s="38" t="str">
        <f>IF(AND(O124=0,O104&gt;=0),"",O104/O124)</f>
        <v/>
      </c>
      <c r="R104" s="35" t="str">
        <f t="shared" si="99"/>
        <v/>
      </c>
      <c r="S104" s="80">
        <f>SUM(S105:S107)</f>
        <v>30</v>
      </c>
      <c r="T104" s="35">
        <f>IF(AND(S4=0,S104&gt;=0), "",S104/S4)</f>
        <v>2.1739130434782609E-3</v>
      </c>
      <c r="U104" s="38">
        <f>IF(AND(S124=0,S104&gt;=0),"",S104/S124)</f>
        <v>2.0134228187919462E-2</v>
      </c>
      <c r="V104" s="81">
        <f>SUM(V105:V107)</f>
        <v>0</v>
      </c>
      <c r="W104" s="35" t="str">
        <f>IF(AND(V4=0,V104&gt;=0), "",V104/V4)</f>
        <v/>
      </c>
      <c r="X104" s="51">
        <f t="shared" si="132"/>
        <v>1</v>
      </c>
      <c r="Y104" s="79">
        <f>SUM(Y105:Y107)</f>
        <v>0</v>
      </c>
      <c r="Z104" s="35" t="str">
        <f>IF(AND(Y4=0,Y104&gt;=0), "",Y104/Y4)</f>
        <v/>
      </c>
      <c r="AA104" s="38" t="str">
        <f>IF(AND(Y124=0,Y104&gt;=0),"",Y104/Y124)</f>
        <v/>
      </c>
      <c r="AB104" s="35" t="str">
        <f t="shared" si="133"/>
        <v/>
      </c>
      <c r="AC104" s="80">
        <f>SUM(AC105:AC107)</f>
        <v>30</v>
      </c>
      <c r="AD104" s="35">
        <f>IF(AND(AC4=0,AC104&gt;=0), "",AC104/AC4)</f>
        <v>2.1739130434782609E-3</v>
      </c>
      <c r="AE104" s="38">
        <f>IF(AND(AC124=0,AC104&gt;=0),"",AC104/AC124)</f>
        <v>2.0134228187919462E-2</v>
      </c>
      <c r="AF104" s="79">
        <f>SUM(AF105:AF107)</f>
        <v>0</v>
      </c>
      <c r="AG104" s="35" t="str">
        <f>IF(AND(AF4=0,AF104&gt;=0), "",AF104/AF4)</f>
        <v/>
      </c>
      <c r="AH104" s="38" t="str">
        <f>IF(AND(AF124=0,AF104&gt;=0),"",AF104/AF124)</f>
        <v/>
      </c>
      <c r="AI104" s="35" t="str">
        <f t="shared" si="124"/>
        <v/>
      </c>
      <c r="AJ104" s="80">
        <f>SUM(AJ105:AJ107)</f>
        <v>30</v>
      </c>
      <c r="AK104" s="35">
        <f>IF(AND(AJ4=0,AJ104&gt;=0), "",AJ104/AJ4)</f>
        <v>2.1739130434782609E-3</v>
      </c>
      <c r="AL104" s="38">
        <f>IF(AND(AJ124=0,AJ104&gt;=0),"",AJ104/AJ124)</f>
        <v>2.0134228187919462E-2</v>
      </c>
      <c r="AM104" s="79">
        <f>SUM(AM105:AM107)</f>
        <v>0</v>
      </c>
      <c r="AN104" s="35" t="str">
        <f>IF(AND(AM4=0,AM104&gt;=0), "",AM104/AM4)</f>
        <v/>
      </c>
      <c r="AO104" s="38" t="str">
        <f>IF(AND(AM124=0,AM104&gt;=0),"",AM104/AM124)</f>
        <v/>
      </c>
      <c r="AP104" s="35" t="str">
        <f t="shared" si="125"/>
        <v/>
      </c>
      <c r="AQ104" s="80">
        <f>SUM(AQ105:AQ107)</f>
        <v>30</v>
      </c>
      <c r="AR104" s="35">
        <f>IF(AND(AQ4=0,AQ104&gt;=0), "",AQ104/AQ4)</f>
        <v>2.1739130434782609E-3</v>
      </c>
      <c r="AS104" s="38">
        <f>IF(AND(AQ124=0,AQ104&gt;=0),"",AQ104/AQ124)</f>
        <v>2.0134228187919462E-2</v>
      </c>
      <c r="AT104" s="81">
        <f>SUM(AT105:AT107)</f>
        <v>0</v>
      </c>
      <c r="AU104" s="35" t="str">
        <f>IF(AND(AT4=0,AT104&gt;=0), "",AT104/AT4)</f>
        <v/>
      </c>
      <c r="AV104" s="51">
        <f t="shared" si="134"/>
        <v>1</v>
      </c>
      <c r="AW104" s="81">
        <f>SUM(AW105:AW107)</f>
        <v>5</v>
      </c>
      <c r="AX104" s="35">
        <f>IF(AND(AW4=0,AW104&gt;=0), "",AW104/AW4)</f>
        <v>2.1739130434782605E-3</v>
      </c>
      <c r="AY104" s="38">
        <f>IF(AND(AW124=0,AW104&gt;=0),"",AW104/AW124)</f>
        <v>2.0134228187919462E-2</v>
      </c>
      <c r="AZ104" s="81">
        <f>SUM(AZ105:AZ107)</f>
        <v>0</v>
      </c>
      <c r="BA104" s="35" t="str">
        <f>IF(AND(AZ4=0,AZ104&gt;=0), "",AZ104/AZ4)</f>
        <v/>
      </c>
      <c r="BB104" s="51">
        <f t="shared" si="135"/>
        <v>1</v>
      </c>
      <c r="BC104" s="79">
        <f>SUM(BC105:BC107)</f>
        <v>0</v>
      </c>
      <c r="BD104" s="35" t="str">
        <f>IF(AND(BC4=0,BC104&gt;=0), "",BC104/BC4)</f>
        <v/>
      </c>
      <c r="BE104" s="38" t="str">
        <f>IF(AND(BC124=0,BC104&gt;=0),"",BC104/BC124)</f>
        <v/>
      </c>
      <c r="BF104" s="35" t="str">
        <f t="shared" si="136"/>
        <v/>
      </c>
      <c r="BG104" s="80">
        <f>SUM(BG105:BG107)</f>
        <v>30</v>
      </c>
      <c r="BH104" s="35">
        <f>IF(AND(BG4=0,BG104&gt;=0), "",BG104/BG4)</f>
        <v>2.1739130434782609E-3</v>
      </c>
      <c r="BI104" s="38">
        <f>IF(AND(BG124=0,BG104&gt;=0),"",BG104/BG124)</f>
        <v>2.0134228187919462E-2</v>
      </c>
      <c r="BJ104" s="79">
        <f>SUM(BJ105:BJ107)</f>
        <v>0</v>
      </c>
      <c r="BK104" s="35" t="str">
        <f>IF(AND(BJ4=0,BJ104&gt;=0), "",BJ104/BJ4)</f>
        <v/>
      </c>
      <c r="BL104" s="38" t="str">
        <f>IF(AND(BJ124=0,BJ104&gt;=0),"",BJ104/BJ124)</f>
        <v/>
      </c>
      <c r="BM104" s="35" t="str">
        <f t="shared" si="126"/>
        <v/>
      </c>
      <c r="BN104" s="80">
        <f>SUM(BN105:BN107)</f>
        <v>30</v>
      </c>
      <c r="BO104" s="35">
        <f>IF(AND(BN4=0,BN104&gt;=0), "",BN104/BN4)</f>
        <v>2.1739130434782609E-3</v>
      </c>
      <c r="BP104" s="38">
        <f>IF(AND(BN124=0,BN104&gt;=0),"",BN104/BN124)</f>
        <v>2.0134228187919462E-2</v>
      </c>
      <c r="BQ104" s="79">
        <f>SUM(BQ105:BQ107)</f>
        <v>0</v>
      </c>
      <c r="BR104" s="35" t="str">
        <f>IF(AND(BQ4=0,BQ104&gt;=0), "",BQ104/BQ4)</f>
        <v/>
      </c>
      <c r="BS104" s="38" t="str">
        <f>IF(AND(BQ124=0,BQ104&gt;=0),"",BQ104/BQ124)</f>
        <v/>
      </c>
      <c r="BT104" s="35" t="str">
        <f t="shared" si="127"/>
        <v/>
      </c>
      <c r="BU104" s="80">
        <f>SUM(BU105:BU107)</f>
        <v>30</v>
      </c>
      <c r="BV104" s="35">
        <f>IF(AND(BU4=0,BU104&gt;=0), "",BU104/BU4)</f>
        <v>2.1739130434782609E-3</v>
      </c>
      <c r="BW104" s="38">
        <f>IF(AND(BU124=0,BU104&gt;=0),"",BU104/BU124)</f>
        <v>2.0134228187919462E-2</v>
      </c>
      <c r="BX104" s="81">
        <f>SUM(BX105:BX107)</f>
        <v>0</v>
      </c>
      <c r="BY104" s="35" t="str">
        <f>IF(AND(BX4=0,BX104&gt;=0), "",BX104/BX4)</f>
        <v/>
      </c>
      <c r="BZ104" s="51">
        <f t="shared" si="128"/>
        <v>1</v>
      </c>
      <c r="CA104" s="79">
        <f>SUM(CA105:CA107)</f>
        <v>0</v>
      </c>
      <c r="CB104" s="35" t="str">
        <f>IF(AND(CA4=0,CA104&gt;=0), "",CA104/CA4)</f>
        <v/>
      </c>
      <c r="CC104" s="38" t="str">
        <f>IF(AND(CA124=0,CA104&gt;=0),"",CA104/CA124)</f>
        <v/>
      </c>
      <c r="CD104" s="35" t="str">
        <f t="shared" si="137"/>
        <v/>
      </c>
      <c r="CE104" s="80">
        <f>SUM(CE105:CE107)</f>
        <v>30</v>
      </c>
      <c r="CF104" s="35">
        <f>IF(AND(CE4=0,CE104&gt;=0), "",CE104/CE4)</f>
        <v>2.1739130434782609E-3</v>
      </c>
      <c r="CG104" s="38">
        <f>IF(AND(CE124=0,CE104&gt;=0),"",CE104/CE124)</f>
        <v>2.0134228187919462E-2</v>
      </c>
      <c r="CH104" s="79">
        <f>SUM(CH105:CH107)</f>
        <v>0</v>
      </c>
      <c r="CI104" s="35" t="str">
        <f>IF(AND(CH4=0,CH104&gt;=0), "",CH104/CH4)</f>
        <v/>
      </c>
      <c r="CJ104" s="38" t="str">
        <f>IF(AND(CH124=0,CH104&gt;=0),"",CH104/CH124)</f>
        <v/>
      </c>
      <c r="CK104" s="35" t="str">
        <f t="shared" si="129"/>
        <v/>
      </c>
      <c r="CL104" s="80">
        <f>SUM(CL105:CL107)</f>
        <v>30</v>
      </c>
      <c r="CM104" s="35">
        <f>IF(AND(CL4=0,CL104&gt;=0), "",CL104/CL4)</f>
        <v>2.1739130434782609E-3</v>
      </c>
      <c r="CN104" s="38">
        <f>IF(AND(CL124=0,CL104&gt;=0),"",CL104/CL124)</f>
        <v>2.0134228187919462E-2</v>
      </c>
      <c r="CO104" s="79">
        <f>SUM(CO105:CO107)</f>
        <v>0</v>
      </c>
      <c r="CP104" s="35" t="str">
        <f>IF(AND(CO4=0,CO104&gt;=0), "",CO104/CO4)</f>
        <v/>
      </c>
      <c r="CQ104" s="38" t="str">
        <f>IF(AND(CO124=0,CO104&gt;=0),"",CO104/CO124)</f>
        <v/>
      </c>
      <c r="CR104" s="35" t="str">
        <f t="shared" si="130"/>
        <v/>
      </c>
      <c r="CS104" s="80">
        <f>SUM(CS105:CS107)</f>
        <v>30</v>
      </c>
      <c r="CT104" s="35">
        <f>IF(AND(CS4=0,CS104&gt;=0), "",CS104/CS4)</f>
        <v>2.1739130434782609E-3</v>
      </c>
      <c r="CU104" s="38">
        <f>IF(AND(CS124=0,CS104&gt;=0),"",CS104/CS124)</f>
        <v>2.0134228187919462E-2</v>
      </c>
      <c r="CV104" s="81">
        <f>SUM(CV105:CV107)</f>
        <v>0</v>
      </c>
      <c r="CW104" s="35" t="str">
        <f>IF(AND(CV4=0,CV104&gt;=0), "",CV104/CV4)</f>
        <v/>
      </c>
      <c r="CX104" s="51">
        <f t="shared" si="131"/>
        <v>1</v>
      </c>
    </row>
    <row r="105" spans="1:219" hidden="1" outlineLevel="1" x14ac:dyDescent="0.25">
      <c r="A105" s="27" t="s">
        <v>91</v>
      </c>
      <c r="B105" s="82">
        <f>+'N EERR'!B189+'N EERR'!B190</f>
        <v>0</v>
      </c>
      <c r="C105" s="28" t="str">
        <f>IF(AND(B4=0,B105&gt;=0), "",B105/B4)</f>
        <v/>
      </c>
      <c r="D105" s="42" t="str">
        <f>IF(AND(B124=0,B105&gt;=0),"",B105/B124)</f>
        <v/>
      </c>
      <c r="E105" s="82">
        <f>+'N EERR'!C189+'N EERR'!C190</f>
        <v>20</v>
      </c>
      <c r="F105" s="28">
        <f>IF(AND(E4=0,E105&gt;=0), "",E105/E4)</f>
        <v>1.4492753623188406E-3</v>
      </c>
      <c r="G105" s="42">
        <f>IF(AND(E124=0,E105&gt;=0),"",E105/E124)</f>
        <v>1.3422818791946308E-2</v>
      </c>
      <c r="H105" s="82">
        <f>+'N EERR'!D189+'N EERR'!D190</f>
        <v>0</v>
      </c>
      <c r="I105" s="28" t="str">
        <f>IF(AND(H4=0,H105&gt;=0), "",H105/H4)</f>
        <v/>
      </c>
      <c r="J105" s="42" t="str">
        <f>IF(AND(H124=0,H105&gt;=0),"",H105/H124)</f>
        <v/>
      </c>
      <c r="K105" s="28">
        <f t="shared" si="97"/>
        <v>-1</v>
      </c>
      <c r="L105" s="83">
        <f>+E105+H105</f>
        <v>20</v>
      </c>
      <c r="M105" s="28">
        <f>IF(AND(L4=0,L105&gt;=0), "",L105/L4)</f>
        <v>1.4492753623188406E-3</v>
      </c>
      <c r="N105" s="42">
        <f>IF(AND(L124=0,L105&gt;=0),"",L105/L124)</f>
        <v>1.3422818791946308E-2</v>
      </c>
      <c r="O105" s="82">
        <f>+'N EERR'!E189+'N EERR'!E190</f>
        <v>0</v>
      </c>
      <c r="P105" s="28" t="str">
        <f>IF(AND(O4=0,O105&gt;=0), "",O105/O4)</f>
        <v/>
      </c>
      <c r="Q105" s="42" t="str">
        <f>IF(AND(O124=0,O105&gt;=0),"",O105/O124)</f>
        <v/>
      </c>
      <c r="R105" s="28" t="str">
        <f t="shared" si="99"/>
        <v/>
      </c>
      <c r="S105" s="83">
        <f>+L105+O105</f>
        <v>20</v>
      </c>
      <c r="T105" s="28">
        <f>IF(AND(S4=0,S105&gt;=0), "",S105/S4)</f>
        <v>1.4492753623188406E-3</v>
      </c>
      <c r="U105" s="42">
        <f>IF(AND(S124=0,S105&gt;=0),"",S105/S124)</f>
        <v>1.3422818791946308E-2</v>
      </c>
      <c r="V105" s="84"/>
      <c r="W105" s="28" t="str">
        <f>IF(AND(V4=0,V105&gt;=0), "",V105/V4)</f>
        <v/>
      </c>
      <c r="X105" s="42">
        <f t="shared" si="132"/>
        <v>1</v>
      </c>
      <c r="Y105" s="82">
        <f>+'N EERR'!F189+'N EERR'!F190</f>
        <v>0</v>
      </c>
      <c r="Z105" s="28" t="str">
        <f>IF(AND(Y4=0,Y105&gt;=0), "",Y105/Y4)</f>
        <v/>
      </c>
      <c r="AA105" s="42" t="str">
        <f>IF(AND(Y124=0,Y105&gt;=0),"",Y105/Y124)</f>
        <v/>
      </c>
      <c r="AB105" s="28" t="str">
        <f t="shared" si="133"/>
        <v/>
      </c>
      <c r="AC105" s="83">
        <f>+S105+Y105</f>
        <v>20</v>
      </c>
      <c r="AD105" s="28">
        <f>IF(AND(AC4=0,AC105&gt;=0), "",AC105/AC4)</f>
        <v>1.4492753623188406E-3</v>
      </c>
      <c r="AE105" s="42">
        <f>IF(AND(AC124=0,AC105&gt;=0),"",AC105/AC124)</f>
        <v>1.3422818791946308E-2</v>
      </c>
      <c r="AF105" s="82">
        <f>+'N EERR'!G189+'N EERR'!G190</f>
        <v>0</v>
      </c>
      <c r="AG105" s="28" t="str">
        <f>IF(AND(AF4=0,AF105&gt;=0), "",AF105/AF4)</f>
        <v/>
      </c>
      <c r="AH105" s="42" t="str">
        <f>IF(AND(AF124=0,AF105&gt;=0),"",AF105/AF124)</f>
        <v/>
      </c>
      <c r="AI105" s="28" t="str">
        <f t="shared" si="124"/>
        <v/>
      </c>
      <c r="AJ105" s="83">
        <f t="shared" si="95"/>
        <v>20</v>
      </c>
      <c r="AK105" s="28">
        <f>IF(AND(AJ4=0,AJ105&gt;=0), "",AJ105/AJ4)</f>
        <v>1.4492753623188406E-3</v>
      </c>
      <c r="AL105" s="42">
        <f>IF(AND(AJ124=0,AJ105&gt;=0),"",AJ105/AJ124)</f>
        <v>1.3422818791946308E-2</v>
      </c>
      <c r="AM105" s="82">
        <f>+'N EERR'!H189+'N EERR'!H190</f>
        <v>0</v>
      </c>
      <c r="AN105" s="28" t="str">
        <f>IF(AND(AM4=0,AM105&gt;=0), "",AM105/AM4)</f>
        <v/>
      </c>
      <c r="AO105" s="42" t="str">
        <f>IF(AND(AM124=0,AM105&gt;=0),"",AM105/AM124)</f>
        <v/>
      </c>
      <c r="AP105" s="28" t="str">
        <f t="shared" si="125"/>
        <v/>
      </c>
      <c r="AQ105" s="83">
        <f t="shared" si="96"/>
        <v>20</v>
      </c>
      <c r="AR105" s="28">
        <f>IF(AND(AQ4=0,AQ105&gt;=0), "",AQ105/AQ4)</f>
        <v>1.4492753623188406E-3</v>
      </c>
      <c r="AS105" s="42">
        <f>IF(AND(AQ124=0,AQ105&gt;=0),"",AQ105/AQ124)</f>
        <v>1.3422818791946308E-2</v>
      </c>
      <c r="AT105" s="84">
        <f>+V105*2</f>
        <v>0</v>
      </c>
      <c r="AU105" s="28" t="str">
        <f>IF(AND(AT4=0,AT105&gt;=0), "",AT105/AT4)</f>
        <v/>
      </c>
      <c r="AV105" s="42">
        <f t="shared" si="134"/>
        <v>1</v>
      </c>
      <c r="AW105" s="84">
        <f>+AQ105/6</f>
        <v>3.3333333333333335</v>
      </c>
      <c r="AX105" s="28">
        <f>IF(AND(AW4=0,AW105&gt;=0), "",AW105/AW4)</f>
        <v>1.4492753623188404E-3</v>
      </c>
      <c r="AY105" s="42">
        <f>IF(AND(AW124=0,AW105&gt;=0),"",AW105/AW124)</f>
        <v>1.3422818791946308E-2</v>
      </c>
      <c r="AZ105" s="84">
        <f>+AT105/6</f>
        <v>0</v>
      </c>
      <c r="BA105" s="28" t="str">
        <f>IF(AND(AZ4=0,AZ105&gt;=0), "",AZ105/AZ4)</f>
        <v/>
      </c>
      <c r="BB105" s="42">
        <f t="shared" si="135"/>
        <v>1</v>
      </c>
      <c r="BC105" s="82">
        <f>+'N EERR'!I189+'N EERR'!I190</f>
        <v>0</v>
      </c>
      <c r="BD105" s="28" t="str">
        <f>IF(AND(BC4=0,BC105&gt;=0), "",BC105/BC4)</f>
        <v/>
      </c>
      <c r="BE105" s="42" t="str">
        <f>IF(AND(BC124=0,BC105&gt;=0),"",BC105/BC124)</f>
        <v/>
      </c>
      <c r="BF105" s="28" t="str">
        <f t="shared" si="136"/>
        <v/>
      </c>
      <c r="BG105" s="83">
        <f>+AQ105+BC105</f>
        <v>20</v>
      </c>
      <c r="BH105" s="28">
        <f>IF(AND(BG4=0,BG105&gt;=0), "",BG105/BG4)</f>
        <v>1.4492753623188406E-3</v>
      </c>
      <c r="BI105" s="42">
        <f>IF(AND(BG124=0,BG105&gt;=0),"",BG105/BG124)</f>
        <v>1.3422818791946308E-2</v>
      </c>
      <c r="BJ105" s="82">
        <f>+'N EERR'!J189+'N EERR'!J190</f>
        <v>0</v>
      </c>
      <c r="BK105" s="28" t="str">
        <f>IF(AND(BJ4=0,BJ105&gt;=0), "",BJ105/BJ4)</f>
        <v/>
      </c>
      <c r="BL105" s="42" t="str">
        <f>IF(AND(BJ124=0,BJ105&gt;=0),"",BJ105/BJ124)</f>
        <v/>
      </c>
      <c r="BM105" s="28" t="str">
        <f t="shared" si="126"/>
        <v/>
      </c>
      <c r="BN105" s="83">
        <f>+BG105+BJ105</f>
        <v>20</v>
      </c>
      <c r="BO105" s="28">
        <f>IF(AND(BN4=0,BN105&gt;=0), "",BN105/BN4)</f>
        <v>1.4492753623188406E-3</v>
      </c>
      <c r="BP105" s="42">
        <f>IF(AND(BN124=0,BN105&gt;=0),"",BN105/BN124)</f>
        <v>1.3422818791946308E-2</v>
      </c>
      <c r="BQ105" s="82">
        <f>+'N EERR'!K189+'N EERR'!K190</f>
        <v>0</v>
      </c>
      <c r="BR105" s="28" t="str">
        <f>IF(AND(BQ4=0,BQ105&gt;=0), "",BQ105/BQ4)</f>
        <v/>
      </c>
      <c r="BS105" s="42" t="str">
        <f>IF(AND(BQ124=0,BQ105&gt;=0),"",BQ105/BQ124)</f>
        <v/>
      </c>
      <c r="BT105" s="28" t="str">
        <f t="shared" si="127"/>
        <v/>
      </c>
      <c r="BU105" s="83">
        <f>+BN105+BQ105</f>
        <v>20</v>
      </c>
      <c r="BV105" s="28">
        <f>IF(AND(BU4=0,BU105&gt;=0), "",BU105/BU4)</f>
        <v>1.4492753623188406E-3</v>
      </c>
      <c r="BW105" s="42">
        <f>IF(AND(BU124=0,BU105&gt;=0),"",BU105/BU124)</f>
        <v>1.3422818791946308E-2</v>
      </c>
      <c r="BX105" s="84">
        <f>+AZ105*9</f>
        <v>0</v>
      </c>
      <c r="BY105" s="28" t="str">
        <f>IF(AND(BX4=0,BX105&gt;=0), "",BX105/BX4)</f>
        <v/>
      </c>
      <c r="BZ105" s="42">
        <f t="shared" si="128"/>
        <v>1</v>
      </c>
      <c r="CA105" s="82">
        <f>+'N EERR'!L189+'N EERR'!L190</f>
        <v>0</v>
      </c>
      <c r="CB105" s="28" t="str">
        <f>IF(AND(CA4=0,CA105&gt;=0), "",CA105/CA4)</f>
        <v/>
      </c>
      <c r="CC105" s="42" t="str">
        <f>IF(AND(CA124=0,CA105&gt;=0),"",CA105/CA124)</f>
        <v/>
      </c>
      <c r="CD105" s="28" t="str">
        <f t="shared" si="137"/>
        <v/>
      </c>
      <c r="CE105" s="83">
        <f>+BU105+CA105</f>
        <v>20</v>
      </c>
      <c r="CF105" s="28">
        <f>IF(AND(CE4=0,CE105&gt;=0), "",CE105/CE4)</f>
        <v>1.4492753623188406E-3</v>
      </c>
      <c r="CG105" s="42">
        <f>IF(AND(CE124=0,CE105&gt;=0),"",CE105/CE124)</f>
        <v>1.3422818791946308E-2</v>
      </c>
      <c r="CH105" s="82">
        <f>+'N EERR'!M189+'N EERR'!M190</f>
        <v>0</v>
      </c>
      <c r="CI105" s="28" t="str">
        <f>IF(AND(CH4=0,CH105&gt;=0), "",CH105/CH4)</f>
        <v/>
      </c>
      <c r="CJ105" s="42" t="str">
        <f>IF(AND(CH124=0,CH105&gt;=0),"",CH105/CH124)</f>
        <v/>
      </c>
      <c r="CK105" s="28" t="str">
        <f t="shared" si="129"/>
        <v/>
      </c>
      <c r="CL105" s="83">
        <f>+CE105+CH105</f>
        <v>20</v>
      </c>
      <c r="CM105" s="28">
        <f>IF(AND(CL4=0,CL105&gt;=0), "",CL105/CL4)</f>
        <v>1.4492753623188406E-3</v>
      </c>
      <c r="CN105" s="42">
        <f>IF(AND(CL124=0,CL105&gt;=0),"",CL105/CL124)</f>
        <v>1.3422818791946308E-2</v>
      </c>
      <c r="CO105" s="82">
        <f>+'N EERR'!N189+'N EERR'!N190</f>
        <v>0</v>
      </c>
      <c r="CP105" s="28" t="str">
        <f>IF(AND(CO4=0,CO105&gt;=0), "",CO105/CO4)</f>
        <v/>
      </c>
      <c r="CQ105" s="42" t="str">
        <f>IF(AND(CO124=0,CO105&gt;=0),"",CO105/CO124)</f>
        <v/>
      </c>
      <c r="CR105" s="28" t="str">
        <f t="shared" si="130"/>
        <v/>
      </c>
      <c r="CS105" s="83">
        <f>+CL105+CO105</f>
        <v>20</v>
      </c>
      <c r="CT105" s="28">
        <f>IF(AND(CS4=0,CS105&gt;=0), "",CS105/CS4)</f>
        <v>1.4492753623188406E-3</v>
      </c>
      <c r="CU105" s="42">
        <f>IF(AND(CS124=0,CS105&gt;=0),"",CS105/CS124)</f>
        <v>1.3422818791946308E-2</v>
      </c>
      <c r="CV105" s="84">
        <f>+AZ105*12</f>
        <v>0</v>
      </c>
      <c r="CW105" s="28" t="str">
        <f>IF(AND(CV4=0,CV105&gt;=0), "",CV105/CV4)</f>
        <v/>
      </c>
      <c r="CX105" s="42">
        <f t="shared" si="131"/>
        <v>1</v>
      </c>
    </row>
    <row r="106" spans="1:219" hidden="1" outlineLevel="1" x14ac:dyDescent="0.25">
      <c r="A106" s="27" t="s">
        <v>92</v>
      </c>
      <c r="B106" s="82">
        <f>+'N EERR'!B191</f>
        <v>0</v>
      </c>
      <c r="C106" s="28" t="str">
        <f>IF(AND(B4=0,B106&gt;=0), "",B106/B4)</f>
        <v/>
      </c>
      <c r="D106" s="42" t="str">
        <f>IF(AND(B124=0,B106&gt;=0),"",B106/B124)</f>
        <v/>
      </c>
      <c r="E106" s="82">
        <f>+'N EERR'!C191</f>
        <v>10</v>
      </c>
      <c r="F106" s="28">
        <f>IF(AND(E4=0,E106&gt;=0), "",E106/E4)</f>
        <v>7.246376811594203E-4</v>
      </c>
      <c r="G106" s="42">
        <f>IF(AND(E124=0,E106&gt;=0),"",E106/E124)</f>
        <v>6.7114093959731542E-3</v>
      </c>
      <c r="H106" s="82">
        <f>+'N EERR'!D191</f>
        <v>0</v>
      </c>
      <c r="I106" s="28" t="str">
        <f>IF(AND(H4=0,H106&gt;=0), "",H106/H4)</f>
        <v/>
      </c>
      <c r="J106" s="42" t="str">
        <f>IF(AND(H124=0,H106&gt;=0),"",H106/H124)</f>
        <v/>
      </c>
      <c r="K106" s="28">
        <f t="shared" si="97"/>
        <v>-1</v>
      </c>
      <c r="L106" s="83">
        <f>+E106+H106</f>
        <v>10</v>
      </c>
      <c r="M106" s="28">
        <f>IF(AND(L4=0,L106&gt;=0), "",L106/L4)</f>
        <v>7.246376811594203E-4</v>
      </c>
      <c r="N106" s="42">
        <f>IF(AND(L124=0,L106&gt;=0),"",L106/L124)</f>
        <v>6.7114093959731542E-3</v>
      </c>
      <c r="O106" s="82">
        <f>+'N EERR'!E191</f>
        <v>0</v>
      </c>
      <c r="P106" s="28" t="str">
        <f>IF(AND(O4=0,O106&gt;=0), "",O106/O4)</f>
        <v/>
      </c>
      <c r="Q106" s="42" t="str">
        <f>IF(AND(O124=0,O106&gt;=0),"",O106/O124)</f>
        <v/>
      </c>
      <c r="R106" s="28" t="str">
        <f t="shared" si="99"/>
        <v/>
      </c>
      <c r="S106" s="83">
        <f>+L106+O106</f>
        <v>10</v>
      </c>
      <c r="T106" s="28">
        <f>IF(AND(S4=0,S106&gt;=0), "",S106/S4)</f>
        <v>7.246376811594203E-4</v>
      </c>
      <c r="U106" s="42">
        <f>IF(AND(S124=0,S106&gt;=0),"",S106/S124)</f>
        <v>6.7114093959731542E-3</v>
      </c>
      <c r="V106" s="84"/>
      <c r="W106" s="28" t="str">
        <f>IF(AND(V4=0,V106&gt;=0), "",V106/V4)</f>
        <v/>
      </c>
      <c r="X106" s="42">
        <f t="shared" si="132"/>
        <v>1</v>
      </c>
      <c r="Y106" s="82">
        <f>+'N EERR'!F191</f>
        <v>0</v>
      </c>
      <c r="Z106" s="28" t="str">
        <f>IF(AND(Y4=0,Y106&gt;=0), "",Y106/Y4)</f>
        <v/>
      </c>
      <c r="AA106" s="42" t="str">
        <f>IF(AND(Y124=0,Y106&gt;=0),"",Y106/Y124)</f>
        <v/>
      </c>
      <c r="AB106" s="28" t="str">
        <f t="shared" si="133"/>
        <v/>
      </c>
      <c r="AC106" s="83">
        <f>+S106+Y106</f>
        <v>10</v>
      </c>
      <c r="AD106" s="28">
        <f>IF(AND(AC4=0,AC106&gt;=0), "",AC106/AC4)</f>
        <v>7.246376811594203E-4</v>
      </c>
      <c r="AE106" s="42">
        <f>IF(AND(AC124=0,AC106&gt;=0),"",AC106/AC124)</f>
        <v>6.7114093959731542E-3</v>
      </c>
      <c r="AF106" s="82">
        <f>+'N EERR'!G191</f>
        <v>0</v>
      </c>
      <c r="AG106" s="28" t="str">
        <f>IF(AND(AF4=0,AF106&gt;=0), "",AF106/AF4)</f>
        <v/>
      </c>
      <c r="AH106" s="42" t="str">
        <f>IF(AND(AF124=0,AF106&gt;=0),"",AF106/AF124)</f>
        <v/>
      </c>
      <c r="AI106" s="28" t="str">
        <f t="shared" si="124"/>
        <v/>
      </c>
      <c r="AJ106" s="83">
        <f t="shared" si="95"/>
        <v>10</v>
      </c>
      <c r="AK106" s="28">
        <f>IF(AND(AJ4=0,AJ106&gt;=0), "",AJ106/AJ4)</f>
        <v>7.246376811594203E-4</v>
      </c>
      <c r="AL106" s="42">
        <f>IF(AND(AJ124=0,AJ106&gt;=0),"",AJ106/AJ124)</f>
        <v>6.7114093959731542E-3</v>
      </c>
      <c r="AM106" s="82">
        <f>+'N EERR'!H191</f>
        <v>0</v>
      </c>
      <c r="AN106" s="28" t="str">
        <f>IF(AND(AM4=0,AM106&gt;=0), "",AM106/AM4)</f>
        <v/>
      </c>
      <c r="AO106" s="42" t="str">
        <f>IF(AND(AM124=0,AM106&gt;=0),"",AM106/AM124)</f>
        <v/>
      </c>
      <c r="AP106" s="28" t="str">
        <f t="shared" si="125"/>
        <v/>
      </c>
      <c r="AQ106" s="83">
        <f t="shared" si="96"/>
        <v>10</v>
      </c>
      <c r="AR106" s="28">
        <f>IF(AND(AQ4=0,AQ106&gt;=0), "",AQ106/AQ4)</f>
        <v>7.246376811594203E-4</v>
      </c>
      <c r="AS106" s="42">
        <f>IF(AND(AQ124=0,AQ106&gt;=0),"",AQ106/AQ124)</f>
        <v>6.7114093959731542E-3</v>
      </c>
      <c r="AT106" s="84">
        <f>+V106*2</f>
        <v>0</v>
      </c>
      <c r="AU106" s="28" t="str">
        <f>IF(AND(AT4=0,AT106&gt;=0), "",AT106/AT4)</f>
        <v/>
      </c>
      <c r="AV106" s="42">
        <f t="shared" si="134"/>
        <v>1</v>
      </c>
      <c r="AW106" s="84">
        <f>+AQ106/6</f>
        <v>1.6666666666666667</v>
      </c>
      <c r="AX106" s="28">
        <f>IF(AND(AW4=0,AW106&gt;=0), "",AW106/AW4)</f>
        <v>7.2463768115942019E-4</v>
      </c>
      <c r="AY106" s="42">
        <f>IF(AND(AW124=0,AW106&gt;=0),"",AW106/AW124)</f>
        <v>6.7114093959731542E-3</v>
      </c>
      <c r="AZ106" s="84">
        <f>+AT106/6</f>
        <v>0</v>
      </c>
      <c r="BA106" s="28" t="str">
        <f>IF(AND(AZ4=0,AZ106&gt;=0), "",AZ106/AZ4)</f>
        <v/>
      </c>
      <c r="BB106" s="42">
        <f t="shared" si="135"/>
        <v>1</v>
      </c>
      <c r="BC106" s="82">
        <f>+'N EERR'!I191</f>
        <v>0</v>
      </c>
      <c r="BD106" s="28" t="str">
        <f>IF(AND(BC4=0,BC106&gt;=0), "",BC106/BC4)</f>
        <v/>
      </c>
      <c r="BE106" s="42" t="str">
        <f>IF(AND(BC124=0,BC106&gt;=0),"",BC106/BC124)</f>
        <v/>
      </c>
      <c r="BF106" s="28" t="str">
        <f t="shared" si="136"/>
        <v/>
      </c>
      <c r="BG106" s="83">
        <f>+AQ106+BC106</f>
        <v>10</v>
      </c>
      <c r="BH106" s="28">
        <f>IF(AND(BG4=0,BG106&gt;=0), "",BG106/BG4)</f>
        <v>7.246376811594203E-4</v>
      </c>
      <c r="BI106" s="42">
        <f>IF(AND(BG124=0,BG106&gt;=0),"",BG106/BG124)</f>
        <v>6.7114093959731542E-3</v>
      </c>
      <c r="BJ106" s="82">
        <f>+'N EERR'!J191</f>
        <v>0</v>
      </c>
      <c r="BK106" s="28" t="str">
        <f>IF(AND(BJ4=0,BJ106&gt;=0), "",BJ106/BJ4)</f>
        <v/>
      </c>
      <c r="BL106" s="42" t="str">
        <f>IF(AND(BJ124=0,BJ106&gt;=0),"",BJ106/BJ124)</f>
        <v/>
      </c>
      <c r="BM106" s="28" t="str">
        <f t="shared" si="126"/>
        <v/>
      </c>
      <c r="BN106" s="83">
        <f>+BG106+BJ106</f>
        <v>10</v>
      </c>
      <c r="BO106" s="28">
        <f>IF(AND(BN4=0,BN106&gt;=0), "",BN106/BN4)</f>
        <v>7.246376811594203E-4</v>
      </c>
      <c r="BP106" s="42">
        <f>IF(AND(BN124=0,BN106&gt;=0),"",BN106/BN124)</f>
        <v>6.7114093959731542E-3</v>
      </c>
      <c r="BQ106" s="82">
        <f>+'N EERR'!K191</f>
        <v>0</v>
      </c>
      <c r="BR106" s="28" t="str">
        <f>IF(AND(BQ4=0,BQ106&gt;=0), "",BQ106/BQ4)</f>
        <v/>
      </c>
      <c r="BS106" s="42" t="str">
        <f>IF(AND(BQ124=0,BQ106&gt;=0),"",BQ106/BQ124)</f>
        <v/>
      </c>
      <c r="BT106" s="28" t="str">
        <f t="shared" si="127"/>
        <v/>
      </c>
      <c r="BU106" s="83">
        <f>+BN106+BQ106</f>
        <v>10</v>
      </c>
      <c r="BV106" s="28">
        <f>IF(AND(BU4=0,BU106&gt;=0), "",BU106/BU4)</f>
        <v>7.246376811594203E-4</v>
      </c>
      <c r="BW106" s="42">
        <f>IF(AND(BU124=0,BU106&gt;=0),"",BU106/BU124)</f>
        <v>6.7114093959731542E-3</v>
      </c>
      <c r="BX106" s="84">
        <f>+AZ106*9</f>
        <v>0</v>
      </c>
      <c r="BY106" s="28" t="str">
        <f>IF(AND(BX4=0,BX106&gt;=0), "",BX106/BX4)</f>
        <v/>
      </c>
      <c r="BZ106" s="42">
        <f t="shared" si="128"/>
        <v>1</v>
      </c>
      <c r="CA106" s="82">
        <f>+'N EERR'!L191</f>
        <v>0</v>
      </c>
      <c r="CB106" s="28" t="str">
        <f>IF(AND(CA4=0,CA106&gt;=0), "",CA106/CA4)</f>
        <v/>
      </c>
      <c r="CC106" s="42" t="str">
        <f>IF(AND(CA124=0,CA106&gt;=0),"",CA106/CA124)</f>
        <v/>
      </c>
      <c r="CD106" s="28" t="str">
        <f t="shared" si="137"/>
        <v/>
      </c>
      <c r="CE106" s="83">
        <f>+BU106+CA106</f>
        <v>10</v>
      </c>
      <c r="CF106" s="28">
        <f>IF(AND(CE4=0,CE106&gt;=0), "",CE106/CE4)</f>
        <v>7.246376811594203E-4</v>
      </c>
      <c r="CG106" s="42">
        <f>IF(AND(CE124=0,CE106&gt;=0),"",CE106/CE124)</f>
        <v>6.7114093959731542E-3</v>
      </c>
      <c r="CH106" s="82">
        <f>+'N EERR'!M191</f>
        <v>0</v>
      </c>
      <c r="CI106" s="28" t="str">
        <f>IF(AND(CH4=0,CH106&gt;=0), "",CH106/CH4)</f>
        <v/>
      </c>
      <c r="CJ106" s="42" t="str">
        <f>IF(AND(CH124=0,CH106&gt;=0),"",CH106/CH124)</f>
        <v/>
      </c>
      <c r="CK106" s="28" t="str">
        <f t="shared" si="129"/>
        <v/>
      </c>
      <c r="CL106" s="83">
        <f>+CE106+CH106</f>
        <v>10</v>
      </c>
      <c r="CM106" s="28">
        <f>IF(AND(CL4=0,CL106&gt;=0), "",CL106/CL4)</f>
        <v>7.246376811594203E-4</v>
      </c>
      <c r="CN106" s="42">
        <f>IF(AND(CL124=0,CL106&gt;=0),"",CL106/CL124)</f>
        <v>6.7114093959731542E-3</v>
      </c>
      <c r="CO106" s="82">
        <f>+'N EERR'!N191</f>
        <v>0</v>
      </c>
      <c r="CP106" s="28" t="str">
        <f>IF(AND(CO4=0,CO106&gt;=0), "",CO106/CO4)</f>
        <v/>
      </c>
      <c r="CQ106" s="42" t="str">
        <f>IF(AND(CO124=0,CO106&gt;=0),"",CO106/CO124)</f>
        <v/>
      </c>
      <c r="CR106" s="28" t="str">
        <f t="shared" si="130"/>
        <v/>
      </c>
      <c r="CS106" s="83">
        <f>+CL106+CO106</f>
        <v>10</v>
      </c>
      <c r="CT106" s="28">
        <f>IF(AND(CS4=0,CS106&gt;=0), "",CS106/CS4)</f>
        <v>7.246376811594203E-4</v>
      </c>
      <c r="CU106" s="42">
        <f>IF(AND(CS124=0,CS106&gt;=0),"",CS106/CS124)</f>
        <v>6.7114093959731542E-3</v>
      </c>
      <c r="CV106" s="84">
        <f>+AZ106*12</f>
        <v>0</v>
      </c>
      <c r="CW106" s="28" t="str">
        <f>IF(AND(CV4=0,CV106&gt;=0), "",CV106/CV4)</f>
        <v/>
      </c>
      <c r="CX106" s="42">
        <f t="shared" si="131"/>
        <v>1</v>
      </c>
    </row>
    <row r="107" spans="1:219" hidden="1" outlineLevel="1" x14ac:dyDescent="0.25">
      <c r="A107" s="27"/>
      <c r="B107" s="82"/>
      <c r="C107" s="15"/>
      <c r="D107" s="41"/>
      <c r="E107" s="82"/>
      <c r="F107" s="15"/>
      <c r="G107" s="41"/>
      <c r="H107" s="82"/>
      <c r="I107" s="15"/>
      <c r="J107" s="41"/>
      <c r="K107" s="29" t="str">
        <f t="shared" si="97"/>
        <v/>
      </c>
      <c r="M107" s="15"/>
      <c r="N107" s="41"/>
      <c r="O107" s="82"/>
      <c r="P107" s="15"/>
      <c r="Q107" s="41"/>
      <c r="R107" s="29" t="str">
        <f t="shared" si="99"/>
        <v/>
      </c>
      <c r="T107" s="15"/>
      <c r="U107" s="41"/>
      <c r="V107" s="84"/>
      <c r="W107" s="15"/>
      <c r="X107" s="52" t="str">
        <f t="shared" si="132"/>
        <v/>
      </c>
      <c r="Y107" s="82"/>
      <c r="Z107" s="15"/>
      <c r="AA107" s="41"/>
      <c r="AB107" s="29" t="str">
        <f t="shared" si="133"/>
        <v/>
      </c>
      <c r="AD107" s="15"/>
      <c r="AE107" s="41"/>
      <c r="AF107" s="82"/>
      <c r="AG107" s="15"/>
      <c r="AH107" s="41"/>
      <c r="AI107" s="29" t="str">
        <f t="shared" si="124"/>
        <v/>
      </c>
      <c r="AJ107" s="83">
        <f t="shared" si="95"/>
        <v>0</v>
      </c>
      <c r="AK107" s="15"/>
      <c r="AL107" s="41"/>
      <c r="AM107" s="82"/>
      <c r="AN107" s="15"/>
      <c r="AO107" s="41"/>
      <c r="AP107" s="29" t="str">
        <f t="shared" si="125"/>
        <v/>
      </c>
      <c r="AQ107" s="83">
        <f t="shared" si="96"/>
        <v>0</v>
      </c>
      <c r="AR107" s="15"/>
      <c r="AS107" s="41"/>
      <c r="AT107" s="84">
        <f>+V107*2</f>
        <v>0</v>
      </c>
      <c r="AU107" s="15"/>
      <c r="AV107" s="52" t="str">
        <f t="shared" si="134"/>
        <v/>
      </c>
      <c r="AW107" s="84">
        <f>+AQ107/6</f>
        <v>0</v>
      </c>
      <c r="AX107" s="15"/>
      <c r="AY107" s="41"/>
      <c r="AZ107" s="84">
        <f>+AT107/6</f>
        <v>0</v>
      </c>
      <c r="BA107" s="15"/>
      <c r="BB107" s="52" t="str">
        <f t="shared" si="135"/>
        <v/>
      </c>
      <c r="BC107" s="82"/>
      <c r="BD107" s="15"/>
      <c r="BE107" s="41"/>
      <c r="BF107" s="29" t="str">
        <f t="shared" si="136"/>
        <v/>
      </c>
      <c r="BG107" s="83">
        <f>+AQ107+BC107</f>
        <v>0</v>
      </c>
      <c r="BH107" s="15"/>
      <c r="BI107" s="41"/>
      <c r="BJ107" s="82"/>
      <c r="BK107" s="15"/>
      <c r="BL107" s="41"/>
      <c r="BM107" s="29" t="str">
        <f t="shared" si="126"/>
        <v/>
      </c>
      <c r="BN107" s="83">
        <f>+BG107+BJ107</f>
        <v>0</v>
      </c>
      <c r="BO107" s="15"/>
      <c r="BP107" s="41"/>
      <c r="BQ107" s="82"/>
      <c r="BR107" s="15"/>
      <c r="BS107" s="41"/>
      <c r="BT107" s="29" t="str">
        <f t="shared" si="127"/>
        <v/>
      </c>
      <c r="BU107" s="83">
        <f>+BN107+BQ107</f>
        <v>0</v>
      </c>
      <c r="BV107" s="15"/>
      <c r="BW107" s="41"/>
      <c r="BX107" s="84">
        <f>+AZ107*9</f>
        <v>0</v>
      </c>
      <c r="BY107" s="15"/>
      <c r="BZ107" s="52" t="str">
        <f t="shared" si="128"/>
        <v/>
      </c>
      <c r="CA107" s="82"/>
      <c r="CB107" s="15"/>
      <c r="CC107" s="41"/>
      <c r="CD107" s="29" t="str">
        <f t="shared" si="137"/>
        <v/>
      </c>
      <c r="CF107" s="15"/>
      <c r="CG107" s="41"/>
      <c r="CH107" s="82"/>
      <c r="CI107" s="15"/>
      <c r="CJ107" s="41"/>
      <c r="CK107" s="29" t="str">
        <f t="shared" si="129"/>
        <v/>
      </c>
      <c r="CL107" s="83">
        <f>+CE107+CH107</f>
        <v>0</v>
      </c>
      <c r="CM107" s="15"/>
      <c r="CN107" s="41"/>
      <c r="CO107" s="82"/>
      <c r="CP107" s="15"/>
      <c r="CQ107" s="41"/>
      <c r="CR107" s="29" t="str">
        <f t="shared" si="130"/>
        <v/>
      </c>
      <c r="CS107" s="83">
        <f>+CL107+CO107</f>
        <v>0</v>
      </c>
      <c r="CT107" s="15"/>
      <c r="CU107" s="41"/>
      <c r="CV107" s="84">
        <f>+AZ107*12</f>
        <v>0</v>
      </c>
      <c r="CW107" s="15"/>
      <c r="CX107" s="52" t="str">
        <f t="shared" si="131"/>
        <v/>
      </c>
    </row>
    <row r="108" spans="1:219" s="3" customFormat="1" hidden="1" outlineLevel="1" x14ac:dyDescent="0.25">
      <c r="B108" s="85"/>
      <c r="C108" s="15"/>
      <c r="D108" s="41"/>
      <c r="E108" s="85"/>
      <c r="F108" s="15"/>
      <c r="G108" s="41"/>
      <c r="H108" s="85"/>
      <c r="I108" s="15"/>
      <c r="J108" s="41"/>
      <c r="K108" s="15" t="str">
        <f t="shared" si="97"/>
        <v/>
      </c>
      <c r="L108" s="71"/>
      <c r="M108" s="15"/>
      <c r="N108" s="41"/>
      <c r="O108" s="85"/>
      <c r="P108" s="15"/>
      <c r="Q108" s="41"/>
      <c r="R108" s="15" t="str">
        <f t="shared" si="99"/>
        <v/>
      </c>
      <c r="S108" s="71"/>
      <c r="T108" s="15"/>
      <c r="U108" s="41"/>
      <c r="V108" s="86"/>
      <c r="W108" s="15"/>
      <c r="X108" s="41" t="str">
        <f t="shared" si="132"/>
        <v/>
      </c>
      <c r="Y108" s="85"/>
      <c r="Z108" s="15"/>
      <c r="AA108" s="41"/>
      <c r="AB108" s="15" t="str">
        <f t="shared" si="133"/>
        <v/>
      </c>
      <c r="AC108" s="71"/>
      <c r="AD108" s="15"/>
      <c r="AE108" s="41"/>
      <c r="AF108" s="85"/>
      <c r="AG108" s="15"/>
      <c r="AH108" s="41"/>
      <c r="AI108" s="15" t="str">
        <f t="shared" si="124"/>
        <v/>
      </c>
      <c r="AJ108" s="71">
        <f t="shared" si="95"/>
        <v>0</v>
      </c>
      <c r="AK108" s="15"/>
      <c r="AL108" s="41"/>
      <c r="AM108" s="85"/>
      <c r="AN108" s="15"/>
      <c r="AO108" s="41"/>
      <c r="AP108" s="15" t="str">
        <f t="shared" si="125"/>
        <v/>
      </c>
      <c r="AQ108" s="71">
        <f t="shared" si="96"/>
        <v>0</v>
      </c>
      <c r="AR108" s="15"/>
      <c r="AS108" s="41"/>
      <c r="AT108" s="84">
        <f>+V108*2</f>
        <v>0</v>
      </c>
      <c r="AU108" s="15"/>
      <c r="AV108" s="41" t="str">
        <f t="shared" si="134"/>
        <v/>
      </c>
      <c r="AW108" s="86"/>
      <c r="AX108" s="15"/>
      <c r="AY108" s="41"/>
      <c r="AZ108" s="84">
        <f>+AT108/6</f>
        <v>0</v>
      </c>
      <c r="BA108" s="15"/>
      <c r="BB108" s="41" t="str">
        <f t="shared" si="135"/>
        <v/>
      </c>
      <c r="BC108" s="85"/>
      <c r="BD108" s="15"/>
      <c r="BE108" s="41"/>
      <c r="BF108" s="15" t="str">
        <f t="shared" si="136"/>
        <v/>
      </c>
      <c r="BG108" s="83">
        <f>+AQ108+BC108</f>
        <v>0</v>
      </c>
      <c r="BH108" s="15"/>
      <c r="BI108" s="41"/>
      <c r="BJ108" s="85"/>
      <c r="BK108" s="15"/>
      <c r="BL108" s="41"/>
      <c r="BM108" s="15" t="str">
        <f t="shared" si="126"/>
        <v/>
      </c>
      <c r="BN108" s="71">
        <f>+BG108+BJ108</f>
        <v>0</v>
      </c>
      <c r="BO108" s="15"/>
      <c r="BP108" s="41"/>
      <c r="BQ108" s="85"/>
      <c r="BR108" s="15"/>
      <c r="BS108" s="41"/>
      <c r="BT108" s="15" t="str">
        <f t="shared" si="127"/>
        <v/>
      </c>
      <c r="BU108" s="71">
        <f>+BN108+BQ108</f>
        <v>0</v>
      </c>
      <c r="BV108" s="15"/>
      <c r="BW108" s="41"/>
      <c r="BX108" s="84">
        <f>+AZ108*9</f>
        <v>0</v>
      </c>
      <c r="BY108" s="15"/>
      <c r="BZ108" s="41" t="str">
        <f t="shared" si="128"/>
        <v/>
      </c>
      <c r="CA108" s="85"/>
      <c r="CB108" s="15"/>
      <c r="CC108" s="41"/>
      <c r="CD108" s="15" t="str">
        <f t="shared" si="137"/>
        <v/>
      </c>
      <c r="CE108" s="71"/>
      <c r="CF108" s="15"/>
      <c r="CG108" s="41"/>
      <c r="CH108" s="85"/>
      <c r="CI108" s="15"/>
      <c r="CJ108" s="41"/>
      <c r="CK108" s="15" t="str">
        <f t="shared" si="129"/>
        <v/>
      </c>
      <c r="CL108" s="71">
        <f>+CE108+CH108</f>
        <v>0</v>
      </c>
      <c r="CM108" s="15"/>
      <c r="CN108" s="41"/>
      <c r="CO108" s="85"/>
      <c r="CP108" s="15"/>
      <c r="CQ108" s="41"/>
      <c r="CR108" s="15" t="str">
        <f t="shared" si="130"/>
        <v/>
      </c>
      <c r="CS108" s="71">
        <f>+CL108+CO108</f>
        <v>0</v>
      </c>
      <c r="CT108" s="15"/>
      <c r="CU108" s="41"/>
      <c r="CV108" s="84">
        <f>+AZ108*12</f>
        <v>0</v>
      </c>
      <c r="CW108" s="15"/>
      <c r="CX108" s="41" t="str">
        <f t="shared" si="131"/>
        <v/>
      </c>
    </row>
    <row r="109" spans="1:219" s="36" customFormat="1" ht="16.5" collapsed="1" thickBot="1" x14ac:dyDescent="0.3">
      <c r="A109" s="113" t="s">
        <v>117</v>
      </c>
      <c r="B109" s="114">
        <f>+B36-B38+B110+B111</f>
        <v>0</v>
      </c>
      <c r="C109" s="115" t="str">
        <f>IF(AND(B4=0,B109&lt;=0), "",B109/B4)</f>
        <v/>
      </c>
      <c r="D109" s="116"/>
      <c r="E109" s="114">
        <f>+E36-E38+E110+E111</f>
        <v>3370</v>
      </c>
      <c r="F109" s="115">
        <f>IF(AND(E4=0,E109&lt;=0), "",E109/E4)</f>
        <v>0.24420289855072463</v>
      </c>
      <c r="G109" s="116"/>
      <c r="H109" s="114">
        <f>+H36-H38+H110+H111</f>
        <v>0</v>
      </c>
      <c r="I109" s="115" t="str">
        <f>IF(AND(H4=0,H109&lt;=0), "",H109/H4)</f>
        <v/>
      </c>
      <c r="J109" s="116"/>
      <c r="K109" s="115">
        <f>IF(AND(E109=0,H109&gt;0),100%,IF(AND(E109&lt;0,H109&gt;=0),(E109-H109)/E109,IF(AND(E109&gt;0,H109&gt;0),(H109-E109)/E109,IF(AND(E109=0,H109&lt;=0),"",(H109-E109)/E109))))</f>
        <v>-1</v>
      </c>
      <c r="L109" s="117">
        <f>+L36-L38+L110+L111</f>
        <v>3370</v>
      </c>
      <c r="M109" s="115">
        <f>IF(AND(L4=0,L109&lt;=0), "",L109/L4)</f>
        <v>0.24420289855072463</v>
      </c>
      <c r="N109" s="116"/>
      <c r="O109" s="114">
        <f>+O36-O38+O110+O111</f>
        <v>0</v>
      </c>
      <c r="P109" s="115" t="str">
        <f>IF(AND(O4=0,O109&lt;=0), "",O109/O4)</f>
        <v/>
      </c>
      <c r="Q109" s="116"/>
      <c r="R109" s="115" t="str">
        <f>IF(AND(H109=0,O109&gt;0),100%,IF(AND(H109&lt;0,O109&gt;=0),(H109-O109)/H109,IF(AND(H109&gt;0,O109&gt;0),(O109-H109)/H109,IF(AND(H109=0,O109&lt;=0),"",(O109-H109)/H109))))</f>
        <v/>
      </c>
      <c r="S109" s="117">
        <f>+S36-S38+S110+S111</f>
        <v>3370</v>
      </c>
      <c r="T109" s="115">
        <f>IF(AND(S4=0,S109&lt;=0), "",S109/S4)</f>
        <v>0.24420289855072463</v>
      </c>
      <c r="U109" s="116"/>
      <c r="V109" s="118">
        <f>+V36-V38+V110+V111</f>
        <v>0</v>
      </c>
      <c r="W109" s="115" t="str">
        <f>IF(AND(V4=0,V109&lt;=0), "",V109/V4)</f>
        <v/>
      </c>
      <c r="X109" s="116">
        <f t="shared" si="132"/>
        <v>1</v>
      </c>
      <c r="Y109" s="114">
        <f>+Y36-Y38+Y110+Y111</f>
        <v>0</v>
      </c>
      <c r="Z109" s="115" t="str">
        <f>IF(AND(Y4=0,Y109&lt;=0), "",Y109/Y4)</f>
        <v/>
      </c>
      <c r="AA109" s="116"/>
      <c r="AB109" s="115" t="str">
        <f t="shared" si="133"/>
        <v/>
      </c>
      <c r="AC109" s="117">
        <f>+AC36-AC38+AC110+AC111</f>
        <v>3370</v>
      </c>
      <c r="AD109" s="115">
        <f>IF(AND(AC4=0,AC109&lt;=0), "",AC109/AC4)</f>
        <v>0.24420289855072463</v>
      </c>
      <c r="AE109" s="116"/>
      <c r="AF109" s="114">
        <f>+AF36-AF38+AF110+AF111</f>
        <v>0</v>
      </c>
      <c r="AG109" s="115" t="str">
        <f>IF(AND(AF4=0,AF109&lt;=0), "",AF109/AF4)</f>
        <v/>
      </c>
      <c r="AH109" s="116"/>
      <c r="AI109" s="115" t="str">
        <f t="shared" si="124"/>
        <v/>
      </c>
      <c r="AJ109" s="117">
        <f>+AJ36-AJ38+AJ110+AJ111</f>
        <v>3370</v>
      </c>
      <c r="AK109" s="115">
        <f>IF(AND(AJ4=0,AJ109&lt;=0), "",AJ109/AJ4)</f>
        <v>0.24420289855072463</v>
      </c>
      <c r="AL109" s="116"/>
      <c r="AM109" s="114">
        <f>+AM36-AM38+AM110+AM111</f>
        <v>0</v>
      </c>
      <c r="AN109" s="115" t="str">
        <f>IF(AND(AM4=0,AM109&lt;=0), "",AM109/AM4)</f>
        <v/>
      </c>
      <c r="AO109" s="116"/>
      <c r="AP109" s="115" t="str">
        <f t="shared" si="125"/>
        <v/>
      </c>
      <c r="AQ109" s="117">
        <f>+AQ36-AQ38+AQ110+AQ111</f>
        <v>3370</v>
      </c>
      <c r="AR109" s="115">
        <f>IF(AND(AQ4=0,AQ109&lt;=0), "",AQ109/AQ4)</f>
        <v>0.24420289855072463</v>
      </c>
      <c r="AS109" s="116"/>
      <c r="AT109" s="118">
        <f>+AT36-AT38+AT110+AT111</f>
        <v>0</v>
      </c>
      <c r="AU109" s="115" t="str">
        <f>IF(AND(AT4=0,AT109&lt;=0), "",AT109/AT4)</f>
        <v/>
      </c>
      <c r="AV109" s="116">
        <f t="shared" si="134"/>
        <v>1</v>
      </c>
      <c r="AW109" s="118">
        <f>+AW36-AW38+AW110+AW111</f>
        <v>561.6666666666672</v>
      </c>
      <c r="AX109" s="115">
        <f>IF(AND(AW4=0,AW109&lt;=0), "",AW109/AW4)</f>
        <v>0.24420289855072483</v>
      </c>
      <c r="AY109" s="116"/>
      <c r="AZ109" s="118">
        <f>+AZ36-AZ38+AZ110+AZ111</f>
        <v>0</v>
      </c>
      <c r="BA109" s="115" t="str">
        <f>IF(AND(AZ4=0,AZ109&lt;=0), "",AZ109/AZ4)</f>
        <v/>
      </c>
      <c r="BB109" s="116">
        <f t="shared" si="135"/>
        <v>1</v>
      </c>
      <c r="BC109" s="114">
        <f>+BC36-BC38+BC110+BC111</f>
        <v>0</v>
      </c>
      <c r="BD109" s="115" t="str">
        <f>IF(AND(BC4=0,BC109&lt;=0), "",BC109/BC4)</f>
        <v/>
      </c>
      <c r="BE109" s="116"/>
      <c r="BF109" s="115" t="str">
        <f t="shared" si="136"/>
        <v/>
      </c>
      <c r="BG109" s="117">
        <f>+BG36-BG38+BG110+BG111</f>
        <v>3370</v>
      </c>
      <c r="BH109" s="115">
        <f>IF(AND(BG4=0,BG109&lt;=0), "",BG109/BG4)</f>
        <v>0.24420289855072463</v>
      </c>
      <c r="BI109" s="116"/>
      <c r="BJ109" s="114">
        <f>+BJ36-BJ38+BJ110+BJ111</f>
        <v>0</v>
      </c>
      <c r="BK109" s="115" t="str">
        <f>IF(AND(BJ4=0,BJ109&lt;=0), "",BJ109/BJ4)</f>
        <v/>
      </c>
      <c r="BL109" s="116"/>
      <c r="BM109" s="115" t="str">
        <f t="shared" si="126"/>
        <v/>
      </c>
      <c r="BN109" s="117">
        <f>+BN36-BN38+BN110+BN111</f>
        <v>3370</v>
      </c>
      <c r="BO109" s="115">
        <f>IF(AND(BN4=0,BN109&lt;=0), "",BN109/BN4)</f>
        <v>0.24420289855072463</v>
      </c>
      <c r="BP109" s="116"/>
      <c r="BQ109" s="114">
        <f>+BQ36-BQ38+BQ110+BQ111</f>
        <v>0</v>
      </c>
      <c r="BR109" s="115" t="str">
        <f>IF(AND(BQ4=0,BQ109&lt;=0), "",BQ109/BQ4)</f>
        <v/>
      </c>
      <c r="BS109" s="116"/>
      <c r="BT109" s="115" t="str">
        <f t="shared" si="127"/>
        <v/>
      </c>
      <c r="BU109" s="117">
        <f>+BU36-BU38+BU110+BU111</f>
        <v>3370</v>
      </c>
      <c r="BV109" s="115">
        <f>IF(AND(BU4=0,BU109&lt;=0), "",BU109/BU4)</f>
        <v>0.24420289855072463</v>
      </c>
      <c r="BW109" s="116"/>
      <c r="BX109" s="118">
        <f>+BX36-BX38+BX110+BX111</f>
        <v>0</v>
      </c>
      <c r="BY109" s="115" t="str">
        <f>IF(AND(BX4=0,BX109&lt;=0), "",BX109/BX4)</f>
        <v/>
      </c>
      <c r="BZ109" s="116">
        <f t="shared" si="128"/>
        <v>1</v>
      </c>
      <c r="CA109" s="114">
        <f>+CA36-CA38+CA110+CA111</f>
        <v>0</v>
      </c>
      <c r="CB109" s="115" t="str">
        <f>IF(AND(CA4=0,CA109&lt;=0), "",CA109/CA4)</f>
        <v/>
      </c>
      <c r="CC109" s="116"/>
      <c r="CD109" s="115" t="str">
        <f t="shared" si="137"/>
        <v/>
      </c>
      <c r="CE109" s="117">
        <f>+CE36-CE38+CE110+CE111</f>
        <v>3370</v>
      </c>
      <c r="CF109" s="115">
        <f>IF(AND(CE4=0,CE109&lt;=0), "",CE109/CE4)</f>
        <v>0.24420289855072463</v>
      </c>
      <c r="CG109" s="116"/>
      <c r="CH109" s="114">
        <f>+CH36-CH38+CH110+CH111</f>
        <v>0</v>
      </c>
      <c r="CI109" s="115" t="str">
        <f>IF(AND(CH4=0,CH109&lt;=0), "",CH109/CH4)</f>
        <v/>
      </c>
      <c r="CJ109" s="116"/>
      <c r="CK109" s="115" t="str">
        <f t="shared" si="129"/>
        <v/>
      </c>
      <c r="CL109" s="117">
        <f>+CL36-CL38+CL110+CL111</f>
        <v>3370</v>
      </c>
      <c r="CM109" s="115">
        <f>IF(AND(CL4=0,CL109&lt;=0), "",CL109/CL4)</f>
        <v>0.24420289855072463</v>
      </c>
      <c r="CN109" s="116"/>
      <c r="CO109" s="114">
        <f>+CO36-CO38+CO110+CO111</f>
        <v>0</v>
      </c>
      <c r="CP109" s="115" t="str">
        <f>IF(AND(CO4=0,CO109&lt;=0), "",CO109/CO4)</f>
        <v/>
      </c>
      <c r="CQ109" s="116"/>
      <c r="CR109" s="115" t="str">
        <f t="shared" si="130"/>
        <v/>
      </c>
      <c r="CS109" s="117">
        <f>+CS36-CS38+CS110+CS111</f>
        <v>3370</v>
      </c>
      <c r="CT109" s="115">
        <f>IF(AND(CS4=0,CS109&lt;=0), "",CS109/CS4)</f>
        <v>0.24420289855072463</v>
      </c>
      <c r="CU109" s="116"/>
      <c r="CV109" s="118">
        <f>+CV36-CV38+CV110+CV111</f>
        <v>0</v>
      </c>
      <c r="CW109" s="115" t="str">
        <f>IF(AND(CV4=0,CV109&lt;=0), "",CV109/CV4)</f>
        <v/>
      </c>
      <c r="CX109" s="116">
        <f t="shared" si="131"/>
        <v>1</v>
      </c>
      <c r="CY109" s="31"/>
      <c r="CZ109" s="31"/>
      <c r="DA109" s="31"/>
      <c r="DB109" s="31"/>
      <c r="DC109" s="31"/>
      <c r="DD109" s="31"/>
      <c r="DE109" s="31"/>
      <c r="DF109" s="31"/>
      <c r="DG109" s="31"/>
      <c r="DH109" s="31"/>
      <c r="DI109" s="31"/>
      <c r="DJ109" s="31"/>
      <c r="DK109" s="31"/>
      <c r="DL109" s="31"/>
      <c r="DM109" s="31"/>
      <c r="DN109" s="31"/>
      <c r="DO109" s="31"/>
      <c r="DP109" s="31"/>
      <c r="DQ109" s="31"/>
      <c r="DR109" s="31"/>
      <c r="DS109" s="31"/>
      <c r="DT109" s="31"/>
      <c r="DU109" s="31"/>
      <c r="DV109" s="31"/>
      <c r="DW109" s="31"/>
      <c r="DX109" s="31"/>
      <c r="DY109" s="31"/>
      <c r="DZ109" s="31"/>
      <c r="EA109" s="31"/>
      <c r="EB109" s="31"/>
      <c r="EC109" s="31"/>
      <c r="ED109" s="31"/>
      <c r="EE109" s="31"/>
      <c r="EF109" s="31"/>
      <c r="EG109" s="31"/>
      <c r="EH109" s="31"/>
      <c r="EI109" s="31"/>
      <c r="EJ109" s="31"/>
      <c r="EK109" s="31"/>
      <c r="EL109" s="31"/>
      <c r="EM109" s="31"/>
      <c r="EN109" s="31"/>
      <c r="EO109" s="31"/>
      <c r="EP109" s="31"/>
      <c r="EQ109" s="31"/>
      <c r="ER109" s="31"/>
      <c r="ES109" s="31"/>
      <c r="ET109" s="31"/>
      <c r="EU109" s="31"/>
      <c r="EV109" s="31"/>
      <c r="EW109" s="31"/>
      <c r="EX109" s="31"/>
      <c r="EY109" s="31"/>
      <c r="EZ109" s="31"/>
      <c r="FA109" s="31"/>
      <c r="FB109" s="31"/>
      <c r="FC109" s="31"/>
      <c r="FD109" s="31"/>
      <c r="FE109" s="31"/>
      <c r="FF109" s="31"/>
      <c r="FG109" s="31"/>
      <c r="FH109" s="31"/>
      <c r="FI109" s="31"/>
      <c r="FJ109" s="31"/>
      <c r="FK109" s="31"/>
      <c r="FL109" s="31"/>
      <c r="FM109" s="31"/>
      <c r="FN109" s="31"/>
      <c r="FO109" s="31"/>
      <c r="FP109" s="31"/>
      <c r="FQ109" s="31"/>
      <c r="FR109" s="31"/>
      <c r="FS109" s="31"/>
      <c r="FT109" s="31"/>
      <c r="FU109" s="31"/>
      <c r="FV109" s="31"/>
      <c r="FW109" s="31"/>
      <c r="FX109" s="31"/>
      <c r="FY109" s="31"/>
      <c r="FZ109" s="31"/>
      <c r="GA109" s="31"/>
      <c r="GB109" s="31"/>
      <c r="GC109" s="31"/>
      <c r="GD109" s="31"/>
      <c r="GE109" s="31"/>
      <c r="GF109" s="31"/>
      <c r="GG109" s="31"/>
      <c r="GH109" s="31"/>
      <c r="GI109" s="31"/>
      <c r="GJ109" s="31"/>
      <c r="GK109" s="31"/>
      <c r="GL109" s="31"/>
      <c r="GM109" s="31"/>
      <c r="GN109" s="31"/>
      <c r="GO109" s="31"/>
      <c r="GP109" s="31"/>
      <c r="GQ109" s="31"/>
      <c r="GR109" s="31"/>
      <c r="GS109" s="31"/>
      <c r="GT109" s="31"/>
      <c r="GU109" s="31"/>
      <c r="GV109" s="31"/>
      <c r="GW109" s="31"/>
      <c r="GX109" s="31"/>
      <c r="GY109" s="31"/>
      <c r="GZ109" s="31"/>
      <c r="HA109" s="31"/>
      <c r="HB109" s="31"/>
      <c r="HC109" s="31"/>
      <c r="HD109" s="31"/>
      <c r="HE109" s="31"/>
      <c r="HF109" s="31"/>
      <c r="HG109" s="31"/>
      <c r="HH109" s="31"/>
      <c r="HI109" s="31"/>
      <c r="HJ109" s="31"/>
      <c r="HK109" s="31"/>
    </row>
    <row r="110" spans="1:219" s="3" customFormat="1" ht="15.75" thickTop="1" x14ac:dyDescent="0.25">
      <c r="A110" s="27" t="s">
        <v>115</v>
      </c>
      <c r="B110" s="82">
        <f>+'N EERR'!B154+'N EERR'!B156</f>
        <v>0</v>
      </c>
      <c r="C110" s="28" t="str">
        <f>IF(AND(B4=0,B110&gt;=0), "",B110/B4)</f>
        <v/>
      </c>
      <c r="D110" s="42" t="str">
        <f>IF(AND(B124=0,B110&gt;=0),"",B110/B124)</f>
        <v/>
      </c>
      <c r="E110" s="82">
        <f>+'N EERR'!C154+'N EERR'!C156</f>
        <v>20</v>
      </c>
      <c r="F110" s="28">
        <f>IF(AND(E4=0,E110&gt;=0), "",E110/E4)</f>
        <v>1.4492753623188406E-3</v>
      </c>
      <c r="G110" s="42">
        <f>IF(AND(E124=0,E110&gt;=0),"",E110/E124)</f>
        <v>1.3422818791946308E-2</v>
      </c>
      <c r="H110" s="82">
        <f>+'N EERR'!D154+'N EERR'!D156</f>
        <v>0</v>
      </c>
      <c r="I110" s="28" t="str">
        <f>IF(AND(H4=0,H110&gt;=0), "",H110/H4)</f>
        <v/>
      </c>
      <c r="J110" s="42" t="str">
        <f>IF(AND(H124=0,H110&gt;=0),"",H110/H124)</f>
        <v/>
      </c>
      <c r="K110" s="28">
        <f>IF(AND(E110=0,H110&gt;0),100%,IF(AND(E110&lt;0,H110=0),(E110-H110)/E110,IF(AND(E110&gt;0,H110&gt;0),(H110-E110)/E110,IF(AND(E110=0,H110=0),"",(H110-E110)/E110))))</f>
        <v>-1</v>
      </c>
      <c r="L110" s="83">
        <f>+E110+H110</f>
        <v>20</v>
      </c>
      <c r="M110" s="28">
        <f>IF(AND(L4=0,L110&gt;=0), "",L110/L4)</f>
        <v>1.4492753623188406E-3</v>
      </c>
      <c r="N110" s="42">
        <f>IF(AND(L124=0,L110&gt;=0),"",L110/L124)</f>
        <v>1.3422818791946308E-2</v>
      </c>
      <c r="O110" s="82">
        <f>+'N EERR'!E154+'N EERR'!E156</f>
        <v>0</v>
      </c>
      <c r="P110" s="28" t="str">
        <f>IF(AND(O4=0,O110&gt;=0), "",O110/O4)</f>
        <v/>
      </c>
      <c r="Q110" s="42" t="str">
        <f>IF(AND(O124=0,O110&gt;=0),"",O110/O124)</f>
        <v/>
      </c>
      <c r="R110" s="28" t="str">
        <f>IF(AND(H110=0,O110&gt;0),100%,IF(AND(H110&lt;0,O110=0),(H110-O110)/H110,IF(AND(H110&gt;0,O110&gt;0),(O110-H110)/H110,IF(AND(H110=0,O110=0),"",(O110-H110)/H110))))</f>
        <v/>
      </c>
      <c r="S110" s="83">
        <f>+L110+O110</f>
        <v>20</v>
      </c>
      <c r="T110" s="28">
        <f>IF(AND(S4=0,S110&gt;=0), "",S110/S4)</f>
        <v>1.4492753623188406E-3</v>
      </c>
      <c r="U110" s="42">
        <f>IF(AND(S124=0,S110&gt;=0),"",S110/S124)</f>
        <v>1.3422818791946308E-2</v>
      </c>
      <c r="V110" s="84"/>
      <c r="W110" s="28" t="str">
        <f>IF(AND(V4=0,V110&gt;=0), "",V110/V4)</f>
        <v/>
      </c>
      <c r="X110" s="42">
        <f t="shared" si="132"/>
        <v>1</v>
      </c>
      <c r="Y110" s="82">
        <f>+'N EERR'!F154+'N EERR'!F156</f>
        <v>0</v>
      </c>
      <c r="Z110" s="28" t="str">
        <f>IF(AND(Y4=0,Y110&gt;=0), "",Y110/Y4)</f>
        <v/>
      </c>
      <c r="AA110" s="42" t="str">
        <f>IF(AND(Y124=0,Y110&gt;=0),"",Y110/Y124)</f>
        <v/>
      </c>
      <c r="AB110" s="28" t="str">
        <f t="shared" si="133"/>
        <v/>
      </c>
      <c r="AC110" s="83">
        <f>+S110+Y110</f>
        <v>20</v>
      </c>
      <c r="AD110" s="28">
        <f>IF(AND(AC4=0,AC110&gt;=0), "",AC110/AC4)</f>
        <v>1.4492753623188406E-3</v>
      </c>
      <c r="AE110" s="42">
        <f>IF(AND(AC124=0,AC110&gt;=0),"",AC110/AC124)</f>
        <v>1.3422818791946308E-2</v>
      </c>
      <c r="AF110" s="82">
        <f>+'N EERR'!G154+'N EERR'!G156</f>
        <v>0</v>
      </c>
      <c r="AG110" s="28" t="str">
        <f>IF(AND(AF4=0,AF110&gt;=0), "",AF110/AF4)</f>
        <v/>
      </c>
      <c r="AH110" s="42" t="str">
        <f>IF(AND(AF124=0,AF110&gt;=0),"",AF110/AF124)</f>
        <v/>
      </c>
      <c r="AI110" s="28" t="str">
        <f t="shared" si="124"/>
        <v/>
      </c>
      <c r="AJ110" s="83">
        <f t="shared" si="95"/>
        <v>20</v>
      </c>
      <c r="AK110" s="28">
        <f>IF(AND(AJ4=0,AJ110&gt;=0), "",AJ110/AJ4)</f>
        <v>1.4492753623188406E-3</v>
      </c>
      <c r="AL110" s="42">
        <f>IF(AND(AJ124=0,AJ110&gt;=0),"",AJ110/AJ124)</f>
        <v>1.3422818791946308E-2</v>
      </c>
      <c r="AM110" s="82">
        <f>+'N EERR'!H154+'N EERR'!H156</f>
        <v>0</v>
      </c>
      <c r="AN110" s="28" t="str">
        <f>IF(AND(AM4=0,AM110&gt;=0), "",AM110/AM4)</f>
        <v/>
      </c>
      <c r="AO110" s="42" t="str">
        <f>IF(AND(AM124=0,AM110&gt;=0),"",AM110/AM124)</f>
        <v/>
      </c>
      <c r="AP110" s="28" t="str">
        <f t="shared" si="125"/>
        <v/>
      </c>
      <c r="AQ110" s="83">
        <f t="shared" si="96"/>
        <v>20</v>
      </c>
      <c r="AR110" s="28">
        <f>IF(AND(AQ4=0,AQ110&gt;=0), "",AQ110/AQ4)</f>
        <v>1.4492753623188406E-3</v>
      </c>
      <c r="AS110" s="42">
        <f>IF(AND(AQ124=0,AQ110&gt;=0),"",AQ110/AQ124)</f>
        <v>1.3422818791946308E-2</v>
      </c>
      <c r="AT110" s="84">
        <f>+V110*2</f>
        <v>0</v>
      </c>
      <c r="AU110" s="28" t="str">
        <f>IF(AND(AT4=0,AT110&gt;=0), "",AT110/AT4)</f>
        <v/>
      </c>
      <c r="AV110" s="42">
        <f t="shared" si="134"/>
        <v>1</v>
      </c>
      <c r="AW110" s="84">
        <f>+AQ110/6</f>
        <v>3.3333333333333335</v>
      </c>
      <c r="AX110" s="28">
        <f>IF(AND(AW4=0,AW110&gt;=0), "",AW110/AW4)</f>
        <v>1.4492753623188404E-3</v>
      </c>
      <c r="AY110" s="42">
        <f>IF(AND(AW124=0,AW110&gt;=0),"",AW110/AW124)</f>
        <v>1.3422818791946308E-2</v>
      </c>
      <c r="AZ110" s="84">
        <f>+AT110/6</f>
        <v>0</v>
      </c>
      <c r="BA110" s="28" t="str">
        <f>IF(AND(AZ4=0,AZ110&gt;=0), "",AZ110/AZ4)</f>
        <v/>
      </c>
      <c r="BB110" s="42">
        <f t="shared" si="135"/>
        <v>1</v>
      </c>
      <c r="BC110" s="82">
        <f>+'N EERR'!I154+'N EERR'!I156</f>
        <v>0</v>
      </c>
      <c r="BD110" s="28" t="str">
        <f>IF(AND(BC4=0,BC110&gt;=0), "",BC110/BC4)</f>
        <v/>
      </c>
      <c r="BE110" s="42" t="str">
        <f>IF(AND(BC124=0,BC110&gt;=0),"",BC110/BC124)</f>
        <v/>
      </c>
      <c r="BF110" s="28" t="str">
        <f t="shared" si="136"/>
        <v/>
      </c>
      <c r="BG110" s="83">
        <f>+AQ110+BC110</f>
        <v>20</v>
      </c>
      <c r="BH110" s="28">
        <f>IF(AND(BG4=0,BG110&gt;=0), "",BG110/BG4)</f>
        <v>1.4492753623188406E-3</v>
      </c>
      <c r="BI110" s="42">
        <f>IF(AND(BG124=0,BG110&gt;=0),"",BG110/BG124)</f>
        <v>1.3422818791946308E-2</v>
      </c>
      <c r="BJ110" s="82">
        <f>+'N EERR'!J154+'N EERR'!J156</f>
        <v>0</v>
      </c>
      <c r="BK110" s="28" t="str">
        <f>IF(AND(BJ4=0,BJ110&gt;=0), "",BJ110/BJ4)</f>
        <v/>
      </c>
      <c r="BL110" s="42" t="str">
        <f>IF(AND(BJ124=0,BJ110&gt;=0),"",BJ110/BJ124)</f>
        <v/>
      </c>
      <c r="BM110" s="28" t="str">
        <f t="shared" si="126"/>
        <v/>
      </c>
      <c r="BN110" s="83">
        <f>+BG110+BJ110</f>
        <v>20</v>
      </c>
      <c r="BO110" s="28">
        <f>IF(AND(BN4=0,BN110&gt;=0), "",BN110/BN4)</f>
        <v>1.4492753623188406E-3</v>
      </c>
      <c r="BP110" s="42">
        <f>IF(AND(BN124=0,BN110&gt;=0),"",BN110/BN124)</f>
        <v>1.3422818791946308E-2</v>
      </c>
      <c r="BQ110" s="82">
        <f>+'N EERR'!K154+'N EERR'!K156</f>
        <v>0</v>
      </c>
      <c r="BR110" s="28" t="str">
        <f>IF(AND(BQ4=0,BQ110&gt;=0), "",BQ110/BQ4)</f>
        <v/>
      </c>
      <c r="BS110" s="42" t="str">
        <f>IF(AND(BQ124=0,BQ110&gt;=0),"",BQ110/BQ124)</f>
        <v/>
      </c>
      <c r="BT110" s="28" t="str">
        <f t="shared" si="127"/>
        <v/>
      </c>
      <c r="BU110" s="83">
        <f>+BN110+BQ110</f>
        <v>20</v>
      </c>
      <c r="BV110" s="28">
        <f>IF(AND(BU4=0,BU110&gt;=0), "",BU110/BU4)</f>
        <v>1.4492753623188406E-3</v>
      </c>
      <c r="BW110" s="42">
        <f>IF(AND(BU124=0,BU110&gt;=0),"",BU110/BU124)</f>
        <v>1.3422818791946308E-2</v>
      </c>
      <c r="BX110" s="84">
        <f>+AZ110*9</f>
        <v>0</v>
      </c>
      <c r="BY110" s="28" t="str">
        <f>IF(AND(BX4=0,BX110&gt;=0), "",BX110/BX4)</f>
        <v/>
      </c>
      <c r="BZ110" s="42">
        <f t="shared" si="128"/>
        <v>1</v>
      </c>
      <c r="CA110" s="82">
        <f>+'N EERR'!L154+'N EERR'!L156</f>
        <v>0</v>
      </c>
      <c r="CB110" s="28" t="str">
        <f>IF(AND(CA4=0,CA110&gt;=0), "",CA110/CA4)</f>
        <v/>
      </c>
      <c r="CC110" s="42" t="str">
        <f>IF(AND(CA124=0,CA110&gt;=0),"",CA110/CA124)</f>
        <v/>
      </c>
      <c r="CD110" s="28" t="str">
        <f t="shared" si="137"/>
        <v/>
      </c>
      <c r="CE110" s="83">
        <f>+BU110+CA110</f>
        <v>20</v>
      </c>
      <c r="CF110" s="28">
        <f>IF(AND(CE4=0,CE110&gt;=0), "",CE110/CE4)</f>
        <v>1.4492753623188406E-3</v>
      </c>
      <c r="CG110" s="42">
        <f>IF(AND(CE124=0,CE110&gt;=0),"",CE110/CE124)</f>
        <v>1.3422818791946308E-2</v>
      </c>
      <c r="CH110" s="82">
        <f>+'N EERR'!M154+'N EERR'!M156</f>
        <v>0</v>
      </c>
      <c r="CI110" s="28" t="str">
        <f>IF(AND(CH4=0,CH110&gt;=0), "",CH110/CH4)</f>
        <v/>
      </c>
      <c r="CJ110" s="42" t="str">
        <f>IF(AND(CH124=0,CH110&gt;=0),"",CH110/CH124)</f>
        <v/>
      </c>
      <c r="CK110" s="28" t="str">
        <f t="shared" si="129"/>
        <v/>
      </c>
      <c r="CL110" s="83">
        <f>+CE110+CH110</f>
        <v>20</v>
      </c>
      <c r="CM110" s="28">
        <f>IF(AND(CL4=0,CL110&gt;=0), "",CL110/CL4)</f>
        <v>1.4492753623188406E-3</v>
      </c>
      <c r="CN110" s="42">
        <f>IF(AND(CL124=0,CL110&gt;=0),"",CL110/CL124)</f>
        <v>1.3422818791946308E-2</v>
      </c>
      <c r="CO110" s="82">
        <f>+'N EERR'!N154+'N EERR'!N156</f>
        <v>0</v>
      </c>
      <c r="CP110" s="28" t="str">
        <f>IF(AND(CO4=0,CO110&gt;=0), "",CO110/CO4)</f>
        <v/>
      </c>
      <c r="CQ110" s="42" t="str">
        <f>IF(AND(CO124=0,CO110&gt;=0),"",CO110/CO124)</f>
        <v/>
      </c>
      <c r="CR110" s="28" t="str">
        <f t="shared" si="130"/>
        <v/>
      </c>
      <c r="CS110" s="83">
        <f>+CL110+CO110</f>
        <v>20</v>
      </c>
      <c r="CT110" s="28">
        <f>IF(AND(CS4=0,CS110&gt;=0), "",CS110/CS4)</f>
        <v>1.4492753623188406E-3</v>
      </c>
      <c r="CU110" s="42">
        <f>IF(AND(CS124=0,CS110&gt;=0),"",CS110/CS124)</f>
        <v>1.3422818791946308E-2</v>
      </c>
      <c r="CV110" s="84">
        <f>+AZ110*12</f>
        <v>0</v>
      </c>
      <c r="CW110" s="28" t="str">
        <f>IF(AND(CV4=0,CV110&gt;=0), "",CV110/CV4)</f>
        <v/>
      </c>
      <c r="CX110" s="42">
        <f t="shared" si="131"/>
        <v>1</v>
      </c>
    </row>
    <row r="111" spans="1:219" s="3" customFormat="1" x14ac:dyDescent="0.25">
      <c r="A111" s="27" t="s">
        <v>201</v>
      </c>
      <c r="B111" s="82">
        <f>+'N EERR'!B155</f>
        <v>0</v>
      </c>
      <c r="C111" s="28" t="str">
        <f>IF(AND(B4=0,B111&gt;=0), "",B111/B4)</f>
        <v/>
      </c>
      <c r="D111" s="42" t="str">
        <f>IF(AND(B124=0,B111&gt;=0),"",B111/B124)</f>
        <v/>
      </c>
      <c r="E111" s="82">
        <f>+'N EERR'!C155</f>
        <v>10</v>
      </c>
      <c r="F111" s="28">
        <f>IF(AND(E4=0,E111&gt;=0), "",E111/E4)</f>
        <v>7.246376811594203E-4</v>
      </c>
      <c r="G111" s="42">
        <f>IF(AND(E124=0,E111&gt;=0),"",E111/E124)</f>
        <v>6.7114093959731542E-3</v>
      </c>
      <c r="H111" s="82">
        <f>+'N EERR'!D155</f>
        <v>0</v>
      </c>
      <c r="I111" s="28" t="str">
        <f>IF(AND(H4=0,H111&gt;=0), "",H111/H4)</f>
        <v/>
      </c>
      <c r="J111" s="42" t="str">
        <f>IF(AND(H124=0,H111&gt;=0),"",H111/H124)</f>
        <v/>
      </c>
      <c r="K111" s="28">
        <f>IF(AND(E111=0,H111&gt;0),100%,IF(AND(E111&lt;0,H111&gt;=0),(E111-H111)/E111,IF(AND(E111&gt;0,H111&gt;0),(H111-E111)/E111,IF(AND(E111=0,H111&lt;=0),"",(H111-E111)/E111))))</f>
        <v>-1</v>
      </c>
      <c r="L111" s="83">
        <f>+E111+H111</f>
        <v>10</v>
      </c>
      <c r="M111" s="28">
        <f>IF(AND(L4=0,L111&gt;=0), "",L111/L4)</f>
        <v>7.246376811594203E-4</v>
      </c>
      <c r="N111" s="42">
        <f>IF(AND(L124=0,L111&gt;=0),"",L111/L124)</f>
        <v>6.7114093959731542E-3</v>
      </c>
      <c r="O111" s="82">
        <f>+'N EERR'!E155</f>
        <v>0</v>
      </c>
      <c r="P111" s="28" t="str">
        <f>IF(AND(O4=0,O111&gt;=0), "",O111/O4)</f>
        <v/>
      </c>
      <c r="Q111" s="42" t="str">
        <f>IF(AND(O124=0,O111&gt;=0),"",O111/O124)</f>
        <v/>
      </c>
      <c r="R111" s="28" t="str">
        <f>IF(AND(H111=0,O111&gt;0),100%,IF(AND(H111&lt;0,O111&gt;=0),(H111-O111)/H111,IF(AND(H111&gt;0,O111&gt;0),(O111-H111)/H111,IF(AND(H111=0,O111&lt;=0),"",(O111-H111)/H111))))</f>
        <v/>
      </c>
      <c r="S111" s="83">
        <f>+L111+O111</f>
        <v>10</v>
      </c>
      <c r="T111" s="28">
        <f>IF(AND(S4=0,S111&gt;=0), "",S111/S4)</f>
        <v>7.246376811594203E-4</v>
      </c>
      <c r="U111" s="42">
        <f>IF(AND(S124=0,S111&gt;=0),"",S111/S124)</f>
        <v>6.7114093959731542E-3</v>
      </c>
      <c r="V111" s="84"/>
      <c r="W111" s="28" t="str">
        <f>IF(AND(V4=0,V111&gt;=0), "",V111/V4)</f>
        <v/>
      </c>
      <c r="X111" s="42">
        <f t="shared" si="132"/>
        <v>1</v>
      </c>
      <c r="Y111" s="82">
        <f>+'N EERR'!F155</f>
        <v>0</v>
      </c>
      <c r="Z111" s="28" t="str">
        <f>IF(AND(Y4=0,Y111&gt;=0), "",Y111/Y4)</f>
        <v/>
      </c>
      <c r="AA111" s="42" t="str">
        <f>IF(AND(Y124=0,Y111&gt;=0),"",Y111/Y124)</f>
        <v/>
      </c>
      <c r="AB111" s="28" t="str">
        <f t="shared" si="133"/>
        <v/>
      </c>
      <c r="AC111" s="83">
        <f>+S111+Y111</f>
        <v>10</v>
      </c>
      <c r="AD111" s="28">
        <f>IF(AND(AC4=0,AC111&gt;=0), "",AC111/AC4)</f>
        <v>7.246376811594203E-4</v>
      </c>
      <c r="AE111" s="42">
        <f>IF(AND(AC124=0,AC111&gt;=0),"",AC111/AC124)</f>
        <v>6.7114093959731542E-3</v>
      </c>
      <c r="AF111" s="82">
        <f>+'N EERR'!G155</f>
        <v>0</v>
      </c>
      <c r="AG111" s="28" t="str">
        <f>IF(AND(AF4=0,AF111&gt;=0), "",AF111/AF4)</f>
        <v/>
      </c>
      <c r="AH111" s="42" t="str">
        <f>IF(AND(AF124=0,AF111&gt;=0),"",AF111/AF124)</f>
        <v/>
      </c>
      <c r="AI111" s="28" t="str">
        <f t="shared" si="124"/>
        <v/>
      </c>
      <c r="AJ111" s="83">
        <f t="shared" si="95"/>
        <v>10</v>
      </c>
      <c r="AK111" s="28">
        <f>IF(AND(AJ4=0,AJ111&gt;=0), "",AJ111/AJ4)</f>
        <v>7.246376811594203E-4</v>
      </c>
      <c r="AL111" s="42">
        <f>IF(AND(AJ124=0,AJ111&gt;=0),"",AJ111/AJ124)</f>
        <v>6.7114093959731542E-3</v>
      </c>
      <c r="AM111" s="82">
        <f>+'N EERR'!H155</f>
        <v>0</v>
      </c>
      <c r="AN111" s="28" t="str">
        <f>IF(AND(AM4=0,AM111&gt;=0), "",AM111/AM4)</f>
        <v/>
      </c>
      <c r="AO111" s="42" t="str">
        <f>IF(AND(AM124=0,AM111&gt;=0),"",AM111/AM124)</f>
        <v/>
      </c>
      <c r="AP111" s="28" t="str">
        <f t="shared" si="125"/>
        <v/>
      </c>
      <c r="AQ111" s="83">
        <f t="shared" si="96"/>
        <v>10</v>
      </c>
      <c r="AR111" s="28">
        <f>IF(AND(AQ4=0,AQ111&gt;=0), "",AQ111/AQ4)</f>
        <v>7.246376811594203E-4</v>
      </c>
      <c r="AS111" s="42">
        <f>IF(AND(AQ124=0,AQ111&gt;=0),"",AQ111/AQ124)</f>
        <v>6.7114093959731542E-3</v>
      </c>
      <c r="AT111" s="84">
        <f>+V111*2</f>
        <v>0</v>
      </c>
      <c r="AU111" s="28" t="str">
        <f>IF(AND(AT4=0,AT111&gt;=0), "",AT111/AT4)</f>
        <v/>
      </c>
      <c r="AV111" s="42">
        <f t="shared" si="134"/>
        <v>1</v>
      </c>
      <c r="AW111" s="84">
        <f>+AQ111/6</f>
        <v>1.6666666666666667</v>
      </c>
      <c r="AX111" s="28">
        <f>IF(AND(AW4=0,AW111&gt;=0), "",AW111/AW4)</f>
        <v>7.2463768115942019E-4</v>
      </c>
      <c r="AY111" s="42">
        <f>IF(AND(AW124=0,AW111&gt;=0),"",AW111/AW124)</f>
        <v>6.7114093959731542E-3</v>
      </c>
      <c r="AZ111" s="84">
        <f>+AT111/6</f>
        <v>0</v>
      </c>
      <c r="BA111" s="28" t="str">
        <f>IF(AND(AZ4=0,AZ111&gt;=0), "",AZ111/AZ4)</f>
        <v/>
      </c>
      <c r="BB111" s="42">
        <f t="shared" si="135"/>
        <v>1</v>
      </c>
      <c r="BC111" s="82">
        <f>+'N EERR'!I155</f>
        <v>0</v>
      </c>
      <c r="BD111" s="28" t="str">
        <f>IF(AND(BC4=0,BC111&gt;=0), "",BC111/BC4)</f>
        <v/>
      </c>
      <c r="BE111" s="42" t="str">
        <f>IF(AND(BC124=0,BC111&gt;=0),"",BC111/BC124)</f>
        <v/>
      </c>
      <c r="BF111" s="28" t="str">
        <f t="shared" si="136"/>
        <v/>
      </c>
      <c r="BG111" s="83">
        <f>+AQ111+BC111</f>
        <v>10</v>
      </c>
      <c r="BH111" s="28">
        <f>IF(AND(BG4=0,BG111&gt;=0), "",BG111/BG4)</f>
        <v>7.246376811594203E-4</v>
      </c>
      <c r="BI111" s="42">
        <f>IF(AND(BG124=0,BG111&gt;=0),"",BG111/BG124)</f>
        <v>6.7114093959731542E-3</v>
      </c>
      <c r="BJ111" s="82">
        <f>+'N EERR'!J155</f>
        <v>0</v>
      </c>
      <c r="BK111" s="28" t="str">
        <f>IF(AND(BJ4=0,BJ111&gt;=0), "",BJ111/BJ4)</f>
        <v/>
      </c>
      <c r="BL111" s="42" t="str">
        <f>IF(AND(BJ124=0,BJ111&gt;=0),"",BJ111/BJ124)</f>
        <v/>
      </c>
      <c r="BM111" s="28" t="str">
        <f t="shared" si="126"/>
        <v/>
      </c>
      <c r="BN111" s="83">
        <f>+BG111+BJ111</f>
        <v>10</v>
      </c>
      <c r="BO111" s="28">
        <f>IF(AND(BN4=0,BN111&gt;=0), "",BN111/BN4)</f>
        <v>7.246376811594203E-4</v>
      </c>
      <c r="BP111" s="42">
        <f>IF(AND(BN124=0,BN111&gt;=0),"",BN111/BN124)</f>
        <v>6.7114093959731542E-3</v>
      </c>
      <c r="BQ111" s="82">
        <f>+'N EERR'!K155</f>
        <v>0</v>
      </c>
      <c r="BR111" s="28" t="str">
        <f>IF(AND(BQ4=0,BQ111&gt;=0), "",BQ111/BQ4)</f>
        <v/>
      </c>
      <c r="BS111" s="42" t="str">
        <f>IF(AND(BQ124=0,BQ111&gt;=0),"",BQ111/BQ124)</f>
        <v/>
      </c>
      <c r="BT111" s="28" t="str">
        <f t="shared" si="127"/>
        <v/>
      </c>
      <c r="BU111" s="83">
        <f>+BN111+BQ111</f>
        <v>10</v>
      </c>
      <c r="BV111" s="28">
        <f>IF(AND(BU4=0,BU111&gt;=0), "",BU111/BU4)</f>
        <v>7.246376811594203E-4</v>
      </c>
      <c r="BW111" s="42">
        <f>IF(AND(BU124=0,BU111&gt;=0),"",BU111/BU124)</f>
        <v>6.7114093959731542E-3</v>
      </c>
      <c r="BX111" s="84">
        <f>+AZ111*9</f>
        <v>0</v>
      </c>
      <c r="BY111" s="28" t="str">
        <f>IF(AND(BX4=0,BX111&gt;=0), "",BX111/BX4)</f>
        <v/>
      </c>
      <c r="BZ111" s="42">
        <f t="shared" si="128"/>
        <v>1</v>
      </c>
      <c r="CA111" s="82">
        <f>+'N EERR'!L155</f>
        <v>0</v>
      </c>
      <c r="CB111" s="28" t="str">
        <f>IF(AND(CA4=0,CA111&gt;=0), "",CA111/CA4)</f>
        <v/>
      </c>
      <c r="CC111" s="42" t="str">
        <f>IF(AND(CA124=0,CA111&gt;=0),"",CA111/CA124)</f>
        <v/>
      </c>
      <c r="CD111" s="28" t="str">
        <f t="shared" si="137"/>
        <v/>
      </c>
      <c r="CE111" s="83">
        <f>+BU111+CA111</f>
        <v>10</v>
      </c>
      <c r="CF111" s="28">
        <f>IF(AND(CE4=0,CE111&gt;=0), "",CE111/CE4)</f>
        <v>7.246376811594203E-4</v>
      </c>
      <c r="CG111" s="42">
        <f>IF(AND(CE124=0,CE111&gt;=0),"",CE111/CE124)</f>
        <v>6.7114093959731542E-3</v>
      </c>
      <c r="CH111" s="82">
        <f>+'N EERR'!M155</f>
        <v>0</v>
      </c>
      <c r="CI111" s="28" t="str">
        <f>IF(AND(CH4=0,CH111&gt;=0), "",CH111/CH4)</f>
        <v/>
      </c>
      <c r="CJ111" s="42" t="str">
        <f>IF(AND(CH124=0,CH111&gt;=0),"",CH111/CH124)</f>
        <v/>
      </c>
      <c r="CK111" s="28" t="str">
        <f t="shared" si="129"/>
        <v/>
      </c>
      <c r="CL111" s="83">
        <f>+CE111+CH111</f>
        <v>10</v>
      </c>
      <c r="CM111" s="28">
        <f>IF(AND(CL4=0,CL111&gt;=0), "",CL111/CL4)</f>
        <v>7.246376811594203E-4</v>
      </c>
      <c r="CN111" s="42">
        <f>IF(AND(CL124=0,CL111&gt;=0),"",CL111/CL124)</f>
        <v>6.7114093959731542E-3</v>
      </c>
      <c r="CO111" s="82">
        <f>+'N EERR'!N155</f>
        <v>0</v>
      </c>
      <c r="CP111" s="28" t="str">
        <f>IF(AND(CO4=0,CO111&gt;=0), "",CO111/CO4)</f>
        <v/>
      </c>
      <c r="CQ111" s="42" t="str">
        <f>IF(AND(CO124=0,CO111&gt;=0),"",CO111/CO124)</f>
        <v/>
      </c>
      <c r="CR111" s="28" t="str">
        <f t="shared" si="130"/>
        <v/>
      </c>
      <c r="CS111" s="83">
        <f>+CL111+CO111</f>
        <v>10</v>
      </c>
      <c r="CT111" s="28">
        <f>IF(AND(CS4=0,CS111&gt;=0), "",CS111/CS4)</f>
        <v>7.246376811594203E-4</v>
      </c>
      <c r="CU111" s="42">
        <f>IF(AND(CS124=0,CS111&gt;=0),"",CS111/CS124)</f>
        <v>6.7114093959731542E-3</v>
      </c>
      <c r="CV111" s="84">
        <f>+AZ111*12</f>
        <v>0</v>
      </c>
      <c r="CW111" s="28" t="str">
        <f>IF(AND(CV4=0,CV111&gt;=0), "",CV111/CV4)</f>
        <v/>
      </c>
      <c r="CX111" s="42">
        <f t="shared" si="131"/>
        <v>1</v>
      </c>
    </row>
    <row r="112" spans="1:219" s="31" customFormat="1" ht="15.75" x14ac:dyDescent="0.25">
      <c r="A112" s="101" t="s">
        <v>118</v>
      </c>
      <c r="B112" s="102">
        <f>+B109-B110-B111</f>
        <v>0</v>
      </c>
      <c r="C112" s="103" t="str">
        <f>IF(AND(B4=0,B112&lt;=0), "",B112/B4)</f>
        <v/>
      </c>
      <c r="D112" s="104"/>
      <c r="E112" s="102">
        <f>+E109-E110-E111</f>
        <v>3340</v>
      </c>
      <c r="F112" s="103">
        <f>IF(AND(E4=0,E112&lt;=0), "",E112/E4)</f>
        <v>0.24202898550724639</v>
      </c>
      <c r="G112" s="104"/>
      <c r="H112" s="102">
        <f>+H109-H110-H111</f>
        <v>0</v>
      </c>
      <c r="I112" s="103" t="str">
        <f>IF(AND(H4=0,H112&lt;=0), "",H112/H4)</f>
        <v/>
      </c>
      <c r="J112" s="104"/>
      <c r="K112" s="103">
        <f>IF(AND(E112=0,H112&gt;0),100%,IF(AND(E112&lt;0,H112&gt;=0),(E112-H112)/E112,IF(AND(E112&gt;0,H112&gt;0),(H112-E112)/E112,IF(AND(E112=0,H112&lt;=0),"",(H112-E112)/E112))))</f>
        <v>-1</v>
      </c>
      <c r="L112" s="105">
        <f>+L109-L110-L111</f>
        <v>3340</v>
      </c>
      <c r="M112" s="103">
        <f>IF(AND(L4=0,L112&lt;=0), "",L112/L4)</f>
        <v>0.24202898550724639</v>
      </c>
      <c r="N112" s="104"/>
      <c r="O112" s="102">
        <f>+O109-O110-O111</f>
        <v>0</v>
      </c>
      <c r="P112" s="103" t="str">
        <f>IF(AND(O4=0,O112&lt;=0), "",O112/O4)</f>
        <v/>
      </c>
      <c r="Q112" s="104"/>
      <c r="R112" s="103" t="str">
        <f>IF(AND(H112=0,O112&gt;0),100%,IF(AND(H112&lt;0,O112&gt;=0),(H112-O112)/H112,IF(AND(H112&gt;0,O112&gt;0),(O112-H112)/H112,IF(AND(H112=0,O112&lt;=0),"",(O112-H112)/H112))))</f>
        <v/>
      </c>
      <c r="S112" s="105">
        <f>+S109-S110-S111</f>
        <v>3340</v>
      </c>
      <c r="T112" s="103">
        <f>IF(AND(S4=0,S112&lt;=0), "",S112/S4)</f>
        <v>0.24202898550724639</v>
      </c>
      <c r="U112" s="104"/>
      <c r="V112" s="106">
        <f>+V109-V110-V111</f>
        <v>0</v>
      </c>
      <c r="W112" s="103" t="str">
        <f>IF(AND(V4=0,V112&lt;=0), "",V112/V4)</f>
        <v/>
      </c>
      <c r="X112" s="104">
        <f t="shared" si="132"/>
        <v>1</v>
      </c>
      <c r="Y112" s="102">
        <f>+Y109-Y110-Y111</f>
        <v>0</v>
      </c>
      <c r="Z112" s="103" t="str">
        <f>IF(AND(Y4=0,Y112&lt;=0), "",Y112/Y4)</f>
        <v/>
      </c>
      <c r="AA112" s="104"/>
      <c r="AB112" s="103" t="str">
        <f t="shared" si="133"/>
        <v/>
      </c>
      <c r="AC112" s="105">
        <f>+AC109-AC110-AC111</f>
        <v>3340</v>
      </c>
      <c r="AD112" s="103">
        <f>IF(AND(AC4=0,AC112&lt;=0), "",AC112/AC4)</f>
        <v>0.24202898550724639</v>
      </c>
      <c r="AE112" s="104"/>
      <c r="AF112" s="102">
        <f>+AF109-AF110-AF111</f>
        <v>0</v>
      </c>
      <c r="AG112" s="103" t="str">
        <f>IF(AND(AF4=0,AF112&lt;=0), "",AF112/AF4)</f>
        <v/>
      </c>
      <c r="AH112" s="104"/>
      <c r="AI112" s="103" t="str">
        <f t="shared" si="124"/>
        <v/>
      </c>
      <c r="AJ112" s="105">
        <f>+AJ109-AJ110-AJ111</f>
        <v>3340</v>
      </c>
      <c r="AK112" s="103">
        <f>IF(AND(AJ4=0,AJ112&lt;=0), "",AJ112/AJ4)</f>
        <v>0.24202898550724639</v>
      </c>
      <c r="AL112" s="104"/>
      <c r="AM112" s="102">
        <f>+AM109-AM110-AM111</f>
        <v>0</v>
      </c>
      <c r="AN112" s="103" t="str">
        <f>IF(AND(AM4=0,AM112&lt;=0), "",AM112/AM4)</f>
        <v/>
      </c>
      <c r="AO112" s="104"/>
      <c r="AP112" s="103" t="str">
        <f t="shared" si="125"/>
        <v/>
      </c>
      <c r="AQ112" s="105">
        <f>+AQ109-AQ110-AQ111</f>
        <v>3340</v>
      </c>
      <c r="AR112" s="103">
        <f>IF(AND(AQ4=0,AQ112&lt;=0), "",AQ112/AQ4)</f>
        <v>0.24202898550724639</v>
      </c>
      <c r="AS112" s="104"/>
      <c r="AT112" s="106">
        <f>+AT109-AT110-AT111</f>
        <v>0</v>
      </c>
      <c r="AU112" s="103" t="str">
        <f>IF(AND(AT4=0,AT112&lt;=0), "",AT112/AT4)</f>
        <v/>
      </c>
      <c r="AV112" s="104">
        <f t="shared" si="134"/>
        <v>1</v>
      </c>
      <c r="AW112" s="106">
        <f>+AW109-AW110-AW111</f>
        <v>556.6666666666672</v>
      </c>
      <c r="AX112" s="103">
        <f>IF(AND(AW4=0,AW112&lt;=0), "",AW112/AW4)</f>
        <v>0.24202898550724655</v>
      </c>
      <c r="AY112" s="104"/>
      <c r="AZ112" s="106">
        <f>+AZ109-AZ110-AZ111</f>
        <v>0</v>
      </c>
      <c r="BA112" s="103" t="str">
        <f>IF(AND(AZ4=0,AZ112&lt;=0), "",AZ112/AZ4)</f>
        <v/>
      </c>
      <c r="BB112" s="104">
        <f t="shared" si="135"/>
        <v>1</v>
      </c>
      <c r="BC112" s="102">
        <f>+BC109-BC110-BC111</f>
        <v>0</v>
      </c>
      <c r="BD112" s="103" t="str">
        <f>IF(AND(BC4=0,BC112&lt;=0), "",BC112/BC4)</f>
        <v/>
      </c>
      <c r="BE112" s="104"/>
      <c r="BF112" s="103" t="str">
        <f t="shared" si="136"/>
        <v/>
      </c>
      <c r="BG112" s="105">
        <f>+BG109-BG110-BG111</f>
        <v>3340</v>
      </c>
      <c r="BH112" s="103">
        <f>IF(AND(BG4=0,BG112&lt;=0), "",BG112/BG4)</f>
        <v>0.24202898550724639</v>
      </c>
      <c r="BI112" s="104"/>
      <c r="BJ112" s="102">
        <f>+BJ109-BJ110-BJ111</f>
        <v>0</v>
      </c>
      <c r="BK112" s="103" t="str">
        <f>IF(AND(BJ4=0,BJ112&lt;=0), "",BJ112/BJ4)</f>
        <v/>
      </c>
      <c r="BL112" s="104"/>
      <c r="BM112" s="103" t="str">
        <f t="shared" si="126"/>
        <v/>
      </c>
      <c r="BN112" s="105">
        <f>+BN109-BN110-BN111</f>
        <v>3340</v>
      </c>
      <c r="BO112" s="103">
        <f>IF(AND(BN4=0,BN112&lt;=0), "",BN112/BN4)</f>
        <v>0.24202898550724639</v>
      </c>
      <c r="BP112" s="104"/>
      <c r="BQ112" s="102">
        <f>+BQ109-BQ110-BQ111</f>
        <v>0</v>
      </c>
      <c r="BR112" s="103" t="str">
        <f>IF(AND(BQ4=0,BQ112&lt;=0), "",BQ112/BQ4)</f>
        <v/>
      </c>
      <c r="BS112" s="104"/>
      <c r="BT112" s="103" t="str">
        <f t="shared" si="127"/>
        <v/>
      </c>
      <c r="BU112" s="105">
        <f>+BU109-BU110-BU111</f>
        <v>3340</v>
      </c>
      <c r="BV112" s="103">
        <f>IF(AND(BU4=0,BU112&lt;=0), "",BU112/BU4)</f>
        <v>0.24202898550724639</v>
      </c>
      <c r="BW112" s="104"/>
      <c r="BX112" s="106">
        <f>+BX109-BX110-BX111</f>
        <v>0</v>
      </c>
      <c r="BY112" s="103" t="str">
        <f>IF(AND(BX4=0,BX112&lt;=0), "",BX112/BX4)</f>
        <v/>
      </c>
      <c r="BZ112" s="104">
        <f t="shared" si="128"/>
        <v>1</v>
      </c>
      <c r="CA112" s="102">
        <f>+CA109-CA110-CA111</f>
        <v>0</v>
      </c>
      <c r="CB112" s="103" t="str">
        <f>IF(AND(CA4=0,CA112&lt;=0), "",CA112/CA4)</f>
        <v/>
      </c>
      <c r="CC112" s="104"/>
      <c r="CD112" s="103" t="str">
        <f t="shared" si="137"/>
        <v/>
      </c>
      <c r="CE112" s="105">
        <f>+CE109-CE110-CE111</f>
        <v>3340</v>
      </c>
      <c r="CF112" s="103">
        <f>IF(AND(CE4=0,CE112&lt;=0), "",CE112/CE4)</f>
        <v>0.24202898550724639</v>
      </c>
      <c r="CG112" s="104"/>
      <c r="CH112" s="102">
        <f>+CH109-CH110-CH111</f>
        <v>0</v>
      </c>
      <c r="CI112" s="103" t="str">
        <f>IF(AND(CH4=0,CH112&lt;=0), "",CH112/CH4)</f>
        <v/>
      </c>
      <c r="CJ112" s="104"/>
      <c r="CK112" s="103" t="str">
        <f t="shared" si="129"/>
        <v/>
      </c>
      <c r="CL112" s="105">
        <f>+CL109-CL110-CL111</f>
        <v>3340</v>
      </c>
      <c r="CM112" s="103">
        <f>IF(AND(CL4=0,CL112&lt;=0), "",CL112/CL4)</f>
        <v>0.24202898550724639</v>
      </c>
      <c r="CN112" s="104"/>
      <c r="CO112" s="102">
        <f>+CO109-CO110-CO111</f>
        <v>0</v>
      </c>
      <c r="CP112" s="103" t="str">
        <f>IF(AND(CO4=0,CO112&lt;=0), "",CO112/CO4)</f>
        <v/>
      </c>
      <c r="CQ112" s="104"/>
      <c r="CR112" s="103" t="str">
        <f t="shared" si="130"/>
        <v/>
      </c>
      <c r="CS112" s="105">
        <f>+CS109-CS110-CS111</f>
        <v>3340</v>
      </c>
      <c r="CT112" s="103">
        <f>IF(AND(CS4=0,CS112&lt;=0), "",CS112/CS4)</f>
        <v>0.24202898550724639</v>
      </c>
      <c r="CU112" s="104"/>
      <c r="CV112" s="106">
        <f>+CV109-CV110-CV111</f>
        <v>0</v>
      </c>
      <c r="CW112" s="103" t="str">
        <f>IF(AND(CV4=0,CV112&lt;=0), "",CV112/CV4)</f>
        <v/>
      </c>
      <c r="CX112" s="104">
        <f t="shared" si="131"/>
        <v>1</v>
      </c>
    </row>
    <row r="113" spans="1:102" s="31" customFormat="1" ht="31.5" x14ac:dyDescent="0.25">
      <c r="A113" s="101" t="s">
        <v>93</v>
      </c>
      <c r="B113" s="102">
        <f>+B36-B38+B66+B63+B64</f>
        <v>0</v>
      </c>
      <c r="C113" s="103" t="str">
        <f>IF(AND(B4=0,B113&lt;=0), "",B113/B4)</f>
        <v/>
      </c>
      <c r="D113" s="104"/>
      <c r="E113" s="102">
        <f>+E36-E38+E66+E63+E64</f>
        <v>3530</v>
      </c>
      <c r="F113" s="103">
        <f>IF(AND(E4=0,E113&lt;=0), "",E113/E4)</f>
        <v>0.25579710144927537</v>
      </c>
      <c r="G113" s="104"/>
      <c r="H113" s="102">
        <f>+H36-H38+H66+H63+H64</f>
        <v>0</v>
      </c>
      <c r="I113" s="103" t="str">
        <f>IF(AND(H4=0,H113&lt;=0), "",H113/H4)</f>
        <v/>
      </c>
      <c r="J113" s="104"/>
      <c r="K113" s="103">
        <f>IF(AND(E113=0,H113&gt;0),100%,IF(AND(E113&lt;0,H113=0),(E113-H113)/E113,IF(AND(E113&gt;0,H113&gt;0),(H113-E113)/E113,IF(AND(E113=0,H113=0),"",(H113-E113)/E113))))</f>
        <v>-1</v>
      </c>
      <c r="L113" s="105">
        <f>+L36-L38+L66+L63+L64</f>
        <v>3530</v>
      </c>
      <c r="M113" s="103">
        <f>IF(AND(L4=0,L113&lt;=0), "",L113/L4)</f>
        <v>0.25579710144927537</v>
      </c>
      <c r="N113" s="104"/>
      <c r="O113" s="102">
        <f>+O36-O38+O66+O63+O64</f>
        <v>0</v>
      </c>
      <c r="P113" s="103" t="str">
        <f>IF(AND(O4=0,O113&lt;=0), "",O113/O4)</f>
        <v/>
      </c>
      <c r="Q113" s="104"/>
      <c r="R113" s="103" t="str">
        <f>IF(AND(H113=0,O113&gt;0),100%,IF(AND(H113&lt;0,O113=0),(H113-O113)/H113,IF(AND(H113&gt;0,O113&gt;0),(O113-H113)/H113,IF(AND(H113=0,O113=0),"",(O113-H113)/H113))))</f>
        <v/>
      </c>
      <c r="S113" s="105">
        <f>+S36-S38+S66+S63+S64</f>
        <v>3530</v>
      </c>
      <c r="T113" s="103">
        <f>IF(AND(S4=0,S113&lt;=0), "",S113/S4)</f>
        <v>0.25579710144927537</v>
      </c>
      <c r="U113" s="104"/>
      <c r="V113" s="106">
        <f>+V36-V38+V66+V63+V64</f>
        <v>0</v>
      </c>
      <c r="W113" s="103" t="str">
        <f>IF(AND(V4=0,V113&lt;=0), "",V113/V4)</f>
        <v/>
      </c>
      <c r="X113" s="104">
        <f t="shared" si="132"/>
        <v>1</v>
      </c>
      <c r="Y113" s="102">
        <f>+Y36-Y38+Y66+Y63+Y64</f>
        <v>0</v>
      </c>
      <c r="Z113" s="103" t="str">
        <f>IF(AND(Y4=0,Y113&lt;=0), "",Y113/Y4)</f>
        <v/>
      </c>
      <c r="AA113" s="104"/>
      <c r="AB113" s="103" t="str">
        <f t="shared" si="133"/>
        <v/>
      </c>
      <c r="AC113" s="105">
        <f>+AC36-AC38+AC66+AC63+AC64</f>
        <v>3530</v>
      </c>
      <c r="AD113" s="103">
        <f>IF(AND(AC4=0,AC113&lt;=0), "",AC113/AC4)</f>
        <v>0.25579710144927537</v>
      </c>
      <c r="AE113" s="104"/>
      <c r="AF113" s="102">
        <f>+AF36-AF38+AF66+AF63+AF64</f>
        <v>0</v>
      </c>
      <c r="AG113" s="103" t="str">
        <f>IF(AND(AF4=0,AF113&lt;=0), "",AF113/AF4)</f>
        <v/>
      </c>
      <c r="AH113" s="104"/>
      <c r="AI113" s="103" t="str">
        <f t="shared" si="124"/>
        <v/>
      </c>
      <c r="AJ113" s="105">
        <f>+AJ36-AJ38+AJ66+AJ63+AJ64</f>
        <v>3530</v>
      </c>
      <c r="AK113" s="103">
        <f>IF(AND(AJ4=0,AJ113&lt;=0), "",AJ113/AJ4)</f>
        <v>0.25579710144927537</v>
      </c>
      <c r="AL113" s="104"/>
      <c r="AM113" s="102">
        <f>+AM36-AM38+AM66+AM63+AM64</f>
        <v>0</v>
      </c>
      <c r="AN113" s="103" t="str">
        <f>IF(AND(AM4=0,AM113&lt;=0), "",AM113/AM4)</f>
        <v/>
      </c>
      <c r="AO113" s="104"/>
      <c r="AP113" s="103" t="str">
        <f t="shared" si="125"/>
        <v/>
      </c>
      <c r="AQ113" s="105">
        <f>+AQ36-AQ38+AQ66+AQ63+AQ64</f>
        <v>3530</v>
      </c>
      <c r="AR113" s="103">
        <f>IF(AND(AQ4=0,AQ113&lt;=0), "",AQ113/AQ4)</f>
        <v>0.25579710144927537</v>
      </c>
      <c r="AS113" s="104"/>
      <c r="AT113" s="106">
        <f>+AT36-AT38+AT66+AT63+AT64</f>
        <v>0</v>
      </c>
      <c r="AU113" s="103" t="str">
        <f>IF(AND(AT4=0,AT113&lt;=0), "",AT113/AT4)</f>
        <v/>
      </c>
      <c r="AV113" s="104">
        <f t="shared" si="134"/>
        <v>1</v>
      </c>
      <c r="AW113" s="106">
        <f>+AW36-AW38+AW66+AW63+AW64</f>
        <v>588.33333333333383</v>
      </c>
      <c r="AX113" s="103">
        <f>IF(AND(AW4=0,AW113&lt;=0), "",AW113/AW4)</f>
        <v>0.25579710144927553</v>
      </c>
      <c r="AY113" s="104"/>
      <c r="AZ113" s="106">
        <f>+AZ36-AZ38+AZ66+AZ63+AZ64</f>
        <v>0</v>
      </c>
      <c r="BA113" s="103" t="str">
        <f>IF(AND(AZ4=0,AZ113&lt;=0), "",AZ113/AZ4)</f>
        <v/>
      </c>
      <c r="BB113" s="104">
        <f t="shared" si="135"/>
        <v>1</v>
      </c>
      <c r="BC113" s="102">
        <f>+BC36-BC38+BC66+BC63+BC64</f>
        <v>0</v>
      </c>
      <c r="BD113" s="103" t="str">
        <f>IF(AND(BC4=0,BC113&lt;=0), "",BC113/BC4)</f>
        <v/>
      </c>
      <c r="BE113" s="104"/>
      <c r="BF113" s="103" t="str">
        <f t="shared" si="136"/>
        <v/>
      </c>
      <c r="BG113" s="105">
        <f>+BG36-BG38+BG66+BG63+BG64</f>
        <v>3530</v>
      </c>
      <c r="BH113" s="103">
        <f>IF(AND(BG4=0,BG113&lt;=0), "",BG113/BG4)</f>
        <v>0.25579710144927537</v>
      </c>
      <c r="BI113" s="104"/>
      <c r="BJ113" s="102">
        <f>+BJ36-BJ38+BJ66+BJ63+BJ64</f>
        <v>0</v>
      </c>
      <c r="BK113" s="103" t="str">
        <f>IF(AND(BJ4=0,BJ113&lt;=0), "",BJ113/BJ4)</f>
        <v/>
      </c>
      <c r="BL113" s="104"/>
      <c r="BM113" s="103" t="str">
        <f t="shared" si="126"/>
        <v/>
      </c>
      <c r="BN113" s="105">
        <f>+BN36-BN38+BN66+BN63+BN64</f>
        <v>3530</v>
      </c>
      <c r="BO113" s="103">
        <f>IF(AND(BN4=0,BN113&lt;=0), "",BN113/BN4)</f>
        <v>0.25579710144927537</v>
      </c>
      <c r="BP113" s="104"/>
      <c r="BQ113" s="102">
        <f>+BQ36-BQ38+BQ66+BQ63+BQ64</f>
        <v>0</v>
      </c>
      <c r="BR113" s="103" t="str">
        <f>IF(AND(BQ4=0,BQ113&lt;=0), "",BQ113/BQ4)</f>
        <v/>
      </c>
      <c r="BS113" s="104"/>
      <c r="BT113" s="103" t="str">
        <f t="shared" si="127"/>
        <v/>
      </c>
      <c r="BU113" s="105">
        <f>+BU36-BU38+BU66+BU63+BU64</f>
        <v>3530</v>
      </c>
      <c r="BV113" s="103">
        <f>IF(AND(BU4=0,BU113&lt;=0), "",BU113/BU4)</f>
        <v>0.25579710144927537</v>
      </c>
      <c r="BW113" s="104"/>
      <c r="BX113" s="106">
        <f>+BX36-BX38+BX66+BX63+BX64</f>
        <v>0</v>
      </c>
      <c r="BY113" s="103" t="str">
        <f>IF(AND(BX4=0,BX113&lt;=0), "",BX113/BX4)</f>
        <v/>
      </c>
      <c r="BZ113" s="104">
        <f t="shared" si="128"/>
        <v>1</v>
      </c>
      <c r="CA113" s="102">
        <f>+CA36-CA38+CA66+CA63+CA64</f>
        <v>0</v>
      </c>
      <c r="CB113" s="103" t="str">
        <f>IF(AND(CA4=0,CA113&lt;=0), "",CA113/CA4)</f>
        <v/>
      </c>
      <c r="CC113" s="104"/>
      <c r="CD113" s="103" t="str">
        <f t="shared" si="137"/>
        <v/>
      </c>
      <c r="CE113" s="105">
        <f>+CE36-CE38+CE66+CE63+CE64</f>
        <v>3530</v>
      </c>
      <c r="CF113" s="103">
        <f>IF(AND(CE4=0,CE113&lt;=0), "",CE113/CE4)</f>
        <v>0.25579710144927537</v>
      </c>
      <c r="CG113" s="104"/>
      <c r="CH113" s="102">
        <f>+CH36-CH38+CH66+CH63+CH64</f>
        <v>0</v>
      </c>
      <c r="CI113" s="103" t="str">
        <f>IF(AND(CH4=0,CH113&lt;=0), "",CH113/CH4)</f>
        <v/>
      </c>
      <c r="CJ113" s="104"/>
      <c r="CK113" s="103" t="str">
        <f t="shared" si="129"/>
        <v/>
      </c>
      <c r="CL113" s="105">
        <f>+CL36-CL38+CL66+CL63+CL64</f>
        <v>3530</v>
      </c>
      <c r="CM113" s="103">
        <f>IF(AND(CL4=0,CL113&lt;=0), "",CL113/CL4)</f>
        <v>0.25579710144927537</v>
      </c>
      <c r="CN113" s="104"/>
      <c r="CO113" s="102">
        <f>+CO36-CO38+CO66+CO63+CO64</f>
        <v>0</v>
      </c>
      <c r="CP113" s="103" t="str">
        <f>IF(AND(CO4=0,CO113&lt;=0), "",CO113/CO4)</f>
        <v/>
      </c>
      <c r="CQ113" s="104"/>
      <c r="CR113" s="103" t="str">
        <f t="shared" si="130"/>
        <v/>
      </c>
      <c r="CS113" s="105">
        <f>+CS36-CS38+CS66+CS63+CS64</f>
        <v>3530</v>
      </c>
      <c r="CT113" s="103">
        <f>IF(AND(CS4=0,CS113&lt;=0), "",CS113/CS4)</f>
        <v>0.25579710144927537</v>
      </c>
      <c r="CU113" s="104"/>
      <c r="CV113" s="106">
        <f>+CV36-CV38+CV66+CV63+CV64</f>
        <v>0</v>
      </c>
      <c r="CW113" s="103" t="str">
        <f>IF(AND(CV4=0,CV113&lt;=0), "",CV113/CV4)</f>
        <v/>
      </c>
      <c r="CX113" s="104">
        <f t="shared" si="131"/>
        <v>1</v>
      </c>
    </row>
    <row r="114" spans="1:102" s="31" customFormat="1" ht="16.5" thickBot="1" x14ac:dyDescent="0.3">
      <c r="A114" s="113" t="s">
        <v>94</v>
      </c>
      <c r="B114" s="114">
        <f>+B36-B38+B66+B63</f>
        <v>0</v>
      </c>
      <c r="C114" s="115" t="str">
        <f>IF(AND(B4=0,B114&lt;=0), "",B114/B4)</f>
        <v/>
      </c>
      <c r="D114" s="116"/>
      <c r="E114" s="114">
        <f>+E36-E38+E66+E63</f>
        <v>3430</v>
      </c>
      <c r="F114" s="115">
        <f>IF(AND(E4=0,E114&lt;=0), "",E114/E4)</f>
        <v>0.24855072463768116</v>
      </c>
      <c r="G114" s="116"/>
      <c r="H114" s="114">
        <f>+H36-H38+H66+H63</f>
        <v>0</v>
      </c>
      <c r="I114" s="115" t="str">
        <f>IF(AND(H4=0,H114&lt;=0), "",H114/H4)</f>
        <v/>
      </c>
      <c r="J114" s="116"/>
      <c r="K114" s="115">
        <f>IF(AND(E114=0,H114&gt;0),100%,IF(AND(E114&lt;0,H114=0),(E114-H114)/E114,IF(AND(E114&gt;0,H114&gt;0),(H114-E114)/E114,IF(AND(E114=0,H114=0),"",(H114-E114)/E114))))</f>
        <v>-1</v>
      </c>
      <c r="L114" s="117">
        <f>+L36-L38+L66+L63</f>
        <v>3430</v>
      </c>
      <c r="M114" s="115">
        <f>IF(AND(L4=0,L114&lt;=0), "",L114/L4)</f>
        <v>0.24855072463768116</v>
      </c>
      <c r="N114" s="116"/>
      <c r="O114" s="114">
        <f>+O36-O38+O66+O63</f>
        <v>0</v>
      </c>
      <c r="P114" s="115" t="str">
        <f>IF(AND(O4=0,O114&lt;=0), "",O114/O4)</f>
        <v/>
      </c>
      <c r="Q114" s="116"/>
      <c r="R114" s="115" t="str">
        <f>IF(AND(H114=0,O114&gt;0),100%,IF(AND(H114&lt;0,O114=0),(H114-O114)/H114,IF(AND(H114&gt;0,O114&gt;0),(O114-H114)/H114,IF(AND(H114=0,O114=0),"",(O114-H114)/H114))))</f>
        <v/>
      </c>
      <c r="S114" s="117">
        <f>+S36-S38+S66+S63</f>
        <v>3430</v>
      </c>
      <c r="T114" s="115">
        <f>IF(AND(S4=0,S114&lt;=0), "",S114/S4)</f>
        <v>0.24855072463768116</v>
      </c>
      <c r="U114" s="116"/>
      <c r="V114" s="118">
        <f>+V36-V38+V66+V63</f>
        <v>0</v>
      </c>
      <c r="W114" s="115" t="str">
        <f>IF(AND(V4=0,V114&lt;=0), "",V114/V4)</f>
        <v/>
      </c>
      <c r="X114" s="116">
        <f t="shared" si="132"/>
        <v>1</v>
      </c>
      <c r="Y114" s="114">
        <f>+Y36-Y38+Y66+Y63</f>
        <v>0</v>
      </c>
      <c r="Z114" s="115" t="str">
        <f>IF(AND(Y4=0,Y114&lt;=0), "",Y114/Y4)</f>
        <v/>
      </c>
      <c r="AA114" s="116"/>
      <c r="AB114" s="115" t="str">
        <f t="shared" si="133"/>
        <v/>
      </c>
      <c r="AC114" s="117">
        <f>+AC36-AC38+AC66+AC63</f>
        <v>3430</v>
      </c>
      <c r="AD114" s="115">
        <f>IF(AND(AC4=0,AC114&lt;=0), "",AC114/AC4)</f>
        <v>0.24855072463768116</v>
      </c>
      <c r="AE114" s="116"/>
      <c r="AF114" s="114">
        <f>+AF36-AF38+AF66+AF63</f>
        <v>0</v>
      </c>
      <c r="AG114" s="115" t="str">
        <f>IF(AND(AF4=0,AF114&lt;=0), "",AF114/AF4)</f>
        <v/>
      </c>
      <c r="AH114" s="116"/>
      <c r="AI114" s="115" t="str">
        <f t="shared" si="124"/>
        <v/>
      </c>
      <c r="AJ114" s="117">
        <f>+AJ36-AJ38+AJ66+AJ63</f>
        <v>3430</v>
      </c>
      <c r="AK114" s="115">
        <f>IF(AND(AJ4=0,AJ114&lt;=0), "",AJ114/AJ4)</f>
        <v>0.24855072463768116</v>
      </c>
      <c r="AL114" s="116"/>
      <c r="AM114" s="114">
        <f>+AM36-AM38+AM66+AM63</f>
        <v>0</v>
      </c>
      <c r="AN114" s="115" t="str">
        <f>IF(AND(AM4=0,AM114&lt;=0), "",AM114/AM4)</f>
        <v/>
      </c>
      <c r="AO114" s="116"/>
      <c r="AP114" s="115" t="str">
        <f t="shared" si="125"/>
        <v/>
      </c>
      <c r="AQ114" s="117">
        <f>+AQ36-AQ38+AQ66+AQ63</f>
        <v>3430</v>
      </c>
      <c r="AR114" s="115">
        <f>IF(AND(AQ4=0,AQ114&lt;=0), "",AQ114/AQ4)</f>
        <v>0.24855072463768116</v>
      </c>
      <c r="AS114" s="116"/>
      <c r="AT114" s="118">
        <f>+AT36-AT38+AT66+AT63</f>
        <v>0</v>
      </c>
      <c r="AU114" s="115" t="str">
        <f>IF(AND(AT4=0,AT114&lt;=0), "",AT114/AT4)</f>
        <v/>
      </c>
      <c r="AV114" s="116">
        <f t="shared" si="134"/>
        <v>1</v>
      </c>
      <c r="AW114" s="118">
        <f>+AW36-AW38+AW66+AW63</f>
        <v>571.6666666666672</v>
      </c>
      <c r="AX114" s="115">
        <f>IF(AND(AW4=0,AW114&lt;=0), "",AW114/AW4)</f>
        <v>0.24855072463768135</v>
      </c>
      <c r="AY114" s="116"/>
      <c r="AZ114" s="118">
        <f>+AZ36-AZ38+AZ66+AZ63</f>
        <v>0</v>
      </c>
      <c r="BA114" s="115" t="str">
        <f>IF(AND(AZ4=0,AZ114&lt;=0), "",AZ114/AZ4)</f>
        <v/>
      </c>
      <c r="BB114" s="116">
        <f t="shared" si="135"/>
        <v>1</v>
      </c>
      <c r="BC114" s="114">
        <f>+BC36-BC38+BC66+BC63</f>
        <v>0</v>
      </c>
      <c r="BD114" s="115" t="str">
        <f>IF(AND(BC4=0,BC114&lt;=0), "",BC114/BC4)</f>
        <v/>
      </c>
      <c r="BE114" s="116"/>
      <c r="BF114" s="115" t="str">
        <f t="shared" si="136"/>
        <v/>
      </c>
      <c r="BG114" s="117">
        <f>+BG36-BG38+BG66+BG63</f>
        <v>3430</v>
      </c>
      <c r="BH114" s="115">
        <f>IF(AND(BG4=0,BG114&lt;=0), "",BG114/BG4)</f>
        <v>0.24855072463768116</v>
      </c>
      <c r="BI114" s="116"/>
      <c r="BJ114" s="114">
        <f>+BJ36-BJ38+BJ66+BJ63</f>
        <v>0</v>
      </c>
      <c r="BK114" s="115" t="str">
        <f>IF(AND(BJ4=0,BJ114&lt;=0), "",BJ114/BJ4)</f>
        <v/>
      </c>
      <c r="BL114" s="116"/>
      <c r="BM114" s="115" t="str">
        <f t="shared" si="126"/>
        <v/>
      </c>
      <c r="BN114" s="117">
        <f>+BN36-BN38+BN66+BN63</f>
        <v>3430</v>
      </c>
      <c r="BO114" s="115">
        <f>IF(AND(BN4=0,BN114&lt;=0), "",BN114/BN4)</f>
        <v>0.24855072463768116</v>
      </c>
      <c r="BP114" s="116"/>
      <c r="BQ114" s="114">
        <f>+BQ36-BQ38+BQ66+BQ63</f>
        <v>0</v>
      </c>
      <c r="BR114" s="115" t="str">
        <f>IF(AND(BQ4=0,BQ114&lt;=0), "",BQ114/BQ4)</f>
        <v/>
      </c>
      <c r="BS114" s="116"/>
      <c r="BT114" s="115" t="str">
        <f t="shared" si="127"/>
        <v/>
      </c>
      <c r="BU114" s="117">
        <f>+BU36-BU38+BU66+BU63</f>
        <v>3430</v>
      </c>
      <c r="BV114" s="115">
        <f>IF(AND(BU4=0,BU114&lt;=0), "",BU114/BU4)</f>
        <v>0.24855072463768116</v>
      </c>
      <c r="BW114" s="116"/>
      <c r="BX114" s="118">
        <f>+BX36-BX38+BX66+BX63</f>
        <v>0</v>
      </c>
      <c r="BY114" s="115" t="str">
        <f>IF(AND(BX4=0,BX114&lt;=0), "",BX114/BX4)</f>
        <v/>
      </c>
      <c r="BZ114" s="116">
        <f t="shared" si="128"/>
        <v>1</v>
      </c>
      <c r="CA114" s="114">
        <f>+CA36-CA38+CA66+CA63</f>
        <v>0</v>
      </c>
      <c r="CB114" s="115" t="str">
        <f>IF(AND(CA4=0,CA114&lt;=0), "",CA114/CA4)</f>
        <v/>
      </c>
      <c r="CC114" s="116"/>
      <c r="CD114" s="115" t="str">
        <f t="shared" si="137"/>
        <v/>
      </c>
      <c r="CE114" s="117">
        <f>+CE36-CE38+CE66+CE63</f>
        <v>3430</v>
      </c>
      <c r="CF114" s="115">
        <f>IF(AND(CE4=0,CE114&lt;=0), "",CE114/CE4)</f>
        <v>0.24855072463768116</v>
      </c>
      <c r="CG114" s="116"/>
      <c r="CH114" s="114">
        <f>+CH36-CH38+CH66+CH63</f>
        <v>0</v>
      </c>
      <c r="CI114" s="115" t="str">
        <f>IF(AND(CH4=0,CH114&lt;=0), "",CH114/CH4)</f>
        <v/>
      </c>
      <c r="CJ114" s="116"/>
      <c r="CK114" s="115" t="str">
        <f t="shared" si="129"/>
        <v/>
      </c>
      <c r="CL114" s="117">
        <f>+CL36-CL38+CL66+CL63</f>
        <v>3430</v>
      </c>
      <c r="CM114" s="115">
        <f>IF(AND(CL4=0,CL114&lt;=0), "",CL114/CL4)</f>
        <v>0.24855072463768116</v>
      </c>
      <c r="CN114" s="116"/>
      <c r="CO114" s="114">
        <f>+CO36-CO38+CO66+CO63</f>
        <v>0</v>
      </c>
      <c r="CP114" s="115" t="str">
        <f>IF(AND(CO4=0,CO114&lt;=0), "",CO114/CO4)</f>
        <v/>
      </c>
      <c r="CQ114" s="116"/>
      <c r="CR114" s="115" t="str">
        <f t="shared" si="130"/>
        <v/>
      </c>
      <c r="CS114" s="117">
        <f>+CS36-CS38+CS66+CS63</f>
        <v>3430</v>
      </c>
      <c r="CT114" s="115">
        <f>IF(AND(CS4=0,CS114&lt;=0), "",CS114/CS4)</f>
        <v>0.24855072463768116</v>
      </c>
      <c r="CU114" s="116"/>
      <c r="CV114" s="118">
        <f>+CV36-CV38+CV66+CV63</f>
        <v>0</v>
      </c>
      <c r="CW114" s="115" t="str">
        <f>IF(AND(CV4=0,CV114&lt;=0), "",CV114/CV4)</f>
        <v/>
      </c>
      <c r="CX114" s="116">
        <f t="shared" si="131"/>
        <v>1</v>
      </c>
    </row>
    <row r="115" spans="1:102" s="3" customFormat="1" ht="16.5" thickTop="1" x14ac:dyDescent="0.25">
      <c r="A115" s="10"/>
      <c r="B115" s="90"/>
      <c r="C115" s="7"/>
      <c r="D115" s="43"/>
      <c r="E115" s="90"/>
      <c r="F115" s="7"/>
      <c r="G115" s="43"/>
      <c r="H115" s="90"/>
      <c r="I115" s="7"/>
      <c r="J115" s="43"/>
      <c r="K115" s="32"/>
      <c r="L115" s="91"/>
      <c r="M115" s="7"/>
      <c r="N115" s="43"/>
      <c r="O115" s="90"/>
      <c r="P115" s="7"/>
      <c r="Q115" s="43"/>
      <c r="R115" s="32"/>
      <c r="S115" s="91"/>
      <c r="T115" s="7"/>
      <c r="U115" s="43"/>
      <c r="V115" s="92"/>
      <c r="W115" s="7"/>
      <c r="X115" s="54"/>
      <c r="Y115" s="90"/>
      <c r="Z115" s="7"/>
      <c r="AA115" s="43"/>
      <c r="AB115" s="32"/>
      <c r="AC115" s="91"/>
      <c r="AD115" s="7"/>
      <c r="AE115" s="43"/>
      <c r="AF115" s="90"/>
      <c r="AG115" s="7"/>
      <c r="AH115" s="43"/>
      <c r="AI115" s="32" t="str">
        <f t="shared" si="124"/>
        <v/>
      </c>
      <c r="AJ115" s="91"/>
      <c r="AK115" s="7"/>
      <c r="AL115" s="43"/>
      <c r="AM115" s="90"/>
      <c r="AN115" s="7"/>
      <c r="AO115" s="43"/>
      <c r="AP115" s="32" t="str">
        <f t="shared" si="125"/>
        <v/>
      </c>
      <c r="AQ115" s="91"/>
      <c r="AR115" s="7"/>
      <c r="AS115" s="43"/>
      <c r="AT115" s="92"/>
      <c r="AU115" s="7"/>
      <c r="AV115" s="54"/>
      <c r="AW115" s="92"/>
      <c r="AX115" s="7"/>
      <c r="AY115" s="43"/>
      <c r="AZ115" s="92"/>
      <c r="BA115" s="7"/>
      <c r="BB115" s="54"/>
      <c r="BC115" s="90"/>
      <c r="BD115" s="7"/>
      <c r="BE115" s="43"/>
      <c r="BF115" s="32"/>
      <c r="BG115" s="91"/>
      <c r="BH115" s="7"/>
      <c r="BI115" s="43"/>
      <c r="BJ115" s="90"/>
      <c r="BK115" s="7"/>
      <c r="BL115" s="43"/>
      <c r="BM115" s="32" t="str">
        <f t="shared" si="126"/>
        <v/>
      </c>
      <c r="BN115" s="91"/>
      <c r="BO115" s="7"/>
      <c r="BP115" s="43"/>
      <c r="BQ115" s="90"/>
      <c r="BR115" s="7"/>
      <c r="BS115" s="43"/>
      <c r="BT115" s="32" t="str">
        <f t="shared" si="127"/>
        <v/>
      </c>
      <c r="BU115" s="91"/>
      <c r="BV115" s="7"/>
      <c r="BW115" s="43"/>
      <c r="BX115" s="92"/>
      <c r="BY115" s="7"/>
      <c r="BZ115" s="54" t="str">
        <f t="shared" si="128"/>
        <v/>
      </c>
      <c r="CA115" s="90"/>
      <c r="CB115" s="7"/>
      <c r="CC115" s="43"/>
      <c r="CD115" s="32"/>
      <c r="CE115" s="91"/>
      <c r="CF115" s="7"/>
      <c r="CG115" s="43"/>
      <c r="CH115" s="90"/>
      <c r="CI115" s="7"/>
      <c r="CJ115" s="43"/>
      <c r="CK115" s="32" t="str">
        <f t="shared" si="129"/>
        <v/>
      </c>
      <c r="CL115" s="91"/>
      <c r="CM115" s="7"/>
      <c r="CN115" s="43"/>
      <c r="CO115" s="90"/>
      <c r="CP115" s="7"/>
      <c r="CQ115" s="43"/>
      <c r="CR115" s="32" t="str">
        <f t="shared" si="130"/>
        <v/>
      </c>
      <c r="CS115" s="91"/>
      <c r="CT115" s="7"/>
      <c r="CU115" s="43"/>
      <c r="CV115" s="92"/>
      <c r="CW115" s="7"/>
      <c r="CX115" s="54" t="str">
        <f t="shared" si="131"/>
        <v/>
      </c>
    </row>
    <row r="116" spans="1:102" s="26" customFormat="1" ht="18" customHeight="1" x14ac:dyDescent="0.25">
      <c r="A116" s="19" t="s">
        <v>102</v>
      </c>
      <c r="B116" s="76">
        <f>SUM(B117:B123)</f>
        <v>0</v>
      </c>
      <c r="C116" s="33" t="str">
        <f>IF(AND(B4=0,B116&gt;=0), "",B116/B4)</f>
        <v/>
      </c>
      <c r="D116" s="37" t="str">
        <f>IF(AND(B124=0,B116&gt;=0),"",B116/B124)</f>
        <v/>
      </c>
      <c r="E116" s="76">
        <f>SUM(E117:E123)</f>
        <v>80</v>
      </c>
      <c r="F116" s="33">
        <f>IF(AND(E4=0,E116&gt;=0), "",E116/E4)</f>
        <v>5.7971014492753624E-3</v>
      </c>
      <c r="G116" s="37">
        <f>IF(AND(E124=0,E116&gt;=0),"",E116/E124)</f>
        <v>5.3691275167785234E-2</v>
      </c>
      <c r="H116" s="76">
        <f>SUM(H117:H123)</f>
        <v>0</v>
      </c>
      <c r="I116" s="33" t="str">
        <f>IF(AND(H4=0,H116&gt;=0), "",H116/H4)</f>
        <v/>
      </c>
      <c r="J116" s="37" t="str">
        <f>IF(AND(H124=0,H116&gt;=0),"",H116/H124)</f>
        <v/>
      </c>
      <c r="K116" s="33">
        <f t="shared" ref="K116:K139" si="138">IF(AND(E116=0,H116&gt;0),100%,IF(AND(E116&lt;0,H116=0),(E116-H116)/E116,IF(AND(E116&gt;0,H116&gt;0),(H116-E116)/E116,IF(AND(E116=0,H116=0),"",(H116-E116)/E116))))</f>
        <v>-1</v>
      </c>
      <c r="L116" s="77">
        <f>SUM(L117:L123)</f>
        <v>80</v>
      </c>
      <c r="M116" s="33">
        <f>IF(AND(L4=0,L116&gt;=0), "",L116/L4)</f>
        <v>5.7971014492753624E-3</v>
      </c>
      <c r="N116" s="37">
        <f>IF(AND(L124=0,L116&gt;=0),"",L116/L124)</f>
        <v>5.3691275167785234E-2</v>
      </c>
      <c r="O116" s="76">
        <f>SUM(O117:O123)</f>
        <v>0</v>
      </c>
      <c r="P116" s="33" t="str">
        <f>IF(AND(O4=0,O116&gt;=0), "",O116/O4)</f>
        <v/>
      </c>
      <c r="Q116" s="37" t="str">
        <f>IF(AND(O124=0,O116&gt;=0),"",O116/O124)</f>
        <v/>
      </c>
      <c r="R116" s="33" t="str">
        <f t="shared" ref="R116:R139" si="139">IF(AND(H116=0,O116&gt;0),100%,IF(AND(H116&lt;0,O116=0),(H116-O116)/H116,IF(AND(H116&gt;0,O116&gt;0),(O116-H116)/H116,IF(AND(H116=0,O116=0),"",(O116-H116)/H116))))</f>
        <v/>
      </c>
      <c r="S116" s="77">
        <f>SUM(S117:S123)</f>
        <v>80</v>
      </c>
      <c r="T116" s="33">
        <f>IF(AND(S4=0,S116&gt;=0), "",S116/S4)</f>
        <v>5.7971014492753624E-3</v>
      </c>
      <c r="U116" s="37">
        <f>IF(AND(S124=0,S116&gt;=0),"",S116/S124)</f>
        <v>5.3691275167785234E-2</v>
      </c>
      <c r="V116" s="78">
        <f>SUM(V117:V123)</f>
        <v>0</v>
      </c>
      <c r="W116" s="33" t="str">
        <f>IF(AND(V4=0,V116&gt;=0), "",V116/V4)</f>
        <v/>
      </c>
      <c r="X116" s="37">
        <f t="shared" ref="X116:X139" si="140">IF(AND(V116=0,S116&gt;0),100%,IF(AND(V116&lt;0,S116=0),(V116-S116)/V116,IF(AND(V116&gt;0,S116&gt;0),(S116-V116)/V116,IF(AND(V116=0,S116=0),"",(S116-V116)/V116))))</f>
        <v>1</v>
      </c>
      <c r="Y116" s="76">
        <f>SUM(Y117:Y123)</f>
        <v>0</v>
      </c>
      <c r="Z116" s="33" t="str">
        <f>IF(AND(Y4=0,Y116&gt;=0), "",Y116/Y4)</f>
        <v/>
      </c>
      <c r="AA116" s="37" t="str">
        <f>IF(AND(Y124=0,Y116&gt;=0),"",Y116/Y124)</f>
        <v/>
      </c>
      <c r="AB116" s="33" t="str">
        <f t="shared" ref="AB116:AB139" si="141">IF(AND(O116=0,Y116&gt;0),100%,IF(AND(O116&lt;0,Y116=0),(O116-Y116)/O116,IF(AND(O116&gt;0,Y116&gt;0),(Y116-O116)/O116,IF(AND(O116=0,Y116=0),"",(Y116-O116)/O116))))</f>
        <v/>
      </c>
      <c r="AC116" s="77">
        <f>SUM(AC117:AC123)</f>
        <v>80</v>
      </c>
      <c r="AD116" s="33">
        <f>IF(AND(AC4=0,AC116&gt;=0), "",AC116/AC4)</f>
        <v>5.7971014492753624E-3</v>
      </c>
      <c r="AE116" s="37">
        <f>IF(AND(AC124=0,AC116&gt;=0),"",AC116/AC124)</f>
        <v>5.3691275167785234E-2</v>
      </c>
      <c r="AF116" s="76">
        <f>SUM(AF117:AF123)</f>
        <v>0</v>
      </c>
      <c r="AG116" s="33" t="str">
        <f>IF(AND(AF4=0,AF116&gt;=0), "",AF116/AF4)</f>
        <v/>
      </c>
      <c r="AH116" s="37" t="str">
        <f>IF(AND(AF124=0,AF116&gt;=0),"",AF116/AF124)</f>
        <v/>
      </c>
      <c r="AI116" s="33" t="str">
        <f t="shared" si="124"/>
        <v/>
      </c>
      <c r="AJ116" s="77">
        <f>SUM(AJ117:AJ123)</f>
        <v>80</v>
      </c>
      <c r="AK116" s="33">
        <f>IF(AND(AJ4=0,AJ116&gt;=0), "",AJ116/AJ4)</f>
        <v>5.7971014492753624E-3</v>
      </c>
      <c r="AL116" s="37">
        <f>IF(AND(AJ124=0,AJ116&gt;=0),"",AJ116/AJ124)</f>
        <v>5.3691275167785234E-2</v>
      </c>
      <c r="AM116" s="76">
        <f>SUM(AM117:AM123)</f>
        <v>0</v>
      </c>
      <c r="AN116" s="33" t="str">
        <f>IF(AND(AM4=0,AM116&gt;=0), "",AM116/AM4)</f>
        <v/>
      </c>
      <c r="AO116" s="37" t="str">
        <f>IF(AND(AM124=0,AM116&gt;=0),"",AM116/AM124)</f>
        <v/>
      </c>
      <c r="AP116" s="33" t="str">
        <f t="shared" si="125"/>
        <v/>
      </c>
      <c r="AQ116" s="77">
        <f>SUM(AQ117:AQ123)</f>
        <v>80</v>
      </c>
      <c r="AR116" s="33">
        <f>IF(AND(AQ4=0,AQ116&gt;=0), "",AQ116/AQ4)</f>
        <v>5.7971014492753624E-3</v>
      </c>
      <c r="AS116" s="37">
        <f>IF(AND(AQ124=0,AQ116&gt;=0),"",AQ116/AQ124)</f>
        <v>5.3691275167785234E-2</v>
      </c>
      <c r="AT116" s="78">
        <f>SUM(AT117:AT123)</f>
        <v>0</v>
      </c>
      <c r="AU116" s="33" t="str">
        <f>IF(AND(AT4=0,AT116&gt;=0), "",AT116/AT4)</f>
        <v/>
      </c>
      <c r="AV116" s="37">
        <f t="shared" ref="AV116:AV139" si="142">IF(AND(AT116=0,AQ116&gt;0),100%,IF(AND(AT116&lt;0,AQ116=0),(AT116-AQ116)/AT116,IF(AND(AT116&gt;0,AQ116&gt;0),(AQ116-AT116)/AT116,IF(AND(AT116=0,AQ116=0),"",(AQ116-AT116)/AT116))))</f>
        <v>1</v>
      </c>
      <c r="AW116" s="78">
        <f>SUM(AW117:AW123)</f>
        <v>13.333333333333334</v>
      </c>
      <c r="AX116" s="33">
        <f>IF(AND(AW4=0,AW116&gt;=0), "",AW116/AW4)</f>
        <v>5.7971014492753615E-3</v>
      </c>
      <c r="AY116" s="37">
        <f>IF(AND(AW124=0,AW116&gt;=0),"",AW116/AW124)</f>
        <v>5.3691275167785234E-2</v>
      </c>
      <c r="AZ116" s="78">
        <f>SUM(AZ117:AZ123)</f>
        <v>0</v>
      </c>
      <c r="BA116" s="33" t="str">
        <f>IF(AND(AZ4=0,AZ116&gt;=0), "",AZ116/AZ4)</f>
        <v/>
      </c>
      <c r="BB116" s="37">
        <f t="shared" ref="BB116:BB139" si="143">IF(AND(AZ116=0,AW116&gt;0),100%,IF(AND(AZ116&lt;0,AW116=0),(AZ116-AW116)/AZ116,IF(AND(AZ116&gt;0,AW116&gt;0),(AW116-AZ116)/AZ116,IF(AND(AZ116=0,AW116=0),"",(AW116-AZ116)/AZ116))))</f>
        <v>1</v>
      </c>
      <c r="BC116" s="76">
        <f>SUM(BC117:BC123)</f>
        <v>0</v>
      </c>
      <c r="BD116" s="33" t="str">
        <f>IF(AND(BC4=0,BC116&gt;=0), "",BC116/BC4)</f>
        <v/>
      </c>
      <c r="BE116" s="37" t="str">
        <f>IF(AND(BC124=0,BC116&gt;=0),"",BC116/BC124)</f>
        <v/>
      </c>
      <c r="BF116" s="33" t="str">
        <f t="shared" ref="BF116:BF139" si="144">IF(AND(AM116=0,BC116&gt;0),100%,IF(AND(AM116&lt;0,BC116=0),(AM116-BC116)/AM116,IF(AND(AM116&gt;0,BC116&gt;0),(BC116-AM116)/AM116,IF(AND(AM116=0,BC116=0),"",(BC116-AM116)/AM116))))</f>
        <v/>
      </c>
      <c r="BG116" s="77">
        <f>SUM(BG117:BG123)</f>
        <v>80</v>
      </c>
      <c r="BH116" s="33">
        <f>IF(AND(BG4=0,BG116&gt;=0), "",BG116/BG4)</f>
        <v>5.7971014492753624E-3</v>
      </c>
      <c r="BI116" s="37">
        <f>IF(AND(BG124=0,BG116&gt;=0),"",BG116/BG124)</f>
        <v>5.3691275167785234E-2</v>
      </c>
      <c r="BJ116" s="76">
        <f>SUM(BJ117:BJ123)</f>
        <v>0</v>
      </c>
      <c r="BK116" s="33" t="str">
        <f>IF(AND(BJ4=0,BJ116&gt;=0), "",BJ116/BJ4)</f>
        <v/>
      </c>
      <c r="BL116" s="37" t="str">
        <f>IF(AND(BJ124=0,BJ116&gt;=0),"",BJ116/BJ124)</f>
        <v/>
      </c>
      <c r="BM116" s="33" t="str">
        <f t="shared" si="126"/>
        <v/>
      </c>
      <c r="BN116" s="77">
        <f>SUM(BN117:BN123)</f>
        <v>80</v>
      </c>
      <c r="BO116" s="33">
        <f>IF(AND(BN4=0,BN116&gt;=0), "",BN116/BN4)</f>
        <v>5.7971014492753624E-3</v>
      </c>
      <c r="BP116" s="37">
        <f>IF(AND(BN124=0,BN116&gt;=0),"",BN116/BN124)</f>
        <v>5.3691275167785234E-2</v>
      </c>
      <c r="BQ116" s="76">
        <f>SUM(BQ117:BQ123)</f>
        <v>0</v>
      </c>
      <c r="BR116" s="33" t="str">
        <f>IF(AND(BQ4=0,BQ116&gt;=0), "",BQ116/BQ4)</f>
        <v/>
      </c>
      <c r="BS116" s="37" t="str">
        <f>IF(AND(BQ124=0,BQ116&gt;=0),"",BQ116/BQ124)</f>
        <v/>
      </c>
      <c r="BT116" s="33" t="str">
        <f t="shared" si="127"/>
        <v/>
      </c>
      <c r="BU116" s="77">
        <f>SUM(BU117:BU123)</f>
        <v>80</v>
      </c>
      <c r="BV116" s="33">
        <f>IF(AND(BU4=0,BU116&gt;=0), "",BU116/BU4)</f>
        <v>5.7971014492753624E-3</v>
      </c>
      <c r="BW116" s="37">
        <f>IF(AND(BU124=0,BU116&gt;=0),"",BU116/BU124)</f>
        <v>5.3691275167785234E-2</v>
      </c>
      <c r="BX116" s="78">
        <f>SUM(BX117:BX123)</f>
        <v>0</v>
      </c>
      <c r="BY116" s="33" t="str">
        <f>IF(AND(BX4=0,BX116&gt;=0), "",BX116/BX4)</f>
        <v/>
      </c>
      <c r="BZ116" s="37">
        <f t="shared" si="128"/>
        <v>1</v>
      </c>
      <c r="CA116" s="76">
        <f>SUM(CA117:CA123)</f>
        <v>0</v>
      </c>
      <c r="CB116" s="33" t="str">
        <f>IF(AND(CA4=0,CA116&gt;=0), "",CA116/CA4)</f>
        <v/>
      </c>
      <c r="CC116" s="37" t="str">
        <f>IF(AND(CA124=0,CA116&gt;=0),"",CA116/CA124)</f>
        <v/>
      </c>
      <c r="CD116" s="33" t="str">
        <f t="shared" ref="CD116:CD139" si="145">IF(AND(BQ116=0,CA116&gt;0),100%,IF(AND(BQ116&lt;0,CA116=0),(BQ116-CA116)/BQ116,IF(AND(BQ116&gt;0,CA116&gt;0),(CA116-BQ116)/BQ116,IF(AND(BQ116=0,CA116=0),"",(CA116-BQ116)/BQ116))))</f>
        <v/>
      </c>
      <c r="CE116" s="77">
        <f>SUM(CE117:CE123)</f>
        <v>80</v>
      </c>
      <c r="CF116" s="33">
        <f>IF(AND(CE4=0,CE116&gt;=0), "",CE116/CE4)</f>
        <v>5.7971014492753624E-3</v>
      </c>
      <c r="CG116" s="37">
        <f>IF(AND(CE124=0,CE116&gt;=0),"",CE116/CE124)</f>
        <v>5.3691275167785234E-2</v>
      </c>
      <c r="CH116" s="76">
        <f>SUM(CH117:CH123)</f>
        <v>0</v>
      </c>
      <c r="CI116" s="33" t="str">
        <f>IF(AND(CH4=0,CH116&gt;=0), "",CH116/CH4)</f>
        <v/>
      </c>
      <c r="CJ116" s="37" t="str">
        <f>IF(AND(CH124=0,CH116&gt;=0),"",CH116/CH124)</f>
        <v/>
      </c>
      <c r="CK116" s="33" t="str">
        <f t="shared" si="129"/>
        <v/>
      </c>
      <c r="CL116" s="77">
        <f>SUM(CL117:CL123)</f>
        <v>80</v>
      </c>
      <c r="CM116" s="33">
        <f>IF(AND(CL4=0,CL116&gt;=0), "",CL116/CL4)</f>
        <v>5.7971014492753624E-3</v>
      </c>
      <c r="CN116" s="37">
        <f>IF(AND(CL124=0,CL116&gt;=0),"",CL116/CL124)</f>
        <v>5.3691275167785234E-2</v>
      </c>
      <c r="CO116" s="76">
        <f>SUM(CO117:CO123)</f>
        <v>0</v>
      </c>
      <c r="CP116" s="33" t="str">
        <f>IF(AND(CO4=0,CO116&gt;=0), "",CO116/CO4)</f>
        <v/>
      </c>
      <c r="CQ116" s="37" t="str">
        <f>IF(AND(CO124=0,CO116&gt;=0),"",CO116/CO124)</f>
        <v/>
      </c>
      <c r="CR116" s="33" t="str">
        <f t="shared" si="130"/>
        <v/>
      </c>
      <c r="CS116" s="77">
        <f>SUM(CS117:CS123)</f>
        <v>80</v>
      </c>
      <c r="CT116" s="33">
        <f>IF(AND(CS4=0,CS116&gt;=0), "",CS116/CS4)</f>
        <v>5.7971014492753624E-3</v>
      </c>
      <c r="CU116" s="37">
        <f>IF(AND(CS124=0,CS116&gt;=0),"",CS116/CS124)</f>
        <v>5.3691275167785234E-2</v>
      </c>
      <c r="CV116" s="78">
        <f>SUM(CV117:CV123)</f>
        <v>0</v>
      </c>
      <c r="CW116" s="33" t="str">
        <f>IF(AND(CV4=0,CV116&gt;=0), "",CV116/CV4)</f>
        <v/>
      </c>
      <c r="CX116" s="37">
        <f t="shared" si="131"/>
        <v>1</v>
      </c>
    </row>
    <row r="117" spans="1:102" hidden="1" outlineLevel="1" x14ac:dyDescent="0.25">
      <c r="A117" s="27" t="s">
        <v>95</v>
      </c>
      <c r="B117" s="82">
        <f>+'N EERR'!B194</f>
        <v>0</v>
      </c>
      <c r="C117" s="28" t="str">
        <f>IF(AND(B4=0,B117&gt;=0), "",B117/B4)</f>
        <v/>
      </c>
      <c r="D117" s="42" t="str">
        <f>IF(AND(B124=0,B117&gt;=0),"",B117/B124)</f>
        <v/>
      </c>
      <c r="E117" s="82">
        <f>+'N EERR'!C194</f>
        <v>10</v>
      </c>
      <c r="F117" s="28">
        <f>IF(AND(E4=0,E117&gt;=0), "",E117/E4)</f>
        <v>7.246376811594203E-4</v>
      </c>
      <c r="G117" s="42">
        <f>IF(AND(E124=0,E117&gt;=0),"",E117/E124)</f>
        <v>6.7114093959731542E-3</v>
      </c>
      <c r="H117" s="82">
        <f>+'N EERR'!D194</f>
        <v>0</v>
      </c>
      <c r="I117" s="28" t="str">
        <f>IF(AND(H4=0,H117&gt;=0), "",H117/H4)</f>
        <v/>
      </c>
      <c r="J117" s="42" t="str">
        <f>IF(AND(H124=0,H117&gt;=0),"",H117/H124)</f>
        <v/>
      </c>
      <c r="K117" s="28">
        <f t="shared" si="138"/>
        <v>-1</v>
      </c>
      <c r="L117" s="83">
        <f t="shared" ref="L117:L123" si="146">+E117+H117</f>
        <v>10</v>
      </c>
      <c r="M117" s="28">
        <f>IF(AND(L4=0,L117&gt;=0), "",L117/L4)</f>
        <v>7.246376811594203E-4</v>
      </c>
      <c r="N117" s="42">
        <f>IF(AND(L124=0,L117&gt;=0),"",L117/L124)</f>
        <v>6.7114093959731542E-3</v>
      </c>
      <c r="O117" s="82">
        <f>+'N EERR'!E194</f>
        <v>0</v>
      </c>
      <c r="P117" s="28" t="str">
        <f>IF(AND(O4=0,O117&gt;=0), "",O117/O4)</f>
        <v/>
      </c>
      <c r="Q117" s="42" t="str">
        <f>IF(AND(O124=0,O117&gt;=0),"",O117/O124)</f>
        <v/>
      </c>
      <c r="R117" s="28" t="str">
        <f t="shared" si="139"/>
        <v/>
      </c>
      <c r="S117" s="83">
        <f t="shared" ref="S117:S123" si="147">+L117+O117</f>
        <v>10</v>
      </c>
      <c r="T117" s="28">
        <f>IF(AND(S4=0,S117&gt;=0), "",S117/S4)</f>
        <v>7.246376811594203E-4</v>
      </c>
      <c r="U117" s="42">
        <f>IF(AND(S124=0,S117&gt;=0),"",S117/S124)</f>
        <v>6.7114093959731542E-3</v>
      </c>
      <c r="V117" s="84"/>
      <c r="W117" s="28" t="str">
        <f>IF(AND(V4=0,V117&gt;=0), "",V117/V4)</f>
        <v/>
      </c>
      <c r="X117" s="42">
        <f t="shared" si="140"/>
        <v>1</v>
      </c>
      <c r="Y117" s="82">
        <f>+'N EERR'!F194</f>
        <v>0</v>
      </c>
      <c r="Z117" s="28" t="str">
        <f>IF(AND(Y4=0,Y117&gt;=0), "",Y117/Y4)</f>
        <v/>
      </c>
      <c r="AA117" s="42" t="str">
        <f>IF(AND(Y124=0,Y117&gt;=0),"",Y117/Y124)</f>
        <v/>
      </c>
      <c r="AB117" s="28" t="str">
        <f t="shared" si="141"/>
        <v/>
      </c>
      <c r="AC117" s="83">
        <f t="shared" ref="AC117:AC123" si="148">+S117+Y117</f>
        <v>10</v>
      </c>
      <c r="AD117" s="28">
        <f>IF(AND(AC4=0,AC117&gt;=0), "",AC117/AC4)</f>
        <v>7.246376811594203E-4</v>
      </c>
      <c r="AE117" s="42">
        <f>IF(AND(AC124=0,AC117&gt;=0),"",AC117/AC124)</f>
        <v>6.7114093959731542E-3</v>
      </c>
      <c r="AF117" s="82">
        <f>+'N EERR'!G194</f>
        <v>0</v>
      </c>
      <c r="AG117" s="28" t="str">
        <f>IF(AND(AF4=0,AF117&gt;=0), "",AF117/AF4)</f>
        <v/>
      </c>
      <c r="AH117" s="42" t="str">
        <f>IF(AND(AF124=0,AF117&gt;=0),"",AF117/AF124)</f>
        <v/>
      </c>
      <c r="AI117" s="28" t="str">
        <f t="shared" si="124"/>
        <v/>
      </c>
      <c r="AJ117" s="83">
        <f t="shared" si="95"/>
        <v>10</v>
      </c>
      <c r="AK117" s="28">
        <f>IF(AND(AJ4=0,AJ117&gt;=0), "",AJ117/AJ4)</f>
        <v>7.246376811594203E-4</v>
      </c>
      <c r="AL117" s="42">
        <f>IF(AND(AJ124=0,AJ117&gt;=0),"",AJ117/AJ124)</f>
        <v>6.7114093959731542E-3</v>
      </c>
      <c r="AM117" s="82">
        <f>+'N EERR'!H194</f>
        <v>0</v>
      </c>
      <c r="AN117" s="28" t="str">
        <f>IF(AND(AM4=0,AM117&gt;=0), "",AM117/AM4)</f>
        <v/>
      </c>
      <c r="AO117" s="42" t="str">
        <f>IF(AND(AM124=0,AM117&gt;=0),"",AM117/AM124)</f>
        <v/>
      </c>
      <c r="AP117" s="28" t="str">
        <f t="shared" si="125"/>
        <v/>
      </c>
      <c r="AQ117" s="83">
        <f t="shared" si="96"/>
        <v>10</v>
      </c>
      <c r="AR117" s="28">
        <f>IF(AND(AQ4=0,AQ117&gt;=0), "",AQ117/AQ4)</f>
        <v>7.246376811594203E-4</v>
      </c>
      <c r="AS117" s="42">
        <f>IF(AND(AQ124=0,AQ117&gt;=0),"",AQ117/AQ124)</f>
        <v>6.7114093959731542E-3</v>
      </c>
      <c r="AT117" s="84">
        <f t="shared" ref="AT117:AT123" si="149">+V117*2</f>
        <v>0</v>
      </c>
      <c r="AU117" s="28" t="str">
        <f>IF(AND(AT4=0,AT117&gt;=0), "",AT117/AT4)</f>
        <v/>
      </c>
      <c r="AV117" s="42">
        <f t="shared" si="142"/>
        <v>1</v>
      </c>
      <c r="AW117" s="84">
        <f>+AQ117/6</f>
        <v>1.6666666666666667</v>
      </c>
      <c r="AX117" s="28">
        <f>IF(AND(AW4=0,AW117&gt;=0), "",AW117/AW4)</f>
        <v>7.2463768115942019E-4</v>
      </c>
      <c r="AY117" s="42">
        <f>IF(AND(AW124=0,AW117&gt;=0),"",AW117/AW124)</f>
        <v>6.7114093959731542E-3</v>
      </c>
      <c r="AZ117" s="84">
        <f t="shared" ref="AZ117:AZ123" si="150">+AT117/6</f>
        <v>0</v>
      </c>
      <c r="BA117" s="28" t="str">
        <f>IF(AND(AZ4=0,AZ117&gt;=0), "",AZ117/AZ4)</f>
        <v/>
      </c>
      <c r="BB117" s="42">
        <f t="shared" si="143"/>
        <v>1</v>
      </c>
      <c r="BC117" s="82">
        <f>+'N EERR'!I194</f>
        <v>0</v>
      </c>
      <c r="BD117" s="28" t="str">
        <f>IF(AND(BC4=0,BC117&gt;=0), "",BC117/BC4)</f>
        <v/>
      </c>
      <c r="BE117" s="42" t="str">
        <f>IF(AND(BC124=0,BC117&gt;=0),"",BC117/BC124)</f>
        <v/>
      </c>
      <c r="BF117" s="28" t="str">
        <f t="shared" si="144"/>
        <v/>
      </c>
      <c r="BG117" s="83">
        <f t="shared" ref="BG117:BG123" si="151">+AQ117+BC117</f>
        <v>10</v>
      </c>
      <c r="BH117" s="28">
        <f>IF(AND(BG4=0,BG117&gt;=0), "",BG117/BG4)</f>
        <v>7.246376811594203E-4</v>
      </c>
      <c r="BI117" s="42">
        <f>IF(AND(BG124=0,BG117&gt;=0),"",BG117/BG124)</f>
        <v>6.7114093959731542E-3</v>
      </c>
      <c r="BJ117" s="82">
        <f>+'N EERR'!J194</f>
        <v>0</v>
      </c>
      <c r="BK117" s="28" t="str">
        <f>IF(AND(BJ4=0,BJ117&gt;=0), "",BJ117/BJ4)</f>
        <v/>
      </c>
      <c r="BL117" s="42" t="str">
        <f>IF(AND(BJ124=0,BJ117&gt;=0),"",BJ117/BJ124)</f>
        <v/>
      </c>
      <c r="BM117" s="28" t="str">
        <f t="shared" si="126"/>
        <v/>
      </c>
      <c r="BN117" s="83">
        <f t="shared" ref="BN117:BN123" si="152">+BG117+BJ117</f>
        <v>10</v>
      </c>
      <c r="BO117" s="28">
        <f>IF(AND(BN4=0,BN117&gt;=0), "",BN117/BN4)</f>
        <v>7.246376811594203E-4</v>
      </c>
      <c r="BP117" s="42">
        <f>IF(AND(BN124=0,BN117&gt;=0),"",BN117/BN124)</f>
        <v>6.7114093959731542E-3</v>
      </c>
      <c r="BQ117" s="82">
        <f>+'N EERR'!K194</f>
        <v>0</v>
      </c>
      <c r="BR117" s="28" t="str">
        <f>IF(AND(BQ4=0,BQ117&gt;=0), "",BQ117/BQ4)</f>
        <v/>
      </c>
      <c r="BS117" s="42" t="str">
        <f>IF(AND(BQ124=0,BQ117&gt;=0),"",BQ117/BQ124)</f>
        <v/>
      </c>
      <c r="BT117" s="28" t="str">
        <f t="shared" si="127"/>
        <v/>
      </c>
      <c r="BU117" s="83">
        <f t="shared" ref="BU117:BU123" si="153">+BN117+BQ117</f>
        <v>10</v>
      </c>
      <c r="BV117" s="28">
        <f>IF(AND(BU4=0,BU117&gt;=0), "",BU117/BU4)</f>
        <v>7.246376811594203E-4</v>
      </c>
      <c r="BW117" s="42">
        <f>IF(AND(BU124=0,BU117&gt;=0),"",BU117/BU124)</f>
        <v>6.7114093959731542E-3</v>
      </c>
      <c r="BX117" s="84">
        <f t="shared" ref="BX117:BX123" si="154">+AZ117*9</f>
        <v>0</v>
      </c>
      <c r="BY117" s="28" t="str">
        <f>IF(AND(BX4=0,BX117&gt;=0), "",BX117/BX4)</f>
        <v/>
      </c>
      <c r="BZ117" s="42">
        <f t="shared" si="128"/>
        <v>1</v>
      </c>
      <c r="CA117" s="82">
        <f>+'N EERR'!L194</f>
        <v>0</v>
      </c>
      <c r="CB117" s="28" t="str">
        <f>IF(AND(CA4=0,CA117&gt;=0), "",CA117/CA4)</f>
        <v/>
      </c>
      <c r="CC117" s="42" t="str">
        <f>IF(AND(CA124=0,CA117&gt;=0),"",CA117/CA124)</f>
        <v/>
      </c>
      <c r="CD117" s="28" t="str">
        <f t="shared" si="145"/>
        <v/>
      </c>
      <c r="CE117" s="83">
        <f t="shared" ref="CE117:CE123" si="155">+BU117+CA117</f>
        <v>10</v>
      </c>
      <c r="CF117" s="28">
        <f>IF(AND(CE4=0,CE117&gt;=0), "",CE117/CE4)</f>
        <v>7.246376811594203E-4</v>
      </c>
      <c r="CG117" s="42">
        <f>IF(AND(CE124=0,CE117&gt;=0),"",CE117/CE124)</f>
        <v>6.7114093959731542E-3</v>
      </c>
      <c r="CH117" s="82">
        <f>+'N EERR'!M194</f>
        <v>0</v>
      </c>
      <c r="CI117" s="28" t="str">
        <f>IF(AND(CH4=0,CH117&gt;=0), "",CH117/CH4)</f>
        <v/>
      </c>
      <c r="CJ117" s="42" t="str">
        <f>IF(AND(CH124=0,CH117&gt;=0),"",CH117/CH124)</f>
        <v/>
      </c>
      <c r="CK117" s="28" t="str">
        <f t="shared" si="129"/>
        <v/>
      </c>
      <c r="CL117" s="83">
        <f t="shared" ref="CL117:CL123" si="156">+CE117+CH117</f>
        <v>10</v>
      </c>
      <c r="CM117" s="28">
        <f>IF(AND(CL4=0,CL117&gt;=0), "",CL117/CL4)</f>
        <v>7.246376811594203E-4</v>
      </c>
      <c r="CN117" s="42">
        <f>IF(AND(CL124=0,CL117&gt;=0),"",CL117/CL124)</f>
        <v>6.7114093959731542E-3</v>
      </c>
      <c r="CO117" s="82">
        <f>+'N EERR'!N194</f>
        <v>0</v>
      </c>
      <c r="CP117" s="28" t="str">
        <f>IF(AND(CO4=0,CO117&gt;=0), "",CO117/CO4)</f>
        <v/>
      </c>
      <c r="CQ117" s="42" t="str">
        <f>IF(AND(CO124=0,CO117&gt;=0),"",CO117/CO124)</f>
        <v/>
      </c>
      <c r="CR117" s="28" t="str">
        <f t="shared" si="130"/>
        <v/>
      </c>
      <c r="CS117" s="83">
        <f t="shared" ref="CS117:CS123" si="157">+CL117+CO117</f>
        <v>10</v>
      </c>
      <c r="CT117" s="28">
        <f>IF(AND(CS4=0,CS117&gt;=0), "",CS117/CS4)</f>
        <v>7.246376811594203E-4</v>
      </c>
      <c r="CU117" s="42">
        <f>IF(AND(CS124=0,CS117&gt;=0),"",CS117/CS124)</f>
        <v>6.7114093959731542E-3</v>
      </c>
      <c r="CV117" s="84">
        <f t="shared" ref="CV117:CV123" si="158">+AZ117*12</f>
        <v>0</v>
      </c>
      <c r="CW117" s="28" t="str">
        <f>IF(AND(CV4=0,CV117&gt;=0), "",CV117/CV4)</f>
        <v/>
      </c>
      <c r="CX117" s="42">
        <f t="shared" si="131"/>
        <v>1</v>
      </c>
    </row>
    <row r="118" spans="1:102" hidden="1" outlineLevel="1" x14ac:dyDescent="0.25">
      <c r="A118" s="27" t="s">
        <v>96</v>
      </c>
      <c r="B118" s="82">
        <f>+'N EERR'!B195</f>
        <v>0</v>
      </c>
      <c r="C118" s="28" t="str">
        <f>IF(AND(B4=0,B118&gt;=0), "",B118/B4)</f>
        <v/>
      </c>
      <c r="D118" s="42" t="str">
        <f>IF(AND(B124=0,B118&gt;=0),"",B118/B124)</f>
        <v/>
      </c>
      <c r="E118" s="82">
        <f>+'N EERR'!C195</f>
        <v>10</v>
      </c>
      <c r="F118" s="28">
        <f>IF(AND(E4=0,E118&gt;=0), "",E118/E4)</f>
        <v>7.246376811594203E-4</v>
      </c>
      <c r="G118" s="42">
        <f>IF(AND(E124=0,E118&gt;=0),"",E118/E124)</f>
        <v>6.7114093959731542E-3</v>
      </c>
      <c r="H118" s="82">
        <f>+'N EERR'!D195</f>
        <v>0</v>
      </c>
      <c r="I118" s="28" t="str">
        <f>IF(AND(H4=0,H118&gt;=0), "",H118/H4)</f>
        <v/>
      </c>
      <c r="J118" s="42" t="str">
        <f>IF(AND(H124=0,H118&gt;=0),"",H118/H124)</f>
        <v/>
      </c>
      <c r="K118" s="28">
        <f t="shared" si="138"/>
        <v>-1</v>
      </c>
      <c r="L118" s="83">
        <f t="shared" si="146"/>
        <v>10</v>
      </c>
      <c r="M118" s="28">
        <f>IF(AND(L4=0,L118&gt;=0), "",L118/L4)</f>
        <v>7.246376811594203E-4</v>
      </c>
      <c r="N118" s="42">
        <f>IF(AND(L124=0,L118&gt;=0),"",L118/L124)</f>
        <v>6.7114093959731542E-3</v>
      </c>
      <c r="O118" s="82">
        <f>+'N EERR'!E195</f>
        <v>0</v>
      </c>
      <c r="P118" s="28" t="str">
        <f>IF(AND(O4=0,O118&gt;=0), "",O118/O4)</f>
        <v/>
      </c>
      <c r="Q118" s="42" t="str">
        <f>IF(AND(O124=0,O118&gt;=0),"",O118/O124)</f>
        <v/>
      </c>
      <c r="R118" s="28" t="str">
        <f t="shared" si="139"/>
        <v/>
      </c>
      <c r="S118" s="83">
        <f t="shared" si="147"/>
        <v>10</v>
      </c>
      <c r="T118" s="28">
        <f>IF(AND(S4=0,S118&gt;=0), "",S118/S4)</f>
        <v>7.246376811594203E-4</v>
      </c>
      <c r="U118" s="42">
        <f>IF(AND(S124=0,S118&gt;=0),"",S118/S124)</f>
        <v>6.7114093959731542E-3</v>
      </c>
      <c r="V118" s="84"/>
      <c r="W118" s="28" t="str">
        <f>IF(AND(V4=0,V118&gt;=0), "",V118/V4)</f>
        <v/>
      </c>
      <c r="X118" s="42">
        <f t="shared" si="140"/>
        <v>1</v>
      </c>
      <c r="Y118" s="82">
        <f>+'N EERR'!F195</f>
        <v>0</v>
      </c>
      <c r="Z118" s="28" t="str">
        <f>IF(AND(Y4=0,Y118&gt;=0), "",Y118/Y4)</f>
        <v/>
      </c>
      <c r="AA118" s="42" t="str">
        <f>IF(AND(Y124=0,Y118&gt;=0),"",Y118/Y124)</f>
        <v/>
      </c>
      <c r="AB118" s="28" t="str">
        <f t="shared" si="141"/>
        <v/>
      </c>
      <c r="AC118" s="83">
        <f t="shared" si="148"/>
        <v>10</v>
      </c>
      <c r="AD118" s="28">
        <f>IF(AND(AC4=0,AC118&gt;=0), "",AC118/AC4)</f>
        <v>7.246376811594203E-4</v>
      </c>
      <c r="AE118" s="42">
        <f>IF(AND(AC124=0,AC118&gt;=0),"",AC118/AC124)</f>
        <v>6.7114093959731542E-3</v>
      </c>
      <c r="AF118" s="82">
        <f>+'N EERR'!G195</f>
        <v>0</v>
      </c>
      <c r="AG118" s="28" t="str">
        <f>IF(AND(AF4=0,AF118&gt;=0), "",AF118/AF4)</f>
        <v/>
      </c>
      <c r="AH118" s="42" t="str">
        <f>IF(AND(AF124=0,AF118&gt;=0),"",AF118/AF124)</f>
        <v/>
      </c>
      <c r="AI118" s="28" t="str">
        <f t="shared" si="124"/>
        <v/>
      </c>
      <c r="AJ118" s="83">
        <f t="shared" si="95"/>
        <v>10</v>
      </c>
      <c r="AK118" s="28">
        <f>IF(AND(AJ4=0,AJ118&gt;=0), "",AJ118/AJ4)</f>
        <v>7.246376811594203E-4</v>
      </c>
      <c r="AL118" s="42">
        <f>IF(AND(AJ124=0,AJ118&gt;=0),"",AJ118/AJ124)</f>
        <v>6.7114093959731542E-3</v>
      </c>
      <c r="AM118" s="82">
        <f>+'N EERR'!H195</f>
        <v>0</v>
      </c>
      <c r="AN118" s="28" t="str">
        <f>IF(AND(AM4=0,AM118&gt;=0), "",AM118/AM4)</f>
        <v/>
      </c>
      <c r="AO118" s="42" t="str">
        <f>IF(AND(AM124=0,AM118&gt;=0),"",AM118/AM124)</f>
        <v/>
      </c>
      <c r="AP118" s="28" t="str">
        <f t="shared" si="125"/>
        <v/>
      </c>
      <c r="AQ118" s="83">
        <f t="shared" si="96"/>
        <v>10</v>
      </c>
      <c r="AR118" s="28">
        <f>IF(AND(AQ4=0,AQ118&gt;=0), "",AQ118/AQ4)</f>
        <v>7.246376811594203E-4</v>
      </c>
      <c r="AS118" s="42">
        <f>IF(AND(AQ124=0,AQ118&gt;=0),"",AQ118/AQ124)</f>
        <v>6.7114093959731542E-3</v>
      </c>
      <c r="AT118" s="84">
        <f t="shared" si="149"/>
        <v>0</v>
      </c>
      <c r="AU118" s="28" t="str">
        <f>IF(AND(AT4=0,AT118&gt;=0), "",AT118/AT4)</f>
        <v/>
      </c>
      <c r="AV118" s="42">
        <f t="shared" si="142"/>
        <v>1</v>
      </c>
      <c r="AW118" s="84">
        <f t="shared" ref="AW118:AW123" si="159">+AQ118/6</f>
        <v>1.6666666666666667</v>
      </c>
      <c r="AX118" s="28">
        <f>IF(AND(AW4=0,AW118&gt;=0), "",AW118/AW4)</f>
        <v>7.2463768115942019E-4</v>
      </c>
      <c r="AY118" s="42">
        <f>IF(AND(AW124=0,AW118&gt;=0),"",AW118/AW124)</f>
        <v>6.7114093959731542E-3</v>
      </c>
      <c r="AZ118" s="84">
        <f t="shared" si="150"/>
        <v>0</v>
      </c>
      <c r="BA118" s="28" t="str">
        <f>IF(AND(AZ4=0,AZ118&gt;=0), "",AZ118/AZ4)</f>
        <v/>
      </c>
      <c r="BB118" s="42">
        <f t="shared" si="143"/>
        <v>1</v>
      </c>
      <c r="BC118" s="82">
        <f>+'N EERR'!I195</f>
        <v>0</v>
      </c>
      <c r="BD118" s="28" t="str">
        <f>IF(AND(BC4=0,BC118&gt;=0), "",BC118/BC4)</f>
        <v/>
      </c>
      <c r="BE118" s="42" t="str">
        <f>IF(AND(BC124=0,BC118&gt;=0),"",BC118/BC124)</f>
        <v/>
      </c>
      <c r="BF118" s="28" t="str">
        <f t="shared" si="144"/>
        <v/>
      </c>
      <c r="BG118" s="83">
        <f t="shared" si="151"/>
        <v>10</v>
      </c>
      <c r="BH118" s="28">
        <f>IF(AND(BG4=0,BG118&gt;=0), "",BG118/BG4)</f>
        <v>7.246376811594203E-4</v>
      </c>
      <c r="BI118" s="42">
        <f>IF(AND(BG124=0,BG118&gt;=0),"",BG118/BG124)</f>
        <v>6.7114093959731542E-3</v>
      </c>
      <c r="BJ118" s="82">
        <f>+'N EERR'!J195</f>
        <v>0</v>
      </c>
      <c r="BK118" s="28" t="str">
        <f>IF(AND(BJ4=0,BJ118&gt;=0), "",BJ118/BJ4)</f>
        <v/>
      </c>
      <c r="BL118" s="42" t="str">
        <f>IF(AND(BJ124=0,BJ118&gt;=0),"",BJ118/BJ124)</f>
        <v/>
      </c>
      <c r="BM118" s="28" t="str">
        <f t="shared" si="126"/>
        <v/>
      </c>
      <c r="BN118" s="83">
        <f t="shared" si="152"/>
        <v>10</v>
      </c>
      <c r="BO118" s="28">
        <f>IF(AND(BN4=0,BN118&gt;=0), "",BN118/BN4)</f>
        <v>7.246376811594203E-4</v>
      </c>
      <c r="BP118" s="42">
        <f>IF(AND(BN124=0,BN118&gt;=0),"",BN118/BN124)</f>
        <v>6.7114093959731542E-3</v>
      </c>
      <c r="BQ118" s="82">
        <f>+'N EERR'!K195</f>
        <v>0</v>
      </c>
      <c r="BR118" s="28" t="str">
        <f>IF(AND(BQ4=0,BQ118&gt;=0), "",BQ118/BQ4)</f>
        <v/>
      </c>
      <c r="BS118" s="42" t="str">
        <f>IF(AND(BQ124=0,BQ118&gt;=0),"",BQ118/BQ124)</f>
        <v/>
      </c>
      <c r="BT118" s="28" t="str">
        <f t="shared" si="127"/>
        <v/>
      </c>
      <c r="BU118" s="83">
        <f t="shared" si="153"/>
        <v>10</v>
      </c>
      <c r="BV118" s="28">
        <f>IF(AND(BU4=0,BU118&gt;=0), "",BU118/BU4)</f>
        <v>7.246376811594203E-4</v>
      </c>
      <c r="BW118" s="42">
        <f>IF(AND(BU124=0,BU118&gt;=0),"",BU118/BU124)</f>
        <v>6.7114093959731542E-3</v>
      </c>
      <c r="BX118" s="84">
        <f t="shared" si="154"/>
        <v>0</v>
      </c>
      <c r="BY118" s="28" t="str">
        <f>IF(AND(BX4=0,BX118&gt;=0), "",BX118/BX4)</f>
        <v/>
      </c>
      <c r="BZ118" s="42">
        <f t="shared" si="128"/>
        <v>1</v>
      </c>
      <c r="CA118" s="82">
        <f>+'N EERR'!L195</f>
        <v>0</v>
      </c>
      <c r="CB118" s="28" t="str">
        <f>IF(AND(CA4=0,CA118&gt;=0), "",CA118/CA4)</f>
        <v/>
      </c>
      <c r="CC118" s="42" t="str">
        <f>IF(AND(CA124=0,CA118&gt;=0),"",CA118/CA124)</f>
        <v/>
      </c>
      <c r="CD118" s="28" t="str">
        <f t="shared" si="145"/>
        <v/>
      </c>
      <c r="CE118" s="83">
        <f t="shared" si="155"/>
        <v>10</v>
      </c>
      <c r="CF118" s="28">
        <f>IF(AND(CE4=0,CE118&gt;=0), "",CE118/CE4)</f>
        <v>7.246376811594203E-4</v>
      </c>
      <c r="CG118" s="42">
        <f>IF(AND(CE124=0,CE118&gt;=0),"",CE118/CE124)</f>
        <v>6.7114093959731542E-3</v>
      </c>
      <c r="CH118" s="82">
        <f>+'N EERR'!M195</f>
        <v>0</v>
      </c>
      <c r="CI118" s="28" t="str">
        <f>IF(AND(CH4=0,CH118&gt;=0), "",CH118/CH4)</f>
        <v/>
      </c>
      <c r="CJ118" s="42" t="str">
        <f>IF(AND(CH124=0,CH118&gt;=0),"",CH118/CH124)</f>
        <v/>
      </c>
      <c r="CK118" s="28" t="str">
        <f t="shared" si="129"/>
        <v/>
      </c>
      <c r="CL118" s="83">
        <f t="shared" si="156"/>
        <v>10</v>
      </c>
      <c r="CM118" s="28">
        <f>IF(AND(CL4=0,CL118&gt;=0), "",CL118/CL4)</f>
        <v>7.246376811594203E-4</v>
      </c>
      <c r="CN118" s="42">
        <f>IF(AND(CL124=0,CL118&gt;=0),"",CL118/CL124)</f>
        <v>6.7114093959731542E-3</v>
      </c>
      <c r="CO118" s="82">
        <f>+'N EERR'!N195</f>
        <v>0</v>
      </c>
      <c r="CP118" s="28" t="str">
        <f>IF(AND(CO4=0,CO118&gt;=0), "",CO118/CO4)</f>
        <v/>
      </c>
      <c r="CQ118" s="42" t="str">
        <f>IF(AND(CO124=0,CO118&gt;=0),"",CO118/CO124)</f>
        <v/>
      </c>
      <c r="CR118" s="28" t="str">
        <f t="shared" si="130"/>
        <v/>
      </c>
      <c r="CS118" s="83">
        <f t="shared" si="157"/>
        <v>10</v>
      </c>
      <c r="CT118" s="28">
        <f>IF(AND(CS4=0,CS118&gt;=0), "",CS118/CS4)</f>
        <v>7.246376811594203E-4</v>
      </c>
      <c r="CU118" s="42">
        <f>IF(AND(CS124=0,CS118&gt;=0),"",CS118/CS124)</f>
        <v>6.7114093959731542E-3</v>
      </c>
      <c r="CV118" s="84">
        <f t="shared" si="158"/>
        <v>0</v>
      </c>
      <c r="CW118" s="28" t="str">
        <f>IF(AND(CV4=0,CV118&gt;=0), "",CV118/CV4)</f>
        <v/>
      </c>
      <c r="CX118" s="42">
        <f t="shared" si="131"/>
        <v>1</v>
      </c>
    </row>
    <row r="119" spans="1:102" hidden="1" outlineLevel="1" x14ac:dyDescent="0.25">
      <c r="A119" s="27" t="s">
        <v>97</v>
      </c>
      <c r="B119" s="82">
        <f>+'N EERR'!B196</f>
        <v>0</v>
      </c>
      <c r="C119" s="28" t="str">
        <f>IF(AND(B4=0,B119&gt;=0), "",B119/B4)</f>
        <v/>
      </c>
      <c r="D119" s="42" t="str">
        <f>IF(AND(B124=0,B119&gt;=0),"",B119/B124)</f>
        <v/>
      </c>
      <c r="E119" s="82">
        <f>+'N EERR'!C196</f>
        <v>10</v>
      </c>
      <c r="F119" s="28">
        <f>IF(AND(E4=0,E119&gt;=0), "",E119/E4)</f>
        <v>7.246376811594203E-4</v>
      </c>
      <c r="G119" s="42">
        <f>IF(AND(E124=0,E119&gt;=0),"",E119/E124)</f>
        <v>6.7114093959731542E-3</v>
      </c>
      <c r="H119" s="82">
        <f>+'N EERR'!D196</f>
        <v>0</v>
      </c>
      <c r="I119" s="28" t="str">
        <f>IF(AND(H4=0,H119&gt;=0), "",H119/H4)</f>
        <v/>
      </c>
      <c r="J119" s="42" t="str">
        <f>IF(AND(H124=0,H119&gt;=0),"",H119/H124)</f>
        <v/>
      </c>
      <c r="K119" s="28">
        <f t="shared" si="138"/>
        <v>-1</v>
      </c>
      <c r="L119" s="83">
        <f t="shared" si="146"/>
        <v>10</v>
      </c>
      <c r="M119" s="28">
        <f>IF(AND(L4=0,L119&gt;=0), "",L119/L4)</f>
        <v>7.246376811594203E-4</v>
      </c>
      <c r="N119" s="42">
        <f>IF(AND(L124=0,L119&gt;=0),"",L119/L124)</f>
        <v>6.7114093959731542E-3</v>
      </c>
      <c r="O119" s="82">
        <f>+'N EERR'!E196</f>
        <v>0</v>
      </c>
      <c r="P119" s="28" t="str">
        <f>IF(AND(O4=0,O119&gt;=0), "",O119/O4)</f>
        <v/>
      </c>
      <c r="Q119" s="42" t="str">
        <f>IF(AND(O124=0,O119&gt;=0),"",O119/O124)</f>
        <v/>
      </c>
      <c r="R119" s="28" t="str">
        <f t="shared" si="139"/>
        <v/>
      </c>
      <c r="S119" s="83">
        <f t="shared" si="147"/>
        <v>10</v>
      </c>
      <c r="T119" s="28">
        <f>IF(AND(S4=0,S119&gt;=0), "",S119/S4)</f>
        <v>7.246376811594203E-4</v>
      </c>
      <c r="U119" s="42">
        <f>IF(AND(S124=0,S119&gt;=0),"",S119/S124)</f>
        <v>6.7114093959731542E-3</v>
      </c>
      <c r="V119" s="84"/>
      <c r="W119" s="28" t="str">
        <f>IF(AND(V4=0,V119&gt;=0), "",V119/V4)</f>
        <v/>
      </c>
      <c r="X119" s="42">
        <f t="shared" si="140"/>
        <v>1</v>
      </c>
      <c r="Y119" s="82">
        <f>+'N EERR'!F196</f>
        <v>0</v>
      </c>
      <c r="Z119" s="28" t="str">
        <f>IF(AND(Y4=0,Y119&gt;=0), "",Y119/Y4)</f>
        <v/>
      </c>
      <c r="AA119" s="42" t="str">
        <f>IF(AND(Y124=0,Y119&gt;=0),"",Y119/Y124)</f>
        <v/>
      </c>
      <c r="AB119" s="28" t="str">
        <f t="shared" si="141"/>
        <v/>
      </c>
      <c r="AC119" s="83">
        <f t="shared" si="148"/>
        <v>10</v>
      </c>
      <c r="AD119" s="28">
        <f>IF(AND(AC4=0,AC119&gt;=0), "",AC119/AC4)</f>
        <v>7.246376811594203E-4</v>
      </c>
      <c r="AE119" s="42">
        <f>IF(AND(AC124=0,AC119&gt;=0),"",AC119/AC124)</f>
        <v>6.7114093959731542E-3</v>
      </c>
      <c r="AF119" s="82">
        <f>+'N EERR'!G196</f>
        <v>0</v>
      </c>
      <c r="AG119" s="28" t="str">
        <f>IF(AND(AF4=0,AF119&gt;=0), "",AF119/AF4)</f>
        <v/>
      </c>
      <c r="AH119" s="42" t="str">
        <f>IF(AND(AF124=0,AF119&gt;=0),"",AF119/AF124)</f>
        <v/>
      </c>
      <c r="AI119" s="28" t="str">
        <f t="shared" si="124"/>
        <v/>
      </c>
      <c r="AJ119" s="83">
        <f t="shared" si="95"/>
        <v>10</v>
      </c>
      <c r="AK119" s="28">
        <f>IF(AND(AJ4=0,AJ119&gt;=0), "",AJ119/AJ4)</f>
        <v>7.246376811594203E-4</v>
      </c>
      <c r="AL119" s="42">
        <f>IF(AND(AJ124=0,AJ119&gt;=0),"",AJ119/AJ124)</f>
        <v>6.7114093959731542E-3</v>
      </c>
      <c r="AM119" s="82">
        <f>+'N EERR'!H196</f>
        <v>0</v>
      </c>
      <c r="AN119" s="28" t="str">
        <f>IF(AND(AM4=0,AM119&gt;=0), "",AM119/AM4)</f>
        <v/>
      </c>
      <c r="AO119" s="42" t="str">
        <f>IF(AND(AM124=0,AM119&gt;=0),"",AM119/AM124)</f>
        <v/>
      </c>
      <c r="AP119" s="28" t="str">
        <f t="shared" si="125"/>
        <v/>
      </c>
      <c r="AQ119" s="83">
        <f t="shared" si="96"/>
        <v>10</v>
      </c>
      <c r="AR119" s="28">
        <f>IF(AND(AQ4=0,AQ119&gt;=0), "",AQ119/AQ4)</f>
        <v>7.246376811594203E-4</v>
      </c>
      <c r="AS119" s="42">
        <f>IF(AND(AQ124=0,AQ119&gt;=0),"",AQ119/AQ124)</f>
        <v>6.7114093959731542E-3</v>
      </c>
      <c r="AT119" s="84">
        <f t="shared" si="149"/>
        <v>0</v>
      </c>
      <c r="AU119" s="28" t="str">
        <f>IF(AND(AT4=0,AT119&gt;=0), "",AT119/AT4)</f>
        <v/>
      </c>
      <c r="AV119" s="42">
        <f t="shared" si="142"/>
        <v>1</v>
      </c>
      <c r="AW119" s="84">
        <f t="shared" si="159"/>
        <v>1.6666666666666667</v>
      </c>
      <c r="AX119" s="28">
        <f>IF(AND(AW4=0,AW119&gt;=0), "",AW119/AW4)</f>
        <v>7.2463768115942019E-4</v>
      </c>
      <c r="AY119" s="42">
        <f>IF(AND(AW124=0,AW119&gt;=0),"",AW119/AW124)</f>
        <v>6.7114093959731542E-3</v>
      </c>
      <c r="AZ119" s="84">
        <f t="shared" si="150"/>
        <v>0</v>
      </c>
      <c r="BA119" s="28" t="str">
        <f>IF(AND(AZ4=0,AZ119&gt;=0), "",AZ119/AZ4)</f>
        <v/>
      </c>
      <c r="BB119" s="42">
        <f t="shared" si="143"/>
        <v>1</v>
      </c>
      <c r="BC119" s="82">
        <f>+'N EERR'!I196</f>
        <v>0</v>
      </c>
      <c r="BD119" s="28" t="str">
        <f>IF(AND(BC4=0,BC119&gt;=0), "",BC119/BC4)</f>
        <v/>
      </c>
      <c r="BE119" s="42" t="str">
        <f>IF(AND(BC124=0,BC119&gt;=0),"",BC119/BC124)</f>
        <v/>
      </c>
      <c r="BF119" s="28" t="str">
        <f t="shared" si="144"/>
        <v/>
      </c>
      <c r="BG119" s="83">
        <f t="shared" si="151"/>
        <v>10</v>
      </c>
      <c r="BH119" s="28">
        <f>IF(AND(BG4=0,BG119&gt;=0), "",BG119/BG4)</f>
        <v>7.246376811594203E-4</v>
      </c>
      <c r="BI119" s="42">
        <f>IF(AND(BG124=0,BG119&gt;=0),"",BG119/BG124)</f>
        <v>6.7114093959731542E-3</v>
      </c>
      <c r="BJ119" s="82">
        <f>+'N EERR'!J196</f>
        <v>0</v>
      </c>
      <c r="BK119" s="28" t="str">
        <f>IF(AND(BJ4=0,BJ119&gt;=0), "",BJ119/BJ4)</f>
        <v/>
      </c>
      <c r="BL119" s="42" t="str">
        <f>IF(AND(BJ124=0,BJ119&gt;=0),"",BJ119/BJ124)</f>
        <v/>
      </c>
      <c r="BM119" s="28" t="str">
        <f t="shared" si="126"/>
        <v/>
      </c>
      <c r="BN119" s="83">
        <f t="shared" si="152"/>
        <v>10</v>
      </c>
      <c r="BO119" s="28">
        <f>IF(AND(BN4=0,BN119&gt;=0), "",BN119/BN4)</f>
        <v>7.246376811594203E-4</v>
      </c>
      <c r="BP119" s="42">
        <f>IF(AND(BN124=0,BN119&gt;=0),"",BN119/BN124)</f>
        <v>6.7114093959731542E-3</v>
      </c>
      <c r="BQ119" s="82">
        <f>+'N EERR'!K196</f>
        <v>0</v>
      </c>
      <c r="BR119" s="28" t="str">
        <f>IF(AND(BQ4=0,BQ119&gt;=0), "",BQ119/BQ4)</f>
        <v/>
      </c>
      <c r="BS119" s="42" t="str">
        <f>IF(AND(BQ124=0,BQ119&gt;=0),"",BQ119/BQ124)</f>
        <v/>
      </c>
      <c r="BT119" s="28" t="str">
        <f t="shared" si="127"/>
        <v/>
      </c>
      <c r="BU119" s="83">
        <f t="shared" si="153"/>
        <v>10</v>
      </c>
      <c r="BV119" s="28">
        <f>IF(AND(BU4=0,BU119&gt;=0), "",BU119/BU4)</f>
        <v>7.246376811594203E-4</v>
      </c>
      <c r="BW119" s="42">
        <f>IF(AND(BU124=0,BU119&gt;=0),"",BU119/BU124)</f>
        <v>6.7114093959731542E-3</v>
      </c>
      <c r="BX119" s="84">
        <f t="shared" si="154"/>
        <v>0</v>
      </c>
      <c r="BY119" s="28" t="str">
        <f>IF(AND(BX4=0,BX119&gt;=0), "",BX119/BX4)</f>
        <v/>
      </c>
      <c r="BZ119" s="42">
        <f t="shared" si="128"/>
        <v>1</v>
      </c>
      <c r="CA119" s="82">
        <f>+'N EERR'!L196</f>
        <v>0</v>
      </c>
      <c r="CB119" s="28" t="str">
        <f>IF(AND(CA4=0,CA119&gt;=0), "",CA119/CA4)</f>
        <v/>
      </c>
      <c r="CC119" s="42" t="str">
        <f>IF(AND(CA124=0,CA119&gt;=0),"",CA119/CA124)</f>
        <v/>
      </c>
      <c r="CD119" s="28" t="str">
        <f t="shared" si="145"/>
        <v/>
      </c>
      <c r="CE119" s="83">
        <f t="shared" si="155"/>
        <v>10</v>
      </c>
      <c r="CF119" s="28">
        <f>IF(AND(CE4=0,CE119&gt;=0), "",CE119/CE4)</f>
        <v>7.246376811594203E-4</v>
      </c>
      <c r="CG119" s="42">
        <f>IF(AND(CE124=0,CE119&gt;=0),"",CE119/CE124)</f>
        <v>6.7114093959731542E-3</v>
      </c>
      <c r="CH119" s="82">
        <f>+'N EERR'!M196</f>
        <v>0</v>
      </c>
      <c r="CI119" s="28" t="str">
        <f>IF(AND(CH4=0,CH119&gt;=0), "",CH119/CH4)</f>
        <v/>
      </c>
      <c r="CJ119" s="42" t="str">
        <f>IF(AND(CH124=0,CH119&gt;=0),"",CH119/CH124)</f>
        <v/>
      </c>
      <c r="CK119" s="28" t="str">
        <f t="shared" si="129"/>
        <v/>
      </c>
      <c r="CL119" s="83">
        <f t="shared" si="156"/>
        <v>10</v>
      </c>
      <c r="CM119" s="28">
        <f>IF(AND(CL4=0,CL119&gt;=0), "",CL119/CL4)</f>
        <v>7.246376811594203E-4</v>
      </c>
      <c r="CN119" s="42">
        <f>IF(AND(CL124=0,CL119&gt;=0),"",CL119/CL124)</f>
        <v>6.7114093959731542E-3</v>
      </c>
      <c r="CO119" s="82">
        <f>+'N EERR'!N196</f>
        <v>0</v>
      </c>
      <c r="CP119" s="28" t="str">
        <f>IF(AND(CO4=0,CO119&gt;=0), "",CO119/CO4)</f>
        <v/>
      </c>
      <c r="CQ119" s="42" t="str">
        <f>IF(AND(CO124=0,CO119&gt;=0),"",CO119/CO124)</f>
        <v/>
      </c>
      <c r="CR119" s="28" t="str">
        <f t="shared" si="130"/>
        <v/>
      </c>
      <c r="CS119" s="83">
        <f t="shared" si="157"/>
        <v>10</v>
      </c>
      <c r="CT119" s="28">
        <f>IF(AND(CS4=0,CS119&gt;=0), "",CS119/CS4)</f>
        <v>7.246376811594203E-4</v>
      </c>
      <c r="CU119" s="42">
        <f>IF(AND(CS124=0,CS119&gt;=0),"",CS119/CS124)</f>
        <v>6.7114093959731542E-3</v>
      </c>
      <c r="CV119" s="84">
        <f t="shared" si="158"/>
        <v>0</v>
      </c>
      <c r="CW119" s="28" t="str">
        <f>IF(AND(CV4=0,CV119&gt;=0), "",CV119/CV4)</f>
        <v/>
      </c>
      <c r="CX119" s="42">
        <f t="shared" si="131"/>
        <v>1</v>
      </c>
    </row>
    <row r="120" spans="1:102" hidden="1" outlineLevel="1" x14ac:dyDescent="0.25">
      <c r="A120" s="27" t="s">
        <v>31</v>
      </c>
      <c r="B120" s="82">
        <f>+'N EERR'!B197</f>
        <v>0</v>
      </c>
      <c r="C120" s="28" t="str">
        <f>IF(AND(B4=0,B120&gt;=0), "",B120/B4)</f>
        <v/>
      </c>
      <c r="D120" s="42" t="str">
        <f>IF(AND(B124=0,B120&gt;=0),"",B120/B124)</f>
        <v/>
      </c>
      <c r="E120" s="82">
        <f>+'N EERR'!C197</f>
        <v>10</v>
      </c>
      <c r="F120" s="28">
        <f>IF(AND(E4=0,E120&gt;=0), "",E120/E4)</f>
        <v>7.246376811594203E-4</v>
      </c>
      <c r="G120" s="42">
        <f>IF(AND(E124=0,E120&gt;=0),"",E120/E124)</f>
        <v>6.7114093959731542E-3</v>
      </c>
      <c r="H120" s="82">
        <f>+'N EERR'!D197</f>
        <v>0</v>
      </c>
      <c r="I120" s="28" t="str">
        <f>IF(AND(H4=0,H120&gt;=0), "",H120/H4)</f>
        <v/>
      </c>
      <c r="J120" s="42" t="str">
        <f>IF(AND(H124=0,H120&gt;=0),"",H120/H124)</f>
        <v/>
      </c>
      <c r="K120" s="28">
        <f t="shared" si="138"/>
        <v>-1</v>
      </c>
      <c r="L120" s="83">
        <f t="shared" si="146"/>
        <v>10</v>
      </c>
      <c r="M120" s="28">
        <f>IF(AND(L4=0,L120&gt;=0), "",L120/L4)</f>
        <v>7.246376811594203E-4</v>
      </c>
      <c r="N120" s="42">
        <f>IF(AND(L124=0,L120&gt;=0),"",L120/L124)</f>
        <v>6.7114093959731542E-3</v>
      </c>
      <c r="O120" s="82">
        <f>+'N EERR'!E197</f>
        <v>0</v>
      </c>
      <c r="P120" s="28" t="str">
        <f>IF(AND(O4=0,O120&gt;=0), "",O120/O4)</f>
        <v/>
      </c>
      <c r="Q120" s="42" t="str">
        <f>IF(AND(O124=0,O120&gt;=0),"",O120/O124)</f>
        <v/>
      </c>
      <c r="R120" s="28" t="str">
        <f t="shared" si="139"/>
        <v/>
      </c>
      <c r="S120" s="83">
        <f t="shared" si="147"/>
        <v>10</v>
      </c>
      <c r="T120" s="28">
        <f>IF(AND(S4=0,S120&gt;=0), "",S120/S4)</f>
        <v>7.246376811594203E-4</v>
      </c>
      <c r="U120" s="42">
        <f>IF(AND(S124=0,S120&gt;=0),"",S120/S124)</f>
        <v>6.7114093959731542E-3</v>
      </c>
      <c r="V120" s="84"/>
      <c r="W120" s="28" t="str">
        <f>IF(AND(V4=0,V120&gt;=0), "",V120/V4)</f>
        <v/>
      </c>
      <c r="X120" s="42">
        <f t="shared" si="140"/>
        <v>1</v>
      </c>
      <c r="Y120" s="82">
        <f>+'N EERR'!F197</f>
        <v>0</v>
      </c>
      <c r="Z120" s="28" t="str">
        <f>IF(AND(Y4=0,Y120&gt;=0), "",Y120/Y4)</f>
        <v/>
      </c>
      <c r="AA120" s="42" t="str">
        <f>IF(AND(Y124=0,Y120&gt;=0),"",Y120/Y124)</f>
        <v/>
      </c>
      <c r="AB120" s="28" t="str">
        <f t="shared" si="141"/>
        <v/>
      </c>
      <c r="AC120" s="83">
        <f t="shared" si="148"/>
        <v>10</v>
      </c>
      <c r="AD120" s="28">
        <f>IF(AND(AC4=0,AC120&gt;=0), "",AC120/AC4)</f>
        <v>7.246376811594203E-4</v>
      </c>
      <c r="AE120" s="42">
        <f>IF(AND(AC124=0,AC120&gt;=0),"",AC120/AC124)</f>
        <v>6.7114093959731542E-3</v>
      </c>
      <c r="AF120" s="82">
        <f>+'N EERR'!G197</f>
        <v>0</v>
      </c>
      <c r="AG120" s="28" t="str">
        <f>IF(AND(AF4=0,AF120&gt;=0), "",AF120/AF4)</f>
        <v/>
      </c>
      <c r="AH120" s="42" t="str">
        <f>IF(AND(AF124=0,AF120&gt;=0),"",AF120/AF124)</f>
        <v/>
      </c>
      <c r="AI120" s="28" t="str">
        <f t="shared" si="124"/>
        <v/>
      </c>
      <c r="AJ120" s="83">
        <f t="shared" si="95"/>
        <v>10</v>
      </c>
      <c r="AK120" s="28">
        <f>IF(AND(AJ4=0,AJ120&gt;=0), "",AJ120/AJ4)</f>
        <v>7.246376811594203E-4</v>
      </c>
      <c r="AL120" s="42">
        <f>IF(AND(AJ124=0,AJ120&gt;=0),"",AJ120/AJ124)</f>
        <v>6.7114093959731542E-3</v>
      </c>
      <c r="AM120" s="82">
        <f>+'N EERR'!H197</f>
        <v>0</v>
      </c>
      <c r="AN120" s="28" t="str">
        <f>IF(AND(AM4=0,AM120&gt;=0), "",AM120/AM4)</f>
        <v/>
      </c>
      <c r="AO120" s="42" t="str">
        <f>IF(AND(AM124=0,AM120&gt;=0),"",AM120/AM124)</f>
        <v/>
      </c>
      <c r="AP120" s="28" t="str">
        <f t="shared" si="125"/>
        <v/>
      </c>
      <c r="AQ120" s="83">
        <f t="shared" si="96"/>
        <v>10</v>
      </c>
      <c r="AR120" s="28">
        <f>IF(AND(AQ4=0,AQ120&gt;=0), "",AQ120/AQ4)</f>
        <v>7.246376811594203E-4</v>
      </c>
      <c r="AS120" s="42">
        <f>IF(AND(AQ124=0,AQ120&gt;=0),"",AQ120/AQ124)</f>
        <v>6.7114093959731542E-3</v>
      </c>
      <c r="AT120" s="84">
        <f t="shared" si="149"/>
        <v>0</v>
      </c>
      <c r="AU120" s="28" t="str">
        <f>IF(AND(AT4=0,AT120&gt;=0), "",AT120/AT4)</f>
        <v/>
      </c>
      <c r="AV120" s="42">
        <f t="shared" si="142"/>
        <v>1</v>
      </c>
      <c r="AW120" s="84">
        <f t="shared" si="159"/>
        <v>1.6666666666666667</v>
      </c>
      <c r="AX120" s="28">
        <f>IF(AND(AW4=0,AW120&gt;=0), "",AW120/AW4)</f>
        <v>7.2463768115942019E-4</v>
      </c>
      <c r="AY120" s="42">
        <f>IF(AND(AW124=0,AW120&gt;=0),"",AW120/AW124)</f>
        <v>6.7114093959731542E-3</v>
      </c>
      <c r="AZ120" s="84">
        <f t="shared" si="150"/>
        <v>0</v>
      </c>
      <c r="BA120" s="28" t="str">
        <f>IF(AND(AZ4=0,AZ120&gt;=0), "",AZ120/AZ4)</f>
        <v/>
      </c>
      <c r="BB120" s="42">
        <f t="shared" si="143"/>
        <v>1</v>
      </c>
      <c r="BC120" s="82">
        <f>+'N EERR'!I197</f>
        <v>0</v>
      </c>
      <c r="BD120" s="28" t="str">
        <f>IF(AND(BC4=0,BC120&gt;=0), "",BC120/BC4)</f>
        <v/>
      </c>
      <c r="BE120" s="42" t="str">
        <f>IF(AND(BC124=0,BC120&gt;=0),"",BC120/BC124)</f>
        <v/>
      </c>
      <c r="BF120" s="28" t="str">
        <f t="shared" si="144"/>
        <v/>
      </c>
      <c r="BG120" s="83">
        <f t="shared" si="151"/>
        <v>10</v>
      </c>
      <c r="BH120" s="28">
        <f>IF(AND(BG4=0,BG120&gt;=0), "",BG120/BG4)</f>
        <v>7.246376811594203E-4</v>
      </c>
      <c r="BI120" s="42">
        <f>IF(AND(BG124=0,BG120&gt;=0),"",BG120/BG124)</f>
        <v>6.7114093959731542E-3</v>
      </c>
      <c r="BJ120" s="82">
        <f>+'N EERR'!J197</f>
        <v>0</v>
      </c>
      <c r="BK120" s="28" t="str">
        <f>IF(AND(BJ4=0,BJ120&gt;=0), "",BJ120/BJ4)</f>
        <v/>
      </c>
      <c r="BL120" s="42" t="str">
        <f>IF(AND(BJ124=0,BJ120&gt;=0),"",BJ120/BJ124)</f>
        <v/>
      </c>
      <c r="BM120" s="28" t="str">
        <f t="shared" si="126"/>
        <v/>
      </c>
      <c r="BN120" s="83">
        <f t="shared" si="152"/>
        <v>10</v>
      </c>
      <c r="BO120" s="28">
        <f>IF(AND(BN4=0,BN120&gt;=0), "",BN120/BN4)</f>
        <v>7.246376811594203E-4</v>
      </c>
      <c r="BP120" s="42">
        <f>IF(AND(BN124=0,BN120&gt;=0),"",BN120/BN124)</f>
        <v>6.7114093959731542E-3</v>
      </c>
      <c r="BQ120" s="82">
        <f>+'N EERR'!K197</f>
        <v>0</v>
      </c>
      <c r="BR120" s="28" t="str">
        <f>IF(AND(BQ4=0,BQ120&gt;=0), "",BQ120/BQ4)</f>
        <v/>
      </c>
      <c r="BS120" s="42" t="str">
        <f>IF(AND(BQ124=0,BQ120&gt;=0),"",BQ120/BQ124)</f>
        <v/>
      </c>
      <c r="BT120" s="28" t="str">
        <f t="shared" si="127"/>
        <v/>
      </c>
      <c r="BU120" s="83">
        <f t="shared" si="153"/>
        <v>10</v>
      </c>
      <c r="BV120" s="28">
        <f>IF(AND(BU4=0,BU120&gt;=0), "",BU120/BU4)</f>
        <v>7.246376811594203E-4</v>
      </c>
      <c r="BW120" s="42">
        <f>IF(AND(BU124=0,BU120&gt;=0),"",BU120/BU124)</f>
        <v>6.7114093959731542E-3</v>
      </c>
      <c r="BX120" s="84">
        <f t="shared" si="154"/>
        <v>0</v>
      </c>
      <c r="BY120" s="28" t="str">
        <f>IF(AND(BX4=0,BX120&gt;=0), "",BX120/BX4)</f>
        <v/>
      </c>
      <c r="BZ120" s="42">
        <f t="shared" si="128"/>
        <v>1</v>
      </c>
      <c r="CA120" s="82">
        <f>+'N EERR'!L197</f>
        <v>0</v>
      </c>
      <c r="CB120" s="28" t="str">
        <f>IF(AND(CA4=0,CA120&gt;=0), "",CA120/CA4)</f>
        <v/>
      </c>
      <c r="CC120" s="42" t="str">
        <f>IF(AND(CA124=0,CA120&gt;=0),"",CA120/CA124)</f>
        <v/>
      </c>
      <c r="CD120" s="28" t="str">
        <f t="shared" si="145"/>
        <v/>
      </c>
      <c r="CE120" s="83">
        <f t="shared" si="155"/>
        <v>10</v>
      </c>
      <c r="CF120" s="28">
        <f>IF(AND(CE4=0,CE120&gt;=0), "",CE120/CE4)</f>
        <v>7.246376811594203E-4</v>
      </c>
      <c r="CG120" s="42">
        <f>IF(AND(CE124=0,CE120&gt;=0),"",CE120/CE124)</f>
        <v>6.7114093959731542E-3</v>
      </c>
      <c r="CH120" s="82">
        <f>+'N EERR'!M197</f>
        <v>0</v>
      </c>
      <c r="CI120" s="28" t="str">
        <f>IF(AND(CH4=0,CH120&gt;=0), "",CH120/CH4)</f>
        <v/>
      </c>
      <c r="CJ120" s="42" t="str">
        <f>IF(AND(CH124=0,CH120&gt;=0),"",CH120/CH124)</f>
        <v/>
      </c>
      <c r="CK120" s="28" t="str">
        <f t="shared" si="129"/>
        <v/>
      </c>
      <c r="CL120" s="83">
        <f t="shared" si="156"/>
        <v>10</v>
      </c>
      <c r="CM120" s="28">
        <f>IF(AND(CL4=0,CL120&gt;=0), "",CL120/CL4)</f>
        <v>7.246376811594203E-4</v>
      </c>
      <c r="CN120" s="42">
        <f>IF(AND(CL124=0,CL120&gt;=0),"",CL120/CL124)</f>
        <v>6.7114093959731542E-3</v>
      </c>
      <c r="CO120" s="82">
        <f>+'N EERR'!N197</f>
        <v>0</v>
      </c>
      <c r="CP120" s="28" t="str">
        <f>IF(AND(CO4=0,CO120&gt;=0), "",CO120/CO4)</f>
        <v/>
      </c>
      <c r="CQ120" s="42" t="str">
        <f>IF(AND(CO124=0,CO120&gt;=0),"",CO120/CO124)</f>
        <v/>
      </c>
      <c r="CR120" s="28" t="str">
        <f t="shared" si="130"/>
        <v/>
      </c>
      <c r="CS120" s="83">
        <f t="shared" si="157"/>
        <v>10</v>
      </c>
      <c r="CT120" s="28">
        <f>IF(AND(CS4=0,CS120&gt;=0), "",CS120/CS4)</f>
        <v>7.246376811594203E-4</v>
      </c>
      <c r="CU120" s="42">
        <f>IF(AND(CS124=0,CS120&gt;=0),"",CS120/CS124)</f>
        <v>6.7114093959731542E-3</v>
      </c>
      <c r="CV120" s="84">
        <f t="shared" si="158"/>
        <v>0</v>
      </c>
      <c r="CW120" s="28" t="str">
        <f>IF(AND(CV4=0,CV120&gt;=0), "",CV120/CV4)</f>
        <v/>
      </c>
      <c r="CX120" s="42">
        <f t="shared" si="131"/>
        <v>1</v>
      </c>
    </row>
    <row r="121" spans="1:102" hidden="1" outlineLevel="1" x14ac:dyDescent="0.25">
      <c r="A121" s="27" t="s">
        <v>98</v>
      </c>
      <c r="B121" s="82">
        <f>+'N EERR'!B198</f>
        <v>0</v>
      </c>
      <c r="C121" s="28" t="str">
        <f>IF(AND(B4=0,B121&gt;=0), "",B121/B4)</f>
        <v/>
      </c>
      <c r="D121" s="42" t="str">
        <f>IF(AND(B124=0,B121&gt;=0),"",B121/B124)</f>
        <v/>
      </c>
      <c r="E121" s="82">
        <f>+'N EERR'!C198</f>
        <v>10</v>
      </c>
      <c r="F121" s="28">
        <f>IF(AND(E4=0,E121&gt;=0), "",E121/E4)</f>
        <v>7.246376811594203E-4</v>
      </c>
      <c r="G121" s="42">
        <f>IF(AND(E124=0,E121&gt;=0),"",E121/E124)</f>
        <v>6.7114093959731542E-3</v>
      </c>
      <c r="H121" s="82">
        <f>+'N EERR'!D198</f>
        <v>0</v>
      </c>
      <c r="I121" s="28" t="str">
        <f>IF(AND(H4=0,H121&gt;=0), "",H121/H4)</f>
        <v/>
      </c>
      <c r="J121" s="42" t="str">
        <f>IF(AND(H124=0,H121&gt;=0),"",H121/H124)</f>
        <v/>
      </c>
      <c r="K121" s="28">
        <f t="shared" si="138"/>
        <v>-1</v>
      </c>
      <c r="L121" s="83">
        <f t="shared" si="146"/>
        <v>10</v>
      </c>
      <c r="M121" s="28">
        <f>IF(AND(L4=0,L121&gt;=0), "",L121/L4)</f>
        <v>7.246376811594203E-4</v>
      </c>
      <c r="N121" s="42">
        <f>IF(AND(L124=0,L121&gt;=0),"",L121/L124)</f>
        <v>6.7114093959731542E-3</v>
      </c>
      <c r="O121" s="82">
        <f>+'N EERR'!E198</f>
        <v>0</v>
      </c>
      <c r="P121" s="28" t="str">
        <f>IF(AND(O4=0,O121&gt;=0), "",O121/O4)</f>
        <v/>
      </c>
      <c r="Q121" s="42" t="str">
        <f>IF(AND(O124=0,O121&gt;=0),"",O121/O124)</f>
        <v/>
      </c>
      <c r="R121" s="28" t="str">
        <f t="shared" si="139"/>
        <v/>
      </c>
      <c r="S121" s="83">
        <f t="shared" si="147"/>
        <v>10</v>
      </c>
      <c r="T121" s="28">
        <f>IF(AND(S4=0,S121&gt;=0), "",S121/S4)</f>
        <v>7.246376811594203E-4</v>
      </c>
      <c r="U121" s="42">
        <f>IF(AND(S124=0,S121&gt;=0),"",S121/S124)</f>
        <v>6.7114093959731542E-3</v>
      </c>
      <c r="V121" s="84"/>
      <c r="W121" s="28" t="str">
        <f>IF(AND(V4=0,V121&gt;=0), "",V121/V4)</f>
        <v/>
      </c>
      <c r="X121" s="42">
        <f t="shared" si="140"/>
        <v>1</v>
      </c>
      <c r="Y121" s="82">
        <f>+'N EERR'!F198</f>
        <v>0</v>
      </c>
      <c r="Z121" s="28" t="str">
        <f>IF(AND(Y4=0,Y121&gt;=0), "",Y121/Y4)</f>
        <v/>
      </c>
      <c r="AA121" s="42" t="str">
        <f>IF(AND(Y124=0,Y121&gt;=0),"",Y121/Y124)</f>
        <v/>
      </c>
      <c r="AB121" s="28" t="str">
        <f t="shared" si="141"/>
        <v/>
      </c>
      <c r="AC121" s="83">
        <f t="shared" si="148"/>
        <v>10</v>
      </c>
      <c r="AD121" s="28">
        <f>IF(AND(AC4=0,AC121&gt;=0), "",AC121/AC4)</f>
        <v>7.246376811594203E-4</v>
      </c>
      <c r="AE121" s="42">
        <f>IF(AND(AC124=0,AC121&gt;=0),"",AC121/AC124)</f>
        <v>6.7114093959731542E-3</v>
      </c>
      <c r="AF121" s="82">
        <f>+'N EERR'!G198</f>
        <v>0</v>
      </c>
      <c r="AG121" s="28" t="str">
        <f>IF(AND(AF4=0,AF121&gt;=0), "",AF121/AF4)</f>
        <v/>
      </c>
      <c r="AH121" s="42" t="str">
        <f>IF(AND(AF124=0,AF121&gt;=0),"",AF121/AF124)</f>
        <v/>
      </c>
      <c r="AI121" s="28" t="str">
        <f t="shared" si="124"/>
        <v/>
      </c>
      <c r="AJ121" s="83">
        <f t="shared" si="95"/>
        <v>10</v>
      </c>
      <c r="AK121" s="28">
        <f>IF(AND(AJ4=0,AJ121&gt;=0), "",AJ121/AJ4)</f>
        <v>7.246376811594203E-4</v>
      </c>
      <c r="AL121" s="42">
        <f>IF(AND(AJ124=0,AJ121&gt;=0),"",AJ121/AJ124)</f>
        <v>6.7114093959731542E-3</v>
      </c>
      <c r="AM121" s="82">
        <f>+'N EERR'!H198</f>
        <v>0</v>
      </c>
      <c r="AN121" s="28" t="str">
        <f>IF(AND(AM4=0,AM121&gt;=0), "",AM121/AM4)</f>
        <v/>
      </c>
      <c r="AO121" s="42" t="str">
        <f>IF(AND(AM124=0,AM121&gt;=0),"",AM121/AM124)</f>
        <v/>
      </c>
      <c r="AP121" s="28" t="str">
        <f t="shared" si="125"/>
        <v/>
      </c>
      <c r="AQ121" s="83">
        <f t="shared" si="96"/>
        <v>10</v>
      </c>
      <c r="AR121" s="28">
        <f>IF(AND(AQ4=0,AQ121&gt;=0), "",AQ121/AQ4)</f>
        <v>7.246376811594203E-4</v>
      </c>
      <c r="AS121" s="42">
        <f>IF(AND(AQ124=0,AQ121&gt;=0),"",AQ121/AQ124)</f>
        <v>6.7114093959731542E-3</v>
      </c>
      <c r="AT121" s="84">
        <f t="shared" si="149"/>
        <v>0</v>
      </c>
      <c r="AU121" s="28" t="str">
        <f>IF(AND(AT4=0,AT121&gt;=0), "",AT121/AT4)</f>
        <v/>
      </c>
      <c r="AV121" s="42">
        <f t="shared" si="142"/>
        <v>1</v>
      </c>
      <c r="AW121" s="84">
        <f t="shared" si="159"/>
        <v>1.6666666666666667</v>
      </c>
      <c r="AX121" s="28">
        <f>IF(AND(AW4=0,AW121&gt;=0), "",AW121/AW4)</f>
        <v>7.2463768115942019E-4</v>
      </c>
      <c r="AY121" s="42">
        <f>IF(AND(AW124=0,AW121&gt;=0),"",AW121/AW124)</f>
        <v>6.7114093959731542E-3</v>
      </c>
      <c r="AZ121" s="84">
        <f t="shared" si="150"/>
        <v>0</v>
      </c>
      <c r="BA121" s="28" t="str">
        <f>IF(AND(AZ4=0,AZ121&gt;=0), "",AZ121/AZ4)</f>
        <v/>
      </c>
      <c r="BB121" s="42">
        <f t="shared" si="143"/>
        <v>1</v>
      </c>
      <c r="BC121" s="82">
        <f>+'N EERR'!I198</f>
        <v>0</v>
      </c>
      <c r="BD121" s="28" t="str">
        <f>IF(AND(BC4=0,BC121&gt;=0), "",BC121/BC4)</f>
        <v/>
      </c>
      <c r="BE121" s="42" t="str">
        <f>IF(AND(BC124=0,BC121&gt;=0),"",BC121/BC124)</f>
        <v/>
      </c>
      <c r="BF121" s="28" t="str">
        <f t="shared" si="144"/>
        <v/>
      </c>
      <c r="BG121" s="83">
        <f t="shared" si="151"/>
        <v>10</v>
      </c>
      <c r="BH121" s="28">
        <f>IF(AND(BG4=0,BG121&gt;=0), "",BG121/BG4)</f>
        <v>7.246376811594203E-4</v>
      </c>
      <c r="BI121" s="42">
        <f>IF(AND(BG124=0,BG121&gt;=0),"",BG121/BG124)</f>
        <v>6.7114093959731542E-3</v>
      </c>
      <c r="BJ121" s="82">
        <f>+'N EERR'!J198</f>
        <v>0</v>
      </c>
      <c r="BK121" s="28" t="str">
        <f>IF(AND(BJ4=0,BJ121&gt;=0), "",BJ121/BJ4)</f>
        <v/>
      </c>
      <c r="BL121" s="42" t="str">
        <f>IF(AND(BJ124=0,BJ121&gt;=0),"",BJ121/BJ124)</f>
        <v/>
      </c>
      <c r="BM121" s="28" t="str">
        <f t="shared" si="126"/>
        <v/>
      </c>
      <c r="BN121" s="83">
        <f t="shared" si="152"/>
        <v>10</v>
      </c>
      <c r="BO121" s="28">
        <f>IF(AND(BN4=0,BN121&gt;=0), "",BN121/BN4)</f>
        <v>7.246376811594203E-4</v>
      </c>
      <c r="BP121" s="42">
        <f>IF(AND(BN124=0,BN121&gt;=0),"",BN121/BN124)</f>
        <v>6.7114093959731542E-3</v>
      </c>
      <c r="BQ121" s="82">
        <f>+'N EERR'!K198</f>
        <v>0</v>
      </c>
      <c r="BR121" s="28" t="str">
        <f>IF(AND(BQ4=0,BQ121&gt;=0), "",BQ121/BQ4)</f>
        <v/>
      </c>
      <c r="BS121" s="42" t="str">
        <f>IF(AND(BQ124=0,BQ121&gt;=0),"",BQ121/BQ124)</f>
        <v/>
      </c>
      <c r="BT121" s="28" t="str">
        <f t="shared" si="127"/>
        <v/>
      </c>
      <c r="BU121" s="83">
        <f t="shared" si="153"/>
        <v>10</v>
      </c>
      <c r="BV121" s="28">
        <f>IF(AND(BU4=0,BU121&gt;=0), "",BU121/BU4)</f>
        <v>7.246376811594203E-4</v>
      </c>
      <c r="BW121" s="42">
        <f>IF(AND(BU124=0,BU121&gt;=0),"",BU121/BU124)</f>
        <v>6.7114093959731542E-3</v>
      </c>
      <c r="BX121" s="84">
        <f t="shared" si="154"/>
        <v>0</v>
      </c>
      <c r="BY121" s="28" t="str">
        <f>IF(AND(BX4=0,BX121&gt;=0), "",BX121/BX4)</f>
        <v/>
      </c>
      <c r="BZ121" s="42">
        <f t="shared" si="128"/>
        <v>1</v>
      </c>
      <c r="CA121" s="82">
        <f>+'N EERR'!L198</f>
        <v>0</v>
      </c>
      <c r="CB121" s="28" t="str">
        <f>IF(AND(CA4=0,CA121&gt;=0), "",CA121/CA4)</f>
        <v/>
      </c>
      <c r="CC121" s="42" t="str">
        <f>IF(AND(CA124=0,CA121&gt;=0),"",CA121/CA124)</f>
        <v/>
      </c>
      <c r="CD121" s="28" t="str">
        <f t="shared" si="145"/>
        <v/>
      </c>
      <c r="CE121" s="83">
        <f t="shared" si="155"/>
        <v>10</v>
      </c>
      <c r="CF121" s="28">
        <f>IF(AND(CE4=0,CE121&gt;=0), "",CE121/CE4)</f>
        <v>7.246376811594203E-4</v>
      </c>
      <c r="CG121" s="42">
        <f>IF(AND(CE124=0,CE121&gt;=0),"",CE121/CE124)</f>
        <v>6.7114093959731542E-3</v>
      </c>
      <c r="CH121" s="82">
        <f>+'N EERR'!M198</f>
        <v>0</v>
      </c>
      <c r="CI121" s="28" t="str">
        <f>IF(AND(CH4=0,CH121&gt;=0), "",CH121/CH4)</f>
        <v/>
      </c>
      <c r="CJ121" s="42" t="str">
        <f>IF(AND(CH124=0,CH121&gt;=0),"",CH121/CH124)</f>
        <v/>
      </c>
      <c r="CK121" s="28" t="str">
        <f t="shared" si="129"/>
        <v/>
      </c>
      <c r="CL121" s="83">
        <f t="shared" si="156"/>
        <v>10</v>
      </c>
      <c r="CM121" s="28">
        <f>IF(AND(CL4=0,CL121&gt;=0), "",CL121/CL4)</f>
        <v>7.246376811594203E-4</v>
      </c>
      <c r="CN121" s="42">
        <f>IF(AND(CL124=0,CL121&gt;=0),"",CL121/CL124)</f>
        <v>6.7114093959731542E-3</v>
      </c>
      <c r="CO121" s="82">
        <f>+'N EERR'!N198</f>
        <v>0</v>
      </c>
      <c r="CP121" s="28" t="str">
        <f>IF(AND(CO4=0,CO121&gt;=0), "",CO121/CO4)</f>
        <v/>
      </c>
      <c r="CQ121" s="42" t="str">
        <f>IF(AND(CO124=0,CO121&gt;=0),"",CO121/CO124)</f>
        <v/>
      </c>
      <c r="CR121" s="28" t="str">
        <f t="shared" si="130"/>
        <v/>
      </c>
      <c r="CS121" s="83">
        <f t="shared" si="157"/>
        <v>10</v>
      </c>
      <c r="CT121" s="28">
        <f>IF(AND(CS4=0,CS121&gt;=0), "",CS121/CS4)</f>
        <v>7.246376811594203E-4</v>
      </c>
      <c r="CU121" s="42">
        <f>IF(AND(CS124=0,CS121&gt;=0),"",CS121/CS124)</f>
        <v>6.7114093959731542E-3</v>
      </c>
      <c r="CV121" s="84">
        <f t="shared" si="158"/>
        <v>0</v>
      </c>
      <c r="CW121" s="28" t="str">
        <f>IF(AND(CV4=0,CV121&gt;=0), "",CV121/CV4)</f>
        <v/>
      </c>
      <c r="CX121" s="42">
        <f t="shared" si="131"/>
        <v>1</v>
      </c>
    </row>
    <row r="122" spans="1:102" hidden="1" outlineLevel="1" x14ac:dyDescent="0.25">
      <c r="A122" s="27" t="s">
        <v>32</v>
      </c>
      <c r="B122" s="82">
        <f>+'N EERR'!B199</f>
        <v>0</v>
      </c>
      <c r="C122" s="28" t="str">
        <f>IF(AND(B4=0,B122&gt;=0), "",B122/B4)</f>
        <v/>
      </c>
      <c r="D122" s="42" t="str">
        <f>IF(AND(B124=0,B122&gt;=0),"",B122/B124)</f>
        <v/>
      </c>
      <c r="E122" s="82">
        <f>+'N EERR'!C199</f>
        <v>10</v>
      </c>
      <c r="F122" s="28">
        <f>IF(AND(E4=0,E122&gt;=0), "",E122/E4)</f>
        <v>7.246376811594203E-4</v>
      </c>
      <c r="G122" s="42">
        <f>IF(AND(E124=0,E122&gt;=0),"",E122/E124)</f>
        <v>6.7114093959731542E-3</v>
      </c>
      <c r="H122" s="82">
        <f>+'N EERR'!D199</f>
        <v>0</v>
      </c>
      <c r="I122" s="28" t="str">
        <f>IF(AND(H4=0,H122&gt;=0), "",H122/H4)</f>
        <v/>
      </c>
      <c r="J122" s="42" t="str">
        <f>IF(AND(H124=0,H122&gt;=0),"",H122/H124)</f>
        <v/>
      </c>
      <c r="K122" s="28">
        <f t="shared" si="138"/>
        <v>-1</v>
      </c>
      <c r="L122" s="83">
        <f t="shared" si="146"/>
        <v>10</v>
      </c>
      <c r="M122" s="28">
        <f>IF(AND(L4=0,L122&gt;=0), "",L122/L4)</f>
        <v>7.246376811594203E-4</v>
      </c>
      <c r="N122" s="42">
        <f>IF(AND(L124=0,L122&gt;=0),"",L122/L124)</f>
        <v>6.7114093959731542E-3</v>
      </c>
      <c r="O122" s="82">
        <f>+'N EERR'!E199</f>
        <v>0</v>
      </c>
      <c r="P122" s="28" t="str">
        <f>IF(AND(O4=0,O122&gt;=0), "",O122/O4)</f>
        <v/>
      </c>
      <c r="Q122" s="42" t="str">
        <f>IF(AND(O124=0,O122&gt;=0),"",O122/O124)</f>
        <v/>
      </c>
      <c r="R122" s="28" t="str">
        <f t="shared" si="139"/>
        <v/>
      </c>
      <c r="S122" s="83">
        <f t="shared" si="147"/>
        <v>10</v>
      </c>
      <c r="T122" s="28">
        <f>IF(AND(S4=0,S122&gt;=0), "",S122/S4)</f>
        <v>7.246376811594203E-4</v>
      </c>
      <c r="U122" s="42">
        <f>IF(AND(S124=0,S122&gt;=0),"",S122/S124)</f>
        <v>6.7114093959731542E-3</v>
      </c>
      <c r="V122" s="84"/>
      <c r="W122" s="28" t="str">
        <f>IF(AND(V4=0,V122&gt;=0), "",V122/V4)</f>
        <v/>
      </c>
      <c r="X122" s="42">
        <f t="shared" si="140"/>
        <v>1</v>
      </c>
      <c r="Y122" s="82">
        <f>+'N EERR'!F199</f>
        <v>0</v>
      </c>
      <c r="Z122" s="28" t="str">
        <f>IF(AND(Y4=0,Y122&gt;=0), "",Y122/Y4)</f>
        <v/>
      </c>
      <c r="AA122" s="42" t="str">
        <f>IF(AND(Y124=0,Y122&gt;=0),"",Y122/Y124)</f>
        <v/>
      </c>
      <c r="AB122" s="28" t="str">
        <f t="shared" si="141"/>
        <v/>
      </c>
      <c r="AC122" s="83">
        <f t="shared" si="148"/>
        <v>10</v>
      </c>
      <c r="AD122" s="28">
        <f>IF(AND(AC4=0,AC122&gt;=0), "",AC122/AC4)</f>
        <v>7.246376811594203E-4</v>
      </c>
      <c r="AE122" s="42">
        <f>IF(AND(AC124=0,AC122&gt;=0),"",AC122/AC124)</f>
        <v>6.7114093959731542E-3</v>
      </c>
      <c r="AF122" s="82">
        <f>+'N EERR'!G199</f>
        <v>0</v>
      </c>
      <c r="AG122" s="28" t="str">
        <f>IF(AND(AF4=0,AF122&gt;=0), "",AF122/AF4)</f>
        <v/>
      </c>
      <c r="AH122" s="42" t="str">
        <f>IF(AND(AF124=0,AF122&gt;=0),"",AF122/AF124)</f>
        <v/>
      </c>
      <c r="AI122" s="28" t="str">
        <f t="shared" si="124"/>
        <v/>
      </c>
      <c r="AJ122" s="83">
        <f t="shared" si="95"/>
        <v>10</v>
      </c>
      <c r="AK122" s="28">
        <f>IF(AND(AJ4=0,AJ122&gt;=0), "",AJ122/AJ4)</f>
        <v>7.246376811594203E-4</v>
      </c>
      <c r="AL122" s="42">
        <f>IF(AND(AJ124=0,AJ122&gt;=0),"",AJ122/AJ124)</f>
        <v>6.7114093959731542E-3</v>
      </c>
      <c r="AM122" s="82">
        <f>+'N EERR'!H199</f>
        <v>0</v>
      </c>
      <c r="AN122" s="28" t="str">
        <f>IF(AND(AM4=0,AM122&gt;=0), "",AM122/AM4)</f>
        <v/>
      </c>
      <c r="AO122" s="42" t="str">
        <f>IF(AND(AM124=0,AM122&gt;=0),"",AM122/AM124)</f>
        <v/>
      </c>
      <c r="AP122" s="28" t="str">
        <f t="shared" si="125"/>
        <v/>
      </c>
      <c r="AQ122" s="83">
        <f t="shared" si="96"/>
        <v>10</v>
      </c>
      <c r="AR122" s="28">
        <f>IF(AND(AQ4=0,AQ122&gt;=0), "",AQ122/AQ4)</f>
        <v>7.246376811594203E-4</v>
      </c>
      <c r="AS122" s="42">
        <f>IF(AND(AQ124=0,AQ122&gt;=0),"",AQ122/AQ124)</f>
        <v>6.7114093959731542E-3</v>
      </c>
      <c r="AT122" s="84">
        <f t="shared" si="149"/>
        <v>0</v>
      </c>
      <c r="AU122" s="28" t="str">
        <f>IF(AND(AT4=0,AT122&gt;=0), "",AT122/AT4)</f>
        <v/>
      </c>
      <c r="AV122" s="42">
        <f t="shared" si="142"/>
        <v>1</v>
      </c>
      <c r="AW122" s="84">
        <f t="shared" si="159"/>
        <v>1.6666666666666667</v>
      </c>
      <c r="AX122" s="28">
        <f>IF(AND(AW4=0,AW122&gt;=0), "",AW122/AW4)</f>
        <v>7.2463768115942019E-4</v>
      </c>
      <c r="AY122" s="42">
        <f>IF(AND(AW124=0,AW122&gt;=0),"",AW122/AW124)</f>
        <v>6.7114093959731542E-3</v>
      </c>
      <c r="AZ122" s="84">
        <f t="shared" si="150"/>
        <v>0</v>
      </c>
      <c r="BA122" s="28" t="str">
        <f>IF(AND(AZ4=0,AZ122&gt;=0), "",AZ122/AZ4)</f>
        <v/>
      </c>
      <c r="BB122" s="42">
        <f t="shared" si="143"/>
        <v>1</v>
      </c>
      <c r="BC122" s="82">
        <f>+'N EERR'!I199</f>
        <v>0</v>
      </c>
      <c r="BD122" s="28" t="str">
        <f>IF(AND(BC4=0,BC122&gt;=0), "",BC122/BC4)</f>
        <v/>
      </c>
      <c r="BE122" s="42" t="str">
        <f>IF(AND(BC124=0,BC122&gt;=0),"",BC122/BC124)</f>
        <v/>
      </c>
      <c r="BF122" s="28" t="str">
        <f t="shared" si="144"/>
        <v/>
      </c>
      <c r="BG122" s="83">
        <f t="shared" si="151"/>
        <v>10</v>
      </c>
      <c r="BH122" s="28">
        <f>IF(AND(BG4=0,BG122&gt;=0), "",BG122/BG4)</f>
        <v>7.246376811594203E-4</v>
      </c>
      <c r="BI122" s="42">
        <f>IF(AND(BG124=0,BG122&gt;=0),"",BG122/BG124)</f>
        <v>6.7114093959731542E-3</v>
      </c>
      <c r="BJ122" s="82">
        <f>+'N EERR'!J199</f>
        <v>0</v>
      </c>
      <c r="BK122" s="28" t="str">
        <f>IF(AND(BJ4=0,BJ122&gt;=0), "",BJ122/BJ4)</f>
        <v/>
      </c>
      <c r="BL122" s="42" t="str">
        <f>IF(AND(BJ124=0,BJ122&gt;=0),"",BJ122/BJ124)</f>
        <v/>
      </c>
      <c r="BM122" s="28" t="str">
        <f t="shared" si="126"/>
        <v/>
      </c>
      <c r="BN122" s="83">
        <f t="shared" si="152"/>
        <v>10</v>
      </c>
      <c r="BO122" s="28">
        <f>IF(AND(BN4=0,BN122&gt;=0), "",BN122/BN4)</f>
        <v>7.246376811594203E-4</v>
      </c>
      <c r="BP122" s="42">
        <f>IF(AND(BN124=0,BN122&gt;=0),"",BN122/BN124)</f>
        <v>6.7114093959731542E-3</v>
      </c>
      <c r="BQ122" s="82">
        <f>+'N EERR'!K199</f>
        <v>0</v>
      </c>
      <c r="BR122" s="28" t="str">
        <f>IF(AND(BQ4=0,BQ122&gt;=0), "",BQ122/BQ4)</f>
        <v/>
      </c>
      <c r="BS122" s="42" t="str">
        <f>IF(AND(BQ124=0,BQ122&gt;=0),"",BQ122/BQ124)</f>
        <v/>
      </c>
      <c r="BT122" s="28" t="str">
        <f t="shared" si="127"/>
        <v/>
      </c>
      <c r="BU122" s="83">
        <f t="shared" si="153"/>
        <v>10</v>
      </c>
      <c r="BV122" s="28">
        <f>IF(AND(BU4=0,BU122&gt;=0), "",BU122/BU4)</f>
        <v>7.246376811594203E-4</v>
      </c>
      <c r="BW122" s="42">
        <f>IF(AND(BU124=0,BU122&gt;=0),"",BU122/BU124)</f>
        <v>6.7114093959731542E-3</v>
      </c>
      <c r="BX122" s="84">
        <f t="shared" si="154"/>
        <v>0</v>
      </c>
      <c r="BY122" s="28" t="str">
        <f>IF(AND(BX4=0,BX122&gt;=0), "",BX122/BX4)</f>
        <v/>
      </c>
      <c r="BZ122" s="42">
        <f t="shared" si="128"/>
        <v>1</v>
      </c>
      <c r="CA122" s="82">
        <f>+'N EERR'!L199</f>
        <v>0</v>
      </c>
      <c r="CB122" s="28" t="str">
        <f>IF(AND(CA4=0,CA122&gt;=0), "",CA122/CA4)</f>
        <v/>
      </c>
      <c r="CC122" s="42" t="str">
        <f>IF(AND(CA124=0,CA122&gt;=0),"",CA122/CA124)</f>
        <v/>
      </c>
      <c r="CD122" s="28" t="str">
        <f t="shared" si="145"/>
        <v/>
      </c>
      <c r="CE122" s="83">
        <f t="shared" si="155"/>
        <v>10</v>
      </c>
      <c r="CF122" s="28">
        <f>IF(AND(CE4=0,CE122&gt;=0), "",CE122/CE4)</f>
        <v>7.246376811594203E-4</v>
      </c>
      <c r="CG122" s="42">
        <f>IF(AND(CE124=0,CE122&gt;=0),"",CE122/CE124)</f>
        <v>6.7114093959731542E-3</v>
      </c>
      <c r="CH122" s="82">
        <f>+'N EERR'!M199</f>
        <v>0</v>
      </c>
      <c r="CI122" s="28" t="str">
        <f>IF(AND(CH4=0,CH122&gt;=0), "",CH122/CH4)</f>
        <v/>
      </c>
      <c r="CJ122" s="42" t="str">
        <f>IF(AND(CH124=0,CH122&gt;=0),"",CH122/CH124)</f>
        <v/>
      </c>
      <c r="CK122" s="28" t="str">
        <f t="shared" si="129"/>
        <v/>
      </c>
      <c r="CL122" s="83">
        <f t="shared" si="156"/>
        <v>10</v>
      </c>
      <c r="CM122" s="28">
        <f>IF(AND(CL4=0,CL122&gt;=0), "",CL122/CL4)</f>
        <v>7.246376811594203E-4</v>
      </c>
      <c r="CN122" s="42">
        <f>IF(AND(CL124=0,CL122&gt;=0),"",CL122/CL124)</f>
        <v>6.7114093959731542E-3</v>
      </c>
      <c r="CO122" s="82">
        <f>+'N EERR'!N199</f>
        <v>0</v>
      </c>
      <c r="CP122" s="28" t="str">
        <f>IF(AND(CO4=0,CO122&gt;=0), "",CO122/CO4)</f>
        <v/>
      </c>
      <c r="CQ122" s="42" t="str">
        <f>IF(AND(CO124=0,CO122&gt;=0),"",CO122/CO124)</f>
        <v/>
      </c>
      <c r="CR122" s="28" t="str">
        <f t="shared" si="130"/>
        <v/>
      </c>
      <c r="CS122" s="83">
        <f t="shared" si="157"/>
        <v>10</v>
      </c>
      <c r="CT122" s="28">
        <f>IF(AND(CS4=0,CS122&gt;=0), "",CS122/CS4)</f>
        <v>7.246376811594203E-4</v>
      </c>
      <c r="CU122" s="42">
        <f>IF(AND(CS124=0,CS122&gt;=0),"",CS122/CS124)</f>
        <v>6.7114093959731542E-3</v>
      </c>
      <c r="CV122" s="84">
        <f t="shared" si="158"/>
        <v>0</v>
      </c>
      <c r="CW122" s="28" t="str">
        <f>IF(AND(CV4=0,CV122&gt;=0), "",CV122/CV4)</f>
        <v/>
      </c>
      <c r="CX122" s="42">
        <f t="shared" si="131"/>
        <v>1</v>
      </c>
    </row>
    <row r="123" spans="1:102" hidden="1" outlineLevel="1" x14ac:dyDescent="0.25">
      <c r="A123" s="27" t="s">
        <v>360</v>
      </c>
      <c r="B123" s="82">
        <f>+'N EERR'!B200+'N EERR'!B201</f>
        <v>0</v>
      </c>
      <c r="C123" s="28" t="str">
        <f>IF(AND(B4=0,B123&gt;=0), "",B123/B4)</f>
        <v/>
      </c>
      <c r="D123" s="42" t="str">
        <f>IF(AND(B124=0,B123&gt;=0),"",B123/B124)</f>
        <v/>
      </c>
      <c r="E123" s="82">
        <f>+'N EERR'!C200+'N EERR'!C201</f>
        <v>20</v>
      </c>
      <c r="F123" s="28">
        <f>IF(AND(E4=0,E123&gt;=0), "",E123/E4)</f>
        <v>1.4492753623188406E-3</v>
      </c>
      <c r="G123" s="42">
        <f>IF(AND(E124=0,E123&gt;=0),"",E123/E124)</f>
        <v>1.3422818791946308E-2</v>
      </c>
      <c r="H123" s="82">
        <f>+'N EERR'!D200+'N EERR'!D201</f>
        <v>0</v>
      </c>
      <c r="I123" s="28" t="str">
        <f>IF(AND(H4=0,H123&gt;=0), "",H123/H4)</f>
        <v/>
      </c>
      <c r="J123" s="42" t="str">
        <f>IF(AND(H124=0,H123&gt;=0),"",H123/H124)</f>
        <v/>
      </c>
      <c r="K123" s="28">
        <f t="shared" si="138"/>
        <v>-1</v>
      </c>
      <c r="L123" s="83">
        <f t="shared" si="146"/>
        <v>20</v>
      </c>
      <c r="M123" s="28">
        <f>IF(AND(L4=0,L123&gt;=0), "",L123/L4)</f>
        <v>1.4492753623188406E-3</v>
      </c>
      <c r="N123" s="42">
        <f>IF(AND(L124=0,L123&gt;=0),"",L123/L124)</f>
        <v>1.3422818791946308E-2</v>
      </c>
      <c r="O123" s="82">
        <f>+'N EERR'!E200+'N EERR'!E201</f>
        <v>0</v>
      </c>
      <c r="P123" s="28" t="str">
        <f>IF(AND(O4=0,O123&gt;=0), "",O123/O4)</f>
        <v/>
      </c>
      <c r="Q123" s="42" t="str">
        <f>IF(AND(O124=0,O123&gt;=0),"",O123/O124)</f>
        <v/>
      </c>
      <c r="R123" s="28" t="str">
        <f t="shared" si="139"/>
        <v/>
      </c>
      <c r="S123" s="83">
        <f t="shared" si="147"/>
        <v>20</v>
      </c>
      <c r="T123" s="28">
        <f>IF(AND(S4=0,S123&gt;=0), "",S123/S4)</f>
        <v>1.4492753623188406E-3</v>
      </c>
      <c r="U123" s="42">
        <f>IF(AND(S124=0,S123&gt;=0),"",S123/S124)</f>
        <v>1.3422818791946308E-2</v>
      </c>
      <c r="V123" s="84"/>
      <c r="W123" s="28" t="str">
        <f>IF(AND(V4=0,V123&gt;=0), "",V123/V4)</f>
        <v/>
      </c>
      <c r="X123" s="42">
        <f t="shared" si="140"/>
        <v>1</v>
      </c>
      <c r="Y123" s="82">
        <f>+'N EERR'!F200+'N EERR'!F201</f>
        <v>0</v>
      </c>
      <c r="Z123" s="28" t="str">
        <f>IF(AND(Y4=0,Y123&gt;=0), "",Y123/Y4)</f>
        <v/>
      </c>
      <c r="AA123" s="42" t="str">
        <f>IF(AND(Y124=0,Y123&gt;=0),"",Y123/Y124)</f>
        <v/>
      </c>
      <c r="AB123" s="28" t="str">
        <f t="shared" si="141"/>
        <v/>
      </c>
      <c r="AC123" s="83">
        <f t="shared" si="148"/>
        <v>20</v>
      </c>
      <c r="AD123" s="28">
        <f>IF(AND(AC4=0,AC123&gt;=0), "",AC123/AC4)</f>
        <v>1.4492753623188406E-3</v>
      </c>
      <c r="AE123" s="42">
        <f>IF(AND(AC124=0,AC123&gt;=0),"",AC123/AC124)</f>
        <v>1.3422818791946308E-2</v>
      </c>
      <c r="AF123" s="82">
        <f>+'N EERR'!G200+'N EERR'!G201</f>
        <v>0</v>
      </c>
      <c r="AG123" s="28" t="str">
        <f>IF(AND(AF4=0,AF123&gt;=0), "",AF123/AF4)</f>
        <v/>
      </c>
      <c r="AH123" s="42" t="str">
        <f>IF(AND(AF124=0,AF123&gt;=0),"",AF123/AF124)</f>
        <v/>
      </c>
      <c r="AI123" s="28" t="str">
        <f t="shared" si="124"/>
        <v/>
      </c>
      <c r="AJ123" s="83">
        <f t="shared" si="95"/>
        <v>20</v>
      </c>
      <c r="AK123" s="28">
        <f>IF(AND(AJ4=0,AJ123&gt;=0), "",AJ123/AJ4)</f>
        <v>1.4492753623188406E-3</v>
      </c>
      <c r="AL123" s="42">
        <f>IF(AND(AJ124=0,AJ123&gt;=0),"",AJ123/AJ124)</f>
        <v>1.3422818791946308E-2</v>
      </c>
      <c r="AM123" s="82">
        <f>+'N EERR'!H200+'N EERR'!H201</f>
        <v>0</v>
      </c>
      <c r="AN123" s="28" t="str">
        <f>IF(AND(AM4=0,AM123&gt;=0), "",AM123/AM4)</f>
        <v/>
      </c>
      <c r="AO123" s="42" t="str">
        <f>IF(AND(AM124=0,AM123&gt;=0),"",AM123/AM124)</f>
        <v/>
      </c>
      <c r="AP123" s="28" t="str">
        <f t="shared" si="125"/>
        <v/>
      </c>
      <c r="AQ123" s="83">
        <f t="shared" si="96"/>
        <v>20</v>
      </c>
      <c r="AR123" s="28">
        <f>IF(AND(AQ4=0,AQ123&gt;=0), "",AQ123/AQ4)</f>
        <v>1.4492753623188406E-3</v>
      </c>
      <c r="AS123" s="42">
        <f>IF(AND(AQ124=0,AQ123&gt;=0),"",AQ123/AQ124)</f>
        <v>1.3422818791946308E-2</v>
      </c>
      <c r="AT123" s="84">
        <f t="shared" si="149"/>
        <v>0</v>
      </c>
      <c r="AU123" s="28" t="str">
        <f>IF(AND(AT4=0,AT123&gt;=0), "",AT123/AT4)</f>
        <v/>
      </c>
      <c r="AV123" s="42">
        <f t="shared" si="142"/>
        <v>1</v>
      </c>
      <c r="AW123" s="84">
        <f t="shared" si="159"/>
        <v>3.3333333333333335</v>
      </c>
      <c r="AX123" s="28">
        <f>IF(AND(AW4=0,AW123&gt;=0), "",AW123/AW4)</f>
        <v>1.4492753623188404E-3</v>
      </c>
      <c r="AY123" s="42">
        <f>IF(AND(AW124=0,AW123&gt;=0),"",AW123/AW124)</f>
        <v>1.3422818791946308E-2</v>
      </c>
      <c r="AZ123" s="84">
        <f t="shared" si="150"/>
        <v>0</v>
      </c>
      <c r="BA123" s="28" t="str">
        <f>IF(AND(AZ4=0,AZ123&gt;=0), "",AZ123/AZ4)</f>
        <v/>
      </c>
      <c r="BB123" s="42">
        <f t="shared" si="143"/>
        <v>1</v>
      </c>
      <c r="BC123" s="82">
        <f>+'N EERR'!I200+'N EERR'!I201</f>
        <v>0</v>
      </c>
      <c r="BD123" s="28" t="str">
        <f>IF(AND(BC4=0,BC123&gt;=0), "",BC123/BC4)</f>
        <v/>
      </c>
      <c r="BE123" s="42" t="str">
        <f>IF(AND(BC124=0,BC123&gt;=0),"",BC123/BC124)</f>
        <v/>
      </c>
      <c r="BF123" s="28" t="str">
        <f t="shared" si="144"/>
        <v/>
      </c>
      <c r="BG123" s="83">
        <f t="shared" si="151"/>
        <v>20</v>
      </c>
      <c r="BH123" s="28">
        <f>IF(AND(BG4=0,BG123&gt;=0), "",BG123/BG4)</f>
        <v>1.4492753623188406E-3</v>
      </c>
      <c r="BI123" s="42">
        <f>IF(AND(BG124=0,BG123&gt;=0),"",BG123/BG124)</f>
        <v>1.3422818791946308E-2</v>
      </c>
      <c r="BJ123" s="82">
        <f>+'N EERR'!J200+'N EERR'!J201</f>
        <v>0</v>
      </c>
      <c r="BK123" s="28" t="str">
        <f>IF(AND(BJ4=0,BJ123&gt;=0), "",BJ123/BJ4)</f>
        <v/>
      </c>
      <c r="BL123" s="42" t="str">
        <f>IF(AND(BJ124=0,BJ123&gt;=0),"",BJ123/BJ124)</f>
        <v/>
      </c>
      <c r="BM123" s="28" t="str">
        <f t="shared" si="126"/>
        <v/>
      </c>
      <c r="BN123" s="83">
        <f t="shared" si="152"/>
        <v>20</v>
      </c>
      <c r="BO123" s="28">
        <f>IF(AND(BN4=0,BN123&gt;=0), "",BN123/BN4)</f>
        <v>1.4492753623188406E-3</v>
      </c>
      <c r="BP123" s="42">
        <f>IF(AND(BN124=0,BN123&gt;=0),"",BN123/BN124)</f>
        <v>1.3422818791946308E-2</v>
      </c>
      <c r="BQ123" s="82">
        <f>+'N EERR'!K200+'N EERR'!K201</f>
        <v>0</v>
      </c>
      <c r="BR123" s="28" t="str">
        <f>IF(AND(BQ4=0,BQ123&gt;=0), "",BQ123/BQ4)</f>
        <v/>
      </c>
      <c r="BS123" s="42" t="str">
        <f>IF(AND(BQ124=0,BQ123&gt;=0),"",BQ123/BQ124)</f>
        <v/>
      </c>
      <c r="BT123" s="28" t="str">
        <f t="shared" si="127"/>
        <v/>
      </c>
      <c r="BU123" s="83">
        <f t="shared" si="153"/>
        <v>20</v>
      </c>
      <c r="BV123" s="28">
        <f>IF(AND(BU4=0,BU123&gt;=0), "",BU123/BU4)</f>
        <v>1.4492753623188406E-3</v>
      </c>
      <c r="BW123" s="42">
        <f>IF(AND(BU124=0,BU123&gt;=0),"",BU123/BU124)</f>
        <v>1.3422818791946308E-2</v>
      </c>
      <c r="BX123" s="84">
        <f t="shared" si="154"/>
        <v>0</v>
      </c>
      <c r="BY123" s="28" t="str">
        <f>IF(AND(BX4=0,BX123&gt;=0), "",BX123/BX4)</f>
        <v/>
      </c>
      <c r="BZ123" s="42">
        <f t="shared" si="128"/>
        <v>1</v>
      </c>
      <c r="CA123" s="82">
        <f>+'N EERR'!L200+'N EERR'!L201</f>
        <v>0</v>
      </c>
      <c r="CB123" s="28" t="str">
        <f>IF(AND(CA4=0,CA123&gt;=0), "",CA123/CA4)</f>
        <v/>
      </c>
      <c r="CC123" s="42" t="str">
        <f>IF(AND(CA124=0,CA123&gt;=0),"",CA123/CA124)</f>
        <v/>
      </c>
      <c r="CD123" s="28" t="str">
        <f t="shared" si="145"/>
        <v/>
      </c>
      <c r="CE123" s="83">
        <f t="shared" si="155"/>
        <v>20</v>
      </c>
      <c r="CF123" s="28">
        <f>IF(AND(CE4=0,CE123&gt;=0), "",CE123/CE4)</f>
        <v>1.4492753623188406E-3</v>
      </c>
      <c r="CG123" s="42">
        <f>IF(AND(CE124=0,CE123&gt;=0),"",CE123/CE124)</f>
        <v>1.3422818791946308E-2</v>
      </c>
      <c r="CH123" s="82">
        <f>+'N EERR'!M200+'N EERR'!M201</f>
        <v>0</v>
      </c>
      <c r="CI123" s="28" t="str">
        <f>IF(AND(CH4=0,CH123&gt;=0), "",CH123/CH4)</f>
        <v/>
      </c>
      <c r="CJ123" s="42" t="str">
        <f>IF(AND(CH124=0,CH123&gt;=0),"",CH123/CH124)</f>
        <v/>
      </c>
      <c r="CK123" s="28" t="str">
        <f t="shared" si="129"/>
        <v/>
      </c>
      <c r="CL123" s="83">
        <f t="shared" si="156"/>
        <v>20</v>
      </c>
      <c r="CM123" s="28">
        <f>IF(AND(CL4=0,CL123&gt;=0), "",CL123/CL4)</f>
        <v>1.4492753623188406E-3</v>
      </c>
      <c r="CN123" s="42">
        <f>IF(AND(CL124=0,CL123&gt;=0),"",CL123/CL124)</f>
        <v>1.3422818791946308E-2</v>
      </c>
      <c r="CO123" s="82">
        <f>+'N EERR'!N200+'N EERR'!N201</f>
        <v>0</v>
      </c>
      <c r="CP123" s="28" t="str">
        <f>IF(AND(CO4=0,CO123&gt;=0), "",CO123/CO4)</f>
        <v/>
      </c>
      <c r="CQ123" s="42" t="str">
        <f>IF(AND(CO124=0,CO123&gt;=0),"",CO123/CO124)</f>
        <v/>
      </c>
      <c r="CR123" s="28" t="str">
        <f t="shared" si="130"/>
        <v/>
      </c>
      <c r="CS123" s="83">
        <f t="shared" si="157"/>
        <v>20</v>
      </c>
      <c r="CT123" s="28">
        <f>IF(AND(CS4=0,CS123&gt;=0), "",CS123/CS4)</f>
        <v>1.4492753623188406E-3</v>
      </c>
      <c r="CU123" s="42">
        <f>IF(AND(CS124=0,CS123&gt;=0),"",CS123/CS124)</f>
        <v>1.3422818791946308E-2</v>
      </c>
      <c r="CV123" s="84">
        <f t="shared" si="158"/>
        <v>0</v>
      </c>
      <c r="CW123" s="28" t="str">
        <f>IF(AND(CV4=0,CV123&gt;=0), "",CV123/CV4)</f>
        <v/>
      </c>
      <c r="CX123" s="42">
        <f t="shared" si="131"/>
        <v>1</v>
      </c>
    </row>
    <row r="124" spans="1:102" s="26" customFormat="1" ht="18" customHeight="1" collapsed="1" x14ac:dyDescent="0.25">
      <c r="A124" s="119" t="s">
        <v>103</v>
      </c>
      <c r="B124" s="120">
        <f>+B38+B116</f>
        <v>0</v>
      </c>
      <c r="C124" s="121" t="str">
        <f>IF(AND(B4=0,B124&gt;=0), "",B124/B4)</f>
        <v/>
      </c>
      <c r="D124" s="122" t="str">
        <f>IF(AND(B124=0,B124&gt;=0),"",B124/B124)</f>
        <v/>
      </c>
      <c r="E124" s="120">
        <f>+E38+E116</f>
        <v>1490</v>
      </c>
      <c r="F124" s="121">
        <f>IF(AND(E4=0,E124&gt;=0), "",E124/E4)</f>
        <v>0.10797101449275362</v>
      </c>
      <c r="G124" s="122">
        <f>IF(AND(E124=0,E124&gt;=0),"",E124/E124)</f>
        <v>1</v>
      </c>
      <c r="H124" s="120">
        <f>+H38+H116</f>
        <v>0</v>
      </c>
      <c r="I124" s="121" t="str">
        <f>IF(AND(H4=0,H124&gt;=0), "",H124/H4)</f>
        <v/>
      </c>
      <c r="J124" s="122" t="str">
        <f>IF(AND(H124=0,H124&gt;=0),"",H124/H124)</f>
        <v/>
      </c>
      <c r="K124" s="121">
        <f t="shared" si="138"/>
        <v>-1</v>
      </c>
      <c r="L124" s="123">
        <f>+L38+L116</f>
        <v>1490</v>
      </c>
      <c r="M124" s="121">
        <f>IF(AND(L4=0,L124&gt;=0), "",L124/L4)</f>
        <v>0.10797101449275362</v>
      </c>
      <c r="N124" s="122">
        <f>IF(AND(L124=0,L124&gt;=0),"",L124/L124)</f>
        <v>1</v>
      </c>
      <c r="O124" s="120">
        <f>+O38+O116</f>
        <v>0</v>
      </c>
      <c r="P124" s="121" t="str">
        <f>IF(AND(O4=0,O124&gt;=0), "",O124/O4)</f>
        <v/>
      </c>
      <c r="Q124" s="122" t="str">
        <f>IF(AND(O124=0,O124&gt;=0),"",O124/O124)</f>
        <v/>
      </c>
      <c r="R124" s="121" t="str">
        <f t="shared" si="139"/>
        <v/>
      </c>
      <c r="S124" s="123">
        <f>+S38+S116</f>
        <v>1490</v>
      </c>
      <c r="T124" s="121">
        <f>IF(AND(S4=0,S124&gt;=0), "",S124/S4)</f>
        <v>0.10797101449275362</v>
      </c>
      <c r="U124" s="122">
        <f>IF(AND(S124=0,S124&gt;=0),"",S124/S124)</f>
        <v>1</v>
      </c>
      <c r="V124" s="124">
        <f>+V38+V116</f>
        <v>0</v>
      </c>
      <c r="W124" s="121" t="str">
        <f>IF(AND(V4=0,V124&gt;=0), "",V124/V4)</f>
        <v/>
      </c>
      <c r="X124" s="122">
        <f t="shared" si="140"/>
        <v>1</v>
      </c>
      <c r="Y124" s="120">
        <f>+Y38+Y116</f>
        <v>0</v>
      </c>
      <c r="Z124" s="121" t="str">
        <f>IF(AND(Y4=0,Y124&gt;=0), "",Y124/Y4)</f>
        <v/>
      </c>
      <c r="AA124" s="122" t="str">
        <f>IF(AND(Y124=0,Y124&gt;=0),"",Y124/Y124)</f>
        <v/>
      </c>
      <c r="AB124" s="121" t="str">
        <f t="shared" si="141"/>
        <v/>
      </c>
      <c r="AC124" s="123">
        <f>+AC38+AC116</f>
        <v>1490</v>
      </c>
      <c r="AD124" s="121">
        <f>IF(AND(AC4=0,AC124&gt;=0), "",AC124/AC4)</f>
        <v>0.10797101449275362</v>
      </c>
      <c r="AE124" s="122">
        <f>IF(AND(AC124=0,AC124&gt;=0),"",AC124/AC124)</f>
        <v>1</v>
      </c>
      <c r="AF124" s="120">
        <f>+AF38+AF116</f>
        <v>0</v>
      </c>
      <c r="AG124" s="121" t="str">
        <f>IF(AND(AF4=0,AF124&gt;=0), "",AF124/AF4)</f>
        <v/>
      </c>
      <c r="AH124" s="122" t="str">
        <f>IF(AND(AF124=0,AF124&gt;=0),"",AF124/AF124)</f>
        <v/>
      </c>
      <c r="AI124" s="121" t="str">
        <f t="shared" si="124"/>
        <v/>
      </c>
      <c r="AJ124" s="123">
        <f>+AJ38+AJ116</f>
        <v>1490</v>
      </c>
      <c r="AK124" s="121">
        <f>IF(AND(AJ4=0,AJ124&gt;=0), "",AJ124/AJ4)</f>
        <v>0.10797101449275362</v>
      </c>
      <c r="AL124" s="122">
        <f>IF(AND(AJ124=0,AJ124&gt;=0),"",AJ124/AJ124)</f>
        <v>1</v>
      </c>
      <c r="AM124" s="120">
        <f>+AM38+AM116</f>
        <v>0</v>
      </c>
      <c r="AN124" s="121" t="str">
        <f>IF(AND(AM4=0,AM124&gt;=0), "",AM124/AM4)</f>
        <v/>
      </c>
      <c r="AO124" s="122" t="str">
        <f>IF(AND(AM124=0,AM124&gt;=0),"",AM124/AM124)</f>
        <v/>
      </c>
      <c r="AP124" s="121" t="str">
        <f t="shared" si="125"/>
        <v/>
      </c>
      <c r="AQ124" s="123">
        <f>+AQ38+AQ116</f>
        <v>1490</v>
      </c>
      <c r="AR124" s="121">
        <f>IF(AND(AQ4=0,AQ124&gt;=0), "",AQ124/AQ4)</f>
        <v>0.10797101449275362</v>
      </c>
      <c r="AS124" s="122">
        <f>IF(AND(AQ124=0,AQ124&gt;=0),"",AQ124/AQ124)</f>
        <v>1</v>
      </c>
      <c r="AT124" s="124">
        <f>+AT38+AT116</f>
        <v>0</v>
      </c>
      <c r="AU124" s="121" t="str">
        <f>IF(AND(AT4=0,AT124&gt;=0), "",AT124/AT4)</f>
        <v/>
      </c>
      <c r="AV124" s="122">
        <f t="shared" si="142"/>
        <v>1</v>
      </c>
      <c r="AW124" s="124">
        <f>+AW38+AW116</f>
        <v>248.33333333333334</v>
      </c>
      <c r="AX124" s="121">
        <f>IF(AND(AW4=0,AW124&gt;=0), "",AW124/AW4)</f>
        <v>0.10797101449275361</v>
      </c>
      <c r="AY124" s="122">
        <f>IF(AND(AW124=0,AW124&gt;=0),"",AW124/AW124)</f>
        <v>1</v>
      </c>
      <c r="AZ124" s="124">
        <f>+AZ38+AZ116</f>
        <v>0</v>
      </c>
      <c r="BA124" s="121" t="str">
        <f>IF(AND(AZ4=0,AZ124&gt;=0), "",AZ124/AZ4)</f>
        <v/>
      </c>
      <c r="BB124" s="122">
        <f t="shared" si="143"/>
        <v>1</v>
      </c>
      <c r="BC124" s="120">
        <f>+BC38+BC116</f>
        <v>0</v>
      </c>
      <c r="BD124" s="121" t="str">
        <f>IF(AND(BC4=0,BC124&gt;=0), "",BC124/BC4)</f>
        <v/>
      </c>
      <c r="BE124" s="122" t="str">
        <f>IF(AND(BC124=0,BC124&gt;=0),"",BC124/BC124)</f>
        <v/>
      </c>
      <c r="BF124" s="121" t="str">
        <f t="shared" si="144"/>
        <v/>
      </c>
      <c r="BG124" s="123">
        <f>+BG38+BG116</f>
        <v>1490</v>
      </c>
      <c r="BH124" s="121">
        <f>IF(AND(BG4=0,BG124&gt;=0), "",BG124/BG4)</f>
        <v>0.10797101449275362</v>
      </c>
      <c r="BI124" s="122">
        <f>IF(AND(BG124=0,BG124&gt;=0),"",BG124/BG124)</f>
        <v>1</v>
      </c>
      <c r="BJ124" s="120">
        <f>+BJ38+BJ116</f>
        <v>0</v>
      </c>
      <c r="BK124" s="121" t="str">
        <f>IF(AND(BJ4=0,BJ124&gt;=0), "",BJ124/BJ4)</f>
        <v/>
      </c>
      <c r="BL124" s="122" t="str">
        <f>IF(AND(BJ124=0,BJ124&gt;=0),"",BJ124/BJ124)</f>
        <v/>
      </c>
      <c r="BM124" s="121" t="str">
        <f t="shared" si="126"/>
        <v/>
      </c>
      <c r="BN124" s="123">
        <f>+BN38+BN116</f>
        <v>1490</v>
      </c>
      <c r="BO124" s="121">
        <f>IF(AND(BN4=0,BN124&gt;=0), "",BN124/BN4)</f>
        <v>0.10797101449275362</v>
      </c>
      <c r="BP124" s="122">
        <f>IF(AND(BN124=0,BN124&gt;=0),"",BN124/BN124)</f>
        <v>1</v>
      </c>
      <c r="BQ124" s="120">
        <f>+BQ38+BQ116</f>
        <v>0</v>
      </c>
      <c r="BR124" s="121" t="str">
        <f>IF(AND(BQ4=0,BQ124&gt;=0), "",BQ124/BQ4)</f>
        <v/>
      </c>
      <c r="BS124" s="122" t="str">
        <f>IF(AND(BQ124=0,BQ124&gt;=0),"",BQ124/BQ124)</f>
        <v/>
      </c>
      <c r="BT124" s="121" t="str">
        <f t="shared" si="127"/>
        <v/>
      </c>
      <c r="BU124" s="123">
        <f>+BU38+BU116</f>
        <v>1490</v>
      </c>
      <c r="BV124" s="121">
        <f>IF(AND(BU4=0,BU124&gt;=0), "",BU124/BU4)</f>
        <v>0.10797101449275362</v>
      </c>
      <c r="BW124" s="122">
        <f>IF(AND(BU124=0,BU124&gt;=0),"",BU124/BU124)</f>
        <v>1</v>
      </c>
      <c r="BX124" s="124">
        <f>+BX38+BX116</f>
        <v>0</v>
      </c>
      <c r="BY124" s="121" t="str">
        <f>IF(AND(BX4=0,BX124&gt;=0), "",BX124/BX4)</f>
        <v/>
      </c>
      <c r="BZ124" s="122">
        <f t="shared" si="128"/>
        <v>1</v>
      </c>
      <c r="CA124" s="120">
        <f>+CA38+CA116</f>
        <v>0</v>
      </c>
      <c r="CB124" s="121" t="str">
        <f>IF(AND(CA4=0,CA124&gt;=0), "",CA124/CA4)</f>
        <v/>
      </c>
      <c r="CC124" s="122" t="str">
        <f>IF(AND(CA124=0,CA124&gt;=0),"",CA124/CA124)</f>
        <v/>
      </c>
      <c r="CD124" s="121" t="str">
        <f t="shared" si="145"/>
        <v/>
      </c>
      <c r="CE124" s="123">
        <f>+CE38+CE116</f>
        <v>1490</v>
      </c>
      <c r="CF124" s="121">
        <f>IF(AND(CE4=0,CE124&gt;=0), "",CE124/CE4)</f>
        <v>0.10797101449275362</v>
      </c>
      <c r="CG124" s="122">
        <f>IF(AND(CE124=0,CE124&gt;=0),"",CE124/CE124)</f>
        <v>1</v>
      </c>
      <c r="CH124" s="120">
        <f>+CH38+CH116</f>
        <v>0</v>
      </c>
      <c r="CI124" s="121" t="str">
        <f>IF(AND(CH4=0,CH124&gt;=0), "",CH124/CH4)</f>
        <v/>
      </c>
      <c r="CJ124" s="122" t="str">
        <f>IF(AND(CH124=0,CH124&gt;=0),"",CH124/CH124)</f>
        <v/>
      </c>
      <c r="CK124" s="121" t="str">
        <f t="shared" si="129"/>
        <v/>
      </c>
      <c r="CL124" s="123">
        <f>+CL38+CL116</f>
        <v>1490</v>
      </c>
      <c r="CM124" s="121">
        <f>IF(AND(CL4=0,CL124&gt;=0), "",CL124/CL4)</f>
        <v>0.10797101449275362</v>
      </c>
      <c r="CN124" s="122">
        <f>IF(AND(CL124=0,CL124&gt;=0),"",CL124/CL124)</f>
        <v>1</v>
      </c>
      <c r="CO124" s="120">
        <f>+CO38+CO116</f>
        <v>0</v>
      </c>
      <c r="CP124" s="121" t="str">
        <f>IF(AND(CO4=0,CO124&gt;=0), "",CO124/CO4)</f>
        <v/>
      </c>
      <c r="CQ124" s="122" t="str">
        <f>IF(AND(CO124=0,CO124&gt;=0),"",CO124/CO124)</f>
        <v/>
      </c>
      <c r="CR124" s="121" t="str">
        <f t="shared" si="130"/>
        <v/>
      </c>
      <c r="CS124" s="123">
        <f>+CS38+CS116</f>
        <v>1490</v>
      </c>
      <c r="CT124" s="121">
        <f>IF(AND(CS4=0,CS124&gt;=0), "",CS124/CS4)</f>
        <v>0.10797101449275362</v>
      </c>
      <c r="CU124" s="122">
        <f>IF(AND(CS124=0,CS124&gt;=0),"",CS124/CS124)</f>
        <v>1</v>
      </c>
      <c r="CV124" s="124">
        <f>+CV38+CV116</f>
        <v>0</v>
      </c>
      <c r="CW124" s="121" t="str">
        <f>IF(AND(CV4=0,CV124&gt;=0), "",CV124/CV4)</f>
        <v/>
      </c>
      <c r="CX124" s="122">
        <f t="shared" si="131"/>
        <v>1</v>
      </c>
    </row>
    <row r="125" spans="1:102" s="6" customFormat="1" x14ac:dyDescent="0.25">
      <c r="A125" s="34" t="s">
        <v>100</v>
      </c>
      <c r="B125" s="79">
        <f>SUM(B126:B135)</f>
        <v>0</v>
      </c>
      <c r="C125" s="35" t="str">
        <f>IF(AND(B4=0,B125&gt;=0), "",B125/B4)</f>
        <v/>
      </c>
      <c r="D125" s="38"/>
      <c r="E125" s="79">
        <f>SUM(E126:E135)</f>
        <v>450</v>
      </c>
      <c r="F125" s="35">
        <f>IF(AND(E4=0,E125&gt;=0), "",E125/E4)</f>
        <v>3.2608695652173912E-2</v>
      </c>
      <c r="G125" s="38"/>
      <c r="H125" s="79">
        <f>SUM(H126:H135)</f>
        <v>0</v>
      </c>
      <c r="I125" s="35" t="str">
        <f>IF(AND(H4=0,H125&gt;=0), "",H125/H4)</f>
        <v/>
      </c>
      <c r="J125" s="38"/>
      <c r="K125" s="35">
        <f t="shared" si="138"/>
        <v>-1</v>
      </c>
      <c r="L125" s="80">
        <f>SUM(L126:L135)</f>
        <v>450</v>
      </c>
      <c r="M125" s="35">
        <f>IF(AND(L4=0,L125&gt;=0), "",L125/L4)</f>
        <v>3.2608695652173912E-2</v>
      </c>
      <c r="N125" s="38"/>
      <c r="O125" s="79">
        <f>SUM(O126:O135)</f>
        <v>0</v>
      </c>
      <c r="P125" s="35" t="str">
        <f>IF(AND(O4=0,O125&gt;=0), "",O125/O4)</f>
        <v/>
      </c>
      <c r="Q125" s="38"/>
      <c r="R125" s="35" t="str">
        <f t="shared" si="139"/>
        <v/>
      </c>
      <c r="S125" s="80">
        <f>SUM(S126:S135)</f>
        <v>450</v>
      </c>
      <c r="T125" s="35">
        <f>IF(AND(S4=0,S125&gt;=0), "",S125/S4)</f>
        <v>3.2608695652173912E-2</v>
      </c>
      <c r="U125" s="38"/>
      <c r="V125" s="81">
        <f>SUM(V126:V135)</f>
        <v>0</v>
      </c>
      <c r="W125" s="35" t="str">
        <f>IF(AND(V4=0,V125&gt;=0), "",V125/V4)</f>
        <v/>
      </c>
      <c r="X125" s="51">
        <f t="shared" si="140"/>
        <v>1</v>
      </c>
      <c r="Y125" s="79">
        <f>SUM(Y126:Y135)</f>
        <v>0</v>
      </c>
      <c r="Z125" s="35" t="str">
        <f>IF(AND(Y4=0,Y125&gt;=0), "",Y125/Y4)</f>
        <v/>
      </c>
      <c r="AA125" s="38"/>
      <c r="AB125" s="35" t="str">
        <f t="shared" si="141"/>
        <v/>
      </c>
      <c r="AC125" s="80">
        <f>SUM(AC126:AC135)</f>
        <v>450</v>
      </c>
      <c r="AD125" s="35">
        <f>IF(AND(AC4=0,AC125&gt;=0), "",AC125/AC4)</f>
        <v>3.2608695652173912E-2</v>
      </c>
      <c r="AE125" s="38"/>
      <c r="AF125" s="79">
        <f>SUM(AF126:AF135)</f>
        <v>0</v>
      </c>
      <c r="AG125" s="35" t="str">
        <f>IF(AND(AF4=0,AF125&gt;=0), "",AF125/AF4)</f>
        <v/>
      </c>
      <c r="AH125" s="38"/>
      <c r="AI125" s="35" t="str">
        <f t="shared" si="124"/>
        <v/>
      </c>
      <c r="AJ125" s="80">
        <f>SUM(AJ126:AJ135)</f>
        <v>450</v>
      </c>
      <c r="AK125" s="35">
        <f>IF(AND(AJ4=0,AJ125&gt;=0), "",AJ125/AJ4)</f>
        <v>3.2608695652173912E-2</v>
      </c>
      <c r="AL125" s="38"/>
      <c r="AM125" s="79">
        <f>SUM(AM126:AM135)</f>
        <v>0</v>
      </c>
      <c r="AN125" s="35" t="str">
        <f>IF(AND(AM4=0,AM125&gt;=0), "",AM125/AM4)</f>
        <v/>
      </c>
      <c r="AO125" s="38"/>
      <c r="AP125" s="35" t="str">
        <f t="shared" si="125"/>
        <v/>
      </c>
      <c r="AQ125" s="80">
        <f>SUM(AQ126:AQ135)</f>
        <v>450</v>
      </c>
      <c r="AR125" s="35">
        <f>IF(AND(AQ4=0,AQ125&gt;=0), "",AQ125/AQ4)</f>
        <v>3.2608695652173912E-2</v>
      </c>
      <c r="AS125" s="38"/>
      <c r="AT125" s="81">
        <f>SUM(AT126:AT135)</f>
        <v>0</v>
      </c>
      <c r="AU125" s="35" t="str">
        <f>IF(AND(AT4=0,AT125&gt;=0), "",AT125/AT4)</f>
        <v/>
      </c>
      <c r="AV125" s="51">
        <f t="shared" si="142"/>
        <v>1</v>
      </c>
      <c r="AW125" s="81">
        <f>SUM(AW126:AW135)</f>
        <v>75</v>
      </c>
      <c r="AX125" s="35">
        <f>IF(AND(AW4=0,AW125&gt;=0), "",AW125/AW4)</f>
        <v>3.2608695652173905E-2</v>
      </c>
      <c r="AY125" s="38"/>
      <c r="AZ125" s="81">
        <f>SUM(AZ126:AZ135)</f>
        <v>0</v>
      </c>
      <c r="BA125" s="35" t="str">
        <f>IF(AND(AZ4=0,AZ125&gt;=0), "",AZ125/AZ4)</f>
        <v/>
      </c>
      <c r="BB125" s="51">
        <f t="shared" si="143"/>
        <v>1</v>
      </c>
      <c r="BC125" s="79">
        <f>SUM(BC126:BC135)</f>
        <v>0</v>
      </c>
      <c r="BD125" s="35" t="str">
        <f>IF(AND(BC4=0,BC125&gt;=0), "",BC125/BC4)</f>
        <v/>
      </c>
      <c r="BE125" s="38"/>
      <c r="BF125" s="35" t="str">
        <f t="shared" si="144"/>
        <v/>
      </c>
      <c r="BG125" s="80">
        <f>SUM(BG126:BG135)</f>
        <v>450</v>
      </c>
      <c r="BH125" s="35">
        <f>IF(AND(BG4=0,BG125&gt;=0), "",BG125/BG4)</f>
        <v>3.2608695652173912E-2</v>
      </c>
      <c r="BI125" s="38"/>
      <c r="BJ125" s="79">
        <f>SUM(BJ126:BJ135)</f>
        <v>0</v>
      </c>
      <c r="BK125" s="35" t="str">
        <f>IF(AND(BJ4=0,BJ125&gt;=0), "",BJ125/BJ4)</f>
        <v/>
      </c>
      <c r="BL125" s="38"/>
      <c r="BM125" s="35" t="str">
        <f t="shared" si="126"/>
        <v/>
      </c>
      <c r="BN125" s="80">
        <f>SUM(BN126:BN135)</f>
        <v>450</v>
      </c>
      <c r="BO125" s="35">
        <f>IF(AND(BN4=0,BN125&gt;=0), "",BN125/BN4)</f>
        <v>3.2608695652173912E-2</v>
      </c>
      <c r="BP125" s="38"/>
      <c r="BQ125" s="79">
        <f>SUM(BQ126:BQ135)</f>
        <v>0</v>
      </c>
      <c r="BR125" s="35" t="str">
        <f>IF(AND(BQ4=0,BQ125&gt;=0), "",BQ125/BQ4)</f>
        <v/>
      </c>
      <c r="BS125" s="38"/>
      <c r="BT125" s="35" t="str">
        <f t="shared" si="127"/>
        <v/>
      </c>
      <c r="BU125" s="80">
        <f>SUM(BU126:BU135)</f>
        <v>450</v>
      </c>
      <c r="BV125" s="35">
        <f>IF(AND(BU4=0,BU125&gt;=0), "",BU125/BU4)</f>
        <v>3.2608695652173912E-2</v>
      </c>
      <c r="BW125" s="38"/>
      <c r="BX125" s="81">
        <f>SUM(BX126:BX135)</f>
        <v>0</v>
      </c>
      <c r="BY125" s="35" t="str">
        <f>IF(AND(BX4=0,BX125&gt;=0), "",BX125/BX4)</f>
        <v/>
      </c>
      <c r="BZ125" s="51">
        <f t="shared" si="128"/>
        <v>1</v>
      </c>
      <c r="CA125" s="79">
        <f>SUM(CA126:CA135)</f>
        <v>0</v>
      </c>
      <c r="CB125" s="35" t="str">
        <f>IF(AND(CA4=0,CA125&gt;=0), "",CA125/CA4)</f>
        <v/>
      </c>
      <c r="CC125" s="38"/>
      <c r="CD125" s="35" t="str">
        <f t="shared" si="145"/>
        <v/>
      </c>
      <c r="CE125" s="80">
        <f>SUM(CE126:CE135)</f>
        <v>450</v>
      </c>
      <c r="CF125" s="35">
        <f>IF(AND(CE4=0,CE125&gt;=0), "",CE125/CE4)</f>
        <v>3.2608695652173912E-2</v>
      </c>
      <c r="CG125" s="38"/>
      <c r="CH125" s="79">
        <f>SUM(CH126:CH135)</f>
        <v>0</v>
      </c>
      <c r="CI125" s="35" t="str">
        <f>IF(AND(CH4=0,CH125&gt;=0), "",CH125/CH4)</f>
        <v/>
      </c>
      <c r="CJ125" s="38"/>
      <c r="CK125" s="35" t="str">
        <f t="shared" si="129"/>
        <v/>
      </c>
      <c r="CL125" s="80">
        <f>SUM(CL126:CL135)</f>
        <v>450</v>
      </c>
      <c r="CM125" s="35">
        <f>IF(AND(CL4=0,CL125&gt;=0), "",CL125/CL4)</f>
        <v>3.2608695652173912E-2</v>
      </c>
      <c r="CN125" s="38"/>
      <c r="CO125" s="79">
        <f>SUM(CO126:CO135)</f>
        <v>0</v>
      </c>
      <c r="CP125" s="35" t="str">
        <f>IF(AND(CO4=0,CO125&gt;=0), "",CO125/CO4)</f>
        <v/>
      </c>
      <c r="CQ125" s="38"/>
      <c r="CR125" s="35" t="str">
        <f t="shared" si="130"/>
        <v/>
      </c>
      <c r="CS125" s="80">
        <f>SUM(CS126:CS135)</f>
        <v>450</v>
      </c>
      <c r="CT125" s="35">
        <f>IF(AND(CS4=0,CS125&gt;=0), "",CS125/CS4)</f>
        <v>3.2608695652173912E-2</v>
      </c>
      <c r="CU125" s="38"/>
      <c r="CV125" s="81">
        <f>SUM(CV126:CV135)</f>
        <v>0</v>
      </c>
      <c r="CW125" s="35" t="str">
        <f>IF(AND(CV4=0,CV125&gt;=0), "",CV125/CV4)</f>
        <v/>
      </c>
      <c r="CX125" s="51">
        <f t="shared" si="131"/>
        <v>1</v>
      </c>
    </row>
    <row r="126" spans="1:102" s="6" customFormat="1" hidden="1" outlineLevel="1" x14ac:dyDescent="0.25">
      <c r="A126" s="27" t="s">
        <v>104</v>
      </c>
      <c r="B126" s="82">
        <f>+'N EERR'!B19</f>
        <v>0</v>
      </c>
      <c r="C126" s="28" t="str">
        <f>IF(AND(B4=0,B126&gt;=0), "",B126/B4)</f>
        <v/>
      </c>
      <c r="D126" s="41"/>
      <c r="E126" s="82">
        <f>+'N EERR'!C19</f>
        <v>50</v>
      </c>
      <c r="F126" s="28">
        <f>IF(AND(E4=0,E126&gt;=0), "",E126/E4)</f>
        <v>3.6231884057971015E-3</v>
      </c>
      <c r="G126" s="41"/>
      <c r="H126" s="82">
        <f>+'N EERR'!D19</f>
        <v>0</v>
      </c>
      <c r="I126" s="28" t="str">
        <f>IF(AND(H4=0,H126&gt;=0), "",H126/H4)</f>
        <v/>
      </c>
      <c r="J126" s="41"/>
      <c r="K126" s="28">
        <f t="shared" si="138"/>
        <v>-1</v>
      </c>
      <c r="L126" s="83">
        <f t="shared" ref="L126:L134" si="160">+E126+H126</f>
        <v>50</v>
      </c>
      <c r="M126" s="28">
        <f>IF(AND(L4=0,L126&gt;=0), "",L126/L4)</f>
        <v>3.6231884057971015E-3</v>
      </c>
      <c r="N126" s="41"/>
      <c r="O126" s="82">
        <f>+'N EERR'!E19</f>
        <v>0</v>
      </c>
      <c r="P126" s="28" t="str">
        <f>IF(AND(O4=0,O126&gt;=0), "",O126/O4)</f>
        <v/>
      </c>
      <c r="Q126" s="41"/>
      <c r="R126" s="28" t="str">
        <f t="shared" si="139"/>
        <v/>
      </c>
      <c r="S126" s="83">
        <f t="shared" ref="S126:S134" si="161">+L126+O126</f>
        <v>50</v>
      </c>
      <c r="T126" s="28">
        <f>IF(AND(S4=0,S126&gt;=0), "",S126/S4)</f>
        <v>3.6231884057971015E-3</v>
      </c>
      <c r="U126" s="41"/>
      <c r="V126" s="84"/>
      <c r="W126" s="28" t="str">
        <f>IF(AND(V4=0,V126&gt;=0), "",V126/V4)</f>
        <v/>
      </c>
      <c r="X126" s="42">
        <f t="shared" si="140"/>
        <v>1</v>
      </c>
      <c r="Y126" s="82">
        <f>+'N EERR'!F19</f>
        <v>0</v>
      </c>
      <c r="Z126" s="28" t="str">
        <f>IF(AND(Y4=0,Y126&gt;=0), "",Y126/Y4)</f>
        <v/>
      </c>
      <c r="AA126" s="41"/>
      <c r="AB126" s="28" t="str">
        <f t="shared" si="141"/>
        <v/>
      </c>
      <c r="AC126" s="83">
        <f t="shared" ref="AC126:AC134" si="162">+S126+Y126</f>
        <v>50</v>
      </c>
      <c r="AD126" s="28">
        <f>IF(AND(AC4=0,AC126&gt;=0), "",AC126/AC4)</f>
        <v>3.6231884057971015E-3</v>
      </c>
      <c r="AE126" s="41"/>
      <c r="AF126" s="82">
        <f>+'N EERR'!G19</f>
        <v>0</v>
      </c>
      <c r="AG126" s="28" t="str">
        <f>IF(AND(AF4=0,AF126&gt;=0), "",AF126/AF4)</f>
        <v/>
      </c>
      <c r="AH126" s="41"/>
      <c r="AI126" s="28" t="str">
        <f t="shared" si="124"/>
        <v/>
      </c>
      <c r="AJ126" s="83">
        <f t="shared" si="95"/>
        <v>50</v>
      </c>
      <c r="AK126" s="28">
        <f>IF(AND(AJ4=0,AJ126&gt;=0), "",AJ126/AJ4)</f>
        <v>3.6231884057971015E-3</v>
      </c>
      <c r="AL126" s="41"/>
      <c r="AM126" s="82">
        <f>+'N EERR'!H19</f>
        <v>0</v>
      </c>
      <c r="AN126" s="28" t="str">
        <f>IF(AND(AM4=0,AM126&gt;=0), "",AM126/AM4)</f>
        <v/>
      </c>
      <c r="AO126" s="41"/>
      <c r="AP126" s="28" t="str">
        <f t="shared" si="125"/>
        <v/>
      </c>
      <c r="AQ126" s="83">
        <f t="shared" si="96"/>
        <v>50</v>
      </c>
      <c r="AR126" s="28">
        <f>IF(AND(AQ4=0,AQ126&gt;=0), "",AQ126/AQ4)</f>
        <v>3.6231884057971015E-3</v>
      </c>
      <c r="AS126" s="41"/>
      <c r="AT126" s="84">
        <f t="shared" ref="AT126:AT136" si="163">+V126*2</f>
        <v>0</v>
      </c>
      <c r="AU126" s="28" t="str">
        <f>IF(AND(AT4=0,AT126&gt;=0), "",AT126/AT4)</f>
        <v/>
      </c>
      <c r="AV126" s="42">
        <f t="shared" si="142"/>
        <v>1</v>
      </c>
      <c r="AW126" s="84">
        <f>+AQ126/6</f>
        <v>8.3333333333333339</v>
      </c>
      <c r="AX126" s="28">
        <f>IF(AND(AW4=0,AW126&gt;=0), "",AW126/AW4)</f>
        <v>3.6231884057971011E-3</v>
      </c>
      <c r="AY126" s="41"/>
      <c r="AZ126" s="84">
        <f t="shared" ref="AZ126:AZ136" si="164">+AT126/6</f>
        <v>0</v>
      </c>
      <c r="BA126" s="28" t="str">
        <f>IF(AND(AZ4=0,AZ126&gt;=0), "",AZ126/AZ4)</f>
        <v/>
      </c>
      <c r="BB126" s="42">
        <f t="shared" si="143"/>
        <v>1</v>
      </c>
      <c r="BC126" s="82">
        <f>+'N EERR'!I19</f>
        <v>0</v>
      </c>
      <c r="BD126" s="28" t="str">
        <f>IF(AND(BC4=0,BC126&gt;=0), "",BC126/BC4)</f>
        <v/>
      </c>
      <c r="BE126" s="41"/>
      <c r="BF126" s="28" t="str">
        <f t="shared" si="144"/>
        <v/>
      </c>
      <c r="BG126" s="83">
        <f>+AQ126+BC126</f>
        <v>50</v>
      </c>
      <c r="BH126" s="28">
        <f>IF(AND(BG4=0,BG126&gt;=0), "",BG126/BG4)</f>
        <v>3.6231884057971015E-3</v>
      </c>
      <c r="BI126" s="41"/>
      <c r="BJ126" s="82">
        <f>+'N EERR'!J19</f>
        <v>0</v>
      </c>
      <c r="BK126" s="28" t="str">
        <f>IF(AND(BJ4=0,BJ126&gt;=0), "",BJ126/BJ4)</f>
        <v/>
      </c>
      <c r="BL126" s="41"/>
      <c r="BM126" s="28" t="str">
        <f t="shared" si="126"/>
        <v/>
      </c>
      <c r="BN126" s="83">
        <f>+BG126+BJ126</f>
        <v>50</v>
      </c>
      <c r="BO126" s="28">
        <f>IF(AND(BN4=0,BN126&gt;=0), "",BN126/BN4)</f>
        <v>3.6231884057971015E-3</v>
      </c>
      <c r="BP126" s="41"/>
      <c r="BQ126" s="82">
        <f>+'N EERR'!K19</f>
        <v>0</v>
      </c>
      <c r="BR126" s="28" t="str">
        <f>IF(AND(BQ4=0,BQ126&gt;=0), "",BQ126/BQ4)</f>
        <v/>
      </c>
      <c r="BS126" s="41"/>
      <c r="BT126" s="28" t="str">
        <f t="shared" si="127"/>
        <v/>
      </c>
      <c r="BU126" s="83">
        <f t="shared" ref="BU126:BU136" si="165">+BN126+BQ126</f>
        <v>50</v>
      </c>
      <c r="BV126" s="28">
        <f>IF(AND(BU4=0,BU126&gt;=0), "",BU126/BU4)</f>
        <v>3.6231884057971015E-3</v>
      </c>
      <c r="BW126" s="41"/>
      <c r="BX126" s="84">
        <f t="shared" ref="BX126:BX136" si="166">+AZ126*9</f>
        <v>0</v>
      </c>
      <c r="BY126" s="28" t="str">
        <f>IF(AND(BX4=0,BX126&gt;=0), "",BX126/BX4)</f>
        <v/>
      </c>
      <c r="BZ126" s="42">
        <f t="shared" si="128"/>
        <v>1</v>
      </c>
      <c r="CA126" s="82">
        <f>+'N EERR'!L19</f>
        <v>0</v>
      </c>
      <c r="CB126" s="28" t="str">
        <f>IF(AND(CA4=0,CA126&gt;=0), "",CA126/CA4)</f>
        <v/>
      </c>
      <c r="CC126" s="41"/>
      <c r="CD126" s="28" t="str">
        <f t="shared" si="145"/>
        <v/>
      </c>
      <c r="CE126" s="83">
        <f t="shared" ref="CE126:CE134" si="167">+BU126+CA126</f>
        <v>50</v>
      </c>
      <c r="CF126" s="28">
        <f>IF(AND(CE4=0,CE126&gt;=0), "",CE126/CE4)</f>
        <v>3.6231884057971015E-3</v>
      </c>
      <c r="CG126" s="41"/>
      <c r="CH126" s="82">
        <f>+'N EERR'!M19</f>
        <v>0</v>
      </c>
      <c r="CI126" s="28" t="str">
        <f>IF(AND(CH4=0,CH126&gt;=0), "",CH126/CH4)</f>
        <v/>
      </c>
      <c r="CJ126" s="41"/>
      <c r="CK126" s="28" t="str">
        <f t="shared" si="129"/>
        <v/>
      </c>
      <c r="CL126" s="83">
        <f t="shared" ref="CL126:CL136" si="168">+CE126+CH126</f>
        <v>50</v>
      </c>
      <c r="CM126" s="28">
        <f>IF(AND(CL4=0,CL126&gt;=0), "",CL126/CL4)</f>
        <v>3.6231884057971015E-3</v>
      </c>
      <c r="CN126" s="41"/>
      <c r="CO126" s="82">
        <f>+'N EERR'!N19</f>
        <v>0</v>
      </c>
      <c r="CP126" s="28" t="str">
        <f>IF(AND(CO4=0,CO126&gt;=0), "",CO126/CO4)</f>
        <v/>
      </c>
      <c r="CQ126" s="41"/>
      <c r="CR126" s="28" t="str">
        <f t="shared" si="130"/>
        <v/>
      </c>
      <c r="CS126" s="83">
        <f t="shared" ref="CS126:CS136" si="169">+CL126+CO126</f>
        <v>50</v>
      </c>
      <c r="CT126" s="28">
        <f>IF(AND(CS4=0,CS126&gt;=0), "",CS126/CS4)</f>
        <v>3.6231884057971015E-3</v>
      </c>
      <c r="CU126" s="41"/>
      <c r="CV126" s="84">
        <f t="shared" ref="CV126:CV136" si="170">+AZ126*12</f>
        <v>0</v>
      </c>
      <c r="CW126" s="28" t="str">
        <f>IF(AND(CV4=0,CV126&gt;=0), "",CV126/CV4)</f>
        <v/>
      </c>
      <c r="CX126" s="42">
        <f t="shared" si="131"/>
        <v>1</v>
      </c>
    </row>
    <row r="127" spans="1:102" s="6" customFormat="1" hidden="1" outlineLevel="1" x14ac:dyDescent="0.25">
      <c r="A127" s="27" t="s">
        <v>105</v>
      </c>
      <c r="B127" s="82">
        <f>+'N EERR'!B20</f>
        <v>0</v>
      </c>
      <c r="C127" s="28" t="str">
        <f>IF(AND(B4=0,B127&gt;=0), "",B127/B4)</f>
        <v/>
      </c>
      <c r="D127" s="41"/>
      <c r="E127" s="82">
        <f>+'N EERR'!C20</f>
        <v>50</v>
      </c>
      <c r="F127" s="28">
        <f>IF(AND(E4=0,E127&gt;=0), "",E127/E4)</f>
        <v>3.6231884057971015E-3</v>
      </c>
      <c r="G127" s="41"/>
      <c r="H127" s="82">
        <f>+'N EERR'!D20</f>
        <v>0</v>
      </c>
      <c r="I127" s="28" t="str">
        <f>IF(AND(H4=0,H127&gt;=0), "",H127/H4)</f>
        <v/>
      </c>
      <c r="J127" s="41"/>
      <c r="K127" s="28">
        <f t="shared" si="138"/>
        <v>-1</v>
      </c>
      <c r="L127" s="83">
        <f t="shared" si="160"/>
        <v>50</v>
      </c>
      <c r="M127" s="28">
        <f>IF(AND(L4=0,L127&gt;=0), "",L127/L4)</f>
        <v>3.6231884057971015E-3</v>
      </c>
      <c r="N127" s="41"/>
      <c r="O127" s="82">
        <f>+'N EERR'!E20</f>
        <v>0</v>
      </c>
      <c r="P127" s="28" t="str">
        <f>IF(AND(O4=0,O127&gt;=0), "",O127/O4)</f>
        <v/>
      </c>
      <c r="Q127" s="41"/>
      <c r="R127" s="28" t="str">
        <f t="shared" si="139"/>
        <v/>
      </c>
      <c r="S127" s="83">
        <f t="shared" si="161"/>
        <v>50</v>
      </c>
      <c r="T127" s="28">
        <f>IF(AND(S4=0,S127&gt;=0), "",S127/S4)</f>
        <v>3.6231884057971015E-3</v>
      </c>
      <c r="U127" s="41"/>
      <c r="V127" s="84"/>
      <c r="W127" s="28" t="str">
        <f>IF(AND(V4=0,V127&gt;=0), "",V127/V4)</f>
        <v/>
      </c>
      <c r="X127" s="42">
        <f t="shared" si="140"/>
        <v>1</v>
      </c>
      <c r="Y127" s="82">
        <f>+'N EERR'!F20</f>
        <v>0</v>
      </c>
      <c r="Z127" s="28" t="str">
        <f>IF(AND(Y4=0,Y127&gt;=0), "",Y127/Y4)</f>
        <v/>
      </c>
      <c r="AA127" s="41"/>
      <c r="AB127" s="28" t="str">
        <f t="shared" si="141"/>
        <v/>
      </c>
      <c r="AC127" s="83">
        <f t="shared" si="162"/>
        <v>50</v>
      </c>
      <c r="AD127" s="28">
        <f>IF(AND(AC4=0,AC127&gt;=0), "",AC127/AC4)</f>
        <v>3.6231884057971015E-3</v>
      </c>
      <c r="AE127" s="41"/>
      <c r="AF127" s="82">
        <f>+'N EERR'!G20</f>
        <v>0</v>
      </c>
      <c r="AG127" s="28" t="str">
        <f>IF(AND(AF4=0,AF127&gt;=0), "",AF127/AF4)</f>
        <v/>
      </c>
      <c r="AH127" s="41"/>
      <c r="AI127" s="28" t="str">
        <f t="shared" si="124"/>
        <v/>
      </c>
      <c r="AJ127" s="83">
        <f t="shared" si="95"/>
        <v>50</v>
      </c>
      <c r="AK127" s="28">
        <f>IF(AND(AJ4=0,AJ127&gt;=0), "",AJ127/AJ4)</f>
        <v>3.6231884057971015E-3</v>
      </c>
      <c r="AL127" s="41"/>
      <c r="AM127" s="82">
        <f>+'N EERR'!H20</f>
        <v>0</v>
      </c>
      <c r="AN127" s="28" t="str">
        <f>IF(AND(AM4=0,AM127&gt;=0), "",AM127/AM4)</f>
        <v/>
      </c>
      <c r="AO127" s="41"/>
      <c r="AP127" s="28" t="str">
        <f t="shared" si="125"/>
        <v/>
      </c>
      <c r="AQ127" s="83">
        <f t="shared" si="96"/>
        <v>50</v>
      </c>
      <c r="AR127" s="28">
        <f>IF(AND(AQ4=0,AQ127&gt;=0), "",AQ127/AQ4)</f>
        <v>3.6231884057971015E-3</v>
      </c>
      <c r="AS127" s="41"/>
      <c r="AT127" s="84">
        <f t="shared" si="163"/>
        <v>0</v>
      </c>
      <c r="AU127" s="28" t="str">
        <f>IF(AND(AT4=0,AT127&gt;=0), "",AT127/AT4)</f>
        <v/>
      </c>
      <c r="AV127" s="42">
        <f t="shared" si="142"/>
        <v>1</v>
      </c>
      <c r="AW127" s="84">
        <f t="shared" ref="AW127:AW134" si="171">+AQ127/6</f>
        <v>8.3333333333333339</v>
      </c>
      <c r="AX127" s="28">
        <f>IF(AND(AW4=0,AW127&gt;=0), "",AW127/AW4)</f>
        <v>3.6231884057971011E-3</v>
      </c>
      <c r="AY127" s="41"/>
      <c r="AZ127" s="84">
        <f t="shared" si="164"/>
        <v>0</v>
      </c>
      <c r="BA127" s="28" t="str">
        <f>IF(AND(AZ4=0,AZ127&gt;=0), "",AZ127/AZ4)</f>
        <v/>
      </c>
      <c r="BB127" s="42">
        <f t="shared" si="143"/>
        <v>1</v>
      </c>
      <c r="BC127" s="82">
        <f>+'N EERR'!I20</f>
        <v>0</v>
      </c>
      <c r="BD127" s="28" t="str">
        <f>IF(AND(BC4=0,BC127&gt;=0), "",BC127/BC4)</f>
        <v/>
      </c>
      <c r="BE127" s="41"/>
      <c r="BF127" s="28" t="str">
        <f t="shared" si="144"/>
        <v/>
      </c>
      <c r="BG127" s="83">
        <f t="shared" ref="BG127:BG136" si="172">+AQ127+BC127</f>
        <v>50</v>
      </c>
      <c r="BH127" s="28">
        <f>IF(AND(BG4=0,BG127&gt;=0), "",BG127/BG4)</f>
        <v>3.6231884057971015E-3</v>
      </c>
      <c r="BI127" s="41"/>
      <c r="BJ127" s="82">
        <f>+'N EERR'!J20</f>
        <v>0</v>
      </c>
      <c r="BK127" s="28" t="str">
        <f>IF(AND(BJ4=0,BJ127&gt;=0), "",BJ127/BJ4)</f>
        <v/>
      </c>
      <c r="BL127" s="41"/>
      <c r="BM127" s="28" t="str">
        <f t="shared" si="126"/>
        <v/>
      </c>
      <c r="BN127" s="83">
        <f t="shared" ref="BN127:BN136" si="173">+BG127+BJ127</f>
        <v>50</v>
      </c>
      <c r="BO127" s="28">
        <f>IF(AND(BN4=0,BN127&gt;=0), "",BN127/BN4)</f>
        <v>3.6231884057971015E-3</v>
      </c>
      <c r="BP127" s="41"/>
      <c r="BQ127" s="82">
        <f>+'N EERR'!K20</f>
        <v>0</v>
      </c>
      <c r="BR127" s="28" t="str">
        <f>IF(AND(BQ4=0,BQ127&gt;=0), "",BQ127/BQ4)</f>
        <v/>
      </c>
      <c r="BS127" s="41"/>
      <c r="BT127" s="28" t="str">
        <f t="shared" si="127"/>
        <v/>
      </c>
      <c r="BU127" s="83">
        <f t="shared" si="165"/>
        <v>50</v>
      </c>
      <c r="BV127" s="28">
        <f>IF(AND(BU4=0,BU127&gt;=0), "",BU127/BU4)</f>
        <v>3.6231884057971015E-3</v>
      </c>
      <c r="BW127" s="41"/>
      <c r="BX127" s="84">
        <f t="shared" si="166"/>
        <v>0</v>
      </c>
      <c r="BY127" s="28" t="str">
        <f>IF(AND(BX4=0,BX127&gt;=0), "",BX127/BX4)</f>
        <v/>
      </c>
      <c r="BZ127" s="42">
        <f t="shared" si="128"/>
        <v>1</v>
      </c>
      <c r="CA127" s="82">
        <f>+'N EERR'!L20</f>
        <v>0</v>
      </c>
      <c r="CB127" s="28" t="str">
        <f>IF(AND(CA4=0,CA127&gt;=0), "",CA127/CA4)</f>
        <v/>
      </c>
      <c r="CC127" s="41"/>
      <c r="CD127" s="28" t="str">
        <f t="shared" si="145"/>
        <v/>
      </c>
      <c r="CE127" s="83">
        <f t="shared" si="167"/>
        <v>50</v>
      </c>
      <c r="CF127" s="28">
        <f>IF(AND(CE4=0,CE127&gt;=0), "",CE127/CE4)</f>
        <v>3.6231884057971015E-3</v>
      </c>
      <c r="CG127" s="41"/>
      <c r="CH127" s="82">
        <f>+'N EERR'!M20</f>
        <v>0</v>
      </c>
      <c r="CI127" s="28" t="str">
        <f>IF(AND(CH4=0,CH127&gt;=0), "",CH127/CH4)</f>
        <v/>
      </c>
      <c r="CJ127" s="41"/>
      <c r="CK127" s="28" t="str">
        <f t="shared" si="129"/>
        <v/>
      </c>
      <c r="CL127" s="83">
        <f t="shared" si="168"/>
        <v>50</v>
      </c>
      <c r="CM127" s="28">
        <f>IF(AND(CL4=0,CL127&gt;=0), "",CL127/CL4)</f>
        <v>3.6231884057971015E-3</v>
      </c>
      <c r="CN127" s="41"/>
      <c r="CO127" s="82">
        <f>+'N EERR'!N20</f>
        <v>0</v>
      </c>
      <c r="CP127" s="28" t="str">
        <f>IF(AND(CO4=0,CO127&gt;=0), "",CO127/CO4)</f>
        <v/>
      </c>
      <c r="CQ127" s="41"/>
      <c r="CR127" s="28" t="str">
        <f t="shared" si="130"/>
        <v/>
      </c>
      <c r="CS127" s="83">
        <f t="shared" si="169"/>
        <v>50</v>
      </c>
      <c r="CT127" s="28">
        <f>IF(AND(CS4=0,CS127&gt;=0), "",CS127/CS4)</f>
        <v>3.6231884057971015E-3</v>
      </c>
      <c r="CU127" s="41"/>
      <c r="CV127" s="84">
        <f t="shared" si="170"/>
        <v>0</v>
      </c>
      <c r="CW127" s="28" t="str">
        <f>IF(AND(CV4=0,CV127&gt;=0), "",CV127/CV4)</f>
        <v/>
      </c>
      <c r="CX127" s="42">
        <f t="shared" si="131"/>
        <v>1</v>
      </c>
    </row>
    <row r="128" spans="1:102" s="6" customFormat="1" hidden="1" outlineLevel="1" x14ac:dyDescent="0.25">
      <c r="A128" s="27" t="s">
        <v>106</v>
      </c>
      <c r="B128" s="82">
        <f>+'N EERR'!B21</f>
        <v>0</v>
      </c>
      <c r="C128" s="28" t="str">
        <f>IF(AND(B4=0,B128&gt;=0), "",B128/B4)</f>
        <v/>
      </c>
      <c r="D128" s="41"/>
      <c r="E128" s="82">
        <f>+'N EERR'!C21</f>
        <v>50</v>
      </c>
      <c r="F128" s="28">
        <f>IF(AND(E4=0,E128&gt;=0), "",E128/E4)</f>
        <v>3.6231884057971015E-3</v>
      </c>
      <c r="G128" s="41"/>
      <c r="H128" s="82">
        <f>+'N EERR'!D21</f>
        <v>0</v>
      </c>
      <c r="I128" s="28" t="str">
        <f>IF(AND(H4=0,H128&gt;=0), "",H128/H4)</f>
        <v/>
      </c>
      <c r="J128" s="41"/>
      <c r="K128" s="28">
        <f t="shared" si="138"/>
        <v>-1</v>
      </c>
      <c r="L128" s="83">
        <f t="shared" si="160"/>
        <v>50</v>
      </c>
      <c r="M128" s="28">
        <f>IF(AND(L4=0,L128&gt;=0), "",L128/L4)</f>
        <v>3.6231884057971015E-3</v>
      </c>
      <c r="N128" s="41"/>
      <c r="O128" s="82">
        <f>+'N EERR'!E21</f>
        <v>0</v>
      </c>
      <c r="P128" s="28" t="str">
        <f>IF(AND(O4=0,O128&gt;=0), "",O128/O4)</f>
        <v/>
      </c>
      <c r="Q128" s="41"/>
      <c r="R128" s="28" t="str">
        <f t="shared" si="139"/>
        <v/>
      </c>
      <c r="S128" s="83">
        <f t="shared" si="161"/>
        <v>50</v>
      </c>
      <c r="T128" s="28">
        <f>IF(AND(S4=0,S128&gt;=0), "",S128/S4)</f>
        <v>3.6231884057971015E-3</v>
      </c>
      <c r="U128" s="41"/>
      <c r="V128" s="84"/>
      <c r="W128" s="28" t="str">
        <f>IF(AND(V4=0,V128&gt;=0), "",V128/V4)</f>
        <v/>
      </c>
      <c r="X128" s="42">
        <f t="shared" si="140"/>
        <v>1</v>
      </c>
      <c r="Y128" s="82">
        <f>+'N EERR'!F21</f>
        <v>0</v>
      </c>
      <c r="Z128" s="28" t="str">
        <f>IF(AND(Y4=0,Y128&gt;=0), "",Y128/Y4)</f>
        <v/>
      </c>
      <c r="AA128" s="41"/>
      <c r="AB128" s="28" t="str">
        <f t="shared" si="141"/>
        <v/>
      </c>
      <c r="AC128" s="83">
        <f t="shared" si="162"/>
        <v>50</v>
      </c>
      <c r="AD128" s="28">
        <f>IF(AND(AC4=0,AC128&gt;=0), "",AC128/AC4)</f>
        <v>3.6231884057971015E-3</v>
      </c>
      <c r="AE128" s="41"/>
      <c r="AF128" s="82">
        <f>+'N EERR'!G21</f>
        <v>0</v>
      </c>
      <c r="AG128" s="28" t="str">
        <f>IF(AND(AF4=0,AF128&gt;=0), "",AF128/AF4)</f>
        <v/>
      </c>
      <c r="AH128" s="41"/>
      <c r="AI128" s="28" t="str">
        <f t="shared" si="124"/>
        <v/>
      </c>
      <c r="AJ128" s="83">
        <f t="shared" si="95"/>
        <v>50</v>
      </c>
      <c r="AK128" s="28">
        <f>IF(AND(AJ4=0,AJ128&gt;=0), "",AJ128/AJ4)</f>
        <v>3.6231884057971015E-3</v>
      </c>
      <c r="AL128" s="41"/>
      <c r="AM128" s="82">
        <f>+'N EERR'!H21</f>
        <v>0</v>
      </c>
      <c r="AN128" s="28" t="str">
        <f>IF(AND(AM4=0,AM128&gt;=0), "",AM128/AM4)</f>
        <v/>
      </c>
      <c r="AO128" s="41"/>
      <c r="AP128" s="28" t="str">
        <f t="shared" si="125"/>
        <v/>
      </c>
      <c r="AQ128" s="83">
        <f t="shared" si="96"/>
        <v>50</v>
      </c>
      <c r="AR128" s="28">
        <f>IF(AND(AQ4=0,AQ128&gt;=0), "",AQ128/AQ4)</f>
        <v>3.6231884057971015E-3</v>
      </c>
      <c r="AS128" s="41"/>
      <c r="AT128" s="84">
        <f t="shared" si="163"/>
        <v>0</v>
      </c>
      <c r="AU128" s="28" t="str">
        <f>IF(AND(AT4=0,AT128&gt;=0), "",AT128/AT4)</f>
        <v/>
      </c>
      <c r="AV128" s="42">
        <f t="shared" si="142"/>
        <v>1</v>
      </c>
      <c r="AW128" s="84">
        <f t="shared" si="171"/>
        <v>8.3333333333333339</v>
      </c>
      <c r="AX128" s="28">
        <f>IF(AND(AW4=0,AW128&gt;=0), "",AW128/AW4)</f>
        <v>3.6231884057971011E-3</v>
      </c>
      <c r="AY128" s="41"/>
      <c r="AZ128" s="84">
        <f t="shared" si="164"/>
        <v>0</v>
      </c>
      <c r="BA128" s="28" t="str">
        <f>IF(AND(AZ4=0,AZ128&gt;=0), "",AZ128/AZ4)</f>
        <v/>
      </c>
      <c r="BB128" s="42">
        <f t="shared" si="143"/>
        <v>1</v>
      </c>
      <c r="BC128" s="82">
        <f>+'N EERR'!I21</f>
        <v>0</v>
      </c>
      <c r="BD128" s="28" t="str">
        <f>IF(AND(BC4=0,BC128&gt;=0), "",BC128/BC4)</f>
        <v/>
      </c>
      <c r="BE128" s="41"/>
      <c r="BF128" s="28" t="str">
        <f t="shared" si="144"/>
        <v/>
      </c>
      <c r="BG128" s="83">
        <f t="shared" si="172"/>
        <v>50</v>
      </c>
      <c r="BH128" s="28">
        <f>IF(AND(BG4=0,BG128&gt;=0), "",BG128/BG4)</f>
        <v>3.6231884057971015E-3</v>
      </c>
      <c r="BI128" s="41"/>
      <c r="BJ128" s="82">
        <f>+'N EERR'!J21</f>
        <v>0</v>
      </c>
      <c r="BK128" s="28" t="str">
        <f>IF(AND(BJ4=0,BJ128&gt;=0), "",BJ128/BJ4)</f>
        <v/>
      </c>
      <c r="BL128" s="41"/>
      <c r="BM128" s="28" t="str">
        <f t="shared" si="126"/>
        <v/>
      </c>
      <c r="BN128" s="83">
        <f t="shared" si="173"/>
        <v>50</v>
      </c>
      <c r="BO128" s="28">
        <f>IF(AND(BN4=0,BN128&gt;=0), "",BN128/BN4)</f>
        <v>3.6231884057971015E-3</v>
      </c>
      <c r="BP128" s="41"/>
      <c r="BQ128" s="82">
        <f>+'N EERR'!K21</f>
        <v>0</v>
      </c>
      <c r="BR128" s="28" t="str">
        <f>IF(AND(BQ4=0,BQ128&gt;=0), "",BQ128/BQ4)</f>
        <v/>
      </c>
      <c r="BS128" s="41"/>
      <c r="BT128" s="28" t="str">
        <f t="shared" si="127"/>
        <v/>
      </c>
      <c r="BU128" s="83">
        <f t="shared" si="165"/>
        <v>50</v>
      </c>
      <c r="BV128" s="28">
        <f>IF(AND(BU4=0,BU128&gt;=0), "",BU128/BU4)</f>
        <v>3.6231884057971015E-3</v>
      </c>
      <c r="BW128" s="41"/>
      <c r="BX128" s="84">
        <f t="shared" si="166"/>
        <v>0</v>
      </c>
      <c r="BY128" s="28" t="str">
        <f>IF(AND(BX4=0,BX128&gt;=0), "",BX128/BX4)</f>
        <v/>
      </c>
      <c r="BZ128" s="42">
        <f t="shared" si="128"/>
        <v>1</v>
      </c>
      <c r="CA128" s="82">
        <f>+'N EERR'!L21</f>
        <v>0</v>
      </c>
      <c r="CB128" s="28" t="str">
        <f>IF(AND(CA4=0,CA128&gt;=0), "",CA128/CA4)</f>
        <v/>
      </c>
      <c r="CC128" s="41"/>
      <c r="CD128" s="28" t="str">
        <f t="shared" si="145"/>
        <v/>
      </c>
      <c r="CE128" s="83">
        <f t="shared" si="167"/>
        <v>50</v>
      </c>
      <c r="CF128" s="28">
        <f>IF(AND(CE4=0,CE128&gt;=0), "",CE128/CE4)</f>
        <v>3.6231884057971015E-3</v>
      </c>
      <c r="CG128" s="41"/>
      <c r="CH128" s="82">
        <f>+'N EERR'!M21</f>
        <v>0</v>
      </c>
      <c r="CI128" s="28" t="str">
        <f>IF(AND(CH4=0,CH128&gt;=0), "",CH128/CH4)</f>
        <v/>
      </c>
      <c r="CJ128" s="41"/>
      <c r="CK128" s="28" t="str">
        <f t="shared" si="129"/>
        <v/>
      </c>
      <c r="CL128" s="83">
        <f t="shared" si="168"/>
        <v>50</v>
      </c>
      <c r="CM128" s="28">
        <f>IF(AND(CL4=0,CL128&gt;=0), "",CL128/CL4)</f>
        <v>3.6231884057971015E-3</v>
      </c>
      <c r="CN128" s="41"/>
      <c r="CO128" s="82">
        <f>+'N EERR'!N21</f>
        <v>0</v>
      </c>
      <c r="CP128" s="28" t="str">
        <f>IF(AND(CO4=0,CO128&gt;=0), "",CO128/CO4)</f>
        <v/>
      </c>
      <c r="CQ128" s="41"/>
      <c r="CR128" s="28" t="str">
        <f t="shared" si="130"/>
        <v/>
      </c>
      <c r="CS128" s="83">
        <f t="shared" si="169"/>
        <v>50</v>
      </c>
      <c r="CT128" s="28">
        <f>IF(AND(CS4=0,CS128&gt;=0), "",CS128/CS4)</f>
        <v>3.6231884057971015E-3</v>
      </c>
      <c r="CU128" s="41"/>
      <c r="CV128" s="84">
        <f t="shared" si="170"/>
        <v>0</v>
      </c>
      <c r="CW128" s="28" t="str">
        <f>IF(AND(CV4=0,CV128&gt;=0), "",CV128/CV4)</f>
        <v/>
      </c>
      <c r="CX128" s="42">
        <f t="shared" si="131"/>
        <v>1</v>
      </c>
    </row>
    <row r="129" spans="1:219" s="6" customFormat="1" hidden="1" outlineLevel="1" x14ac:dyDescent="0.25">
      <c r="A129" s="27" t="s">
        <v>107</v>
      </c>
      <c r="B129" s="82">
        <f>+'N EERR'!B22</f>
        <v>0</v>
      </c>
      <c r="C129" s="28" t="str">
        <f>IF(AND(B4=0,B129&gt;=0), "",B129/B4)</f>
        <v/>
      </c>
      <c r="D129" s="41"/>
      <c r="E129" s="82">
        <f>+'N EERR'!C22</f>
        <v>50</v>
      </c>
      <c r="F129" s="28">
        <f>IF(AND(E4=0,E129&gt;=0), "",E129/E4)</f>
        <v>3.6231884057971015E-3</v>
      </c>
      <c r="G129" s="41"/>
      <c r="H129" s="82">
        <f>+'N EERR'!D22</f>
        <v>0</v>
      </c>
      <c r="I129" s="28" t="str">
        <f>IF(AND(H4=0,H129&gt;=0), "",H129/H4)</f>
        <v/>
      </c>
      <c r="J129" s="41"/>
      <c r="K129" s="28">
        <f t="shared" si="138"/>
        <v>-1</v>
      </c>
      <c r="L129" s="83">
        <f t="shared" si="160"/>
        <v>50</v>
      </c>
      <c r="M129" s="28">
        <f>IF(AND(L4=0,L129&gt;=0), "",L129/L4)</f>
        <v>3.6231884057971015E-3</v>
      </c>
      <c r="N129" s="41"/>
      <c r="O129" s="82">
        <f>+'N EERR'!E22</f>
        <v>0</v>
      </c>
      <c r="P129" s="28" t="str">
        <f>IF(AND(O4=0,O129&gt;=0), "",O129/O4)</f>
        <v/>
      </c>
      <c r="Q129" s="41"/>
      <c r="R129" s="28" t="str">
        <f t="shared" si="139"/>
        <v/>
      </c>
      <c r="S129" s="83">
        <f t="shared" si="161"/>
        <v>50</v>
      </c>
      <c r="T129" s="28">
        <f>IF(AND(S4=0,S129&gt;=0), "",S129/S4)</f>
        <v>3.6231884057971015E-3</v>
      </c>
      <c r="U129" s="41"/>
      <c r="V129" s="84"/>
      <c r="W129" s="28" t="str">
        <f>IF(AND(V4=0,V129&gt;=0), "",V129/V4)</f>
        <v/>
      </c>
      <c r="X129" s="42">
        <f t="shared" si="140"/>
        <v>1</v>
      </c>
      <c r="Y129" s="82">
        <f>+'N EERR'!F22</f>
        <v>0</v>
      </c>
      <c r="Z129" s="28" t="str">
        <f>IF(AND(Y4=0,Y129&gt;=0), "",Y129/Y4)</f>
        <v/>
      </c>
      <c r="AA129" s="41"/>
      <c r="AB129" s="28" t="str">
        <f t="shared" si="141"/>
        <v/>
      </c>
      <c r="AC129" s="83">
        <f t="shared" si="162"/>
        <v>50</v>
      </c>
      <c r="AD129" s="28">
        <f>IF(AND(AC4=0,AC129&gt;=0), "",AC129/AC4)</f>
        <v>3.6231884057971015E-3</v>
      </c>
      <c r="AE129" s="41"/>
      <c r="AF129" s="82">
        <f>+'N EERR'!G22</f>
        <v>0</v>
      </c>
      <c r="AG129" s="28" t="str">
        <f>IF(AND(AF4=0,AF129&gt;=0), "",AF129/AF4)</f>
        <v/>
      </c>
      <c r="AH129" s="41"/>
      <c r="AI129" s="28" t="str">
        <f t="shared" si="124"/>
        <v/>
      </c>
      <c r="AJ129" s="83">
        <f t="shared" si="95"/>
        <v>50</v>
      </c>
      <c r="AK129" s="28">
        <f>IF(AND(AJ4=0,AJ129&gt;=0), "",AJ129/AJ4)</f>
        <v>3.6231884057971015E-3</v>
      </c>
      <c r="AL129" s="41"/>
      <c r="AM129" s="82">
        <f>+'N EERR'!H22</f>
        <v>0</v>
      </c>
      <c r="AN129" s="28" t="str">
        <f>IF(AND(AM4=0,AM129&gt;=0), "",AM129/AM4)</f>
        <v/>
      </c>
      <c r="AO129" s="41"/>
      <c r="AP129" s="28" t="str">
        <f t="shared" si="125"/>
        <v/>
      </c>
      <c r="AQ129" s="83">
        <f t="shared" si="96"/>
        <v>50</v>
      </c>
      <c r="AR129" s="28">
        <f>IF(AND(AQ4=0,AQ129&gt;=0), "",AQ129/AQ4)</f>
        <v>3.6231884057971015E-3</v>
      </c>
      <c r="AS129" s="41"/>
      <c r="AT129" s="84">
        <f t="shared" si="163"/>
        <v>0</v>
      </c>
      <c r="AU129" s="28" t="str">
        <f>IF(AND(AT4=0,AT129&gt;=0), "",AT129/AT4)</f>
        <v/>
      </c>
      <c r="AV129" s="42">
        <f t="shared" si="142"/>
        <v>1</v>
      </c>
      <c r="AW129" s="84">
        <f t="shared" si="171"/>
        <v>8.3333333333333339</v>
      </c>
      <c r="AX129" s="28">
        <f>IF(AND(AW4=0,AW129&gt;=0), "",AW129/AW4)</f>
        <v>3.6231884057971011E-3</v>
      </c>
      <c r="AY129" s="41"/>
      <c r="AZ129" s="84">
        <f t="shared" si="164"/>
        <v>0</v>
      </c>
      <c r="BA129" s="28" t="str">
        <f>IF(AND(AZ4=0,AZ129&gt;=0), "",AZ129/AZ4)</f>
        <v/>
      </c>
      <c r="BB129" s="42">
        <f t="shared" si="143"/>
        <v>1</v>
      </c>
      <c r="BC129" s="82">
        <f>+'N EERR'!I22</f>
        <v>0</v>
      </c>
      <c r="BD129" s="28" t="str">
        <f>IF(AND(BC4=0,BC129&gt;=0), "",BC129/BC4)</f>
        <v/>
      </c>
      <c r="BE129" s="41"/>
      <c r="BF129" s="28" t="str">
        <f t="shared" si="144"/>
        <v/>
      </c>
      <c r="BG129" s="83">
        <f t="shared" si="172"/>
        <v>50</v>
      </c>
      <c r="BH129" s="28">
        <f>IF(AND(BG4=0,BG129&gt;=0), "",BG129/BG4)</f>
        <v>3.6231884057971015E-3</v>
      </c>
      <c r="BI129" s="41"/>
      <c r="BJ129" s="82">
        <f>+'N EERR'!J22</f>
        <v>0</v>
      </c>
      <c r="BK129" s="28" t="str">
        <f>IF(AND(BJ4=0,BJ129&gt;=0), "",BJ129/BJ4)</f>
        <v/>
      </c>
      <c r="BL129" s="41"/>
      <c r="BM129" s="28" t="str">
        <f t="shared" si="126"/>
        <v/>
      </c>
      <c r="BN129" s="83">
        <f t="shared" si="173"/>
        <v>50</v>
      </c>
      <c r="BO129" s="28">
        <f>IF(AND(BN4=0,BN129&gt;=0), "",BN129/BN4)</f>
        <v>3.6231884057971015E-3</v>
      </c>
      <c r="BP129" s="41"/>
      <c r="BQ129" s="82">
        <f>+'N EERR'!K22</f>
        <v>0</v>
      </c>
      <c r="BR129" s="28" t="str">
        <f>IF(AND(BQ4=0,BQ129&gt;=0), "",BQ129/BQ4)</f>
        <v/>
      </c>
      <c r="BS129" s="41"/>
      <c r="BT129" s="28" t="str">
        <f t="shared" si="127"/>
        <v/>
      </c>
      <c r="BU129" s="83">
        <f t="shared" si="165"/>
        <v>50</v>
      </c>
      <c r="BV129" s="28">
        <f>IF(AND(BU4=0,BU129&gt;=0), "",BU129/BU4)</f>
        <v>3.6231884057971015E-3</v>
      </c>
      <c r="BW129" s="41"/>
      <c r="BX129" s="84">
        <f t="shared" si="166"/>
        <v>0</v>
      </c>
      <c r="BY129" s="28" t="str">
        <f>IF(AND(BX4=0,BX129&gt;=0), "",BX129/BX4)</f>
        <v/>
      </c>
      <c r="BZ129" s="42">
        <f t="shared" si="128"/>
        <v>1</v>
      </c>
      <c r="CA129" s="82">
        <f>+'N EERR'!L22</f>
        <v>0</v>
      </c>
      <c r="CB129" s="28" t="str">
        <f>IF(AND(CA4=0,CA129&gt;=0), "",CA129/CA4)</f>
        <v/>
      </c>
      <c r="CC129" s="41"/>
      <c r="CD129" s="28" t="str">
        <f t="shared" si="145"/>
        <v/>
      </c>
      <c r="CE129" s="83">
        <f t="shared" si="167"/>
        <v>50</v>
      </c>
      <c r="CF129" s="28">
        <f>IF(AND(CE4=0,CE129&gt;=0), "",CE129/CE4)</f>
        <v>3.6231884057971015E-3</v>
      </c>
      <c r="CG129" s="41"/>
      <c r="CH129" s="82">
        <f>+'N EERR'!M22</f>
        <v>0</v>
      </c>
      <c r="CI129" s="28" t="str">
        <f>IF(AND(CH4=0,CH129&gt;=0), "",CH129/CH4)</f>
        <v/>
      </c>
      <c r="CJ129" s="41"/>
      <c r="CK129" s="28" t="str">
        <f t="shared" si="129"/>
        <v/>
      </c>
      <c r="CL129" s="83">
        <f t="shared" si="168"/>
        <v>50</v>
      </c>
      <c r="CM129" s="28">
        <f>IF(AND(CL4=0,CL129&gt;=0), "",CL129/CL4)</f>
        <v>3.6231884057971015E-3</v>
      </c>
      <c r="CN129" s="41"/>
      <c r="CO129" s="82">
        <f>+'N EERR'!N22</f>
        <v>0</v>
      </c>
      <c r="CP129" s="28" t="str">
        <f>IF(AND(CO4=0,CO129&gt;=0), "",CO129/CO4)</f>
        <v/>
      </c>
      <c r="CQ129" s="41"/>
      <c r="CR129" s="28" t="str">
        <f t="shared" si="130"/>
        <v/>
      </c>
      <c r="CS129" s="83">
        <f t="shared" si="169"/>
        <v>50</v>
      </c>
      <c r="CT129" s="28">
        <f>IF(AND(CS4=0,CS129&gt;=0), "",CS129/CS4)</f>
        <v>3.6231884057971015E-3</v>
      </c>
      <c r="CU129" s="41"/>
      <c r="CV129" s="84">
        <f t="shared" si="170"/>
        <v>0</v>
      </c>
      <c r="CW129" s="28" t="str">
        <f>IF(AND(CV4=0,CV129&gt;=0), "",CV129/CV4)</f>
        <v/>
      </c>
      <c r="CX129" s="42">
        <f t="shared" si="131"/>
        <v>1</v>
      </c>
    </row>
    <row r="130" spans="1:219" s="6" customFormat="1" hidden="1" outlineLevel="1" x14ac:dyDescent="0.25">
      <c r="A130" s="27" t="s">
        <v>108</v>
      </c>
      <c r="B130" s="82">
        <f>+'N EERR'!B23</f>
        <v>0</v>
      </c>
      <c r="C130" s="28" t="str">
        <f>IF(AND(B4=0,B130&gt;=0), "",B130/B4)</f>
        <v/>
      </c>
      <c r="D130" s="41"/>
      <c r="E130" s="82">
        <f>+'N EERR'!C23</f>
        <v>50</v>
      </c>
      <c r="F130" s="28">
        <f>IF(AND(E4=0,E130&gt;=0), "",E130/E4)</f>
        <v>3.6231884057971015E-3</v>
      </c>
      <c r="G130" s="41"/>
      <c r="H130" s="82">
        <f>+'N EERR'!D23</f>
        <v>0</v>
      </c>
      <c r="I130" s="28" t="str">
        <f>IF(AND(H4=0,H130&gt;=0), "",H130/H4)</f>
        <v/>
      </c>
      <c r="J130" s="41"/>
      <c r="K130" s="28">
        <f t="shared" si="138"/>
        <v>-1</v>
      </c>
      <c r="L130" s="83">
        <f t="shared" si="160"/>
        <v>50</v>
      </c>
      <c r="M130" s="28">
        <f>IF(AND(L4=0,L130&gt;=0), "",L130/L4)</f>
        <v>3.6231884057971015E-3</v>
      </c>
      <c r="N130" s="41"/>
      <c r="O130" s="82">
        <f>+'N EERR'!E23</f>
        <v>0</v>
      </c>
      <c r="P130" s="28" t="str">
        <f>IF(AND(O4=0,O130&gt;=0), "",O130/O4)</f>
        <v/>
      </c>
      <c r="Q130" s="41"/>
      <c r="R130" s="28" t="str">
        <f t="shared" si="139"/>
        <v/>
      </c>
      <c r="S130" s="83">
        <f t="shared" si="161"/>
        <v>50</v>
      </c>
      <c r="T130" s="28">
        <f>IF(AND(S4=0,S130&gt;=0), "",S130/S4)</f>
        <v>3.6231884057971015E-3</v>
      </c>
      <c r="U130" s="41"/>
      <c r="V130" s="84"/>
      <c r="W130" s="28" t="str">
        <f>IF(AND(V4=0,V130&gt;=0), "",V130/V4)</f>
        <v/>
      </c>
      <c r="X130" s="42">
        <f t="shared" si="140"/>
        <v>1</v>
      </c>
      <c r="Y130" s="82">
        <f>+'N EERR'!F23</f>
        <v>0</v>
      </c>
      <c r="Z130" s="28" t="str">
        <f>IF(AND(Y4=0,Y130&gt;=0), "",Y130/Y4)</f>
        <v/>
      </c>
      <c r="AA130" s="41"/>
      <c r="AB130" s="28" t="str">
        <f t="shared" si="141"/>
        <v/>
      </c>
      <c r="AC130" s="83">
        <f t="shared" si="162"/>
        <v>50</v>
      </c>
      <c r="AD130" s="28">
        <f>IF(AND(AC4=0,AC130&gt;=0), "",AC130/AC4)</f>
        <v>3.6231884057971015E-3</v>
      </c>
      <c r="AE130" s="41"/>
      <c r="AF130" s="82">
        <f>+'N EERR'!G23</f>
        <v>0</v>
      </c>
      <c r="AG130" s="28" t="str">
        <f>IF(AND(AF4=0,AF130&gt;=0), "",AF130/AF4)</f>
        <v/>
      </c>
      <c r="AH130" s="41"/>
      <c r="AI130" s="28" t="str">
        <f t="shared" si="124"/>
        <v/>
      </c>
      <c r="AJ130" s="83">
        <f t="shared" si="95"/>
        <v>50</v>
      </c>
      <c r="AK130" s="28">
        <f>IF(AND(AJ4=0,AJ130&gt;=0), "",AJ130/AJ4)</f>
        <v>3.6231884057971015E-3</v>
      </c>
      <c r="AL130" s="41"/>
      <c r="AM130" s="82">
        <f>+'N EERR'!H23</f>
        <v>0</v>
      </c>
      <c r="AN130" s="28" t="str">
        <f>IF(AND(AM4=0,AM130&gt;=0), "",AM130/AM4)</f>
        <v/>
      </c>
      <c r="AO130" s="41"/>
      <c r="AP130" s="28" t="str">
        <f t="shared" si="125"/>
        <v/>
      </c>
      <c r="AQ130" s="83">
        <f t="shared" si="96"/>
        <v>50</v>
      </c>
      <c r="AR130" s="28">
        <f>IF(AND(AQ4=0,AQ130&gt;=0), "",AQ130/AQ4)</f>
        <v>3.6231884057971015E-3</v>
      </c>
      <c r="AS130" s="41"/>
      <c r="AT130" s="84">
        <f t="shared" si="163"/>
        <v>0</v>
      </c>
      <c r="AU130" s="28" t="str">
        <f>IF(AND(AT4=0,AT130&gt;=0), "",AT130/AT4)</f>
        <v/>
      </c>
      <c r="AV130" s="42">
        <f t="shared" si="142"/>
        <v>1</v>
      </c>
      <c r="AW130" s="84">
        <f t="shared" si="171"/>
        <v>8.3333333333333339</v>
      </c>
      <c r="AX130" s="28">
        <f>IF(AND(AW4=0,AW130&gt;=0), "",AW130/AW4)</f>
        <v>3.6231884057971011E-3</v>
      </c>
      <c r="AY130" s="41"/>
      <c r="AZ130" s="84">
        <f t="shared" si="164"/>
        <v>0</v>
      </c>
      <c r="BA130" s="28" t="str">
        <f>IF(AND(AZ4=0,AZ130&gt;=0), "",AZ130/AZ4)</f>
        <v/>
      </c>
      <c r="BB130" s="42">
        <f t="shared" si="143"/>
        <v>1</v>
      </c>
      <c r="BC130" s="82">
        <f>+'N EERR'!I23</f>
        <v>0</v>
      </c>
      <c r="BD130" s="28" t="str">
        <f>IF(AND(BC4=0,BC130&gt;=0), "",BC130/BC4)</f>
        <v/>
      </c>
      <c r="BE130" s="41"/>
      <c r="BF130" s="28" t="str">
        <f t="shared" si="144"/>
        <v/>
      </c>
      <c r="BG130" s="83">
        <f t="shared" si="172"/>
        <v>50</v>
      </c>
      <c r="BH130" s="28">
        <f>IF(AND(BG4=0,BG130&gt;=0), "",BG130/BG4)</f>
        <v>3.6231884057971015E-3</v>
      </c>
      <c r="BI130" s="41"/>
      <c r="BJ130" s="82">
        <f>+'N EERR'!J23</f>
        <v>0</v>
      </c>
      <c r="BK130" s="28" t="str">
        <f>IF(AND(BJ4=0,BJ130&gt;=0), "",BJ130/BJ4)</f>
        <v/>
      </c>
      <c r="BL130" s="41"/>
      <c r="BM130" s="28" t="str">
        <f t="shared" si="126"/>
        <v/>
      </c>
      <c r="BN130" s="83">
        <f t="shared" si="173"/>
        <v>50</v>
      </c>
      <c r="BO130" s="28">
        <f>IF(AND(BN4=0,BN130&gt;=0), "",BN130/BN4)</f>
        <v>3.6231884057971015E-3</v>
      </c>
      <c r="BP130" s="41"/>
      <c r="BQ130" s="82">
        <f>+'N EERR'!K23</f>
        <v>0</v>
      </c>
      <c r="BR130" s="28" t="str">
        <f>IF(AND(BQ4=0,BQ130&gt;=0), "",BQ130/BQ4)</f>
        <v/>
      </c>
      <c r="BS130" s="41"/>
      <c r="BT130" s="28" t="str">
        <f t="shared" si="127"/>
        <v/>
      </c>
      <c r="BU130" s="83">
        <f t="shared" si="165"/>
        <v>50</v>
      </c>
      <c r="BV130" s="28">
        <f>IF(AND(BU4=0,BU130&gt;=0), "",BU130/BU4)</f>
        <v>3.6231884057971015E-3</v>
      </c>
      <c r="BW130" s="41"/>
      <c r="BX130" s="84">
        <f t="shared" si="166"/>
        <v>0</v>
      </c>
      <c r="BY130" s="28" t="str">
        <f>IF(AND(BX4=0,BX130&gt;=0), "",BX130/BX4)</f>
        <v/>
      </c>
      <c r="BZ130" s="42">
        <f t="shared" si="128"/>
        <v>1</v>
      </c>
      <c r="CA130" s="82">
        <f>+'N EERR'!L23</f>
        <v>0</v>
      </c>
      <c r="CB130" s="28" t="str">
        <f>IF(AND(CA4=0,CA130&gt;=0), "",CA130/CA4)</f>
        <v/>
      </c>
      <c r="CC130" s="41"/>
      <c r="CD130" s="28" t="str">
        <f t="shared" si="145"/>
        <v/>
      </c>
      <c r="CE130" s="83">
        <f t="shared" si="167"/>
        <v>50</v>
      </c>
      <c r="CF130" s="28">
        <f>IF(AND(CE4=0,CE130&gt;=0), "",CE130/CE4)</f>
        <v>3.6231884057971015E-3</v>
      </c>
      <c r="CG130" s="41"/>
      <c r="CH130" s="82">
        <f>+'N EERR'!M23</f>
        <v>0</v>
      </c>
      <c r="CI130" s="28" t="str">
        <f>IF(AND(CH4=0,CH130&gt;=0), "",CH130/CH4)</f>
        <v/>
      </c>
      <c r="CJ130" s="41"/>
      <c r="CK130" s="28" t="str">
        <f t="shared" si="129"/>
        <v/>
      </c>
      <c r="CL130" s="83">
        <f t="shared" si="168"/>
        <v>50</v>
      </c>
      <c r="CM130" s="28">
        <f>IF(AND(CL4=0,CL130&gt;=0), "",CL130/CL4)</f>
        <v>3.6231884057971015E-3</v>
      </c>
      <c r="CN130" s="41"/>
      <c r="CO130" s="82">
        <f>+'N EERR'!N23</f>
        <v>0</v>
      </c>
      <c r="CP130" s="28" t="str">
        <f>IF(AND(CO4=0,CO130&gt;=0), "",CO130/CO4)</f>
        <v/>
      </c>
      <c r="CQ130" s="41"/>
      <c r="CR130" s="28" t="str">
        <f t="shared" si="130"/>
        <v/>
      </c>
      <c r="CS130" s="83">
        <f t="shared" si="169"/>
        <v>50</v>
      </c>
      <c r="CT130" s="28">
        <f>IF(AND(CS4=0,CS130&gt;=0), "",CS130/CS4)</f>
        <v>3.6231884057971015E-3</v>
      </c>
      <c r="CU130" s="41"/>
      <c r="CV130" s="84">
        <f t="shared" si="170"/>
        <v>0</v>
      </c>
      <c r="CW130" s="28" t="str">
        <f>IF(AND(CV4=0,CV130&gt;=0), "",CV130/CV4)</f>
        <v/>
      </c>
      <c r="CX130" s="42">
        <f t="shared" si="131"/>
        <v>1</v>
      </c>
    </row>
    <row r="131" spans="1:219" s="6" customFormat="1" hidden="1" outlineLevel="1" x14ac:dyDescent="0.25">
      <c r="A131" s="27" t="s">
        <v>109</v>
      </c>
      <c r="B131" s="82">
        <f>+'N EERR'!B24</f>
        <v>0</v>
      </c>
      <c r="C131" s="28" t="str">
        <f>IF(AND(B4=0,B131&gt;=0), "",B131/B4)</f>
        <v/>
      </c>
      <c r="D131" s="41"/>
      <c r="E131" s="82">
        <f>+'N EERR'!C24</f>
        <v>50</v>
      </c>
      <c r="F131" s="28">
        <f>IF(AND(E4=0,E131&gt;=0), "",E131/E4)</f>
        <v>3.6231884057971015E-3</v>
      </c>
      <c r="G131" s="41"/>
      <c r="H131" s="82">
        <f>+'N EERR'!D24</f>
        <v>0</v>
      </c>
      <c r="I131" s="28" t="str">
        <f>IF(AND(H4=0,H131&gt;=0), "",H131/H4)</f>
        <v/>
      </c>
      <c r="J131" s="41"/>
      <c r="K131" s="28">
        <f t="shared" si="138"/>
        <v>-1</v>
      </c>
      <c r="L131" s="83">
        <f t="shared" si="160"/>
        <v>50</v>
      </c>
      <c r="M131" s="28">
        <f>IF(AND(L4=0,L131&gt;=0), "",L131/L4)</f>
        <v>3.6231884057971015E-3</v>
      </c>
      <c r="N131" s="41"/>
      <c r="O131" s="82">
        <f>+'N EERR'!E24</f>
        <v>0</v>
      </c>
      <c r="P131" s="28" t="str">
        <f>IF(AND(O4=0,O131&gt;=0), "",O131/O4)</f>
        <v/>
      </c>
      <c r="Q131" s="41"/>
      <c r="R131" s="28" t="str">
        <f t="shared" si="139"/>
        <v/>
      </c>
      <c r="S131" s="83">
        <f t="shared" si="161"/>
        <v>50</v>
      </c>
      <c r="T131" s="28">
        <f>IF(AND(S4=0,S131&gt;=0), "",S131/S4)</f>
        <v>3.6231884057971015E-3</v>
      </c>
      <c r="U131" s="41"/>
      <c r="V131" s="84"/>
      <c r="W131" s="28" t="str">
        <f>IF(AND(V4=0,V131&gt;=0), "",V131/V4)</f>
        <v/>
      </c>
      <c r="X131" s="42">
        <f t="shared" si="140"/>
        <v>1</v>
      </c>
      <c r="Y131" s="82">
        <f>+'N EERR'!F24</f>
        <v>0</v>
      </c>
      <c r="Z131" s="28" t="str">
        <f>IF(AND(Y4=0,Y131&gt;=0), "",Y131/Y4)</f>
        <v/>
      </c>
      <c r="AA131" s="41"/>
      <c r="AB131" s="28" t="str">
        <f t="shared" si="141"/>
        <v/>
      </c>
      <c r="AC131" s="83">
        <f t="shared" si="162"/>
        <v>50</v>
      </c>
      <c r="AD131" s="28">
        <f>IF(AND(AC4=0,AC131&gt;=0), "",AC131/AC4)</f>
        <v>3.6231884057971015E-3</v>
      </c>
      <c r="AE131" s="41"/>
      <c r="AF131" s="82">
        <f>+'N EERR'!G24</f>
        <v>0</v>
      </c>
      <c r="AG131" s="28" t="str">
        <f>IF(AND(AF4=0,AF131&gt;=0), "",AF131/AF4)</f>
        <v/>
      </c>
      <c r="AH131" s="41"/>
      <c r="AI131" s="28" t="str">
        <f t="shared" si="124"/>
        <v/>
      </c>
      <c r="AJ131" s="83">
        <f t="shared" si="95"/>
        <v>50</v>
      </c>
      <c r="AK131" s="28">
        <f>IF(AND(AJ4=0,AJ131&gt;=0), "",AJ131/AJ4)</f>
        <v>3.6231884057971015E-3</v>
      </c>
      <c r="AL131" s="41"/>
      <c r="AM131" s="82">
        <f>+'N EERR'!H24</f>
        <v>0</v>
      </c>
      <c r="AN131" s="28" t="str">
        <f>IF(AND(AM4=0,AM131&gt;=0), "",AM131/AM4)</f>
        <v/>
      </c>
      <c r="AO131" s="41"/>
      <c r="AP131" s="28" t="str">
        <f t="shared" si="125"/>
        <v/>
      </c>
      <c r="AQ131" s="83">
        <f t="shared" si="96"/>
        <v>50</v>
      </c>
      <c r="AR131" s="28">
        <f>IF(AND(AQ4=0,AQ131&gt;=0), "",AQ131/AQ4)</f>
        <v>3.6231884057971015E-3</v>
      </c>
      <c r="AS131" s="41"/>
      <c r="AT131" s="84">
        <f t="shared" si="163"/>
        <v>0</v>
      </c>
      <c r="AU131" s="28" t="str">
        <f>IF(AND(AT4=0,AT131&gt;=0), "",AT131/AT4)</f>
        <v/>
      </c>
      <c r="AV131" s="42">
        <f t="shared" si="142"/>
        <v>1</v>
      </c>
      <c r="AW131" s="84">
        <f t="shared" si="171"/>
        <v>8.3333333333333339</v>
      </c>
      <c r="AX131" s="28">
        <f>IF(AND(AW4=0,AW131&gt;=0), "",AW131/AW4)</f>
        <v>3.6231884057971011E-3</v>
      </c>
      <c r="AY131" s="41"/>
      <c r="AZ131" s="84">
        <f t="shared" si="164"/>
        <v>0</v>
      </c>
      <c r="BA131" s="28" t="str">
        <f>IF(AND(AZ4=0,AZ131&gt;=0), "",AZ131/AZ4)</f>
        <v/>
      </c>
      <c r="BB131" s="42">
        <f t="shared" si="143"/>
        <v>1</v>
      </c>
      <c r="BC131" s="82">
        <f>+'N EERR'!I24</f>
        <v>0</v>
      </c>
      <c r="BD131" s="28" t="str">
        <f>IF(AND(BC4=0,BC131&gt;=0), "",BC131/BC4)</f>
        <v/>
      </c>
      <c r="BE131" s="41"/>
      <c r="BF131" s="28" t="str">
        <f t="shared" si="144"/>
        <v/>
      </c>
      <c r="BG131" s="83">
        <f t="shared" si="172"/>
        <v>50</v>
      </c>
      <c r="BH131" s="28">
        <f>IF(AND(BG4=0,BG131&gt;=0), "",BG131/BG4)</f>
        <v>3.6231884057971015E-3</v>
      </c>
      <c r="BI131" s="41"/>
      <c r="BJ131" s="82">
        <f>+'N EERR'!J24</f>
        <v>0</v>
      </c>
      <c r="BK131" s="28" t="str">
        <f>IF(AND(BJ4=0,BJ131&gt;=0), "",BJ131/BJ4)</f>
        <v/>
      </c>
      <c r="BL131" s="41"/>
      <c r="BM131" s="28" t="str">
        <f t="shared" si="126"/>
        <v/>
      </c>
      <c r="BN131" s="83">
        <f t="shared" si="173"/>
        <v>50</v>
      </c>
      <c r="BO131" s="28">
        <f>IF(AND(BN4=0,BN131&gt;=0), "",BN131/BN4)</f>
        <v>3.6231884057971015E-3</v>
      </c>
      <c r="BP131" s="41"/>
      <c r="BQ131" s="82">
        <f>+'N EERR'!K24</f>
        <v>0</v>
      </c>
      <c r="BR131" s="28" t="str">
        <f>IF(AND(BQ4=0,BQ131&gt;=0), "",BQ131/BQ4)</f>
        <v/>
      </c>
      <c r="BS131" s="41"/>
      <c r="BT131" s="28" t="str">
        <f t="shared" si="127"/>
        <v/>
      </c>
      <c r="BU131" s="83">
        <f t="shared" si="165"/>
        <v>50</v>
      </c>
      <c r="BV131" s="28">
        <f>IF(AND(BU4=0,BU131&gt;=0), "",BU131/BU4)</f>
        <v>3.6231884057971015E-3</v>
      </c>
      <c r="BW131" s="41"/>
      <c r="BX131" s="84">
        <f t="shared" si="166"/>
        <v>0</v>
      </c>
      <c r="BY131" s="28" t="str">
        <f>IF(AND(BX4=0,BX131&gt;=0), "",BX131/BX4)</f>
        <v/>
      </c>
      <c r="BZ131" s="42">
        <f t="shared" si="128"/>
        <v>1</v>
      </c>
      <c r="CA131" s="82">
        <f>+'N EERR'!L24</f>
        <v>0</v>
      </c>
      <c r="CB131" s="28" t="str">
        <f>IF(AND(CA4=0,CA131&gt;=0), "",CA131/CA4)</f>
        <v/>
      </c>
      <c r="CC131" s="41"/>
      <c r="CD131" s="28" t="str">
        <f t="shared" si="145"/>
        <v/>
      </c>
      <c r="CE131" s="83">
        <f t="shared" si="167"/>
        <v>50</v>
      </c>
      <c r="CF131" s="28">
        <f>IF(AND(CE4=0,CE131&gt;=0), "",CE131/CE4)</f>
        <v>3.6231884057971015E-3</v>
      </c>
      <c r="CG131" s="41"/>
      <c r="CH131" s="82">
        <f>+'N EERR'!M24</f>
        <v>0</v>
      </c>
      <c r="CI131" s="28" t="str">
        <f>IF(AND(CH4=0,CH131&gt;=0), "",CH131/CH4)</f>
        <v/>
      </c>
      <c r="CJ131" s="41"/>
      <c r="CK131" s="28" t="str">
        <f t="shared" si="129"/>
        <v/>
      </c>
      <c r="CL131" s="83">
        <f t="shared" si="168"/>
        <v>50</v>
      </c>
      <c r="CM131" s="28">
        <f>IF(AND(CL4=0,CL131&gt;=0), "",CL131/CL4)</f>
        <v>3.6231884057971015E-3</v>
      </c>
      <c r="CN131" s="41"/>
      <c r="CO131" s="82">
        <f>+'N EERR'!N24</f>
        <v>0</v>
      </c>
      <c r="CP131" s="28" t="str">
        <f>IF(AND(CO4=0,CO131&gt;=0), "",CO131/CO4)</f>
        <v/>
      </c>
      <c r="CQ131" s="41"/>
      <c r="CR131" s="28" t="str">
        <f t="shared" si="130"/>
        <v/>
      </c>
      <c r="CS131" s="83">
        <f t="shared" si="169"/>
        <v>50</v>
      </c>
      <c r="CT131" s="28">
        <f>IF(AND(CS4=0,CS131&gt;=0), "",CS131/CS4)</f>
        <v>3.6231884057971015E-3</v>
      </c>
      <c r="CU131" s="41"/>
      <c r="CV131" s="84">
        <f t="shared" si="170"/>
        <v>0</v>
      </c>
      <c r="CW131" s="28" t="str">
        <f>IF(AND(CV4=0,CV131&gt;=0), "",CV131/CV4)</f>
        <v/>
      </c>
      <c r="CX131" s="42">
        <f t="shared" si="131"/>
        <v>1</v>
      </c>
    </row>
    <row r="132" spans="1:219" s="6" customFormat="1" hidden="1" outlineLevel="1" x14ac:dyDescent="0.25">
      <c r="A132" s="27" t="s">
        <v>110</v>
      </c>
      <c r="B132" s="82">
        <f>+'N EERR'!B25</f>
        <v>0</v>
      </c>
      <c r="C132" s="28" t="str">
        <f>IF(AND(B4=0,B132&gt;=0), "",B132/B4)</f>
        <v/>
      </c>
      <c r="D132" s="41"/>
      <c r="E132" s="82">
        <f>+'N EERR'!C25</f>
        <v>50</v>
      </c>
      <c r="F132" s="28">
        <f>IF(AND(E4=0,E132&gt;=0), "",E132/E4)</f>
        <v>3.6231884057971015E-3</v>
      </c>
      <c r="G132" s="41"/>
      <c r="H132" s="82">
        <f>+'N EERR'!D25</f>
        <v>0</v>
      </c>
      <c r="I132" s="28" t="str">
        <f>IF(AND(H4=0,H132&gt;=0), "",H132/H4)</f>
        <v/>
      </c>
      <c r="J132" s="41"/>
      <c r="K132" s="28">
        <f t="shared" si="138"/>
        <v>-1</v>
      </c>
      <c r="L132" s="83">
        <f t="shared" si="160"/>
        <v>50</v>
      </c>
      <c r="M132" s="28">
        <f>IF(AND(L4=0,L132&gt;=0), "",L132/L4)</f>
        <v>3.6231884057971015E-3</v>
      </c>
      <c r="N132" s="41"/>
      <c r="O132" s="82">
        <f>+'N EERR'!E25</f>
        <v>0</v>
      </c>
      <c r="P132" s="28" t="str">
        <f>IF(AND(O4=0,O132&gt;=0), "",O132/O4)</f>
        <v/>
      </c>
      <c r="Q132" s="41"/>
      <c r="R132" s="28" t="str">
        <f t="shared" si="139"/>
        <v/>
      </c>
      <c r="S132" s="83">
        <f>+L132+O132</f>
        <v>50</v>
      </c>
      <c r="T132" s="28">
        <f>IF(AND(S4=0,S132&gt;=0), "",S132/S4)</f>
        <v>3.6231884057971015E-3</v>
      </c>
      <c r="U132" s="41"/>
      <c r="V132" s="84"/>
      <c r="W132" s="28" t="str">
        <f>IF(AND(V4=0,V132&gt;=0), "",V132/V4)</f>
        <v/>
      </c>
      <c r="X132" s="42">
        <f t="shared" si="140"/>
        <v>1</v>
      </c>
      <c r="Y132" s="82">
        <f>+'N EERR'!F25</f>
        <v>0</v>
      </c>
      <c r="Z132" s="28" t="str">
        <f>IF(AND(Y4=0,Y132&gt;=0), "",Y132/Y4)</f>
        <v/>
      </c>
      <c r="AA132" s="41"/>
      <c r="AB132" s="28" t="str">
        <f t="shared" si="141"/>
        <v/>
      </c>
      <c r="AC132" s="83">
        <f t="shared" si="162"/>
        <v>50</v>
      </c>
      <c r="AD132" s="28">
        <f>IF(AND(AC4=0,AC132&gt;=0), "",AC132/AC4)</f>
        <v>3.6231884057971015E-3</v>
      </c>
      <c r="AE132" s="41"/>
      <c r="AF132" s="82">
        <f>+'N EERR'!G25</f>
        <v>0</v>
      </c>
      <c r="AG132" s="28" t="str">
        <f>IF(AND(AF4=0,AF132&gt;=0), "",AF132/AF4)</f>
        <v/>
      </c>
      <c r="AH132" s="41"/>
      <c r="AI132" s="28" t="str">
        <f t="shared" ref="AI132:AI139" si="174">IF(AND(Y132=0,AF132&gt;0),100%,IF(AND(Y132&lt;0,AF132=0),(Y132-AF132)/Y132,IF(AND(Y132&gt;0,AF132&gt;0),(AF132-Y132)/Y132,IF(AND(Y132=0,AF132=0),"",(AF132-Y132)/Y132))))</f>
        <v/>
      </c>
      <c r="AJ132" s="83">
        <f t="shared" si="95"/>
        <v>50</v>
      </c>
      <c r="AK132" s="28">
        <f>IF(AND(AJ4=0,AJ132&gt;=0), "",AJ132/AJ4)</f>
        <v>3.6231884057971015E-3</v>
      </c>
      <c r="AL132" s="41"/>
      <c r="AM132" s="82">
        <f>+'N EERR'!H25</f>
        <v>0</v>
      </c>
      <c r="AN132" s="28" t="str">
        <f>IF(AND(AM4=0,AM132&gt;=0), "",AM132/AM4)</f>
        <v/>
      </c>
      <c r="AO132" s="41"/>
      <c r="AP132" s="28" t="str">
        <f t="shared" ref="AP132:AP139" si="175">IF(AND(AF132=0,AM132&gt;0),100%,IF(AND(AF132&lt;0,AM132=0),(AF132-AM132)/AF132,IF(AND(AF132&gt;0,AM132&gt;0),(AM132-AF132)/AF132,IF(AND(AF132=0,AM132=0),"",(AM132-AF132)/AF132))))</f>
        <v/>
      </c>
      <c r="AQ132" s="83">
        <f t="shared" si="96"/>
        <v>50</v>
      </c>
      <c r="AR132" s="28">
        <f>IF(AND(AQ4=0,AQ132&gt;=0), "",AQ132/AQ4)</f>
        <v>3.6231884057971015E-3</v>
      </c>
      <c r="AS132" s="41"/>
      <c r="AT132" s="84">
        <f t="shared" si="163"/>
        <v>0</v>
      </c>
      <c r="AU132" s="28" t="str">
        <f>IF(AND(AT4=0,AT132&gt;=0), "",AT132/AT4)</f>
        <v/>
      </c>
      <c r="AV132" s="42">
        <f t="shared" si="142"/>
        <v>1</v>
      </c>
      <c r="AW132" s="84">
        <f t="shared" si="171"/>
        <v>8.3333333333333339</v>
      </c>
      <c r="AX132" s="28">
        <f>IF(AND(AW4=0,AW132&gt;=0), "",AW132/AW4)</f>
        <v>3.6231884057971011E-3</v>
      </c>
      <c r="AY132" s="41"/>
      <c r="AZ132" s="84">
        <f t="shared" si="164"/>
        <v>0</v>
      </c>
      <c r="BA132" s="28" t="str">
        <f>IF(AND(AZ4=0,AZ132&gt;=0), "",AZ132/AZ4)</f>
        <v/>
      </c>
      <c r="BB132" s="42">
        <f t="shared" si="143"/>
        <v>1</v>
      </c>
      <c r="BC132" s="82">
        <f>+'N EERR'!I25</f>
        <v>0</v>
      </c>
      <c r="BD132" s="28" t="str">
        <f>IF(AND(BC4=0,BC132&gt;=0), "",BC132/BC4)</f>
        <v/>
      </c>
      <c r="BE132" s="41"/>
      <c r="BF132" s="28" t="str">
        <f t="shared" si="144"/>
        <v/>
      </c>
      <c r="BG132" s="83">
        <f t="shared" si="172"/>
        <v>50</v>
      </c>
      <c r="BH132" s="28">
        <f>IF(AND(BG4=0,BG132&gt;=0), "",BG132/BG4)</f>
        <v>3.6231884057971015E-3</v>
      </c>
      <c r="BI132" s="41"/>
      <c r="BJ132" s="82">
        <f>+'N EERR'!J25</f>
        <v>0</v>
      </c>
      <c r="BK132" s="28" t="str">
        <f>IF(AND(BJ4=0,BJ132&gt;=0), "",BJ132/BJ4)</f>
        <v/>
      </c>
      <c r="BL132" s="41"/>
      <c r="BM132" s="28" t="str">
        <f t="shared" ref="BM132:BM139" si="176">IF(AND(BC132=0,BJ132&gt;0),100%,IF(AND(BC132&lt;0,BJ132=0),(BC132-BJ132)/BC132,IF(AND(BC132&gt;0,BJ132&gt;0),(BJ132-BC132)/BC132,IF(AND(BC132=0,BJ132=0),"",(BJ132-BC132)/BC132))))</f>
        <v/>
      </c>
      <c r="BN132" s="83">
        <f t="shared" si="173"/>
        <v>50</v>
      </c>
      <c r="BO132" s="28">
        <f>IF(AND(BN4=0,BN132&gt;=0), "",BN132/BN4)</f>
        <v>3.6231884057971015E-3</v>
      </c>
      <c r="BP132" s="41"/>
      <c r="BQ132" s="82">
        <f>+'N EERR'!K25</f>
        <v>0</v>
      </c>
      <c r="BR132" s="28" t="str">
        <f>IF(AND(BQ4=0,BQ132&gt;=0), "",BQ132/BQ4)</f>
        <v/>
      </c>
      <c r="BS132" s="41"/>
      <c r="BT132" s="28" t="str">
        <f t="shared" ref="BT132:BT139" si="177">IF(AND(BJ132=0,BQ132&gt;0),100%,IF(AND(BJ132&lt;0,BQ132=0),(BJ132-BQ132)/BJ132,IF(AND(BJ132&gt;0,BQ132&gt;0),(BQ132-BJ132)/BJ132,IF(AND(BJ132=0,BQ132=0),"",(BQ132-BJ132)/BJ132))))</f>
        <v/>
      </c>
      <c r="BU132" s="83">
        <f t="shared" si="165"/>
        <v>50</v>
      </c>
      <c r="BV132" s="28">
        <f>IF(AND(BU4=0,BU132&gt;=0), "",BU132/BU4)</f>
        <v>3.6231884057971015E-3</v>
      </c>
      <c r="BW132" s="41"/>
      <c r="BX132" s="84">
        <f t="shared" si="166"/>
        <v>0</v>
      </c>
      <c r="BY132" s="28" t="str">
        <f>IF(AND(BX4=0,BX132&gt;=0), "",BX132/BX4)</f>
        <v/>
      </c>
      <c r="BZ132" s="42">
        <f t="shared" ref="BZ132:BZ139" si="178">IF(AND(BX132=0,BU132&gt;0),100%,IF(AND(BX132&lt;0,BU132=0),(BX132-BU132)/BX132,IF(AND(BX132&gt;0,BU132&gt;0),(BU132-BX132)/BX132,IF(AND(BX132=0,BU132=0),"",(BU132-BX132)/BX132))))</f>
        <v>1</v>
      </c>
      <c r="CA132" s="82">
        <f>+'N EERR'!L25</f>
        <v>0</v>
      </c>
      <c r="CB132" s="28" t="str">
        <f>IF(AND(CA4=0,CA132&gt;=0), "",CA132/CA4)</f>
        <v/>
      </c>
      <c r="CC132" s="41"/>
      <c r="CD132" s="28" t="str">
        <f t="shared" si="145"/>
        <v/>
      </c>
      <c r="CE132" s="83">
        <f t="shared" si="167"/>
        <v>50</v>
      </c>
      <c r="CF132" s="28">
        <f>IF(AND(CE4=0,CE132&gt;=0), "",CE132/CE4)</f>
        <v>3.6231884057971015E-3</v>
      </c>
      <c r="CG132" s="41"/>
      <c r="CH132" s="82">
        <f>+'N EERR'!M25</f>
        <v>0</v>
      </c>
      <c r="CI132" s="28" t="str">
        <f>IF(AND(CH4=0,CH132&gt;=0), "",CH132/CH4)</f>
        <v/>
      </c>
      <c r="CJ132" s="41"/>
      <c r="CK132" s="28" t="str">
        <f t="shared" ref="CK132:CK139" si="179">IF(AND(CA132=0,CH132&gt;0),100%,IF(AND(CA132&lt;0,CH132=0),(CA132-CH132)/CA132,IF(AND(CA132&gt;0,CH132&gt;0),(CH132-CA132)/CA132,IF(AND(CA132=0,CH132=0),"",(CH132-CA132)/CA132))))</f>
        <v/>
      </c>
      <c r="CL132" s="83">
        <f t="shared" si="168"/>
        <v>50</v>
      </c>
      <c r="CM132" s="28">
        <f>IF(AND(CL4=0,CL132&gt;=0), "",CL132/CL4)</f>
        <v>3.6231884057971015E-3</v>
      </c>
      <c r="CN132" s="41"/>
      <c r="CO132" s="82">
        <f>+'N EERR'!N25</f>
        <v>0</v>
      </c>
      <c r="CP132" s="28" t="str">
        <f>IF(AND(CO4=0,CO132&gt;=0), "",CO132/CO4)</f>
        <v/>
      </c>
      <c r="CQ132" s="41"/>
      <c r="CR132" s="28" t="str">
        <f t="shared" ref="CR132:CR139" si="180">IF(AND(CH132=0,CO132&gt;0),100%,IF(AND(CH132&lt;0,CO132=0),(CH132-CO132)/CH132,IF(AND(CH132&gt;0,CO132&gt;0),(CO132-CH132)/CH132,IF(AND(CH132=0,CO132=0),"",(CO132-CH132)/CH132))))</f>
        <v/>
      </c>
      <c r="CS132" s="83">
        <f t="shared" si="169"/>
        <v>50</v>
      </c>
      <c r="CT132" s="28">
        <f>IF(AND(CS4=0,CS132&gt;=0), "",CS132/CS4)</f>
        <v>3.6231884057971015E-3</v>
      </c>
      <c r="CU132" s="41"/>
      <c r="CV132" s="84">
        <f t="shared" si="170"/>
        <v>0</v>
      </c>
      <c r="CW132" s="28" t="str">
        <f>IF(AND(CV4=0,CV132&gt;=0), "",CV132/CV4)</f>
        <v/>
      </c>
      <c r="CX132" s="42">
        <f t="shared" ref="CX132:CX139" si="181">IF(AND(CV132=0,CS132&gt;0),100%,IF(AND(CV132&lt;0,CS132=0),(CV132-CS132)/CV132,IF(AND(CV132&gt;0,CS132&gt;0),(CS132-CV132)/CV132,IF(AND(CV132=0,CS132=0),"",(CS132-CV132)/CV132))))</f>
        <v>1</v>
      </c>
    </row>
    <row r="133" spans="1:219" s="6" customFormat="1" hidden="1" outlineLevel="1" x14ac:dyDescent="0.25">
      <c r="A133" s="27" t="s">
        <v>111</v>
      </c>
      <c r="B133" s="82">
        <f>+'N EERR'!B26</f>
        <v>0</v>
      </c>
      <c r="C133" s="28" t="str">
        <f>IF(AND(B4=0,B133&gt;=0), "",B133/B4)</f>
        <v/>
      </c>
      <c r="D133" s="41"/>
      <c r="E133" s="82">
        <f>+'N EERR'!C26</f>
        <v>50</v>
      </c>
      <c r="F133" s="28">
        <f>IF(AND(E4=0,E133&gt;=0), "",E133/E4)</f>
        <v>3.6231884057971015E-3</v>
      </c>
      <c r="G133" s="41"/>
      <c r="H133" s="82">
        <f>+'N EERR'!D26</f>
        <v>0</v>
      </c>
      <c r="I133" s="28" t="str">
        <f>IF(AND(H4=0,H133&gt;=0), "",H133/H4)</f>
        <v/>
      </c>
      <c r="J133" s="41"/>
      <c r="K133" s="28">
        <f t="shared" si="138"/>
        <v>-1</v>
      </c>
      <c r="L133" s="83">
        <f t="shared" si="160"/>
        <v>50</v>
      </c>
      <c r="M133" s="28">
        <f>IF(AND(L4=0,L133&gt;=0), "",L133/L4)</f>
        <v>3.6231884057971015E-3</v>
      </c>
      <c r="N133" s="41"/>
      <c r="O133" s="82">
        <f>+'N EERR'!E26</f>
        <v>0</v>
      </c>
      <c r="P133" s="28" t="str">
        <f>IF(AND(O4=0,O133&gt;=0), "",O133/O4)</f>
        <v/>
      </c>
      <c r="Q133" s="41"/>
      <c r="R133" s="28" t="str">
        <f t="shared" si="139"/>
        <v/>
      </c>
      <c r="S133" s="83">
        <f t="shared" si="161"/>
        <v>50</v>
      </c>
      <c r="T133" s="28">
        <f>IF(AND(S4=0,S133&gt;=0), "",S133/S4)</f>
        <v>3.6231884057971015E-3</v>
      </c>
      <c r="U133" s="41"/>
      <c r="V133" s="84"/>
      <c r="W133" s="28" t="str">
        <f>IF(AND(V4=0,V133&gt;=0), "",V133/V4)</f>
        <v/>
      </c>
      <c r="X133" s="42">
        <f t="shared" si="140"/>
        <v>1</v>
      </c>
      <c r="Y133" s="82">
        <f>+'N EERR'!F26</f>
        <v>0</v>
      </c>
      <c r="Z133" s="28" t="str">
        <f>IF(AND(Y4=0,Y133&gt;=0), "",Y133/Y4)</f>
        <v/>
      </c>
      <c r="AA133" s="41"/>
      <c r="AB133" s="28" t="str">
        <f t="shared" si="141"/>
        <v/>
      </c>
      <c r="AC133" s="83">
        <f t="shared" si="162"/>
        <v>50</v>
      </c>
      <c r="AD133" s="28">
        <f>IF(AND(AC4=0,AC133&gt;=0), "",AC133/AC4)</f>
        <v>3.6231884057971015E-3</v>
      </c>
      <c r="AE133" s="41"/>
      <c r="AF133" s="82">
        <f>+'N EERR'!G26</f>
        <v>0</v>
      </c>
      <c r="AG133" s="28" t="str">
        <f>IF(AND(AF4=0,AF133&gt;=0), "",AF133/AF4)</f>
        <v/>
      </c>
      <c r="AH133" s="41"/>
      <c r="AI133" s="28" t="str">
        <f t="shared" si="174"/>
        <v/>
      </c>
      <c r="AJ133" s="83">
        <f t="shared" si="95"/>
        <v>50</v>
      </c>
      <c r="AK133" s="28">
        <f>IF(AND(AJ4=0,AJ133&gt;=0), "",AJ133/AJ4)</f>
        <v>3.6231884057971015E-3</v>
      </c>
      <c r="AL133" s="41"/>
      <c r="AM133" s="82">
        <f>+'N EERR'!H26</f>
        <v>0</v>
      </c>
      <c r="AN133" s="28" t="str">
        <f>IF(AND(AM4=0,AM133&gt;=0), "",AM133/AM4)</f>
        <v/>
      </c>
      <c r="AO133" s="41"/>
      <c r="AP133" s="28" t="str">
        <f t="shared" si="175"/>
        <v/>
      </c>
      <c r="AQ133" s="83">
        <f t="shared" si="96"/>
        <v>50</v>
      </c>
      <c r="AR133" s="28">
        <f>IF(AND(AQ4=0,AQ133&gt;=0), "",AQ133/AQ4)</f>
        <v>3.6231884057971015E-3</v>
      </c>
      <c r="AS133" s="41"/>
      <c r="AT133" s="84">
        <f t="shared" si="163"/>
        <v>0</v>
      </c>
      <c r="AU133" s="28" t="str">
        <f>IF(AND(AT4=0,AT133&gt;=0), "",AT133/AT4)</f>
        <v/>
      </c>
      <c r="AV133" s="42">
        <f t="shared" si="142"/>
        <v>1</v>
      </c>
      <c r="AW133" s="84">
        <f t="shared" si="171"/>
        <v>8.3333333333333339</v>
      </c>
      <c r="AX133" s="28">
        <f>IF(AND(AW4=0,AW133&gt;=0), "",AW133/AW4)</f>
        <v>3.6231884057971011E-3</v>
      </c>
      <c r="AY133" s="41"/>
      <c r="AZ133" s="84">
        <f t="shared" si="164"/>
        <v>0</v>
      </c>
      <c r="BA133" s="28" t="str">
        <f>IF(AND(AZ4=0,AZ133&gt;=0), "",AZ133/AZ4)</f>
        <v/>
      </c>
      <c r="BB133" s="42">
        <f t="shared" si="143"/>
        <v>1</v>
      </c>
      <c r="BC133" s="82">
        <f>+'N EERR'!I26</f>
        <v>0</v>
      </c>
      <c r="BD133" s="28" t="str">
        <f>IF(AND(BC4=0,BC133&gt;=0), "",BC133/BC4)</f>
        <v/>
      </c>
      <c r="BE133" s="41"/>
      <c r="BF133" s="28" t="str">
        <f t="shared" si="144"/>
        <v/>
      </c>
      <c r="BG133" s="83">
        <f t="shared" si="172"/>
        <v>50</v>
      </c>
      <c r="BH133" s="28">
        <f>IF(AND(BG4=0,BG133&gt;=0), "",BG133/BG4)</f>
        <v>3.6231884057971015E-3</v>
      </c>
      <c r="BI133" s="41"/>
      <c r="BJ133" s="82">
        <f>+'N EERR'!J26</f>
        <v>0</v>
      </c>
      <c r="BK133" s="28" t="str">
        <f>IF(AND(BJ4=0,BJ133&gt;=0), "",BJ133/BJ4)</f>
        <v/>
      </c>
      <c r="BL133" s="41"/>
      <c r="BM133" s="28" t="str">
        <f t="shared" si="176"/>
        <v/>
      </c>
      <c r="BN133" s="83">
        <f t="shared" si="173"/>
        <v>50</v>
      </c>
      <c r="BO133" s="28">
        <f>IF(AND(BN4=0,BN133&gt;=0), "",BN133/BN4)</f>
        <v>3.6231884057971015E-3</v>
      </c>
      <c r="BP133" s="41"/>
      <c r="BQ133" s="82">
        <f>+'N EERR'!K26</f>
        <v>0</v>
      </c>
      <c r="BR133" s="28" t="str">
        <f>IF(AND(BQ4=0,BQ133&gt;=0), "",BQ133/BQ4)</f>
        <v/>
      </c>
      <c r="BS133" s="41"/>
      <c r="BT133" s="28" t="str">
        <f t="shared" si="177"/>
        <v/>
      </c>
      <c r="BU133" s="83">
        <f t="shared" si="165"/>
        <v>50</v>
      </c>
      <c r="BV133" s="28">
        <f>IF(AND(BU4=0,BU133&gt;=0), "",BU133/BU4)</f>
        <v>3.6231884057971015E-3</v>
      </c>
      <c r="BW133" s="41"/>
      <c r="BX133" s="84">
        <f t="shared" si="166"/>
        <v>0</v>
      </c>
      <c r="BY133" s="28" t="str">
        <f>IF(AND(BX4=0,BX133&gt;=0), "",BX133/BX4)</f>
        <v/>
      </c>
      <c r="BZ133" s="42">
        <f t="shared" si="178"/>
        <v>1</v>
      </c>
      <c r="CA133" s="82">
        <f>+'N EERR'!L26</f>
        <v>0</v>
      </c>
      <c r="CB133" s="28" t="str">
        <f>IF(AND(CA4=0,CA133&gt;=0), "",CA133/CA4)</f>
        <v/>
      </c>
      <c r="CC133" s="41"/>
      <c r="CD133" s="28" t="str">
        <f t="shared" si="145"/>
        <v/>
      </c>
      <c r="CE133" s="83">
        <f t="shared" si="167"/>
        <v>50</v>
      </c>
      <c r="CF133" s="28">
        <f>IF(AND(CE4=0,CE133&gt;=0), "",CE133/CE4)</f>
        <v>3.6231884057971015E-3</v>
      </c>
      <c r="CG133" s="41"/>
      <c r="CH133" s="82">
        <f>+'N EERR'!M26</f>
        <v>0</v>
      </c>
      <c r="CI133" s="28" t="str">
        <f>IF(AND(CH4=0,CH133&gt;=0), "",CH133/CH4)</f>
        <v/>
      </c>
      <c r="CJ133" s="41"/>
      <c r="CK133" s="28" t="str">
        <f t="shared" si="179"/>
        <v/>
      </c>
      <c r="CL133" s="83">
        <f t="shared" si="168"/>
        <v>50</v>
      </c>
      <c r="CM133" s="28">
        <f>IF(AND(CL4=0,CL133&gt;=0), "",CL133/CL4)</f>
        <v>3.6231884057971015E-3</v>
      </c>
      <c r="CN133" s="41"/>
      <c r="CO133" s="82">
        <f>+'N EERR'!N26</f>
        <v>0</v>
      </c>
      <c r="CP133" s="28" t="str">
        <f>IF(AND(CO4=0,CO133&gt;=0), "",CO133/CO4)</f>
        <v/>
      </c>
      <c r="CQ133" s="41"/>
      <c r="CR133" s="28" t="str">
        <f t="shared" si="180"/>
        <v/>
      </c>
      <c r="CS133" s="83">
        <f t="shared" si="169"/>
        <v>50</v>
      </c>
      <c r="CT133" s="28">
        <f>IF(AND(CS4=0,CS133&gt;=0), "",CS133/CS4)</f>
        <v>3.6231884057971015E-3</v>
      </c>
      <c r="CU133" s="41"/>
      <c r="CV133" s="84">
        <f t="shared" si="170"/>
        <v>0</v>
      </c>
      <c r="CW133" s="28" t="str">
        <f>IF(AND(CV4=0,CV133&gt;=0), "",CV133/CV4)</f>
        <v/>
      </c>
      <c r="CX133" s="42">
        <f t="shared" si="181"/>
        <v>1</v>
      </c>
    </row>
    <row r="134" spans="1:219" s="6" customFormat="1" hidden="1" outlineLevel="1" x14ac:dyDescent="0.25">
      <c r="A134" s="27" t="s">
        <v>112</v>
      </c>
      <c r="B134" s="82">
        <f>+'N EERR'!B27</f>
        <v>0</v>
      </c>
      <c r="C134" s="28" t="str">
        <f>IF(AND(B4=0,B134&gt;=0), "",B134/B4)</f>
        <v/>
      </c>
      <c r="D134" s="41"/>
      <c r="E134" s="82">
        <f>+'N EERR'!C27</f>
        <v>50</v>
      </c>
      <c r="F134" s="28">
        <f>IF(AND(E4=0,E134&gt;=0), "",E134/E4)</f>
        <v>3.6231884057971015E-3</v>
      </c>
      <c r="G134" s="41"/>
      <c r="H134" s="82">
        <f>+'N EERR'!D27</f>
        <v>0</v>
      </c>
      <c r="I134" s="28" t="str">
        <f>IF(AND(H4=0,H134&gt;=0), "",H134/H4)</f>
        <v/>
      </c>
      <c r="J134" s="41"/>
      <c r="K134" s="28">
        <f t="shared" si="138"/>
        <v>-1</v>
      </c>
      <c r="L134" s="83">
        <f t="shared" si="160"/>
        <v>50</v>
      </c>
      <c r="M134" s="28">
        <f>IF(AND(L4=0,L134&gt;=0), "",L134/L4)</f>
        <v>3.6231884057971015E-3</v>
      </c>
      <c r="N134" s="41"/>
      <c r="O134" s="82">
        <f>+'N EERR'!E27</f>
        <v>0</v>
      </c>
      <c r="P134" s="28" t="str">
        <f>IF(AND(O4=0,O134&gt;=0), "",O134/O4)</f>
        <v/>
      </c>
      <c r="Q134" s="41"/>
      <c r="R134" s="28" t="str">
        <f t="shared" si="139"/>
        <v/>
      </c>
      <c r="S134" s="83">
        <f t="shared" si="161"/>
        <v>50</v>
      </c>
      <c r="T134" s="28">
        <f>IF(AND(S4=0,S134&gt;=0), "",S134/S4)</f>
        <v>3.6231884057971015E-3</v>
      </c>
      <c r="U134" s="41"/>
      <c r="V134" s="84"/>
      <c r="W134" s="28" t="str">
        <f>IF(AND(V4=0,V134&gt;=0), "",V134/V4)</f>
        <v/>
      </c>
      <c r="X134" s="42">
        <f t="shared" si="140"/>
        <v>1</v>
      </c>
      <c r="Y134" s="82">
        <f>+'N EERR'!F27</f>
        <v>0</v>
      </c>
      <c r="Z134" s="28" t="str">
        <f>IF(AND(Y4=0,Y134&gt;=0), "",Y134/Y4)</f>
        <v/>
      </c>
      <c r="AA134" s="41"/>
      <c r="AB134" s="28" t="str">
        <f t="shared" si="141"/>
        <v/>
      </c>
      <c r="AC134" s="83">
        <f t="shared" si="162"/>
        <v>50</v>
      </c>
      <c r="AD134" s="28">
        <f>IF(AND(AC4=0,AC134&gt;=0), "",AC134/AC4)</f>
        <v>3.6231884057971015E-3</v>
      </c>
      <c r="AE134" s="41"/>
      <c r="AF134" s="82">
        <f>+'N EERR'!G27</f>
        <v>0</v>
      </c>
      <c r="AG134" s="28" t="str">
        <f>IF(AND(AF4=0,AF134&gt;=0), "",AF134/AF4)</f>
        <v/>
      </c>
      <c r="AH134" s="41"/>
      <c r="AI134" s="28" t="str">
        <f t="shared" si="174"/>
        <v/>
      </c>
      <c r="AJ134" s="83">
        <f t="shared" si="95"/>
        <v>50</v>
      </c>
      <c r="AK134" s="28">
        <f>IF(AND(AJ4=0,AJ134&gt;=0), "",AJ134/AJ4)</f>
        <v>3.6231884057971015E-3</v>
      </c>
      <c r="AL134" s="41"/>
      <c r="AM134" s="82">
        <f>+'N EERR'!H27</f>
        <v>0</v>
      </c>
      <c r="AN134" s="28" t="str">
        <f>IF(AND(AM4=0,AM134&gt;=0), "",AM134/AM4)</f>
        <v/>
      </c>
      <c r="AO134" s="41"/>
      <c r="AP134" s="28" t="str">
        <f t="shared" si="175"/>
        <v/>
      </c>
      <c r="AQ134" s="83">
        <f t="shared" si="96"/>
        <v>50</v>
      </c>
      <c r="AR134" s="28">
        <f>IF(AND(AQ4=0,AQ134&gt;=0), "",AQ134/AQ4)</f>
        <v>3.6231884057971015E-3</v>
      </c>
      <c r="AS134" s="41"/>
      <c r="AT134" s="84">
        <f t="shared" si="163"/>
        <v>0</v>
      </c>
      <c r="AU134" s="28" t="str">
        <f>IF(AND(AT4=0,AT134&gt;=0), "",AT134/AT4)</f>
        <v/>
      </c>
      <c r="AV134" s="42">
        <f t="shared" si="142"/>
        <v>1</v>
      </c>
      <c r="AW134" s="84">
        <f t="shared" si="171"/>
        <v>8.3333333333333339</v>
      </c>
      <c r="AX134" s="28">
        <f>IF(AND(AW4=0,AW134&gt;=0), "",AW134/AW4)</f>
        <v>3.6231884057971011E-3</v>
      </c>
      <c r="AY134" s="41"/>
      <c r="AZ134" s="84">
        <f t="shared" si="164"/>
        <v>0</v>
      </c>
      <c r="BA134" s="28" t="str">
        <f>IF(AND(AZ4=0,AZ134&gt;=0), "",AZ134/AZ4)</f>
        <v/>
      </c>
      <c r="BB134" s="42">
        <f t="shared" si="143"/>
        <v>1</v>
      </c>
      <c r="BC134" s="82">
        <f>+'N EERR'!I27</f>
        <v>0</v>
      </c>
      <c r="BD134" s="28" t="str">
        <f>IF(AND(BC4=0,BC134&gt;=0), "",BC134/BC4)</f>
        <v/>
      </c>
      <c r="BE134" s="41"/>
      <c r="BF134" s="28" t="str">
        <f t="shared" si="144"/>
        <v/>
      </c>
      <c r="BG134" s="83">
        <f t="shared" si="172"/>
        <v>50</v>
      </c>
      <c r="BH134" s="28">
        <f>IF(AND(BG4=0,BG134&gt;=0), "",BG134/BG4)</f>
        <v>3.6231884057971015E-3</v>
      </c>
      <c r="BI134" s="41"/>
      <c r="BJ134" s="82">
        <f>+'N EERR'!J27</f>
        <v>0</v>
      </c>
      <c r="BK134" s="28" t="str">
        <f>IF(AND(BJ4=0,BJ134&gt;=0), "",BJ134/BJ4)</f>
        <v/>
      </c>
      <c r="BL134" s="41"/>
      <c r="BM134" s="28" t="str">
        <f t="shared" si="176"/>
        <v/>
      </c>
      <c r="BN134" s="83">
        <f t="shared" si="173"/>
        <v>50</v>
      </c>
      <c r="BO134" s="28">
        <f>IF(AND(BN4=0,BN134&gt;=0), "",BN134/BN4)</f>
        <v>3.6231884057971015E-3</v>
      </c>
      <c r="BP134" s="41"/>
      <c r="BQ134" s="82">
        <f>+'N EERR'!K27</f>
        <v>0</v>
      </c>
      <c r="BR134" s="28" t="str">
        <f>IF(AND(BQ4=0,BQ134&gt;=0), "",BQ134/BQ4)</f>
        <v/>
      </c>
      <c r="BS134" s="41"/>
      <c r="BT134" s="28" t="str">
        <f t="shared" si="177"/>
        <v/>
      </c>
      <c r="BU134" s="83">
        <f t="shared" si="165"/>
        <v>50</v>
      </c>
      <c r="BV134" s="28">
        <f>IF(AND(BU4=0,BU134&gt;=0), "",BU134/BU4)</f>
        <v>3.6231884057971015E-3</v>
      </c>
      <c r="BW134" s="41"/>
      <c r="BX134" s="84">
        <f t="shared" si="166"/>
        <v>0</v>
      </c>
      <c r="BY134" s="28" t="str">
        <f>IF(AND(BX4=0,BX134&gt;=0), "",BX134/BX4)</f>
        <v/>
      </c>
      <c r="BZ134" s="42">
        <f t="shared" si="178"/>
        <v>1</v>
      </c>
      <c r="CA134" s="82">
        <f>+'N EERR'!L27</f>
        <v>0</v>
      </c>
      <c r="CB134" s="28" t="str">
        <f>IF(AND(CA4=0,CA134&gt;=0), "",CA134/CA4)</f>
        <v/>
      </c>
      <c r="CC134" s="41"/>
      <c r="CD134" s="28" t="str">
        <f t="shared" si="145"/>
        <v/>
      </c>
      <c r="CE134" s="83">
        <f t="shared" si="167"/>
        <v>50</v>
      </c>
      <c r="CF134" s="28">
        <f>IF(AND(CE4=0,CE134&gt;=0), "",CE134/CE4)</f>
        <v>3.6231884057971015E-3</v>
      </c>
      <c r="CG134" s="41"/>
      <c r="CH134" s="82">
        <f>+'N EERR'!M27</f>
        <v>0</v>
      </c>
      <c r="CI134" s="28" t="str">
        <f>IF(AND(CH4=0,CH134&gt;=0), "",CH134/CH4)</f>
        <v/>
      </c>
      <c r="CJ134" s="41"/>
      <c r="CK134" s="28" t="str">
        <f t="shared" si="179"/>
        <v/>
      </c>
      <c r="CL134" s="83">
        <f t="shared" si="168"/>
        <v>50</v>
      </c>
      <c r="CM134" s="28">
        <f>IF(AND(CL4=0,CL134&gt;=0), "",CL134/CL4)</f>
        <v>3.6231884057971015E-3</v>
      </c>
      <c r="CN134" s="41"/>
      <c r="CO134" s="82">
        <f>+'N EERR'!N27</f>
        <v>0</v>
      </c>
      <c r="CP134" s="28" t="str">
        <f>IF(AND(CO4=0,CO134&gt;=0), "",CO134/CO4)</f>
        <v/>
      </c>
      <c r="CQ134" s="41"/>
      <c r="CR134" s="28" t="str">
        <f t="shared" si="180"/>
        <v/>
      </c>
      <c r="CS134" s="83">
        <f t="shared" si="169"/>
        <v>50</v>
      </c>
      <c r="CT134" s="28">
        <f>IF(AND(CS4=0,CS134&gt;=0), "",CS134/CS4)</f>
        <v>3.6231884057971015E-3</v>
      </c>
      <c r="CU134" s="41"/>
      <c r="CV134" s="84">
        <f t="shared" si="170"/>
        <v>0</v>
      </c>
      <c r="CW134" s="28" t="str">
        <f>IF(AND(CV4=0,CV134&gt;=0), "",CV134/CV4)</f>
        <v/>
      </c>
      <c r="CX134" s="42">
        <f t="shared" si="181"/>
        <v>1</v>
      </c>
    </row>
    <row r="135" spans="1:219" s="6" customFormat="1" hidden="1" outlineLevel="1" x14ac:dyDescent="0.25">
      <c r="A135" s="27"/>
      <c r="B135" s="82"/>
      <c r="C135" s="15"/>
      <c r="D135" s="41"/>
      <c r="E135" s="82"/>
      <c r="F135" s="15"/>
      <c r="G135" s="41"/>
      <c r="H135" s="82"/>
      <c r="I135" s="15"/>
      <c r="J135" s="41"/>
      <c r="K135" s="29" t="str">
        <f t="shared" si="138"/>
        <v/>
      </c>
      <c r="L135" s="83"/>
      <c r="M135" s="15"/>
      <c r="N135" s="41"/>
      <c r="O135" s="82"/>
      <c r="P135" s="15"/>
      <c r="Q135" s="41"/>
      <c r="R135" s="29" t="str">
        <f t="shared" si="139"/>
        <v/>
      </c>
      <c r="S135" s="83"/>
      <c r="T135" s="15"/>
      <c r="U135" s="41"/>
      <c r="V135" s="84"/>
      <c r="W135" s="15"/>
      <c r="X135" s="52" t="str">
        <f t="shared" si="140"/>
        <v/>
      </c>
      <c r="Y135" s="82"/>
      <c r="Z135" s="15"/>
      <c r="AA135" s="41"/>
      <c r="AB135" s="29" t="str">
        <f t="shared" si="141"/>
        <v/>
      </c>
      <c r="AC135" s="83"/>
      <c r="AD135" s="15"/>
      <c r="AE135" s="41"/>
      <c r="AF135" s="82"/>
      <c r="AG135" s="15"/>
      <c r="AH135" s="41"/>
      <c r="AI135" s="29" t="str">
        <f t="shared" si="174"/>
        <v/>
      </c>
      <c r="AJ135" s="83">
        <f t="shared" si="95"/>
        <v>0</v>
      </c>
      <c r="AK135" s="15"/>
      <c r="AL135" s="41"/>
      <c r="AM135" s="82"/>
      <c r="AN135" s="15"/>
      <c r="AO135" s="41"/>
      <c r="AP135" s="29" t="str">
        <f t="shared" si="175"/>
        <v/>
      </c>
      <c r="AQ135" s="83">
        <f t="shared" si="96"/>
        <v>0</v>
      </c>
      <c r="AR135" s="15"/>
      <c r="AS135" s="41"/>
      <c r="AT135" s="84">
        <f t="shared" si="163"/>
        <v>0</v>
      </c>
      <c r="AU135" s="15"/>
      <c r="AV135" s="52" t="str">
        <f t="shared" si="142"/>
        <v/>
      </c>
      <c r="AW135" s="84"/>
      <c r="AX135" s="15"/>
      <c r="AY135" s="41"/>
      <c r="AZ135" s="84">
        <f t="shared" si="164"/>
        <v>0</v>
      </c>
      <c r="BA135" s="15"/>
      <c r="BB135" s="52" t="str">
        <f t="shared" si="143"/>
        <v/>
      </c>
      <c r="BC135" s="82"/>
      <c r="BD135" s="15"/>
      <c r="BE135" s="41"/>
      <c r="BF135" s="29" t="str">
        <f t="shared" si="144"/>
        <v/>
      </c>
      <c r="BG135" s="83">
        <f t="shared" si="172"/>
        <v>0</v>
      </c>
      <c r="BH135" s="15"/>
      <c r="BI135" s="41"/>
      <c r="BJ135" s="82"/>
      <c r="BK135" s="15"/>
      <c r="BL135" s="41"/>
      <c r="BM135" s="29" t="str">
        <f t="shared" si="176"/>
        <v/>
      </c>
      <c r="BN135" s="83">
        <f t="shared" si="173"/>
        <v>0</v>
      </c>
      <c r="BO135" s="15"/>
      <c r="BP135" s="41"/>
      <c r="BQ135" s="82"/>
      <c r="BR135" s="15"/>
      <c r="BS135" s="41"/>
      <c r="BT135" s="29" t="str">
        <f t="shared" si="177"/>
        <v/>
      </c>
      <c r="BU135" s="83">
        <f t="shared" si="165"/>
        <v>0</v>
      </c>
      <c r="BV135" s="15"/>
      <c r="BW135" s="41"/>
      <c r="BX135" s="84">
        <f t="shared" si="166"/>
        <v>0</v>
      </c>
      <c r="BY135" s="15"/>
      <c r="BZ135" s="52" t="str">
        <f t="shared" si="178"/>
        <v/>
      </c>
      <c r="CA135" s="82"/>
      <c r="CB135" s="15"/>
      <c r="CC135" s="41"/>
      <c r="CD135" s="29" t="str">
        <f t="shared" si="145"/>
        <v/>
      </c>
      <c r="CE135" s="83"/>
      <c r="CF135" s="15"/>
      <c r="CG135" s="41"/>
      <c r="CH135" s="82"/>
      <c r="CI135" s="15"/>
      <c r="CJ135" s="41"/>
      <c r="CK135" s="29" t="str">
        <f t="shared" si="179"/>
        <v/>
      </c>
      <c r="CL135" s="83">
        <f t="shared" si="168"/>
        <v>0</v>
      </c>
      <c r="CM135" s="15"/>
      <c r="CN135" s="41"/>
      <c r="CO135" s="82"/>
      <c r="CP135" s="15"/>
      <c r="CQ135" s="41"/>
      <c r="CR135" s="29" t="str">
        <f t="shared" si="180"/>
        <v/>
      </c>
      <c r="CS135" s="83">
        <f t="shared" si="169"/>
        <v>0</v>
      </c>
      <c r="CT135" s="15"/>
      <c r="CU135" s="41"/>
      <c r="CV135" s="84">
        <f t="shared" si="170"/>
        <v>0</v>
      </c>
      <c r="CW135" s="15"/>
      <c r="CX135" s="52" t="str">
        <f t="shared" si="181"/>
        <v/>
      </c>
    </row>
    <row r="136" spans="1:219" s="3" customFormat="1" hidden="1" outlineLevel="1" x14ac:dyDescent="0.25">
      <c r="B136" s="85"/>
      <c r="C136" s="15"/>
      <c r="D136" s="41"/>
      <c r="E136" s="85"/>
      <c r="F136" s="15"/>
      <c r="G136" s="41"/>
      <c r="H136" s="85"/>
      <c r="I136" s="15"/>
      <c r="J136" s="41"/>
      <c r="K136" s="15" t="str">
        <f t="shared" si="138"/>
        <v/>
      </c>
      <c r="L136" s="71"/>
      <c r="M136" s="15"/>
      <c r="N136" s="41"/>
      <c r="O136" s="85"/>
      <c r="P136" s="15"/>
      <c r="Q136" s="41"/>
      <c r="R136" s="15" t="str">
        <f t="shared" si="139"/>
        <v/>
      </c>
      <c r="S136" s="71"/>
      <c r="T136" s="15"/>
      <c r="U136" s="41"/>
      <c r="V136" s="86"/>
      <c r="W136" s="15"/>
      <c r="X136" s="41" t="str">
        <f t="shared" si="140"/>
        <v/>
      </c>
      <c r="Y136" s="85"/>
      <c r="Z136" s="15"/>
      <c r="AA136" s="41"/>
      <c r="AB136" s="15" t="str">
        <f t="shared" si="141"/>
        <v/>
      </c>
      <c r="AC136" s="71"/>
      <c r="AD136" s="15"/>
      <c r="AE136" s="41"/>
      <c r="AF136" s="85"/>
      <c r="AG136" s="15"/>
      <c r="AH136" s="41"/>
      <c r="AI136" s="15" t="str">
        <f t="shared" si="174"/>
        <v/>
      </c>
      <c r="AJ136" s="71">
        <f>+AC136+AF136</f>
        <v>0</v>
      </c>
      <c r="AK136" s="15"/>
      <c r="AL136" s="41"/>
      <c r="AM136" s="85"/>
      <c r="AN136" s="15"/>
      <c r="AO136" s="41"/>
      <c r="AP136" s="15" t="str">
        <f t="shared" si="175"/>
        <v/>
      </c>
      <c r="AQ136" s="71">
        <f>+AJ136+AM136</f>
        <v>0</v>
      </c>
      <c r="AR136" s="15"/>
      <c r="AS136" s="41"/>
      <c r="AT136" s="84">
        <f t="shared" si="163"/>
        <v>0</v>
      </c>
      <c r="AU136" s="15"/>
      <c r="AV136" s="41" t="str">
        <f t="shared" si="142"/>
        <v/>
      </c>
      <c r="AW136" s="84"/>
      <c r="AX136" s="15"/>
      <c r="AY136" s="41"/>
      <c r="AZ136" s="84">
        <f t="shared" si="164"/>
        <v>0</v>
      </c>
      <c r="BA136" s="15"/>
      <c r="BB136" s="41" t="str">
        <f t="shared" si="143"/>
        <v/>
      </c>
      <c r="BC136" s="85"/>
      <c r="BD136" s="15"/>
      <c r="BE136" s="41"/>
      <c r="BF136" s="15" t="str">
        <f t="shared" si="144"/>
        <v/>
      </c>
      <c r="BG136" s="83">
        <f t="shared" si="172"/>
        <v>0</v>
      </c>
      <c r="BH136" s="15"/>
      <c r="BI136" s="41"/>
      <c r="BJ136" s="85"/>
      <c r="BK136" s="15"/>
      <c r="BL136" s="41"/>
      <c r="BM136" s="15" t="str">
        <f t="shared" si="176"/>
        <v/>
      </c>
      <c r="BN136" s="71">
        <f t="shared" si="173"/>
        <v>0</v>
      </c>
      <c r="BO136" s="15"/>
      <c r="BP136" s="41"/>
      <c r="BQ136" s="85"/>
      <c r="BR136" s="15"/>
      <c r="BS136" s="41"/>
      <c r="BT136" s="15" t="str">
        <f t="shared" si="177"/>
        <v/>
      </c>
      <c r="BU136" s="71">
        <f t="shared" si="165"/>
        <v>0</v>
      </c>
      <c r="BV136" s="15"/>
      <c r="BW136" s="41"/>
      <c r="BX136" s="84">
        <f t="shared" si="166"/>
        <v>0</v>
      </c>
      <c r="BY136" s="15"/>
      <c r="BZ136" s="41" t="str">
        <f t="shared" si="178"/>
        <v/>
      </c>
      <c r="CA136" s="85"/>
      <c r="CB136" s="15"/>
      <c r="CC136" s="41"/>
      <c r="CD136" s="15" t="str">
        <f t="shared" si="145"/>
        <v/>
      </c>
      <c r="CE136" s="71"/>
      <c r="CF136" s="15"/>
      <c r="CG136" s="41"/>
      <c r="CH136" s="85"/>
      <c r="CI136" s="15"/>
      <c r="CJ136" s="41"/>
      <c r="CK136" s="15" t="str">
        <f t="shared" si="179"/>
        <v/>
      </c>
      <c r="CL136" s="71">
        <f t="shared" si="168"/>
        <v>0</v>
      </c>
      <c r="CM136" s="15"/>
      <c r="CN136" s="41"/>
      <c r="CO136" s="85"/>
      <c r="CP136" s="15"/>
      <c r="CQ136" s="41"/>
      <c r="CR136" s="15" t="str">
        <f t="shared" si="180"/>
        <v/>
      </c>
      <c r="CS136" s="71">
        <f t="shared" si="169"/>
        <v>0</v>
      </c>
      <c r="CT136" s="15"/>
      <c r="CU136" s="41"/>
      <c r="CV136" s="84">
        <f t="shared" si="170"/>
        <v>0</v>
      </c>
      <c r="CW136" s="15"/>
      <c r="CX136" s="41" t="str">
        <f t="shared" si="181"/>
        <v/>
      </c>
    </row>
    <row r="137" spans="1:219" s="36" customFormat="1" ht="16.5" collapsed="1" thickBot="1" x14ac:dyDescent="0.3">
      <c r="A137" s="113" t="s">
        <v>113</v>
      </c>
      <c r="B137" s="114">
        <f>+B112-B116+B125</f>
        <v>0</v>
      </c>
      <c r="C137" s="115" t="str">
        <f>IF(AND(B4=0,B137&lt;=0), "",B137/B4)</f>
        <v/>
      </c>
      <c r="D137" s="116"/>
      <c r="E137" s="114">
        <f>+E112-E116+E125</f>
        <v>3710</v>
      </c>
      <c r="F137" s="115">
        <f>IF(AND(E4=0,E137&lt;=0), "",E137/E4)</f>
        <v>0.26884057971014491</v>
      </c>
      <c r="G137" s="116"/>
      <c r="H137" s="114">
        <f>+H112-H116+H125</f>
        <v>0</v>
      </c>
      <c r="I137" s="115" t="str">
        <f>IF(AND(H4=0,H137&lt;=0), "",H137/H4)</f>
        <v/>
      </c>
      <c r="J137" s="116"/>
      <c r="K137" s="115">
        <f t="shared" si="138"/>
        <v>-1</v>
      </c>
      <c r="L137" s="117">
        <f>+L112-L116+L125</f>
        <v>3710</v>
      </c>
      <c r="M137" s="115">
        <f>IF(AND(L4=0,L137&lt;=0), "",L137/L4)</f>
        <v>0.26884057971014491</v>
      </c>
      <c r="N137" s="116"/>
      <c r="O137" s="114">
        <f>+O112-O116+O125</f>
        <v>0</v>
      </c>
      <c r="P137" s="115" t="str">
        <f>IF(AND(O4=0,O137&lt;=0), "",O137/O4)</f>
        <v/>
      </c>
      <c r="Q137" s="116"/>
      <c r="R137" s="115" t="str">
        <f t="shared" si="139"/>
        <v/>
      </c>
      <c r="S137" s="117">
        <f>+S112-S116+S125</f>
        <v>3710</v>
      </c>
      <c r="T137" s="115">
        <f>IF(AND(S4=0,S137&lt;=0), "",S137/S4)</f>
        <v>0.26884057971014491</v>
      </c>
      <c r="U137" s="116"/>
      <c r="V137" s="118">
        <f>+V112-V116+V125</f>
        <v>0</v>
      </c>
      <c r="W137" s="115" t="str">
        <f>IF(AND(V4=0,V137&lt;=0), "",V137/V4)</f>
        <v/>
      </c>
      <c r="X137" s="116">
        <f t="shared" si="140"/>
        <v>1</v>
      </c>
      <c r="Y137" s="114">
        <f>+Y112-Y116+Y125</f>
        <v>0</v>
      </c>
      <c r="Z137" s="115" t="str">
        <f>IF(AND(Y4=0,Y137&lt;=0), "",Y137/Y4)</f>
        <v/>
      </c>
      <c r="AA137" s="116"/>
      <c r="AB137" s="115" t="str">
        <f t="shared" si="141"/>
        <v/>
      </c>
      <c r="AC137" s="117">
        <f>+AC112-AC116+AC125</f>
        <v>3710</v>
      </c>
      <c r="AD137" s="115">
        <f>IF(AND(AC4=0,AC137&lt;=0), "",AC137/AC4)</f>
        <v>0.26884057971014491</v>
      </c>
      <c r="AE137" s="116"/>
      <c r="AF137" s="114">
        <f>+AF112-AF116+AF125</f>
        <v>0</v>
      </c>
      <c r="AG137" s="115" t="str">
        <f>IF(AND(AF4=0,AF137&lt;=0), "",AF137/AF4)</f>
        <v/>
      </c>
      <c r="AH137" s="116"/>
      <c r="AI137" s="115" t="str">
        <f t="shared" si="174"/>
        <v/>
      </c>
      <c r="AJ137" s="117">
        <f>+AJ112-AJ116+AJ125</f>
        <v>3710</v>
      </c>
      <c r="AK137" s="115">
        <f>IF(AND(AJ4=0,AJ137&lt;=0), "",AJ137/AJ4)</f>
        <v>0.26884057971014491</v>
      </c>
      <c r="AL137" s="116"/>
      <c r="AM137" s="114">
        <f>+AM112-AM116+AM125</f>
        <v>0</v>
      </c>
      <c r="AN137" s="115" t="str">
        <f>IF(AND(AM4=0,AM137&lt;=0), "",AM137/AM4)</f>
        <v/>
      </c>
      <c r="AO137" s="116"/>
      <c r="AP137" s="115" t="str">
        <f t="shared" si="175"/>
        <v/>
      </c>
      <c r="AQ137" s="117">
        <f>+AQ112-AQ116+AQ125</f>
        <v>3710</v>
      </c>
      <c r="AR137" s="115">
        <f>IF(AND(AQ4=0,AQ137&lt;=0), "",AQ137/AQ4)</f>
        <v>0.26884057971014491</v>
      </c>
      <c r="AS137" s="116"/>
      <c r="AT137" s="118">
        <f>+AT112-AT116+AT125</f>
        <v>0</v>
      </c>
      <c r="AU137" s="115" t="str">
        <f>IF(AND(AT4=0,AT137&lt;=0), "",AT137/AT4)</f>
        <v/>
      </c>
      <c r="AV137" s="116">
        <f t="shared" si="142"/>
        <v>1</v>
      </c>
      <c r="AW137" s="118">
        <f>+AW112-AW116+AW125</f>
        <v>618.33333333333383</v>
      </c>
      <c r="AX137" s="115">
        <f>IF(AND(AW4=0,AW137&lt;=0), "",AW137/AW4)</f>
        <v>0.26884057971014508</v>
      </c>
      <c r="AY137" s="116"/>
      <c r="AZ137" s="118">
        <f>+AZ112-AZ116+AZ125</f>
        <v>0</v>
      </c>
      <c r="BA137" s="115" t="str">
        <f>IF(AND(AZ4=0,AZ137&lt;=0), "",AZ137/AZ4)</f>
        <v/>
      </c>
      <c r="BB137" s="116">
        <f t="shared" si="143"/>
        <v>1</v>
      </c>
      <c r="BC137" s="114">
        <f>+BC112-BC116+BC125</f>
        <v>0</v>
      </c>
      <c r="BD137" s="115" t="str">
        <f>IF(AND(BC4=0,BC137&lt;=0), "",BC137/BC4)</f>
        <v/>
      </c>
      <c r="BE137" s="116"/>
      <c r="BF137" s="115" t="str">
        <f t="shared" si="144"/>
        <v/>
      </c>
      <c r="BG137" s="117">
        <f>+BG112-BG116+BG125</f>
        <v>3710</v>
      </c>
      <c r="BH137" s="115">
        <f>IF(AND(BG4=0,BG137&lt;=0), "",BG137/BG4)</f>
        <v>0.26884057971014491</v>
      </c>
      <c r="BI137" s="116"/>
      <c r="BJ137" s="114">
        <f>+BJ112-BJ116+BJ125</f>
        <v>0</v>
      </c>
      <c r="BK137" s="115" t="str">
        <f>IF(AND(BJ4=0,BJ137&lt;=0), "",BJ137/BJ4)</f>
        <v/>
      </c>
      <c r="BL137" s="116"/>
      <c r="BM137" s="115" t="str">
        <f t="shared" si="176"/>
        <v/>
      </c>
      <c r="BN137" s="117">
        <f>+BN112-BN116+BN125</f>
        <v>3710</v>
      </c>
      <c r="BO137" s="115">
        <f>IF(AND(BN4=0,BN137&lt;=0), "",BN137/BN4)</f>
        <v>0.26884057971014491</v>
      </c>
      <c r="BP137" s="116"/>
      <c r="BQ137" s="114">
        <f>+BQ112-BQ116+BQ125</f>
        <v>0</v>
      </c>
      <c r="BR137" s="115" t="str">
        <f>IF(AND(BQ4=0,BQ137&lt;=0), "",BQ137/BQ4)</f>
        <v/>
      </c>
      <c r="BS137" s="116"/>
      <c r="BT137" s="115" t="str">
        <f t="shared" si="177"/>
        <v/>
      </c>
      <c r="BU137" s="117">
        <f>+BU112-BU116+BU125</f>
        <v>3710</v>
      </c>
      <c r="BV137" s="115">
        <f>IF(AND(BU4=0,BU137&lt;=0), "",BU137/BU4)</f>
        <v>0.26884057971014491</v>
      </c>
      <c r="BW137" s="116"/>
      <c r="BX137" s="118">
        <f>+BX112-BX116+BX125</f>
        <v>0</v>
      </c>
      <c r="BY137" s="115" t="str">
        <f>IF(AND(BX4=0,BX137&lt;=0), "",BX137/BX4)</f>
        <v/>
      </c>
      <c r="BZ137" s="116">
        <f t="shared" si="178"/>
        <v>1</v>
      </c>
      <c r="CA137" s="114">
        <f>+CA112-CA116+CA125</f>
        <v>0</v>
      </c>
      <c r="CB137" s="115" t="str">
        <f>IF(AND(CA4=0,CA137&lt;=0), "",CA137/CA4)</f>
        <v/>
      </c>
      <c r="CC137" s="116"/>
      <c r="CD137" s="115" t="str">
        <f t="shared" si="145"/>
        <v/>
      </c>
      <c r="CE137" s="117">
        <f>+CE112-CE116+CE125</f>
        <v>3710</v>
      </c>
      <c r="CF137" s="115">
        <f>IF(AND(CE4=0,CE137&lt;=0), "",CE137/CE4)</f>
        <v>0.26884057971014491</v>
      </c>
      <c r="CG137" s="116"/>
      <c r="CH137" s="114">
        <f>+CH112-CH116+CH125</f>
        <v>0</v>
      </c>
      <c r="CI137" s="115" t="str">
        <f>IF(AND(CH4=0,CH137&lt;=0), "",CH137/CH4)</f>
        <v/>
      </c>
      <c r="CJ137" s="116"/>
      <c r="CK137" s="115" t="str">
        <f t="shared" si="179"/>
        <v/>
      </c>
      <c r="CL137" s="117">
        <f>+CL112-CL116+CL125</f>
        <v>3710</v>
      </c>
      <c r="CM137" s="115">
        <f>IF(AND(CL4=0,CL137&lt;=0), "",CL137/CL4)</f>
        <v>0.26884057971014491</v>
      </c>
      <c r="CN137" s="116"/>
      <c r="CO137" s="114">
        <f>+CO112-CO116+CO125</f>
        <v>0</v>
      </c>
      <c r="CP137" s="115" t="str">
        <f>IF(AND(CO4=0,CO137&lt;=0), "",CO137/CO4)</f>
        <v/>
      </c>
      <c r="CQ137" s="116"/>
      <c r="CR137" s="115" t="str">
        <f t="shared" si="180"/>
        <v/>
      </c>
      <c r="CS137" s="117">
        <f>+CS112-CS116+CS125</f>
        <v>3710</v>
      </c>
      <c r="CT137" s="115">
        <f>IF(AND(CS4=0,CS137&lt;=0), "",CS137/CS4)</f>
        <v>0.26884057971014491</v>
      </c>
      <c r="CU137" s="116"/>
      <c r="CV137" s="118">
        <f>+CV112-CV116+CV125</f>
        <v>0</v>
      </c>
      <c r="CW137" s="115" t="str">
        <f>IF(AND(CV4=0,CV137&lt;=0), "",CV137/CV4)</f>
        <v/>
      </c>
      <c r="CX137" s="116">
        <f t="shared" si="181"/>
        <v>1</v>
      </c>
      <c r="CY137" s="31"/>
      <c r="CZ137" s="31"/>
      <c r="DA137" s="31"/>
      <c r="DB137" s="31"/>
      <c r="DC137" s="31"/>
      <c r="DD137" s="31"/>
      <c r="DE137" s="31"/>
      <c r="DF137" s="31"/>
      <c r="DG137" s="31"/>
      <c r="DH137" s="31"/>
      <c r="DI137" s="31"/>
      <c r="DJ137" s="31"/>
      <c r="DK137" s="31"/>
      <c r="DL137" s="31"/>
      <c r="DM137" s="31"/>
      <c r="DN137" s="31"/>
      <c r="DO137" s="31"/>
      <c r="DP137" s="31"/>
      <c r="DQ137" s="31"/>
      <c r="DR137" s="31"/>
      <c r="DS137" s="31"/>
      <c r="DT137" s="31"/>
      <c r="DU137" s="31"/>
      <c r="DV137" s="31"/>
      <c r="DW137" s="31"/>
      <c r="DX137" s="31"/>
      <c r="DY137" s="31"/>
      <c r="DZ137" s="31"/>
      <c r="EA137" s="31"/>
      <c r="EB137" s="31"/>
      <c r="EC137" s="31"/>
      <c r="ED137" s="31"/>
      <c r="EE137" s="31"/>
      <c r="EF137" s="31"/>
      <c r="EG137" s="31"/>
      <c r="EH137" s="31"/>
      <c r="EI137" s="31"/>
      <c r="EJ137" s="31"/>
      <c r="EK137" s="31"/>
      <c r="EL137" s="31"/>
      <c r="EM137" s="31"/>
      <c r="EN137" s="31"/>
      <c r="EO137" s="31"/>
      <c r="EP137" s="31"/>
      <c r="EQ137" s="31"/>
      <c r="ER137" s="31"/>
      <c r="ES137" s="31"/>
      <c r="ET137" s="31"/>
      <c r="EU137" s="31"/>
      <c r="EV137" s="31"/>
      <c r="EW137" s="31"/>
      <c r="EX137" s="31"/>
      <c r="EY137" s="31"/>
      <c r="EZ137" s="31"/>
      <c r="FA137" s="31"/>
      <c r="FB137" s="31"/>
      <c r="FC137" s="31"/>
      <c r="FD137" s="31"/>
      <c r="FE137" s="31"/>
      <c r="FF137" s="31"/>
      <c r="FG137" s="31"/>
      <c r="FH137" s="31"/>
      <c r="FI137" s="31"/>
      <c r="FJ137" s="31"/>
      <c r="FK137" s="31"/>
      <c r="FL137" s="31"/>
      <c r="FM137" s="31"/>
      <c r="FN137" s="31"/>
      <c r="FO137" s="31"/>
      <c r="FP137" s="31"/>
      <c r="FQ137" s="31"/>
      <c r="FR137" s="31"/>
      <c r="FS137" s="31"/>
      <c r="FT137" s="31"/>
      <c r="FU137" s="31"/>
      <c r="FV137" s="31"/>
      <c r="FW137" s="31"/>
      <c r="FX137" s="31"/>
      <c r="FY137" s="31"/>
      <c r="FZ137" s="31"/>
      <c r="GA137" s="31"/>
      <c r="GB137" s="31"/>
      <c r="GC137" s="31"/>
      <c r="GD137" s="31"/>
      <c r="GE137" s="31"/>
      <c r="GF137" s="31"/>
      <c r="GG137" s="31"/>
      <c r="GH137" s="31"/>
      <c r="GI137" s="31"/>
      <c r="GJ137" s="31"/>
      <c r="GK137" s="31"/>
      <c r="GL137" s="31"/>
      <c r="GM137" s="31"/>
      <c r="GN137" s="31"/>
      <c r="GO137" s="31"/>
      <c r="GP137" s="31"/>
      <c r="GQ137" s="31"/>
      <c r="GR137" s="31"/>
      <c r="GS137" s="31"/>
      <c r="GT137" s="31"/>
      <c r="GU137" s="31"/>
      <c r="GV137" s="31"/>
      <c r="GW137" s="31"/>
      <c r="GX137" s="31"/>
      <c r="GY137" s="31"/>
      <c r="GZ137" s="31"/>
      <c r="HA137" s="31"/>
      <c r="HB137" s="31"/>
      <c r="HC137" s="31"/>
      <c r="HD137" s="31"/>
      <c r="HE137" s="31"/>
      <c r="HF137" s="31"/>
      <c r="HG137" s="31"/>
      <c r="HH137" s="31"/>
      <c r="HI137" s="31"/>
      <c r="HJ137" s="31"/>
      <c r="HK137" s="31"/>
    </row>
    <row r="138" spans="1:219" s="8" customFormat="1" ht="18" customHeight="1" collapsed="1" thickTop="1" x14ac:dyDescent="0.25">
      <c r="A138" s="125" t="s">
        <v>28</v>
      </c>
      <c r="B138" s="126">
        <f>+'N EERR'!B205</f>
        <v>0</v>
      </c>
      <c r="C138" s="11" t="str">
        <f>IF(AND(B4=0,B138&gt;=0), "",B138/B4)</f>
        <v/>
      </c>
      <c r="D138" s="43" t="str">
        <f>IF(AND(B124=0,B138&gt;=0),"",B138/B124)</f>
        <v/>
      </c>
      <c r="E138" s="126">
        <f>+'N EERR'!C205</f>
        <v>0</v>
      </c>
      <c r="F138" s="11">
        <f>IF(AND(E4=0,E138&gt;=0), "",E138/E4)</f>
        <v>0</v>
      </c>
      <c r="G138" s="43">
        <f>IF(AND(E124=0,E138&gt;=0),"",E138/E124)</f>
        <v>0</v>
      </c>
      <c r="H138" s="126">
        <f>+'N EERR'!D205</f>
        <v>0</v>
      </c>
      <c r="I138" s="11" t="str">
        <f>IF(AND(H4=0,H138&gt;=0), "",H138/H4)</f>
        <v/>
      </c>
      <c r="J138" s="43" t="str">
        <f>IF(AND(H124=0,H138&gt;=0),"",H138/H124)</f>
        <v/>
      </c>
      <c r="K138" s="11" t="str">
        <f t="shared" si="138"/>
        <v/>
      </c>
      <c r="L138" s="127">
        <f>+E138+H138</f>
        <v>0</v>
      </c>
      <c r="M138" s="11">
        <f>IF(AND(L4=0,L138&gt;=0), "",L138/L4)</f>
        <v>0</v>
      </c>
      <c r="N138" s="43">
        <f>IF(AND(L124=0,L138&gt;=0),"",L138/L124)</f>
        <v>0</v>
      </c>
      <c r="O138" s="126">
        <f>+'N EERR'!E205</f>
        <v>0</v>
      </c>
      <c r="P138" s="11" t="str">
        <f>IF(AND(O4=0,O138&gt;=0), "",O138/O4)</f>
        <v/>
      </c>
      <c r="Q138" s="43" t="str">
        <f>IF(AND(O124=0,O138&gt;=0),"",O138/O124)</f>
        <v/>
      </c>
      <c r="R138" s="11" t="str">
        <f t="shared" si="139"/>
        <v/>
      </c>
      <c r="S138" s="127">
        <f>+L138+O138</f>
        <v>0</v>
      </c>
      <c r="T138" s="11">
        <f>IF(AND(S4=0,S138&gt;=0), "",S138/S4)</f>
        <v>0</v>
      </c>
      <c r="U138" s="43">
        <f>IF(AND(S124=0,S138&gt;=0),"",S138/S124)</f>
        <v>0</v>
      </c>
      <c r="V138" s="128"/>
      <c r="W138" s="11" t="str">
        <f>IF(AND(V4=0,V138&gt;=0), "",V138/V4)</f>
        <v/>
      </c>
      <c r="X138" s="43" t="str">
        <f t="shared" si="140"/>
        <v/>
      </c>
      <c r="Y138" s="126">
        <f>+'N EERR'!F205</f>
        <v>0</v>
      </c>
      <c r="Z138" s="11" t="str">
        <f>IF(AND(Y4=0,Y138&gt;=0), "",Y138/Y4)</f>
        <v/>
      </c>
      <c r="AA138" s="43" t="str">
        <f>IF(AND(Y124=0,Y138&gt;=0),"",Y138/Y124)</f>
        <v/>
      </c>
      <c r="AB138" s="11" t="str">
        <f t="shared" si="141"/>
        <v/>
      </c>
      <c r="AC138" s="127">
        <f>+S138+Y138</f>
        <v>0</v>
      </c>
      <c r="AD138" s="11">
        <f>IF(AND(AC4=0,AC138&gt;=0), "",AC138/AC4)</f>
        <v>0</v>
      </c>
      <c r="AE138" s="43">
        <f>IF(AND(AC124=0,AC138&gt;=0),"",AC138/AC124)</f>
        <v>0</v>
      </c>
      <c r="AF138" s="126">
        <f>+'N EERR'!G205</f>
        <v>0</v>
      </c>
      <c r="AG138" s="11" t="str">
        <f>IF(AND(AF4=0,AF138&gt;=0), "",AF138/AF4)</f>
        <v/>
      </c>
      <c r="AH138" s="43" t="str">
        <f>IF(AND(AF124=0,AF138&gt;=0),"",AF138/AF124)</f>
        <v/>
      </c>
      <c r="AI138" s="11" t="str">
        <f t="shared" si="174"/>
        <v/>
      </c>
      <c r="AJ138" s="127">
        <f>+AC138+AF138</f>
        <v>0</v>
      </c>
      <c r="AK138" s="11">
        <f>IF(AND(AJ4=0,AJ138&gt;=0), "",AJ138/AJ4)</f>
        <v>0</v>
      </c>
      <c r="AL138" s="43">
        <f>IF(AND(AJ124=0,AJ138&gt;=0),"",AJ138/AJ124)</f>
        <v>0</v>
      </c>
      <c r="AM138" s="126">
        <f>+'N EERR'!H205</f>
        <v>0</v>
      </c>
      <c r="AN138" s="11" t="str">
        <f>IF(AND(AM4=0,AM138&gt;=0), "",AM138/AM4)</f>
        <v/>
      </c>
      <c r="AO138" s="43" t="str">
        <f>IF(AND(AM124=0,AM138&gt;=0),"",AM138/AM124)</f>
        <v/>
      </c>
      <c r="AP138" s="11" t="str">
        <f t="shared" si="175"/>
        <v/>
      </c>
      <c r="AQ138" s="127">
        <f>+AJ138+AM138</f>
        <v>0</v>
      </c>
      <c r="AR138" s="11">
        <f>IF(AND(AQ4=0,AQ138&gt;=0), "",AQ138/AQ4)</f>
        <v>0</v>
      </c>
      <c r="AS138" s="43">
        <f>IF(AND(AQ124=0,AQ138&gt;=0),"",AQ138/AQ124)</f>
        <v>0</v>
      </c>
      <c r="AT138" s="128">
        <f>+V138*2</f>
        <v>0</v>
      </c>
      <c r="AU138" s="11" t="str">
        <f>IF(AND(AT4=0,AT138&gt;=0), "",AT138/AT4)</f>
        <v/>
      </c>
      <c r="AV138" s="43" t="str">
        <f t="shared" si="142"/>
        <v/>
      </c>
      <c r="AW138" s="128"/>
      <c r="AX138" s="11">
        <f>IF(AND(AW4=0,AW138&gt;=0), "",AW138/AW4)</f>
        <v>0</v>
      </c>
      <c r="AY138" s="43">
        <f>IF(AND(AW124=0,AW138&gt;=0),"",AW138/AW124)</f>
        <v>0</v>
      </c>
      <c r="AZ138" s="128">
        <f>+AT138/6</f>
        <v>0</v>
      </c>
      <c r="BA138" s="11" t="str">
        <f>IF(AND(AZ4=0,AZ138&gt;=0), "",AZ138/AZ4)</f>
        <v/>
      </c>
      <c r="BB138" s="43" t="str">
        <f t="shared" si="143"/>
        <v/>
      </c>
      <c r="BC138" s="126">
        <f>+'N EERR'!I205</f>
        <v>0</v>
      </c>
      <c r="BD138" s="11" t="str">
        <f>IF(AND(BC4=0,BC138&gt;=0), "",BC138/BC4)</f>
        <v/>
      </c>
      <c r="BE138" s="43" t="str">
        <f>IF(AND(BC124=0,BC138&gt;=0),"",BC138/BC124)</f>
        <v/>
      </c>
      <c r="BF138" s="11" t="str">
        <f t="shared" si="144"/>
        <v/>
      </c>
      <c r="BG138" s="127">
        <f>+AQ138+BC138</f>
        <v>0</v>
      </c>
      <c r="BH138" s="11">
        <f>IF(AND(BG4=0,BG138&gt;=0), "",BG138/BG4)</f>
        <v>0</v>
      </c>
      <c r="BI138" s="43">
        <f>IF(AND(BG124=0,BG138&gt;=0),"",BG138/BG124)</f>
        <v>0</v>
      </c>
      <c r="BJ138" s="126">
        <f>+'N EERR'!J205</f>
        <v>0</v>
      </c>
      <c r="BK138" s="11" t="str">
        <f>IF(AND(BJ4=0,BJ138&gt;=0), "",BJ138/BJ4)</f>
        <v/>
      </c>
      <c r="BL138" s="43" t="str">
        <f>IF(AND(BJ124=0,BJ138&gt;=0),"",BJ138/BJ124)</f>
        <v/>
      </c>
      <c r="BM138" s="11" t="str">
        <f t="shared" si="176"/>
        <v/>
      </c>
      <c r="BN138" s="127">
        <f>+BG138+BJ138</f>
        <v>0</v>
      </c>
      <c r="BO138" s="11">
        <f>IF(AND(BN4=0,BN138&gt;=0), "",BN138/BN4)</f>
        <v>0</v>
      </c>
      <c r="BP138" s="43">
        <f>IF(AND(BN124=0,BN138&gt;=0),"",BN138/BN124)</f>
        <v>0</v>
      </c>
      <c r="BQ138" s="126">
        <f>+'N EERR'!K205</f>
        <v>0</v>
      </c>
      <c r="BR138" s="11" t="str">
        <f>IF(AND(BQ4=0,BQ138&gt;=0), "",BQ138/BQ4)</f>
        <v/>
      </c>
      <c r="BS138" s="43" t="str">
        <f>IF(AND(BQ124=0,BQ138&gt;=0),"",BQ138/BQ124)</f>
        <v/>
      </c>
      <c r="BT138" s="11" t="str">
        <f t="shared" si="177"/>
        <v/>
      </c>
      <c r="BU138" s="127">
        <f>+BN138+BQ138</f>
        <v>0</v>
      </c>
      <c r="BV138" s="11">
        <f>IF(AND(BU4=0,BU138&gt;=0), "",BU138/BU4)</f>
        <v>0</v>
      </c>
      <c r="BW138" s="43">
        <f>IF(AND(BU124=0,BU138&gt;=0),"",BU138/BU124)</f>
        <v>0</v>
      </c>
      <c r="BX138" s="128">
        <f>+AZ138*9</f>
        <v>0</v>
      </c>
      <c r="BY138" s="11" t="str">
        <f>IF(AND(BX4=0,BX138&gt;=0), "",BX138/BX4)</f>
        <v/>
      </c>
      <c r="BZ138" s="43" t="str">
        <f t="shared" si="178"/>
        <v/>
      </c>
      <c r="CA138" s="126">
        <f>+'N EERR'!L205</f>
        <v>0</v>
      </c>
      <c r="CB138" s="11" t="str">
        <f>IF(AND(CA4=0,CA138&gt;=0), "",CA138/CA4)</f>
        <v/>
      </c>
      <c r="CC138" s="43" t="str">
        <f>IF(AND(CA124=0,CA138&gt;=0),"",CA138/CA124)</f>
        <v/>
      </c>
      <c r="CD138" s="11" t="str">
        <f t="shared" si="145"/>
        <v/>
      </c>
      <c r="CE138" s="127">
        <f>+BU138+CA138</f>
        <v>0</v>
      </c>
      <c r="CF138" s="11">
        <f>IF(AND(CE4=0,CE138&gt;=0), "",CE138/CE4)</f>
        <v>0</v>
      </c>
      <c r="CG138" s="43">
        <f>IF(AND(CE124=0,CE138&gt;=0),"",CE138/CE124)</f>
        <v>0</v>
      </c>
      <c r="CH138" s="126">
        <f>+'N EERR'!M205</f>
        <v>0</v>
      </c>
      <c r="CI138" s="11" t="str">
        <f>IF(AND(CH4=0,CH138&gt;=0), "",CH138/CH4)</f>
        <v/>
      </c>
      <c r="CJ138" s="43" t="str">
        <f>IF(AND(CH124=0,CH138&gt;=0),"",CH138/CH124)</f>
        <v/>
      </c>
      <c r="CK138" s="11" t="str">
        <f t="shared" si="179"/>
        <v/>
      </c>
      <c r="CL138" s="127">
        <f>+CE138+CH138</f>
        <v>0</v>
      </c>
      <c r="CM138" s="11">
        <f>IF(AND(CL4=0,CL138&gt;=0), "",CL138/CL4)</f>
        <v>0</v>
      </c>
      <c r="CN138" s="43">
        <f>IF(AND(CL124=0,CL138&gt;=0),"",CL138/CL124)</f>
        <v>0</v>
      </c>
      <c r="CO138" s="126">
        <f>+'N EERR'!N205</f>
        <v>0</v>
      </c>
      <c r="CP138" s="11" t="str">
        <f>IF(AND(CO4=0,CO138&gt;=0), "",CO138/CO4)</f>
        <v/>
      </c>
      <c r="CQ138" s="43" t="str">
        <f>IF(AND(CO124=0,CO138&gt;=0),"",CO138/CO124)</f>
        <v/>
      </c>
      <c r="CR138" s="11" t="str">
        <f t="shared" si="180"/>
        <v/>
      </c>
      <c r="CS138" s="127">
        <f>+'N EERR'!O205</f>
        <v>0</v>
      </c>
      <c r="CT138" s="11">
        <f>IF(AND(CS4=0,CS138&gt;=0), "",CS138/CS4)</f>
        <v>0</v>
      </c>
      <c r="CU138" s="43">
        <f>IF(AND(CS124=0,CS138&gt;=0),"",CS138/CS124)</f>
        <v>0</v>
      </c>
      <c r="CV138" s="128">
        <f>+AZ138*12</f>
        <v>0</v>
      </c>
      <c r="CW138" s="11" t="str">
        <f>IF(AND(CV4=0,CV138&gt;=0), "",CV138/CV4)</f>
        <v/>
      </c>
      <c r="CX138" s="43" t="str">
        <f t="shared" si="181"/>
        <v/>
      </c>
    </row>
    <row r="139" spans="1:219" s="136" customFormat="1" ht="19.5" thickBot="1" x14ac:dyDescent="0.35">
      <c r="A139" s="129" t="s">
        <v>114</v>
      </c>
      <c r="B139" s="130">
        <f>+B137-B138</f>
        <v>0</v>
      </c>
      <c r="C139" s="131" t="str">
        <f>IF(AND(B4=0,B139&lt;=0), "",B139/B4)</f>
        <v/>
      </c>
      <c r="D139" s="132"/>
      <c r="E139" s="130">
        <f>+E137-E138</f>
        <v>3710</v>
      </c>
      <c r="F139" s="131">
        <f>IF(AND(E4=0,E139&lt;=0), "",E139/E4)</f>
        <v>0.26884057971014491</v>
      </c>
      <c r="G139" s="132"/>
      <c r="H139" s="130">
        <f>+H137-H138</f>
        <v>0</v>
      </c>
      <c r="I139" s="131" t="str">
        <f>IF(AND(H4=0,H139&lt;=0), "",H139/H4)</f>
        <v/>
      </c>
      <c r="J139" s="132"/>
      <c r="K139" s="131">
        <f t="shared" si="138"/>
        <v>-1</v>
      </c>
      <c r="L139" s="133">
        <f>+L137-L138</f>
        <v>3710</v>
      </c>
      <c r="M139" s="131">
        <f>IF(AND(L4=0,L139&lt;=0), "",L139/L4)</f>
        <v>0.26884057971014491</v>
      </c>
      <c r="N139" s="132"/>
      <c r="O139" s="130">
        <f>+O137-O138</f>
        <v>0</v>
      </c>
      <c r="P139" s="131" t="str">
        <f>IF(AND(O4=0,O139&lt;=0), "",O139/O4)</f>
        <v/>
      </c>
      <c r="Q139" s="132"/>
      <c r="R139" s="131" t="str">
        <f t="shared" si="139"/>
        <v/>
      </c>
      <c r="S139" s="133">
        <f>+S137-S138</f>
        <v>3710</v>
      </c>
      <c r="T139" s="131">
        <f>IF(AND(S4=0,S139&lt;=0), "",S139/S4)</f>
        <v>0.26884057971014491</v>
      </c>
      <c r="U139" s="132"/>
      <c r="V139" s="134">
        <f>+V137-V138</f>
        <v>0</v>
      </c>
      <c r="W139" s="131" t="str">
        <f>IF(AND(V4=0,V139&lt;=0), "",V139/V4)</f>
        <v/>
      </c>
      <c r="X139" s="132">
        <f t="shared" si="140"/>
        <v>1</v>
      </c>
      <c r="Y139" s="130">
        <f>+Y137-Y138</f>
        <v>0</v>
      </c>
      <c r="Z139" s="131" t="str">
        <f>IF(AND(Y4=0,Y139&lt;=0), "",Y139/Y4)</f>
        <v/>
      </c>
      <c r="AA139" s="132"/>
      <c r="AB139" s="131" t="str">
        <f t="shared" si="141"/>
        <v/>
      </c>
      <c r="AC139" s="133">
        <f>+AC137-AC138</f>
        <v>3710</v>
      </c>
      <c r="AD139" s="131">
        <f>IF(AND(AC4=0,AC139&lt;=0), "",AC139/AC4)</f>
        <v>0.26884057971014491</v>
      </c>
      <c r="AE139" s="132"/>
      <c r="AF139" s="134">
        <f>+AF137-AF138</f>
        <v>0</v>
      </c>
      <c r="AG139" s="131" t="str">
        <f>IF(AND(AF4=0,AF139&lt;=0), "",AF139/AF4)</f>
        <v/>
      </c>
      <c r="AH139" s="132"/>
      <c r="AI139" s="131" t="str">
        <f t="shared" si="174"/>
        <v/>
      </c>
      <c r="AJ139" s="133">
        <f>+AJ137-AJ138</f>
        <v>3710</v>
      </c>
      <c r="AK139" s="131">
        <f>IF(AND(AJ4=0,AJ139&lt;=0), "",AJ139/AJ4)</f>
        <v>0.26884057971014491</v>
      </c>
      <c r="AL139" s="132"/>
      <c r="AM139" s="134">
        <f>+AM137-AM138</f>
        <v>0</v>
      </c>
      <c r="AN139" s="131" t="str">
        <f>IF(AND(AM4=0,AM139&lt;=0), "",AM139/AM4)</f>
        <v/>
      </c>
      <c r="AO139" s="132"/>
      <c r="AP139" s="131" t="str">
        <f t="shared" si="175"/>
        <v/>
      </c>
      <c r="AQ139" s="133">
        <f>+AQ137-AQ138</f>
        <v>3710</v>
      </c>
      <c r="AR139" s="131">
        <f>IF(AND(AQ4=0,AQ139&lt;=0), "",AQ139/AQ4)</f>
        <v>0.26884057971014491</v>
      </c>
      <c r="AS139" s="132"/>
      <c r="AT139" s="134">
        <f>+AT137-AT138</f>
        <v>0</v>
      </c>
      <c r="AU139" s="131" t="str">
        <f>IF(AND(AT4=0,AT139&lt;=0), "",AT139/AT4)</f>
        <v/>
      </c>
      <c r="AV139" s="132">
        <f t="shared" si="142"/>
        <v>1</v>
      </c>
      <c r="AW139" s="134">
        <f>+AW137-AW138</f>
        <v>618.33333333333383</v>
      </c>
      <c r="AX139" s="131">
        <f>IF(AND(AW4=0,AW139&lt;=0), "",AW139/AW4)</f>
        <v>0.26884057971014508</v>
      </c>
      <c r="AY139" s="132"/>
      <c r="AZ139" s="134">
        <f>+AZ137-AZ138</f>
        <v>0</v>
      </c>
      <c r="BA139" s="131" t="str">
        <f>IF(AND(AZ4=0,AZ139&lt;=0), "",AZ139/AZ4)</f>
        <v/>
      </c>
      <c r="BB139" s="132">
        <f t="shared" si="143"/>
        <v>1</v>
      </c>
      <c r="BC139" s="134">
        <f>+BC137-BC138</f>
        <v>0</v>
      </c>
      <c r="BD139" s="131" t="str">
        <f>IF(AND(BC4=0,BC139&lt;=0), "",BC139/BC4)</f>
        <v/>
      </c>
      <c r="BE139" s="132"/>
      <c r="BF139" s="131" t="str">
        <f t="shared" si="144"/>
        <v/>
      </c>
      <c r="BG139" s="133">
        <f>+BG137-BG138</f>
        <v>3710</v>
      </c>
      <c r="BH139" s="131">
        <f>IF(AND(BG4=0,BG139&lt;=0), "",BG139/BG4)</f>
        <v>0.26884057971014491</v>
      </c>
      <c r="BI139" s="132"/>
      <c r="BJ139" s="134">
        <f>+BJ137-BJ138</f>
        <v>0</v>
      </c>
      <c r="BK139" s="131" t="str">
        <f>IF(AND(BJ4=0,BJ139&lt;=0), "",BJ139/BJ4)</f>
        <v/>
      </c>
      <c r="BL139" s="132"/>
      <c r="BM139" s="131" t="str">
        <f t="shared" si="176"/>
        <v/>
      </c>
      <c r="BN139" s="133">
        <f>+BN137-BN138</f>
        <v>3710</v>
      </c>
      <c r="BO139" s="131">
        <f>IF(AND(BN4=0,BN139&lt;=0), "",BN139/BN4)</f>
        <v>0.26884057971014491</v>
      </c>
      <c r="BP139" s="132"/>
      <c r="BQ139" s="134">
        <f>+BQ137-BQ138</f>
        <v>0</v>
      </c>
      <c r="BR139" s="131" t="str">
        <f>IF(AND(BQ4=0,BQ139&lt;=0), "",BQ139/BQ4)</f>
        <v/>
      </c>
      <c r="BS139" s="132"/>
      <c r="BT139" s="131" t="str">
        <f t="shared" si="177"/>
        <v/>
      </c>
      <c r="BU139" s="133">
        <f>+BU137-BU138</f>
        <v>3710</v>
      </c>
      <c r="BV139" s="131">
        <f>IF(AND(BU4=0,BU139&lt;=0), "",BU139/BU4)</f>
        <v>0.26884057971014491</v>
      </c>
      <c r="BW139" s="132"/>
      <c r="BX139" s="134">
        <f>+BX137-BX138</f>
        <v>0</v>
      </c>
      <c r="BY139" s="131" t="str">
        <f>IF(AND(BX4=0,BX139&lt;=0), "",BX139/BX4)</f>
        <v/>
      </c>
      <c r="BZ139" s="132">
        <f t="shared" si="178"/>
        <v>1</v>
      </c>
      <c r="CA139" s="134">
        <f>+CA137-CA138</f>
        <v>0</v>
      </c>
      <c r="CB139" s="131" t="str">
        <f>IF(AND(CA4=0,CA139&lt;=0), "",CA139/CA4)</f>
        <v/>
      </c>
      <c r="CC139" s="132"/>
      <c r="CD139" s="131" t="str">
        <f t="shared" si="145"/>
        <v/>
      </c>
      <c r="CE139" s="133">
        <f>+CE137-CE138</f>
        <v>3710</v>
      </c>
      <c r="CF139" s="131">
        <f>IF(AND(CE4=0,CE139&lt;=0), "",CE139/CE4)</f>
        <v>0.26884057971014491</v>
      </c>
      <c r="CG139" s="132"/>
      <c r="CH139" s="134">
        <f>+CH137-CH138</f>
        <v>0</v>
      </c>
      <c r="CI139" s="131" t="str">
        <f>IF(AND(CH4=0,CH139&lt;=0), "",CH139/CH4)</f>
        <v/>
      </c>
      <c r="CJ139" s="132"/>
      <c r="CK139" s="131" t="str">
        <f t="shared" si="179"/>
        <v/>
      </c>
      <c r="CL139" s="133">
        <f>+CL137-CL138</f>
        <v>3710</v>
      </c>
      <c r="CM139" s="131">
        <f>IF(AND(CL4=0,CL139&lt;=0), "",CL139/CL4)</f>
        <v>0.26884057971014491</v>
      </c>
      <c r="CN139" s="132"/>
      <c r="CO139" s="134">
        <f>+CO137-CO138</f>
        <v>0</v>
      </c>
      <c r="CP139" s="131" t="str">
        <f>IF(AND(CO4=0,CO139&lt;=0), "",CO139/CO4)</f>
        <v/>
      </c>
      <c r="CQ139" s="132"/>
      <c r="CR139" s="131" t="str">
        <f t="shared" si="180"/>
        <v/>
      </c>
      <c r="CS139" s="133">
        <f>+CS137-CS138</f>
        <v>3710</v>
      </c>
      <c r="CT139" s="131">
        <f>IF(AND(CS4=0,CS139&lt;=0), "",CS139/CS4)</f>
        <v>0.26884057971014491</v>
      </c>
      <c r="CU139" s="132"/>
      <c r="CV139" s="134">
        <f>+CV137-CV138</f>
        <v>0</v>
      </c>
      <c r="CW139" s="131" t="str">
        <f>IF(AND(CV4=0,CV139&lt;=0), "",CV139/CV4)</f>
        <v/>
      </c>
      <c r="CX139" s="132">
        <f t="shared" si="181"/>
        <v>1</v>
      </c>
      <c r="CY139" s="135"/>
      <c r="CZ139" s="135"/>
      <c r="DA139" s="135"/>
      <c r="DB139" s="135"/>
      <c r="DC139" s="135"/>
      <c r="DD139" s="135"/>
      <c r="DE139" s="135"/>
      <c r="DF139" s="135"/>
      <c r="DG139" s="135"/>
      <c r="DH139" s="135"/>
      <c r="DI139" s="135"/>
      <c r="DJ139" s="135"/>
      <c r="DK139" s="135"/>
      <c r="DL139" s="135"/>
      <c r="DM139" s="135"/>
      <c r="DN139" s="135"/>
      <c r="DO139" s="135"/>
      <c r="DP139" s="135"/>
      <c r="DQ139" s="135"/>
      <c r="DR139" s="135"/>
      <c r="DS139" s="135"/>
      <c r="DT139" s="135"/>
      <c r="DU139" s="135"/>
      <c r="DV139" s="135"/>
      <c r="DW139" s="135"/>
      <c r="DX139" s="135"/>
      <c r="DY139" s="135"/>
      <c r="DZ139" s="135"/>
      <c r="EA139" s="135"/>
      <c r="EB139" s="135"/>
      <c r="EC139" s="135"/>
      <c r="ED139" s="135"/>
      <c r="EE139" s="135"/>
      <c r="EF139" s="135"/>
      <c r="EG139" s="135"/>
      <c r="EH139" s="135"/>
      <c r="EI139" s="135"/>
      <c r="EJ139" s="135"/>
      <c r="EK139" s="135"/>
      <c r="EL139" s="135"/>
      <c r="EM139" s="135"/>
      <c r="EN139" s="135"/>
      <c r="EO139" s="135"/>
      <c r="EP139" s="135"/>
      <c r="EQ139" s="135"/>
      <c r="ER139" s="135"/>
      <c r="ES139" s="135"/>
      <c r="ET139" s="135"/>
      <c r="EU139" s="135"/>
      <c r="EV139" s="135"/>
      <c r="EW139" s="135"/>
      <c r="EX139" s="135"/>
      <c r="EY139" s="135"/>
      <c r="EZ139" s="135"/>
      <c r="FA139" s="135"/>
      <c r="FB139" s="135"/>
      <c r="FC139" s="135"/>
      <c r="FD139" s="135"/>
      <c r="FE139" s="135"/>
      <c r="FF139" s="135"/>
      <c r="FG139" s="135"/>
      <c r="FH139" s="135"/>
      <c r="FI139" s="135"/>
      <c r="FJ139" s="135"/>
      <c r="FK139" s="135"/>
      <c r="FL139" s="135"/>
      <c r="FM139" s="135"/>
      <c r="FN139" s="135"/>
      <c r="FO139" s="135"/>
      <c r="FP139" s="135"/>
      <c r="FQ139" s="135"/>
      <c r="FR139" s="135"/>
      <c r="FS139" s="135"/>
      <c r="FT139" s="135"/>
      <c r="FU139" s="135"/>
      <c r="FV139" s="135"/>
      <c r="FW139" s="135"/>
      <c r="FX139" s="135"/>
      <c r="FY139" s="135"/>
      <c r="FZ139" s="135"/>
      <c r="GA139" s="135"/>
      <c r="GB139" s="135"/>
      <c r="GC139" s="135"/>
      <c r="GD139" s="135"/>
      <c r="GE139" s="135"/>
      <c r="GF139" s="135"/>
      <c r="GG139" s="135"/>
      <c r="GH139" s="135"/>
      <c r="GI139" s="135"/>
      <c r="GJ139" s="135"/>
      <c r="GK139" s="135"/>
      <c r="GL139" s="135"/>
      <c r="GM139" s="135"/>
      <c r="GN139" s="135"/>
      <c r="GO139" s="135"/>
      <c r="GP139" s="135"/>
      <c r="GQ139" s="135"/>
      <c r="GR139" s="135"/>
      <c r="GS139" s="135"/>
      <c r="GT139" s="135"/>
      <c r="GU139" s="135"/>
      <c r="GV139" s="135"/>
      <c r="GW139" s="135"/>
      <c r="GX139" s="135"/>
      <c r="GY139" s="135"/>
      <c r="GZ139" s="135"/>
      <c r="HA139" s="135"/>
      <c r="HB139" s="135"/>
      <c r="HC139" s="135"/>
      <c r="HD139" s="135"/>
      <c r="HE139" s="135"/>
      <c r="HF139" s="135"/>
      <c r="HG139" s="135"/>
      <c r="HH139" s="135"/>
      <c r="HI139" s="135"/>
      <c r="HJ139" s="135"/>
      <c r="HK139" s="135"/>
    </row>
    <row r="140" spans="1:219" s="3" customFormat="1" ht="15.75" thickTop="1" x14ac:dyDescent="0.25">
      <c r="B140" s="12"/>
      <c r="C140" s="15"/>
      <c r="D140" s="15"/>
      <c r="E140" s="12"/>
      <c r="F140" s="15"/>
      <c r="G140" s="15"/>
      <c r="H140" s="71"/>
      <c r="I140" s="15"/>
      <c r="J140" s="15"/>
      <c r="K140" s="15"/>
      <c r="L140" s="71"/>
      <c r="M140" s="15"/>
      <c r="N140" s="15"/>
      <c r="O140" s="71"/>
      <c r="P140" s="15"/>
      <c r="Q140" s="15"/>
      <c r="R140" s="15"/>
      <c r="S140" s="71"/>
      <c r="T140" s="15"/>
      <c r="U140" s="15"/>
      <c r="V140" s="71">
        <f>+V124+V138</f>
        <v>0</v>
      </c>
      <c r="W140" s="15"/>
      <c r="X140" s="15"/>
      <c r="Y140" s="71"/>
      <c r="Z140" s="15"/>
      <c r="AA140" s="15"/>
      <c r="AB140" s="15"/>
      <c r="AC140" s="71"/>
      <c r="AD140" s="15"/>
      <c r="AE140" s="15"/>
      <c r="AF140" s="71"/>
      <c r="AG140" s="15"/>
      <c r="AH140" s="15"/>
      <c r="AI140" s="15"/>
      <c r="AJ140" s="71"/>
      <c r="AK140" s="15"/>
      <c r="AL140" s="15"/>
      <c r="AM140" s="71"/>
      <c r="AN140" s="15"/>
      <c r="AO140" s="15"/>
      <c r="AP140" s="15"/>
      <c r="AQ140" s="71">
        <f>+AQ139/6</f>
        <v>618.33333333333337</v>
      </c>
      <c r="AR140" s="15"/>
      <c r="AS140" s="15"/>
      <c r="AT140" s="71"/>
      <c r="AU140" s="15"/>
      <c r="AV140" s="15"/>
      <c r="AW140" s="71"/>
      <c r="AX140" s="15"/>
      <c r="AY140" s="15"/>
      <c r="AZ140" s="71"/>
      <c r="BA140" s="15"/>
      <c r="BB140" s="15"/>
      <c r="BC140" s="71"/>
      <c r="BD140" s="15"/>
      <c r="BE140" s="15"/>
      <c r="BF140" s="15"/>
      <c r="BG140" s="71">
        <f>+BG139/6</f>
        <v>618.33333333333337</v>
      </c>
      <c r="BH140" s="15"/>
      <c r="BI140" s="15"/>
      <c r="BJ140" s="71"/>
      <c r="BK140" s="15"/>
      <c r="BL140" s="15"/>
      <c r="BM140" s="15"/>
      <c r="BN140" s="71"/>
      <c r="BO140" s="15"/>
      <c r="BP140" s="15"/>
      <c r="BQ140" s="71"/>
      <c r="BR140" s="15"/>
      <c r="BS140" s="15"/>
      <c r="BT140" s="15"/>
      <c r="BU140" s="71"/>
      <c r="BV140" s="15"/>
      <c r="BW140" s="15"/>
      <c r="BX140" s="71"/>
      <c r="BY140" s="15"/>
      <c r="BZ140" s="15"/>
      <c r="CA140" s="71"/>
      <c r="CB140" s="15"/>
      <c r="CC140" s="15"/>
      <c r="CD140" s="15"/>
      <c r="CE140" s="71"/>
      <c r="CF140" s="15"/>
      <c r="CG140" s="15"/>
      <c r="CH140" s="71"/>
      <c r="CI140" s="15"/>
      <c r="CJ140" s="15"/>
      <c r="CK140" s="15"/>
      <c r="CL140" s="71"/>
      <c r="CM140" s="15"/>
      <c r="CN140" s="15"/>
      <c r="CO140" s="71"/>
      <c r="CP140" s="15"/>
      <c r="CQ140" s="15"/>
      <c r="CR140" s="15"/>
      <c r="CS140" s="71"/>
      <c r="CT140" s="15"/>
      <c r="CU140" s="15"/>
      <c r="CV140" s="71"/>
      <c r="CW140" s="15"/>
      <c r="CX140" s="15"/>
    </row>
    <row r="141" spans="1:219" s="3" customFormat="1" x14ac:dyDescent="0.25">
      <c r="B141" s="12"/>
      <c r="C141" s="15"/>
      <c r="D141" s="15"/>
      <c r="E141" s="12"/>
      <c r="F141" s="50"/>
      <c r="G141" s="50"/>
      <c r="H141" s="71"/>
      <c r="I141" s="15"/>
      <c r="J141" s="15"/>
      <c r="K141" s="15"/>
      <c r="L141" s="71"/>
      <c r="M141" s="15"/>
      <c r="N141" s="15"/>
      <c r="O141" s="71"/>
      <c r="P141" s="15"/>
      <c r="Q141" s="15"/>
      <c r="R141" s="15"/>
      <c r="S141" s="71"/>
      <c r="T141" s="15"/>
      <c r="U141" s="15"/>
      <c r="V141" s="71"/>
      <c r="W141" s="15"/>
      <c r="X141" s="15"/>
      <c r="Y141" s="71"/>
      <c r="Z141" s="15"/>
      <c r="AA141" s="15"/>
      <c r="AB141" s="15"/>
      <c r="AC141" s="71"/>
      <c r="AD141" s="15"/>
      <c r="AE141" s="15"/>
      <c r="AF141" s="71"/>
      <c r="AG141" s="15"/>
      <c r="AH141" s="15"/>
      <c r="AI141" s="15"/>
      <c r="AJ141" s="71"/>
      <c r="AK141" s="15"/>
      <c r="AL141" s="15"/>
      <c r="AM141" s="71"/>
      <c r="AN141" s="15"/>
      <c r="AO141" s="15"/>
      <c r="AP141" s="15"/>
      <c r="AQ141" s="71"/>
      <c r="AR141" s="15"/>
      <c r="AS141" s="15"/>
      <c r="AT141" s="71"/>
      <c r="AU141" s="15"/>
      <c r="AV141" s="15"/>
      <c r="AW141" s="71"/>
      <c r="AX141" s="15"/>
      <c r="AY141" s="15"/>
      <c r="AZ141" s="71"/>
      <c r="BA141" s="15"/>
      <c r="BB141" s="15"/>
      <c r="BC141" s="71"/>
      <c r="BD141" s="15"/>
      <c r="BE141" s="15"/>
      <c r="BF141" s="15"/>
      <c r="BG141" s="71"/>
      <c r="BH141" s="15"/>
      <c r="BI141" s="15"/>
      <c r="BJ141" s="71"/>
      <c r="BK141" s="15"/>
      <c r="BL141" s="15"/>
      <c r="BM141" s="15"/>
      <c r="BN141" s="71"/>
      <c r="BO141" s="15"/>
      <c r="BP141" s="15"/>
      <c r="BQ141" s="71"/>
      <c r="BR141" s="15"/>
      <c r="BS141" s="15"/>
      <c r="BT141" s="15"/>
      <c r="BU141" s="71"/>
      <c r="BV141" s="15"/>
      <c r="BW141" s="15"/>
      <c r="BX141" s="71"/>
      <c r="BY141" s="15"/>
      <c r="BZ141" s="15"/>
      <c r="CA141" s="71"/>
      <c r="CB141" s="15"/>
      <c r="CC141" s="15"/>
      <c r="CD141" s="15"/>
      <c r="CE141" s="71"/>
      <c r="CF141" s="15"/>
      <c r="CG141" s="15"/>
      <c r="CH141" s="71"/>
      <c r="CI141" s="15"/>
      <c r="CJ141" s="15"/>
      <c r="CK141" s="15"/>
      <c r="CL141" s="71"/>
      <c r="CM141" s="15"/>
      <c r="CN141" s="15"/>
      <c r="CO141" s="71"/>
      <c r="CP141" s="15"/>
      <c r="CQ141" s="15"/>
      <c r="CR141" s="15"/>
      <c r="CS141" s="71"/>
      <c r="CT141" s="15"/>
      <c r="CU141" s="15"/>
      <c r="CV141" s="71"/>
      <c r="CW141" s="15"/>
      <c r="CX141" s="15"/>
    </row>
    <row r="142" spans="1:219" s="3" customFormat="1" x14ac:dyDescent="0.25">
      <c r="B142" s="12"/>
      <c r="C142" s="15"/>
      <c r="D142" s="15"/>
      <c r="E142" s="12"/>
      <c r="F142" s="15"/>
      <c r="G142" s="15"/>
      <c r="H142" s="71"/>
      <c r="I142" s="15"/>
      <c r="J142" s="15"/>
      <c r="K142" s="59"/>
      <c r="L142" s="71"/>
      <c r="M142" s="15"/>
      <c r="N142" s="15"/>
      <c r="O142" s="71"/>
      <c r="P142" s="15"/>
      <c r="Q142" s="15"/>
      <c r="R142" s="15"/>
      <c r="S142" s="71"/>
      <c r="T142" s="15"/>
      <c r="U142" s="15"/>
      <c r="V142" s="71"/>
      <c r="W142" s="15"/>
      <c r="X142" s="15"/>
      <c r="Y142" s="71"/>
      <c r="Z142" s="15"/>
      <c r="AA142" s="15"/>
      <c r="AB142" s="15"/>
      <c r="AC142" s="71"/>
      <c r="AD142" s="15"/>
      <c r="AE142" s="15"/>
      <c r="AF142" s="71"/>
      <c r="AG142" s="15"/>
      <c r="AH142" s="15"/>
      <c r="AI142" s="15"/>
      <c r="AJ142" s="71"/>
      <c r="AK142" s="15"/>
      <c r="AL142" s="15"/>
      <c r="AM142" s="71"/>
      <c r="AN142" s="15"/>
      <c r="AO142" s="15"/>
      <c r="AP142" s="15"/>
      <c r="AQ142" s="71"/>
      <c r="AR142" s="15"/>
      <c r="AS142" s="15"/>
      <c r="AT142" s="71"/>
      <c r="AU142" s="15"/>
      <c r="AV142" s="15"/>
      <c r="AW142" s="71"/>
      <c r="AX142" s="15"/>
      <c r="AY142" s="15"/>
      <c r="AZ142" s="71"/>
      <c r="BA142" s="15"/>
      <c r="BB142" s="15"/>
      <c r="BC142" s="71"/>
      <c r="BD142" s="15"/>
      <c r="BE142" s="15"/>
      <c r="BF142" s="15"/>
      <c r="BG142" s="71"/>
      <c r="BH142" s="15"/>
      <c r="BI142" s="15"/>
      <c r="BJ142" s="71"/>
      <c r="BK142" s="15"/>
      <c r="BL142" s="15"/>
      <c r="BM142" s="15"/>
      <c r="BN142" s="71"/>
      <c r="BO142" s="15"/>
      <c r="BP142" s="15"/>
      <c r="BQ142" s="71"/>
      <c r="BR142" s="15"/>
      <c r="BS142" s="15"/>
      <c r="BT142" s="15"/>
      <c r="BU142" s="71"/>
      <c r="BV142" s="15"/>
      <c r="BW142" s="15"/>
      <c r="BX142" s="71"/>
      <c r="BY142" s="15"/>
      <c r="BZ142" s="15"/>
      <c r="CA142" s="71"/>
      <c r="CB142" s="15"/>
      <c r="CC142" s="15"/>
      <c r="CD142" s="15"/>
      <c r="CE142" s="71"/>
      <c r="CF142" s="15"/>
      <c r="CG142" s="15"/>
      <c r="CH142" s="71"/>
      <c r="CI142" s="15"/>
      <c r="CJ142" s="15"/>
      <c r="CK142" s="15"/>
      <c r="CL142" s="71"/>
      <c r="CM142" s="15"/>
      <c r="CN142" s="15"/>
      <c r="CO142" s="71"/>
      <c r="CP142" s="15"/>
      <c r="CQ142" s="15"/>
      <c r="CR142" s="15"/>
      <c r="CS142" s="71"/>
      <c r="CT142" s="15"/>
      <c r="CU142" s="15"/>
      <c r="CV142" s="71"/>
      <c r="CW142" s="15"/>
      <c r="CX142" s="15"/>
    </row>
    <row r="143" spans="1:219" s="3" customFormat="1" x14ac:dyDescent="0.25">
      <c r="B143" s="12"/>
      <c r="C143" s="15"/>
      <c r="D143" s="15"/>
      <c r="E143" s="12"/>
      <c r="F143" s="15"/>
      <c r="G143" s="15"/>
      <c r="H143" s="71"/>
      <c r="I143" s="15"/>
      <c r="J143" s="15"/>
      <c r="K143" s="15"/>
      <c r="L143" s="71"/>
      <c r="M143" s="15"/>
      <c r="N143" s="15"/>
      <c r="O143" s="71"/>
      <c r="P143" s="15"/>
      <c r="Q143" s="15"/>
      <c r="R143" s="15"/>
      <c r="S143" s="71"/>
      <c r="T143" s="15"/>
      <c r="U143" s="15"/>
      <c r="V143" s="71"/>
      <c r="W143" s="15"/>
      <c r="X143" s="15"/>
      <c r="Y143" s="71"/>
      <c r="Z143" s="15"/>
      <c r="AA143" s="15"/>
      <c r="AB143" s="15"/>
      <c r="AC143" s="71"/>
      <c r="AD143" s="15"/>
      <c r="AE143" s="15"/>
      <c r="AF143" s="71"/>
      <c r="AG143" s="15"/>
      <c r="AH143" s="15"/>
      <c r="AI143" s="15"/>
      <c r="AJ143" s="71"/>
      <c r="AK143" s="15"/>
      <c r="AL143" s="15"/>
      <c r="AM143" s="71"/>
      <c r="AN143" s="15"/>
      <c r="AO143" s="15"/>
      <c r="AP143" s="15"/>
      <c r="AQ143" s="71"/>
      <c r="AR143" s="15"/>
      <c r="AS143" s="15"/>
      <c r="AT143" s="71"/>
      <c r="AU143" s="15"/>
      <c r="AV143" s="15"/>
      <c r="AW143" s="71"/>
      <c r="AX143" s="15"/>
      <c r="AY143" s="15"/>
      <c r="AZ143" s="71"/>
      <c r="BA143" s="15"/>
      <c r="BB143" s="15"/>
      <c r="BC143" s="71"/>
      <c r="BD143" s="15"/>
      <c r="BE143" s="15"/>
      <c r="BF143" s="15"/>
      <c r="BG143" s="71"/>
      <c r="BH143" s="15"/>
      <c r="BI143" s="15"/>
      <c r="BJ143" s="71"/>
      <c r="BK143" s="15"/>
      <c r="BL143" s="15"/>
      <c r="BM143" s="15"/>
      <c r="BN143" s="71"/>
      <c r="BO143" s="15"/>
      <c r="BP143" s="15"/>
      <c r="BQ143" s="71"/>
      <c r="BR143" s="15"/>
      <c r="BS143" s="15"/>
      <c r="BT143" s="15"/>
      <c r="BU143" s="71"/>
      <c r="BV143" s="15"/>
      <c r="BW143" s="15"/>
      <c r="BX143" s="71"/>
      <c r="BY143" s="15"/>
      <c r="BZ143" s="15"/>
      <c r="CA143" s="71"/>
      <c r="CB143" s="15"/>
      <c r="CC143" s="15"/>
      <c r="CD143" s="15"/>
      <c r="CE143" s="71"/>
      <c r="CF143" s="15"/>
      <c r="CG143" s="15"/>
      <c r="CH143" s="71"/>
      <c r="CI143" s="15"/>
      <c r="CJ143" s="15"/>
      <c r="CK143" s="15"/>
      <c r="CL143" s="71"/>
      <c r="CM143" s="15"/>
      <c r="CN143" s="15"/>
      <c r="CO143" s="71"/>
      <c r="CP143" s="15"/>
      <c r="CQ143" s="15"/>
      <c r="CR143" s="15"/>
      <c r="CS143" s="71"/>
      <c r="CT143" s="15"/>
      <c r="CU143" s="15"/>
      <c r="CV143" s="71"/>
      <c r="CW143" s="15"/>
      <c r="CX143" s="15"/>
    </row>
    <row r="144" spans="1:219" s="3" customFormat="1" x14ac:dyDescent="0.25">
      <c r="B144" s="12"/>
      <c r="C144" s="15"/>
      <c r="D144" s="15"/>
      <c r="E144" s="12"/>
      <c r="F144" s="15"/>
      <c r="G144" s="15"/>
      <c r="H144" s="71"/>
      <c r="I144" s="15"/>
      <c r="J144" s="15"/>
      <c r="K144" s="15"/>
      <c r="L144" s="71"/>
      <c r="M144" s="15"/>
      <c r="N144" s="15"/>
      <c r="O144" s="71"/>
      <c r="P144" s="15"/>
      <c r="Q144" s="15"/>
      <c r="R144" s="15"/>
      <c r="S144" s="71"/>
      <c r="T144" s="15"/>
      <c r="U144" s="15"/>
      <c r="V144" s="71"/>
      <c r="W144" s="15"/>
      <c r="X144" s="15"/>
      <c r="Y144" s="71"/>
      <c r="Z144" s="15"/>
      <c r="AA144" s="15"/>
      <c r="AB144" s="15"/>
      <c r="AC144" s="71"/>
      <c r="AD144" s="15"/>
      <c r="AE144" s="15"/>
      <c r="AF144" s="71"/>
      <c r="AG144" s="15"/>
      <c r="AH144" s="15"/>
      <c r="AI144" s="15"/>
      <c r="AJ144" s="71"/>
      <c r="AK144" s="15"/>
      <c r="AL144" s="15"/>
      <c r="AM144" s="71"/>
      <c r="AN144" s="15"/>
      <c r="AO144" s="15"/>
      <c r="AP144" s="15"/>
      <c r="AQ144" s="71"/>
      <c r="AR144" s="15"/>
      <c r="AS144" s="15"/>
      <c r="AT144" s="71"/>
      <c r="AU144" s="15"/>
      <c r="AV144" s="15"/>
      <c r="AW144" s="71"/>
      <c r="AX144" s="15"/>
      <c r="AY144" s="15"/>
      <c r="AZ144" s="71"/>
      <c r="BA144" s="15"/>
      <c r="BB144" s="15"/>
      <c r="BC144" s="71"/>
      <c r="BD144" s="15"/>
      <c r="BE144" s="15"/>
      <c r="BF144" s="15"/>
      <c r="BG144" s="71"/>
      <c r="BH144" s="15"/>
      <c r="BI144" s="15"/>
      <c r="BJ144" s="71"/>
      <c r="BK144" s="15"/>
      <c r="BL144" s="15"/>
      <c r="BM144" s="15"/>
      <c r="BN144" s="71"/>
      <c r="BO144" s="15"/>
      <c r="BP144" s="15"/>
      <c r="BQ144" s="71"/>
      <c r="BR144" s="15"/>
      <c r="BS144" s="15"/>
      <c r="BT144" s="15"/>
      <c r="BU144" s="71"/>
      <c r="BV144" s="15"/>
      <c r="BW144" s="15"/>
      <c r="BX144" s="71"/>
      <c r="BY144" s="15"/>
      <c r="BZ144" s="15"/>
      <c r="CA144" s="71"/>
      <c r="CB144" s="15"/>
      <c r="CC144" s="15"/>
      <c r="CD144" s="15"/>
      <c r="CE144" s="71"/>
      <c r="CF144" s="15"/>
      <c r="CG144" s="15"/>
      <c r="CH144" s="71"/>
      <c r="CI144" s="15"/>
      <c r="CJ144" s="15"/>
      <c r="CK144" s="15"/>
      <c r="CL144" s="71"/>
      <c r="CM144" s="15"/>
      <c r="CN144" s="15"/>
      <c r="CO144" s="71"/>
      <c r="CP144" s="15"/>
      <c r="CQ144" s="15"/>
      <c r="CR144" s="15"/>
      <c r="CS144" s="71"/>
      <c r="CT144" s="15"/>
      <c r="CU144" s="15"/>
      <c r="CV144" s="71"/>
      <c r="CW144" s="15"/>
      <c r="CX144" s="15"/>
    </row>
    <row r="145" spans="2:102" s="3" customFormat="1" x14ac:dyDescent="0.25">
      <c r="B145" s="12"/>
      <c r="C145" s="15"/>
      <c r="D145" s="15"/>
      <c r="E145" s="12"/>
      <c r="F145" s="15"/>
      <c r="G145" s="15"/>
      <c r="H145" s="71"/>
      <c r="I145" s="15"/>
      <c r="J145" s="15"/>
      <c r="K145" s="15"/>
      <c r="L145" s="71"/>
      <c r="M145" s="15"/>
      <c r="N145" s="15"/>
      <c r="O145" s="71"/>
      <c r="P145" s="15"/>
      <c r="Q145" s="15"/>
      <c r="R145" s="15"/>
      <c r="S145" s="71"/>
      <c r="T145" s="15"/>
      <c r="U145" s="15"/>
      <c r="V145" s="71"/>
      <c r="W145" s="15"/>
      <c r="X145" s="15"/>
      <c r="Y145" s="71"/>
      <c r="Z145" s="15"/>
      <c r="AA145" s="15"/>
      <c r="AB145" s="15"/>
      <c r="AC145" s="71"/>
      <c r="AD145" s="15"/>
      <c r="AE145" s="15"/>
      <c r="AF145" s="71"/>
      <c r="AG145" s="15"/>
      <c r="AH145" s="15"/>
      <c r="AI145" s="15"/>
      <c r="AJ145" s="71"/>
      <c r="AK145" s="15"/>
      <c r="AL145" s="15"/>
      <c r="AM145" s="71"/>
      <c r="AN145" s="15"/>
      <c r="AO145" s="15"/>
      <c r="AP145" s="15"/>
      <c r="AQ145" s="71"/>
      <c r="AR145" s="15"/>
      <c r="AS145" s="15"/>
      <c r="AT145" s="71"/>
      <c r="AU145" s="15"/>
      <c r="AV145" s="15"/>
      <c r="AW145" s="71"/>
      <c r="AX145" s="15"/>
      <c r="AY145" s="15"/>
      <c r="AZ145" s="71"/>
      <c r="BA145" s="15"/>
      <c r="BB145" s="15"/>
      <c r="BC145" s="71"/>
      <c r="BD145" s="15"/>
      <c r="BE145" s="15"/>
      <c r="BF145" s="15"/>
      <c r="BG145" s="71"/>
      <c r="BH145" s="15"/>
      <c r="BI145" s="15"/>
      <c r="BJ145" s="71"/>
      <c r="BK145" s="15"/>
      <c r="BL145" s="15"/>
      <c r="BM145" s="15"/>
      <c r="BN145" s="71"/>
      <c r="BO145" s="15"/>
      <c r="BP145" s="15"/>
      <c r="BQ145" s="71"/>
      <c r="BR145" s="15"/>
      <c r="BS145" s="15"/>
      <c r="BT145" s="15"/>
      <c r="BU145" s="71"/>
      <c r="BV145" s="15"/>
      <c r="BW145" s="15"/>
      <c r="BX145" s="71"/>
      <c r="BY145" s="15"/>
      <c r="BZ145" s="15"/>
      <c r="CA145" s="71"/>
      <c r="CB145" s="15"/>
      <c r="CC145" s="15"/>
      <c r="CD145" s="15"/>
      <c r="CE145" s="71"/>
      <c r="CF145" s="15"/>
      <c r="CG145" s="15"/>
      <c r="CH145" s="71"/>
      <c r="CI145" s="15"/>
      <c r="CJ145" s="15"/>
      <c r="CK145" s="15"/>
      <c r="CL145" s="71"/>
      <c r="CM145" s="15"/>
      <c r="CN145" s="15"/>
      <c r="CO145" s="71"/>
      <c r="CP145" s="15"/>
      <c r="CQ145" s="15"/>
      <c r="CR145" s="15"/>
      <c r="CS145" s="71"/>
      <c r="CT145" s="15"/>
      <c r="CU145" s="15"/>
      <c r="CV145" s="71"/>
      <c r="CW145" s="15"/>
      <c r="CX145" s="15"/>
    </row>
    <row r="146" spans="2:102" s="3" customFormat="1" x14ac:dyDescent="0.25">
      <c r="B146" s="12"/>
      <c r="C146" s="15"/>
      <c r="D146" s="15"/>
      <c r="E146" s="12"/>
      <c r="F146" s="15"/>
      <c r="G146" s="15"/>
      <c r="H146" s="71"/>
      <c r="I146" s="15"/>
      <c r="J146" s="15"/>
      <c r="K146" s="15"/>
      <c r="L146" s="71"/>
      <c r="M146" s="15"/>
      <c r="N146" s="15"/>
      <c r="O146" s="71"/>
      <c r="P146" s="15"/>
      <c r="Q146" s="15"/>
      <c r="R146" s="15"/>
      <c r="S146" s="71"/>
      <c r="T146" s="15"/>
      <c r="U146" s="15"/>
      <c r="V146" s="71"/>
      <c r="W146" s="15"/>
      <c r="X146" s="15"/>
      <c r="Y146" s="71"/>
      <c r="Z146" s="15"/>
      <c r="AA146" s="15"/>
      <c r="AB146" s="15"/>
      <c r="AC146" s="71"/>
      <c r="AD146" s="15"/>
      <c r="AE146" s="15"/>
      <c r="AF146" s="71"/>
      <c r="AG146" s="15"/>
      <c r="AH146" s="15"/>
      <c r="AI146" s="15"/>
      <c r="AJ146" s="71"/>
      <c r="AK146" s="15"/>
      <c r="AL146" s="15"/>
      <c r="AM146" s="71"/>
      <c r="AN146" s="15"/>
      <c r="AO146" s="15"/>
      <c r="AP146" s="15"/>
      <c r="AQ146" s="71"/>
      <c r="AR146" s="15"/>
      <c r="AS146" s="15"/>
      <c r="AT146" s="71"/>
      <c r="AU146" s="15"/>
      <c r="AV146" s="15"/>
      <c r="AW146" s="71"/>
      <c r="AX146" s="15"/>
      <c r="AY146" s="15"/>
      <c r="AZ146" s="71"/>
      <c r="BA146" s="15"/>
      <c r="BB146" s="15"/>
      <c r="BC146" s="71"/>
      <c r="BD146" s="15"/>
      <c r="BE146" s="15"/>
      <c r="BF146" s="15"/>
      <c r="BG146" s="71"/>
      <c r="BH146" s="15"/>
      <c r="BI146" s="15"/>
      <c r="BJ146" s="71"/>
      <c r="BK146" s="15"/>
      <c r="BL146" s="15"/>
      <c r="BM146" s="15"/>
      <c r="BN146" s="71"/>
      <c r="BO146" s="15"/>
      <c r="BP146" s="15"/>
      <c r="BQ146" s="71"/>
      <c r="BR146" s="15"/>
      <c r="BS146" s="15"/>
      <c r="BT146" s="15"/>
      <c r="BU146" s="71"/>
      <c r="BV146" s="15"/>
      <c r="BW146" s="15"/>
      <c r="BX146" s="71"/>
      <c r="BY146" s="15"/>
      <c r="BZ146" s="15"/>
      <c r="CA146" s="71"/>
      <c r="CB146" s="15"/>
      <c r="CC146" s="15"/>
      <c r="CD146" s="15"/>
      <c r="CE146" s="71"/>
      <c r="CF146" s="15"/>
      <c r="CG146" s="15"/>
      <c r="CH146" s="71"/>
      <c r="CI146" s="15"/>
      <c r="CJ146" s="15"/>
      <c r="CK146" s="15"/>
      <c r="CL146" s="71"/>
      <c r="CM146" s="15"/>
      <c r="CN146" s="15"/>
      <c r="CO146" s="71"/>
      <c r="CP146" s="15"/>
      <c r="CQ146" s="15"/>
      <c r="CR146" s="15"/>
      <c r="CS146" s="71"/>
      <c r="CT146" s="15"/>
      <c r="CU146" s="15"/>
      <c r="CV146" s="71"/>
      <c r="CW146" s="15"/>
      <c r="CX146" s="15"/>
    </row>
    <row r="147" spans="2:102" s="3" customFormat="1" x14ac:dyDescent="0.25">
      <c r="B147" s="12"/>
      <c r="C147" s="15"/>
      <c r="D147" s="15"/>
      <c r="E147" s="12"/>
      <c r="F147" s="15"/>
      <c r="G147" s="15"/>
      <c r="H147" s="71"/>
      <c r="I147" s="15"/>
      <c r="J147" s="15"/>
      <c r="K147" s="15"/>
      <c r="L147" s="71"/>
      <c r="M147" s="15"/>
      <c r="N147" s="15"/>
      <c r="O147" s="71"/>
      <c r="P147" s="15"/>
      <c r="Q147" s="15"/>
      <c r="R147" s="15"/>
      <c r="S147" s="71"/>
      <c r="T147" s="15"/>
      <c r="U147" s="15"/>
      <c r="V147" s="71"/>
      <c r="W147" s="15"/>
      <c r="X147" s="15"/>
      <c r="Y147" s="71"/>
      <c r="Z147" s="15"/>
      <c r="AA147" s="15"/>
      <c r="AB147" s="15"/>
      <c r="AC147" s="71"/>
      <c r="AD147" s="15"/>
      <c r="AE147" s="15"/>
      <c r="AF147" s="71"/>
      <c r="AG147" s="15"/>
      <c r="AH147" s="15"/>
      <c r="AI147" s="15"/>
      <c r="AJ147" s="71"/>
      <c r="AK147" s="15"/>
      <c r="AL147" s="15"/>
      <c r="AM147" s="71"/>
      <c r="AN147" s="15"/>
      <c r="AO147" s="15"/>
      <c r="AP147" s="15"/>
      <c r="AQ147" s="71"/>
      <c r="AR147" s="15"/>
      <c r="AS147" s="15"/>
      <c r="AT147" s="71"/>
      <c r="AU147" s="15"/>
      <c r="AV147" s="15"/>
      <c r="AW147" s="71"/>
      <c r="AX147" s="15"/>
      <c r="AY147" s="15"/>
      <c r="AZ147" s="71"/>
      <c r="BA147" s="15"/>
      <c r="BB147" s="15"/>
      <c r="BC147" s="71"/>
      <c r="BD147" s="15"/>
      <c r="BE147" s="15"/>
      <c r="BF147" s="15"/>
      <c r="BG147" s="71"/>
      <c r="BH147" s="15"/>
      <c r="BI147" s="15"/>
      <c r="BJ147" s="71"/>
      <c r="BK147" s="15"/>
      <c r="BL147" s="15"/>
      <c r="BM147" s="15"/>
      <c r="BN147" s="71"/>
      <c r="BO147" s="15"/>
      <c r="BP147" s="15"/>
      <c r="BQ147" s="71"/>
      <c r="BR147" s="15"/>
      <c r="BS147" s="15"/>
      <c r="BT147" s="15"/>
      <c r="BU147" s="71"/>
      <c r="BV147" s="15"/>
      <c r="BW147" s="15"/>
      <c r="BX147" s="71"/>
      <c r="BY147" s="15"/>
      <c r="BZ147" s="15"/>
      <c r="CA147" s="71"/>
      <c r="CB147" s="15"/>
      <c r="CC147" s="15"/>
      <c r="CD147" s="15"/>
      <c r="CE147" s="71"/>
      <c r="CF147" s="15"/>
      <c r="CG147" s="15"/>
      <c r="CH147" s="71"/>
      <c r="CI147" s="15"/>
      <c r="CJ147" s="15"/>
      <c r="CK147" s="15"/>
      <c r="CL147" s="71"/>
      <c r="CM147" s="15"/>
      <c r="CN147" s="15"/>
      <c r="CO147" s="71"/>
      <c r="CP147" s="15"/>
      <c r="CQ147" s="15"/>
      <c r="CR147" s="15"/>
      <c r="CS147" s="71"/>
      <c r="CT147" s="15"/>
      <c r="CU147" s="15"/>
      <c r="CV147" s="71"/>
      <c r="CW147" s="15"/>
      <c r="CX147" s="15"/>
    </row>
    <row r="148" spans="2:102" s="3" customFormat="1" x14ac:dyDescent="0.25">
      <c r="B148" s="12"/>
      <c r="C148" s="15"/>
      <c r="D148" s="15"/>
      <c r="E148" s="12"/>
      <c r="F148" s="15"/>
      <c r="G148" s="15"/>
      <c r="H148" s="71"/>
      <c r="I148" s="15"/>
      <c r="J148" s="15"/>
      <c r="K148" s="15"/>
      <c r="L148" s="71"/>
      <c r="M148" s="15"/>
      <c r="N148" s="15"/>
      <c r="O148" s="71"/>
      <c r="P148" s="15"/>
      <c r="Q148" s="15"/>
      <c r="R148" s="15"/>
      <c r="S148" s="71"/>
      <c r="T148" s="15"/>
      <c r="U148" s="15"/>
      <c r="V148" s="71"/>
      <c r="W148" s="15"/>
      <c r="X148" s="15"/>
      <c r="Y148" s="71"/>
      <c r="Z148" s="15"/>
      <c r="AA148" s="15"/>
      <c r="AB148" s="15"/>
      <c r="AC148" s="71"/>
      <c r="AD148" s="15"/>
      <c r="AE148" s="15"/>
      <c r="AF148" s="71"/>
      <c r="AG148" s="15"/>
      <c r="AH148" s="15"/>
      <c r="AI148" s="15"/>
      <c r="AJ148" s="71"/>
      <c r="AK148" s="15"/>
      <c r="AL148" s="15"/>
      <c r="AM148" s="71"/>
      <c r="AN148" s="15"/>
      <c r="AO148" s="15"/>
      <c r="AP148" s="15"/>
      <c r="AQ148" s="71"/>
      <c r="AR148" s="15"/>
      <c r="AS148" s="15"/>
      <c r="AT148" s="71"/>
      <c r="AU148" s="15"/>
      <c r="AV148" s="15"/>
      <c r="AW148" s="71"/>
      <c r="AX148" s="15"/>
      <c r="AY148" s="15"/>
      <c r="AZ148" s="71"/>
      <c r="BA148" s="15"/>
      <c r="BB148" s="15"/>
      <c r="BC148" s="71"/>
      <c r="BD148" s="15"/>
      <c r="BE148" s="15"/>
      <c r="BF148" s="15"/>
      <c r="BG148" s="71"/>
      <c r="BH148" s="15"/>
      <c r="BI148" s="15"/>
      <c r="BJ148" s="71"/>
      <c r="BK148" s="15"/>
      <c r="BL148" s="15"/>
      <c r="BM148" s="15"/>
      <c r="BN148" s="71"/>
      <c r="BO148" s="15"/>
      <c r="BP148" s="15"/>
      <c r="BQ148" s="71"/>
      <c r="BR148" s="15"/>
      <c r="BS148" s="15"/>
      <c r="BT148" s="15"/>
      <c r="BU148" s="71"/>
      <c r="BV148" s="15"/>
      <c r="BW148" s="15"/>
      <c r="BX148" s="71"/>
      <c r="BY148" s="15"/>
      <c r="BZ148" s="15"/>
      <c r="CA148" s="71"/>
      <c r="CB148" s="15"/>
      <c r="CC148" s="15"/>
      <c r="CD148" s="15"/>
      <c r="CE148" s="71"/>
      <c r="CF148" s="15"/>
      <c r="CG148" s="15"/>
      <c r="CH148" s="71"/>
      <c r="CI148" s="15"/>
      <c r="CJ148" s="15"/>
      <c r="CK148" s="15"/>
      <c r="CL148" s="71"/>
      <c r="CM148" s="15"/>
      <c r="CN148" s="15"/>
      <c r="CO148" s="71"/>
      <c r="CP148" s="15"/>
      <c r="CQ148" s="15"/>
      <c r="CR148" s="15"/>
      <c r="CS148" s="71"/>
      <c r="CT148" s="15"/>
      <c r="CU148" s="15"/>
      <c r="CV148" s="71"/>
      <c r="CW148" s="15"/>
      <c r="CX148" s="15"/>
    </row>
    <row r="149" spans="2:102" s="3" customFormat="1" x14ac:dyDescent="0.25">
      <c r="B149" s="12"/>
      <c r="C149" s="15"/>
      <c r="D149" s="15"/>
      <c r="E149" s="12"/>
      <c r="F149" s="15"/>
      <c r="G149" s="15"/>
      <c r="H149" s="71"/>
      <c r="I149" s="15"/>
      <c r="J149" s="15"/>
      <c r="K149" s="15"/>
      <c r="L149" s="71"/>
      <c r="M149" s="15"/>
      <c r="N149" s="15"/>
      <c r="O149" s="71"/>
      <c r="P149" s="15"/>
      <c r="Q149" s="15"/>
      <c r="R149" s="15"/>
      <c r="S149" s="71"/>
      <c r="T149" s="15"/>
      <c r="U149" s="15"/>
      <c r="V149" s="71"/>
      <c r="W149" s="15"/>
      <c r="X149" s="15"/>
      <c r="Y149" s="71"/>
      <c r="Z149" s="15"/>
      <c r="AA149" s="15"/>
      <c r="AB149" s="15"/>
      <c r="AC149" s="71"/>
      <c r="AD149" s="15"/>
      <c r="AE149" s="15"/>
      <c r="AF149" s="71"/>
      <c r="AG149" s="15"/>
      <c r="AH149" s="15"/>
      <c r="AI149" s="15"/>
      <c r="AJ149" s="71"/>
      <c r="AK149" s="15"/>
      <c r="AL149" s="15"/>
      <c r="AM149" s="71"/>
      <c r="AN149" s="15"/>
      <c r="AO149" s="15"/>
      <c r="AP149" s="15"/>
      <c r="AQ149" s="71"/>
      <c r="AR149" s="15"/>
      <c r="AS149" s="15"/>
      <c r="AT149" s="71"/>
      <c r="AU149" s="15"/>
      <c r="AV149" s="15"/>
      <c r="AW149" s="71"/>
      <c r="AX149" s="15"/>
      <c r="AY149" s="15"/>
      <c r="AZ149" s="71"/>
      <c r="BA149" s="15"/>
      <c r="BB149" s="15"/>
      <c r="BC149" s="71"/>
      <c r="BD149" s="15"/>
      <c r="BE149" s="15"/>
      <c r="BF149" s="15"/>
      <c r="BG149" s="71"/>
      <c r="BH149" s="15"/>
      <c r="BI149" s="15"/>
      <c r="BJ149" s="71"/>
      <c r="BK149" s="15"/>
      <c r="BL149" s="15"/>
      <c r="BM149" s="15"/>
      <c r="BN149" s="71"/>
      <c r="BO149" s="15"/>
      <c r="BP149" s="15"/>
      <c r="BQ149" s="71"/>
      <c r="BR149" s="15"/>
      <c r="BS149" s="15"/>
      <c r="BT149" s="15"/>
      <c r="BU149" s="71"/>
      <c r="BV149" s="15"/>
      <c r="BW149" s="15"/>
      <c r="BX149" s="71"/>
      <c r="BY149" s="15"/>
      <c r="BZ149" s="15"/>
      <c r="CA149" s="71"/>
      <c r="CB149" s="15"/>
      <c r="CC149" s="15"/>
      <c r="CD149" s="15"/>
      <c r="CE149" s="71"/>
      <c r="CF149" s="15"/>
      <c r="CG149" s="15"/>
      <c r="CH149" s="71"/>
      <c r="CI149" s="15"/>
      <c r="CJ149" s="15"/>
      <c r="CK149" s="15"/>
      <c r="CL149" s="71"/>
      <c r="CM149" s="15"/>
      <c r="CN149" s="15"/>
      <c r="CO149" s="71"/>
      <c r="CP149" s="15"/>
      <c r="CQ149" s="15"/>
      <c r="CR149" s="15"/>
      <c r="CS149" s="71"/>
      <c r="CT149" s="15"/>
      <c r="CU149" s="15"/>
      <c r="CV149" s="71"/>
      <c r="CW149" s="15"/>
      <c r="CX149" s="15"/>
    </row>
    <row r="150" spans="2:102" s="3" customFormat="1" x14ac:dyDescent="0.25">
      <c r="B150" s="12"/>
      <c r="C150" s="15"/>
      <c r="D150" s="15"/>
      <c r="E150" s="12"/>
      <c r="F150" s="15"/>
      <c r="G150" s="15"/>
      <c r="H150" s="71"/>
      <c r="I150" s="15"/>
      <c r="J150" s="15"/>
      <c r="K150" s="15"/>
      <c r="L150" s="71"/>
      <c r="M150" s="15"/>
      <c r="N150" s="15"/>
      <c r="O150" s="71"/>
      <c r="P150" s="15"/>
      <c r="Q150" s="15"/>
      <c r="R150" s="15"/>
      <c r="S150" s="71"/>
      <c r="T150" s="15"/>
      <c r="U150" s="15"/>
      <c r="V150" s="71"/>
      <c r="W150" s="15"/>
      <c r="X150" s="15"/>
      <c r="Y150" s="71"/>
      <c r="Z150" s="15"/>
      <c r="AA150" s="15"/>
      <c r="AB150" s="15"/>
      <c r="AC150" s="71"/>
      <c r="AD150" s="15"/>
      <c r="AE150" s="15"/>
      <c r="AF150" s="71"/>
      <c r="AG150" s="15"/>
      <c r="AH150" s="15"/>
      <c r="AI150" s="15"/>
      <c r="AJ150" s="71"/>
      <c r="AK150" s="15"/>
      <c r="AL150" s="15"/>
      <c r="AM150" s="71"/>
      <c r="AN150" s="15"/>
      <c r="AO150" s="15"/>
      <c r="AP150" s="15"/>
      <c r="AQ150" s="71"/>
      <c r="AR150" s="15"/>
      <c r="AS150" s="15"/>
      <c r="AT150" s="71"/>
      <c r="AU150" s="15"/>
      <c r="AV150" s="15"/>
      <c r="AW150" s="71"/>
      <c r="AX150" s="15"/>
      <c r="AY150" s="15"/>
      <c r="AZ150" s="71"/>
      <c r="BA150" s="15"/>
      <c r="BB150" s="15"/>
      <c r="BC150" s="71"/>
      <c r="BD150" s="15"/>
      <c r="BE150" s="15"/>
      <c r="BF150" s="15"/>
      <c r="BG150" s="71"/>
      <c r="BH150" s="15"/>
      <c r="BI150" s="15"/>
      <c r="BJ150" s="71"/>
      <c r="BK150" s="15"/>
      <c r="BL150" s="15"/>
      <c r="BM150" s="15"/>
      <c r="BN150" s="71"/>
      <c r="BO150" s="15"/>
      <c r="BP150" s="15"/>
      <c r="BQ150" s="71"/>
      <c r="BR150" s="15"/>
      <c r="BS150" s="15"/>
      <c r="BT150" s="15"/>
      <c r="BU150" s="71"/>
      <c r="BV150" s="15"/>
      <c r="BW150" s="15"/>
      <c r="BX150" s="71"/>
      <c r="BY150" s="15"/>
      <c r="BZ150" s="15"/>
      <c r="CA150" s="71"/>
      <c r="CB150" s="15"/>
      <c r="CC150" s="15"/>
      <c r="CD150" s="15"/>
      <c r="CE150" s="71"/>
      <c r="CF150" s="15"/>
      <c r="CG150" s="15"/>
      <c r="CH150" s="71"/>
      <c r="CI150" s="15"/>
      <c r="CJ150" s="15"/>
      <c r="CK150" s="15"/>
      <c r="CL150" s="71"/>
      <c r="CM150" s="15"/>
      <c r="CN150" s="15"/>
      <c r="CO150" s="71"/>
      <c r="CP150" s="15"/>
      <c r="CQ150" s="15"/>
      <c r="CR150" s="15"/>
      <c r="CS150" s="71"/>
      <c r="CT150" s="15"/>
      <c r="CU150" s="15"/>
      <c r="CV150" s="71"/>
      <c r="CW150" s="15"/>
      <c r="CX150" s="15"/>
    </row>
    <row r="151" spans="2:102" s="3" customFormat="1" x14ac:dyDescent="0.25">
      <c r="B151" s="12"/>
      <c r="C151" s="15"/>
      <c r="D151" s="15"/>
      <c r="E151" s="12"/>
      <c r="F151" s="15"/>
      <c r="G151" s="15"/>
      <c r="H151" s="71"/>
      <c r="I151" s="15"/>
      <c r="J151" s="15"/>
      <c r="K151" s="15"/>
      <c r="L151" s="71"/>
      <c r="M151" s="15"/>
      <c r="N151" s="15"/>
      <c r="O151" s="71"/>
      <c r="P151" s="15"/>
      <c r="Q151" s="15"/>
      <c r="R151" s="15"/>
      <c r="S151" s="71"/>
      <c r="T151" s="15"/>
      <c r="U151" s="15"/>
      <c r="V151" s="71"/>
      <c r="W151" s="15"/>
      <c r="X151" s="15"/>
      <c r="Y151" s="71"/>
      <c r="Z151" s="15"/>
      <c r="AA151" s="15"/>
      <c r="AB151" s="15"/>
      <c r="AC151" s="71"/>
      <c r="AD151" s="15"/>
      <c r="AE151" s="15"/>
      <c r="AF151" s="71"/>
      <c r="AG151" s="15"/>
      <c r="AH151" s="15"/>
      <c r="AI151" s="15"/>
      <c r="AJ151" s="71"/>
      <c r="AK151" s="15"/>
      <c r="AL151" s="15"/>
      <c r="AM151" s="71"/>
      <c r="AN151" s="15"/>
      <c r="AO151" s="15"/>
      <c r="AP151" s="15"/>
      <c r="AQ151" s="71"/>
      <c r="AR151" s="15"/>
      <c r="AS151" s="15"/>
      <c r="AT151" s="71"/>
      <c r="AU151" s="15"/>
      <c r="AV151" s="15"/>
      <c r="AW151" s="71"/>
      <c r="AX151" s="15"/>
      <c r="AY151" s="15"/>
      <c r="AZ151" s="71"/>
      <c r="BA151" s="15"/>
      <c r="BB151" s="15"/>
      <c r="BC151" s="71"/>
      <c r="BD151" s="15"/>
      <c r="BE151" s="15"/>
      <c r="BF151" s="15"/>
      <c r="BG151" s="71"/>
      <c r="BH151" s="15"/>
      <c r="BI151" s="15"/>
      <c r="BJ151" s="71"/>
      <c r="BK151" s="15"/>
      <c r="BL151" s="15"/>
      <c r="BM151" s="15"/>
      <c r="BN151" s="71"/>
      <c r="BO151" s="15"/>
      <c r="BP151" s="15"/>
      <c r="BQ151" s="71"/>
      <c r="BR151" s="15"/>
      <c r="BS151" s="15"/>
      <c r="BT151" s="15"/>
      <c r="BU151" s="71"/>
      <c r="BV151" s="15"/>
      <c r="BW151" s="15"/>
      <c r="BX151" s="71"/>
      <c r="BY151" s="15"/>
      <c r="BZ151" s="15"/>
      <c r="CA151" s="71"/>
      <c r="CB151" s="15"/>
      <c r="CC151" s="15"/>
      <c r="CD151" s="15"/>
      <c r="CE151" s="71"/>
      <c r="CF151" s="15"/>
      <c r="CG151" s="15"/>
      <c r="CH151" s="71"/>
      <c r="CI151" s="15"/>
      <c r="CJ151" s="15"/>
      <c r="CK151" s="15"/>
      <c r="CL151" s="71"/>
      <c r="CM151" s="15"/>
      <c r="CN151" s="15"/>
      <c r="CO151" s="71"/>
      <c r="CP151" s="15"/>
      <c r="CQ151" s="15"/>
      <c r="CR151" s="15"/>
      <c r="CS151" s="71"/>
      <c r="CT151" s="15"/>
      <c r="CU151" s="15"/>
      <c r="CV151" s="71"/>
      <c r="CW151" s="15"/>
      <c r="CX151" s="15"/>
    </row>
    <row r="152" spans="2:102" s="3" customFormat="1" x14ac:dyDescent="0.25">
      <c r="B152" s="12"/>
      <c r="C152" s="15"/>
      <c r="D152" s="15"/>
      <c r="E152" s="12"/>
      <c r="F152" s="15"/>
      <c r="G152" s="15"/>
      <c r="H152" s="71"/>
      <c r="I152" s="15"/>
      <c r="J152" s="15"/>
      <c r="K152" s="15"/>
      <c r="L152" s="71"/>
      <c r="M152" s="15"/>
      <c r="N152" s="15"/>
      <c r="O152" s="71"/>
      <c r="P152" s="15"/>
      <c r="Q152" s="15"/>
      <c r="R152" s="15"/>
      <c r="S152" s="71"/>
      <c r="T152" s="15"/>
      <c r="U152" s="15"/>
      <c r="V152" s="71"/>
      <c r="W152" s="15"/>
      <c r="X152" s="15"/>
      <c r="Y152" s="71"/>
      <c r="Z152" s="15"/>
      <c r="AA152" s="15"/>
      <c r="AB152" s="15"/>
      <c r="AC152" s="71"/>
      <c r="AD152" s="15"/>
      <c r="AE152" s="15"/>
      <c r="AF152" s="71"/>
      <c r="AG152" s="15"/>
      <c r="AH152" s="15"/>
      <c r="AI152" s="15"/>
      <c r="AJ152" s="71"/>
      <c r="AK152" s="15"/>
      <c r="AL152" s="15"/>
      <c r="AM152" s="71"/>
      <c r="AN152" s="15"/>
      <c r="AO152" s="15"/>
      <c r="AP152" s="15"/>
      <c r="AQ152" s="71"/>
      <c r="AR152" s="15"/>
      <c r="AS152" s="15"/>
      <c r="AT152" s="71"/>
      <c r="AU152" s="15"/>
      <c r="AV152" s="15"/>
      <c r="AW152" s="71"/>
      <c r="AX152" s="15"/>
      <c r="AY152" s="15"/>
      <c r="AZ152" s="71"/>
      <c r="BA152" s="15"/>
      <c r="BB152" s="15"/>
      <c r="BC152" s="71"/>
      <c r="BD152" s="15"/>
      <c r="BE152" s="15"/>
      <c r="BF152" s="15"/>
      <c r="BG152" s="71"/>
      <c r="BH152" s="15"/>
      <c r="BI152" s="15"/>
      <c r="BJ152" s="71"/>
      <c r="BK152" s="15"/>
      <c r="BL152" s="15"/>
      <c r="BM152" s="15"/>
      <c r="BN152" s="71"/>
      <c r="BO152" s="15"/>
      <c r="BP152" s="15"/>
      <c r="BQ152" s="71"/>
      <c r="BR152" s="15"/>
      <c r="BS152" s="15"/>
      <c r="BT152" s="15"/>
      <c r="BU152" s="71"/>
      <c r="BV152" s="15"/>
      <c r="BW152" s="15"/>
      <c r="BX152" s="71"/>
      <c r="BY152" s="15"/>
      <c r="BZ152" s="15"/>
      <c r="CA152" s="71"/>
      <c r="CB152" s="15"/>
      <c r="CC152" s="15"/>
      <c r="CD152" s="15"/>
      <c r="CE152" s="71"/>
      <c r="CF152" s="15"/>
      <c r="CG152" s="15"/>
      <c r="CH152" s="71"/>
      <c r="CI152" s="15"/>
      <c r="CJ152" s="15"/>
      <c r="CK152" s="15"/>
      <c r="CL152" s="71"/>
      <c r="CM152" s="15"/>
      <c r="CN152" s="15"/>
      <c r="CO152" s="71"/>
      <c r="CP152" s="15"/>
      <c r="CQ152" s="15"/>
      <c r="CR152" s="15"/>
      <c r="CS152" s="71"/>
      <c r="CT152" s="15"/>
      <c r="CU152" s="15"/>
      <c r="CV152" s="71"/>
      <c r="CW152" s="15"/>
      <c r="CX152" s="15"/>
    </row>
    <row r="153" spans="2:102" s="3" customFormat="1" x14ac:dyDescent="0.25">
      <c r="B153" s="12"/>
      <c r="C153" s="15"/>
      <c r="D153" s="15"/>
      <c r="E153" s="12"/>
      <c r="F153" s="15"/>
      <c r="G153" s="15"/>
      <c r="H153" s="71"/>
      <c r="I153" s="15"/>
      <c r="J153" s="15"/>
      <c r="K153" s="15"/>
      <c r="L153" s="71"/>
      <c r="M153" s="15"/>
      <c r="N153" s="15"/>
      <c r="O153" s="71"/>
      <c r="P153" s="15"/>
      <c r="Q153" s="15"/>
      <c r="R153" s="15"/>
      <c r="S153" s="71"/>
      <c r="T153" s="15"/>
      <c r="U153" s="15"/>
      <c r="V153" s="71"/>
      <c r="W153" s="15"/>
      <c r="X153" s="15"/>
      <c r="Y153" s="71"/>
      <c r="Z153" s="15"/>
      <c r="AA153" s="15"/>
      <c r="AB153" s="15"/>
      <c r="AC153" s="71"/>
      <c r="AD153" s="15"/>
      <c r="AE153" s="15"/>
      <c r="AF153" s="71"/>
      <c r="AG153" s="15"/>
      <c r="AH153" s="15"/>
      <c r="AI153" s="15"/>
      <c r="AJ153" s="71"/>
      <c r="AK153" s="15"/>
      <c r="AL153" s="15"/>
      <c r="AM153" s="71"/>
      <c r="AN153" s="15"/>
      <c r="AO153" s="15"/>
      <c r="AP153" s="15"/>
      <c r="AQ153" s="71"/>
      <c r="AR153" s="15"/>
      <c r="AS153" s="15"/>
      <c r="AT153" s="71"/>
      <c r="AU153" s="15"/>
      <c r="AV153" s="15"/>
      <c r="AW153" s="71"/>
      <c r="AX153" s="15"/>
      <c r="AY153" s="15"/>
      <c r="AZ153" s="71"/>
      <c r="BA153" s="15"/>
      <c r="BB153" s="15"/>
      <c r="BC153" s="71"/>
      <c r="BD153" s="15"/>
      <c r="BE153" s="15"/>
      <c r="BF153" s="15"/>
      <c r="BG153" s="71"/>
      <c r="BH153" s="15"/>
      <c r="BI153" s="15"/>
      <c r="BJ153" s="71"/>
      <c r="BK153" s="15"/>
      <c r="BL153" s="15"/>
      <c r="BM153" s="15"/>
      <c r="BN153" s="71"/>
      <c r="BO153" s="15"/>
      <c r="BP153" s="15"/>
      <c r="BQ153" s="71"/>
      <c r="BR153" s="15"/>
      <c r="BS153" s="15"/>
      <c r="BT153" s="15"/>
      <c r="BU153" s="71"/>
      <c r="BV153" s="15"/>
      <c r="BW153" s="15"/>
      <c r="BX153" s="71"/>
      <c r="BY153" s="15"/>
      <c r="BZ153" s="15"/>
      <c r="CA153" s="71"/>
      <c r="CB153" s="15"/>
      <c r="CC153" s="15"/>
      <c r="CD153" s="15"/>
      <c r="CE153" s="71"/>
      <c r="CF153" s="15"/>
      <c r="CG153" s="15"/>
      <c r="CH153" s="71"/>
      <c r="CI153" s="15"/>
      <c r="CJ153" s="15"/>
      <c r="CK153" s="15"/>
      <c r="CL153" s="71"/>
      <c r="CM153" s="15"/>
      <c r="CN153" s="15"/>
      <c r="CO153" s="71"/>
      <c r="CP153" s="15"/>
      <c r="CQ153" s="15"/>
      <c r="CR153" s="15"/>
      <c r="CS153" s="71"/>
      <c r="CT153" s="15"/>
      <c r="CU153" s="15"/>
      <c r="CV153" s="71"/>
      <c r="CW153" s="15"/>
      <c r="CX153" s="15"/>
    </row>
    <row r="154" spans="2:102" s="3" customFormat="1" x14ac:dyDescent="0.25">
      <c r="B154" s="12"/>
      <c r="C154" s="15"/>
      <c r="D154" s="15"/>
      <c r="E154" s="12"/>
      <c r="F154" s="15"/>
      <c r="G154" s="15"/>
      <c r="H154" s="71"/>
      <c r="I154" s="15"/>
      <c r="J154" s="15"/>
      <c r="K154" s="15"/>
      <c r="L154" s="71"/>
      <c r="M154" s="15"/>
      <c r="N154" s="15"/>
      <c r="O154" s="71"/>
      <c r="P154" s="15"/>
      <c r="Q154" s="15"/>
      <c r="R154" s="15"/>
      <c r="S154" s="71"/>
      <c r="T154" s="15"/>
      <c r="U154" s="15"/>
      <c r="V154" s="71"/>
      <c r="W154" s="15"/>
      <c r="X154" s="15"/>
      <c r="Y154" s="71"/>
      <c r="Z154" s="15"/>
      <c r="AA154" s="15"/>
      <c r="AB154" s="15"/>
      <c r="AC154" s="71"/>
      <c r="AD154" s="15"/>
      <c r="AE154" s="15"/>
      <c r="AF154" s="71"/>
      <c r="AG154" s="15"/>
      <c r="AH154" s="15"/>
      <c r="AI154" s="15"/>
      <c r="AJ154" s="71"/>
      <c r="AK154" s="15"/>
      <c r="AL154" s="15"/>
      <c r="AM154" s="71"/>
      <c r="AN154" s="15"/>
      <c r="AO154" s="15"/>
      <c r="AP154" s="15"/>
      <c r="AQ154" s="71"/>
      <c r="AR154" s="15"/>
      <c r="AS154" s="15"/>
      <c r="AT154" s="71"/>
      <c r="AU154" s="15"/>
      <c r="AV154" s="15"/>
      <c r="AW154" s="71"/>
      <c r="AX154" s="15"/>
      <c r="AY154" s="15"/>
      <c r="AZ154" s="71"/>
      <c r="BA154" s="15"/>
      <c r="BB154" s="15"/>
      <c r="BC154" s="71"/>
      <c r="BD154" s="15"/>
      <c r="BE154" s="15"/>
      <c r="BF154" s="15"/>
      <c r="BG154" s="71"/>
      <c r="BH154" s="15"/>
      <c r="BI154" s="15"/>
      <c r="BJ154" s="71"/>
      <c r="BK154" s="15"/>
      <c r="BL154" s="15"/>
      <c r="BM154" s="15"/>
      <c r="BN154" s="71"/>
      <c r="BO154" s="15"/>
      <c r="BP154" s="15"/>
      <c r="BQ154" s="71"/>
      <c r="BR154" s="15"/>
      <c r="BS154" s="15"/>
      <c r="BT154" s="15"/>
      <c r="BU154" s="71"/>
      <c r="BV154" s="15"/>
      <c r="BW154" s="15"/>
      <c r="BX154" s="71"/>
      <c r="BY154" s="15"/>
      <c r="BZ154" s="15"/>
      <c r="CA154" s="71"/>
      <c r="CB154" s="15"/>
      <c r="CC154" s="15"/>
      <c r="CD154" s="15"/>
      <c r="CE154" s="71"/>
      <c r="CF154" s="15"/>
      <c r="CG154" s="15"/>
      <c r="CH154" s="71"/>
      <c r="CI154" s="15"/>
      <c r="CJ154" s="15"/>
      <c r="CK154" s="15"/>
      <c r="CL154" s="71"/>
      <c r="CM154" s="15"/>
      <c r="CN154" s="15"/>
      <c r="CO154" s="71"/>
      <c r="CP154" s="15"/>
      <c r="CQ154" s="15"/>
      <c r="CR154" s="15"/>
      <c r="CS154" s="71"/>
      <c r="CT154" s="15"/>
      <c r="CU154" s="15"/>
      <c r="CV154" s="71"/>
      <c r="CW154" s="15"/>
      <c r="CX154" s="15"/>
    </row>
    <row r="155" spans="2:102" s="3" customFormat="1" x14ac:dyDescent="0.25">
      <c r="B155" s="12"/>
      <c r="C155" s="15"/>
      <c r="D155" s="15"/>
      <c r="E155" s="12"/>
      <c r="F155" s="15"/>
      <c r="G155" s="15"/>
      <c r="H155" s="71"/>
      <c r="I155" s="15"/>
      <c r="J155" s="15"/>
      <c r="K155" s="15"/>
      <c r="L155" s="71"/>
      <c r="M155" s="15"/>
      <c r="N155" s="15"/>
      <c r="O155" s="71"/>
      <c r="P155" s="15"/>
      <c r="Q155" s="15"/>
      <c r="R155" s="15"/>
      <c r="S155" s="71"/>
      <c r="T155" s="15"/>
      <c r="U155" s="15"/>
      <c r="V155" s="71"/>
      <c r="W155" s="15"/>
      <c r="X155" s="15"/>
      <c r="Y155" s="71"/>
      <c r="Z155" s="15"/>
      <c r="AA155" s="15"/>
      <c r="AB155" s="15"/>
      <c r="AC155" s="71"/>
      <c r="AD155" s="15"/>
      <c r="AE155" s="15"/>
      <c r="AF155" s="71"/>
      <c r="AG155" s="15"/>
      <c r="AH155" s="15"/>
      <c r="AI155" s="15"/>
      <c r="AJ155" s="71"/>
      <c r="AK155" s="15"/>
      <c r="AL155" s="15"/>
      <c r="AM155" s="71"/>
      <c r="AN155" s="15"/>
      <c r="AO155" s="15"/>
      <c r="AP155" s="15"/>
      <c r="AQ155" s="71"/>
      <c r="AR155" s="15"/>
      <c r="AS155" s="15"/>
      <c r="AT155" s="71"/>
      <c r="AU155" s="15"/>
      <c r="AV155" s="15"/>
      <c r="AW155" s="71"/>
      <c r="AX155" s="15"/>
      <c r="AY155" s="15"/>
      <c r="AZ155" s="71"/>
      <c r="BA155" s="15"/>
      <c r="BB155" s="15"/>
      <c r="BC155" s="71"/>
      <c r="BD155" s="15"/>
      <c r="BE155" s="15"/>
      <c r="BF155" s="15"/>
      <c r="BG155" s="71"/>
      <c r="BH155" s="15"/>
      <c r="BI155" s="15"/>
      <c r="BJ155" s="71"/>
      <c r="BK155" s="15"/>
      <c r="BL155" s="15"/>
      <c r="BM155" s="15"/>
      <c r="BN155" s="71"/>
      <c r="BO155" s="15"/>
      <c r="BP155" s="15"/>
      <c r="BQ155" s="71"/>
      <c r="BR155" s="15"/>
      <c r="BS155" s="15"/>
      <c r="BT155" s="15"/>
      <c r="BU155" s="71"/>
      <c r="BV155" s="15"/>
      <c r="BW155" s="15"/>
      <c r="BX155" s="71"/>
      <c r="BY155" s="15"/>
      <c r="BZ155" s="15"/>
      <c r="CA155" s="71"/>
      <c r="CB155" s="15"/>
      <c r="CC155" s="15"/>
      <c r="CD155" s="15"/>
      <c r="CE155" s="71"/>
      <c r="CF155" s="15"/>
      <c r="CG155" s="15"/>
      <c r="CH155" s="71"/>
      <c r="CI155" s="15"/>
      <c r="CJ155" s="15"/>
      <c r="CK155" s="15"/>
      <c r="CL155" s="71"/>
      <c r="CM155" s="15"/>
      <c r="CN155" s="15"/>
      <c r="CO155" s="71"/>
      <c r="CP155" s="15"/>
      <c r="CQ155" s="15"/>
      <c r="CR155" s="15"/>
      <c r="CS155" s="71"/>
      <c r="CT155" s="15"/>
      <c r="CU155" s="15"/>
      <c r="CV155" s="71"/>
      <c r="CW155" s="15"/>
      <c r="CX155" s="15"/>
    </row>
    <row r="156" spans="2:102" s="3" customFormat="1" x14ac:dyDescent="0.25">
      <c r="B156" s="12"/>
      <c r="C156" s="15"/>
      <c r="D156" s="15"/>
      <c r="E156" s="12"/>
      <c r="F156" s="15"/>
      <c r="G156" s="15"/>
      <c r="H156" s="71"/>
      <c r="I156" s="15"/>
      <c r="J156" s="15"/>
      <c r="K156" s="15"/>
      <c r="L156" s="71"/>
      <c r="M156" s="15"/>
      <c r="N156" s="15"/>
      <c r="O156" s="71"/>
      <c r="P156" s="15"/>
      <c r="Q156" s="15"/>
      <c r="R156" s="15"/>
      <c r="S156" s="71"/>
      <c r="T156" s="15"/>
      <c r="U156" s="15"/>
      <c r="V156" s="71"/>
      <c r="W156" s="15"/>
      <c r="X156" s="15"/>
      <c r="Y156" s="71"/>
      <c r="Z156" s="15"/>
      <c r="AA156" s="15"/>
      <c r="AB156" s="15"/>
      <c r="AC156" s="71"/>
      <c r="AD156" s="15"/>
      <c r="AE156" s="15"/>
      <c r="AF156" s="71"/>
      <c r="AG156" s="15"/>
      <c r="AH156" s="15"/>
      <c r="AI156" s="15"/>
      <c r="AJ156" s="71"/>
      <c r="AK156" s="15"/>
      <c r="AL156" s="15"/>
      <c r="AM156" s="71"/>
      <c r="AN156" s="15"/>
      <c r="AO156" s="15"/>
      <c r="AP156" s="15"/>
      <c r="AQ156" s="71"/>
      <c r="AR156" s="15"/>
      <c r="AS156" s="15"/>
      <c r="AT156" s="71"/>
      <c r="AU156" s="15"/>
      <c r="AV156" s="15"/>
      <c r="AW156" s="71"/>
      <c r="AX156" s="15"/>
      <c r="AY156" s="15"/>
      <c r="AZ156" s="71"/>
      <c r="BA156" s="15"/>
      <c r="BB156" s="15"/>
      <c r="BC156" s="71"/>
      <c r="BD156" s="15"/>
      <c r="BE156" s="15"/>
      <c r="BF156" s="15"/>
      <c r="BG156" s="71"/>
      <c r="BH156" s="15"/>
      <c r="BI156" s="15"/>
      <c r="BJ156" s="71"/>
      <c r="BK156" s="15"/>
      <c r="BL156" s="15"/>
      <c r="BM156" s="15"/>
      <c r="BN156" s="71"/>
      <c r="BO156" s="15"/>
      <c r="BP156" s="15"/>
      <c r="BQ156" s="71"/>
      <c r="BR156" s="15"/>
      <c r="BS156" s="15"/>
      <c r="BT156" s="15"/>
      <c r="BU156" s="71"/>
      <c r="BV156" s="15"/>
      <c r="BW156" s="15"/>
      <c r="BX156" s="71"/>
      <c r="BY156" s="15"/>
      <c r="BZ156" s="15"/>
      <c r="CA156" s="71"/>
      <c r="CB156" s="15"/>
      <c r="CC156" s="15"/>
      <c r="CD156" s="15"/>
      <c r="CE156" s="71"/>
      <c r="CF156" s="15"/>
      <c r="CG156" s="15"/>
      <c r="CH156" s="71"/>
      <c r="CI156" s="15"/>
      <c r="CJ156" s="15"/>
      <c r="CK156" s="15"/>
      <c r="CL156" s="71"/>
      <c r="CM156" s="15"/>
      <c r="CN156" s="15"/>
      <c r="CO156" s="71"/>
      <c r="CP156" s="15"/>
      <c r="CQ156" s="15"/>
      <c r="CR156" s="15"/>
      <c r="CS156" s="71"/>
      <c r="CT156" s="15"/>
      <c r="CU156" s="15"/>
      <c r="CV156" s="71"/>
      <c r="CW156" s="15"/>
      <c r="CX156" s="15"/>
    </row>
    <row r="157" spans="2:102" s="3" customFormat="1" x14ac:dyDescent="0.25">
      <c r="B157" s="12"/>
      <c r="C157" s="15"/>
      <c r="D157" s="15"/>
      <c r="E157" s="12"/>
      <c r="F157" s="15"/>
      <c r="G157" s="15"/>
      <c r="H157" s="71"/>
      <c r="I157" s="15"/>
      <c r="J157" s="15"/>
      <c r="K157" s="15"/>
      <c r="L157" s="71"/>
      <c r="M157" s="15"/>
      <c r="N157" s="15"/>
      <c r="O157" s="71"/>
      <c r="P157" s="15"/>
      <c r="Q157" s="15"/>
      <c r="R157" s="15"/>
      <c r="S157" s="71"/>
      <c r="T157" s="15"/>
      <c r="U157" s="15"/>
      <c r="V157" s="71"/>
      <c r="W157" s="15"/>
      <c r="X157" s="15"/>
      <c r="Y157" s="71"/>
      <c r="Z157" s="15"/>
      <c r="AA157" s="15"/>
      <c r="AB157" s="15"/>
      <c r="AC157" s="71"/>
      <c r="AD157" s="15"/>
      <c r="AE157" s="15"/>
      <c r="AF157" s="71"/>
      <c r="AG157" s="15"/>
      <c r="AH157" s="15"/>
      <c r="AI157" s="15"/>
      <c r="AJ157" s="71"/>
      <c r="AK157" s="15"/>
      <c r="AL157" s="15"/>
      <c r="AM157" s="71"/>
      <c r="AN157" s="15"/>
      <c r="AO157" s="15"/>
      <c r="AP157" s="15"/>
      <c r="AQ157" s="71"/>
      <c r="AR157" s="15"/>
      <c r="AS157" s="15"/>
      <c r="AT157" s="71"/>
      <c r="AU157" s="15"/>
      <c r="AV157" s="15"/>
      <c r="AW157" s="71"/>
      <c r="AX157" s="15"/>
      <c r="AY157" s="15"/>
      <c r="AZ157" s="71"/>
      <c r="BA157" s="15"/>
      <c r="BB157" s="15"/>
      <c r="BC157" s="71"/>
      <c r="BD157" s="15"/>
      <c r="BE157" s="15"/>
      <c r="BF157" s="15"/>
      <c r="BG157" s="71"/>
      <c r="BH157" s="15"/>
      <c r="BI157" s="15"/>
      <c r="BJ157" s="71"/>
      <c r="BK157" s="15"/>
      <c r="BL157" s="15"/>
      <c r="BM157" s="15"/>
      <c r="BN157" s="71"/>
      <c r="BO157" s="15"/>
      <c r="BP157" s="15"/>
      <c r="BQ157" s="71"/>
      <c r="BR157" s="15"/>
      <c r="BS157" s="15"/>
      <c r="BT157" s="15"/>
      <c r="BU157" s="71"/>
      <c r="BV157" s="15"/>
      <c r="BW157" s="15"/>
      <c r="BX157" s="71"/>
      <c r="BY157" s="15"/>
      <c r="BZ157" s="15"/>
      <c r="CA157" s="71"/>
      <c r="CB157" s="15"/>
      <c r="CC157" s="15"/>
      <c r="CD157" s="15"/>
      <c r="CE157" s="71"/>
      <c r="CF157" s="15"/>
      <c r="CG157" s="15"/>
      <c r="CH157" s="71"/>
      <c r="CI157" s="15"/>
      <c r="CJ157" s="15"/>
      <c r="CK157" s="15"/>
      <c r="CL157" s="71"/>
      <c r="CM157" s="15"/>
      <c r="CN157" s="15"/>
      <c r="CO157" s="71"/>
      <c r="CP157" s="15"/>
      <c r="CQ157" s="15"/>
      <c r="CR157" s="15"/>
      <c r="CS157" s="71"/>
      <c r="CT157" s="15"/>
      <c r="CU157" s="15"/>
      <c r="CV157" s="71"/>
      <c r="CW157" s="15"/>
      <c r="CX157" s="15"/>
    </row>
    <row r="158" spans="2:102" s="3" customFormat="1" x14ac:dyDescent="0.25">
      <c r="B158" s="12"/>
      <c r="C158" s="15"/>
      <c r="D158" s="15"/>
      <c r="E158" s="12"/>
      <c r="F158" s="15"/>
      <c r="G158" s="15"/>
      <c r="H158" s="71"/>
      <c r="I158" s="15"/>
      <c r="J158" s="15"/>
      <c r="K158" s="15"/>
      <c r="L158" s="71"/>
      <c r="M158" s="15"/>
      <c r="N158" s="15"/>
      <c r="O158" s="71"/>
      <c r="P158" s="15"/>
      <c r="Q158" s="15"/>
      <c r="R158" s="15"/>
      <c r="S158" s="71"/>
      <c r="T158" s="15"/>
      <c r="U158" s="15"/>
      <c r="V158" s="71"/>
      <c r="W158" s="15"/>
      <c r="X158" s="15"/>
      <c r="Y158" s="71"/>
      <c r="Z158" s="15"/>
      <c r="AA158" s="15"/>
      <c r="AB158" s="15"/>
      <c r="AC158" s="71"/>
      <c r="AD158" s="15"/>
      <c r="AE158" s="15"/>
      <c r="AF158" s="71"/>
      <c r="AG158" s="15"/>
      <c r="AH158" s="15"/>
      <c r="AI158" s="15"/>
      <c r="AJ158" s="71"/>
      <c r="AK158" s="15"/>
      <c r="AL158" s="15"/>
      <c r="AM158" s="71"/>
      <c r="AN158" s="15"/>
      <c r="AO158" s="15"/>
      <c r="AP158" s="15"/>
      <c r="AQ158" s="71"/>
      <c r="AR158" s="15"/>
      <c r="AS158" s="15"/>
      <c r="AT158" s="71"/>
      <c r="AU158" s="15"/>
      <c r="AV158" s="15"/>
      <c r="AW158" s="71"/>
      <c r="AX158" s="15"/>
      <c r="AY158" s="15"/>
      <c r="AZ158" s="71"/>
      <c r="BA158" s="15"/>
      <c r="BB158" s="15"/>
      <c r="BC158" s="71"/>
      <c r="BD158" s="15"/>
      <c r="BE158" s="15"/>
      <c r="BF158" s="15"/>
      <c r="BG158" s="71"/>
      <c r="BH158" s="15"/>
      <c r="BI158" s="15"/>
      <c r="BJ158" s="71"/>
      <c r="BK158" s="15"/>
      <c r="BL158" s="15"/>
      <c r="BM158" s="15"/>
      <c r="BN158" s="71"/>
      <c r="BO158" s="15"/>
      <c r="BP158" s="15"/>
      <c r="BQ158" s="71"/>
      <c r="BR158" s="15"/>
      <c r="BS158" s="15"/>
      <c r="BT158" s="15"/>
      <c r="BU158" s="71"/>
      <c r="BV158" s="15"/>
      <c r="BW158" s="15"/>
      <c r="BX158" s="71"/>
      <c r="BY158" s="15"/>
      <c r="BZ158" s="15"/>
      <c r="CA158" s="71"/>
      <c r="CB158" s="15"/>
      <c r="CC158" s="15"/>
      <c r="CD158" s="15"/>
      <c r="CE158" s="71"/>
      <c r="CF158" s="15"/>
      <c r="CG158" s="15"/>
      <c r="CH158" s="71"/>
      <c r="CI158" s="15"/>
      <c r="CJ158" s="15"/>
      <c r="CK158" s="15"/>
      <c r="CL158" s="71"/>
      <c r="CM158" s="15"/>
      <c r="CN158" s="15"/>
      <c r="CO158" s="71"/>
      <c r="CP158" s="15"/>
      <c r="CQ158" s="15"/>
      <c r="CR158" s="15"/>
      <c r="CS158" s="71"/>
      <c r="CT158" s="15"/>
      <c r="CU158" s="15"/>
      <c r="CV158" s="71"/>
      <c r="CW158" s="15"/>
      <c r="CX158" s="15"/>
    </row>
    <row r="159" spans="2:102" s="3" customFormat="1" x14ac:dyDescent="0.25">
      <c r="B159" s="12"/>
      <c r="C159" s="15"/>
      <c r="D159" s="15"/>
      <c r="E159" s="12"/>
      <c r="F159" s="15"/>
      <c r="G159" s="15"/>
      <c r="H159" s="71"/>
      <c r="I159" s="15"/>
      <c r="J159" s="15"/>
      <c r="K159" s="15"/>
      <c r="L159" s="71"/>
      <c r="M159" s="15"/>
      <c r="N159" s="15"/>
      <c r="O159" s="71"/>
      <c r="P159" s="15"/>
      <c r="Q159" s="15"/>
      <c r="R159" s="15"/>
      <c r="S159" s="71"/>
      <c r="T159" s="15"/>
      <c r="U159" s="15"/>
      <c r="V159" s="71"/>
      <c r="W159" s="15"/>
      <c r="X159" s="15"/>
      <c r="Y159" s="71"/>
      <c r="Z159" s="15"/>
      <c r="AA159" s="15"/>
      <c r="AB159" s="15"/>
      <c r="AC159" s="71"/>
      <c r="AD159" s="15"/>
      <c r="AE159" s="15"/>
      <c r="AF159" s="71"/>
      <c r="AG159" s="15"/>
      <c r="AH159" s="15"/>
      <c r="AI159" s="15"/>
      <c r="AJ159" s="71"/>
      <c r="AK159" s="15"/>
      <c r="AL159" s="15"/>
      <c r="AM159" s="71"/>
      <c r="AN159" s="15"/>
      <c r="AO159" s="15"/>
      <c r="AP159" s="15"/>
      <c r="AQ159" s="71"/>
      <c r="AR159" s="15"/>
      <c r="AS159" s="15"/>
      <c r="AT159" s="71"/>
      <c r="AU159" s="15"/>
      <c r="AV159" s="15"/>
      <c r="AW159" s="71"/>
      <c r="AX159" s="15"/>
      <c r="AY159" s="15"/>
      <c r="AZ159" s="71"/>
      <c r="BA159" s="15"/>
      <c r="BB159" s="15"/>
      <c r="BC159" s="71"/>
      <c r="BD159" s="15"/>
      <c r="BE159" s="15"/>
      <c r="BF159" s="15"/>
      <c r="BG159" s="71"/>
      <c r="BH159" s="15"/>
      <c r="BI159" s="15"/>
      <c r="BJ159" s="71"/>
      <c r="BK159" s="15"/>
      <c r="BL159" s="15"/>
      <c r="BM159" s="15"/>
      <c r="BN159" s="71"/>
      <c r="BO159" s="15"/>
      <c r="BP159" s="15"/>
      <c r="BQ159" s="71"/>
      <c r="BR159" s="15"/>
      <c r="BS159" s="15"/>
      <c r="BT159" s="15"/>
      <c r="BU159" s="71"/>
      <c r="BV159" s="15"/>
      <c r="BW159" s="15"/>
      <c r="BX159" s="71"/>
      <c r="BY159" s="15"/>
      <c r="BZ159" s="15"/>
      <c r="CA159" s="71"/>
      <c r="CB159" s="15"/>
      <c r="CC159" s="15"/>
      <c r="CD159" s="15"/>
      <c r="CE159" s="71"/>
      <c r="CF159" s="15"/>
      <c r="CG159" s="15"/>
      <c r="CH159" s="71"/>
      <c r="CI159" s="15"/>
      <c r="CJ159" s="15"/>
      <c r="CK159" s="15"/>
      <c r="CL159" s="71"/>
      <c r="CM159" s="15"/>
      <c r="CN159" s="15"/>
      <c r="CO159" s="71"/>
      <c r="CP159" s="15"/>
      <c r="CQ159" s="15"/>
      <c r="CR159" s="15"/>
      <c r="CS159" s="71"/>
      <c r="CT159" s="15"/>
      <c r="CU159" s="15"/>
      <c r="CV159" s="71"/>
      <c r="CW159" s="15"/>
      <c r="CX159" s="15"/>
    </row>
    <row r="160" spans="2:102" s="3" customFormat="1" x14ac:dyDescent="0.25">
      <c r="B160" s="12"/>
      <c r="C160" s="15"/>
      <c r="D160" s="15"/>
      <c r="E160" s="12"/>
      <c r="F160" s="15"/>
      <c r="G160" s="15"/>
      <c r="H160" s="71"/>
      <c r="I160" s="15"/>
      <c r="J160" s="15"/>
      <c r="K160" s="15"/>
      <c r="L160" s="71"/>
      <c r="M160" s="15"/>
      <c r="N160" s="15"/>
      <c r="O160" s="71"/>
      <c r="P160" s="15"/>
      <c r="Q160" s="15"/>
      <c r="R160" s="15"/>
      <c r="S160" s="71"/>
      <c r="T160" s="15"/>
      <c r="U160" s="15"/>
      <c r="V160" s="71"/>
      <c r="W160" s="15"/>
      <c r="X160" s="15"/>
      <c r="Y160" s="71"/>
      <c r="Z160" s="15"/>
      <c r="AA160" s="15"/>
      <c r="AB160" s="15"/>
      <c r="AC160" s="71"/>
      <c r="AD160" s="15"/>
      <c r="AE160" s="15"/>
      <c r="AF160" s="71"/>
      <c r="AG160" s="15"/>
      <c r="AH160" s="15"/>
      <c r="AI160" s="15"/>
      <c r="AJ160" s="71"/>
      <c r="AK160" s="15"/>
      <c r="AL160" s="15"/>
      <c r="AM160" s="71"/>
      <c r="AN160" s="15"/>
      <c r="AO160" s="15"/>
      <c r="AP160" s="15"/>
      <c r="AQ160" s="71"/>
      <c r="AR160" s="15"/>
      <c r="AS160" s="15"/>
      <c r="AT160" s="71"/>
      <c r="AU160" s="15"/>
      <c r="AV160" s="15"/>
      <c r="AW160" s="71"/>
      <c r="AX160" s="15"/>
      <c r="AY160" s="15"/>
      <c r="AZ160" s="71"/>
      <c r="BA160" s="15"/>
      <c r="BB160" s="15"/>
      <c r="BC160" s="71"/>
      <c r="BD160" s="15"/>
      <c r="BE160" s="15"/>
      <c r="BF160" s="15"/>
      <c r="BG160" s="71"/>
      <c r="BH160" s="15"/>
      <c r="BI160" s="15"/>
      <c r="BJ160" s="71"/>
      <c r="BK160" s="15"/>
      <c r="BL160" s="15"/>
      <c r="BM160" s="15"/>
      <c r="BN160" s="71"/>
      <c r="BO160" s="15"/>
      <c r="BP160" s="15"/>
      <c r="BQ160" s="71"/>
      <c r="BR160" s="15"/>
      <c r="BS160" s="15"/>
      <c r="BT160" s="15"/>
      <c r="BU160" s="71"/>
      <c r="BV160" s="15"/>
      <c r="BW160" s="15"/>
      <c r="BX160" s="71"/>
      <c r="BY160" s="15"/>
      <c r="BZ160" s="15"/>
      <c r="CA160" s="71"/>
      <c r="CB160" s="15"/>
      <c r="CC160" s="15"/>
      <c r="CD160" s="15"/>
      <c r="CE160" s="71"/>
      <c r="CF160" s="15"/>
      <c r="CG160" s="15"/>
      <c r="CH160" s="71"/>
      <c r="CI160" s="15"/>
      <c r="CJ160" s="15"/>
      <c r="CK160" s="15"/>
      <c r="CL160" s="71"/>
      <c r="CM160" s="15"/>
      <c r="CN160" s="15"/>
      <c r="CO160" s="71"/>
      <c r="CP160" s="15"/>
      <c r="CQ160" s="15"/>
      <c r="CR160" s="15"/>
      <c r="CS160" s="71"/>
      <c r="CT160" s="15"/>
      <c r="CU160" s="15"/>
      <c r="CV160" s="71"/>
      <c r="CW160" s="15"/>
      <c r="CX160" s="15"/>
    </row>
    <row r="161" spans="2:102" s="3" customFormat="1" x14ac:dyDescent="0.25">
      <c r="B161" s="12"/>
      <c r="C161" s="15"/>
      <c r="D161" s="15"/>
      <c r="E161" s="12"/>
      <c r="F161" s="15"/>
      <c r="G161" s="15"/>
      <c r="H161" s="71"/>
      <c r="I161" s="15"/>
      <c r="J161" s="15"/>
      <c r="K161" s="15"/>
      <c r="L161" s="71"/>
      <c r="M161" s="15"/>
      <c r="N161" s="15"/>
      <c r="O161" s="71"/>
      <c r="P161" s="15"/>
      <c r="Q161" s="15"/>
      <c r="R161" s="15"/>
      <c r="S161" s="71"/>
      <c r="T161" s="15"/>
      <c r="U161" s="15"/>
      <c r="V161" s="71"/>
      <c r="W161" s="15"/>
      <c r="X161" s="15"/>
      <c r="Y161" s="71"/>
      <c r="Z161" s="15"/>
      <c r="AA161" s="15"/>
      <c r="AB161" s="15"/>
      <c r="AC161" s="71"/>
      <c r="AD161" s="15"/>
      <c r="AE161" s="15"/>
      <c r="AF161" s="71"/>
      <c r="AG161" s="15"/>
      <c r="AH161" s="15"/>
      <c r="AI161" s="15"/>
      <c r="AJ161" s="71"/>
      <c r="AK161" s="15"/>
      <c r="AL161" s="15"/>
      <c r="AM161" s="71"/>
      <c r="AN161" s="15"/>
      <c r="AO161" s="15"/>
      <c r="AP161" s="15"/>
      <c r="AQ161" s="71"/>
      <c r="AR161" s="15"/>
      <c r="AS161" s="15"/>
      <c r="AT161" s="71"/>
      <c r="AU161" s="15"/>
      <c r="AV161" s="15"/>
      <c r="AW161" s="71"/>
      <c r="AX161" s="15"/>
      <c r="AY161" s="15"/>
      <c r="AZ161" s="71"/>
      <c r="BA161" s="15"/>
      <c r="BB161" s="15"/>
      <c r="BC161" s="71"/>
      <c r="BD161" s="15"/>
      <c r="BE161" s="15"/>
      <c r="BF161" s="15"/>
      <c r="BG161" s="71"/>
      <c r="BH161" s="15"/>
      <c r="BI161" s="15"/>
      <c r="BJ161" s="71"/>
      <c r="BK161" s="15"/>
      <c r="BL161" s="15"/>
      <c r="BM161" s="15"/>
      <c r="BN161" s="71"/>
      <c r="BO161" s="15"/>
      <c r="BP161" s="15"/>
      <c r="BQ161" s="71"/>
      <c r="BR161" s="15"/>
      <c r="BS161" s="15"/>
      <c r="BT161" s="15"/>
      <c r="BU161" s="71"/>
      <c r="BV161" s="15"/>
      <c r="BW161" s="15"/>
      <c r="BX161" s="71"/>
      <c r="BY161" s="15"/>
      <c r="BZ161" s="15"/>
      <c r="CA161" s="71"/>
      <c r="CB161" s="15"/>
      <c r="CC161" s="15"/>
      <c r="CD161" s="15"/>
      <c r="CE161" s="71"/>
      <c r="CF161" s="15"/>
      <c r="CG161" s="15"/>
      <c r="CH161" s="71"/>
      <c r="CI161" s="15"/>
      <c r="CJ161" s="15"/>
      <c r="CK161" s="15"/>
      <c r="CL161" s="71"/>
      <c r="CM161" s="15"/>
      <c r="CN161" s="15"/>
      <c r="CO161" s="71"/>
      <c r="CP161" s="15"/>
      <c r="CQ161" s="15"/>
      <c r="CR161" s="15"/>
      <c r="CS161" s="71"/>
      <c r="CT161" s="15"/>
      <c r="CU161" s="15"/>
      <c r="CV161" s="71"/>
      <c r="CW161" s="15"/>
      <c r="CX161" s="15"/>
    </row>
    <row r="162" spans="2:102" s="3" customFormat="1" x14ac:dyDescent="0.25">
      <c r="B162" s="12"/>
      <c r="C162" s="15"/>
      <c r="D162" s="15"/>
      <c r="E162" s="12"/>
      <c r="F162" s="15"/>
      <c r="G162" s="15"/>
      <c r="H162" s="71"/>
      <c r="I162" s="15"/>
      <c r="J162" s="15"/>
      <c r="K162" s="15"/>
      <c r="L162" s="71"/>
      <c r="M162" s="15"/>
      <c r="N162" s="15"/>
      <c r="O162" s="71"/>
      <c r="P162" s="15"/>
      <c r="Q162" s="15"/>
      <c r="R162" s="15"/>
      <c r="S162" s="71"/>
      <c r="T162" s="15"/>
      <c r="U162" s="15"/>
      <c r="V162" s="71"/>
      <c r="W162" s="15"/>
      <c r="X162" s="15"/>
      <c r="Y162" s="71"/>
      <c r="Z162" s="15"/>
      <c r="AA162" s="15"/>
      <c r="AB162" s="15"/>
      <c r="AC162" s="71"/>
      <c r="AD162" s="15"/>
      <c r="AE162" s="15"/>
      <c r="AF162" s="71"/>
      <c r="AG162" s="15"/>
      <c r="AH162" s="15"/>
      <c r="AI162" s="15"/>
      <c r="AJ162" s="71"/>
      <c r="AK162" s="15"/>
      <c r="AL162" s="15"/>
      <c r="AM162" s="71"/>
      <c r="AN162" s="15"/>
      <c r="AO162" s="15"/>
      <c r="AP162" s="15"/>
      <c r="AQ162" s="71"/>
      <c r="AR162" s="15"/>
      <c r="AS162" s="15"/>
      <c r="AT162" s="71"/>
      <c r="AU162" s="15"/>
      <c r="AV162" s="15"/>
      <c r="AW162" s="71"/>
      <c r="AX162" s="15"/>
      <c r="AY162" s="15"/>
      <c r="AZ162" s="71"/>
      <c r="BA162" s="15"/>
      <c r="BB162" s="15"/>
      <c r="BC162" s="71"/>
      <c r="BD162" s="15"/>
      <c r="BE162" s="15"/>
      <c r="BF162" s="15"/>
      <c r="BG162" s="71"/>
      <c r="BH162" s="15"/>
      <c r="BI162" s="15"/>
      <c r="BJ162" s="71"/>
      <c r="BK162" s="15"/>
      <c r="BL162" s="15"/>
      <c r="BM162" s="15"/>
      <c r="BN162" s="71"/>
      <c r="BO162" s="15"/>
      <c r="BP162" s="15"/>
      <c r="BQ162" s="71"/>
      <c r="BR162" s="15"/>
      <c r="BS162" s="15"/>
      <c r="BT162" s="15"/>
      <c r="BU162" s="71"/>
      <c r="BV162" s="15"/>
      <c r="BW162" s="15"/>
      <c r="BX162" s="71"/>
      <c r="BY162" s="15"/>
      <c r="BZ162" s="15"/>
      <c r="CA162" s="71"/>
      <c r="CB162" s="15"/>
      <c r="CC162" s="15"/>
      <c r="CD162" s="15"/>
      <c r="CE162" s="71"/>
      <c r="CF162" s="15"/>
      <c r="CG162" s="15"/>
      <c r="CH162" s="71"/>
      <c r="CI162" s="15"/>
      <c r="CJ162" s="15"/>
      <c r="CK162" s="15"/>
      <c r="CL162" s="71"/>
      <c r="CM162" s="15"/>
      <c r="CN162" s="15"/>
      <c r="CO162" s="71"/>
      <c r="CP162" s="15"/>
      <c r="CQ162" s="15"/>
      <c r="CR162" s="15"/>
      <c r="CS162" s="71"/>
      <c r="CT162" s="15"/>
      <c r="CU162" s="15"/>
      <c r="CV162" s="71"/>
      <c r="CW162" s="15"/>
      <c r="CX162" s="15"/>
    </row>
    <row r="163" spans="2:102" s="3" customFormat="1" x14ac:dyDescent="0.25">
      <c r="B163" s="12"/>
      <c r="C163" s="15"/>
      <c r="D163" s="15"/>
      <c r="E163" s="12"/>
      <c r="F163" s="15"/>
      <c r="G163" s="15"/>
      <c r="H163" s="71"/>
      <c r="I163" s="15"/>
      <c r="J163" s="15"/>
      <c r="K163" s="15"/>
      <c r="L163" s="71"/>
      <c r="M163" s="15"/>
      <c r="N163" s="15"/>
      <c r="O163" s="71"/>
      <c r="P163" s="15"/>
      <c r="Q163" s="15"/>
      <c r="R163" s="15"/>
      <c r="S163" s="71"/>
      <c r="T163" s="15"/>
      <c r="U163" s="15"/>
      <c r="V163" s="71"/>
      <c r="W163" s="15"/>
      <c r="X163" s="15"/>
      <c r="Y163" s="71"/>
      <c r="Z163" s="15"/>
      <c r="AA163" s="15"/>
      <c r="AB163" s="15"/>
      <c r="AC163" s="71"/>
      <c r="AD163" s="15"/>
      <c r="AE163" s="15"/>
      <c r="AF163" s="71"/>
      <c r="AG163" s="15"/>
      <c r="AH163" s="15"/>
      <c r="AI163" s="15"/>
      <c r="AJ163" s="71"/>
      <c r="AK163" s="15"/>
      <c r="AL163" s="15"/>
      <c r="AM163" s="71"/>
      <c r="AN163" s="15"/>
      <c r="AO163" s="15"/>
      <c r="AP163" s="15"/>
      <c r="AQ163" s="71"/>
      <c r="AR163" s="15"/>
      <c r="AS163" s="15"/>
      <c r="AT163" s="71"/>
      <c r="AU163" s="15"/>
      <c r="AV163" s="15"/>
      <c r="AW163" s="71"/>
      <c r="AX163" s="15"/>
      <c r="AY163" s="15"/>
      <c r="AZ163" s="71"/>
      <c r="BA163" s="15"/>
      <c r="BB163" s="15"/>
      <c r="BC163" s="71"/>
      <c r="BD163" s="15"/>
      <c r="BE163" s="15"/>
      <c r="BF163" s="15"/>
      <c r="BG163" s="71"/>
      <c r="BH163" s="15"/>
      <c r="BI163" s="15"/>
      <c r="BJ163" s="71"/>
      <c r="BK163" s="15"/>
      <c r="BL163" s="15"/>
      <c r="BM163" s="15"/>
      <c r="BN163" s="71"/>
      <c r="BO163" s="15"/>
      <c r="BP163" s="15"/>
      <c r="BQ163" s="71"/>
      <c r="BR163" s="15"/>
      <c r="BS163" s="15"/>
      <c r="BT163" s="15"/>
      <c r="BU163" s="71"/>
      <c r="BV163" s="15"/>
      <c r="BW163" s="15"/>
      <c r="BX163" s="71"/>
      <c r="BY163" s="15"/>
      <c r="BZ163" s="15"/>
      <c r="CA163" s="71"/>
      <c r="CB163" s="15"/>
      <c r="CC163" s="15"/>
      <c r="CD163" s="15"/>
      <c r="CE163" s="71"/>
      <c r="CF163" s="15"/>
      <c r="CG163" s="15"/>
      <c r="CH163" s="71"/>
      <c r="CI163" s="15"/>
      <c r="CJ163" s="15"/>
      <c r="CK163" s="15"/>
      <c r="CL163" s="71"/>
      <c r="CM163" s="15"/>
      <c r="CN163" s="15"/>
      <c r="CO163" s="71"/>
      <c r="CP163" s="15"/>
      <c r="CQ163" s="15"/>
      <c r="CR163" s="15"/>
      <c r="CS163" s="71"/>
      <c r="CT163" s="15"/>
      <c r="CU163" s="15"/>
      <c r="CV163" s="71"/>
      <c r="CW163" s="15"/>
      <c r="CX163" s="15"/>
    </row>
    <row r="164" spans="2:102" s="3" customFormat="1" x14ac:dyDescent="0.25">
      <c r="B164" s="12"/>
      <c r="C164" s="15"/>
      <c r="D164" s="15"/>
      <c r="E164" s="12"/>
      <c r="F164" s="15"/>
      <c r="G164" s="15"/>
      <c r="H164" s="71"/>
      <c r="I164" s="15"/>
      <c r="J164" s="15"/>
      <c r="K164" s="15"/>
      <c r="L164" s="71"/>
      <c r="M164" s="15"/>
      <c r="N164" s="15"/>
      <c r="O164" s="71"/>
      <c r="P164" s="15"/>
      <c r="Q164" s="15"/>
      <c r="R164" s="15"/>
      <c r="S164" s="71"/>
      <c r="T164" s="15"/>
      <c r="U164" s="15"/>
      <c r="V164" s="71"/>
      <c r="W164" s="15"/>
      <c r="X164" s="15"/>
      <c r="Y164" s="71"/>
      <c r="Z164" s="15"/>
      <c r="AA164" s="15"/>
      <c r="AB164" s="15"/>
      <c r="AC164" s="71"/>
      <c r="AD164" s="15"/>
      <c r="AE164" s="15"/>
      <c r="AF164" s="71"/>
      <c r="AG164" s="15"/>
      <c r="AH164" s="15"/>
      <c r="AI164" s="15"/>
      <c r="AJ164" s="71"/>
      <c r="AK164" s="15"/>
      <c r="AL164" s="15"/>
      <c r="AM164" s="71"/>
      <c r="AN164" s="15"/>
      <c r="AO164" s="15"/>
      <c r="AP164" s="15"/>
      <c r="AQ164" s="71"/>
      <c r="AR164" s="15"/>
      <c r="AS164" s="15"/>
      <c r="AT164" s="71"/>
      <c r="AU164" s="15"/>
      <c r="AV164" s="15"/>
      <c r="AW164" s="71"/>
      <c r="AX164" s="15"/>
      <c r="AY164" s="15"/>
      <c r="AZ164" s="71"/>
      <c r="BA164" s="15"/>
      <c r="BB164" s="15"/>
      <c r="BC164" s="71"/>
      <c r="BD164" s="15"/>
      <c r="BE164" s="15"/>
      <c r="BF164" s="15"/>
      <c r="BG164" s="71"/>
      <c r="BH164" s="15"/>
      <c r="BI164" s="15"/>
      <c r="BJ164" s="71"/>
      <c r="BK164" s="15"/>
      <c r="BL164" s="15"/>
      <c r="BM164" s="15"/>
      <c r="BN164" s="71"/>
      <c r="BO164" s="15"/>
      <c r="BP164" s="15"/>
      <c r="BQ164" s="71"/>
      <c r="BR164" s="15"/>
      <c r="BS164" s="15"/>
      <c r="BT164" s="15"/>
      <c r="BU164" s="71"/>
      <c r="BV164" s="15"/>
      <c r="BW164" s="15"/>
      <c r="BX164" s="71"/>
      <c r="BY164" s="15"/>
      <c r="BZ164" s="15"/>
      <c r="CA164" s="71"/>
      <c r="CB164" s="15"/>
      <c r="CC164" s="15"/>
      <c r="CD164" s="15"/>
      <c r="CE164" s="71"/>
      <c r="CF164" s="15"/>
      <c r="CG164" s="15"/>
      <c r="CH164" s="71"/>
      <c r="CI164" s="15"/>
      <c r="CJ164" s="15"/>
      <c r="CK164" s="15"/>
      <c r="CL164" s="71"/>
      <c r="CM164" s="15"/>
      <c r="CN164" s="15"/>
      <c r="CO164" s="71"/>
      <c r="CP164" s="15"/>
      <c r="CQ164" s="15"/>
      <c r="CR164" s="15"/>
      <c r="CS164" s="71"/>
      <c r="CT164" s="15"/>
      <c r="CU164" s="15"/>
      <c r="CV164" s="71"/>
      <c r="CW164" s="15"/>
      <c r="CX164" s="15"/>
    </row>
    <row r="165" spans="2:102" s="3" customFormat="1" x14ac:dyDescent="0.25">
      <c r="B165" s="12"/>
      <c r="C165" s="15"/>
      <c r="D165" s="15"/>
      <c r="E165" s="12"/>
      <c r="F165" s="15"/>
      <c r="G165" s="15"/>
      <c r="H165" s="71"/>
      <c r="I165" s="15"/>
      <c r="J165" s="15"/>
      <c r="K165" s="15"/>
      <c r="L165" s="71"/>
      <c r="M165" s="15"/>
      <c r="N165" s="15"/>
      <c r="O165" s="71"/>
      <c r="P165" s="15"/>
      <c r="Q165" s="15"/>
      <c r="R165" s="15"/>
      <c r="S165" s="71"/>
      <c r="T165" s="15"/>
      <c r="U165" s="15"/>
      <c r="V165" s="71"/>
      <c r="W165" s="15"/>
      <c r="X165" s="15"/>
      <c r="Y165" s="71"/>
      <c r="Z165" s="15"/>
      <c r="AA165" s="15"/>
      <c r="AB165" s="15"/>
      <c r="AC165" s="71"/>
      <c r="AD165" s="15"/>
      <c r="AE165" s="15"/>
      <c r="AF165" s="71"/>
      <c r="AG165" s="15"/>
      <c r="AH165" s="15"/>
      <c r="AI165" s="15"/>
      <c r="AJ165" s="71"/>
      <c r="AK165" s="15"/>
      <c r="AL165" s="15"/>
      <c r="AM165" s="71"/>
      <c r="AN165" s="15"/>
      <c r="AO165" s="15"/>
      <c r="AP165" s="15"/>
      <c r="AQ165" s="71"/>
      <c r="AR165" s="15"/>
      <c r="AS165" s="15"/>
      <c r="AT165" s="71"/>
      <c r="AU165" s="15"/>
      <c r="AV165" s="15"/>
      <c r="AW165" s="71"/>
      <c r="AX165" s="15"/>
      <c r="AY165" s="15"/>
      <c r="AZ165" s="71"/>
      <c r="BA165" s="15"/>
      <c r="BB165" s="15"/>
      <c r="BC165" s="71"/>
      <c r="BD165" s="15"/>
      <c r="BE165" s="15"/>
      <c r="BF165" s="15"/>
      <c r="BG165" s="71"/>
      <c r="BH165" s="15"/>
      <c r="BI165" s="15"/>
      <c r="BJ165" s="71"/>
      <c r="BK165" s="15"/>
      <c r="BL165" s="15"/>
      <c r="BM165" s="15"/>
      <c r="BN165" s="71"/>
      <c r="BO165" s="15"/>
      <c r="BP165" s="15"/>
      <c r="BQ165" s="71"/>
      <c r="BR165" s="15"/>
      <c r="BS165" s="15"/>
      <c r="BT165" s="15"/>
      <c r="BU165" s="71"/>
      <c r="BV165" s="15"/>
      <c r="BW165" s="15"/>
      <c r="BX165" s="71"/>
      <c r="BY165" s="15"/>
      <c r="BZ165" s="15"/>
      <c r="CA165" s="71"/>
      <c r="CB165" s="15"/>
      <c r="CC165" s="15"/>
      <c r="CD165" s="15"/>
      <c r="CE165" s="71"/>
      <c r="CF165" s="15"/>
      <c r="CG165" s="15"/>
      <c r="CH165" s="71"/>
      <c r="CI165" s="15"/>
      <c r="CJ165" s="15"/>
      <c r="CK165" s="15"/>
      <c r="CL165" s="71"/>
      <c r="CM165" s="15"/>
      <c r="CN165" s="15"/>
      <c r="CO165" s="71"/>
      <c r="CP165" s="15"/>
      <c r="CQ165" s="15"/>
      <c r="CR165" s="15"/>
      <c r="CS165" s="71"/>
      <c r="CT165" s="15"/>
      <c r="CU165" s="15"/>
      <c r="CV165" s="71"/>
      <c r="CW165" s="15"/>
      <c r="CX165" s="15"/>
    </row>
    <row r="166" spans="2:102" s="3" customFormat="1" x14ac:dyDescent="0.25">
      <c r="B166" s="12"/>
      <c r="C166" s="15"/>
      <c r="D166" s="15"/>
      <c r="E166" s="12"/>
      <c r="F166" s="15"/>
      <c r="G166" s="15"/>
      <c r="H166" s="71"/>
      <c r="I166" s="15"/>
      <c r="J166" s="15"/>
      <c r="K166" s="15"/>
      <c r="L166" s="71"/>
      <c r="M166" s="15"/>
      <c r="N166" s="15"/>
      <c r="O166" s="71"/>
      <c r="P166" s="15"/>
      <c r="Q166" s="15"/>
      <c r="R166" s="15"/>
      <c r="S166" s="71"/>
      <c r="T166" s="15"/>
      <c r="U166" s="15"/>
      <c r="V166" s="71"/>
      <c r="W166" s="15"/>
      <c r="X166" s="15"/>
      <c r="Y166" s="71"/>
      <c r="Z166" s="15"/>
      <c r="AA166" s="15"/>
      <c r="AB166" s="15"/>
      <c r="AC166" s="71"/>
      <c r="AD166" s="15"/>
      <c r="AE166" s="15"/>
      <c r="AF166" s="71"/>
      <c r="AG166" s="15"/>
      <c r="AH166" s="15"/>
      <c r="AI166" s="15"/>
      <c r="AJ166" s="71"/>
      <c r="AK166" s="15"/>
      <c r="AL166" s="15"/>
      <c r="AM166" s="71"/>
      <c r="AN166" s="15"/>
      <c r="AO166" s="15"/>
      <c r="AP166" s="15"/>
      <c r="AQ166" s="71"/>
      <c r="AR166" s="15"/>
      <c r="AS166" s="15"/>
      <c r="AT166" s="71"/>
      <c r="AU166" s="15"/>
      <c r="AV166" s="15"/>
      <c r="AW166" s="71"/>
      <c r="AX166" s="15"/>
      <c r="AY166" s="15"/>
      <c r="AZ166" s="71"/>
      <c r="BA166" s="15"/>
      <c r="BB166" s="15"/>
      <c r="BC166" s="71"/>
      <c r="BD166" s="15"/>
      <c r="BE166" s="15"/>
      <c r="BF166" s="15"/>
      <c r="BG166" s="71"/>
      <c r="BH166" s="15"/>
      <c r="BI166" s="15"/>
      <c r="BJ166" s="71"/>
      <c r="BK166" s="15"/>
      <c r="BL166" s="15"/>
      <c r="BM166" s="15"/>
      <c r="BN166" s="71"/>
      <c r="BO166" s="15"/>
      <c r="BP166" s="15"/>
      <c r="BQ166" s="71"/>
      <c r="BR166" s="15"/>
      <c r="BS166" s="15"/>
      <c r="BT166" s="15"/>
      <c r="BU166" s="71"/>
      <c r="BV166" s="15"/>
      <c r="BW166" s="15"/>
      <c r="BX166" s="71"/>
      <c r="BY166" s="15"/>
      <c r="BZ166" s="15"/>
      <c r="CA166" s="71"/>
      <c r="CB166" s="15"/>
      <c r="CC166" s="15"/>
      <c r="CD166" s="15"/>
      <c r="CE166" s="71"/>
      <c r="CF166" s="15"/>
      <c r="CG166" s="15"/>
      <c r="CH166" s="71"/>
      <c r="CI166" s="15"/>
      <c r="CJ166" s="15"/>
      <c r="CK166" s="15"/>
      <c r="CL166" s="71"/>
      <c r="CM166" s="15"/>
      <c r="CN166" s="15"/>
      <c r="CO166" s="71"/>
      <c r="CP166" s="15"/>
      <c r="CQ166" s="15"/>
      <c r="CR166" s="15"/>
      <c r="CS166" s="71"/>
      <c r="CT166" s="15"/>
      <c r="CU166" s="15"/>
      <c r="CV166" s="71"/>
      <c r="CW166" s="15"/>
      <c r="CX166" s="15"/>
    </row>
    <row r="167" spans="2:102" s="3" customFormat="1" x14ac:dyDescent="0.25">
      <c r="B167" s="12"/>
      <c r="C167" s="15"/>
      <c r="D167" s="15"/>
      <c r="E167" s="12"/>
      <c r="F167" s="15"/>
      <c r="G167" s="15"/>
      <c r="H167" s="71"/>
      <c r="I167" s="15"/>
      <c r="J167" s="15"/>
      <c r="K167" s="15"/>
      <c r="L167" s="71"/>
      <c r="M167" s="15"/>
      <c r="N167" s="15"/>
      <c r="O167" s="71"/>
      <c r="P167" s="15"/>
      <c r="Q167" s="15"/>
      <c r="R167" s="15"/>
      <c r="S167" s="71"/>
      <c r="T167" s="15"/>
      <c r="U167" s="15"/>
      <c r="V167" s="71"/>
      <c r="W167" s="15"/>
      <c r="X167" s="15"/>
      <c r="Y167" s="71"/>
      <c r="Z167" s="15"/>
      <c r="AA167" s="15"/>
      <c r="AB167" s="15"/>
      <c r="AC167" s="71"/>
      <c r="AD167" s="15"/>
      <c r="AE167" s="15"/>
      <c r="AF167" s="71"/>
      <c r="AG167" s="15"/>
      <c r="AH167" s="15"/>
      <c r="AI167" s="15"/>
      <c r="AJ167" s="71"/>
      <c r="AK167" s="15"/>
      <c r="AL167" s="15"/>
      <c r="AM167" s="71"/>
      <c r="AN167" s="15"/>
      <c r="AO167" s="15"/>
      <c r="AP167" s="15"/>
      <c r="AQ167" s="71"/>
      <c r="AR167" s="15"/>
      <c r="AS167" s="15"/>
      <c r="AT167" s="71"/>
      <c r="AU167" s="15"/>
      <c r="AV167" s="15"/>
      <c r="AW167" s="71"/>
      <c r="AX167" s="15"/>
      <c r="AY167" s="15"/>
      <c r="AZ167" s="71"/>
      <c r="BA167" s="15"/>
      <c r="BB167" s="15"/>
      <c r="BC167" s="71"/>
      <c r="BD167" s="15"/>
      <c r="BE167" s="15"/>
      <c r="BF167" s="15"/>
      <c r="BG167" s="71"/>
      <c r="BH167" s="15"/>
      <c r="BI167" s="15"/>
      <c r="BJ167" s="71"/>
      <c r="BK167" s="15"/>
      <c r="BL167" s="15"/>
      <c r="BM167" s="15"/>
      <c r="BN167" s="71"/>
      <c r="BO167" s="15"/>
      <c r="BP167" s="15"/>
      <c r="BQ167" s="71"/>
      <c r="BR167" s="15"/>
      <c r="BS167" s="15"/>
      <c r="BT167" s="15"/>
      <c r="BU167" s="71"/>
      <c r="BV167" s="15"/>
      <c r="BW167" s="15"/>
      <c r="BX167" s="71"/>
      <c r="BY167" s="15"/>
      <c r="BZ167" s="15"/>
      <c r="CA167" s="71"/>
      <c r="CB167" s="15"/>
      <c r="CC167" s="15"/>
      <c r="CD167" s="15"/>
      <c r="CE167" s="71"/>
      <c r="CF167" s="15"/>
      <c r="CG167" s="15"/>
      <c r="CH167" s="71"/>
      <c r="CI167" s="15"/>
      <c r="CJ167" s="15"/>
      <c r="CK167" s="15"/>
      <c r="CL167" s="71"/>
      <c r="CM167" s="15"/>
      <c r="CN167" s="15"/>
      <c r="CO167" s="71"/>
      <c r="CP167" s="15"/>
      <c r="CQ167" s="15"/>
      <c r="CR167" s="15"/>
      <c r="CS167" s="71"/>
      <c r="CT167" s="15"/>
      <c r="CU167" s="15"/>
      <c r="CV167" s="71"/>
      <c r="CW167" s="15"/>
      <c r="CX167" s="15"/>
    </row>
    <row r="168" spans="2:102" s="3" customFormat="1" x14ac:dyDescent="0.25">
      <c r="B168" s="12"/>
      <c r="C168" s="15"/>
      <c r="D168" s="15"/>
      <c r="E168" s="12"/>
      <c r="F168" s="15"/>
      <c r="G168" s="15"/>
      <c r="H168" s="71"/>
      <c r="I168" s="15"/>
      <c r="J168" s="15"/>
      <c r="K168" s="15"/>
      <c r="L168" s="71"/>
      <c r="M168" s="15"/>
      <c r="N168" s="15"/>
      <c r="O168" s="71"/>
      <c r="P168" s="15"/>
      <c r="Q168" s="15"/>
      <c r="R168" s="15"/>
      <c r="S168" s="71"/>
      <c r="T168" s="15"/>
      <c r="U168" s="15"/>
      <c r="V168" s="71"/>
      <c r="W168" s="15"/>
      <c r="X168" s="15"/>
      <c r="Y168" s="71"/>
      <c r="Z168" s="15"/>
      <c r="AA168" s="15"/>
      <c r="AB168" s="15"/>
      <c r="AC168" s="71"/>
      <c r="AD168" s="15"/>
      <c r="AE168" s="15"/>
      <c r="AF168" s="71"/>
      <c r="AG168" s="15"/>
      <c r="AH168" s="15"/>
      <c r="AI168" s="15"/>
      <c r="AJ168" s="71"/>
      <c r="AK168" s="15"/>
      <c r="AL168" s="15"/>
      <c r="AM168" s="71"/>
      <c r="AN168" s="15"/>
      <c r="AO168" s="15"/>
      <c r="AP168" s="15"/>
      <c r="AQ168" s="71"/>
      <c r="AR168" s="15"/>
      <c r="AS168" s="15"/>
      <c r="AT168" s="71"/>
      <c r="AU168" s="15"/>
      <c r="AV168" s="15"/>
      <c r="AW168" s="71"/>
      <c r="AX168" s="15"/>
      <c r="AY168" s="15"/>
      <c r="AZ168" s="71"/>
      <c r="BA168" s="15"/>
      <c r="BB168" s="15"/>
      <c r="BC168" s="71"/>
      <c r="BD168" s="15"/>
      <c r="BE168" s="15"/>
      <c r="BF168" s="15"/>
      <c r="BG168" s="71"/>
      <c r="BH168" s="15"/>
      <c r="BI168" s="15"/>
      <c r="BJ168" s="71"/>
      <c r="BK168" s="15"/>
      <c r="BL168" s="15"/>
      <c r="BM168" s="15"/>
      <c r="BN168" s="71"/>
      <c r="BO168" s="15"/>
      <c r="BP168" s="15"/>
      <c r="BQ168" s="71"/>
      <c r="BR168" s="15"/>
      <c r="BS168" s="15"/>
      <c r="BT168" s="15"/>
      <c r="BU168" s="71"/>
      <c r="BV168" s="15"/>
      <c r="BW168" s="15"/>
      <c r="BX168" s="71"/>
      <c r="BY168" s="15"/>
      <c r="BZ168" s="15"/>
      <c r="CA168" s="71"/>
      <c r="CB168" s="15"/>
      <c r="CC168" s="15"/>
      <c r="CD168" s="15"/>
      <c r="CE168" s="71"/>
      <c r="CF168" s="15"/>
      <c r="CG168" s="15"/>
      <c r="CH168" s="71"/>
      <c r="CI168" s="15"/>
      <c r="CJ168" s="15"/>
      <c r="CK168" s="15"/>
      <c r="CL168" s="71"/>
      <c r="CM168" s="15"/>
      <c r="CN168" s="15"/>
      <c r="CO168" s="71"/>
      <c r="CP168" s="15"/>
      <c r="CQ168" s="15"/>
      <c r="CR168" s="15"/>
      <c r="CS168" s="71"/>
      <c r="CT168" s="15"/>
      <c r="CU168" s="15"/>
      <c r="CV168" s="71"/>
      <c r="CW168" s="15"/>
      <c r="CX168" s="15"/>
    </row>
    <row r="169" spans="2:102" s="3" customFormat="1" x14ac:dyDescent="0.25">
      <c r="B169" s="12"/>
      <c r="C169" s="15"/>
      <c r="D169" s="15"/>
      <c r="E169" s="12"/>
      <c r="F169" s="15"/>
      <c r="G169" s="15"/>
      <c r="H169" s="71"/>
      <c r="I169" s="15"/>
      <c r="J169" s="15"/>
      <c r="K169" s="15"/>
      <c r="L169" s="71"/>
      <c r="M169" s="15"/>
      <c r="N169" s="15"/>
      <c r="O169" s="71"/>
      <c r="P169" s="15"/>
      <c r="Q169" s="15"/>
      <c r="R169" s="15"/>
      <c r="S169" s="71"/>
      <c r="T169" s="15"/>
      <c r="U169" s="15"/>
      <c r="V169" s="71"/>
      <c r="W169" s="15"/>
      <c r="X169" s="15"/>
      <c r="Y169" s="71"/>
      <c r="Z169" s="15"/>
      <c r="AA169" s="15"/>
      <c r="AB169" s="15"/>
      <c r="AC169" s="71"/>
      <c r="AD169" s="15"/>
      <c r="AE169" s="15"/>
      <c r="AF169" s="71"/>
      <c r="AG169" s="15"/>
      <c r="AH169" s="15"/>
      <c r="AI169" s="15"/>
      <c r="AJ169" s="71"/>
      <c r="AK169" s="15"/>
      <c r="AL169" s="15"/>
      <c r="AM169" s="71"/>
      <c r="AN169" s="15"/>
      <c r="AO169" s="15"/>
      <c r="AP169" s="15"/>
      <c r="AQ169" s="71"/>
      <c r="AR169" s="15"/>
      <c r="AS169" s="15"/>
      <c r="AT169" s="71"/>
      <c r="AU169" s="15"/>
      <c r="AV169" s="15"/>
      <c r="AW169" s="71"/>
      <c r="AX169" s="15"/>
      <c r="AY169" s="15"/>
      <c r="AZ169" s="71"/>
      <c r="BA169" s="15"/>
      <c r="BB169" s="15"/>
      <c r="BC169" s="71"/>
      <c r="BD169" s="15"/>
      <c r="BE169" s="15"/>
      <c r="BF169" s="15"/>
      <c r="BG169" s="71"/>
      <c r="BH169" s="15"/>
      <c r="BI169" s="15"/>
      <c r="BJ169" s="71"/>
      <c r="BK169" s="15"/>
      <c r="BL169" s="15"/>
      <c r="BM169" s="15"/>
      <c r="BN169" s="71"/>
      <c r="BO169" s="15"/>
      <c r="BP169" s="15"/>
      <c r="BQ169" s="71"/>
      <c r="BR169" s="15"/>
      <c r="BS169" s="15"/>
      <c r="BT169" s="15"/>
      <c r="BU169" s="71"/>
      <c r="BV169" s="15"/>
      <c r="BW169" s="15"/>
      <c r="BX169" s="71"/>
      <c r="BY169" s="15"/>
      <c r="BZ169" s="15"/>
      <c r="CA169" s="71"/>
      <c r="CB169" s="15"/>
      <c r="CC169" s="15"/>
      <c r="CD169" s="15"/>
      <c r="CE169" s="71"/>
      <c r="CF169" s="15"/>
      <c r="CG169" s="15"/>
      <c r="CH169" s="71"/>
      <c r="CI169" s="15"/>
      <c r="CJ169" s="15"/>
      <c r="CK169" s="15"/>
      <c r="CL169" s="71"/>
      <c r="CM169" s="15"/>
      <c r="CN169" s="15"/>
      <c r="CO169" s="71"/>
      <c r="CP169" s="15"/>
      <c r="CQ169" s="15"/>
      <c r="CR169" s="15"/>
      <c r="CS169" s="71"/>
      <c r="CT169" s="15"/>
      <c r="CU169" s="15"/>
      <c r="CV169" s="71"/>
      <c r="CW169" s="15"/>
      <c r="CX169" s="15"/>
    </row>
    <row r="170" spans="2:102" s="3" customFormat="1" x14ac:dyDescent="0.25">
      <c r="B170" s="12"/>
      <c r="C170" s="15"/>
      <c r="D170" s="15"/>
      <c r="E170" s="12"/>
      <c r="F170" s="15"/>
      <c r="G170" s="15"/>
      <c r="H170" s="71"/>
      <c r="I170" s="15"/>
      <c r="J170" s="15"/>
      <c r="K170" s="15"/>
      <c r="L170" s="71"/>
      <c r="M170" s="15"/>
      <c r="N170" s="15"/>
      <c r="O170" s="71"/>
      <c r="P170" s="15"/>
      <c r="Q170" s="15"/>
      <c r="R170" s="15"/>
      <c r="S170" s="71"/>
      <c r="T170" s="15"/>
      <c r="U170" s="15"/>
      <c r="V170" s="71"/>
      <c r="W170" s="15"/>
      <c r="X170" s="15"/>
      <c r="Y170" s="71"/>
      <c r="Z170" s="15"/>
      <c r="AA170" s="15"/>
      <c r="AB170" s="15"/>
      <c r="AC170" s="71"/>
      <c r="AD170" s="15"/>
      <c r="AE170" s="15"/>
      <c r="AF170" s="71"/>
      <c r="AG170" s="15"/>
      <c r="AH170" s="15"/>
      <c r="AI170" s="15"/>
      <c r="AJ170" s="71"/>
      <c r="AK170" s="15"/>
      <c r="AL170" s="15"/>
      <c r="AM170" s="71"/>
      <c r="AN170" s="15"/>
      <c r="AO170" s="15"/>
      <c r="AP170" s="15"/>
      <c r="AQ170" s="71"/>
      <c r="AR170" s="15"/>
      <c r="AS170" s="15"/>
      <c r="AT170" s="71"/>
      <c r="AU170" s="15"/>
      <c r="AV170" s="15"/>
      <c r="AW170" s="71"/>
      <c r="AX170" s="15"/>
      <c r="AY170" s="15"/>
      <c r="AZ170" s="71"/>
      <c r="BA170" s="15"/>
      <c r="BB170" s="15"/>
      <c r="BC170" s="71"/>
      <c r="BD170" s="15"/>
      <c r="BE170" s="15"/>
      <c r="BF170" s="15"/>
      <c r="BG170" s="71"/>
      <c r="BH170" s="15"/>
      <c r="BI170" s="15"/>
      <c r="BJ170" s="71"/>
      <c r="BK170" s="15"/>
      <c r="BL170" s="15"/>
      <c r="BM170" s="15"/>
      <c r="BN170" s="71"/>
      <c r="BO170" s="15"/>
      <c r="BP170" s="15"/>
      <c r="BQ170" s="71"/>
      <c r="BR170" s="15"/>
      <c r="BS170" s="15"/>
      <c r="BT170" s="15"/>
      <c r="BU170" s="71"/>
      <c r="BV170" s="15"/>
      <c r="BW170" s="15"/>
      <c r="BX170" s="71"/>
      <c r="BY170" s="15"/>
      <c r="BZ170" s="15"/>
      <c r="CA170" s="71"/>
      <c r="CB170" s="15"/>
      <c r="CC170" s="15"/>
      <c r="CD170" s="15"/>
      <c r="CE170" s="71"/>
      <c r="CF170" s="15"/>
      <c r="CG170" s="15"/>
      <c r="CH170" s="71"/>
      <c r="CI170" s="15"/>
      <c r="CJ170" s="15"/>
      <c r="CK170" s="15"/>
      <c r="CL170" s="71"/>
      <c r="CM170" s="15"/>
      <c r="CN170" s="15"/>
      <c r="CO170" s="71"/>
      <c r="CP170" s="15"/>
      <c r="CQ170" s="15"/>
      <c r="CR170" s="15"/>
      <c r="CS170" s="71"/>
      <c r="CT170" s="15"/>
      <c r="CU170" s="15"/>
      <c r="CV170" s="71"/>
      <c r="CW170" s="15"/>
      <c r="CX170" s="15"/>
    </row>
    <row r="171" spans="2:102" s="3" customFormat="1" x14ac:dyDescent="0.25">
      <c r="B171" s="12"/>
      <c r="C171" s="15"/>
      <c r="D171" s="15"/>
      <c r="E171" s="12"/>
      <c r="F171" s="15"/>
      <c r="G171" s="15"/>
      <c r="H171" s="71"/>
      <c r="I171" s="15"/>
      <c r="J171" s="15"/>
      <c r="K171" s="15"/>
      <c r="L171" s="71"/>
      <c r="M171" s="15"/>
      <c r="N171" s="15"/>
      <c r="O171" s="71"/>
      <c r="P171" s="15"/>
      <c r="Q171" s="15"/>
      <c r="R171" s="15"/>
      <c r="S171" s="71"/>
      <c r="T171" s="15"/>
      <c r="U171" s="15"/>
      <c r="V171" s="71"/>
      <c r="W171" s="15"/>
      <c r="X171" s="15"/>
      <c r="Y171" s="71"/>
      <c r="Z171" s="15"/>
      <c r="AA171" s="15"/>
      <c r="AB171" s="15"/>
      <c r="AC171" s="71"/>
      <c r="AD171" s="15"/>
      <c r="AE171" s="15"/>
      <c r="AF171" s="71"/>
      <c r="AG171" s="15"/>
      <c r="AH171" s="15"/>
      <c r="AI171" s="15"/>
      <c r="AJ171" s="71"/>
      <c r="AK171" s="15"/>
      <c r="AL171" s="15"/>
      <c r="AM171" s="71"/>
      <c r="AN171" s="15"/>
      <c r="AO171" s="15"/>
      <c r="AP171" s="15"/>
      <c r="AQ171" s="71"/>
      <c r="AR171" s="15"/>
      <c r="AS171" s="15"/>
      <c r="AT171" s="71"/>
      <c r="AU171" s="15"/>
      <c r="AV171" s="15"/>
      <c r="AW171" s="71"/>
      <c r="AX171" s="15"/>
      <c r="AY171" s="15"/>
      <c r="AZ171" s="71"/>
      <c r="BA171" s="15"/>
      <c r="BB171" s="15"/>
      <c r="BC171" s="71"/>
      <c r="BD171" s="15"/>
      <c r="BE171" s="15"/>
      <c r="BF171" s="15"/>
      <c r="BG171" s="71"/>
      <c r="BH171" s="15"/>
      <c r="BI171" s="15"/>
      <c r="BJ171" s="71"/>
      <c r="BK171" s="15"/>
      <c r="BL171" s="15"/>
      <c r="BM171" s="15"/>
      <c r="BN171" s="71"/>
      <c r="BO171" s="15"/>
      <c r="BP171" s="15"/>
      <c r="BQ171" s="71"/>
      <c r="BR171" s="15"/>
      <c r="BS171" s="15"/>
      <c r="BT171" s="15"/>
      <c r="BU171" s="71"/>
      <c r="BV171" s="15"/>
      <c r="BW171" s="15"/>
      <c r="BX171" s="71"/>
      <c r="BY171" s="15"/>
      <c r="BZ171" s="15"/>
      <c r="CA171" s="71"/>
      <c r="CB171" s="15"/>
      <c r="CC171" s="15"/>
      <c r="CD171" s="15"/>
      <c r="CE171" s="71"/>
      <c r="CF171" s="15"/>
      <c r="CG171" s="15"/>
      <c r="CH171" s="71"/>
      <c r="CI171" s="15"/>
      <c r="CJ171" s="15"/>
      <c r="CK171" s="15"/>
      <c r="CL171" s="71"/>
      <c r="CM171" s="15"/>
      <c r="CN171" s="15"/>
      <c r="CO171" s="71"/>
      <c r="CP171" s="15"/>
      <c r="CQ171" s="15"/>
      <c r="CR171" s="15"/>
      <c r="CS171" s="71"/>
      <c r="CT171" s="15"/>
      <c r="CU171" s="15"/>
      <c r="CV171" s="71"/>
      <c r="CW171" s="15"/>
      <c r="CX171" s="15"/>
    </row>
    <row r="172" spans="2:102" s="3" customFormat="1" x14ac:dyDescent="0.25">
      <c r="B172" s="12"/>
      <c r="C172" s="15"/>
      <c r="D172" s="15"/>
      <c r="E172" s="12"/>
      <c r="F172" s="15"/>
      <c r="G172" s="15"/>
      <c r="H172" s="71"/>
      <c r="I172" s="15"/>
      <c r="J172" s="15"/>
      <c r="K172" s="15"/>
      <c r="L172" s="71"/>
      <c r="M172" s="15"/>
      <c r="N172" s="15"/>
      <c r="O172" s="71"/>
      <c r="P172" s="15"/>
      <c r="Q172" s="15"/>
      <c r="R172" s="15"/>
      <c r="S172" s="71"/>
      <c r="T172" s="15"/>
      <c r="U172" s="15"/>
      <c r="V172" s="71"/>
      <c r="W172" s="15"/>
      <c r="X172" s="15"/>
      <c r="Y172" s="71"/>
      <c r="Z172" s="15"/>
      <c r="AA172" s="15"/>
      <c r="AB172" s="15"/>
      <c r="AC172" s="71"/>
      <c r="AD172" s="15"/>
      <c r="AE172" s="15"/>
      <c r="AF172" s="71"/>
      <c r="AG172" s="15"/>
      <c r="AH172" s="15"/>
      <c r="AI172" s="15"/>
      <c r="AJ172" s="71"/>
      <c r="AK172" s="15"/>
      <c r="AL172" s="15"/>
      <c r="AM172" s="71"/>
      <c r="AN172" s="15"/>
      <c r="AO172" s="15"/>
      <c r="AP172" s="15"/>
      <c r="AQ172" s="71"/>
      <c r="AR172" s="15"/>
      <c r="AS172" s="15"/>
      <c r="AT172" s="71"/>
      <c r="AU172" s="15"/>
      <c r="AV172" s="15"/>
      <c r="AW172" s="71"/>
      <c r="AX172" s="15"/>
      <c r="AY172" s="15"/>
      <c r="AZ172" s="71"/>
      <c r="BA172" s="15"/>
      <c r="BB172" s="15"/>
      <c r="BC172" s="71"/>
      <c r="BD172" s="15"/>
      <c r="BE172" s="15"/>
      <c r="BF172" s="15"/>
      <c r="BG172" s="71"/>
      <c r="BH172" s="15"/>
      <c r="BI172" s="15"/>
      <c r="BJ172" s="71"/>
      <c r="BK172" s="15"/>
      <c r="BL172" s="15"/>
      <c r="BM172" s="15"/>
      <c r="BN172" s="71"/>
      <c r="BO172" s="15"/>
      <c r="BP172" s="15"/>
      <c r="BQ172" s="71"/>
      <c r="BR172" s="15"/>
      <c r="BS172" s="15"/>
      <c r="BT172" s="15"/>
      <c r="BU172" s="71"/>
      <c r="BV172" s="15"/>
      <c r="BW172" s="15"/>
      <c r="BX172" s="71"/>
      <c r="BY172" s="15"/>
      <c r="BZ172" s="15"/>
      <c r="CA172" s="71"/>
      <c r="CB172" s="15"/>
      <c r="CC172" s="15"/>
      <c r="CD172" s="15"/>
      <c r="CE172" s="71"/>
      <c r="CF172" s="15"/>
      <c r="CG172" s="15"/>
      <c r="CH172" s="71"/>
      <c r="CI172" s="15"/>
      <c r="CJ172" s="15"/>
      <c r="CK172" s="15"/>
      <c r="CL172" s="71"/>
      <c r="CM172" s="15"/>
      <c r="CN172" s="15"/>
      <c r="CO172" s="71"/>
      <c r="CP172" s="15"/>
      <c r="CQ172" s="15"/>
      <c r="CR172" s="15"/>
      <c r="CS172" s="71"/>
      <c r="CT172" s="15"/>
      <c r="CU172" s="15"/>
      <c r="CV172" s="71"/>
      <c r="CW172" s="15"/>
      <c r="CX172" s="15"/>
    </row>
    <row r="173" spans="2:102" s="3" customFormat="1" x14ac:dyDescent="0.25">
      <c r="B173" s="12"/>
      <c r="C173" s="15"/>
      <c r="D173" s="15"/>
      <c r="E173" s="12"/>
      <c r="F173" s="15"/>
      <c r="G173" s="15"/>
      <c r="H173" s="71"/>
      <c r="I173" s="15"/>
      <c r="J173" s="15"/>
      <c r="K173" s="15"/>
      <c r="L173" s="71"/>
      <c r="M173" s="15"/>
      <c r="N173" s="15"/>
      <c r="O173" s="71"/>
      <c r="P173" s="15"/>
      <c r="Q173" s="15"/>
      <c r="R173" s="15"/>
      <c r="S173" s="71"/>
      <c r="T173" s="15"/>
      <c r="U173" s="15"/>
      <c r="V173" s="71"/>
      <c r="W173" s="15"/>
      <c r="X173" s="15"/>
      <c r="Y173" s="71"/>
      <c r="Z173" s="15"/>
      <c r="AA173" s="15"/>
      <c r="AB173" s="15"/>
      <c r="AC173" s="71"/>
      <c r="AD173" s="15"/>
      <c r="AE173" s="15"/>
      <c r="AF173" s="71"/>
      <c r="AG173" s="15"/>
      <c r="AH173" s="15"/>
      <c r="AI173" s="15"/>
      <c r="AJ173" s="71"/>
      <c r="AK173" s="15"/>
      <c r="AL173" s="15"/>
      <c r="AM173" s="71"/>
      <c r="AN173" s="15"/>
      <c r="AO173" s="15"/>
      <c r="AP173" s="15"/>
      <c r="AQ173" s="71"/>
      <c r="AR173" s="15"/>
      <c r="AS173" s="15"/>
      <c r="AT173" s="71"/>
      <c r="AU173" s="15"/>
      <c r="AV173" s="15"/>
      <c r="AW173" s="71"/>
      <c r="AX173" s="15"/>
      <c r="AY173" s="15"/>
      <c r="AZ173" s="71"/>
      <c r="BA173" s="15"/>
      <c r="BB173" s="15"/>
      <c r="BC173" s="71"/>
      <c r="BD173" s="15"/>
      <c r="BE173" s="15"/>
      <c r="BF173" s="15"/>
      <c r="BG173" s="71"/>
      <c r="BH173" s="15"/>
      <c r="BI173" s="15"/>
      <c r="BJ173" s="71"/>
      <c r="BK173" s="15"/>
      <c r="BL173" s="15"/>
      <c r="BM173" s="15"/>
      <c r="BN173" s="71"/>
      <c r="BO173" s="15"/>
      <c r="BP173" s="15"/>
      <c r="BQ173" s="71"/>
      <c r="BR173" s="15"/>
      <c r="BS173" s="15"/>
      <c r="BT173" s="15"/>
      <c r="BU173" s="71"/>
      <c r="BV173" s="15"/>
      <c r="BW173" s="15"/>
      <c r="BX173" s="71"/>
      <c r="BY173" s="15"/>
      <c r="BZ173" s="15"/>
      <c r="CA173" s="71"/>
      <c r="CB173" s="15"/>
      <c r="CC173" s="15"/>
      <c r="CD173" s="15"/>
      <c r="CE173" s="71"/>
      <c r="CF173" s="15"/>
      <c r="CG173" s="15"/>
      <c r="CH173" s="71"/>
      <c r="CI173" s="15"/>
      <c r="CJ173" s="15"/>
      <c r="CK173" s="15"/>
      <c r="CL173" s="71"/>
      <c r="CM173" s="15"/>
      <c r="CN173" s="15"/>
      <c r="CO173" s="71"/>
      <c r="CP173" s="15"/>
      <c r="CQ173" s="15"/>
      <c r="CR173" s="15"/>
      <c r="CS173" s="71"/>
      <c r="CT173" s="15"/>
      <c r="CU173" s="15"/>
      <c r="CV173" s="71"/>
      <c r="CW173" s="15"/>
      <c r="CX173" s="15"/>
    </row>
    <row r="174" spans="2:102" s="3" customFormat="1" x14ac:dyDescent="0.25">
      <c r="B174" s="12"/>
      <c r="C174" s="15"/>
      <c r="D174" s="15"/>
      <c r="E174" s="12"/>
      <c r="F174" s="15"/>
      <c r="G174" s="15"/>
      <c r="H174" s="71"/>
      <c r="I174" s="15"/>
      <c r="J174" s="15"/>
      <c r="K174" s="15"/>
      <c r="L174" s="71"/>
      <c r="M174" s="15"/>
      <c r="N174" s="15"/>
      <c r="O174" s="71"/>
      <c r="P174" s="15"/>
      <c r="Q174" s="15"/>
      <c r="R174" s="15"/>
      <c r="S174" s="71"/>
      <c r="T174" s="15"/>
      <c r="U174" s="15"/>
      <c r="V174" s="71"/>
      <c r="W174" s="15"/>
      <c r="X174" s="15"/>
      <c r="Y174" s="71"/>
      <c r="Z174" s="15"/>
      <c r="AA174" s="15"/>
      <c r="AB174" s="15"/>
      <c r="AC174" s="71"/>
      <c r="AD174" s="15"/>
      <c r="AE174" s="15"/>
      <c r="AF174" s="71"/>
      <c r="AG174" s="15"/>
      <c r="AH174" s="15"/>
      <c r="AI174" s="15"/>
      <c r="AJ174" s="71"/>
      <c r="AK174" s="15"/>
      <c r="AL174" s="15"/>
      <c r="AM174" s="71"/>
      <c r="AN174" s="15"/>
      <c r="AO174" s="15"/>
      <c r="AP174" s="15"/>
      <c r="AQ174" s="71"/>
      <c r="AR174" s="15"/>
      <c r="AS174" s="15"/>
      <c r="AT174" s="71"/>
      <c r="AU174" s="15"/>
      <c r="AV174" s="15"/>
      <c r="AW174" s="71"/>
      <c r="AX174" s="15"/>
      <c r="AY174" s="15"/>
      <c r="AZ174" s="71"/>
      <c r="BA174" s="15"/>
      <c r="BB174" s="15"/>
      <c r="BC174" s="71"/>
      <c r="BD174" s="15"/>
      <c r="BE174" s="15"/>
      <c r="BF174" s="15"/>
      <c r="BG174" s="71"/>
      <c r="BH174" s="15"/>
      <c r="BI174" s="15"/>
      <c r="BJ174" s="71"/>
      <c r="BK174" s="15"/>
      <c r="BL174" s="15"/>
      <c r="BM174" s="15"/>
      <c r="BN174" s="71"/>
      <c r="BO174" s="15"/>
      <c r="BP174" s="15"/>
      <c r="BQ174" s="71"/>
      <c r="BR174" s="15"/>
      <c r="BS174" s="15"/>
      <c r="BT174" s="15"/>
      <c r="BU174" s="71"/>
      <c r="BV174" s="15"/>
      <c r="BW174" s="15"/>
      <c r="BX174" s="71"/>
      <c r="BY174" s="15"/>
      <c r="BZ174" s="15"/>
      <c r="CA174" s="71"/>
      <c r="CB174" s="15"/>
      <c r="CC174" s="15"/>
      <c r="CD174" s="15"/>
      <c r="CE174" s="71"/>
      <c r="CF174" s="15"/>
      <c r="CG174" s="15"/>
      <c r="CH174" s="71"/>
      <c r="CI174" s="15"/>
      <c r="CJ174" s="15"/>
      <c r="CK174" s="15"/>
      <c r="CL174" s="71"/>
      <c r="CM174" s="15"/>
      <c r="CN174" s="15"/>
      <c r="CO174" s="71"/>
      <c r="CP174" s="15"/>
      <c r="CQ174" s="15"/>
      <c r="CR174" s="15"/>
      <c r="CS174" s="71"/>
      <c r="CT174" s="15"/>
      <c r="CU174" s="15"/>
      <c r="CV174" s="71"/>
      <c r="CW174" s="15"/>
      <c r="CX174" s="15"/>
    </row>
    <row r="175" spans="2:102" s="3" customFormat="1" x14ac:dyDescent="0.25">
      <c r="B175" s="12"/>
      <c r="C175" s="15"/>
      <c r="D175" s="15"/>
      <c r="E175" s="12"/>
      <c r="F175" s="15"/>
      <c r="G175" s="15"/>
      <c r="H175" s="71"/>
      <c r="I175" s="15"/>
      <c r="J175" s="15"/>
      <c r="K175" s="15"/>
      <c r="L175" s="71"/>
      <c r="M175" s="15"/>
      <c r="N175" s="15"/>
      <c r="O175" s="71"/>
      <c r="P175" s="15"/>
      <c r="Q175" s="15"/>
      <c r="R175" s="15"/>
      <c r="S175" s="71"/>
      <c r="T175" s="15"/>
      <c r="U175" s="15"/>
      <c r="V175" s="71"/>
      <c r="W175" s="15"/>
      <c r="X175" s="15"/>
      <c r="Y175" s="71"/>
      <c r="Z175" s="15"/>
      <c r="AA175" s="15"/>
      <c r="AB175" s="15"/>
      <c r="AC175" s="71"/>
      <c r="AD175" s="15"/>
      <c r="AE175" s="15"/>
      <c r="AF175" s="71"/>
      <c r="AG175" s="15"/>
      <c r="AH175" s="15"/>
      <c r="AI175" s="15"/>
      <c r="AJ175" s="71"/>
      <c r="AK175" s="15"/>
      <c r="AL175" s="15"/>
      <c r="AM175" s="71"/>
      <c r="AN175" s="15"/>
      <c r="AO175" s="15"/>
      <c r="AP175" s="15"/>
      <c r="AQ175" s="71"/>
      <c r="AR175" s="15"/>
      <c r="AS175" s="15"/>
      <c r="AT175" s="71"/>
      <c r="AU175" s="15"/>
      <c r="AV175" s="15"/>
      <c r="AW175" s="71"/>
      <c r="AX175" s="15"/>
      <c r="AY175" s="15"/>
      <c r="AZ175" s="71"/>
      <c r="BA175" s="15"/>
      <c r="BB175" s="15"/>
      <c r="BC175" s="71"/>
      <c r="BD175" s="15"/>
      <c r="BE175" s="15"/>
      <c r="BF175" s="15"/>
      <c r="BG175" s="71"/>
      <c r="BH175" s="15"/>
      <c r="BI175" s="15"/>
      <c r="BJ175" s="71"/>
      <c r="BK175" s="15"/>
      <c r="BL175" s="15"/>
      <c r="BM175" s="15"/>
      <c r="BN175" s="71"/>
      <c r="BO175" s="15"/>
      <c r="BP175" s="15"/>
      <c r="BQ175" s="71"/>
      <c r="BR175" s="15"/>
      <c r="BS175" s="15"/>
      <c r="BT175" s="15"/>
      <c r="BU175" s="71"/>
      <c r="BV175" s="15"/>
      <c r="BW175" s="15"/>
      <c r="BX175" s="71"/>
      <c r="BY175" s="15"/>
      <c r="BZ175" s="15"/>
      <c r="CA175" s="71"/>
      <c r="CB175" s="15"/>
      <c r="CC175" s="15"/>
      <c r="CD175" s="15"/>
      <c r="CE175" s="71"/>
      <c r="CF175" s="15"/>
      <c r="CG175" s="15"/>
      <c r="CH175" s="71"/>
      <c r="CI175" s="15"/>
      <c r="CJ175" s="15"/>
      <c r="CK175" s="15"/>
      <c r="CL175" s="71"/>
      <c r="CM175" s="15"/>
      <c r="CN175" s="15"/>
      <c r="CO175" s="71"/>
      <c r="CP175" s="15"/>
      <c r="CQ175" s="15"/>
      <c r="CR175" s="15"/>
      <c r="CS175" s="71"/>
      <c r="CT175" s="15"/>
      <c r="CU175" s="15"/>
      <c r="CV175" s="71"/>
      <c r="CW175" s="15"/>
      <c r="CX175" s="15"/>
    </row>
    <row r="176" spans="2:102" s="3" customFormat="1" x14ac:dyDescent="0.25">
      <c r="B176" s="12"/>
      <c r="C176" s="15"/>
      <c r="D176" s="15"/>
      <c r="E176" s="12"/>
      <c r="F176" s="15"/>
      <c r="G176" s="15"/>
      <c r="H176" s="71"/>
      <c r="I176" s="15"/>
      <c r="J176" s="15"/>
      <c r="K176" s="15"/>
      <c r="L176" s="71"/>
      <c r="M176" s="15"/>
      <c r="N176" s="15"/>
      <c r="O176" s="71"/>
      <c r="P176" s="15"/>
      <c r="Q176" s="15"/>
      <c r="R176" s="15"/>
      <c r="S176" s="71"/>
      <c r="T176" s="15"/>
      <c r="U176" s="15"/>
      <c r="V176" s="71"/>
      <c r="W176" s="15"/>
      <c r="X176" s="15"/>
      <c r="Y176" s="71"/>
      <c r="Z176" s="15"/>
      <c r="AA176" s="15"/>
      <c r="AB176" s="15"/>
      <c r="AC176" s="71"/>
      <c r="AD176" s="15"/>
      <c r="AE176" s="15"/>
      <c r="AF176" s="71"/>
      <c r="AG176" s="15"/>
      <c r="AH176" s="15"/>
      <c r="AI176" s="15"/>
      <c r="AJ176" s="71"/>
      <c r="AK176" s="15"/>
      <c r="AL176" s="15"/>
      <c r="AM176" s="71"/>
      <c r="AN176" s="15"/>
      <c r="AO176" s="15"/>
      <c r="AP176" s="15"/>
      <c r="AQ176" s="71"/>
      <c r="AR176" s="15"/>
      <c r="AS176" s="15"/>
      <c r="AT176" s="71"/>
      <c r="AU176" s="15"/>
      <c r="AV176" s="15"/>
      <c r="AW176" s="71"/>
      <c r="AX176" s="15"/>
      <c r="AY176" s="15"/>
      <c r="AZ176" s="71"/>
      <c r="BA176" s="15"/>
      <c r="BB176" s="15"/>
      <c r="BC176" s="71"/>
      <c r="BD176" s="15"/>
      <c r="BE176" s="15"/>
      <c r="BF176" s="15"/>
      <c r="BG176" s="71"/>
      <c r="BH176" s="15"/>
      <c r="BI176" s="15"/>
      <c r="BJ176" s="71"/>
      <c r="BK176" s="15"/>
      <c r="BL176" s="15"/>
      <c r="BM176" s="15"/>
      <c r="BN176" s="71"/>
      <c r="BO176" s="15"/>
      <c r="BP176" s="15"/>
      <c r="BQ176" s="71"/>
      <c r="BR176" s="15"/>
      <c r="BS176" s="15"/>
      <c r="BT176" s="15"/>
      <c r="BU176" s="71"/>
      <c r="BV176" s="15"/>
      <c r="BW176" s="15"/>
      <c r="BX176" s="71"/>
      <c r="BY176" s="15"/>
      <c r="BZ176" s="15"/>
      <c r="CA176" s="71"/>
      <c r="CB176" s="15"/>
      <c r="CC176" s="15"/>
      <c r="CD176" s="15"/>
      <c r="CE176" s="71"/>
      <c r="CF176" s="15"/>
      <c r="CG176" s="15"/>
      <c r="CH176" s="71"/>
      <c r="CI176" s="15"/>
      <c r="CJ176" s="15"/>
      <c r="CK176" s="15"/>
      <c r="CL176" s="71"/>
      <c r="CM176" s="15"/>
      <c r="CN176" s="15"/>
      <c r="CO176" s="71"/>
      <c r="CP176" s="15"/>
      <c r="CQ176" s="15"/>
      <c r="CR176" s="15"/>
      <c r="CS176" s="71"/>
      <c r="CT176" s="15"/>
      <c r="CU176" s="15"/>
      <c r="CV176" s="71"/>
      <c r="CW176" s="15"/>
      <c r="CX176" s="15"/>
    </row>
    <row r="177" spans="2:102" s="3" customFormat="1" x14ac:dyDescent="0.25">
      <c r="B177" s="12"/>
      <c r="C177" s="15"/>
      <c r="D177" s="15"/>
      <c r="E177" s="12"/>
      <c r="F177" s="15"/>
      <c r="G177" s="15"/>
      <c r="H177" s="71"/>
      <c r="I177" s="15"/>
      <c r="J177" s="15"/>
      <c r="K177" s="15"/>
      <c r="L177" s="71"/>
      <c r="M177" s="15"/>
      <c r="N177" s="15"/>
      <c r="O177" s="71"/>
      <c r="P177" s="15"/>
      <c r="Q177" s="15"/>
      <c r="R177" s="15"/>
      <c r="S177" s="71"/>
      <c r="T177" s="15"/>
      <c r="U177" s="15"/>
      <c r="V177" s="71"/>
      <c r="W177" s="15"/>
      <c r="X177" s="15"/>
      <c r="Y177" s="71"/>
      <c r="Z177" s="15"/>
      <c r="AA177" s="15"/>
      <c r="AB177" s="15"/>
      <c r="AC177" s="71"/>
      <c r="AD177" s="15"/>
      <c r="AE177" s="15"/>
      <c r="AF177" s="71"/>
      <c r="AG177" s="15"/>
      <c r="AH177" s="15"/>
      <c r="AI177" s="15"/>
      <c r="AJ177" s="71"/>
      <c r="AK177" s="15"/>
      <c r="AL177" s="15"/>
      <c r="AM177" s="71"/>
      <c r="AN177" s="15"/>
      <c r="AO177" s="15"/>
      <c r="AP177" s="15"/>
      <c r="AQ177" s="71"/>
      <c r="AR177" s="15"/>
      <c r="AS177" s="15"/>
      <c r="AT177" s="71"/>
      <c r="AU177" s="15"/>
      <c r="AV177" s="15"/>
      <c r="AW177" s="71"/>
      <c r="AX177" s="15"/>
      <c r="AY177" s="15"/>
      <c r="AZ177" s="71"/>
      <c r="BA177" s="15"/>
      <c r="BB177" s="15"/>
      <c r="BC177" s="71"/>
      <c r="BD177" s="15"/>
      <c r="BE177" s="15"/>
      <c r="BF177" s="15"/>
      <c r="BG177" s="71"/>
      <c r="BH177" s="15"/>
      <c r="BI177" s="15"/>
      <c r="BJ177" s="71"/>
      <c r="BK177" s="15"/>
      <c r="BL177" s="15"/>
      <c r="BM177" s="15"/>
      <c r="BN177" s="71"/>
      <c r="BO177" s="15"/>
      <c r="BP177" s="15"/>
      <c r="BQ177" s="71"/>
      <c r="BR177" s="15"/>
      <c r="BS177" s="15"/>
      <c r="BT177" s="15"/>
      <c r="BU177" s="71"/>
      <c r="BV177" s="15"/>
      <c r="BW177" s="15"/>
      <c r="BX177" s="71"/>
      <c r="BY177" s="15"/>
      <c r="BZ177" s="15"/>
      <c r="CA177" s="71"/>
      <c r="CB177" s="15"/>
      <c r="CC177" s="15"/>
      <c r="CD177" s="15"/>
      <c r="CE177" s="71"/>
      <c r="CF177" s="15"/>
      <c r="CG177" s="15"/>
      <c r="CH177" s="71"/>
      <c r="CI177" s="15"/>
      <c r="CJ177" s="15"/>
      <c r="CK177" s="15"/>
      <c r="CL177" s="71"/>
      <c r="CM177" s="15"/>
      <c r="CN177" s="15"/>
      <c r="CO177" s="71"/>
      <c r="CP177" s="15"/>
      <c r="CQ177" s="15"/>
      <c r="CR177" s="15"/>
      <c r="CS177" s="71"/>
      <c r="CT177" s="15"/>
      <c r="CU177" s="15"/>
      <c r="CV177" s="71"/>
      <c r="CW177" s="15"/>
      <c r="CX177" s="15"/>
    </row>
    <row r="178" spans="2:102" s="3" customFormat="1" x14ac:dyDescent="0.25">
      <c r="B178" s="12"/>
      <c r="C178" s="15"/>
      <c r="D178" s="15"/>
      <c r="E178" s="12"/>
      <c r="F178" s="15"/>
      <c r="G178" s="15"/>
      <c r="H178" s="71"/>
      <c r="I178" s="15"/>
      <c r="J178" s="15"/>
      <c r="K178" s="15"/>
      <c r="L178" s="71"/>
      <c r="M178" s="15"/>
      <c r="N178" s="15"/>
      <c r="O178" s="71"/>
      <c r="P178" s="15"/>
      <c r="Q178" s="15"/>
      <c r="R178" s="15"/>
      <c r="S178" s="71"/>
      <c r="T178" s="15"/>
      <c r="U178" s="15"/>
      <c r="V178" s="71"/>
      <c r="W178" s="15"/>
      <c r="X178" s="15"/>
      <c r="Y178" s="71"/>
      <c r="Z178" s="15"/>
      <c r="AA178" s="15"/>
      <c r="AB178" s="15"/>
      <c r="AC178" s="71"/>
      <c r="AD178" s="15"/>
      <c r="AE178" s="15"/>
      <c r="AF178" s="71"/>
      <c r="AG178" s="15"/>
      <c r="AH178" s="15"/>
      <c r="AI178" s="15"/>
      <c r="AJ178" s="71"/>
      <c r="AK178" s="15"/>
      <c r="AL178" s="15"/>
      <c r="AM178" s="71"/>
      <c r="AN178" s="15"/>
      <c r="AO178" s="15"/>
      <c r="AP178" s="15"/>
      <c r="AQ178" s="71"/>
      <c r="AR178" s="15"/>
      <c r="AS178" s="15"/>
      <c r="AT178" s="71"/>
      <c r="AU178" s="15"/>
      <c r="AV178" s="15"/>
      <c r="AW178" s="71"/>
      <c r="AX178" s="15"/>
      <c r="AY178" s="15"/>
      <c r="AZ178" s="71"/>
      <c r="BA178" s="15"/>
      <c r="BB178" s="15"/>
      <c r="BC178" s="71"/>
      <c r="BD178" s="15"/>
      <c r="BE178" s="15"/>
      <c r="BF178" s="15"/>
      <c r="BG178" s="71"/>
      <c r="BH178" s="15"/>
      <c r="BI178" s="15"/>
      <c r="BJ178" s="71"/>
      <c r="BK178" s="15"/>
      <c r="BL178" s="15"/>
      <c r="BM178" s="15"/>
      <c r="BN178" s="71"/>
      <c r="BO178" s="15"/>
      <c r="BP178" s="15"/>
      <c r="BQ178" s="71"/>
      <c r="BR178" s="15"/>
      <c r="BS178" s="15"/>
      <c r="BT178" s="15"/>
      <c r="BU178" s="71"/>
      <c r="BV178" s="15"/>
      <c r="BW178" s="15"/>
      <c r="BX178" s="71"/>
      <c r="BY178" s="15"/>
      <c r="BZ178" s="15"/>
      <c r="CA178" s="71"/>
      <c r="CB178" s="15"/>
      <c r="CC178" s="15"/>
      <c r="CD178" s="15"/>
      <c r="CE178" s="71"/>
      <c r="CF178" s="15"/>
      <c r="CG178" s="15"/>
      <c r="CH178" s="71"/>
      <c r="CI178" s="15"/>
      <c r="CJ178" s="15"/>
      <c r="CK178" s="15"/>
      <c r="CL178" s="71"/>
      <c r="CM178" s="15"/>
      <c r="CN178" s="15"/>
      <c r="CO178" s="71"/>
      <c r="CP178" s="15"/>
      <c r="CQ178" s="15"/>
      <c r="CR178" s="15"/>
      <c r="CS178" s="71"/>
      <c r="CT178" s="15"/>
      <c r="CU178" s="15"/>
      <c r="CV178" s="71"/>
      <c r="CW178" s="15"/>
      <c r="CX178" s="15"/>
    </row>
    <row r="179" spans="2:102" s="3" customFormat="1" x14ac:dyDescent="0.25">
      <c r="B179" s="12"/>
      <c r="C179" s="15"/>
      <c r="D179" s="15"/>
      <c r="E179" s="12"/>
      <c r="F179" s="15"/>
      <c r="G179" s="15"/>
      <c r="H179" s="71"/>
      <c r="I179" s="15"/>
      <c r="J179" s="15"/>
      <c r="K179" s="15"/>
      <c r="L179" s="71"/>
      <c r="M179" s="15"/>
      <c r="N179" s="15"/>
      <c r="O179" s="71"/>
      <c r="P179" s="15"/>
      <c r="Q179" s="15"/>
      <c r="R179" s="15"/>
      <c r="S179" s="71"/>
      <c r="T179" s="15"/>
      <c r="U179" s="15"/>
      <c r="V179" s="71"/>
      <c r="W179" s="15"/>
      <c r="X179" s="15"/>
      <c r="Y179" s="71"/>
      <c r="Z179" s="15"/>
      <c r="AA179" s="15"/>
      <c r="AB179" s="15"/>
      <c r="AC179" s="71"/>
      <c r="AD179" s="15"/>
      <c r="AE179" s="15"/>
      <c r="AF179" s="71"/>
      <c r="AG179" s="15"/>
      <c r="AH179" s="15"/>
      <c r="AI179" s="15"/>
      <c r="AJ179" s="71"/>
      <c r="AK179" s="15"/>
      <c r="AL179" s="15"/>
      <c r="AM179" s="71"/>
      <c r="AN179" s="15"/>
      <c r="AO179" s="15"/>
      <c r="AP179" s="15"/>
      <c r="AQ179" s="71"/>
      <c r="AR179" s="15"/>
      <c r="AS179" s="15"/>
      <c r="AT179" s="71"/>
      <c r="AU179" s="15"/>
      <c r="AV179" s="15"/>
      <c r="AW179" s="71"/>
      <c r="AX179" s="15"/>
      <c r="AY179" s="15"/>
      <c r="AZ179" s="71"/>
      <c r="BA179" s="15"/>
      <c r="BB179" s="15"/>
      <c r="BC179" s="71"/>
      <c r="BD179" s="15"/>
      <c r="BE179" s="15"/>
      <c r="BF179" s="15"/>
      <c r="BG179" s="71"/>
      <c r="BH179" s="15"/>
      <c r="BI179" s="15"/>
      <c r="BJ179" s="71"/>
      <c r="BK179" s="15"/>
      <c r="BL179" s="15"/>
      <c r="BM179" s="15"/>
      <c r="BN179" s="71"/>
      <c r="BO179" s="15"/>
      <c r="BP179" s="15"/>
      <c r="BQ179" s="71"/>
      <c r="BR179" s="15"/>
      <c r="BS179" s="15"/>
      <c r="BT179" s="15"/>
      <c r="BU179" s="71"/>
      <c r="BV179" s="15"/>
      <c r="BW179" s="15"/>
      <c r="BX179" s="71"/>
      <c r="BY179" s="15"/>
      <c r="BZ179" s="15"/>
      <c r="CA179" s="71"/>
      <c r="CB179" s="15"/>
      <c r="CC179" s="15"/>
      <c r="CD179" s="15"/>
      <c r="CE179" s="71"/>
      <c r="CF179" s="15"/>
      <c r="CG179" s="15"/>
      <c r="CH179" s="71"/>
      <c r="CI179" s="15"/>
      <c r="CJ179" s="15"/>
      <c r="CK179" s="15"/>
      <c r="CL179" s="71"/>
      <c r="CM179" s="15"/>
      <c r="CN179" s="15"/>
      <c r="CO179" s="71"/>
      <c r="CP179" s="15"/>
      <c r="CQ179" s="15"/>
      <c r="CR179" s="15"/>
      <c r="CS179" s="71"/>
      <c r="CT179" s="15"/>
      <c r="CU179" s="15"/>
      <c r="CV179" s="71"/>
      <c r="CW179" s="15"/>
      <c r="CX179" s="15"/>
    </row>
    <row r="180" spans="2:102" s="3" customFormat="1" x14ac:dyDescent="0.25">
      <c r="B180" s="12"/>
      <c r="C180" s="15"/>
      <c r="D180" s="15"/>
      <c r="E180" s="12"/>
      <c r="F180" s="15"/>
      <c r="G180" s="15"/>
      <c r="H180" s="71"/>
      <c r="I180" s="15"/>
      <c r="J180" s="15"/>
      <c r="K180" s="15"/>
      <c r="L180" s="71"/>
      <c r="M180" s="15"/>
      <c r="N180" s="15"/>
      <c r="O180" s="71"/>
      <c r="P180" s="15"/>
      <c r="Q180" s="15"/>
      <c r="R180" s="15"/>
      <c r="S180" s="71"/>
      <c r="T180" s="15"/>
      <c r="U180" s="15"/>
      <c r="V180" s="71"/>
      <c r="W180" s="15"/>
      <c r="X180" s="15"/>
      <c r="Y180" s="71"/>
      <c r="Z180" s="15"/>
      <c r="AA180" s="15"/>
      <c r="AB180" s="15"/>
      <c r="AC180" s="71"/>
      <c r="AD180" s="15"/>
      <c r="AE180" s="15"/>
      <c r="AF180" s="71"/>
      <c r="AG180" s="15"/>
      <c r="AH180" s="15"/>
      <c r="AI180" s="15"/>
      <c r="AJ180" s="71"/>
      <c r="AK180" s="15"/>
      <c r="AL180" s="15"/>
      <c r="AM180" s="71"/>
      <c r="AN180" s="15"/>
      <c r="AO180" s="15"/>
      <c r="AP180" s="15"/>
      <c r="AQ180" s="71"/>
      <c r="AR180" s="15"/>
      <c r="AS180" s="15"/>
      <c r="AT180" s="71"/>
      <c r="AU180" s="15"/>
      <c r="AV180" s="15"/>
      <c r="AW180" s="71"/>
      <c r="AX180" s="15"/>
      <c r="AY180" s="15"/>
      <c r="AZ180" s="71"/>
      <c r="BA180" s="15"/>
      <c r="BB180" s="15"/>
      <c r="BC180" s="71"/>
      <c r="BD180" s="15"/>
      <c r="BE180" s="15"/>
      <c r="BF180" s="15"/>
      <c r="BG180" s="71"/>
      <c r="BH180" s="15"/>
      <c r="BI180" s="15"/>
      <c r="BJ180" s="71"/>
      <c r="BK180" s="15"/>
      <c r="BL180" s="15"/>
      <c r="BM180" s="15"/>
      <c r="BN180" s="71"/>
      <c r="BO180" s="15"/>
      <c r="BP180" s="15"/>
      <c r="BQ180" s="71"/>
      <c r="BR180" s="15"/>
      <c r="BS180" s="15"/>
      <c r="BT180" s="15"/>
      <c r="BU180" s="71"/>
      <c r="BV180" s="15"/>
      <c r="BW180" s="15"/>
      <c r="BX180" s="71"/>
      <c r="BY180" s="15"/>
      <c r="BZ180" s="15"/>
      <c r="CA180" s="71"/>
      <c r="CB180" s="15"/>
      <c r="CC180" s="15"/>
      <c r="CD180" s="15"/>
      <c r="CE180" s="71"/>
      <c r="CF180" s="15"/>
      <c r="CG180" s="15"/>
      <c r="CH180" s="71"/>
      <c r="CI180" s="15"/>
      <c r="CJ180" s="15"/>
      <c r="CK180" s="15"/>
      <c r="CL180" s="71"/>
      <c r="CM180" s="15"/>
      <c r="CN180" s="15"/>
      <c r="CO180" s="71"/>
      <c r="CP180" s="15"/>
      <c r="CQ180" s="15"/>
      <c r="CR180" s="15"/>
      <c r="CS180" s="71"/>
      <c r="CT180" s="15"/>
      <c r="CU180" s="15"/>
      <c r="CV180" s="71"/>
      <c r="CW180" s="15"/>
      <c r="CX180" s="15"/>
    </row>
    <row r="181" spans="2:102" s="3" customFormat="1" x14ac:dyDescent="0.25">
      <c r="B181" s="12"/>
      <c r="C181" s="15"/>
      <c r="D181" s="15"/>
      <c r="E181" s="12"/>
      <c r="F181" s="15"/>
      <c r="G181" s="15"/>
      <c r="H181" s="71"/>
      <c r="I181" s="15"/>
      <c r="J181" s="15"/>
      <c r="K181" s="15"/>
      <c r="L181" s="71"/>
      <c r="M181" s="15"/>
      <c r="N181" s="15"/>
      <c r="O181" s="71"/>
      <c r="P181" s="15"/>
      <c r="Q181" s="15"/>
      <c r="R181" s="15"/>
      <c r="S181" s="71"/>
      <c r="T181" s="15"/>
      <c r="U181" s="15"/>
      <c r="V181" s="71"/>
      <c r="W181" s="15"/>
      <c r="X181" s="15"/>
      <c r="Y181" s="71"/>
      <c r="Z181" s="15"/>
      <c r="AA181" s="15"/>
      <c r="AB181" s="15"/>
      <c r="AC181" s="71"/>
      <c r="AD181" s="15"/>
      <c r="AE181" s="15"/>
      <c r="AF181" s="71"/>
      <c r="AG181" s="15"/>
      <c r="AH181" s="15"/>
      <c r="AI181" s="15"/>
      <c r="AJ181" s="71"/>
      <c r="AK181" s="15"/>
      <c r="AL181" s="15"/>
      <c r="AM181" s="71"/>
      <c r="AN181" s="15"/>
      <c r="AO181" s="15"/>
      <c r="AP181" s="15"/>
      <c r="AQ181" s="71"/>
      <c r="AR181" s="15"/>
      <c r="AS181" s="15"/>
      <c r="AT181" s="71"/>
      <c r="AU181" s="15"/>
      <c r="AV181" s="15"/>
      <c r="AW181" s="71"/>
      <c r="AX181" s="15"/>
      <c r="AY181" s="15"/>
      <c r="AZ181" s="71"/>
      <c r="BA181" s="15"/>
      <c r="BB181" s="15"/>
      <c r="BC181" s="71"/>
      <c r="BD181" s="15"/>
      <c r="BE181" s="15"/>
      <c r="BF181" s="15"/>
      <c r="BG181" s="71"/>
      <c r="BH181" s="15"/>
      <c r="BI181" s="15"/>
      <c r="BJ181" s="71"/>
      <c r="BK181" s="15"/>
      <c r="BL181" s="15"/>
      <c r="BM181" s="15"/>
      <c r="BN181" s="71"/>
      <c r="BO181" s="15"/>
      <c r="BP181" s="15"/>
      <c r="BQ181" s="71"/>
      <c r="BR181" s="15"/>
      <c r="BS181" s="15"/>
      <c r="BT181" s="15"/>
      <c r="BU181" s="71"/>
      <c r="BV181" s="15"/>
      <c r="BW181" s="15"/>
      <c r="BX181" s="71"/>
      <c r="BY181" s="15"/>
      <c r="BZ181" s="15"/>
      <c r="CA181" s="71"/>
      <c r="CB181" s="15"/>
      <c r="CC181" s="15"/>
      <c r="CD181" s="15"/>
      <c r="CE181" s="71"/>
      <c r="CF181" s="15"/>
      <c r="CG181" s="15"/>
      <c r="CH181" s="71"/>
      <c r="CI181" s="15"/>
      <c r="CJ181" s="15"/>
      <c r="CK181" s="15"/>
      <c r="CL181" s="71"/>
      <c r="CM181" s="15"/>
      <c r="CN181" s="15"/>
      <c r="CO181" s="71"/>
      <c r="CP181" s="15"/>
      <c r="CQ181" s="15"/>
      <c r="CR181" s="15"/>
      <c r="CS181" s="71"/>
      <c r="CT181" s="15"/>
      <c r="CU181" s="15"/>
      <c r="CV181" s="71"/>
      <c r="CW181" s="15"/>
      <c r="CX181" s="15"/>
    </row>
    <row r="182" spans="2:102" s="3" customFormat="1" x14ac:dyDescent="0.25">
      <c r="B182" s="12"/>
      <c r="C182" s="15"/>
      <c r="D182" s="15"/>
      <c r="E182" s="12"/>
      <c r="F182" s="15"/>
      <c r="G182" s="15"/>
      <c r="H182" s="71"/>
      <c r="I182" s="15"/>
      <c r="J182" s="15"/>
      <c r="K182" s="15"/>
      <c r="L182" s="71"/>
      <c r="M182" s="15"/>
      <c r="N182" s="15"/>
      <c r="O182" s="71"/>
      <c r="P182" s="15"/>
      <c r="Q182" s="15"/>
      <c r="R182" s="15"/>
      <c r="S182" s="71"/>
      <c r="T182" s="15"/>
      <c r="U182" s="15"/>
      <c r="V182" s="71"/>
      <c r="W182" s="15"/>
      <c r="X182" s="15"/>
      <c r="Y182" s="71"/>
      <c r="Z182" s="15"/>
      <c r="AA182" s="15"/>
      <c r="AB182" s="15"/>
      <c r="AC182" s="71"/>
      <c r="AD182" s="15"/>
      <c r="AE182" s="15"/>
      <c r="AF182" s="71"/>
      <c r="AG182" s="15"/>
      <c r="AH182" s="15"/>
      <c r="AI182" s="15"/>
      <c r="AJ182" s="71"/>
      <c r="AK182" s="15"/>
      <c r="AL182" s="15"/>
      <c r="AM182" s="71"/>
      <c r="AN182" s="15"/>
      <c r="AO182" s="15"/>
      <c r="AP182" s="15"/>
      <c r="AQ182" s="71"/>
      <c r="AR182" s="15"/>
      <c r="AS182" s="15"/>
      <c r="AT182" s="71"/>
      <c r="AU182" s="15"/>
      <c r="AV182" s="15"/>
      <c r="AW182" s="71"/>
      <c r="AX182" s="15"/>
      <c r="AY182" s="15"/>
      <c r="AZ182" s="71"/>
      <c r="BA182" s="15"/>
      <c r="BB182" s="15"/>
      <c r="BC182" s="71"/>
      <c r="BD182" s="15"/>
      <c r="BE182" s="15"/>
      <c r="BF182" s="15"/>
      <c r="BG182" s="71"/>
      <c r="BH182" s="15"/>
      <c r="BI182" s="15"/>
      <c r="BJ182" s="71"/>
      <c r="BK182" s="15"/>
      <c r="BL182" s="15"/>
      <c r="BM182" s="15"/>
      <c r="BN182" s="71"/>
      <c r="BO182" s="15"/>
      <c r="BP182" s="15"/>
      <c r="BQ182" s="71"/>
      <c r="BR182" s="15"/>
      <c r="BS182" s="15"/>
      <c r="BT182" s="15"/>
      <c r="BU182" s="71"/>
      <c r="BV182" s="15"/>
      <c r="BW182" s="15"/>
      <c r="BX182" s="71"/>
      <c r="BY182" s="15"/>
      <c r="BZ182" s="15"/>
      <c r="CA182" s="71"/>
      <c r="CB182" s="15"/>
      <c r="CC182" s="15"/>
      <c r="CD182" s="15"/>
      <c r="CE182" s="71"/>
      <c r="CF182" s="15"/>
      <c r="CG182" s="15"/>
      <c r="CH182" s="71"/>
      <c r="CI182" s="15"/>
      <c r="CJ182" s="15"/>
      <c r="CK182" s="15"/>
      <c r="CL182" s="71"/>
      <c r="CM182" s="15"/>
      <c r="CN182" s="15"/>
      <c r="CO182" s="71"/>
      <c r="CP182" s="15"/>
      <c r="CQ182" s="15"/>
      <c r="CR182" s="15"/>
      <c r="CS182" s="71"/>
      <c r="CT182" s="15"/>
      <c r="CU182" s="15"/>
      <c r="CV182" s="71"/>
      <c r="CW182" s="15"/>
      <c r="CX182" s="15"/>
    </row>
    <row r="183" spans="2:102" s="3" customFormat="1" x14ac:dyDescent="0.25">
      <c r="B183" s="12"/>
      <c r="C183" s="15"/>
      <c r="D183" s="15"/>
      <c r="E183" s="12"/>
      <c r="F183" s="15"/>
      <c r="G183" s="15"/>
      <c r="H183" s="71"/>
      <c r="I183" s="15"/>
      <c r="J183" s="15"/>
      <c r="K183" s="15"/>
      <c r="L183" s="71"/>
      <c r="M183" s="15"/>
      <c r="N183" s="15"/>
      <c r="O183" s="71"/>
      <c r="P183" s="15"/>
      <c r="Q183" s="15"/>
      <c r="R183" s="15"/>
      <c r="S183" s="71"/>
      <c r="T183" s="15"/>
      <c r="U183" s="15"/>
      <c r="V183" s="71"/>
      <c r="W183" s="15"/>
      <c r="X183" s="15"/>
      <c r="Y183" s="71"/>
      <c r="Z183" s="15"/>
      <c r="AA183" s="15"/>
      <c r="AB183" s="15"/>
      <c r="AC183" s="71"/>
      <c r="AD183" s="15"/>
      <c r="AE183" s="15"/>
      <c r="AF183" s="71"/>
      <c r="AG183" s="15"/>
      <c r="AH183" s="15"/>
      <c r="AI183" s="15"/>
      <c r="AJ183" s="71"/>
      <c r="AK183" s="15"/>
      <c r="AL183" s="15"/>
      <c r="AM183" s="71"/>
      <c r="AN183" s="15"/>
      <c r="AO183" s="15"/>
      <c r="AP183" s="15"/>
      <c r="AQ183" s="71"/>
      <c r="AR183" s="15"/>
      <c r="AS183" s="15"/>
      <c r="AT183" s="71"/>
      <c r="AU183" s="15"/>
      <c r="AV183" s="15"/>
      <c r="AW183" s="71"/>
      <c r="AX183" s="15"/>
      <c r="AY183" s="15"/>
      <c r="AZ183" s="71"/>
      <c r="BA183" s="15"/>
      <c r="BB183" s="15"/>
      <c r="BC183" s="71"/>
      <c r="BD183" s="15"/>
      <c r="BE183" s="15"/>
      <c r="BF183" s="15"/>
      <c r="BG183" s="71"/>
      <c r="BH183" s="15"/>
      <c r="BI183" s="15"/>
      <c r="BJ183" s="71"/>
      <c r="BK183" s="15"/>
      <c r="BL183" s="15"/>
      <c r="BM183" s="15"/>
      <c r="BN183" s="71"/>
      <c r="BO183" s="15"/>
      <c r="BP183" s="15"/>
      <c r="BQ183" s="71"/>
      <c r="BR183" s="15"/>
      <c r="BS183" s="15"/>
      <c r="BT183" s="15"/>
      <c r="BU183" s="71"/>
      <c r="BV183" s="15"/>
      <c r="BW183" s="15"/>
      <c r="BX183" s="71"/>
      <c r="BY183" s="15"/>
      <c r="BZ183" s="15"/>
      <c r="CA183" s="71"/>
      <c r="CB183" s="15"/>
      <c r="CC183" s="15"/>
      <c r="CD183" s="15"/>
      <c r="CE183" s="71"/>
      <c r="CF183" s="15"/>
      <c r="CG183" s="15"/>
      <c r="CH183" s="71"/>
      <c r="CI183" s="15"/>
      <c r="CJ183" s="15"/>
      <c r="CK183" s="15"/>
      <c r="CL183" s="71"/>
      <c r="CM183" s="15"/>
      <c r="CN183" s="15"/>
      <c r="CO183" s="71"/>
      <c r="CP183" s="15"/>
      <c r="CQ183" s="15"/>
      <c r="CR183" s="15"/>
      <c r="CS183" s="71"/>
      <c r="CT183" s="15"/>
      <c r="CU183" s="15"/>
      <c r="CV183" s="71"/>
      <c r="CW183" s="15"/>
      <c r="CX183" s="15"/>
    </row>
    <row r="184" spans="2:102" s="3" customFormat="1" x14ac:dyDescent="0.25">
      <c r="B184" s="12"/>
      <c r="C184" s="15"/>
      <c r="D184" s="15"/>
      <c r="E184" s="12"/>
      <c r="F184" s="15"/>
      <c r="G184" s="15"/>
      <c r="H184" s="71"/>
      <c r="I184" s="15"/>
      <c r="J184" s="15"/>
      <c r="K184" s="15"/>
      <c r="L184" s="71"/>
      <c r="M184" s="15"/>
      <c r="N184" s="15"/>
      <c r="O184" s="71"/>
      <c r="P184" s="15"/>
      <c r="Q184" s="15"/>
      <c r="R184" s="15"/>
      <c r="S184" s="71"/>
      <c r="T184" s="15"/>
      <c r="U184" s="15"/>
      <c r="V184" s="71"/>
      <c r="W184" s="15"/>
      <c r="X184" s="15"/>
      <c r="Y184" s="71"/>
      <c r="Z184" s="15"/>
      <c r="AA184" s="15"/>
      <c r="AB184" s="15"/>
      <c r="AC184" s="71"/>
      <c r="AD184" s="15"/>
      <c r="AE184" s="15"/>
      <c r="AF184" s="71"/>
      <c r="AG184" s="15"/>
      <c r="AH184" s="15"/>
      <c r="AI184" s="15"/>
      <c r="AJ184" s="71"/>
      <c r="AK184" s="15"/>
      <c r="AL184" s="15"/>
      <c r="AM184" s="71"/>
      <c r="AN184" s="15"/>
      <c r="AO184" s="15"/>
      <c r="AP184" s="15"/>
      <c r="AQ184" s="71"/>
      <c r="AR184" s="15"/>
      <c r="AS184" s="15"/>
      <c r="AT184" s="71"/>
      <c r="AU184" s="15"/>
      <c r="AV184" s="15"/>
      <c r="AW184" s="71"/>
      <c r="AX184" s="15"/>
      <c r="AY184" s="15"/>
      <c r="AZ184" s="71"/>
      <c r="BA184" s="15"/>
      <c r="BB184" s="15"/>
      <c r="BC184" s="71"/>
      <c r="BD184" s="15"/>
      <c r="BE184" s="15"/>
      <c r="BF184" s="15"/>
      <c r="BG184" s="71"/>
      <c r="BH184" s="15"/>
      <c r="BI184" s="15"/>
      <c r="BJ184" s="71"/>
      <c r="BK184" s="15"/>
      <c r="BL184" s="15"/>
      <c r="BM184" s="15"/>
      <c r="BN184" s="71"/>
      <c r="BO184" s="15"/>
      <c r="BP184" s="15"/>
      <c r="BQ184" s="71"/>
      <c r="BR184" s="15"/>
      <c r="BS184" s="15"/>
      <c r="BT184" s="15"/>
      <c r="BU184" s="71"/>
      <c r="BV184" s="15"/>
      <c r="BW184" s="15"/>
      <c r="BX184" s="71"/>
      <c r="BY184" s="15"/>
      <c r="BZ184" s="15"/>
      <c r="CA184" s="71"/>
      <c r="CB184" s="15"/>
      <c r="CC184" s="15"/>
      <c r="CD184" s="15"/>
      <c r="CE184" s="71"/>
      <c r="CF184" s="15"/>
      <c r="CG184" s="15"/>
      <c r="CH184" s="71"/>
      <c r="CI184" s="15"/>
      <c r="CJ184" s="15"/>
      <c r="CK184" s="15"/>
      <c r="CL184" s="71"/>
      <c r="CM184" s="15"/>
      <c r="CN184" s="15"/>
      <c r="CO184" s="71"/>
      <c r="CP184" s="15"/>
      <c r="CQ184" s="15"/>
      <c r="CR184" s="15"/>
      <c r="CS184" s="71"/>
      <c r="CT184" s="15"/>
      <c r="CU184" s="15"/>
      <c r="CV184" s="71"/>
      <c r="CW184" s="15"/>
      <c r="CX184" s="15"/>
    </row>
    <row r="185" spans="2:102" s="3" customFormat="1" x14ac:dyDescent="0.25">
      <c r="B185" s="12"/>
      <c r="C185" s="15"/>
      <c r="D185" s="15"/>
      <c r="E185" s="12"/>
      <c r="F185" s="15"/>
      <c r="G185" s="15"/>
      <c r="H185" s="71"/>
      <c r="I185" s="15"/>
      <c r="J185" s="15"/>
      <c r="K185" s="15"/>
      <c r="L185" s="71"/>
      <c r="M185" s="15"/>
      <c r="N185" s="15"/>
      <c r="O185" s="71"/>
      <c r="P185" s="15"/>
      <c r="Q185" s="15"/>
      <c r="R185" s="15"/>
      <c r="S185" s="71"/>
      <c r="T185" s="15"/>
      <c r="U185" s="15"/>
      <c r="V185" s="71"/>
      <c r="W185" s="15"/>
      <c r="X185" s="15"/>
      <c r="Y185" s="71"/>
      <c r="Z185" s="15"/>
      <c r="AA185" s="15"/>
      <c r="AB185" s="15"/>
      <c r="AC185" s="71"/>
      <c r="AD185" s="15"/>
      <c r="AE185" s="15"/>
      <c r="AF185" s="71"/>
      <c r="AG185" s="15"/>
      <c r="AH185" s="15"/>
      <c r="AI185" s="15"/>
      <c r="AJ185" s="71"/>
      <c r="AK185" s="15"/>
      <c r="AL185" s="15"/>
      <c r="AM185" s="71"/>
      <c r="AN185" s="15"/>
      <c r="AO185" s="15"/>
      <c r="AP185" s="15"/>
      <c r="AQ185" s="71"/>
      <c r="AR185" s="15"/>
      <c r="AS185" s="15"/>
      <c r="AT185" s="71"/>
      <c r="AU185" s="15"/>
      <c r="AV185" s="15"/>
      <c r="AW185" s="71"/>
      <c r="AX185" s="15"/>
      <c r="AY185" s="15"/>
      <c r="AZ185" s="71"/>
      <c r="BA185" s="15"/>
      <c r="BB185" s="15"/>
      <c r="BC185" s="71"/>
      <c r="BD185" s="15"/>
      <c r="BE185" s="15"/>
      <c r="BF185" s="15"/>
      <c r="BG185" s="71"/>
      <c r="BH185" s="15"/>
      <c r="BI185" s="15"/>
      <c r="BJ185" s="71"/>
      <c r="BK185" s="15"/>
      <c r="BL185" s="15"/>
      <c r="BM185" s="15"/>
      <c r="BN185" s="71"/>
      <c r="BO185" s="15"/>
      <c r="BP185" s="15"/>
      <c r="BQ185" s="71"/>
      <c r="BR185" s="15"/>
      <c r="BS185" s="15"/>
      <c r="BT185" s="15"/>
      <c r="BU185" s="71"/>
      <c r="BV185" s="15"/>
      <c r="BW185" s="15"/>
      <c r="BX185" s="71"/>
      <c r="BY185" s="15"/>
      <c r="BZ185" s="15"/>
      <c r="CA185" s="71"/>
      <c r="CB185" s="15"/>
      <c r="CC185" s="15"/>
      <c r="CD185" s="15"/>
      <c r="CE185" s="71"/>
      <c r="CF185" s="15"/>
      <c r="CG185" s="15"/>
      <c r="CH185" s="71"/>
      <c r="CI185" s="15"/>
      <c r="CJ185" s="15"/>
      <c r="CK185" s="15"/>
      <c r="CL185" s="71"/>
      <c r="CM185" s="15"/>
      <c r="CN185" s="15"/>
      <c r="CO185" s="71"/>
      <c r="CP185" s="15"/>
      <c r="CQ185" s="15"/>
      <c r="CR185" s="15"/>
      <c r="CS185" s="71"/>
      <c r="CT185" s="15"/>
      <c r="CU185" s="15"/>
      <c r="CV185" s="71"/>
      <c r="CW185" s="15"/>
      <c r="CX185" s="15"/>
    </row>
    <row r="186" spans="2:102" s="3" customFormat="1" x14ac:dyDescent="0.25">
      <c r="B186" s="12"/>
      <c r="C186" s="15"/>
      <c r="D186" s="15"/>
      <c r="E186" s="12"/>
      <c r="F186" s="15"/>
      <c r="G186" s="15"/>
      <c r="H186" s="71"/>
      <c r="I186" s="15"/>
      <c r="J186" s="15"/>
      <c r="K186" s="15"/>
      <c r="L186" s="71"/>
      <c r="M186" s="15"/>
      <c r="N186" s="15"/>
      <c r="O186" s="71"/>
      <c r="P186" s="15"/>
      <c r="Q186" s="15"/>
      <c r="R186" s="15"/>
      <c r="S186" s="71"/>
      <c r="T186" s="15"/>
      <c r="U186" s="15"/>
      <c r="V186" s="71"/>
      <c r="W186" s="15"/>
      <c r="X186" s="15"/>
      <c r="Y186" s="71"/>
      <c r="Z186" s="15"/>
      <c r="AA186" s="15"/>
      <c r="AB186" s="15"/>
      <c r="AC186" s="71"/>
      <c r="AD186" s="15"/>
      <c r="AE186" s="15"/>
      <c r="AF186" s="71"/>
      <c r="AG186" s="15"/>
      <c r="AH186" s="15"/>
      <c r="AI186" s="15"/>
      <c r="AJ186" s="71"/>
      <c r="AK186" s="15"/>
      <c r="AL186" s="15"/>
      <c r="AM186" s="71"/>
      <c r="AN186" s="15"/>
      <c r="AO186" s="15"/>
      <c r="AP186" s="15"/>
      <c r="AQ186" s="71"/>
      <c r="AR186" s="15"/>
      <c r="AS186" s="15"/>
      <c r="AT186" s="71"/>
      <c r="AU186" s="15"/>
      <c r="AV186" s="15"/>
      <c r="AW186" s="71"/>
      <c r="AX186" s="15"/>
      <c r="AY186" s="15"/>
      <c r="AZ186" s="71"/>
      <c r="BA186" s="15"/>
      <c r="BB186" s="15"/>
      <c r="BC186" s="71"/>
      <c r="BD186" s="15"/>
      <c r="BE186" s="15"/>
      <c r="BF186" s="15"/>
      <c r="BG186" s="71"/>
      <c r="BH186" s="15"/>
      <c r="BI186" s="15"/>
      <c r="BJ186" s="71"/>
      <c r="BK186" s="15"/>
      <c r="BL186" s="15"/>
      <c r="BM186" s="15"/>
      <c r="BN186" s="71"/>
      <c r="BO186" s="15"/>
      <c r="BP186" s="15"/>
      <c r="BQ186" s="71"/>
      <c r="BR186" s="15"/>
      <c r="BS186" s="15"/>
      <c r="BT186" s="15"/>
      <c r="BU186" s="71"/>
      <c r="BV186" s="15"/>
      <c r="BW186" s="15"/>
      <c r="BX186" s="71"/>
      <c r="BY186" s="15"/>
      <c r="BZ186" s="15"/>
      <c r="CA186" s="71"/>
      <c r="CB186" s="15"/>
      <c r="CC186" s="15"/>
      <c r="CD186" s="15"/>
      <c r="CE186" s="71"/>
      <c r="CF186" s="15"/>
      <c r="CG186" s="15"/>
      <c r="CH186" s="71"/>
      <c r="CI186" s="15"/>
      <c r="CJ186" s="15"/>
      <c r="CK186" s="15"/>
      <c r="CL186" s="71"/>
      <c r="CM186" s="15"/>
      <c r="CN186" s="15"/>
      <c r="CO186" s="71"/>
      <c r="CP186" s="15"/>
      <c r="CQ186" s="15"/>
      <c r="CR186" s="15"/>
      <c r="CS186" s="71"/>
      <c r="CT186" s="15"/>
      <c r="CU186" s="15"/>
      <c r="CV186" s="71"/>
      <c r="CW186" s="15"/>
      <c r="CX186" s="15"/>
    </row>
    <row r="187" spans="2:102" s="3" customFormat="1" x14ac:dyDescent="0.25">
      <c r="B187" s="12"/>
      <c r="C187" s="15"/>
      <c r="D187" s="15"/>
      <c r="E187" s="12"/>
      <c r="F187" s="15"/>
      <c r="G187" s="15"/>
      <c r="H187" s="71"/>
      <c r="I187" s="15"/>
      <c r="J187" s="15"/>
      <c r="K187" s="15"/>
      <c r="L187" s="71"/>
      <c r="M187" s="15"/>
      <c r="N187" s="15"/>
      <c r="O187" s="71"/>
      <c r="P187" s="15"/>
      <c r="Q187" s="15"/>
      <c r="R187" s="15"/>
      <c r="S187" s="71"/>
      <c r="T187" s="15"/>
      <c r="U187" s="15"/>
      <c r="V187" s="71"/>
      <c r="W187" s="15"/>
      <c r="X187" s="15"/>
      <c r="Y187" s="71"/>
      <c r="Z187" s="15"/>
      <c r="AA187" s="15"/>
      <c r="AB187" s="15"/>
      <c r="AC187" s="71"/>
      <c r="AD187" s="15"/>
      <c r="AE187" s="15"/>
      <c r="AF187" s="71"/>
      <c r="AG187" s="15"/>
      <c r="AH187" s="15"/>
      <c r="AI187" s="15"/>
      <c r="AJ187" s="71"/>
      <c r="AK187" s="15"/>
      <c r="AL187" s="15"/>
      <c r="AM187" s="71"/>
      <c r="AN187" s="15"/>
      <c r="AO187" s="15"/>
      <c r="AP187" s="15"/>
      <c r="AQ187" s="71"/>
      <c r="AR187" s="15"/>
      <c r="AS187" s="15"/>
      <c r="AT187" s="71"/>
      <c r="AU187" s="15"/>
      <c r="AV187" s="15"/>
      <c r="AW187" s="71"/>
      <c r="AX187" s="15"/>
      <c r="AY187" s="15"/>
      <c r="AZ187" s="71"/>
      <c r="BA187" s="15"/>
      <c r="BB187" s="15"/>
      <c r="BC187" s="71"/>
      <c r="BD187" s="15"/>
      <c r="BE187" s="15"/>
      <c r="BF187" s="15"/>
      <c r="BG187" s="71"/>
      <c r="BH187" s="15"/>
      <c r="BI187" s="15"/>
      <c r="BJ187" s="71"/>
      <c r="BK187" s="15"/>
      <c r="BL187" s="15"/>
      <c r="BM187" s="15"/>
      <c r="BN187" s="71"/>
      <c r="BO187" s="15"/>
      <c r="BP187" s="15"/>
      <c r="BQ187" s="71"/>
      <c r="BR187" s="15"/>
      <c r="BS187" s="15"/>
      <c r="BT187" s="15"/>
      <c r="BU187" s="71"/>
      <c r="BV187" s="15"/>
      <c r="BW187" s="15"/>
      <c r="BX187" s="71"/>
      <c r="BY187" s="15"/>
      <c r="BZ187" s="15"/>
      <c r="CA187" s="71"/>
      <c r="CB187" s="15"/>
      <c r="CC187" s="15"/>
      <c r="CD187" s="15"/>
      <c r="CE187" s="71"/>
      <c r="CF187" s="15"/>
      <c r="CG187" s="15"/>
      <c r="CH187" s="71"/>
      <c r="CI187" s="15"/>
      <c r="CJ187" s="15"/>
      <c r="CK187" s="15"/>
      <c r="CL187" s="71"/>
      <c r="CM187" s="15"/>
      <c r="CN187" s="15"/>
      <c r="CO187" s="71"/>
      <c r="CP187" s="15"/>
      <c r="CQ187" s="15"/>
      <c r="CR187" s="15"/>
      <c r="CS187" s="71"/>
      <c r="CT187" s="15"/>
      <c r="CU187" s="15"/>
      <c r="CV187" s="71"/>
      <c r="CW187" s="15"/>
      <c r="CX187" s="15"/>
    </row>
    <row r="188" spans="2:102" s="3" customFormat="1" x14ac:dyDescent="0.25">
      <c r="B188" s="12"/>
      <c r="C188" s="15"/>
      <c r="D188" s="15"/>
      <c r="E188" s="12"/>
      <c r="F188" s="15"/>
      <c r="G188" s="15"/>
      <c r="H188" s="71"/>
      <c r="I188" s="15"/>
      <c r="J188" s="15"/>
      <c r="K188" s="15"/>
      <c r="L188" s="71"/>
      <c r="M188" s="15"/>
      <c r="N188" s="15"/>
      <c r="O188" s="71"/>
      <c r="P188" s="15"/>
      <c r="Q188" s="15"/>
      <c r="R188" s="15"/>
      <c r="S188" s="71"/>
      <c r="T188" s="15"/>
      <c r="U188" s="15"/>
      <c r="V188" s="71"/>
      <c r="W188" s="15"/>
      <c r="X188" s="15"/>
      <c r="Y188" s="71"/>
      <c r="Z188" s="15"/>
      <c r="AA188" s="15"/>
      <c r="AB188" s="15"/>
      <c r="AC188" s="71"/>
      <c r="AD188" s="15"/>
      <c r="AE188" s="15"/>
      <c r="AF188" s="71"/>
      <c r="AG188" s="15"/>
      <c r="AH188" s="15"/>
      <c r="AI188" s="15"/>
      <c r="AJ188" s="71"/>
      <c r="AK188" s="15"/>
      <c r="AL188" s="15"/>
      <c r="AM188" s="71"/>
      <c r="AN188" s="15"/>
      <c r="AO188" s="15"/>
      <c r="AP188" s="15"/>
      <c r="AQ188" s="71"/>
      <c r="AR188" s="15"/>
      <c r="AS188" s="15"/>
      <c r="AT188" s="71"/>
      <c r="AU188" s="15"/>
      <c r="AV188" s="15"/>
      <c r="AW188" s="71"/>
      <c r="AX188" s="15"/>
      <c r="AY188" s="15"/>
      <c r="AZ188" s="71"/>
      <c r="BA188" s="15"/>
      <c r="BB188" s="15"/>
      <c r="BC188" s="71"/>
      <c r="BD188" s="15"/>
      <c r="BE188" s="15"/>
      <c r="BF188" s="15"/>
      <c r="BG188" s="71"/>
      <c r="BH188" s="15"/>
      <c r="BI188" s="15"/>
      <c r="BJ188" s="71"/>
      <c r="BK188" s="15"/>
      <c r="BL188" s="15"/>
      <c r="BM188" s="15"/>
      <c r="BN188" s="71"/>
      <c r="BO188" s="15"/>
      <c r="BP188" s="15"/>
      <c r="BQ188" s="71"/>
      <c r="BR188" s="15"/>
      <c r="BS188" s="15"/>
      <c r="BT188" s="15"/>
      <c r="BU188" s="71"/>
      <c r="BV188" s="15"/>
      <c r="BW188" s="15"/>
      <c r="BX188" s="71"/>
      <c r="BY188" s="15"/>
      <c r="BZ188" s="15"/>
      <c r="CA188" s="71"/>
      <c r="CB188" s="15"/>
      <c r="CC188" s="15"/>
      <c r="CD188" s="15"/>
      <c r="CE188" s="71"/>
      <c r="CF188" s="15"/>
      <c r="CG188" s="15"/>
      <c r="CH188" s="71"/>
      <c r="CI188" s="15"/>
      <c r="CJ188" s="15"/>
      <c r="CK188" s="15"/>
      <c r="CL188" s="71"/>
      <c r="CM188" s="15"/>
      <c r="CN188" s="15"/>
      <c r="CO188" s="71"/>
      <c r="CP188" s="15"/>
      <c r="CQ188" s="15"/>
      <c r="CR188" s="15"/>
      <c r="CS188" s="71"/>
      <c r="CT188" s="15"/>
      <c r="CU188" s="15"/>
      <c r="CV188" s="71"/>
      <c r="CW188" s="15"/>
      <c r="CX188" s="15"/>
    </row>
    <row r="189" spans="2:102" s="3" customFormat="1" x14ac:dyDescent="0.25">
      <c r="B189" s="12"/>
      <c r="C189" s="15"/>
      <c r="D189" s="15"/>
      <c r="E189" s="12"/>
      <c r="F189" s="15"/>
      <c r="G189" s="15"/>
      <c r="H189" s="71"/>
      <c r="I189" s="15"/>
      <c r="J189" s="15"/>
      <c r="K189" s="15"/>
      <c r="L189" s="71"/>
      <c r="M189" s="15"/>
      <c r="N189" s="15"/>
      <c r="O189" s="71"/>
      <c r="P189" s="15"/>
      <c r="Q189" s="15"/>
      <c r="R189" s="15"/>
      <c r="S189" s="71"/>
      <c r="T189" s="15"/>
      <c r="U189" s="15"/>
      <c r="V189" s="71"/>
      <c r="W189" s="15"/>
      <c r="X189" s="15"/>
      <c r="Y189" s="71"/>
      <c r="Z189" s="15"/>
      <c r="AA189" s="15"/>
      <c r="AB189" s="15"/>
      <c r="AC189" s="71"/>
      <c r="AD189" s="15"/>
      <c r="AE189" s="15"/>
      <c r="AF189" s="71"/>
      <c r="AG189" s="15"/>
      <c r="AH189" s="15"/>
      <c r="AI189" s="15"/>
      <c r="AJ189" s="71"/>
      <c r="AK189" s="15"/>
      <c r="AL189" s="15"/>
      <c r="AM189" s="71"/>
      <c r="AN189" s="15"/>
      <c r="AO189" s="15"/>
      <c r="AP189" s="15"/>
      <c r="AQ189" s="71"/>
      <c r="AR189" s="15"/>
      <c r="AS189" s="15"/>
      <c r="AT189" s="71"/>
      <c r="AU189" s="15"/>
      <c r="AV189" s="15"/>
      <c r="AW189" s="71"/>
      <c r="AX189" s="15"/>
      <c r="AY189" s="15"/>
      <c r="AZ189" s="71"/>
      <c r="BA189" s="15"/>
      <c r="BB189" s="15"/>
      <c r="BC189" s="71"/>
      <c r="BD189" s="15"/>
      <c r="BE189" s="15"/>
      <c r="BF189" s="15"/>
      <c r="BG189" s="71"/>
      <c r="BH189" s="15"/>
      <c r="BI189" s="15"/>
      <c r="BJ189" s="71"/>
      <c r="BK189" s="15"/>
      <c r="BL189" s="15"/>
      <c r="BM189" s="15"/>
      <c r="BN189" s="71"/>
      <c r="BO189" s="15"/>
      <c r="BP189" s="15"/>
      <c r="BQ189" s="71"/>
      <c r="BR189" s="15"/>
      <c r="BS189" s="15"/>
      <c r="BT189" s="15"/>
      <c r="BU189" s="71"/>
      <c r="BV189" s="15"/>
      <c r="BW189" s="15"/>
      <c r="BX189" s="71"/>
      <c r="BY189" s="15"/>
      <c r="BZ189" s="15"/>
      <c r="CA189" s="71"/>
      <c r="CB189" s="15"/>
      <c r="CC189" s="15"/>
      <c r="CD189" s="15"/>
      <c r="CE189" s="71"/>
      <c r="CF189" s="15"/>
      <c r="CG189" s="15"/>
      <c r="CH189" s="71"/>
      <c r="CI189" s="15"/>
      <c r="CJ189" s="15"/>
      <c r="CK189" s="15"/>
      <c r="CL189" s="71"/>
      <c r="CM189" s="15"/>
      <c r="CN189" s="15"/>
      <c r="CO189" s="71"/>
      <c r="CP189" s="15"/>
      <c r="CQ189" s="15"/>
      <c r="CR189" s="15"/>
      <c r="CS189" s="71"/>
      <c r="CT189" s="15"/>
      <c r="CU189" s="15"/>
      <c r="CV189" s="71"/>
      <c r="CW189" s="15"/>
      <c r="CX189" s="15"/>
    </row>
    <row r="190" spans="2:102" s="3" customFormat="1" x14ac:dyDescent="0.25">
      <c r="B190" s="12"/>
      <c r="C190" s="15"/>
      <c r="D190" s="15"/>
      <c r="E190" s="12"/>
      <c r="F190" s="15"/>
      <c r="G190" s="15"/>
      <c r="H190" s="71"/>
      <c r="I190" s="15"/>
      <c r="J190" s="15"/>
      <c r="K190" s="15"/>
      <c r="L190" s="71"/>
      <c r="M190" s="15"/>
      <c r="N190" s="15"/>
      <c r="O190" s="71"/>
      <c r="P190" s="15"/>
      <c r="Q190" s="15"/>
      <c r="R190" s="15"/>
      <c r="S190" s="71"/>
      <c r="T190" s="15"/>
      <c r="U190" s="15"/>
      <c r="V190" s="71"/>
      <c r="W190" s="15"/>
      <c r="X190" s="15"/>
      <c r="Y190" s="71"/>
      <c r="Z190" s="15"/>
      <c r="AA190" s="15"/>
      <c r="AB190" s="15"/>
      <c r="AC190" s="71"/>
      <c r="AD190" s="15"/>
      <c r="AE190" s="15"/>
      <c r="AF190" s="71"/>
      <c r="AG190" s="15"/>
      <c r="AH190" s="15"/>
      <c r="AI190" s="15"/>
      <c r="AJ190" s="71"/>
      <c r="AK190" s="15"/>
      <c r="AL190" s="15"/>
      <c r="AM190" s="71"/>
      <c r="AN190" s="15"/>
      <c r="AO190" s="15"/>
      <c r="AP190" s="15"/>
      <c r="AQ190" s="71"/>
      <c r="AR190" s="15"/>
      <c r="AS190" s="15"/>
      <c r="AT190" s="71"/>
      <c r="AU190" s="15"/>
      <c r="AV190" s="15"/>
      <c r="AW190" s="71"/>
      <c r="AX190" s="15"/>
      <c r="AY190" s="15"/>
      <c r="AZ190" s="71"/>
      <c r="BA190" s="15"/>
      <c r="BB190" s="15"/>
      <c r="BC190" s="71"/>
      <c r="BD190" s="15"/>
      <c r="BE190" s="15"/>
      <c r="BF190" s="15"/>
      <c r="BG190" s="71"/>
      <c r="BH190" s="15"/>
      <c r="BI190" s="15"/>
      <c r="BJ190" s="71"/>
      <c r="BK190" s="15"/>
      <c r="BL190" s="15"/>
      <c r="BM190" s="15"/>
      <c r="BN190" s="71"/>
      <c r="BO190" s="15"/>
      <c r="BP190" s="15"/>
      <c r="BQ190" s="71"/>
      <c r="BR190" s="15"/>
      <c r="BS190" s="15"/>
      <c r="BT190" s="15"/>
      <c r="BU190" s="71"/>
      <c r="BV190" s="15"/>
      <c r="BW190" s="15"/>
      <c r="BX190" s="71"/>
      <c r="BY190" s="15"/>
      <c r="BZ190" s="15"/>
      <c r="CA190" s="71"/>
      <c r="CB190" s="15"/>
      <c r="CC190" s="15"/>
      <c r="CD190" s="15"/>
      <c r="CE190" s="71"/>
      <c r="CF190" s="15"/>
      <c r="CG190" s="15"/>
      <c r="CH190" s="71"/>
      <c r="CI190" s="15"/>
      <c r="CJ190" s="15"/>
      <c r="CK190" s="15"/>
      <c r="CL190" s="71"/>
      <c r="CM190" s="15"/>
      <c r="CN190" s="15"/>
      <c r="CO190" s="71"/>
      <c r="CP190" s="15"/>
      <c r="CQ190" s="15"/>
      <c r="CR190" s="15"/>
      <c r="CS190" s="71"/>
      <c r="CT190" s="15"/>
      <c r="CU190" s="15"/>
      <c r="CV190" s="71"/>
      <c r="CW190" s="15"/>
      <c r="CX190" s="15"/>
    </row>
    <row r="191" spans="2:102" s="3" customFormat="1" x14ac:dyDescent="0.25">
      <c r="B191" s="12"/>
      <c r="C191" s="15"/>
      <c r="D191" s="15"/>
      <c r="E191" s="12"/>
      <c r="F191" s="15"/>
      <c r="G191" s="15"/>
      <c r="H191" s="71"/>
      <c r="I191" s="15"/>
      <c r="J191" s="15"/>
      <c r="K191" s="15"/>
      <c r="L191" s="71"/>
      <c r="M191" s="15"/>
      <c r="N191" s="15"/>
      <c r="O191" s="71"/>
      <c r="P191" s="15"/>
      <c r="Q191" s="15"/>
      <c r="R191" s="15"/>
      <c r="S191" s="71"/>
      <c r="T191" s="15"/>
      <c r="U191" s="15"/>
      <c r="V191" s="71"/>
      <c r="W191" s="15"/>
      <c r="X191" s="15"/>
      <c r="Y191" s="71"/>
      <c r="Z191" s="15"/>
      <c r="AA191" s="15"/>
      <c r="AB191" s="15"/>
      <c r="AC191" s="71"/>
      <c r="AD191" s="15"/>
      <c r="AE191" s="15"/>
      <c r="AF191" s="71"/>
      <c r="AG191" s="15"/>
      <c r="AH191" s="15"/>
      <c r="AI191" s="15"/>
      <c r="AJ191" s="71"/>
      <c r="AK191" s="15"/>
      <c r="AL191" s="15"/>
      <c r="AM191" s="71"/>
      <c r="AN191" s="15"/>
      <c r="AO191" s="15"/>
      <c r="AP191" s="15"/>
      <c r="AQ191" s="71"/>
      <c r="AR191" s="15"/>
      <c r="AS191" s="15"/>
      <c r="AT191" s="71"/>
      <c r="AU191" s="15"/>
      <c r="AV191" s="15"/>
      <c r="AW191" s="71"/>
      <c r="AX191" s="15"/>
      <c r="AY191" s="15"/>
      <c r="AZ191" s="71"/>
      <c r="BA191" s="15"/>
      <c r="BB191" s="15"/>
      <c r="BC191" s="71"/>
      <c r="BD191" s="15"/>
      <c r="BE191" s="15"/>
      <c r="BF191" s="15"/>
      <c r="BG191" s="71"/>
      <c r="BH191" s="15"/>
      <c r="BI191" s="15"/>
      <c r="BJ191" s="71"/>
      <c r="BK191" s="15"/>
      <c r="BL191" s="15"/>
      <c r="BM191" s="15"/>
      <c r="BN191" s="71"/>
      <c r="BO191" s="15"/>
      <c r="BP191" s="15"/>
      <c r="BQ191" s="71"/>
      <c r="BR191" s="15"/>
      <c r="BS191" s="15"/>
      <c r="BT191" s="15"/>
      <c r="BU191" s="71"/>
      <c r="BV191" s="15"/>
      <c r="BW191" s="15"/>
      <c r="BX191" s="71"/>
      <c r="BY191" s="15"/>
      <c r="BZ191" s="15"/>
      <c r="CA191" s="71"/>
      <c r="CB191" s="15"/>
      <c r="CC191" s="15"/>
      <c r="CD191" s="15"/>
      <c r="CE191" s="71"/>
      <c r="CF191" s="15"/>
      <c r="CG191" s="15"/>
      <c r="CH191" s="71"/>
      <c r="CI191" s="15"/>
      <c r="CJ191" s="15"/>
      <c r="CK191" s="15"/>
      <c r="CL191" s="71"/>
      <c r="CM191" s="15"/>
      <c r="CN191" s="15"/>
      <c r="CO191" s="71"/>
      <c r="CP191" s="15"/>
      <c r="CQ191" s="15"/>
      <c r="CR191" s="15"/>
      <c r="CS191" s="71"/>
      <c r="CT191" s="15"/>
      <c r="CU191" s="15"/>
      <c r="CV191" s="71"/>
      <c r="CW191" s="15"/>
      <c r="CX191" s="15"/>
    </row>
    <row r="192" spans="2:102" s="3" customFormat="1" x14ac:dyDescent="0.25">
      <c r="B192" s="12"/>
      <c r="C192" s="15"/>
      <c r="D192" s="15"/>
      <c r="E192" s="12"/>
      <c r="F192" s="15"/>
      <c r="G192" s="15"/>
      <c r="H192" s="71"/>
      <c r="I192" s="15"/>
      <c r="J192" s="15"/>
      <c r="K192" s="15"/>
      <c r="L192" s="71"/>
      <c r="M192" s="15"/>
      <c r="N192" s="15"/>
      <c r="O192" s="71"/>
      <c r="P192" s="15"/>
      <c r="Q192" s="15"/>
      <c r="R192" s="15"/>
      <c r="S192" s="71"/>
      <c r="T192" s="15"/>
      <c r="U192" s="15"/>
      <c r="V192" s="71"/>
      <c r="W192" s="15"/>
      <c r="X192" s="15"/>
      <c r="Y192" s="71"/>
      <c r="Z192" s="15"/>
      <c r="AA192" s="15"/>
      <c r="AB192" s="15"/>
      <c r="AC192" s="71"/>
      <c r="AD192" s="15"/>
      <c r="AE192" s="15"/>
      <c r="AF192" s="71"/>
      <c r="AG192" s="15"/>
      <c r="AH192" s="15"/>
      <c r="AI192" s="15"/>
      <c r="AJ192" s="71"/>
      <c r="AK192" s="15"/>
      <c r="AL192" s="15"/>
      <c r="AM192" s="71"/>
      <c r="AN192" s="15"/>
      <c r="AO192" s="15"/>
      <c r="AP192" s="15"/>
      <c r="AQ192" s="71"/>
      <c r="AR192" s="15"/>
      <c r="AS192" s="15"/>
      <c r="AT192" s="71"/>
      <c r="AU192" s="15"/>
      <c r="AV192" s="15"/>
      <c r="AW192" s="71"/>
      <c r="AX192" s="15"/>
      <c r="AY192" s="15"/>
      <c r="AZ192" s="71"/>
      <c r="BA192" s="15"/>
      <c r="BB192" s="15"/>
      <c r="BC192" s="71"/>
      <c r="BD192" s="15"/>
      <c r="BE192" s="15"/>
      <c r="BF192" s="15"/>
      <c r="BG192" s="71"/>
      <c r="BH192" s="15"/>
      <c r="BI192" s="15"/>
      <c r="BJ192" s="71"/>
      <c r="BK192" s="15"/>
      <c r="BL192" s="15"/>
      <c r="BM192" s="15"/>
      <c r="BN192" s="71"/>
      <c r="BO192" s="15"/>
      <c r="BP192" s="15"/>
      <c r="BQ192" s="71"/>
      <c r="BR192" s="15"/>
      <c r="BS192" s="15"/>
      <c r="BT192" s="15"/>
      <c r="BU192" s="71"/>
      <c r="BV192" s="15"/>
      <c r="BW192" s="15"/>
      <c r="BX192" s="71"/>
      <c r="BY192" s="15"/>
      <c r="BZ192" s="15"/>
      <c r="CA192" s="71"/>
      <c r="CB192" s="15"/>
      <c r="CC192" s="15"/>
      <c r="CD192" s="15"/>
      <c r="CE192" s="71"/>
      <c r="CF192" s="15"/>
      <c r="CG192" s="15"/>
      <c r="CH192" s="71"/>
      <c r="CI192" s="15"/>
      <c r="CJ192" s="15"/>
      <c r="CK192" s="15"/>
      <c r="CL192" s="71"/>
      <c r="CM192" s="15"/>
      <c r="CN192" s="15"/>
      <c r="CO192" s="71"/>
      <c r="CP192" s="15"/>
      <c r="CQ192" s="15"/>
      <c r="CR192" s="15"/>
      <c r="CS192" s="71"/>
      <c r="CT192" s="15"/>
      <c r="CU192" s="15"/>
      <c r="CV192" s="71"/>
      <c r="CW192" s="15"/>
      <c r="CX192" s="15"/>
    </row>
    <row r="193" spans="2:102" s="3" customFormat="1" x14ac:dyDescent="0.25">
      <c r="B193" s="12"/>
      <c r="C193" s="15"/>
      <c r="D193" s="15"/>
      <c r="E193" s="12"/>
      <c r="F193" s="15"/>
      <c r="G193" s="15"/>
      <c r="H193" s="71"/>
      <c r="I193" s="15"/>
      <c r="J193" s="15"/>
      <c r="K193" s="15"/>
      <c r="L193" s="71"/>
      <c r="M193" s="15"/>
      <c r="N193" s="15"/>
      <c r="O193" s="71"/>
      <c r="P193" s="15"/>
      <c r="Q193" s="15"/>
      <c r="R193" s="15"/>
      <c r="S193" s="71"/>
      <c r="T193" s="15"/>
      <c r="U193" s="15"/>
      <c r="V193" s="71"/>
      <c r="W193" s="15"/>
      <c r="X193" s="15"/>
      <c r="Y193" s="71"/>
      <c r="Z193" s="15"/>
      <c r="AA193" s="15"/>
      <c r="AB193" s="15"/>
      <c r="AC193" s="71"/>
      <c r="AD193" s="15"/>
      <c r="AE193" s="15"/>
      <c r="AF193" s="71"/>
      <c r="AG193" s="15"/>
      <c r="AH193" s="15"/>
      <c r="AI193" s="15"/>
      <c r="AJ193" s="71"/>
      <c r="AK193" s="15"/>
      <c r="AL193" s="15"/>
      <c r="AM193" s="71"/>
      <c r="AN193" s="15"/>
      <c r="AO193" s="15"/>
      <c r="AP193" s="15"/>
      <c r="AQ193" s="71"/>
      <c r="AR193" s="15"/>
      <c r="AS193" s="15"/>
      <c r="AT193" s="71"/>
      <c r="AU193" s="15"/>
      <c r="AV193" s="15"/>
      <c r="AW193" s="71"/>
      <c r="AX193" s="15"/>
      <c r="AY193" s="15"/>
      <c r="AZ193" s="71"/>
      <c r="BA193" s="15"/>
      <c r="BB193" s="15"/>
      <c r="BC193" s="71"/>
      <c r="BD193" s="15"/>
      <c r="BE193" s="15"/>
      <c r="BF193" s="15"/>
      <c r="BG193" s="71"/>
      <c r="BH193" s="15"/>
      <c r="BI193" s="15"/>
      <c r="BJ193" s="71"/>
      <c r="BK193" s="15"/>
      <c r="BL193" s="15"/>
      <c r="BM193" s="15"/>
      <c r="BN193" s="71"/>
      <c r="BO193" s="15"/>
      <c r="BP193" s="15"/>
      <c r="BQ193" s="71"/>
      <c r="BR193" s="15"/>
      <c r="BS193" s="15"/>
      <c r="BT193" s="15"/>
      <c r="BU193" s="71"/>
      <c r="BV193" s="15"/>
      <c r="BW193" s="15"/>
      <c r="BX193" s="71"/>
      <c r="BY193" s="15"/>
      <c r="BZ193" s="15"/>
      <c r="CA193" s="71"/>
      <c r="CB193" s="15"/>
      <c r="CC193" s="15"/>
      <c r="CD193" s="15"/>
      <c r="CE193" s="71"/>
      <c r="CF193" s="15"/>
      <c r="CG193" s="15"/>
      <c r="CH193" s="71"/>
      <c r="CI193" s="15"/>
      <c r="CJ193" s="15"/>
      <c r="CK193" s="15"/>
      <c r="CL193" s="71"/>
      <c r="CM193" s="15"/>
      <c r="CN193" s="15"/>
      <c r="CO193" s="71"/>
      <c r="CP193" s="15"/>
      <c r="CQ193" s="15"/>
      <c r="CR193" s="15"/>
      <c r="CS193" s="71"/>
      <c r="CT193" s="15"/>
      <c r="CU193" s="15"/>
      <c r="CV193" s="71"/>
      <c r="CW193" s="15"/>
      <c r="CX193" s="15"/>
    </row>
    <row r="194" spans="2:102" s="3" customFormat="1" x14ac:dyDescent="0.25">
      <c r="B194" s="12"/>
      <c r="C194" s="15"/>
      <c r="D194" s="15"/>
      <c r="E194" s="12"/>
      <c r="F194" s="15"/>
      <c r="G194" s="15"/>
      <c r="H194" s="71"/>
      <c r="I194" s="15"/>
      <c r="J194" s="15"/>
      <c r="K194" s="15"/>
      <c r="L194" s="71"/>
      <c r="M194" s="15"/>
      <c r="N194" s="15"/>
      <c r="O194" s="71"/>
      <c r="P194" s="15"/>
      <c r="Q194" s="15"/>
      <c r="R194" s="15"/>
      <c r="S194" s="71"/>
      <c r="T194" s="15"/>
      <c r="U194" s="15"/>
      <c r="V194" s="71"/>
      <c r="W194" s="15"/>
      <c r="X194" s="15"/>
      <c r="Y194" s="71"/>
      <c r="Z194" s="15"/>
      <c r="AA194" s="15"/>
      <c r="AB194" s="15"/>
      <c r="AC194" s="71"/>
      <c r="AD194" s="15"/>
      <c r="AE194" s="15"/>
      <c r="AF194" s="71"/>
      <c r="AG194" s="15"/>
      <c r="AH194" s="15"/>
      <c r="AI194" s="15"/>
      <c r="AJ194" s="71"/>
      <c r="AK194" s="15"/>
      <c r="AL194" s="15"/>
      <c r="AM194" s="71"/>
      <c r="AN194" s="15"/>
      <c r="AO194" s="15"/>
      <c r="AP194" s="15"/>
      <c r="AQ194" s="71"/>
      <c r="AR194" s="15"/>
      <c r="AS194" s="15"/>
      <c r="AT194" s="71"/>
      <c r="AU194" s="15"/>
      <c r="AV194" s="15"/>
      <c r="AW194" s="71"/>
      <c r="AX194" s="15"/>
      <c r="AY194" s="15"/>
      <c r="AZ194" s="71"/>
      <c r="BA194" s="15"/>
      <c r="BB194" s="15"/>
      <c r="BC194" s="71"/>
      <c r="BD194" s="15"/>
      <c r="BE194" s="15"/>
      <c r="BF194" s="15"/>
      <c r="BG194" s="71"/>
      <c r="BH194" s="15"/>
      <c r="BI194" s="15"/>
      <c r="BJ194" s="71"/>
      <c r="BK194" s="15"/>
      <c r="BL194" s="15"/>
      <c r="BM194" s="15"/>
      <c r="BN194" s="71"/>
      <c r="BO194" s="15"/>
      <c r="BP194" s="15"/>
      <c r="BQ194" s="71"/>
      <c r="BR194" s="15"/>
      <c r="BS194" s="15"/>
      <c r="BT194" s="15"/>
      <c r="BU194" s="71"/>
      <c r="BV194" s="15"/>
      <c r="BW194" s="15"/>
      <c r="BX194" s="71"/>
      <c r="BY194" s="15"/>
      <c r="BZ194" s="15"/>
      <c r="CA194" s="71"/>
      <c r="CB194" s="15"/>
      <c r="CC194" s="15"/>
      <c r="CD194" s="15"/>
      <c r="CE194" s="71"/>
      <c r="CF194" s="15"/>
      <c r="CG194" s="15"/>
      <c r="CH194" s="71"/>
      <c r="CI194" s="15"/>
      <c r="CJ194" s="15"/>
      <c r="CK194" s="15"/>
      <c r="CL194" s="71"/>
      <c r="CM194" s="15"/>
      <c r="CN194" s="15"/>
      <c r="CO194" s="71"/>
      <c r="CP194" s="15"/>
      <c r="CQ194" s="15"/>
      <c r="CR194" s="15"/>
      <c r="CS194" s="71"/>
      <c r="CT194" s="15"/>
      <c r="CU194" s="15"/>
      <c r="CV194" s="71"/>
      <c r="CW194" s="15"/>
      <c r="CX194" s="15"/>
    </row>
    <row r="195" spans="2:102" s="3" customFormat="1" x14ac:dyDescent="0.25">
      <c r="B195" s="12"/>
      <c r="C195" s="15"/>
      <c r="D195" s="15"/>
      <c r="E195" s="12"/>
      <c r="F195" s="15"/>
      <c r="G195" s="15"/>
      <c r="H195" s="71"/>
      <c r="I195" s="15"/>
      <c r="J195" s="15"/>
      <c r="K195" s="15"/>
      <c r="L195" s="71"/>
      <c r="M195" s="15"/>
      <c r="N195" s="15"/>
      <c r="O195" s="71"/>
      <c r="P195" s="15"/>
      <c r="Q195" s="15"/>
      <c r="R195" s="15"/>
      <c r="S195" s="71"/>
      <c r="T195" s="15"/>
      <c r="U195" s="15"/>
      <c r="V195" s="71"/>
      <c r="W195" s="15"/>
      <c r="X195" s="15"/>
      <c r="Y195" s="71"/>
      <c r="Z195" s="15"/>
      <c r="AA195" s="15"/>
      <c r="AB195" s="15"/>
      <c r="AC195" s="71"/>
      <c r="AD195" s="15"/>
      <c r="AE195" s="15"/>
      <c r="AF195" s="71"/>
      <c r="AG195" s="15"/>
      <c r="AH195" s="15"/>
      <c r="AI195" s="15"/>
      <c r="AJ195" s="71"/>
      <c r="AK195" s="15"/>
      <c r="AL195" s="15"/>
      <c r="AM195" s="71"/>
      <c r="AN195" s="15"/>
      <c r="AO195" s="15"/>
      <c r="AP195" s="15"/>
      <c r="AQ195" s="71"/>
      <c r="AR195" s="15"/>
      <c r="AS195" s="15"/>
      <c r="AT195" s="71"/>
      <c r="AU195" s="15"/>
      <c r="AV195" s="15"/>
      <c r="AW195" s="71"/>
      <c r="AX195" s="15"/>
      <c r="AY195" s="15"/>
      <c r="AZ195" s="71"/>
      <c r="BA195" s="15"/>
      <c r="BB195" s="15"/>
      <c r="BC195" s="71"/>
      <c r="BD195" s="15"/>
      <c r="BE195" s="15"/>
      <c r="BF195" s="15"/>
      <c r="BG195" s="71"/>
      <c r="BH195" s="15"/>
      <c r="BI195" s="15"/>
      <c r="BJ195" s="71"/>
      <c r="BK195" s="15"/>
      <c r="BL195" s="15"/>
      <c r="BM195" s="15"/>
      <c r="BN195" s="71"/>
      <c r="BO195" s="15"/>
      <c r="BP195" s="15"/>
      <c r="BQ195" s="71"/>
      <c r="BR195" s="15"/>
      <c r="BS195" s="15"/>
      <c r="BT195" s="15"/>
      <c r="BU195" s="71"/>
      <c r="BV195" s="15"/>
      <c r="BW195" s="15"/>
      <c r="BX195" s="71"/>
      <c r="BY195" s="15"/>
      <c r="BZ195" s="15"/>
      <c r="CA195" s="71"/>
      <c r="CB195" s="15"/>
      <c r="CC195" s="15"/>
      <c r="CD195" s="15"/>
      <c r="CE195" s="71"/>
      <c r="CF195" s="15"/>
      <c r="CG195" s="15"/>
      <c r="CH195" s="71"/>
      <c r="CI195" s="15"/>
      <c r="CJ195" s="15"/>
      <c r="CK195" s="15"/>
      <c r="CL195" s="71"/>
      <c r="CM195" s="15"/>
      <c r="CN195" s="15"/>
      <c r="CO195" s="71"/>
      <c r="CP195" s="15"/>
      <c r="CQ195" s="15"/>
      <c r="CR195" s="15"/>
      <c r="CS195" s="71"/>
      <c r="CT195" s="15"/>
      <c r="CU195" s="15"/>
      <c r="CV195" s="71"/>
      <c r="CW195" s="15"/>
      <c r="CX195" s="15"/>
    </row>
    <row r="196" spans="2:102" s="3" customFormat="1" x14ac:dyDescent="0.25">
      <c r="B196" s="12"/>
      <c r="C196" s="15"/>
      <c r="D196" s="15"/>
      <c r="E196" s="12"/>
      <c r="F196" s="15"/>
      <c r="G196" s="15"/>
      <c r="H196" s="71"/>
      <c r="I196" s="15"/>
      <c r="J196" s="15"/>
      <c r="K196" s="15"/>
      <c r="L196" s="71"/>
      <c r="M196" s="15"/>
      <c r="N196" s="15"/>
      <c r="O196" s="71"/>
      <c r="P196" s="15"/>
      <c r="Q196" s="15"/>
      <c r="R196" s="15"/>
      <c r="S196" s="71"/>
      <c r="T196" s="15"/>
      <c r="U196" s="15"/>
      <c r="V196" s="71"/>
      <c r="W196" s="15"/>
      <c r="X196" s="15"/>
      <c r="Y196" s="71"/>
      <c r="Z196" s="15"/>
      <c r="AA196" s="15"/>
      <c r="AB196" s="15"/>
      <c r="AC196" s="71"/>
      <c r="AD196" s="15"/>
      <c r="AE196" s="15"/>
      <c r="AF196" s="71"/>
      <c r="AG196" s="15"/>
      <c r="AH196" s="15"/>
      <c r="AI196" s="15"/>
      <c r="AJ196" s="71"/>
      <c r="AK196" s="15"/>
      <c r="AL196" s="15"/>
      <c r="AM196" s="71"/>
      <c r="AN196" s="15"/>
      <c r="AO196" s="15"/>
      <c r="AP196" s="15"/>
      <c r="AQ196" s="71"/>
      <c r="AR196" s="15"/>
      <c r="AS196" s="15"/>
      <c r="AT196" s="71"/>
      <c r="AU196" s="15"/>
      <c r="AV196" s="15"/>
      <c r="AW196" s="71"/>
      <c r="AX196" s="15"/>
      <c r="AY196" s="15"/>
      <c r="AZ196" s="71"/>
      <c r="BA196" s="15"/>
      <c r="BB196" s="15"/>
      <c r="BC196" s="71"/>
      <c r="BD196" s="15"/>
      <c r="BE196" s="15"/>
      <c r="BF196" s="15"/>
      <c r="BG196" s="71"/>
      <c r="BH196" s="15"/>
      <c r="BI196" s="15"/>
      <c r="BJ196" s="71"/>
      <c r="BK196" s="15"/>
      <c r="BL196" s="15"/>
      <c r="BM196" s="15"/>
      <c r="BN196" s="71"/>
      <c r="BO196" s="15"/>
      <c r="BP196" s="15"/>
      <c r="BQ196" s="71"/>
      <c r="BR196" s="15"/>
      <c r="BS196" s="15"/>
      <c r="BT196" s="15"/>
      <c r="BU196" s="71"/>
      <c r="BV196" s="15"/>
      <c r="BW196" s="15"/>
      <c r="BX196" s="71"/>
      <c r="BY196" s="15"/>
      <c r="BZ196" s="15"/>
      <c r="CA196" s="71"/>
      <c r="CB196" s="15"/>
      <c r="CC196" s="15"/>
      <c r="CD196" s="15"/>
      <c r="CE196" s="71"/>
      <c r="CF196" s="15"/>
      <c r="CG196" s="15"/>
      <c r="CH196" s="71"/>
      <c r="CI196" s="15"/>
      <c r="CJ196" s="15"/>
      <c r="CK196" s="15"/>
      <c r="CL196" s="71"/>
      <c r="CM196" s="15"/>
      <c r="CN196" s="15"/>
      <c r="CO196" s="71"/>
      <c r="CP196" s="15"/>
      <c r="CQ196" s="15"/>
      <c r="CR196" s="15"/>
      <c r="CS196" s="71"/>
      <c r="CT196" s="15"/>
      <c r="CU196" s="15"/>
      <c r="CV196" s="71"/>
      <c r="CW196" s="15"/>
      <c r="CX196" s="15"/>
    </row>
    <row r="197" spans="2:102" s="3" customFormat="1" x14ac:dyDescent="0.25">
      <c r="B197" s="12"/>
      <c r="C197" s="15"/>
      <c r="D197" s="15"/>
      <c r="E197" s="12"/>
      <c r="F197" s="15"/>
      <c r="G197" s="15"/>
      <c r="H197" s="71"/>
      <c r="I197" s="15"/>
      <c r="J197" s="15"/>
      <c r="K197" s="15"/>
      <c r="L197" s="71"/>
      <c r="M197" s="15"/>
      <c r="N197" s="15"/>
      <c r="O197" s="71"/>
      <c r="P197" s="15"/>
      <c r="Q197" s="15"/>
      <c r="R197" s="15"/>
      <c r="S197" s="71"/>
      <c r="T197" s="15"/>
      <c r="U197" s="15"/>
      <c r="V197" s="71"/>
      <c r="W197" s="15"/>
      <c r="X197" s="15"/>
      <c r="Y197" s="71"/>
      <c r="Z197" s="15"/>
      <c r="AA197" s="15"/>
      <c r="AB197" s="15"/>
      <c r="AC197" s="71"/>
      <c r="AD197" s="15"/>
      <c r="AE197" s="15"/>
      <c r="AF197" s="71"/>
      <c r="AG197" s="15"/>
      <c r="AH197" s="15"/>
      <c r="AI197" s="15"/>
      <c r="AJ197" s="71"/>
      <c r="AK197" s="15"/>
      <c r="AL197" s="15"/>
      <c r="AM197" s="71"/>
      <c r="AN197" s="15"/>
      <c r="AO197" s="15"/>
      <c r="AP197" s="15"/>
      <c r="AQ197" s="71"/>
      <c r="AR197" s="15"/>
      <c r="AS197" s="15"/>
      <c r="AT197" s="71"/>
      <c r="AU197" s="15"/>
      <c r="AV197" s="15"/>
      <c r="AW197" s="71"/>
      <c r="AX197" s="15"/>
      <c r="AY197" s="15"/>
      <c r="AZ197" s="71"/>
      <c r="BA197" s="15"/>
      <c r="BB197" s="15"/>
      <c r="BC197" s="71"/>
      <c r="BD197" s="15"/>
      <c r="BE197" s="15"/>
      <c r="BF197" s="15"/>
      <c r="BG197" s="71"/>
      <c r="BH197" s="15"/>
      <c r="BI197" s="15"/>
      <c r="BJ197" s="71"/>
      <c r="BK197" s="15"/>
      <c r="BL197" s="15"/>
      <c r="BM197" s="15"/>
      <c r="BN197" s="71"/>
      <c r="BO197" s="15"/>
      <c r="BP197" s="15"/>
      <c r="BQ197" s="71"/>
      <c r="BR197" s="15"/>
      <c r="BS197" s="15"/>
      <c r="BT197" s="15"/>
      <c r="BU197" s="71"/>
      <c r="BV197" s="15"/>
      <c r="BW197" s="15"/>
      <c r="BX197" s="71"/>
      <c r="BY197" s="15"/>
      <c r="BZ197" s="15"/>
      <c r="CA197" s="71"/>
      <c r="CB197" s="15"/>
      <c r="CC197" s="15"/>
      <c r="CD197" s="15"/>
      <c r="CE197" s="71"/>
      <c r="CF197" s="15"/>
      <c r="CG197" s="15"/>
      <c r="CH197" s="71"/>
      <c r="CI197" s="15"/>
      <c r="CJ197" s="15"/>
      <c r="CK197" s="15"/>
      <c r="CL197" s="71"/>
      <c r="CM197" s="15"/>
      <c r="CN197" s="15"/>
      <c r="CO197" s="71"/>
      <c r="CP197" s="15"/>
      <c r="CQ197" s="15"/>
      <c r="CR197" s="15"/>
      <c r="CS197" s="71"/>
      <c r="CT197" s="15"/>
      <c r="CU197" s="15"/>
      <c r="CV197" s="71"/>
      <c r="CW197" s="15"/>
      <c r="CX197" s="15"/>
    </row>
    <row r="198" spans="2:102" s="3" customFormat="1" x14ac:dyDescent="0.25">
      <c r="B198" s="12"/>
      <c r="C198" s="15"/>
      <c r="D198" s="15"/>
      <c r="E198" s="12"/>
      <c r="F198" s="15"/>
      <c r="G198" s="15"/>
      <c r="H198" s="71"/>
      <c r="I198" s="15"/>
      <c r="J198" s="15"/>
      <c r="K198" s="15"/>
      <c r="L198" s="71"/>
      <c r="M198" s="15"/>
      <c r="N198" s="15"/>
      <c r="O198" s="71"/>
      <c r="P198" s="15"/>
      <c r="Q198" s="15"/>
      <c r="R198" s="15"/>
      <c r="S198" s="71"/>
      <c r="T198" s="15"/>
      <c r="U198" s="15"/>
      <c r="V198" s="71"/>
      <c r="W198" s="15"/>
      <c r="X198" s="15"/>
      <c r="Y198" s="71"/>
      <c r="Z198" s="15"/>
      <c r="AA198" s="15"/>
      <c r="AB198" s="15"/>
      <c r="AC198" s="71"/>
      <c r="AD198" s="15"/>
      <c r="AE198" s="15"/>
      <c r="AF198" s="71"/>
      <c r="AG198" s="15"/>
      <c r="AH198" s="15"/>
      <c r="AI198" s="15"/>
      <c r="AJ198" s="71"/>
      <c r="AK198" s="15"/>
      <c r="AL198" s="15"/>
      <c r="AM198" s="71"/>
      <c r="AN198" s="15"/>
      <c r="AO198" s="15"/>
      <c r="AP198" s="15"/>
      <c r="AQ198" s="71"/>
      <c r="AR198" s="15"/>
      <c r="AS198" s="15"/>
      <c r="AT198" s="71"/>
      <c r="AU198" s="15"/>
      <c r="AV198" s="15"/>
      <c r="AW198" s="71"/>
      <c r="AX198" s="15"/>
      <c r="AY198" s="15"/>
      <c r="AZ198" s="71"/>
      <c r="BA198" s="15"/>
      <c r="BB198" s="15"/>
      <c r="BC198" s="71"/>
      <c r="BD198" s="15"/>
      <c r="BE198" s="15"/>
      <c r="BF198" s="15"/>
      <c r="BG198" s="71"/>
      <c r="BH198" s="15"/>
      <c r="BI198" s="15"/>
      <c r="BJ198" s="71"/>
      <c r="BK198" s="15"/>
      <c r="BL198" s="15"/>
      <c r="BM198" s="15"/>
      <c r="BN198" s="71"/>
      <c r="BO198" s="15"/>
      <c r="BP198" s="15"/>
      <c r="BQ198" s="71"/>
      <c r="BR198" s="15"/>
      <c r="BS198" s="15"/>
      <c r="BT198" s="15"/>
      <c r="BU198" s="71"/>
      <c r="BV198" s="15"/>
      <c r="BW198" s="15"/>
      <c r="BX198" s="71"/>
      <c r="BY198" s="15"/>
      <c r="BZ198" s="15"/>
      <c r="CA198" s="71"/>
      <c r="CB198" s="15"/>
      <c r="CC198" s="15"/>
      <c r="CD198" s="15"/>
      <c r="CE198" s="71"/>
      <c r="CF198" s="15"/>
      <c r="CG198" s="15"/>
      <c r="CH198" s="71"/>
      <c r="CI198" s="15"/>
      <c r="CJ198" s="15"/>
      <c r="CK198" s="15"/>
      <c r="CL198" s="71"/>
      <c r="CM198" s="15"/>
      <c r="CN198" s="15"/>
      <c r="CO198" s="71"/>
      <c r="CP198" s="15"/>
      <c r="CQ198" s="15"/>
      <c r="CR198" s="15"/>
      <c r="CS198" s="71"/>
      <c r="CT198" s="15"/>
      <c r="CU198" s="15"/>
      <c r="CV198" s="71"/>
      <c r="CW198" s="15"/>
      <c r="CX198" s="15"/>
    </row>
    <row r="199" spans="2:102" s="3" customFormat="1" x14ac:dyDescent="0.25">
      <c r="B199" s="12"/>
      <c r="C199" s="15"/>
      <c r="D199" s="15"/>
      <c r="E199" s="12"/>
      <c r="F199" s="15"/>
      <c r="G199" s="15"/>
      <c r="H199" s="71"/>
      <c r="I199" s="15"/>
      <c r="J199" s="15"/>
      <c r="K199" s="15"/>
      <c r="L199" s="71"/>
      <c r="M199" s="15"/>
      <c r="N199" s="15"/>
      <c r="O199" s="71"/>
      <c r="P199" s="15"/>
      <c r="Q199" s="15"/>
      <c r="R199" s="15"/>
      <c r="S199" s="71"/>
      <c r="T199" s="15"/>
      <c r="U199" s="15"/>
      <c r="V199" s="71"/>
      <c r="W199" s="15"/>
      <c r="X199" s="15"/>
      <c r="Y199" s="71"/>
      <c r="Z199" s="15"/>
      <c r="AA199" s="15"/>
      <c r="AB199" s="15"/>
      <c r="AC199" s="71"/>
      <c r="AD199" s="15"/>
      <c r="AE199" s="15"/>
      <c r="AF199" s="71"/>
      <c r="AG199" s="15"/>
      <c r="AH199" s="15"/>
      <c r="AI199" s="15"/>
      <c r="AJ199" s="71"/>
      <c r="AK199" s="15"/>
      <c r="AL199" s="15"/>
      <c r="AM199" s="71"/>
      <c r="AN199" s="15"/>
      <c r="AO199" s="15"/>
      <c r="AP199" s="15"/>
      <c r="AQ199" s="71"/>
      <c r="AR199" s="15"/>
      <c r="AS199" s="15"/>
      <c r="AT199" s="71"/>
      <c r="AU199" s="15"/>
      <c r="AV199" s="15"/>
      <c r="AW199" s="71"/>
      <c r="AX199" s="15"/>
      <c r="AY199" s="15"/>
      <c r="AZ199" s="71"/>
      <c r="BA199" s="15"/>
      <c r="BB199" s="15"/>
      <c r="BC199" s="71"/>
      <c r="BD199" s="15"/>
      <c r="BE199" s="15"/>
      <c r="BF199" s="15"/>
      <c r="BG199" s="71"/>
      <c r="BH199" s="15"/>
      <c r="BI199" s="15"/>
      <c r="BJ199" s="71"/>
      <c r="BK199" s="15"/>
      <c r="BL199" s="15"/>
      <c r="BM199" s="15"/>
      <c r="BN199" s="71"/>
      <c r="BO199" s="15"/>
      <c r="BP199" s="15"/>
      <c r="BQ199" s="71"/>
      <c r="BR199" s="15"/>
      <c r="BS199" s="15"/>
      <c r="BT199" s="15"/>
      <c r="BU199" s="71"/>
      <c r="BV199" s="15"/>
      <c r="BW199" s="15"/>
      <c r="BX199" s="71"/>
      <c r="BY199" s="15"/>
      <c r="BZ199" s="15"/>
      <c r="CA199" s="71"/>
      <c r="CB199" s="15"/>
      <c r="CC199" s="15"/>
      <c r="CD199" s="15"/>
      <c r="CE199" s="71"/>
      <c r="CF199" s="15"/>
      <c r="CG199" s="15"/>
      <c r="CH199" s="71"/>
      <c r="CI199" s="15"/>
      <c r="CJ199" s="15"/>
      <c r="CK199" s="15"/>
      <c r="CL199" s="71"/>
      <c r="CM199" s="15"/>
      <c r="CN199" s="15"/>
      <c r="CO199" s="71"/>
      <c r="CP199" s="15"/>
      <c r="CQ199" s="15"/>
      <c r="CR199" s="15"/>
      <c r="CS199" s="71"/>
      <c r="CT199" s="15"/>
      <c r="CU199" s="15"/>
      <c r="CV199" s="71"/>
      <c r="CW199" s="15"/>
      <c r="CX199" s="15"/>
    </row>
    <row r="200" spans="2:102" s="3" customFormat="1" x14ac:dyDescent="0.25">
      <c r="B200" s="12"/>
      <c r="C200" s="15"/>
      <c r="D200" s="15"/>
      <c r="E200" s="12"/>
      <c r="F200" s="15"/>
      <c r="G200" s="15"/>
      <c r="H200" s="71"/>
      <c r="I200" s="15"/>
      <c r="J200" s="15"/>
      <c r="K200" s="15"/>
      <c r="L200" s="71"/>
      <c r="M200" s="15"/>
      <c r="N200" s="15"/>
      <c r="O200" s="71"/>
      <c r="P200" s="15"/>
      <c r="Q200" s="15"/>
      <c r="R200" s="15"/>
      <c r="S200" s="71"/>
      <c r="T200" s="15"/>
      <c r="U200" s="15"/>
      <c r="V200" s="71"/>
      <c r="W200" s="15"/>
      <c r="X200" s="15"/>
      <c r="Y200" s="71"/>
      <c r="Z200" s="15"/>
      <c r="AA200" s="15"/>
      <c r="AB200" s="15"/>
      <c r="AC200" s="71"/>
      <c r="AD200" s="15"/>
      <c r="AE200" s="15"/>
      <c r="AF200" s="71"/>
      <c r="AG200" s="15"/>
      <c r="AH200" s="15"/>
      <c r="AI200" s="15"/>
      <c r="AJ200" s="71"/>
      <c r="AK200" s="15"/>
      <c r="AL200" s="15"/>
      <c r="AM200" s="71"/>
      <c r="AN200" s="15"/>
      <c r="AO200" s="15"/>
      <c r="AP200" s="15"/>
      <c r="AQ200" s="71"/>
      <c r="AR200" s="15"/>
      <c r="AS200" s="15"/>
      <c r="AT200" s="71"/>
      <c r="AU200" s="15"/>
      <c r="AV200" s="15"/>
      <c r="AW200" s="71"/>
      <c r="AX200" s="15"/>
      <c r="AY200" s="15"/>
      <c r="AZ200" s="71"/>
      <c r="BA200" s="15"/>
      <c r="BB200" s="15"/>
      <c r="BC200" s="71"/>
      <c r="BD200" s="15"/>
      <c r="BE200" s="15"/>
      <c r="BF200" s="15"/>
      <c r="BG200" s="71"/>
      <c r="BH200" s="15"/>
      <c r="BI200" s="15"/>
      <c r="BJ200" s="71"/>
      <c r="BK200" s="15"/>
      <c r="BL200" s="15"/>
      <c r="BM200" s="15"/>
      <c r="BN200" s="71"/>
      <c r="BO200" s="15"/>
      <c r="BP200" s="15"/>
      <c r="BQ200" s="71"/>
      <c r="BR200" s="15"/>
      <c r="BS200" s="15"/>
      <c r="BT200" s="15"/>
      <c r="BU200" s="71"/>
      <c r="BV200" s="15"/>
      <c r="BW200" s="15"/>
      <c r="BX200" s="71"/>
      <c r="BY200" s="15"/>
      <c r="BZ200" s="15"/>
      <c r="CA200" s="71"/>
      <c r="CB200" s="15"/>
      <c r="CC200" s="15"/>
      <c r="CD200" s="15"/>
      <c r="CE200" s="71"/>
      <c r="CF200" s="15"/>
      <c r="CG200" s="15"/>
      <c r="CH200" s="71"/>
      <c r="CI200" s="15"/>
      <c r="CJ200" s="15"/>
      <c r="CK200" s="15"/>
      <c r="CL200" s="71"/>
      <c r="CM200" s="15"/>
      <c r="CN200" s="15"/>
      <c r="CO200" s="71"/>
      <c r="CP200" s="15"/>
      <c r="CQ200" s="15"/>
      <c r="CR200" s="15"/>
      <c r="CS200" s="71"/>
      <c r="CT200" s="15"/>
      <c r="CU200" s="15"/>
      <c r="CV200" s="71"/>
      <c r="CW200" s="15"/>
      <c r="CX200" s="15"/>
    </row>
    <row r="201" spans="2:102" s="3" customFormat="1" x14ac:dyDescent="0.25">
      <c r="B201" s="12"/>
      <c r="C201" s="15"/>
      <c r="D201" s="15"/>
      <c r="E201" s="12"/>
      <c r="F201" s="15"/>
      <c r="G201" s="15"/>
      <c r="H201" s="71"/>
      <c r="I201" s="15"/>
      <c r="J201" s="15"/>
      <c r="K201" s="15"/>
      <c r="L201" s="71"/>
      <c r="M201" s="15"/>
      <c r="N201" s="15"/>
      <c r="O201" s="71"/>
      <c r="P201" s="15"/>
      <c r="Q201" s="15"/>
      <c r="R201" s="15"/>
      <c r="S201" s="71"/>
      <c r="T201" s="15"/>
      <c r="U201" s="15"/>
      <c r="V201" s="71"/>
      <c r="W201" s="15"/>
      <c r="X201" s="15"/>
      <c r="Y201" s="71"/>
      <c r="Z201" s="15"/>
      <c r="AA201" s="15"/>
      <c r="AB201" s="15"/>
      <c r="AC201" s="71"/>
      <c r="AD201" s="15"/>
      <c r="AE201" s="15"/>
      <c r="AF201" s="71"/>
      <c r="AG201" s="15"/>
      <c r="AH201" s="15"/>
      <c r="AI201" s="15"/>
      <c r="AJ201" s="71"/>
      <c r="AK201" s="15"/>
      <c r="AL201" s="15"/>
      <c r="AM201" s="71"/>
      <c r="AN201" s="15"/>
      <c r="AO201" s="15"/>
      <c r="AP201" s="15"/>
      <c r="AQ201" s="71"/>
      <c r="AR201" s="15"/>
      <c r="AS201" s="15"/>
      <c r="AT201" s="71"/>
      <c r="AU201" s="15"/>
      <c r="AV201" s="15"/>
      <c r="AW201" s="71"/>
      <c r="AX201" s="15"/>
      <c r="AY201" s="15"/>
      <c r="AZ201" s="71"/>
      <c r="BA201" s="15"/>
      <c r="BB201" s="15"/>
      <c r="BC201" s="71"/>
      <c r="BD201" s="15"/>
      <c r="BE201" s="15"/>
      <c r="BF201" s="15"/>
      <c r="BG201" s="71"/>
      <c r="BH201" s="15"/>
      <c r="BI201" s="15"/>
      <c r="BJ201" s="71"/>
      <c r="BK201" s="15"/>
      <c r="BL201" s="15"/>
      <c r="BM201" s="15"/>
      <c r="BN201" s="71"/>
      <c r="BO201" s="15"/>
      <c r="BP201" s="15"/>
      <c r="BQ201" s="71"/>
      <c r="BR201" s="15"/>
      <c r="BS201" s="15"/>
      <c r="BT201" s="15"/>
      <c r="BU201" s="71"/>
      <c r="BV201" s="15"/>
      <c r="BW201" s="15"/>
      <c r="BX201" s="71"/>
      <c r="BY201" s="15"/>
      <c r="BZ201" s="15"/>
      <c r="CA201" s="71"/>
      <c r="CB201" s="15"/>
      <c r="CC201" s="15"/>
      <c r="CD201" s="15"/>
      <c r="CE201" s="71"/>
      <c r="CF201" s="15"/>
      <c r="CG201" s="15"/>
      <c r="CH201" s="71"/>
      <c r="CI201" s="15"/>
      <c r="CJ201" s="15"/>
      <c r="CK201" s="15"/>
      <c r="CL201" s="71"/>
      <c r="CM201" s="15"/>
      <c r="CN201" s="15"/>
      <c r="CO201" s="71"/>
      <c r="CP201" s="15"/>
      <c r="CQ201" s="15"/>
      <c r="CR201" s="15"/>
      <c r="CS201" s="71"/>
      <c r="CT201" s="15"/>
      <c r="CU201" s="15"/>
      <c r="CV201" s="71"/>
      <c r="CW201" s="15"/>
      <c r="CX201" s="15"/>
    </row>
    <row r="202" spans="2:102" s="3" customFormat="1" x14ac:dyDescent="0.25">
      <c r="B202" s="12"/>
      <c r="C202" s="15"/>
      <c r="D202" s="15"/>
      <c r="E202" s="12"/>
      <c r="F202" s="15"/>
      <c r="G202" s="15"/>
      <c r="H202" s="71"/>
      <c r="I202" s="15"/>
      <c r="J202" s="15"/>
      <c r="K202" s="15"/>
      <c r="L202" s="71"/>
      <c r="M202" s="15"/>
      <c r="N202" s="15"/>
      <c r="O202" s="71"/>
      <c r="P202" s="15"/>
      <c r="Q202" s="15"/>
      <c r="R202" s="15"/>
      <c r="S202" s="71"/>
      <c r="T202" s="15"/>
      <c r="U202" s="15"/>
      <c r="V202" s="71"/>
      <c r="W202" s="15"/>
      <c r="X202" s="15"/>
      <c r="Y202" s="71"/>
      <c r="Z202" s="15"/>
      <c r="AA202" s="15"/>
      <c r="AB202" s="15"/>
      <c r="AC202" s="71"/>
      <c r="AD202" s="15"/>
      <c r="AE202" s="15"/>
      <c r="AF202" s="71"/>
      <c r="AG202" s="15"/>
      <c r="AH202" s="15"/>
      <c r="AI202" s="15"/>
      <c r="AJ202" s="71"/>
      <c r="AK202" s="15"/>
      <c r="AL202" s="15"/>
      <c r="AM202" s="71"/>
      <c r="AN202" s="15"/>
      <c r="AO202" s="15"/>
      <c r="AP202" s="15"/>
      <c r="AQ202" s="71"/>
      <c r="AR202" s="15"/>
      <c r="AS202" s="15"/>
      <c r="AT202" s="71"/>
      <c r="AU202" s="15"/>
      <c r="AV202" s="15"/>
      <c r="AW202" s="71"/>
      <c r="AX202" s="15"/>
      <c r="AY202" s="15"/>
      <c r="AZ202" s="71"/>
      <c r="BA202" s="15"/>
      <c r="BB202" s="15"/>
      <c r="BC202" s="71"/>
      <c r="BD202" s="15"/>
      <c r="BE202" s="15"/>
      <c r="BF202" s="15"/>
      <c r="BG202" s="71"/>
      <c r="BH202" s="15"/>
      <c r="BI202" s="15"/>
      <c r="BJ202" s="71"/>
      <c r="BK202" s="15"/>
      <c r="BL202" s="15"/>
      <c r="BM202" s="15"/>
      <c r="BN202" s="71"/>
      <c r="BO202" s="15"/>
      <c r="BP202" s="15"/>
      <c r="BQ202" s="71"/>
      <c r="BR202" s="15"/>
      <c r="BS202" s="15"/>
      <c r="BT202" s="15"/>
      <c r="BU202" s="71"/>
      <c r="BV202" s="15"/>
      <c r="BW202" s="15"/>
      <c r="BX202" s="71"/>
      <c r="BY202" s="15"/>
      <c r="BZ202" s="15"/>
      <c r="CA202" s="71"/>
      <c r="CB202" s="15"/>
      <c r="CC202" s="15"/>
      <c r="CD202" s="15"/>
      <c r="CE202" s="71"/>
      <c r="CF202" s="15"/>
      <c r="CG202" s="15"/>
      <c r="CH202" s="71"/>
      <c r="CI202" s="15"/>
      <c r="CJ202" s="15"/>
      <c r="CK202" s="15"/>
      <c r="CL202" s="71"/>
      <c r="CM202" s="15"/>
      <c r="CN202" s="15"/>
      <c r="CO202" s="71"/>
      <c r="CP202" s="15"/>
      <c r="CQ202" s="15"/>
      <c r="CR202" s="15"/>
      <c r="CS202" s="71"/>
      <c r="CT202" s="15"/>
      <c r="CU202" s="15"/>
      <c r="CV202" s="71"/>
      <c r="CW202" s="15"/>
      <c r="CX202" s="15"/>
    </row>
    <row r="203" spans="2:102" s="3" customFormat="1" x14ac:dyDescent="0.25">
      <c r="B203" s="12"/>
      <c r="C203" s="15"/>
      <c r="D203" s="15"/>
      <c r="E203" s="12"/>
      <c r="F203" s="15"/>
      <c r="G203" s="15"/>
      <c r="H203" s="71"/>
      <c r="I203" s="15"/>
      <c r="J203" s="15"/>
      <c r="K203" s="15"/>
      <c r="L203" s="71"/>
      <c r="M203" s="15"/>
      <c r="N203" s="15"/>
      <c r="O203" s="71"/>
      <c r="P203" s="15"/>
      <c r="Q203" s="15"/>
      <c r="R203" s="15"/>
      <c r="S203" s="71"/>
      <c r="T203" s="15"/>
      <c r="U203" s="15"/>
      <c r="V203" s="71"/>
      <c r="W203" s="15"/>
      <c r="X203" s="15"/>
      <c r="Y203" s="71"/>
      <c r="Z203" s="15"/>
      <c r="AA203" s="15"/>
      <c r="AB203" s="15"/>
      <c r="AC203" s="71"/>
      <c r="AD203" s="15"/>
      <c r="AE203" s="15"/>
      <c r="AF203" s="71"/>
      <c r="AG203" s="15"/>
      <c r="AH203" s="15"/>
      <c r="AI203" s="15"/>
      <c r="AJ203" s="71"/>
      <c r="AK203" s="15"/>
      <c r="AL203" s="15"/>
      <c r="AM203" s="71"/>
      <c r="AN203" s="15"/>
      <c r="AO203" s="15"/>
      <c r="AP203" s="15"/>
      <c r="AQ203" s="71"/>
      <c r="AR203" s="15"/>
      <c r="AS203" s="15"/>
      <c r="AT203" s="71"/>
      <c r="AU203" s="15"/>
      <c r="AV203" s="15"/>
      <c r="AW203" s="71"/>
      <c r="AX203" s="15"/>
      <c r="AY203" s="15"/>
      <c r="AZ203" s="71"/>
      <c r="BA203" s="15"/>
      <c r="BB203" s="15"/>
      <c r="BC203" s="71"/>
      <c r="BD203" s="15"/>
      <c r="BE203" s="15"/>
      <c r="BF203" s="15"/>
      <c r="BG203" s="71"/>
      <c r="BH203" s="15"/>
      <c r="BI203" s="15"/>
      <c r="BJ203" s="71"/>
      <c r="BK203" s="15"/>
      <c r="BL203" s="15"/>
      <c r="BM203" s="15"/>
      <c r="BN203" s="71"/>
      <c r="BO203" s="15"/>
      <c r="BP203" s="15"/>
      <c r="BQ203" s="71"/>
      <c r="BR203" s="15"/>
      <c r="BS203" s="15"/>
      <c r="BT203" s="15"/>
      <c r="BU203" s="71"/>
      <c r="BV203" s="15"/>
      <c r="BW203" s="15"/>
      <c r="BX203" s="71"/>
      <c r="BY203" s="15"/>
      <c r="BZ203" s="15"/>
      <c r="CA203" s="71"/>
      <c r="CB203" s="15"/>
      <c r="CC203" s="15"/>
      <c r="CD203" s="15"/>
      <c r="CE203" s="71"/>
      <c r="CF203" s="15"/>
      <c r="CG203" s="15"/>
      <c r="CH203" s="71"/>
      <c r="CI203" s="15"/>
      <c r="CJ203" s="15"/>
      <c r="CK203" s="15"/>
      <c r="CL203" s="71"/>
      <c r="CM203" s="15"/>
      <c r="CN203" s="15"/>
      <c r="CO203" s="71"/>
      <c r="CP203" s="15"/>
      <c r="CQ203" s="15"/>
      <c r="CR203" s="15"/>
      <c r="CS203" s="71"/>
      <c r="CT203" s="15"/>
      <c r="CU203" s="15"/>
      <c r="CV203" s="71"/>
      <c r="CW203" s="15"/>
      <c r="CX203" s="15"/>
    </row>
    <row r="204" spans="2:102" s="3" customFormat="1" x14ac:dyDescent="0.25">
      <c r="B204" s="12"/>
      <c r="C204" s="15"/>
      <c r="D204" s="15"/>
      <c r="E204" s="12"/>
      <c r="F204" s="15"/>
      <c r="G204" s="15"/>
      <c r="H204" s="71"/>
      <c r="I204" s="15"/>
      <c r="J204" s="15"/>
      <c r="K204" s="15"/>
      <c r="L204" s="71"/>
      <c r="M204" s="15"/>
      <c r="N204" s="15"/>
      <c r="O204" s="71"/>
      <c r="P204" s="15"/>
      <c r="Q204" s="15"/>
      <c r="R204" s="15"/>
      <c r="S204" s="71"/>
      <c r="T204" s="15"/>
      <c r="U204" s="15"/>
      <c r="V204" s="71"/>
      <c r="W204" s="15"/>
      <c r="X204" s="15"/>
      <c r="Y204" s="71"/>
      <c r="Z204" s="15"/>
      <c r="AA204" s="15"/>
      <c r="AB204" s="15"/>
      <c r="AC204" s="71"/>
      <c r="AD204" s="15"/>
      <c r="AE204" s="15"/>
      <c r="AF204" s="71"/>
      <c r="AG204" s="15"/>
      <c r="AH204" s="15"/>
      <c r="AI204" s="15"/>
      <c r="AJ204" s="71"/>
      <c r="AK204" s="15"/>
      <c r="AL204" s="15"/>
      <c r="AM204" s="71"/>
      <c r="AN204" s="15"/>
      <c r="AO204" s="15"/>
      <c r="AP204" s="15"/>
      <c r="AQ204" s="71"/>
      <c r="AR204" s="15"/>
      <c r="AS204" s="15"/>
      <c r="AT204" s="71"/>
      <c r="AU204" s="15"/>
      <c r="AV204" s="15"/>
      <c r="AW204" s="71"/>
      <c r="AX204" s="15"/>
      <c r="AY204" s="15"/>
      <c r="AZ204" s="71"/>
      <c r="BA204" s="15"/>
      <c r="BB204" s="15"/>
      <c r="BC204" s="71"/>
      <c r="BD204" s="15"/>
      <c r="BE204" s="15"/>
      <c r="BF204" s="15"/>
      <c r="BG204" s="71"/>
      <c r="BH204" s="15"/>
      <c r="BI204" s="15"/>
      <c r="BJ204" s="71"/>
      <c r="BK204" s="15"/>
      <c r="BL204" s="15"/>
      <c r="BM204" s="15"/>
      <c r="BN204" s="71"/>
      <c r="BO204" s="15"/>
      <c r="BP204" s="15"/>
      <c r="BQ204" s="71"/>
      <c r="BR204" s="15"/>
      <c r="BS204" s="15"/>
      <c r="BT204" s="15"/>
      <c r="BU204" s="71"/>
      <c r="BV204" s="15"/>
      <c r="BW204" s="15"/>
      <c r="BX204" s="71"/>
      <c r="BY204" s="15"/>
      <c r="BZ204" s="15"/>
      <c r="CA204" s="71"/>
      <c r="CB204" s="15"/>
      <c r="CC204" s="15"/>
      <c r="CD204" s="15"/>
      <c r="CE204" s="71"/>
      <c r="CF204" s="15"/>
      <c r="CG204" s="15"/>
      <c r="CH204" s="71"/>
      <c r="CI204" s="15"/>
      <c r="CJ204" s="15"/>
      <c r="CK204" s="15"/>
      <c r="CL204" s="71"/>
      <c r="CM204" s="15"/>
      <c r="CN204" s="15"/>
      <c r="CO204" s="71"/>
      <c r="CP204" s="15"/>
      <c r="CQ204" s="15"/>
      <c r="CR204" s="15"/>
      <c r="CS204" s="71"/>
      <c r="CT204" s="15"/>
      <c r="CU204" s="15"/>
      <c r="CV204" s="71"/>
      <c r="CW204" s="15"/>
      <c r="CX204" s="15"/>
    </row>
    <row r="205" spans="2:102" s="3" customFormat="1" x14ac:dyDescent="0.25">
      <c r="B205" s="12"/>
      <c r="C205" s="15"/>
      <c r="D205" s="15"/>
      <c r="E205" s="12"/>
      <c r="F205" s="15"/>
      <c r="G205" s="15"/>
      <c r="H205" s="71"/>
      <c r="I205" s="15"/>
      <c r="J205" s="15"/>
      <c r="K205" s="15"/>
      <c r="L205" s="71"/>
      <c r="M205" s="15"/>
      <c r="N205" s="15"/>
      <c r="O205" s="71"/>
      <c r="P205" s="15"/>
      <c r="Q205" s="15"/>
      <c r="R205" s="15"/>
      <c r="S205" s="71"/>
      <c r="T205" s="15"/>
      <c r="U205" s="15"/>
      <c r="V205" s="71"/>
      <c r="W205" s="15"/>
      <c r="X205" s="15"/>
      <c r="Y205" s="71"/>
      <c r="Z205" s="15"/>
      <c r="AA205" s="15"/>
      <c r="AB205" s="15"/>
      <c r="AC205" s="71"/>
      <c r="AD205" s="15"/>
      <c r="AE205" s="15"/>
      <c r="AF205" s="71"/>
      <c r="AG205" s="15"/>
      <c r="AH205" s="15"/>
      <c r="AI205" s="15"/>
      <c r="AJ205" s="71"/>
      <c r="AK205" s="15"/>
      <c r="AL205" s="15"/>
      <c r="AM205" s="71"/>
      <c r="AN205" s="15"/>
      <c r="AO205" s="15"/>
      <c r="AP205" s="15"/>
      <c r="AQ205" s="71"/>
      <c r="AR205" s="15"/>
      <c r="AS205" s="15"/>
      <c r="AT205" s="71"/>
      <c r="AU205" s="15"/>
      <c r="AV205" s="15"/>
      <c r="AW205" s="71"/>
      <c r="AX205" s="15"/>
      <c r="AY205" s="15"/>
      <c r="AZ205" s="71"/>
      <c r="BA205" s="15"/>
      <c r="BB205" s="15"/>
      <c r="BC205" s="71"/>
      <c r="BD205" s="15"/>
      <c r="BE205" s="15"/>
      <c r="BF205" s="15"/>
      <c r="BG205" s="71"/>
      <c r="BH205" s="15"/>
      <c r="BI205" s="15"/>
      <c r="BJ205" s="71"/>
      <c r="BK205" s="15"/>
      <c r="BL205" s="15"/>
      <c r="BM205" s="15"/>
      <c r="BN205" s="71"/>
      <c r="BO205" s="15"/>
      <c r="BP205" s="15"/>
      <c r="BQ205" s="71"/>
      <c r="BR205" s="15"/>
      <c r="BS205" s="15"/>
      <c r="BT205" s="15"/>
      <c r="BU205" s="71"/>
      <c r="BV205" s="15"/>
      <c r="BW205" s="15"/>
      <c r="BX205" s="71"/>
      <c r="BY205" s="15"/>
      <c r="BZ205" s="15"/>
      <c r="CA205" s="71"/>
      <c r="CB205" s="15"/>
      <c r="CC205" s="15"/>
      <c r="CD205" s="15"/>
      <c r="CE205" s="71"/>
      <c r="CF205" s="15"/>
      <c r="CG205" s="15"/>
      <c r="CH205" s="71"/>
      <c r="CI205" s="15"/>
      <c r="CJ205" s="15"/>
      <c r="CK205" s="15"/>
      <c r="CL205" s="71"/>
      <c r="CM205" s="15"/>
      <c r="CN205" s="15"/>
      <c r="CO205" s="71"/>
      <c r="CP205" s="15"/>
      <c r="CQ205" s="15"/>
      <c r="CR205" s="15"/>
      <c r="CS205" s="71"/>
      <c r="CT205" s="15"/>
      <c r="CU205" s="15"/>
      <c r="CV205" s="71"/>
      <c r="CW205" s="15"/>
      <c r="CX205" s="15"/>
    </row>
    <row r="206" spans="2:102" s="3" customFormat="1" x14ac:dyDescent="0.25">
      <c r="B206" s="12"/>
      <c r="C206" s="15"/>
      <c r="D206" s="15"/>
      <c r="E206" s="12"/>
      <c r="F206" s="15"/>
      <c r="G206" s="15"/>
      <c r="H206" s="71"/>
      <c r="I206" s="15"/>
      <c r="J206" s="15"/>
      <c r="K206" s="15"/>
      <c r="L206" s="71"/>
      <c r="M206" s="15"/>
      <c r="N206" s="15"/>
      <c r="O206" s="71"/>
      <c r="P206" s="15"/>
      <c r="Q206" s="15"/>
      <c r="R206" s="15"/>
      <c r="S206" s="71"/>
      <c r="T206" s="15"/>
      <c r="U206" s="15"/>
      <c r="V206" s="71"/>
      <c r="W206" s="15"/>
      <c r="X206" s="15"/>
      <c r="Y206" s="71"/>
      <c r="Z206" s="15"/>
      <c r="AA206" s="15"/>
      <c r="AB206" s="15"/>
      <c r="AC206" s="71"/>
      <c r="AD206" s="15"/>
      <c r="AE206" s="15"/>
      <c r="AF206" s="71"/>
      <c r="AG206" s="15"/>
      <c r="AH206" s="15"/>
      <c r="AI206" s="15"/>
      <c r="AJ206" s="71"/>
      <c r="AK206" s="15"/>
      <c r="AL206" s="15"/>
      <c r="AM206" s="71"/>
      <c r="AN206" s="15"/>
      <c r="AO206" s="15"/>
      <c r="AP206" s="15"/>
      <c r="AQ206" s="71"/>
      <c r="AR206" s="15"/>
      <c r="AS206" s="15"/>
      <c r="AT206" s="71"/>
      <c r="AU206" s="15"/>
      <c r="AV206" s="15"/>
      <c r="AW206" s="71"/>
      <c r="AX206" s="15"/>
      <c r="AY206" s="15"/>
      <c r="AZ206" s="71"/>
      <c r="BA206" s="15"/>
      <c r="BB206" s="15"/>
      <c r="BC206" s="71"/>
      <c r="BD206" s="15"/>
      <c r="BE206" s="15"/>
      <c r="BF206" s="15"/>
      <c r="BG206" s="71"/>
      <c r="BH206" s="15"/>
      <c r="BI206" s="15"/>
      <c r="BJ206" s="71"/>
      <c r="BK206" s="15"/>
      <c r="BL206" s="15"/>
      <c r="BM206" s="15"/>
      <c r="BN206" s="71"/>
      <c r="BO206" s="15"/>
      <c r="BP206" s="15"/>
      <c r="BQ206" s="71"/>
      <c r="BR206" s="15"/>
      <c r="BS206" s="15"/>
      <c r="BT206" s="15"/>
      <c r="BU206" s="71"/>
      <c r="BV206" s="15"/>
      <c r="BW206" s="15"/>
      <c r="BX206" s="71"/>
      <c r="BY206" s="15"/>
      <c r="BZ206" s="15"/>
      <c r="CA206" s="71"/>
      <c r="CB206" s="15"/>
      <c r="CC206" s="15"/>
      <c r="CD206" s="15"/>
      <c r="CE206" s="71"/>
      <c r="CF206" s="15"/>
      <c r="CG206" s="15"/>
      <c r="CH206" s="71"/>
      <c r="CI206" s="15"/>
      <c r="CJ206" s="15"/>
      <c r="CK206" s="15"/>
      <c r="CL206" s="71"/>
      <c r="CM206" s="15"/>
      <c r="CN206" s="15"/>
      <c r="CO206" s="71"/>
      <c r="CP206" s="15"/>
      <c r="CQ206" s="15"/>
      <c r="CR206" s="15"/>
      <c r="CS206" s="71"/>
      <c r="CT206" s="15"/>
      <c r="CU206" s="15"/>
      <c r="CV206" s="71"/>
      <c r="CW206" s="15"/>
      <c r="CX206" s="15"/>
    </row>
    <row r="207" spans="2:102" s="3" customFormat="1" x14ac:dyDescent="0.25">
      <c r="B207" s="12"/>
      <c r="C207" s="15"/>
      <c r="D207" s="15"/>
      <c r="E207" s="12"/>
      <c r="F207" s="15"/>
      <c r="G207" s="15"/>
      <c r="H207" s="71"/>
      <c r="I207" s="15"/>
      <c r="J207" s="15"/>
      <c r="K207" s="15"/>
      <c r="L207" s="71"/>
      <c r="M207" s="15"/>
      <c r="N207" s="15"/>
      <c r="O207" s="71"/>
      <c r="P207" s="15"/>
      <c r="Q207" s="15"/>
      <c r="R207" s="15"/>
      <c r="S207" s="71"/>
      <c r="T207" s="15"/>
      <c r="U207" s="15"/>
      <c r="V207" s="71"/>
      <c r="W207" s="15"/>
      <c r="X207" s="15"/>
      <c r="Y207" s="71"/>
      <c r="Z207" s="15"/>
      <c r="AA207" s="15"/>
      <c r="AB207" s="15"/>
      <c r="AC207" s="71"/>
      <c r="AD207" s="15"/>
      <c r="AE207" s="15"/>
      <c r="AF207" s="71"/>
      <c r="AG207" s="15"/>
      <c r="AH207" s="15"/>
      <c r="AI207" s="15"/>
      <c r="AJ207" s="71"/>
      <c r="AK207" s="15"/>
      <c r="AL207" s="15"/>
      <c r="AM207" s="71"/>
      <c r="AN207" s="15"/>
      <c r="AO207" s="15"/>
      <c r="AP207" s="15"/>
      <c r="AQ207" s="71"/>
      <c r="AR207" s="15"/>
      <c r="AS207" s="15"/>
      <c r="AT207" s="71"/>
      <c r="AU207" s="15"/>
      <c r="AV207" s="15"/>
      <c r="AW207" s="71"/>
      <c r="AX207" s="15"/>
      <c r="AY207" s="15"/>
      <c r="AZ207" s="71"/>
      <c r="BA207" s="15"/>
      <c r="BB207" s="15"/>
      <c r="BC207" s="71"/>
      <c r="BD207" s="15"/>
      <c r="BE207" s="15"/>
      <c r="BF207" s="15"/>
      <c r="BG207" s="71"/>
      <c r="BH207" s="15"/>
      <c r="BI207" s="15"/>
      <c r="BJ207" s="71"/>
      <c r="BK207" s="15"/>
      <c r="BL207" s="15"/>
      <c r="BM207" s="15"/>
      <c r="BN207" s="71"/>
      <c r="BO207" s="15"/>
      <c r="BP207" s="15"/>
      <c r="BQ207" s="71"/>
      <c r="BR207" s="15"/>
      <c r="BS207" s="15"/>
      <c r="BT207" s="15"/>
      <c r="BU207" s="71"/>
      <c r="BV207" s="15"/>
      <c r="BW207" s="15"/>
      <c r="BX207" s="71"/>
      <c r="BY207" s="15"/>
      <c r="BZ207" s="15"/>
      <c r="CA207" s="71"/>
      <c r="CB207" s="15"/>
      <c r="CC207" s="15"/>
      <c r="CD207" s="15"/>
      <c r="CE207" s="71"/>
      <c r="CF207" s="15"/>
      <c r="CG207" s="15"/>
      <c r="CH207" s="71"/>
      <c r="CI207" s="15"/>
      <c r="CJ207" s="15"/>
      <c r="CK207" s="15"/>
      <c r="CL207" s="71"/>
      <c r="CM207" s="15"/>
      <c r="CN207" s="15"/>
      <c r="CO207" s="71"/>
      <c r="CP207" s="15"/>
      <c r="CQ207" s="15"/>
      <c r="CR207" s="15"/>
      <c r="CS207" s="71"/>
      <c r="CT207" s="15"/>
      <c r="CU207" s="15"/>
      <c r="CV207" s="71"/>
      <c r="CW207" s="15"/>
      <c r="CX207" s="15"/>
    </row>
    <row r="208" spans="2:102" s="3" customFormat="1" x14ac:dyDescent="0.25">
      <c r="B208" s="12"/>
      <c r="C208" s="15"/>
      <c r="D208" s="15"/>
      <c r="E208" s="12"/>
      <c r="F208" s="15"/>
      <c r="G208" s="15"/>
      <c r="H208" s="71"/>
      <c r="I208" s="15"/>
      <c r="J208" s="15"/>
      <c r="K208" s="15"/>
      <c r="L208" s="71"/>
      <c r="M208" s="15"/>
      <c r="N208" s="15"/>
      <c r="O208" s="71"/>
      <c r="P208" s="15"/>
      <c r="Q208" s="15"/>
      <c r="R208" s="15"/>
      <c r="S208" s="71"/>
      <c r="T208" s="15"/>
      <c r="U208" s="15"/>
      <c r="V208" s="71"/>
      <c r="W208" s="15"/>
      <c r="X208" s="15"/>
      <c r="Y208" s="71"/>
      <c r="Z208" s="15"/>
      <c r="AA208" s="15"/>
      <c r="AB208" s="15"/>
      <c r="AC208" s="71"/>
      <c r="AD208" s="15"/>
      <c r="AE208" s="15"/>
      <c r="AF208" s="71"/>
      <c r="AG208" s="15"/>
      <c r="AH208" s="15"/>
      <c r="AI208" s="15"/>
      <c r="AJ208" s="71"/>
      <c r="AK208" s="15"/>
      <c r="AL208" s="15"/>
      <c r="AM208" s="71"/>
      <c r="AN208" s="15"/>
      <c r="AO208" s="15"/>
      <c r="AP208" s="15"/>
      <c r="AQ208" s="71"/>
      <c r="AR208" s="15"/>
      <c r="AS208" s="15"/>
      <c r="AT208" s="71"/>
      <c r="AU208" s="15"/>
      <c r="AV208" s="15"/>
      <c r="AW208" s="71"/>
      <c r="AX208" s="15"/>
      <c r="AY208" s="15"/>
      <c r="AZ208" s="71"/>
      <c r="BA208" s="15"/>
      <c r="BB208" s="15"/>
      <c r="BC208" s="71"/>
      <c r="BD208" s="15"/>
      <c r="BE208" s="15"/>
      <c r="BF208" s="15"/>
      <c r="BG208" s="71"/>
      <c r="BH208" s="15"/>
      <c r="BI208" s="15"/>
      <c r="BJ208" s="71"/>
      <c r="BK208" s="15"/>
      <c r="BL208" s="15"/>
      <c r="BM208" s="15"/>
      <c r="BN208" s="71"/>
      <c r="BO208" s="15"/>
      <c r="BP208" s="15"/>
      <c r="BQ208" s="71"/>
      <c r="BR208" s="15"/>
      <c r="BS208" s="15"/>
      <c r="BT208" s="15"/>
      <c r="BU208" s="71"/>
      <c r="BV208" s="15"/>
      <c r="BW208" s="15"/>
      <c r="BX208" s="71"/>
      <c r="BY208" s="15"/>
      <c r="BZ208" s="15"/>
      <c r="CA208" s="71"/>
      <c r="CB208" s="15"/>
      <c r="CC208" s="15"/>
      <c r="CD208" s="15"/>
      <c r="CE208" s="71"/>
      <c r="CF208" s="15"/>
      <c r="CG208" s="15"/>
      <c r="CH208" s="71"/>
      <c r="CI208" s="15"/>
      <c r="CJ208" s="15"/>
      <c r="CK208" s="15"/>
      <c r="CL208" s="71"/>
      <c r="CM208" s="15"/>
      <c r="CN208" s="15"/>
      <c r="CO208" s="71"/>
      <c r="CP208" s="15"/>
      <c r="CQ208" s="15"/>
      <c r="CR208" s="15"/>
      <c r="CS208" s="71"/>
      <c r="CT208" s="15"/>
      <c r="CU208" s="15"/>
      <c r="CV208" s="71"/>
      <c r="CW208" s="15"/>
      <c r="CX208" s="15"/>
    </row>
    <row r="209" spans="2:102" s="3" customFormat="1" x14ac:dyDescent="0.25">
      <c r="B209" s="12"/>
      <c r="C209" s="15"/>
      <c r="D209" s="15"/>
      <c r="E209" s="12"/>
      <c r="F209" s="15"/>
      <c r="G209" s="15"/>
      <c r="H209" s="71"/>
      <c r="I209" s="15"/>
      <c r="J209" s="15"/>
      <c r="K209" s="15"/>
      <c r="L209" s="71"/>
      <c r="M209" s="15"/>
      <c r="N209" s="15"/>
      <c r="O209" s="71"/>
      <c r="P209" s="15"/>
      <c r="Q209" s="15"/>
      <c r="R209" s="15"/>
      <c r="S209" s="71"/>
      <c r="T209" s="15"/>
      <c r="U209" s="15"/>
      <c r="V209" s="71"/>
      <c r="W209" s="15"/>
      <c r="X209" s="15"/>
      <c r="Y209" s="71"/>
      <c r="Z209" s="15"/>
      <c r="AA209" s="15"/>
      <c r="AB209" s="15"/>
      <c r="AC209" s="71"/>
      <c r="AD209" s="15"/>
      <c r="AE209" s="15"/>
      <c r="AF209" s="71"/>
      <c r="AG209" s="15"/>
      <c r="AH209" s="15"/>
      <c r="AI209" s="15"/>
      <c r="AJ209" s="71"/>
      <c r="AK209" s="15"/>
      <c r="AL209" s="15"/>
      <c r="AM209" s="71"/>
      <c r="AN209" s="15"/>
      <c r="AO209" s="15"/>
      <c r="AP209" s="15"/>
      <c r="AQ209" s="71"/>
      <c r="AR209" s="15"/>
      <c r="AS209" s="15"/>
      <c r="AT209" s="71"/>
      <c r="AU209" s="15"/>
      <c r="AV209" s="15"/>
      <c r="AW209" s="71"/>
      <c r="AX209" s="15"/>
      <c r="AY209" s="15"/>
      <c r="AZ209" s="71"/>
      <c r="BA209" s="15"/>
      <c r="BB209" s="15"/>
      <c r="BC209" s="71"/>
      <c r="BD209" s="15"/>
      <c r="BE209" s="15"/>
      <c r="BF209" s="15"/>
      <c r="BG209" s="71"/>
      <c r="BH209" s="15"/>
      <c r="BI209" s="15"/>
      <c r="BJ209" s="71"/>
      <c r="BK209" s="15"/>
      <c r="BL209" s="15"/>
      <c r="BM209" s="15"/>
      <c r="BN209" s="71"/>
      <c r="BO209" s="15"/>
      <c r="BP209" s="15"/>
      <c r="BQ209" s="71"/>
      <c r="BR209" s="15"/>
      <c r="BS209" s="15"/>
      <c r="BT209" s="15"/>
      <c r="BU209" s="71"/>
      <c r="BV209" s="15"/>
      <c r="BW209" s="15"/>
      <c r="BX209" s="71"/>
      <c r="BY209" s="15"/>
      <c r="BZ209" s="15"/>
      <c r="CA209" s="71"/>
      <c r="CB209" s="15"/>
      <c r="CC209" s="15"/>
      <c r="CD209" s="15"/>
      <c r="CE209" s="71"/>
      <c r="CF209" s="15"/>
      <c r="CG209" s="15"/>
      <c r="CH209" s="71"/>
      <c r="CI209" s="15"/>
      <c r="CJ209" s="15"/>
      <c r="CK209" s="15"/>
      <c r="CL209" s="71"/>
      <c r="CM209" s="15"/>
      <c r="CN209" s="15"/>
      <c r="CO209" s="71"/>
      <c r="CP209" s="15"/>
      <c r="CQ209" s="15"/>
      <c r="CR209" s="15"/>
      <c r="CS209" s="71"/>
      <c r="CT209" s="15"/>
      <c r="CU209" s="15"/>
      <c r="CV209" s="71"/>
      <c r="CW209" s="15"/>
      <c r="CX209" s="15"/>
    </row>
    <row r="210" spans="2:102" s="3" customFormat="1" x14ac:dyDescent="0.25">
      <c r="B210" s="12"/>
      <c r="C210" s="15"/>
      <c r="D210" s="15"/>
      <c r="E210" s="12"/>
      <c r="F210" s="15"/>
      <c r="G210" s="15"/>
      <c r="H210" s="71"/>
      <c r="I210" s="15"/>
      <c r="J210" s="15"/>
      <c r="K210" s="15"/>
      <c r="L210" s="71"/>
      <c r="M210" s="15"/>
      <c r="N210" s="15"/>
      <c r="O210" s="71"/>
      <c r="P210" s="15"/>
      <c r="Q210" s="15"/>
      <c r="R210" s="15"/>
      <c r="S210" s="71"/>
      <c r="T210" s="15"/>
      <c r="U210" s="15"/>
      <c r="V210" s="71"/>
      <c r="W210" s="15"/>
      <c r="X210" s="15"/>
      <c r="Y210" s="71"/>
      <c r="Z210" s="15"/>
      <c r="AA210" s="15"/>
      <c r="AB210" s="15"/>
      <c r="AC210" s="71"/>
      <c r="AD210" s="15"/>
      <c r="AE210" s="15"/>
      <c r="AF210" s="71"/>
      <c r="AG210" s="15"/>
      <c r="AH210" s="15"/>
      <c r="AI210" s="15"/>
      <c r="AJ210" s="71"/>
      <c r="AK210" s="15"/>
      <c r="AL210" s="15"/>
      <c r="AM210" s="71"/>
      <c r="AN210" s="15"/>
      <c r="AO210" s="15"/>
      <c r="AP210" s="15"/>
      <c r="AQ210" s="71"/>
      <c r="AR210" s="15"/>
      <c r="AS210" s="15"/>
      <c r="AT210" s="71"/>
      <c r="AU210" s="15"/>
      <c r="AV210" s="15"/>
      <c r="AW210" s="71"/>
      <c r="AX210" s="15"/>
      <c r="AY210" s="15"/>
      <c r="AZ210" s="71"/>
      <c r="BA210" s="15"/>
      <c r="BB210" s="15"/>
      <c r="BC210" s="71"/>
      <c r="BD210" s="15"/>
      <c r="BE210" s="15"/>
      <c r="BF210" s="15"/>
      <c r="BG210" s="71"/>
      <c r="BH210" s="15"/>
      <c r="BI210" s="15"/>
      <c r="BJ210" s="71"/>
      <c r="BK210" s="15"/>
      <c r="BL210" s="15"/>
      <c r="BM210" s="15"/>
      <c r="BN210" s="71"/>
      <c r="BO210" s="15"/>
      <c r="BP210" s="15"/>
      <c r="BQ210" s="71"/>
      <c r="BR210" s="15"/>
      <c r="BS210" s="15"/>
      <c r="BT210" s="15"/>
      <c r="BU210" s="71"/>
      <c r="BV210" s="15"/>
      <c r="BW210" s="15"/>
      <c r="BX210" s="71"/>
      <c r="BY210" s="15"/>
      <c r="BZ210" s="15"/>
      <c r="CA210" s="71"/>
      <c r="CB210" s="15"/>
      <c r="CC210" s="15"/>
      <c r="CD210" s="15"/>
      <c r="CE210" s="71"/>
      <c r="CF210" s="15"/>
      <c r="CG210" s="15"/>
      <c r="CH210" s="71"/>
      <c r="CI210" s="15"/>
      <c r="CJ210" s="15"/>
      <c r="CK210" s="15"/>
      <c r="CL210" s="71"/>
      <c r="CM210" s="15"/>
      <c r="CN210" s="15"/>
      <c r="CO210" s="71"/>
      <c r="CP210" s="15"/>
      <c r="CQ210" s="15"/>
      <c r="CR210" s="15"/>
      <c r="CS210" s="71"/>
      <c r="CT210" s="15"/>
      <c r="CU210" s="15"/>
      <c r="CV210" s="71"/>
      <c r="CW210" s="15"/>
      <c r="CX210" s="15"/>
    </row>
    <row r="211" spans="2:102" s="3" customFormat="1" x14ac:dyDescent="0.25">
      <c r="B211" s="12"/>
      <c r="C211" s="15"/>
      <c r="D211" s="15"/>
      <c r="E211" s="12"/>
      <c r="F211" s="15"/>
      <c r="G211" s="15"/>
      <c r="H211" s="71"/>
      <c r="I211" s="15"/>
      <c r="J211" s="15"/>
      <c r="K211" s="15"/>
      <c r="L211" s="71"/>
      <c r="M211" s="15"/>
      <c r="N211" s="15"/>
      <c r="O211" s="71"/>
      <c r="P211" s="15"/>
      <c r="Q211" s="15"/>
      <c r="R211" s="15"/>
      <c r="S211" s="71"/>
      <c r="T211" s="15"/>
      <c r="U211" s="15"/>
      <c r="V211" s="71"/>
      <c r="W211" s="15"/>
      <c r="X211" s="15"/>
      <c r="Y211" s="71"/>
      <c r="Z211" s="15"/>
      <c r="AA211" s="15"/>
      <c r="AB211" s="15"/>
      <c r="AC211" s="71"/>
      <c r="AD211" s="15"/>
      <c r="AE211" s="15"/>
      <c r="AF211" s="71"/>
      <c r="AG211" s="15"/>
      <c r="AH211" s="15"/>
      <c r="AI211" s="15"/>
      <c r="AJ211" s="71"/>
      <c r="AK211" s="15"/>
      <c r="AL211" s="15"/>
      <c r="AM211" s="71"/>
      <c r="AN211" s="15"/>
      <c r="AO211" s="15"/>
      <c r="AP211" s="15"/>
      <c r="AQ211" s="71"/>
      <c r="AR211" s="15"/>
      <c r="AS211" s="15"/>
      <c r="AT211" s="71"/>
      <c r="AU211" s="15"/>
      <c r="AV211" s="15"/>
      <c r="AW211" s="71"/>
      <c r="AX211" s="15"/>
      <c r="AY211" s="15"/>
      <c r="AZ211" s="71"/>
      <c r="BA211" s="15"/>
      <c r="BB211" s="15"/>
      <c r="BC211" s="71"/>
      <c r="BD211" s="15"/>
      <c r="BE211" s="15"/>
      <c r="BF211" s="15"/>
      <c r="BG211" s="71"/>
      <c r="BH211" s="15"/>
      <c r="BI211" s="15"/>
      <c r="BJ211" s="71"/>
      <c r="BK211" s="15"/>
      <c r="BL211" s="15"/>
      <c r="BM211" s="15"/>
      <c r="BN211" s="71"/>
      <c r="BO211" s="15"/>
      <c r="BP211" s="15"/>
      <c r="BQ211" s="71"/>
      <c r="BR211" s="15"/>
      <c r="BS211" s="15"/>
      <c r="BT211" s="15"/>
      <c r="BU211" s="71"/>
      <c r="BV211" s="15"/>
      <c r="BW211" s="15"/>
      <c r="BX211" s="71"/>
      <c r="BY211" s="15"/>
      <c r="BZ211" s="15"/>
      <c r="CA211" s="71"/>
      <c r="CB211" s="15"/>
      <c r="CC211" s="15"/>
      <c r="CD211" s="15"/>
      <c r="CE211" s="71"/>
      <c r="CF211" s="15"/>
      <c r="CG211" s="15"/>
      <c r="CH211" s="71"/>
      <c r="CI211" s="15"/>
      <c r="CJ211" s="15"/>
      <c r="CK211" s="15"/>
      <c r="CL211" s="71"/>
      <c r="CM211" s="15"/>
      <c r="CN211" s="15"/>
      <c r="CO211" s="71"/>
      <c r="CP211" s="15"/>
      <c r="CQ211" s="15"/>
      <c r="CR211" s="15"/>
      <c r="CS211" s="71"/>
      <c r="CT211" s="15"/>
      <c r="CU211" s="15"/>
      <c r="CV211" s="71"/>
      <c r="CW211" s="15"/>
      <c r="CX211" s="15"/>
    </row>
    <row r="212" spans="2:102" s="3" customFormat="1" x14ac:dyDescent="0.25">
      <c r="B212" s="12"/>
      <c r="C212" s="15"/>
      <c r="D212" s="15"/>
      <c r="E212" s="12"/>
      <c r="F212" s="15"/>
      <c r="G212" s="15"/>
      <c r="H212" s="71"/>
      <c r="I212" s="15"/>
      <c r="J212" s="15"/>
      <c r="K212" s="15"/>
      <c r="L212" s="71"/>
      <c r="M212" s="15"/>
      <c r="N212" s="15"/>
      <c r="O212" s="71"/>
      <c r="P212" s="15"/>
      <c r="Q212" s="15"/>
      <c r="R212" s="15"/>
      <c r="S212" s="71"/>
      <c r="T212" s="15"/>
      <c r="U212" s="15"/>
      <c r="V212" s="71"/>
      <c r="W212" s="15"/>
      <c r="X212" s="15"/>
      <c r="Y212" s="71"/>
      <c r="Z212" s="15"/>
      <c r="AA212" s="15"/>
      <c r="AB212" s="15"/>
      <c r="AC212" s="71"/>
      <c r="AD212" s="15"/>
      <c r="AE212" s="15"/>
      <c r="AF212" s="71"/>
      <c r="AG212" s="15"/>
      <c r="AH212" s="15"/>
      <c r="AI212" s="15"/>
      <c r="AJ212" s="71"/>
      <c r="AK212" s="15"/>
      <c r="AL212" s="15"/>
      <c r="AM212" s="71"/>
      <c r="AN212" s="15"/>
      <c r="AO212" s="15"/>
      <c r="AP212" s="15"/>
      <c r="AQ212" s="71"/>
      <c r="AR212" s="15"/>
      <c r="AS212" s="15"/>
      <c r="AT212" s="71"/>
      <c r="AU212" s="15"/>
      <c r="AV212" s="15"/>
      <c r="AW212" s="71"/>
      <c r="AX212" s="15"/>
      <c r="AY212" s="15"/>
      <c r="AZ212" s="71"/>
      <c r="BA212" s="15"/>
      <c r="BB212" s="15"/>
      <c r="BC212" s="71"/>
      <c r="BD212" s="15"/>
      <c r="BE212" s="15"/>
      <c r="BF212" s="15"/>
      <c r="BG212" s="71"/>
      <c r="BH212" s="15"/>
      <c r="BI212" s="15"/>
      <c r="BJ212" s="71"/>
      <c r="BK212" s="15"/>
      <c r="BL212" s="15"/>
      <c r="BM212" s="15"/>
      <c r="BN212" s="71"/>
      <c r="BO212" s="15"/>
      <c r="BP212" s="15"/>
      <c r="BQ212" s="71"/>
      <c r="BR212" s="15"/>
      <c r="BS212" s="15"/>
      <c r="BT212" s="15"/>
      <c r="BU212" s="71"/>
      <c r="BV212" s="15"/>
      <c r="BW212" s="15"/>
      <c r="BX212" s="71"/>
      <c r="BY212" s="15"/>
      <c r="BZ212" s="15"/>
      <c r="CA212" s="71"/>
      <c r="CB212" s="15"/>
      <c r="CC212" s="15"/>
      <c r="CD212" s="15"/>
      <c r="CE212" s="71"/>
      <c r="CF212" s="15"/>
      <c r="CG212" s="15"/>
      <c r="CH212" s="71"/>
      <c r="CI212" s="15"/>
      <c r="CJ212" s="15"/>
      <c r="CK212" s="15"/>
      <c r="CL212" s="71"/>
      <c r="CM212" s="15"/>
      <c r="CN212" s="15"/>
      <c r="CO212" s="71"/>
      <c r="CP212" s="15"/>
      <c r="CQ212" s="15"/>
      <c r="CR212" s="15"/>
      <c r="CS212" s="71"/>
      <c r="CT212" s="15"/>
      <c r="CU212" s="15"/>
      <c r="CV212" s="71"/>
      <c r="CW212" s="15"/>
      <c r="CX212" s="15"/>
    </row>
    <row r="213" spans="2:102" s="3" customFormat="1" x14ac:dyDescent="0.25">
      <c r="B213" s="12"/>
      <c r="C213" s="15"/>
      <c r="D213" s="15"/>
      <c r="E213" s="12"/>
      <c r="F213" s="15"/>
      <c r="G213" s="15"/>
      <c r="H213" s="71"/>
      <c r="I213" s="15"/>
      <c r="J213" s="15"/>
      <c r="K213" s="15"/>
      <c r="L213" s="71"/>
      <c r="M213" s="15"/>
      <c r="N213" s="15"/>
      <c r="O213" s="71"/>
      <c r="P213" s="15"/>
      <c r="Q213" s="15"/>
      <c r="R213" s="15"/>
      <c r="S213" s="71"/>
      <c r="T213" s="15"/>
      <c r="U213" s="15"/>
      <c r="V213" s="71"/>
      <c r="W213" s="15"/>
      <c r="X213" s="15"/>
      <c r="Y213" s="71"/>
      <c r="Z213" s="15"/>
      <c r="AA213" s="15"/>
      <c r="AB213" s="15"/>
      <c r="AC213" s="71"/>
      <c r="AD213" s="15"/>
      <c r="AE213" s="15"/>
      <c r="AF213" s="71"/>
      <c r="AG213" s="15"/>
      <c r="AH213" s="15"/>
      <c r="AI213" s="15"/>
      <c r="AJ213" s="71"/>
      <c r="AK213" s="15"/>
      <c r="AL213" s="15"/>
      <c r="AM213" s="71"/>
      <c r="AN213" s="15"/>
      <c r="AO213" s="15"/>
      <c r="AP213" s="15"/>
      <c r="AQ213" s="71"/>
      <c r="AR213" s="15"/>
      <c r="AS213" s="15"/>
      <c r="AT213" s="71"/>
      <c r="AU213" s="15"/>
      <c r="AV213" s="15"/>
      <c r="AW213" s="71"/>
      <c r="AX213" s="15"/>
      <c r="AY213" s="15"/>
      <c r="AZ213" s="71"/>
      <c r="BA213" s="15"/>
      <c r="BB213" s="15"/>
      <c r="BC213" s="71"/>
      <c r="BD213" s="15"/>
      <c r="BE213" s="15"/>
      <c r="BF213" s="15"/>
      <c r="BG213" s="71"/>
      <c r="BH213" s="15"/>
      <c r="BI213" s="15"/>
      <c r="BJ213" s="71"/>
      <c r="BK213" s="15"/>
      <c r="BL213" s="15"/>
      <c r="BM213" s="15"/>
      <c r="BN213" s="71"/>
      <c r="BO213" s="15"/>
      <c r="BP213" s="15"/>
      <c r="BQ213" s="71"/>
      <c r="BR213" s="15"/>
      <c r="BS213" s="15"/>
      <c r="BT213" s="15"/>
      <c r="BU213" s="71"/>
      <c r="BV213" s="15"/>
      <c r="BW213" s="15"/>
      <c r="BX213" s="71"/>
      <c r="BY213" s="15"/>
      <c r="BZ213" s="15"/>
      <c r="CA213" s="71"/>
      <c r="CB213" s="15"/>
      <c r="CC213" s="15"/>
      <c r="CD213" s="15"/>
      <c r="CE213" s="71"/>
      <c r="CF213" s="15"/>
      <c r="CG213" s="15"/>
      <c r="CH213" s="71"/>
      <c r="CI213" s="15"/>
      <c r="CJ213" s="15"/>
      <c r="CK213" s="15"/>
      <c r="CL213" s="71"/>
      <c r="CM213" s="15"/>
      <c r="CN213" s="15"/>
      <c r="CO213" s="71"/>
      <c r="CP213" s="15"/>
      <c r="CQ213" s="15"/>
      <c r="CR213" s="15"/>
      <c r="CS213" s="71"/>
      <c r="CT213" s="15"/>
      <c r="CU213" s="15"/>
      <c r="CV213" s="71"/>
      <c r="CW213" s="15"/>
      <c r="CX213" s="15"/>
    </row>
    <row r="214" spans="2:102" s="3" customFormat="1" x14ac:dyDescent="0.25">
      <c r="B214" s="12"/>
      <c r="C214" s="15"/>
      <c r="D214" s="15"/>
      <c r="E214" s="12"/>
      <c r="F214" s="15"/>
      <c r="G214" s="15"/>
      <c r="H214" s="71"/>
      <c r="I214" s="15"/>
      <c r="J214" s="15"/>
      <c r="K214" s="15"/>
      <c r="L214" s="71"/>
      <c r="M214" s="15"/>
      <c r="N214" s="15"/>
      <c r="O214" s="71"/>
      <c r="P214" s="15"/>
      <c r="Q214" s="15"/>
      <c r="R214" s="15"/>
      <c r="S214" s="71"/>
      <c r="T214" s="15"/>
      <c r="U214" s="15"/>
      <c r="V214" s="71"/>
      <c r="W214" s="15"/>
      <c r="X214" s="15"/>
      <c r="Y214" s="71"/>
      <c r="Z214" s="15"/>
      <c r="AA214" s="15"/>
      <c r="AB214" s="15"/>
      <c r="AC214" s="71"/>
      <c r="AD214" s="15"/>
      <c r="AE214" s="15"/>
      <c r="AF214" s="71"/>
      <c r="AG214" s="15"/>
      <c r="AH214" s="15"/>
      <c r="AI214" s="15"/>
      <c r="AJ214" s="71"/>
      <c r="AK214" s="15"/>
      <c r="AL214" s="15"/>
      <c r="AM214" s="71"/>
      <c r="AN214" s="15"/>
      <c r="AO214" s="15"/>
      <c r="AP214" s="15"/>
      <c r="AQ214" s="71"/>
      <c r="AR214" s="15"/>
      <c r="AS214" s="15"/>
      <c r="AT214" s="71"/>
      <c r="AU214" s="15"/>
      <c r="AV214" s="15"/>
      <c r="AW214" s="71"/>
      <c r="AX214" s="15"/>
      <c r="AY214" s="15"/>
      <c r="AZ214" s="71"/>
      <c r="BA214" s="15"/>
      <c r="BB214" s="15"/>
      <c r="BC214" s="71"/>
      <c r="BD214" s="15"/>
      <c r="BE214" s="15"/>
      <c r="BF214" s="15"/>
      <c r="BG214" s="71"/>
      <c r="BH214" s="15"/>
      <c r="BI214" s="15"/>
      <c r="BJ214" s="71"/>
      <c r="BK214" s="15"/>
      <c r="BL214" s="15"/>
      <c r="BM214" s="15"/>
      <c r="BN214" s="71"/>
      <c r="BO214" s="15"/>
      <c r="BP214" s="15"/>
      <c r="BQ214" s="71"/>
      <c r="BR214" s="15"/>
      <c r="BS214" s="15"/>
      <c r="BT214" s="15"/>
      <c r="BU214" s="71"/>
      <c r="BV214" s="15"/>
      <c r="BW214" s="15"/>
      <c r="BX214" s="71"/>
      <c r="BY214" s="15"/>
      <c r="BZ214" s="15"/>
      <c r="CA214" s="71"/>
      <c r="CB214" s="15"/>
      <c r="CC214" s="15"/>
      <c r="CD214" s="15"/>
      <c r="CE214" s="71"/>
      <c r="CF214" s="15"/>
      <c r="CG214" s="15"/>
      <c r="CH214" s="71"/>
      <c r="CI214" s="15"/>
      <c r="CJ214" s="15"/>
      <c r="CK214" s="15"/>
      <c r="CL214" s="71"/>
      <c r="CM214" s="15"/>
      <c r="CN214" s="15"/>
      <c r="CO214" s="71"/>
      <c r="CP214" s="15"/>
      <c r="CQ214" s="15"/>
      <c r="CR214" s="15"/>
      <c r="CS214" s="71"/>
      <c r="CT214" s="15"/>
      <c r="CU214" s="15"/>
      <c r="CV214" s="71"/>
      <c r="CW214" s="15"/>
      <c r="CX214" s="15"/>
    </row>
    <row r="215" spans="2:102" s="3" customFormat="1" x14ac:dyDescent="0.25">
      <c r="B215" s="12"/>
      <c r="C215" s="15"/>
      <c r="D215" s="15"/>
      <c r="E215" s="12"/>
      <c r="F215" s="15"/>
      <c r="G215" s="15"/>
      <c r="H215" s="71"/>
      <c r="I215" s="15"/>
      <c r="J215" s="15"/>
      <c r="K215" s="15"/>
      <c r="L215" s="71"/>
      <c r="M215" s="15"/>
      <c r="N215" s="15"/>
      <c r="O215" s="71"/>
      <c r="P215" s="15"/>
      <c r="Q215" s="15"/>
      <c r="R215" s="15"/>
      <c r="S215" s="71"/>
      <c r="T215" s="15"/>
      <c r="U215" s="15"/>
      <c r="V215" s="71"/>
      <c r="W215" s="15"/>
      <c r="X215" s="15"/>
      <c r="Y215" s="71"/>
      <c r="Z215" s="15"/>
      <c r="AA215" s="15"/>
      <c r="AB215" s="15"/>
      <c r="AC215" s="71"/>
      <c r="AD215" s="15"/>
      <c r="AE215" s="15"/>
      <c r="AF215" s="71"/>
      <c r="AG215" s="15"/>
      <c r="AH215" s="15"/>
      <c r="AI215" s="15"/>
      <c r="AJ215" s="71"/>
      <c r="AK215" s="15"/>
      <c r="AL215" s="15"/>
      <c r="AM215" s="71"/>
      <c r="AN215" s="15"/>
      <c r="AO215" s="15"/>
      <c r="AP215" s="15"/>
      <c r="AQ215" s="71"/>
      <c r="AR215" s="15"/>
      <c r="AS215" s="15"/>
      <c r="AT215" s="71"/>
      <c r="AU215" s="15"/>
      <c r="AV215" s="15"/>
      <c r="AW215" s="71"/>
      <c r="AX215" s="15"/>
      <c r="AY215" s="15"/>
      <c r="AZ215" s="71"/>
      <c r="BA215" s="15"/>
      <c r="BB215" s="15"/>
      <c r="BC215" s="71"/>
      <c r="BD215" s="15"/>
      <c r="BE215" s="15"/>
      <c r="BF215" s="15"/>
      <c r="BG215" s="71"/>
      <c r="BH215" s="15"/>
      <c r="BI215" s="15"/>
      <c r="BJ215" s="71"/>
      <c r="BK215" s="15"/>
      <c r="BL215" s="15"/>
      <c r="BM215" s="15"/>
      <c r="BN215" s="71"/>
      <c r="BO215" s="15"/>
      <c r="BP215" s="15"/>
      <c r="BQ215" s="71"/>
      <c r="BR215" s="15"/>
      <c r="BS215" s="15"/>
      <c r="BT215" s="15"/>
      <c r="BU215" s="71"/>
      <c r="BV215" s="15"/>
      <c r="BW215" s="15"/>
      <c r="BX215" s="71"/>
      <c r="BY215" s="15"/>
      <c r="BZ215" s="15"/>
      <c r="CA215" s="71"/>
      <c r="CB215" s="15"/>
      <c r="CC215" s="15"/>
      <c r="CD215" s="15"/>
      <c r="CE215" s="71"/>
      <c r="CF215" s="15"/>
      <c r="CG215" s="15"/>
      <c r="CH215" s="71"/>
      <c r="CI215" s="15"/>
      <c r="CJ215" s="15"/>
      <c r="CK215" s="15"/>
      <c r="CL215" s="71"/>
      <c r="CM215" s="15"/>
      <c r="CN215" s="15"/>
      <c r="CO215" s="71"/>
      <c r="CP215" s="15"/>
      <c r="CQ215" s="15"/>
      <c r="CR215" s="15"/>
      <c r="CS215" s="71"/>
      <c r="CT215" s="15"/>
      <c r="CU215" s="15"/>
      <c r="CV215" s="71"/>
      <c r="CW215" s="15"/>
      <c r="CX215" s="15"/>
    </row>
    <row r="216" spans="2:102" s="3" customFormat="1" x14ac:dyDescent="0.25">
      <c r="B216" s="12"/>
      <c r="C216" s="15"/>
      <c r="D216" s="15"/>
      <c r="E216" s="12"/>
      <c r="F216" s="15"/>
      <c r="G216" s="15"/>
      <c r="H216" s="71"/>
      <c r="I216" s="15"/>
      <c r="J216" s="15"/>
      <c r="K216" s="15"/>
      <c r="L216" s="71"/>
      <c r="M216" s="15"/>
      <c r="N216" s="15"/>
      <c r="O216" s="71"/>
      <c r="P216" s="15"/>
      <c r="Q216" s="15"/>
      <c r="R216" s="15"/>
      <c r="S216" s="71"/>
      <c r="T216" s="15"/>
      <c r="U216" s="15"/>
      <c r="V216" s="71"/>
      <c r="W216" s="15"/>
      <c r="X216" s="15"/>
      <c r="Y216" s="71"/>
      <c r="Z216" s="15"/>
      <c r="AA216" s="15"/>
      <c r="AB216" s="15"/>
      <c r="AC216" s="71"/>
      <c r="AD216" s="15"/>
      <c r="AE216" s="15"/>
      <c r="AF216" s="71"/>
      <c r="AG216" s="15"/>
      <c r="AH216" s="15"/>
      <c r="AI216" s="15"/>
      <c r="AJ216" s="71"/>
      <c r="AK216" s="15"/>
      <c r="AL216" s="15"/>
      <c r="AM216" s="71"/>
      <c r="AN216" s="15"/>
      <c r="AO216" s="15"/>
      <c r="AP216" s="15"/>
      <c r="AQ216" s="71"/>
      <c r="AR216" s="15"/>
      <c r="AS216" s="15"/>
      <c r="AT216" s="71"/>
      <c r="AU216" s="15"/>
      <c r="AV216" s="15"/>
      <c r="AW216" s="71"/>
      <c r="AX216" s="15"/>
      <c r="AY216" s="15"/>
      <c r="AZ216" s="71"/>
      <c r="BA216" s="15"/>
      <c r="BB216" s="15"/>
      <c r="BC216" s="71"/>
      <c r="BD216" s="15"/>
      <c r="BE216" s="15"/>
      <c r="BF216" s="15"/>
      <c r="BG216" s="71"/>
      <c r="BH216" s="15"/>
      <c r="BI216" s="15"/>
      <c r="BJ216" s="71"/>
      <c r="BK216" s="15"/>
      <c r="BL216" s="15"/>
      <c r="BM216" s="15"/>
      <c r="BN216" s="71"/>
      <c r="BO216" s="15"/>
      <c r="BP216" s="15"/>
      <c r="BQ216" s="71"/>
      <c r="BR216" s="15"/>
      <c r="BS216" s="15"/>
      <c r="BT216" s="15"/>
      <c r="BU216" s="71"/>
      <c r="BV216" s="15"/>
      <c r="BW216" s="15"/>
      <c r="BX216" s="71"/>
      <c r="BY216" s="15"/>
      <c r="BZ216" s="15"/>
      <c r="CA216" s="71"/>
      <c r="CB216" s="15"/>
      <c r="CC216" s="15"/>
      <c r="CD216" s="15"/>
      <c r="CE216" s="71"/>
      <c r="CF216" s="15"/>
      <c r="CG216" s="15"/>
      <c r="CH216" s="71"/>
      <c r="CI216" s="15"/>
      <c r="CJ216" s="15"/>
      <c r="CK216" s="15"/>
      <c r="CL216" s="71"/>
      <c r="CM216" s="15"/>
      <c r="CN216" s="15"/>
      <c r="CO216" s="71"/>
      <c r="CP216" s="15"/>
      <c r="CQ216" s="15"/>
      <c r="CR216" s="15"/>
      <c r="CS216" s="71"/>
      <c r="CT216" s="15"/>
      <c r="CU216" s="15"/>
      <c r="CV216" s="71"/>
      <c r="CW216" s="15"/>
      <c r="CX216" s="15"/>
    </row>
  </sheetData>
  <mergeCells count="1">
    <mergeCell ref="B2:CX2"/>
  </mergeCells>
  <conditionalFormatting sqref="C5">
    <cfRule type="expression" dxfId="2541" priority="196">
      <formula>B5&lt;0</formula>
    </cfRule>
    <cfRule type="colorScale" priority="195">
      <colorScale>
        <cfvo type="min"/>
        <cfvo type="max"/>
        <color theme="0"/>
        <color theme="0"/>
      </colorScale>
    </cfRule>
  </conditionalFormatting>
  <conditionalFormatting sqref="C5:C20">
    <cfRule type="expression" dxfId="2540" priority="193">
      <formula>IF(C5="Validar","Rojo","Verde")</formula>
    </cfRule>
    <cfRule type="expression" priority="194">
      <formula>#REF!</formula>
    </cfRule>
  </conditionalFormatting>
  <conditionalFormatting sqref="C6">
    <cfRule type="colorScale" priority="4507">
      <colorScale>
        <cfvo type="min"/>
        <cfvo type="max"/>
        <color theme="0"/>
        <color theme="0"/>
      </colorScale>
    </cfRule>
    <cfRule type="expression" dxfId="2539" priority="4508">
      <formula>B6&lt;0</formula>
    </cfRule>
  </conditionalFormatting>
  <conditionalFormatting sqref="C7:C8">
    <cfRule type="expression" dxfId="2538" priority="4504">
      <formula>B7&lt;0</formula>
    </cfRule>
    <cfRule type="colorScale" priority="4503">
      <colorScale>
        <cfvo type="min"/>
        <cfvo type="max"/>
        <color theme="0"/>
        <color theme="0"/>
      </colorScale>
    </cfRule>
  </conditionalFormatting>
  <conditionalFormatting sqref="C9">
    <cfRule type="expression" dxfId="2537" priority="9367">
      <formula>B9&lt;0</formula>
    </cfRule>
    <cfRule type="colorScale" priority="9366">
      <colorScale>
        <cfvo type="min"/>
        <cfvo type="max"/>
        <color theme="0"/>
        <color theme="0"/>
      </colorScale>
    </cfRule>
  </conditionalFormatting>
  <conditionalFormatting sqref="C10">
    <cfRule type="colorScale" priority="9343">
      <colorScale>
        <cfvo type="min"/>
        <cfvo type="max"/>
        <color theme="0"/>
        <color theme="0"/>
      </colorScale>
    </cfRule>
    <cfRule type="expression" dxfId="2536" priority="9344">
      <formula>B10&lt;0</formula>
    </cfRule>
  </conditionalFormatting>
  <conditionalFormatting sqref="C11:C13">
    <cfRule type="expression" dxfId="2535" priority="9365">
      <formula>B11&lt;0</formula>
    </cfRule>
    <cfRule type="colorScale" priority="9364">
      <colorScale>
        <cfvo type="min"/>
        <cfvo type="max"/>
        <color theme="0"/>
        <color theme="0"/>
      </colorScale>
    </cfRule>
  </conditionalFormatting>
  <conditionalFormatting sqref="C14">
    <cfRule type="colorScale" priority="367">
      <colorScale>
        <cfvo type="min"/>
        <cfvo type="max"/>
        <color theme="0"/>
        <color theme="0"/>
      </colorScale>
    </cfRule>
    <cfRule type="expression" dxfId="2534" priority="368">
      <formula>B14&lt;0</formula>
    </cfRule>
  </conditionalFormatting>
  <conditionalFormatting sqref="C15">
    <cfRule type="colorScale" priority="9341">
      <colorScale>
        <cfvo type="min"/>
        <cfvo type="max"/>
        <color theme="0"/>
        <color theme="0"/>
      </colorScale>
    </cfRule>
    <cfRule type="expression" dxfId="2533" priority="9342">
      <formula>B15&lt;0</formula>
    </cfRule>
  </conditionalFormatting>
  <conditionalFormatting sqref="C16:C17">
    <cfRule type="colorScale" priority="9362">
      <colorScale>
        <cfvo type="min"/>
        <cfvo type="max"/>
        <color theme="0"/>
        <color theme="0"/>
      </colorScale>
    </cfRule>
    <cfRule type="expression" dxfId="2532" priority="9363">
      <formula>B16&lt;0</formula>
    </cfRule>
  </conditionalFormatting>
  <conditionalFormatting sqref="C18">
    <cfRule type="colorScale" priority="9338">
      <colorScale>
        <cfvo type="min"/>
        <cfvo type="max"/>
        <color theme="0"/>
        <color theme="0"/>
      </colorScale>
    </cfRule>
    <cfRule type="expression" dxfId="2531" priority="9340">
      <formula>B18&lt;0</formula>
    </cfRule>
  </conditionalFormatting>
  <conditionalFormatting sqref="C19:C20">
    <cfRule type="expression" dxfId="2530" priority="9361">
      <formula>B19&lt;0</formula>
    </cfRule>
    <cfRule type="colorScale" priority="9360">
      <colorScale>
        <cfvo type="min"/>
        <cfvo type="max"/>
        <color theme="0"/>
        <color theme="0"/>
      </colorScale>
    </cfRule>
  </conditionalFormatting>
  <conditionalFormatting sqref="C23">
    <cfRule type="expression" dxfId="2529" priority="9336">
      <formula>B23&lt;0</formula>
    </cfRule>
    <cfRule type="colorScale" priority="9335">
      <colorScale>
        <cfvo type="min"/>
        <cfvo type="max"/>
        <color theme="0"/>
        <color theme="0"/>
      </colorScale>
    </cfRule>
  </conditionalFormatting>
  <conditionalFormatting sqref="C23:C31">
    <cfRule type="expression" dxfId="2528" priority="9329">
      <formula>IF(C23="Validar","Rojo","Verde")</formula>
    </cfRule>
    <cfRule type="expression" priority="9331">
      <formula>#REF!</formula>
    </cfRule>
  </conditionalFormatting>
  <conditionalFormatting sqref="C24">
    <cfRule type="expression" dxfId="2527" priority="9359">
      <formula>B24&lt;0</formula>
    </cfRule>
    <cfRule type="colorScale" priority="9358">
      <colorScale>
        <cfvo type="min"/>
        <cfvo type="max"/>
        <color theme="0"/>
        <color theme="0"/>
      </colorScale>
    </cfRule>
  </conditionalFormatting>
  <conditionalFormatting sqref="C25">
    <cfRule type="expression" dxfId="2526" priority="9357">
      <formula>B25&lt;0</formula>
    </cfRule>
    <cfRule type="colorScale" priority="9356">
      <colorScale>
        <cfvo type="min"/>
        <cfvo type="max"/>
        <color theme="0"/>
        <color theme="0"/>
      </colorScale>
    </cfRule>
  </conditionalFormatting>
  <conditionalFormatting sqref="C26">
    <cfRule type="expression" dxfId="2525" priority="9334">
      <formula>B26&lt;0</formula>
    </cfRule>
    <cfRule type="colorScale" priority="9333">
      <colorScale>
        <cfvo type="min"/>
        <cfvo type="max"/>
        <color theme="0"/>
        <color theme="0"/>
      </colorScale>
    </cfRule>
  </conditionalFormatting>
  <conditionalFormatting sqref="C27">
    <cfRule type="colorScale" priority="9354">
      <colorScale>
        <cfvo type="min"/>
        <cfvo type="max"/>
        <color theme="0"/>
        <color theme="0"/>
      </colorScale>
    </cfRule>
    <cfRule type="expression" dxfId="2524" priority="9355">
      <formula>B27&lt;0</formula>
    </cfRule>
  </conditionalFormatting>
  <conditionalFormatting sqref="C28">
    <cfRule type="expression" dxfId="2523" priority="9353">
      <formula>B28&lt;0</formula>
    </cfRule>
    <cfRule type="colorScale" priority="9352">
      <colorScale>
        <cfvo type="min"/>
        <cfvo type="max"/>
        <color theme="0"/>
        <color theme="0"/>
      </colorScale>
    </cfRule>
  </conditionalFormatting>
  <conditionalFormatting sqref="C29">
    <cfRule type="colorScale" priority="9330">
      <colorScale>
        <cfvo type="min"/>
        <cfvo type="max"/>
        <color theme="0"/>
        <color theme="0"/>
      </colorScale>
    </cfRule>
    <cfRule type="expression" dxfId="2522" priority="9332">
      <formula>B29&lt;0</formula>
    </cfRule>
  </conditionalFormatting>
  <conditionalFormatting sqref="C30">
    <cfRule type="colorScale" priority="9350">
      <colorScale>
        <cfvo type="min"/>
        <cfvo type="max"/>
        <color theme="0"/>
        <color theme="0"/>
      </colorScale>
    </cfRule>
    <cfRule type="expression" dxfId="2521" priority="9351">
      <formula>B30&lt;0</formula>
    </cfRule>
  </conditionalFormatting>
  <conditionalFormatting sqref="C31">
    <cfRule type="expression" dxfId="2520" priority="9349">
      <formula>B31&lt;0</formula>
    </cfRule>
    <cfRule type="colorScale" priority="9348">
      <colorScale>
        <cfvo type="min"/>
        <cfvo type="max"/>
        <color theme="0"/>
        <color theme="0"/>
      </colorScale>
    </cfRule>
  </conditionalFormatting>
  <conditionalFormatting sqref="C39">
    <cfRule type="expression" dxfId="2519" priority="9328">
      <formula>B39&lt;0</formula>
    </cfRule>
    <cfRule type="colorScale" priority="9326">
      <colorScale>
        <cfvo type="min"/>
        <cfvo type="max"/>
        <color theme="0"/>
        <color theme="0"/>
      </colorScale>
    </cfRule>
    <cfRule type="expression" priority="9327">
      <formula>#REF!</formula>
    </cfRule>
  </conditionalFormatting>
  <conditionalFormatting sqref="C39:C107">
    <cfRule type="expression" dxfId="2518" priority="9157">
      <formula>IF(C39="Validar","Rojo","Verde")</formula>
    </cfRule>
  </conditionalFormatting>
  <conditionalFormatting sqref="C40:C67">
    <cfRule type="colorScale" priority="9345">
      <colorScale>
        <cfvo type="min"/>
        <cfvo type="max"/>
        <color theme="0"/>
        <color theme="0"/>
      </colorScale>
    </cfRule>
    <cfRule type="expression" priority="9346">
      <formula>$F$19</formula>
    </cfRule>
    <cfRule type="expression" dxfId="2517" priority="9347">
      <formula>B40&lt;0</formula>
    </cfRule>
  </conditionalFormatting>
  <conditionalFormatting sqref="C68">
    <cfRule type="expression" dxfId="2516" priority="9325">
      <formula>B68&lt;0</formula>
    </cfRule>
    <cfRule type="colorScale" priority="9323">
      <colorScale>
        <cfvo type="min"/>
        <cfvo type="max"/>
        <color theme="0"/>
        <color theme="0"/>
      </colorScale>
    </cfRule>
    <cfRule type="expression" priority="9324">
      <formula>#REF!</formula>
    </cfRule>
  </conditionalFormatting>
  <conditionalFormatting sqref="C69:C81">
    <cfRule type="expression" dxfId="2515" priority="9372">
      <formula>B69&lt;0</formula>
    </cfRule>
    <cfRule type="expression" priority="9371">
      <formula>$F$19</formula>
    </cfRule>
    <cfRule type="colorScale" priority="9370">
      <colorScale>
        <cfvo type="min"/>
        <cfvo type="max"/>
        <color theme="0"/>
        <color theme="0"/>
      </colorScale>
    </cfRule>
  </conditionalFormatting>
  <conditionalFormatting sqref="C82 C92 C103 C107">
    <cfRule type="colorScale" priority="9368">
      <colorScale>
        <cfvo type="min"/>
        <cfvo type="max"/>
        <color theme="0"/>
        <color theme="0"/>
      </colorScale>
    </cfRule>
    <cfRule type="expression" dxfId="2514" priority="9369">
      <formula>B82&lt;0</formula>
    </cfRule>
  </conditionalFormatting>
  <conditionalFormatting sqref="C83">
    <cfRule type="expression" priority="9159">
      <formula>#REF!</formula>
    </cfRule>
    <cfRule type="expression" dxfId="2513" priority="9160">
      <formula>B83&lt;0</formula>
    </cfRule>
    <cfRule type="colorScale" priority="9158">
      <colorScale>
        <cfvo type="min"/>
        <cfvo type="max"/>
        <color theme="0"/>
        <color theme="0"/>
      </colorScale>
    </cfRule>
  </conditionalFormatting>
  <conditionalFormatting sqref="C84:C91">
    <cfRule type="expression" dxfId="2512" priority="9375">
      <formula>B84&lt;0</formula>
    </cfRule>
    <cfRule type="expression" priority="9374">
      <formula>$F$19</formula>
    </cfRule>
    <cfRule type="colorScale" priority="9373">
      <colorScale>
        <cfvo type="min"/>
        <cfvo type="max"/>
        <color theme="0"/>
        <color theme="0"/>
      </colorScale>
    </cfRule>
  </conditionalFormatting>
  <conditionalFormatting sqref="C93">
    <cfRule type="expression" dxfId="2511" priority="9322">
      <formula>B93&lt;0</formula>
    </cfRule>
    <cfRule type="colorScale" priority="9320">
      <colorScale>
        <cfvo type="min"/>
        <cfvo type="max"/>
        <color theme="0"/>
        <color theme="0"/>
      </colorScale>
    </cfRule>
    <cfRule type="expression" priority="9321">
      <formula>#REF!</formula>
    </cfRule>
  </conditionalFormatting>
  <conditionalFormatting sqref="C94:C102">
    <cfRule type="colorScale" priority="9376">
      <colorScale>
        <cfvo type="min"/>
        <cfvo type="max"/>
        <color theme="0"/>
        <color theme="0"/>
      </colorScale>
    </cfRule>
    <cfRule type="expression" dxfId="2510" priority="9378">
      <formula>B94&lt;0</formula>
    </cfRule>
    <cfRule type="expression" priority="9377">
      <formula>$F$19</formula>
    </cfRule>
  </conditionalFormatting>
  <conditionalFormatting sqref="C104">
    <cfRule type="expression" dxfId="2509" priority="9319">
      <formula>B104&lt;0</formula>
    </cfRule>
    <cfRule type="expression" priority="9318">
      <formula>#REF!</formula>
    </cfRule>
    <cfRule type="colorScale" priority="9317">
      <colorScale>
        <cfvo type="min"/>
        <cfvo type="max"/>
        <color theme="0"/>
        <color theme="0"/>
      </colorScale>
    </cfRule>
  </conditionalFormatting>
  <conditionalFormatting sqref="C105:C106">
    <cfRule type="expression" dxfId="2508" priority="9381">
      <formula>B105&lt;0</formula>
    </cfRule>
    <cfRule type="expression" priority="9380">
      <formula>$F$19</formula>
    </cfRule>
    <cfRule type="colorScale" priority="9379">
      <colorScale>
        <cfvo type="min"/>
        <cfvo type="max"/>
        <color theme="0"/>
        <color theme="0"/>
      </colorScale>
    </cfRule>
  </conditionalFormatting>
  <conditionalFormatting sqref="C110">
    <cfRule type="colorScale" priority="9382">
      <colorScale>
        <cfvo type="min"/>
        <cfvo type="max"/>
        <color theme="0"/>
        <color theme="0"/>
      </colorScale>
    </cfRule>
    <cfRule type="expression" dxfId="2507" priority="9383">
      <formula>B110&lt;0</formula>
    </cfRule>
  </conditionalFormatting>
  <conditionalFormatting sqref="C110:C111">
    <cfRule type="expression" priority="9141">
      <formula>$F$19</formula>
    </cfRule>
  </conditionalFormatting>
  <conditionalFormatting sqref="C111">
    <cfRule type="colorScale" priority="9140">
      <colorScale>
        <cfvo type="min"/>
        <cfvo type="max"/>
        <color theme="0"/>
        <color theme="0"/>
      </colorScale>
    </cfRule>
    <cfRule type="expression" dxfId="2506" priority="9142">
      <formula>B111&lt;0</formula>
    </cfRule>
  </conditionalFormatting>
  <conditionalFormatting sqref="C117:C123">
    <cfRule type="colorScale" priority="10133">
      <colorScale>
        <cfvo type="min"/>
        <cfvo type="max"/>
        <color theme="0"/>
        <color theme="0"/>
      </colorScale>
    </cfRule>
    <cfRule type="expression" priority="10134">
      <formula>$F$19</formula>
    </cfRule>
    <cfRule type="expression" dxfId="2505" priority="10135">
      <formula>B117&lt;0</formula>
    </cfRule>
  </conditionalFormatting>
  <conditionalFormatting sqref="C125">
    <cfRule type="expression" dxfId="2504" priority="9316">
      <formula>B125&lt;0</formula>
    </cfRule>
    <cfRule type="expression" priority="9315">
      <formula>#REF!</formula>
    </cfRule>
    <cfRule type="colorScale" priority="9314">
      <colorScale>
        <cfvo type="min"/>
        <cfvo type="max"/>
        <color theme="0"/>
        <color theme="0"/>
      </colorScale>
    </cfRule>
  </conditionalFormatting>
  <conditionalFormatting sqref="C125:C135">
    <cfRule type="expression" dxfId="2503" priority="9313">
      <formula>IF(C125="Validar","Rojo","Verde")</formula>
    </cfRule>
  </conditionalFormatting>
  <conditionalFormatting sqref="C126:C132">
    <cfRule type="colorScale" priority="10136">
      <colorScale>
        <cfvo type="min"/>
        <cfvo type="max"/>
        <color theme="0"/>
        <color theme="0"/>
      </colorScale>
    </cfRule>
    <cfRule type="expression" dxfId="2502" priority="10138">
      <formula>B126&lt;0</formula>
    </cfRule>
  </conditionalFormatting>
  <conditionalFormatting sqref="C126:C134">
    <cfRule type="expression" priority="10137">
      <formula>$F$19</formula>
    </cfRule>
  </conditionalFormatting>
  <conditionalFormatting sqref="C133:C134">
    <cfRule type="colorScale" priority="10139">
      <colorScale>
        <cfvo type="min"/>
        <cfvo type="max"/>
        <color theme="0"/>
        <color theme="0"/>
      </colorScale>
    </cfRule>
    <cfRule type="expression" dxfId="2501" priority="10140">
      <formula>B133&lt;0</formula>
    </cfRule>
  </conditionalFormatting>
  <conditionalFormatting sqref="C135">
    <cfRule type="expression" priority="10131">
      <formula>$F$23</formula>
    </cfRule>
    <cfRule type="expression" dxfId="2500" priority="10132">
      <formula>B135&lt;0</formula>
    </cfRule>
    <cfRule type="colorScale" priority="10130">
      <colorScale>
        <cfvo type="min"/>
        <cfvo type="max"/>
        <color theme="0"/>
        <color theme="0"/>
      </colorScale>
    </cfRule>
  </conditionalFormatting>
  <conditionalFormatting sqref="C110:D111">
    <cfRule type="expression" dxfId="2499" priority="9136">
      <formula>IF(C110="Validar","Rojo","Verde")</formula>
    </cfRule>
  </conditionalFormatting>
  <conditionalFormatting sqref="C117:D123">
    <cfRule type="expression" dxfId="2498" priority="9270">
      <formula>IF(C117="Validar","Rojo","Verde")</formula>
    </cfRule>
  </conditionalFormatting>
  <conditionalFormatting sqref="D40:D66">
    <cfRule type="colorScale" priority="9305">
      <colorScale>
        <cfvo type="min"/>
        <cfvo type="max"/>
        <color theme="0"/>
        <color theme="0"/>
      </colorScale>
    </cfRule>
    <cfRule type="expression" dxfId="2497" priority="9307">
      <formula>C40&lt;0</formula>
    </cfRule>
    <cfRule type="expression" priority="9306">
      <formula>#REF!</formula>
    </cfRule>
  </conditionalFormatting>
  <conditionalFormatting sqref="D40:D67">
    <cfRule type="expression" dxfId="2496" priority="9304">
      <formula>IF(D40="Validar","Rojo","Verde")</formula>
    </cfRule>
  </conditionalFormatting>
  <conditionalFormatting sqref="D67 C82:D82 C92:D92 C103:D103 C107:D107">
    <cfRule type="expression" priority="9309">
      <formula>$F$23</formula>
    </cfRule>
  </conditionalFormatting>
  <conditionalFormatting sqref="D67 D82 D92 D103 D107">
    <cfRule type="expression" dxfId="2495" priority="9310">
      <formula>C67&lt;0</formula>
    </cfRule>
    <cfRule type="colorScale" priority="9308">
      <colorScale>
        <cfvo type="min"/>
        <cfvo type="max"/>
        <color theme="0"/>
        <color theme="0"/>
      </colorScale>
    </cfRule>
  </conditionalFormatting>
  <conditionalFormatting sqref="D69">
    <cfRule type="colorScale" priority="9302">
      <colorScale>
        <cfvo type="min"/>
        <cfvo type="max"/>
        <color theme="0"/>
        <color theme="0"/>
      </colorScale>
    </cfRule>
    <cfRule type="expression" dxfId="2494" priority="9303">
      <formula>C69&lt;0</formula>
    </cfRule>
  </conditionalFormatting>
  <conditionalFormatting sqref="D69:D81">
    <cfRule type="expression" priority="9300">
      <formula>#REF!</formula>
    </cfRule>
  </conditionalFormatting>
  <conditionalFormatting sqref="D69:D82">
    <cfRule type="expression" dxfId="2493" priority="9298">
      <formula>IF(D69="Validar","Rojo","Verde")</formula>
    </cfRule>
  </conditionalFormatting>
  <conditionalFormatting sqref="D70:D78">
    <cfRule type="colorScale" priority="9299">
      <colorScale>
        <cfvo type="min"/>
        <cfvo type="max"/>
        <color theme="0"/>
        <color theme="0"/>
      </colorScale>
    </cfRule>
    <cfRule type="expression" dxfId="2492" priority="9301">
      <formula>C70&lt;0</formula>
    </cfRule>
  </conditionalFormatting>
  <conditionalFormatting sqref="D79:D81">
    <cfRule type="expression" dxfId="2491" priority="9312">
      <formula>C79&lt;0</formula>
    </cfRule>
    <cfRule type="colorScale" priority="9311">
      <colorScale>
        <cfvo type="min"/>
        <cfvo type="max"/>
        <color theme="0"/>
        <color theme="0"/>
      </colorScale>
    </cfRule>
  </conditionalFormatting>
  <conditionalFormatting sqref="D84">
    <cfRule type="colorScale" priority="9296">
      <colorScale>
        <cfvo type="min"/>
        <cfvo type="max"/>
        <color theme="0"/>
        <color theme="0"/>
      </colorScale>
    </cfRule>
    <cfRule type="expression" dxfId="2490" priority="9297">
      <formula>C84&lt;0</formula>
    </cfRule>
  </conditionalFormatting>
  <conditionalFormatting sqref="D84:D91">
    <cfRule type="expression" priority="9294">
      <formula>#REF!</formula>
    </cfRule>
  </conditionalFormatting>
  <conditionalFormatting sqref="D84:D92">
    <cfRule type="expression" dxfId="2489" priority="9292">
      <formula>IF(D84="Validar","Rojo","Verde")</formula>
    </cfRule>
  </conditionalFormatting>
  <conditionalFormatting sqref="D85:D91">
    <cfRule type="colorScale" priority="9293">
      <colorScale>
        <cfvo type="min"/>
        <cfvo type="max"/>
        <color theme="0"/>
        <color theme="0"/>
      </colorScale>
    </cfRule>
    <cfRule type="expression" dxfId="2488" priority="9295">
      <formula>C85&lt;0</formula>
    </cfRule>
  </conditionalFormatting>
  <conditionalFormatting sqref="D94">
    <cfRule type="colorScale" priority="9290">
      <colorScale>
        <cfvo type="min"/>
        <cfvo type="max"/>
        <color theme="0"/>
        <color theme="0"/>
      </colorScale>
    </cfRule>
    <cfRule type="expression" dxfId="2487" priority="9291">
      <formula>C94&lt;0</formula>
    </cfRule>
  </conditionalFormatting>
  <conditionalFormatting sqref="D94:D102">
    <cfRule type="expression" priority="9284">
      <formula>#REF!</formula>
    </cfRule>
  </conditionalFormatting>
  <conditionalFormatting sqref="D94:D103">
    <cfRule type="expression" dxfId="2486" priority="9282">
      <formula>IF(D94="Validar","Rojo","Verde")</formula>
    </cfRule>
  </conditionalFormatting>
  <conditionalFormatting sqref="D95:D100">
    <cfRule type="colorScale" priority="9288">
      <colorScale>
        <cfvo type="min"/>
        <cfvo type="max"/>
        <color theme="0"/>
        <color theme="0"/>
      </colorScale>
    </cfRule>
    <cfRule type="expression" dxfId="2485" priority="9289">
      <formula>C95&lt;0</formula>
    </cfRule>
  </conditionalFormatting>
  <conditionalFormatting sqref="D101">
    <cfRule type="expression" dxfId="2484" priority="9287">
      <formula>C101&lt;0</formula>
    </cfRule>
    <cfRule type="colorScale" priority="9286">
      <colorScale>
        <cfvo type="min"/>
        <cfvo type="max"/>
        <color theme="0"/>
        <color theme="0"/>
      </colorScale>
    </cfRule>
  </conditionalFormatting>
  <conditionalFormatting sqref="D102">
    <cfRule type="expression" dxfId="2483" priority="9285">
      <formula>C102&lt;0</formula>
    </cfRule>
    <cfRule type="colorScale" priority="9283">
      <colorScale>
        <cfvo type="min"/>
        <cfvo type="max"/>
        <color theme="0"/>
        <color theme="0"/>
      </colorScale>
    </cfRule>
  </conditionalFormatting>
  <conditionalFormatting sqref="D105">
    <cfRule type="colorScale" priority="9280">
      <colorScale>
        <cfvo type="min"/>
        <cfvo type="max"/>
        <color theme="0"/>
        <color theme="0"/>
      </colorScale>
    </cfRule>
    <cfRule type="expression" dxfId="2482" priority="9281">
      <formula>C105&lt;0</formula>
    </cfRule>
  </conditionalFormatting>
  <conditionalFormatting sqref="D105:D106">
    <cfRule type="expression" priority="9278">
      <formula>#REF!</formula>
    </cfRule>
  </conditionalFormatting>
  <conditionalFormatting sqref="D105:D107">
    <cfRule type="expression" dxfId="2481" priority="9276">
      <formula>IF(D105="Validar","Rojo","Verde")</formula>
    </cfRule>
  </conditionalFormatting>
  <conditionalFormatting sqref="D106">
    <cfRule type="colorScale" priority="9277">
      <colorScale>
        <cfvo type="min"/>
        <cfvo type="max"/>
        <color theme="0"/>
        <color theme="0"/>
      </colorScale>
    </cfRule>
    <cfRule type="expression" dxfId="2480" priority="9279">
      <formula>C106&lt;0</formula>
    </cfRule>
  </conditionalFormatting>
  <conditionalFormatting sqref="D110">
    <cfRule type="expression" dxfId="2479" priority="9269">
      <formula>C110&lt;0</formula>
    </cfRule>
    <cfRule type="colorScale" priority="9268">
      <colorScale>
        <cfvo type="min"/>
        <cfvo type="max"/>
        <color theme="0"/>
        <color theme="0"/>
      </colorScale>
    </cfRule>
  </conditionalFormatting>
  <conditionalFormatting sqref="D110:D111">
    <cfRule type="expression" priority="9138">
      <formula>#REF!</formula>
    </cfRule>
  </conditionalFormatting>
  <conditionalFormatting sqref="D111">
    <cfRule type="expression" dxfId="2478" priority="9139">
      <formula>C111&lt;0</formula>
    </cfRule>
    <cfRule type="colorScale" priority="9137">
      <colorScale>
        <cfvo type="min"/>
        <cfvo type="max"/>
        <color theme="0"/>
        <color theme="0"/>
      </colorScale>
    </cfRule>
  </conditionalFormatting>
  <conditionalFormatting sqref="D117">
    <cfRule type="expression" dxfId="2477" priority="9275">
      <formula>C117&lt;0</formula>
    </cfRule>
    <cfRule type="colorScale" priority="9274">
      <colorScale>
        <cfvo type="min"/>
        <cfvo type="max"/>
        <color theme="0"/>
        <color theme="0"/>
      </colorScale>
    </cfRule>
  </conditionalFormatting>
  <conditionalFormatting sqref="D117:D123">
    <cfRule type="expression" priority="9272">
      <formula>#REF!</formula>
    </cfRule>
  </conditionalFormatting>
  <conditionalFormatting sqref="D118:D123">
    <cfRule type="colorScale" priority="9271">
      <colorScale>
        <cfvo type="min"/>
        <cfvo type="max"/>
        <color theme="0"/>
        <color theme="0"/>
      </colorScale>
    </cfRule>
    <cfRule type="expression" dxfId="2476" priority="9273">
      <formula>C118&lt;0</formula>
    </cfRule>
  </conditionalFormatting>
  <conditionalFormatting sqref="D126:D135">
    <cfRule type="expression" dxfId="2475" priority="10144">
      <formula>C126&lt;0</formula>
    </cfRule>
    <cfRule type="expression" priority="10143">
      <formula>$F$23</formula>
    </cfRule>
    <cfRule type="colorScale" priority="10142">
      <colorScale>
        <cfvo type="min"/>
        <cfvo type="max"/>
        <color theme="0"/>
        <color theme="0"/>
      </colorScale>
    </cfRule>
    <cfRule type="expression" dxfId="2474" priority="10141">
      <formula>IF(D126="Validar","Rojo","Verde")</formula>
    </cfRule>
  </conditionalFormatting>
  <conditionalFormatting sqref="F5">
    <cfRule type="expression" dxfId="2473" priority="116">
      <formula>E5&lt;0</formula>
    </cfRule>
    <cfRule type="colorScale" priority="115">
      <colorScale>
        <cfvo type="min"/>
        <cfvo type="max"/>
        <color theme="0"/>
        <color theme="0"/>
      </colorScale>
    </cfRule>
  </conditionalFormatting>
  <conditionalFormatting sqref="F5:F20">
    <cfRule type="expression" priority="114">
      <formula>#REF!</formula>
    </cfRule>
    <cfRule type="expression" dxfId="2472" priority="113">
      <formula>IF(F5="Validar","Rojo","Verde")</formula>
    </cfRule>
  </conditionalFormatting>
  <conditionalFormatting sqref="F6">
    <cfRule type="expression" dxfId="2471" priority="4350">
      <formula>E6&lt;0</formula>
    </cfRule>
    <cfRule type="colorScale" priority="4349">
      <colorScale>
        <cfvo type="min"/>
        <cfvo type="max"/>
        <color theme="0"/>
        <color theme="0"/>
      </colorScale>
    </cfRule>
  </conditionalFormatting>
  <conditionalFormatting sqref="F7:F8">
    <cfRule type="expression" dxfId="2470" priority="4346">
      <formula>E7&lt;0</formula>
    </cfRule>
    <cfRule type="colorScale" priority="4345">
      <colorScale>
        <cfvo type="min"/>
        <cfvo type="max"/>
        <color theme="0"/>
        <color theme="0"/>
      </colorScale>
    </cfRule>
  </conditionalFormatting>
  <conditionalFormatting sqref="F9">
    <cfRule type="colorScale" priority="4460">
      <colorScale>
        <cfvo type="min"/>
        <cfvo type="max"/>
        <color theme="0"/>
        <color theme="0"/>
      </colorScale>
    </cfRule>
    <cfRule type="expression" dxfId="2469" priority="4461">
      <formula>E9&lt;0</formula>
    </cfRule>
  </conditionalFormatting>
  <conditionalFormatting sqref="F10">
    <cfRule type="expression" dxfId="2468" priority="4438">
      <formula>E10&lt;0</formula>
    </cfRule>
    <cfRule type="colorScale" priority="4437">
      <colorScale>
        <cfvo type="min"/>
        <cfvo type="max"/>
        <color theme="0"/>
        <color theme="0"/>
      </colorScale>
    </cfRule>
  </conditionalFormatting>
  <conditionalFormatting sqref="F11:F13">
    <cfRule type="expression" dxfId="2467" priority="4459">
      <formula>E11&lt;0</formula>
    </cfRule>
    <cfRule type="colorScale" priority="4458">
      <colorScale>
        <cfvo type="min"/>
        <cfvo type="max"/>
        <color theme="0"/>
        <color theme="0"/>
      </colorScale>
    </cfRule>
  </conditionalFormatting>
  <conditionalFormatting sqref="F14">
    <cfRule type="expression" dxfId="2466" priority="392">
      <formula>E14&lt;0</formula>
    </cfRule>
    <cfRule type="colorScale" priority="391">
      <colorScale>
        <cfvo type="min"/>
        <cfvo type="max"/>
        <color theme="0"/>
        <color theme="0"/>
      </colorScale>
    </cfRule>
  </conditionalFormatting>
  <conditionalFormatting sqref="F15">
    <cfRule type="colorScale" priority="4435">
      <colorScale>
        <cfvo type="min"/>
        <cfvo type="max"/>
        <color theme="0"/>
        <color theme="0"/>
      </colorScale>
    </cfRule>
    <cfRule type="expression" dxfId="2465" priority="4436">
      <formula>E15&lt;0</formula>
    </cfRule>
  </conditionalFormatting>
  <conditionalFormatting sqref="F16:F17">
    <cfRule type="colorScale" priority="4456">
      <colorScale>
        <cfvo type="min"/>
        <cfvo type="max"/>
        <color theme="0"/>
        <color theme="0"/>
      </colorScale>
    </cfRule>
    <cfRule type="expression" dxfId="2464" priority="4457">
      <formula>E16&lt;0</formula>
    </cfRule>
  </conditionalFormatting>
  <conditionalFormatting sqref="F18">
    <cfRule type="colorScale" priority="4432">
      <colorScale>
        <cfvo type="min"/>
        <cfvo type="max"/>
        <color theme="0"/>
        <color theme="0"/>
      </colorScale>
    </cfRule>
    <cfRule type="expression" dxfId="2463" priority="4434">
      <formula>E18&lt;0</formula>
    </cfRule>
  </conditionalFormatting>
  <conditionalFormatting sqref="F19:F20">
    <cfRule type="expression" dxfId="2462" priority="4455">
      <formula>E19&lt;0</formula>
    </cfRule>
    <cfRule type="colorScale" priority="4454">
      <colorScale>
        <cfvo type="min"/>
        <cfvo type="max"/>
        <color theme="0"/>
        <color theme="0"/>
      </colorScale>
    </cfRule>
  </conditionalFormatting>
  <conditionalFormatting sqref="F23">
    <cfRule type="colorScale" priority="4429">
      <colorScale>
        <cfvo type="min"/>
        <cfvo type="max"/>
        <color theme="0"/>
        <color theme="0"/>
      </colorScale>
    </cfRule>
    <cfRule type="expression" dxfId="2461" priority="4430">
      <formula>E23&lt;0</formula>
    </cfRule>
  </conditionalFormatting>
  <conditionalFormatting sqref="F23:F31">
    <cfRule type="expression" priority="4425">
      <formula>#REF!</formula>
    </cfRule>
    <cfRule type="expression" dxfId="2460" priority="4423">
      <formula>IF(F23="Validar","Rojo","Verde")</formula>
    </cfRule>
  </conditionalFormatting>
  <conditionalFormatting sqref="F24">
    <cfRule type="expression" dxfId="2459" priority="4453">
      <formula>E24&lt;0</formula>
    </cfRule>
    <cfRule type="colorScale" priority="4452">
      <colorScale>
        <cfvo type="min"/>
        <cfvo type="max"/>
        <color theme="0"/>
        <color theme="0"/>
      </colorScale>
    </cfRule>
  </conditionalFormatting>
  <conditionalFormatting sqref="F25">
    <cfRule type="expression" dxfId="2458" priority="4451">
      <formula>E25&lt;0</formula>
    </cfRule>
    <cfRule type="colorScale" priority="4450">
      <colorScale>
        <cfvo type="min"/>
        <cfvo type="max"/>
        <color theme="0"/>
        <color theme="0"/>
      </colorScale>
    </cfRule>
  </conditionalFormatting>
  <conditionalFormatting sqref="F26">
    <cfRule type="colorScale" priority="4427">
      <colorScale>
        <cfvo type="min"/>
        <cfvo type="max"/>
        <color theme="0"/>
        <color theme="0"/>
      </colorScale>
    </cfRule>
    <cfRule type="expression" dxfId="2457" priority="4428">
      <formula>E26&lt;0</formula>
    </cfRule>
  </conditionalFormatting>
  <conditionalFormatting sqref="F27">
    <cfRule type="expression" dxfId="2456" priority="4449">
      <formula>E27&lt;0</formula>
    </cfRule>
    <cfRule type="colorScale" priority="4448">
      <colorScale>
        <cfvo type="min"/>
        <cfvo type="max"/>
        <color theme="0"/>
        <color theme="0"/>
      </colorScale>
    </cfRule>
  </conditionalFormatting>
  <conditionalFormatting sqref="F28">
    <cfRule type="colorScale" priority="4446">
      <colorScale>
        <cfvo type="min"/>
        <cfvo type="max"/>
        <color theme="0"/>
        <color theme="0"/>
      </colorScale>
    </cfRule>
    <cfRule type="expression" dxfId="2455" priority="4447">
      <formula>E28&lt;0</formula>
    </cfRule>
  </conditionalFormatting>
  <conditionalFormatting sqref="F29">
    <cfRule type="colorScale" priority="4424">
      <colorScale>
        <cfvo type="min"/>
        <cfvo type="max"/>
        <color theme="0"/>
        <color theme="0"/>
      </colorScale>
    </cfRule>
    <cfRule type="expression" dxfId="2454" priority="4426">
      <formula>E29&lt;0</formula>
    </cfRule>
  </conditionalFormatting>
  <conditionalFormatting sqref="F30">
    <cfRule type="expression" dxfId="2453" priority="4445">
      <formula>E30&lt;0</formula>
    </cfRule>
    <cfRule type="colorScale" priority="4444">
      <colorScale>
        <cfvo type="min"/>
        <cfvo type="max"/>
        <color theme="0"/>
        <color theme="0"/>
      </colorScale>
    </cfRule>
  </conditionalFormatting>
  <conditionalFormatting sqref="F31">
    <cfRule type="expression" dxfId="2452" priority="4443">
      <formula>E31&lt;0</formula>
    </cfRule>
    <cfRule type="colorScale" priority="4442">
      <colorScale>
        <cfvo type="min"/>
        <cfvo type="max"/>
        <color theme="0"/>
        <color theme="0"/>
      </colorScale>
    </cfRule>
  </conditionalFormatting>
  <conditionalFormatting sqref="F39">
    <cfRule type="colorScale" priority="4420">
      <colorScale>
        <cfvo type="min"/>
        <cfvo type="max"/>
        <color theme="0"/>
        <color theme="0"/>
      </colorScale>
    </cfRule>
    <cfRule type="expression" dxfId="2451" priority="4422">
      <formula>E39&lt;0</formula>
    </cfRule>
    <cfRule type="expression" priority="4421">
      <formula>#REF!</formula>
    </cfRule>
  </conditionalFormatting>
  <conditionalFormatting sqref="F39:F107">
    <cfRule type="expression" dxfId="2450" priority="4358">
      <formula>IF(F39="Validar","Rojo","Verde")</formula>
    </cfRule>
  </conditionalFormatting>
  <conditionalFormatting sqref="F40:F67">
    <cfRule type="colorScale" priority="4439">
      <colorScale>
        <cfvo type="min"/>
        <cfvo type="max"/>
        <color theme="0"/>
        <color theme="0"/>
      </colorScale>
    </cfRule>
    <cfRule type="expression" dxfId="2449" priority="4441">
      <formula>E40&lt;0</formula>
    </cfRule>
    <cfRule type="expression" priority="4440">
      <formula>$F$19</formula>
    </cfRule>
  </conditionalFormatting>
  <conditionalFormatting sqref="F68">
    <cfRule type="expression" priority="4418">
      <formula>#REF!</formula>
    </cfRule>
    <cfRule type="colorScale" priority="4417">
      <colorScale>
        <cfvo type="min"/>
        <cfvo type="max"/>
        <color theme="0"/>
        <color theme="0"/>
      </colorScale>
    </cfRule>
    <cfRule type="expression" dxfId="2448" priority="4419">
      <formula>E68&lt;0</formula>
    </cfRule>
  </conditionalFormatting>
  <conditionalFormatting sqref="F69:F81">
    <cfRule type="expression" priority="4465">
      <formula>$F$19</formula>
    </cfRule>
    <cfRule type="expression" dxfId="2447" priority="4466">
      <formula>E69&lt;0</formula>
    </cfRule>
    <cfRule type="colorScale" priority="4464">
      <colorScale>
        <cfvo type="min"/>
        <cfvo type="max"/>
        <color theme="0"/>
        <color theme="0"/>
      </colorScale>
    </cfRule>
  </conditionalFormatting>
  <conditionalFormatting sqref="F82 F92 F103 F107">
    <cfRule type="expression" dxfId="2446" priority="4463">
      <formula>E82&lt;0</formula>
    </cfRule>
    <cfRule type="colorScale" priority="4462">
      <colorScale>
        <cfvo type="min"/>
        <cfvo type="max"/>
        <color theme="0"/>
        <color theme="0"/>
      </colorScale>
    </cfRule>
  </conditionalFormatting>
  <conditionalFormatting sqref="F83">
    <cfRule type="expression" dxfId="2445" priority="4361">
      <formula>E83&lt;0</formula>
    </cfRule>
    <cfRule type="colorScale" priority="4359">
      <colorScale>
        <cfvo type="min"/>
        <cfvo type="max"/>
        <color theme="0"/>
        <color theme="0"/>
      </colorScale>
    </cfRule>
    <cfRule type="expression" priority="4360">
      <formula>#REF!</formula>
    </cfRule>
  </conditionalFormatting>
  <conditionalFormatting sqref="F84:F91">
    <cfRule type="colorScale" priority="4467">
      <colorScale>
        <cfvo type="min"/>
        <cfvo type="max"/>
        <color theme="0"/>
        <color theme="0"/>
      </colorScale>
    </cfRule>
    <cfRule type="expression" priority="4468">
      <formula>$F$19</formula>
    </cfRule>
    <cfRule type="expression" dxfId="2444" priority="4469">
      <formula>E84&lt;0</formula>
    </cfRule>
  </conditionalFormatting>
  <conditionalFormatting sqref="F93">
    <cfRule type="expression" dxfId="2443" priority="4416">
      <formula>E93&lt;0</formula>
    </cfRule>
    <cfRule type="expression" priority="4415">
      <formula>#REF!</formula>
    </cfRule>
    <cfRule type="colorScale" priority="4414">
      <colorScale>
        <cfvo type="min"/>
        <cfvo type="max"/>
        <color theme="0"/>
        <color theme="0"/>
      </colorScale>
    </cfRule>
  </conditionalFormatting>
  <conditionalFormatting sqref="F94:F102">
    <cfRule type="expression" dxfId="2442" priority="4472">
      <formula>E94&lt;0</formula>
    </cfRule>
    <cfRule type="expression" priority="4471">
      <formula>$F$19</formula>
    </cfRule>
    <cfRule type="colorScale" priority="4470">
      <colorScale>
        <cfvo type="min"/>
        <cfvo type="max"/>
        <color theme="0"/>
        <color theme="0"/>
      </colorScale>
    </cfRule>
  </conditionalFormatting>
  <conditionalFormatting sqref="F104">
    <cfRule type="colorScale" priority="4411">
      <colorScale>
        <cfvo type="min"/>
        <cfvo type="max"/>
        <color theme="0"/>
        <color theme="0"/>
      </colorScale>
    </cfRule>
    <cfRule type="expression" priority="4412">
      <formula>#REF!</formula>
    </cfRule>
    <cfRule type="expression" dxfId="2441" priority="4413">
      <formula>E104&lt;0</formula>
    </cfRule>
  </conditionalFormatting>
  <conditionalFormatting sqref="F105:F106">
    <cfRule type="colorScale" priority="4473">
      <colorScale>
        <cfvo type="min"/>
        <cfvo type="max"/>
        <color theme="0"/>
        <color theme="0"/>
      </colorScale>
    </cfRule>
    <cfRule type="expression" dxfId="2440" priority="4475">
      <formula>E105&lt;0</formula>
    </cfRule>
    <cfRule type="expression" priority="4474">
      <formula>$F$19</formula>
    </cfRule>
  </conditionalFormatting>
  <conditionalFormatting sqref="F110">
    <cfRule type="colorScale" priority="4476">
      <colorScale>
        <cfvo type="min"/>
        <cfvo type="max"/>
        <color theme="0"/>
        <color theme="0"/>
      </colorScale>
    </cfRule>
    <cfRule type="expression" dxfId="2439" priority="4477">
      <formula>E110&lt;0</formula>
    </cfRule>
  </conditionalFormatting>
  <conditionalFormatting sqref="F110:F111">
    <cfRule type="expression" priority="4356">
      <formula>$F$19</formula>
    </cfRule>
  </conditionalFormatting>
  <conditionalFormatting sqref="F111">
    <cfRule type="expression" dxfId="2438" priority="4357">
      <formula>E111&lt;0</formula>
    </cfRule>
    <cfRule type="colorScale" priority="4355">
      <colorScale>
        <cfvo type="min"/>
        <cfvo type="max"/>
        <color theme="0"/>
        <color theme="0"/>
      </colorScale>
    </cfRule>
  </conditionalFormatting>
  <conditionalFormatting sqref="F117:F123">
    <cfRule type="expression" dxfId="2437" priority="4483">
      <formula>E117&lt;0</formula>
    </cfRule>
    <cfRule type="expression" priority="4482">
      <formula>$F$19</formula>
    </cfRule>
    <cfRule type="colorScale" priority="4481">
      <colorScale>
        <cfvo type="min"/>
        <cfvo type="max"/>
        <color theme="0"/>
        <color theme="0"/>
      </colorScale>
    </cfRule>
  </conditionalFormatting>
  <conditionalFormatting sqref="F125">
    <cfRule type="expression" dxfId="2436" priority="4410">
      <formula>E125&lt;0</formula>
    </cfRule>
    <cfRule type="expression" priority="4409">
      <formula>#REF!</formula>
    </cfRule>
    <cfRule type="colorScale" priority="4408">
      <colorScale>
        <cfvo type="min"/>
        <cfvo type="max"/>
        <color theme="0"/>
        <color theme="0"/>
      </colorScale>
    </cfRule>
  </conditionalFormatting>
  <conditionalFormatting sqref="F125:F135">
    <cfRule type="expression" dxfId="2435" priority="4407">
      <formula>IF(F125="Validar","Rojo","Verde")</formula>
    </cfRule>
  </conditionalFormatting>
  <conditionalFormatting sqref="F126:F132">
    <cfRule type="colorScale" priority="4484">
      <colorScale>
        <cfvo type="min"/>
        <cfvo type="max"/>
        <color theme="0"/>
        <color theme="0"/>
      </colorScale>
    </cfRule>
    <cfRule type="expression" dxfId="2434" priority="4486">
      <formula>E126&lt;0</formula>
    </cfRule>
  </conditionalFormatting>
  <conditionalFormatting sqref="F126:F134">
    <cfRule type="expression" priority="4485">
      <formula>$F$19</formula>
    </cfRule>
  </conditionalFormatting>
  <conditionalFormatting sqref="F133:F134">
    <cfRule type="expression" dxfId="2433" priority="4488">
      <formula>E133&lt;0</formula>
    </cfRule>
    <cfRule type="colorScale" priority="4487">
      <colorScale>
        <cfvo type="min"/>
        <cfvo type="max"/>
        <color theme="0"/>
        <color theme="0"/>
      </colorScale>
    </cfRule>
  </conditionalFormatting>
  <conditionalFormatting sqref="F135">
    <cfRule type="colorScale" priority="4478">
      <colorScale>
        <cfvo type="min"/>
        <cfvo type="max"/>
        <color theme="0"/>
        <color theme="0"/>
      </colorScale>
    </cfRule>
    <cfRule type="expression" dxfId="2432" priority="4480">
      <formula>E135&lt;0</formula>
    </cfRule>
    <cfRule type="expression" priority="4479">
      <formula>$F$23</formula>
    </cfRule>
  </conditionalFormatting>
  <conditionalFormatting sqref="F110:G111">
    <cfRule type="expression" dxfId="2431" priority="4351">
      <formula>IF(F110="Validar","Rojo","Verde")</formula>
    </cfRule>
  </conditionalFormatting>
  <conditionalFormatting sqref="F117:G123">
    <cfRule type="expression" dxfId="2430" priority="4364">
      <formula>IF(F117="Validar","Rojo","Verde")</formula>
    </cfRule>
  </conditionalFormatting>
  <conditionalFormatting sqref="G40:G66">
    <cfRule type="expression" dxfId="2429" priority="4401">
      <formula>F40&lt;0</formula>
    </cfRule>
    <cfRule type="colorScale" priority="4399">
      <colorScale>
        <cfvo type="min"/>
        <cfvo type="max"/>
        <color theme="0"/>
        <color theme="0"/>
      </colorScale>
    </cfRule>
    <cfRule type="expression" priority="4400">
      <formula>#REF!</formula>
    </cfRule>
  </conditionalFormatting>
  <conditionalFormatting sqref="G40:G67">
    <cfRule type="expression" dxfId="2428" priority="4398">
      <formula>IF(G40="Validar","Rojo","Verde")</formula>
    </cfRule>
  </conditionalFormatting>
  <conditionalFormatting sqref="G67 F82:G82 F92:G92 F103:G103 F107:G107">
    <cfRule type="expression" priority="4403">
      <formula>$F$23</formula>
    </cfRule>
  </conditionalFormatting>
  <conditionalFormatting sqref="G67 G82 G92 G103 G107">
    <cfRule type="expression" dxfId="2427" priority="4404">
      <formula>F67&lt;0</formula>
    </cfRule>
    <cfRule type="colorScale" priority="4402">
      <colorScale>
        <cfvo type="min"/>
        <cfvo type="max"/>
        <color theme="0"/>
        <color theme="0"/>
      </colorScale>
    </cfRule>
  </conditionalFormatting>
  <conditionalFormatting sqref="G69">
    <cfRule type="colorScale" priority="4396">
      <colorScale>
        <cfvo type="min"/>
        <cfvo type="max"/>
        <color theme="0"/>
        <color theme="0"/>
      </colorScale>
    </cfRule>
    <cfRule type="expression" dxfId="2426" priority="4397">
      <formula>F69&lt;0</formula>
    </cfRule>
  </conditionalFormatting>
  <conditionalFormatting sqref="G69:G81">
    <cfRule type="expression" priority="4394">
      <formula>#REF!</formula>
    </cfRule>
  </conditionalFormatting>
  <conditionalFormatting sqref="G69:G82">
    <cfRule type="expression" dxfId="2425" priority="4392">
      <formula>IF(G69="Validar","Rojo","Verde")</formula>
    </cfRule>
  </conditionalFormatting>
  <conditionalFormatting sqref="G70:G78">
    <cfRule type="colorScale" priority="4393">
      <colorScale>
        <cfvo type="min"/>
        <cfvo type="max"/>
        <color theme="0"/>
        <color theme="0"/>
      </colorScale>
    </cfRule>
    <cfRule type="expression" dxfId="2424" priority="4395">
      <formula>F70&lt;0</formula>
    </cfRule>
  </conditionalFormatting>
  <conditionalFormatting sqref="G79:G81">
    <cfRule type="colorScale" priority="4405">
      <colorScale>
        <cfvo type="min"/>
        <cfvo type="max"/>
        <color theme="0"/>
        <color theme="0"/>
      </colorScale>
    </cfRule>
    <cfRule type="expression" dxfId="2423" priority="4406">
      <formula>F79&lt;0</formula>
    </cfRule>
  </conditionalFormatting>
  <conditionalFormatting sqref="G84">
    <cfRule type="colorScale" priority="4390">
      <colorScale>
        <cfvo type="min"/>
        <cfvo type="max"/>
        <color theme="0"/>
        <color theme="0"/>
      </colorScale>
    </cfRule>
    <cfRule type="expression" dxfId="2422" priority="4391">
      <formula>F84&lt;0</formula>
    </cfRule>
  </conditionalFormatting>
  <conditionalFormatting sqref="G84:G91">
    <cfRule type="expression" priority="4388">
      <formula>#REF!</formula>
    </cfRule>
  </conditionalFormatting>
  <conditionalFormatting sqref="G84:G92">
    <cfRule type="expression" dxfId="2421" priority="4386">
      <formula>IF(G84="Validar","Rojo","Verde")</formula>
    </cfRule>
  </conditionalFormatting>
  <conditionalFormatting sqref="G85:G91">
    <cfRule type="colorScale" priority="4387">
      <colorScale>
        <cfvo type="min"/>
        <cfvo type="max"/>
        <color theme="0"/>
        <color theme="0"/>
      </colorScale>
    </cfRule>
    <cfRule type="expression" dxfId="2420" priority="4389">
      <formula>F85&lt;0</formula>
    </cfRule>
  </conditionalFormatting>
  <conditionalFormatting sqref="G94">
    <cfRule type="colorScale" priority="4384">
      <colorScale>
        <cfvo type="min"/>
        <cfvo type="max"/>
        <color theme="0"/>
        <color theme="0"/>
      </colorScale>
    </cfRule>
    <cfRule type="expression" dxfId="2419" priority="4385">
      <formula>F94&lt;0</formula>
    </cfRule>
  </conditionalFormatting>
  <conditionalFormatting sqref="G94:G102">
    <cfRule type="expression" priority="4378">
      <formula>#REF!</formula>
    </cfRule>
  </conditionalFormatting>
  <conditionalFormatting sqref="G94:G103">
    <cfRule type="expression" dxfId="2418" priority="4376">
      <formula>IF(G94="Validar","Rojo","Verde")</formula>
    </cfRule>
  </conditionalFormatting>
  <conditionalFormatting sqref="G95:G100">
    <cfRule type="colorScale" priority="4382">
      <colorScale>
        <cfvo type="min"/>
        <cfvo type="max"/>
        <color theme="0"/>
        <color theme="0"/>
      </colorScale>
    </cfRule>
    <cfRule type="expression" dxfId="2417" priority="4383">
      <formula>F95&lt;0</formula>
    </cfRule>
  </conditionalFormatting>
  <conditionalFormatting sqref="G101">
    <cfRule type="colorScale" priority="4380">
      <colorScale>
        <cfvo type="min"/>
        <cfvo type="max"/>
        <color theme="0"/>
        <color theme="0"/>
      </colorScale>
    </cfRule>
    <cfRule type="expression" dxfId="2416" priority="4381">
      <formula>F101&lt;0</formula>
    </cfRule>
  </conditionalFormatting>
  <conditionalFormatting sqref="G102">
    <cfRule type="colorScale" priority="4377">
      <colorScale>
        <cfvo type="min"/>
        <cfvo type="max"/>
        <color theme="0"/>
        <color theme="0"/>
      </colorScale>
    </cfRule>
    <cfRule type="expression" dxfId="2415" priority="4379">
      <formula>F102&lt;0</formula>
    </cfRule>
  </conditionalFormatting>
  <conditionalFormatting sqref="G105">
    <cfRule type="colorScale" priority="4374">
      <colorScale>
        <cfvo type="min"/>
        <cfvo type="max"/>
        <color theme="0"/>
        <color theme="0"/>
      </colorScale>
    </cfRule>
    <cfRule type="expression" dxfId="2414" priority="4375">
      <formula>F105&lt;0</formula>
    </cfRule>
  </conditionalFormatting>
  <conditionalFormatting sqref="G105:G106">
    <cfRule type="expression" priority="4372">
      <formula>#REF!</formula>
    </cfRule>
  </conditionalFormatting>
  <conditionalFormatting sqref="G105:G107">
    <cfRule type="expression" dxfId="2413" priority="4370">
      <formula>IF(G105="Validar","Rojo","Verde")</formula>
    </cfRule>
  </conditionalFormatting>
  <conditionalFormatting sqref="G106">
    <cfRule type="colorScale" priority="4371">
      <colorScale>
        <cfvo type="min"/>
        <cfvo type="max"/>
        <color theme="0"/>
        <color theme="0"/>
      </colorScale>
    </cfRule>
    <cfRule type="expression" dxfId="2412" priority="4373">
      <formula>F106&lt;0</formula>
    </cfRule>
  </conditionalFormatting>
  <conditionalFormatting sqref="G110">
    <cfRule type="colorScale" priority="4362">
      <colorScale>
        <cfvo type="min"/>
        <cfvo type="max"/>
        <color theme="0"/>
        <color theme="0"/>
      </colorScale>
    </cfRule>
    <cfRule type="expression" dxfId="2411" priority="4363">
      <formula>F110&lt;0</formula>
    </cfRule>
  </conditionalFormatting>
  <conditionalFormatting sqref="G110:G111">
    <cfRule type="expression" priority="4353">
      <formula>#REF!</formula>
    </cfRule>
  </conditionalFormatting>
  <conditionalFormatting sqref="G111">
    <cfRule type="colorScale" priority="4352">
      <colorScale>
        <cfvo type="min"/>
        <cfvo type="max"/>
        <color theme="0"/>
        <color theme="0"/>
      </colorScale>
    </cfRule>
    <cfRule type="expression" dxfId="2410" priority="4354">
      <formula>F111&lt;0</formula>
    </cfRule>
  </conditionalFormatting>
  <conditionalFormatting sqref="G117">
    <cfRule type="expression" dxfId="2409" priority="4369">
      <formula>F117&lt;0</formula>
    </cfRule>
    <cfRule type="colorScale" priority="4368">
      <colorScale>
        <cfvo type="min"/>
        <cfvo type="max"/>
        <color theme="0"/>
        <color theme="0"/>
      </colorScale>
    </cfRule>
  </conditionalFormatting>
  <conditionalFormatting sqref="G117:G123">
    <cfRule type="expression" priority="4366">
      <formula>#REF!</formula>
    </cfRule>
  </conditionalFormatting>
  <conditionalFormatting sqref="G118:G123">
    <cfRule type="expression" dxfId="2408" priority="4367">
      <formula>F118&lt;0</formula>
    </cfRule>
    <cfRule type="colorScale" priority="4365">
      <colorScale>
        <cfvo type="min"/>
        <cfvo type="max"/>
        <color theme="0"/>
        <color theme="0"/>
      </colorScale>
    </cfRule>
  </conditionalFormatting>
  <conditionalFormatting sqref="G126:G135">
    <cfRule type="expression" dxfId="2407" priority="4492">
      <formula>F126&lt;0</formula>
    </cfRule>
    <cfRule type="expression" priority="4491">
      <formula>$F$23</formula>
    </cfRule>
    <cfRule type="colorScale" priority="4490">
      <colorScale>
        <cfvo type="min"/>
        <cfvo type="max"/>
        <color theme="0"/>
        <color theme="0"/>
      </colorScale>
    </cfRule>
    <cfRule type="expression" dxfId="2406" priority="4489">
      <formula>IF(G126="Validar","Rojo","Verde")</formula>
    </cfRule>
  </conditionalFormatting>
  <conditionalFormatting sqref="I5">
    <cfRule type="expression" dxfId="2405" priority="112">
      <formula>H5&lt;0</formula>
    </cfRule>
    <cfRule type="colorScale" priority="111">
      <colorScale>
        <cfvo type="min"/>
        <cfvo type="max"/>
        <color theme="0"/>
        <color theme="0"/>
      </colorScale>
    </cfRule>
  </conditionalFormatting>
  <conditionalFormatting sqref="I5:I20">
    <cfRule type="expression" dxfId="2404" priority="109">
      <formula>IF(I5="Validar","Rojo","Verde")</formula>
    </cfRule>
    <cfRule type="expression" priority="110">
      <formula>#REF!</formula>
    </cfRule>
  </conditionalFormatting>
  <conditionalFormatting sqref="I6">
    <cfRule type="colorScale" priority="4199">
      <colorScale>
        <cfvo type="min"/>
        <cfvo type="max"/>
        <color theme="0"/>
        <color theme="0"/>
      </colorScale>
    </cfRule>
    <cfRule type="expression" dxfId="2403" priority="4200">
      <formula>H6&lt;0</formula>
    </cfRule>
  </conditionalFormatting>
  <conditionalFormatting sqref="I7:I8">
    <cfRule type="expression" dxfId="2402" priority="4196">
      <formula>H7&lt;0</formula>
    </cfRule>
    <cfRule type="colorScale" priority="4195">
      <colorScale>
        <cfvo type="min"/>
        <cfvo type="max"/>
        <color theme="0"/>
        <color theme="0"/>
      </colorScale>
    </cfRule>
  </conditionalFormatting>
  <conditionalFormatting sqref="I9">
    <cfRule type="expression" dxfId="2401" priority="4311">
      <formula>H9&lt;0</formula>
    </cfRule>
    <cfRule type="colorScale" priority="4310">
      <colorScale>
        <cfvo type="min"/>
        <cfvo type="max"/>
        <color theme="0"/>
        <color theme="0"/>
      </colorScale>
    </cfRule>
  </conditionalFormatting>
  <conditionalFormatting sqref="I10">
    <cfRule type="colorScale" priority="4287">
      <colorScale>
        <cfvo type="min"/>
        <cfvo type="max"/>
        <color theme="0"/>
        <color theme="0"/>
      </colorScale>
    </cfRule>
    <cfRule type="expression" dxfId="2400" priority="4288">
      <formula>H10&lt;0</formula>
    </cfRule>
  </conditionalFormatting>
  <conditionalFormatting sqref="I11:I13">
    <cfRule type="colorScale" priority="4308">
      <colorScale>
        <cfvo type="min"/>
        <cfvo type="max"/>
        <color theme="0"/>
        <color theme="0"/>
      </colorScale>
    </cfRule>
    <cfRule type="expression" dxfId="2399" priority="4309">
      <formula>H11&lt;0</formula>
    </cfRule>
  </conditionalFormatting>
  <conditionalFormatting sqref="I14">
    <cfRule type="expression" dxfId="2398" priority="390">
      <formula>H14&lt;0</formula>
    </cfRule>
    <cfRule type="colorScale" priority="389">
      <colorScale>
        <cfvo type="min"/>
        <cfvo type="max"/>
        <color theme="0"/>
        <color theme="0"/>
      </colorScale>
    </cfRule>
  </conditionalFormatting>
  <conditionalFormatting sqref="I15">
    <cfRule type="colorScale" priority="4285">
      <colorScale>
        <cfvo type="min"/>
        <cfvo type="max"/>
        <color theme="0"/>
        <color theme="0"/>
      </colorScale>
    </cfRule>
    <cfRule type="expression" dxfId="2397" priority="4286">
      <formula>H15&lt;0</formula>
    </cfRule>
  </conditionalFormatting>
  <conditionalFormatting sqref="I16:I17">
    <cfRule type="expression" dxfId="2396" priority="4307">
      <formula>H16&lt;0</formula>
    </cfRule>
    <cfRule type="colorScale" priority="4306">
      <colorScale>
        <cfvo type="min"/>
        <cfvo type="max"/>
        <color theme="0"/>
        <color theme="0"/>
      </colorScale>
    </cfRule>
  </conditionalFormatting>
  <conditionalFormatting sqref="I18">
    <cfRule type="expression" dxfId="2395" priority="4284">
      <formula>H18&lt;0</formula>
    </cfRule>
    <cfRule type="colorScale" priority="4282">
      <colorScale>
        <cfvo type="min"/>
        <cfvo type="max"/>
        <color theme="0"/>
        <color theme="0"/>
      </colorScale>
    </cfRule>
  </conditionalFormatting>
  <conditionalFormatting sqref="I19:I20">
    <cfRule type="expression" dxfId="2394" priority="4305">
      <formula>H19&lt;0</formula>
    </cfRule>
    <cfRule type="colorScale" priority="4304">
      <colorScale>
        <cfvo type="min"/>
        <cfvo type="max"/>
        <color theme="0"/>
        <color theme="0"/>
      </colorScale>
    </cfRule>
  </conditionalFormatting>
  <conditionalFormatting sqref="I23">
    <cfRule type="colorScale" priority="4279">
      <colorScale>
        <cfvo type="min"/>
        <cfvo type="max"/>
        <color theme="0"/>
        <color theme="0"/>
      </colorScale>
    </cfRule>
    <cfRule type="expression" dxfId="2393" priority="4280">
      <formula>H23&lt;0</formula>
    </cfRule>
  </conditionalFormatting>
  <conditionalFormatting sqref="I23:I31">
    <cfRule type="expression" dxfId="2392" priority="4273">
      <formula>IF(I23="Validar","Rojo","Verde")</formula>
    </cfRule>
    <cfRule type="expression" priority="4275">
      <formula>#REF!</formula>
    </cfRule>
  </conditionalFormatting>
  <conditionalFormatting sqref="I24">
    <cfRule type="expression" dxfId="2391" priority="4303">
      <formula>H24&lt;0</formula>
    </cfRule>
    <cfRule type="colorScale" priority="4302">
      <colorScale>
        <cfvo type="min"/>
        <cfvo type="max"/>
        <color theme="0"/>
        <color theme="0"/>
      </colorScale>
    </cfRule>
  </conditionalFormatting>
  <conditionalFormatting sqref="I25">
    <cfRule type="expression" dxfId="2390" priority="4301">
      <formula>H25&lt;0</formula>
    </cfRule>
    <cfRule type="colorScale" priority="4300">
      <colorScale>
        <cfvo type="min"/>
        <cfvo type="max"/>
        <color theme="0"/>
        <color theme="0"/>
      </colorScale>
    </cfRule>
  </conditionalFormatting>
  <conditionalFormatting sqref="I26">
    <cfRule type="expression" dxfId="2389" priority="4278">
      <formula>H26&lt;0</formula>
    </cfRule>
    <cfRule type="colorScale" priority="4277">
      <colorScale>
        <cfvo type="min"/>
        <cfvo type="max"/>
        <color theme="0"/>
        <color theme="0"/>
      </colorScale>
    </cfRule>
  </conditionalFormatting>
  <conditionalFormatting sqref="I27">
    <cfRule type="expression" dxfId="2388" priority="4299">
      <formula>H27&lt;0</formula>
    </cfRule>
    <cfRule type="colorScale" priority="4298">
      <colorScale>
        <cfvo type="min"/>
        <cfvo type="max"/>
        <color theme="0"/>
        <color theme="0"/>
      </colorScale>
    </cfRule>
  </conditionalFormatting>
  <conditionalFormatting sqref="I28">
    <cfRule type="colorScale" priority="4296">
      <colorScale>
        <cfvo type="min"/>
        <cfvo type="max"/>
        <color theme="0"/>
        <color theme="0"/>
      </colorScale>
    </cfRule>
    <cfRule type="expression" dxfId="2387" priority="4297">
      <formula>H28&lt;0</formula>
    </cfRule>
  </conditionalFormatting>
  <conditionalFormatting sqref="I29">
    <cfRule type="expression" dxfId="2386" priority="4276">
      <formula>H29&lt;0</formula>
    </cfRule>
    <cfRule type="colorScale" priority="4274">
      <colorScale>
        <cfvo type="min"/>
        <cfvo type="max"/>
        <color theme="0"/>
        <color theme="0"/>
      </colorScale>
    </cfRule>
  </conditionalFormatting>
  <conditionalFormatting sqref="I30">
    <cfRule type="colorScale" priority="4294">
      <colorScale>
        <cfvo type="min"/>
        <cfvo type="max"/>
        <color theme="0"/>
        <color theme="0"/>
      </colorScale>
    </cfRule>
    <cfRule type="expression" dxfId="2385" priority="4295">
      <formula>H30&lt;0</formula>
    </cfRule>
  </conditionalFormatting>
  <conditionalFormatting sqref="I31">
    <cfRule type="colorScale" priority="4292">
      <colorScale>
        <cfvo type="min"/>
        <cfvo type="max"/>
        <color theme="0"/>
        <color theme="0"/>
      </colorScale>
    </cfRule>
    <cfRule type="expression" dxfId="2384" priority="4293">
      <formula>H31&lt;0</formula>
    </cfRule>
  </conditionalFormatting>
  <conditionalFormatting sqref="I39">
    <cfRule type="expression" dxfId="2383" priority="4272">
      <formula>H39&lt;0</formula>
    </cfRule>
    <cfRule type="expression" priority="4271">
      <formula>#REF!</formula>
    </cfRule>
    <cfRule type="colorScale" priority="4270">
      <colorScale>
        <cfvo type="min"/>
        <cfvo type="max"/>
        <color theme="0"/>
        <color theme="0"/>
      </colorScale>
    </cfRule>
  </conditionalFormatting>
  <conditionalFormatting sqref="I39:I107">
    <cfRule type="expression" dxfId="2382" priority="4208">
      <formula>IF(I39="Validar","Rojo","Verde")</formula>
    </cfRule>
  </conditionalFormatting>
  <conditionalFormatting sqref="I40:I67">
    <cfRule type="colorScale" priority="4289">
      <colorScale>
        <cfvo type="min"/>
        <cfvo type="max"/>
        <color theme="0"/>
        <color theme="0"/>
      </colorScale>
    </cfRule>
    <cfRule type="expression" priority="4290">
      <formula>$F$19</formula>
    </cfRule>
    <cfRule type="expression" dxfId="2381" priority="4291">
      <formula>H40&lt;0</formula>
    </cfRule>
  </conditionalFormatting>
  <conditionalFormatting sqref="I68">
    <cfRule type="colorScale" priority="4267">
      <colorScale>
        <cfvo type="min"/>
        <cfvo type="max"/>
        <color theme="0"/>
        <color theme="0"/>
      </colorScale>
    </cfRule>
    <cfRule type="expression" dxfId="2380" priority="4269">
      <formula>H68&lt;0</formula>
    </cfRule>
    <cfRule type="expression" priority="4268">
      <formula>#REF!</formula>
    </cfRule>
  </conditionalFormatting>
  <conditionalFormatting sqref="I69:I81">
    <cfRule type="expression" priority="4315">
      <formula>$F$19</formula>
    </cfRule>
    <cfRule type="colorScale" priority="4314">
      <colorScale>
        <cfvo type="min"/>
        <cfvo type="max"/>
        <color theme="0"/>
        <color theme="0"/>
      </colorScale>
    </cfRule>
    <cfRule type="expression" dxfId="2379" priority="4316">
      <formula>H69&lt;0</formula>
    </cfRule>
  </conditionalFormatting>
  <conditionalFormatting sqref="I82 I92 I103 I107">
    <cfRule type="expression" dxfId="2378" priority="4313">
      <formula>H82&lt;0</formula>
    </cfRule>
    <cfRule type="colorScale" priority="4312">
      <colorScale>
        <cfvo type="min"/>
        <cfvo type="max"/>
        <color theme="0"/>
        <color theme="0"/>
      </colorScale>
    </cfRule>
  </conditionalFormatting>
  <conditionalFormatting sqref="I83">
    <cfRule type="expression" dxfId="2377" priority="4211">
      <formula>H83&lt;0</formula>
    </cfRule>
    <cfRule type="colorScale" priority="4209">
      <colorScale>
        <cfvo type="min"/>
        <cfvo type="max"/>
        <color theme="0"/>
        <color theme="0"/>
      </colorScale>
    </cfRule>
    <cfRule type="expression" priority="4210">
      <formula>#REF!</formula>
    </cfRule>
  </conditionalFormatting>
  <conditionalFormatting sqref="I84:I91">
    <cfRule type="colorScale" priority="4317">
      <colorScale>
        <cfvo type="min"/>
        <cfvo type="max"/>
        <color theme="0"/>
        <color theme="0"/>
      </colorScale>
    </cfRule>
    <cfRule type="expression" priority="4318">
      <formula>$F$19</formula>
    </cfRule>
    <cfRule type="expression" dxfId="2376" priority="4319">
      <formula>H84&lt;0</formula>
    </cfRule>
  </conditionalFormatting>
  <conditionalFormatting sqref="I93">
    <cfRule type="expression" dxfId="2375" priority="4266">
      <formula>H93&lt;0</formula>
    </cfRule>
    <cfRule type="expression" priority="4265">
      <formula>#REF!</formula>
    </cfRule>
    <cfRule type="colorScale" priority="4264">
      <colorScale>
        <cfvo type="min"/>
        <cfvo type="max"/>
        <color theme="0"/>
        <color theme="0"/>
      </colorScale>
    </cfRule>
  </conditionalFormatting>
  <conditionalFormatting sqref="I94:I102">
    <cfRule type="colorScale" priority="4320">
      <colorScale>
        <cfvo type="min"/>
        <cfvo type="max"/>
        <color theme="0"/>
        <color theme="0"/>
      </colorScale>
    </cfRule>
    <cfRule type="expression" dxfId="2374" priority="4322">
      <formula>H94&lt;0</formula>
    </cfRule>
    <cfRule type="expression" priority="4321">
      <formula>$F$19</formula>
    </cfRule>
  </conditionalFormatting>
  <conditionalFormatting sqref="I104">
    <cfRule type="expression" dxfId="2373" priority="4263">
      <formula>H104&lt;0</formula>
    </cfRule>
    <cfRule type="expression" priority="4262">
      <formula>#REF!</formula>
    </cfRule>
    <cfRule type="colorScale" priority="4261">
      <colorScale>
        <cfvo type="min"/>
        <cfvo type="max"/>
        <color theme="0"/>
        <color theme="0"/>
      </colorScale>
    </cfRule>
  </conditionalFormatting>
  <conditionalFormatting sqref="I105:I106">
    <cfRule type="expression" dxfId="2372" priority="4325">
      <formula>H105&lt;0</formula>
    </cfRule>
    <cfRule type="colorScale" priority="4323">
      <colorScale>
        <cfvo type="min"/>
        <cfvo type="max"/>
        <color theme="0"/>
        <color theme="0"/>
      </colorScale>
    </cfRule>
    <cfRule type="expression" priority="4324">
      <formula>$F$19</formula>
    </cfRule>
  </conditionalFormatting>
  <conditionalFormatting sqref="I110">
    <cfRule type="expression" dxfId="2371" priority="4327">
      <formula>H110&lt;0</formula>
    </cfRule>
    <cfRule type="colorScale" priority="4326">
      <colorScale>
        <cfvo type="min"/>
        <cfvo type="max"/>
        <color theme="0"/>
        <color theme="0"/>
      </colorScale>
    </cfRule>
  </conditionalFormatting>
  <conditionalFormatting sqref="I110:I111">
    <cfRule type="expression" priority="4206">
      <formula>$F$19</formula>
    </cfRule>
  </conditionalFormatting>
  <conditionalFormatting sqref="I111">
    <cfRule type="colorScale" priority="4205">
      <colorScale>
        <cfvo type="min"/>
        <cfvo type="max"/>
        <color theme="0"/>
        <color theme="0"/>
      </colorScale>
    </cfRule>
    <cfRule type="expression" dxfId="2370" priority="4207">
      <formula>H111&lt;0</formula>
    </cfRule>
  </conditionalFormatting>
  <conditionalFormatting sqref="I117:I123">
    <cfRule type="expression" dxfId="2369" priority="4333">
      <formula>H117&lt;0</formula>
    </cfRule>
    <cfRule type="expression" priority="4332">
      <formula>$F$19</formula>
    </cfRule>
    <cfRule type="colorScale" priority="4331">
      <colorScale>
        <cfvo type="min"/>
        <cfvo type="max"/>
        <color theme="0"/>
        <color theme="0"/>
      </colorScale>
    </cfRule>
  </conditionalFormatting>
  <conditionalFormatting sqref="I125">
    <cfRule type="expression" priority="4259">
      <formula>#REF!</formula>
    </cfRule>
    <cfRule type="colorScale" priority="4258">
      <colorScale>
        <cfvo type="min"/>
        <cfvo type="max"/>
        <color theme="0"/>
        <color theme="0"/>
      </colorScale>
    </cfRule>
    <cfRule type="expression" dxfId="2368" priority="4260">
      <formula>H125&lt;0</formula>
    </cfRule>
  </conditionalFormatting>
  <conditionalFormatting sqref="I125:I135">
    <cfRule type="expression" dxfId="2367" priority="4257">
      <formula>IF(I125="Validar","Rojo","Verde")</formula>
    </cfRule>
  </conditionalFormatting>
  <conditionalFormatting sqref="I126:I132">
    <cfRule type="colorScale" priority="4334">
      <colorScale>
        <cfvo type="min"/>
        <cfvo type="max"/>
        <color theme="0"/>
        <color theme="0"/>
      </colorScale>
    </cfRule>
    <cfRule type="expression" dxfId="2366" priority="4336">
      <formula>H126&lt;0</formula>
    </cfRule>
  </conditionalFormatting>
  <conditionalFormatting sqref="I126:I134">
    <cfRule type="expression" priority="4335">
      <formula>$F$19</formula>
    </cfRule>
  </conditionalFormatting>
  <conditionalFormatting sqref="I133:I134">
    <cfRule type="expression" dxfId="2365" priority="4338">
      <formula>H133&lt;0</formula>
    </cfRule>
    <cfRule type="colorScale" priority="4337">
      <colorScale>
        <cfvo type="min"/>
        <cfvo type="max"/>
        <color theme="0"/>
        <color theme="0"/>
      </colorScale>
    </cfRule>
  </conditionalFormatting>
  <conditionalFormatting sqref="I135">
    <cfRule type="expression" dxfId="2364" priority="4330">
      <formula>H135&lt;0</formula>
    </cfRule>
    <cfRule type="expression" priority="4329">
      <formula>$F$23</formula>
    </cfRule>
    <cfRule type="colorScale" priority="4328">
      <colorScale>
        <cfvo type="min"/>
        <cfvo type="max"/>
        <color theme="0"/>
        <color theme="0"/>
      </colorScale>
    </cfRule>
  </conditionalFormatting>
  <conditionalFormatting sqref="I110:J111">
    <cfRule type="expression" dxfId="2363" priority="4201">
      <formula>IF(I110="Validar","Rojo","Verde")</formula>
    </cfRule>
  </conditionalFormatting>
  <conditionalFormatting sqref="I117:J123">
    <cfRule type="expression" dxfId="2362" priority="4214">
      <formula>IF(I117="Validar","Rojo","Verde")</formula>
    </cfRule>
  </conditionalFormatting>
  <conditionalFormatting sqref="J40:J66">
    <cfRule type="expression" dxfId="2361" priority="4251">
      <formula>I40&lt;0</formula>
    </cfRule>
    <cfRule type="colorScale" priority="4249">
      <colorScale>
        <cfvo type="min"/>
        <cfvo type="max"/>
        <color theme="0"/>
        <color theme="0"/>
      </colorScale>
    </cfRule>
    <cfRule type="expression" priority="4250">
      <formula>#REF!</formula>
    </cfRule>
  </conditionalFormatting>
  <conditionalFormatting sqref="J40:J67">
    <cfRule type="expression" dxfId="2360" priority="4248">
      <formula>IF(J40="Validar","Rojo","Verde")</formula>
    </cfRule>
  </conditionalFormatting>
  <conditionalFormatting sqref="J67 I82:J82 I92:J92 I103:J103 I107:J107">
    <cfRule type="expression" priority="4253">
      <formula>$F$23</formula>
    </cfRule>
  </conditionalFormatting>
  <conditionalFormatting sqref="J67 J82 J92 J103 J107">
    <cfRule type="expression" dxfId="2359" priority="4254">
      <formula>I67&lt;0</formula>
    </cfRule>
  </conditionalFormatting>
  <conditionalFormatting sqref="J69">
    <cfRule type="colorScale" priority="4246">
      <colorScale>
        <cfvo type="min"/>
        <cfvo type="max"/>
        <color theme="0"/>
        <color theme="0"/>
      </colorScale>
    </cfRule>
    <cfRule type="expression" dxfId="2358" priority="4247">
      <formula>I69&lt;0</formula>
    </cfRule>
  </conditionalFormatting>
  <conditionalFormatting sqref="J69:J81">
    <cfRule type="expression" priority="4244">
      <formula>#REF!</formula>
    </cfRule>
  </conditionalFormatting>
  <conditionalFormatting sqref="J69:J82">
    <cfRule type="expression" dxfId="2357" priority="4242">
      <formula>IF(J69="Validar","Rojo","Verde")</formula>
    </cfRule>
  </conditionalFormatting>
  <conditionalFormatting sqref="J70:J78">
    <cfRule type="colorScale" priority="4243">
      <colorScale>
        <cfvo type="min"/>
        <cfvo type="max"/>
        <color theme="0"/>
        <color theme="0"/>
      </colorScale>
    </cfRule>
    <cfRule type="expression" dxfId="2356" priority="4245">
      <formula>I70&lt;0</formula>
    </cfRule>
  </conditionalFormatting>
  <conditionalFormatting sqref="J79:J81">
    <cfRule type="colorScale" priority="4255">
      <colorScale>
        <cfvo type="min"/>
        <cfvo type="max"/>
        <color theme="0"/>
        <color theme="0"/>
      </colorScale>
    </cfRule>
    <cfRule type="expression" dxfId="2355" priority="4256">
      <formula>I79&lt;0</formula>
    </cfRule>
  </conditionalFormatting>
  <conditionalFormatting sqref="J82 J67 J92 J103 J107">
    <cfRule type="colorScale" priority="4252">
      <colorScale>
        <cfvo type="min"/>
        <cfvo type="max"/>
        <color theme="0"/>
        <color theme="0"/>
      </colorScale>
    </cfRule>
  </conditionalFormatting>
  <conditionalFormatting sqref="J84">
    <cfRule type="expression" dxfId="2354" priority="4241">
      <formula>I84&lt;0</formula>
    </cfRule>
    <cfRule type="colorScale" priority="4240">
      <colorScale>
        <cfvo type="min"/>
        <cfvo type="max"/>
        <color theme="0"/>
        <color theme="0"/>
      </colorScale>
    </cfRule>
  </conditionalFormatting>
  <conditionalFormatting sqref="J84:J91">
    <cfRule type="expression" priority="4238">
      <formula>#REF!</formula>
    </cfRule>
  </conditionalFormatting>
  <conditionalFormatting sqref="J84:J92">
    <cfRule type="expression" dxfId="2353" priority="4236">
      <formula>IF(J84="Validar","Rojo","Verde")</formula>
    </cfRule>
  </conditionalFormatting>
  <conditionalFormatting sqref="J85:J91">
    <cfRule type="expression" dxfId="2352" priority="4239">
      <formula>I85&lt;0</formula>
    </cfRule>
    <cfRule type="colorScale" priority="4237">
      <colorScale>
        <cfvo type="min"/>
        <cfvo type="max"/>
        <color theme="0"/>
        <color theme="0"/>
      </colorScale>
    </cfRule>
  </conditionalFormatting>
  <conditionalFormatting sqref="J94">
    <cfRule type="colorScale" priority="4234">
      <colorScale>
        <cfvo type="min"/>
        <cfvo type="max"/>
        <color theme="0"/>
        <color theme="0"/>
      </colorScale>
    </cfRule>
    <cfRule type="expression" dxfId="2351" priority="4235">
      <formula>I94&lt;0</formula>
    </cfRule>
  </conditionalFormatting>
  <conditionalFormatting sqref="J94:J102">
    <cfRule type="expression" priority="4228">
      <formula>#REF!</formula>
    </cfRule>
  </conditionalFormatting>
  <conditionalFormatting sqref="J94:J103">
    <cfRule type="expression" dxfId="2350" priority="4226">
      <formula>IF(J94="Validar","Rojo","Verde")</formula>
    </cfRule>
  </conditionalFormatting>
  <conditionalFormatting sqref="J95:J100">
    <cfRule type="colorScale" priority="4232">
      <colorScale>
        <cfvo type="min"/>
        <cfvo type="max"/>
        <color theme="0"/>
        <color theme="0"/>
      </colorScale>
    </cfRule>
    <cfRule type="expression" dxfId="2349" priority="4233">
      <formula>I95&lt;0</formula>
    </cfRule>
  </conditionalFormatting>
  <conditionalFormatting sqref="J101">
    <cfRule type="colorScale" priority="4230">
      <colorScale>
        <cfvo type="min"/>
        <cfvo type="max"/>
        <color theme="0"/>
        <color theme="0"/>
      </colorScale>
    </cfRule>
    <cfRule type="expression" dxfId="2348" priority="4231">
      <formula>I101&lt;0</formula>
    </cfRule>
  </conditionalFormatting>
  <conditionalFormatting sqref="J102">
    <cfRule type="colorScale" priority="4227">
      <colorScale>
        <cfvo type="min"/>
        <cfvo type="max"/>
        <color theme="0"/>
        <color theme="0"/>
      </colorScale>
    </cfRule>
    <cfRule type="expression" dxfId="2347" priority="4229">
      <formula>I102&lt;0</formula>
    </cfRule>
  </conditionalFormatting>
  <conditionalFormatting sqref="J105">
    <cfRule type="expression" dxfId="2346" priority="4225">
      <formula>I105&lt;0</formula>
    </cfRule>
    <cfRule type="colorScale" priority="4224">
      <colorScale>
        <cfvo type="min"/>
        <cfvo type="max"/>
        <color theme="0"/>
        <color theme="0"/>
      </colorScale>
    </cfRule>
  </conditionalFormatting>
  <conditionalFormatting sqref="J105:J106">
    <cfRule type="expression" priority="4222">
      <formula>#REF!</formula>
    </cfRule>
  </conditionalFormatting>
  <conditionalFormatting sqref="J105:J107">
    <cfRule type="expression" dxfId="2345" priority="4220">
      <formula>IF(J105="Validar","Rojo","Verde")</formula>
    </cfRule>
  </conditionalFormatting>
  <conditionalFormatting sqref="J106">
    <cfRule type="expression" dxfId="2344" priority="4223">
      <formula>I106&lt;0</formula>
    </cfRule>
    <cfRule type="colorScale" priority="4221">
      <colorScale>
        <cfvo type="min"/>
        <cfvo type="max"/>
        <color theme="0"/>
        <color theme="0"/>
      </colorScale>
    </cfRule>
  </conditionalFormatting>
  <conditionalFormatting sqref="J110">
    <cfRule type="expression" dxfId="2343" priority="4213">
      <formula>I110&lt;0</formula>
    </cfRule>
    <cfRule type="colorScale" priority="4212">
      <colorScale>
        <cfvo type="min"/>
        <cfvo type="max"/>
        <color theme="0"/>
        <color theme="0"/>
      </colorScale>
    </cfRule>
  </conditionalFormatting>
  <conditionalFormatting sqref="J110:J111">
    <cfRule type="expression" priority="4203">
      <formula>#REF!</formula>
    </cfRule>
  </conditionalFormatting>
  <conditionalFormatting sqref="J111">
    <cfRule type="colorScale" priority="4202">
      <colorScale>
        <cfvo type="min"/>
        <cfvo type="max"/>
        <color theme="0"/>
        <color theme="0"/>
      </colorScale>
    </cfRule>
    <cfRule type="expression" dxfId="2342" priority="4204">
      <formula>I111&lt;0</formula>
    </cfRule>
  </conditionalFormatting>
  <conditionalFormatting sqref="J117">
    <cfRule type="expression" dxfId="2341" priority="4219">
      <formula>I117&lt;0</formula>
    </cfRule>
    <cfRule type="colorScale" priority="4218">
      <colorScale>
        <cfvo type="min"/>
        <cfvo type="max"/>
        <color theme="0"/>
        <color theme="0"/>
      </colorScale>
    </cfRule>
  </conditionalFormatting>
  <conditionalFormatting sqref="J117:J123">
    <cfRule type="expression" priority="4216">
      <formula>#REF!</formula>
    </cfRule>
  </conditionalFormatting>
  <conditionalFormatting sqref="J118:J123">
    <cfRule type="colorScale" priority="4215">
      <colorScale>
        <cfvo type="min"/>
        <cfvo type="max"/>
        <color theme="0"/>
        <color theme="0"/>
      </colorScale>
    </cfRule>
    <cfRule type="expression" dxfId="2340" priority="4217">
      <formula>I118&lt;0</formula>
    </cfRule>
  </conditionalFormatting>
  <conditionalFormatting sqref="J126:J135">
    <cfRule type="colorScale" priority="4340">
      <colorScale>
        <cfvo type="min"/>
        <cfvo type="max"/>
        <color theme="0"/>
        <color theme="0"/>
      </colorScale>
    </cfRule>
    <cfRule type="expression" priority="4341">
      <formula>$F$23</formula>
    </cfRule>
    <cfRule type="expression" dxfId="2339" priority="4342">
      <formula>I126&lt;0</formula>
    </cfRule>
    <cfRule type="expression" dxfId="2338" priority="4339">
      <formula>IF(J126="Validar","Rojo","Verde")</formula>
    </cfRule>
  </conditionalFormatting>
  <conditionalFormatting sqref="K83">
    <cfRule type="expression" dxfId="2337" priority="9156">
      <formula>J83&lt;0</formula>
    </cfRule>
    <cfRule type="expression" dxfId="2336" priority="9153">
      <formula>IF(K83="Validar","Rojo","Verde")</formula>
    </cfRule>
    <cfRule type="colorScale" priority="9154">
      <colorScale>
        <cfvo type="min"/>
        <cfvo type="max"/>
        <color theme="0"/>
        <color theme="0"/>
      </colorScale>
    </cfRule>
    <cfRule type="expression" priority="9155">
      <formula>#REF!</formula>
    </cfRule>
  </conditionalFormatting>
  <conditionalFormatting sqref="K111">
    <cfRule type="expression" dxfId="2335" priority="9098">
      <formula>J111&lt;0</formula>
    </cfRule>
    <cfRule type="expression" dxfId="2334" priority="9095">
      <formula>IF(K111="Validar","Rojo","Verde")</formula>
    </cfRule>
    <cfRule type="colorScale" priority="9096">
      <colorScale>
        <cfvo type="min"/>
        <cfvo type="max"/>
        <color theme="0"/>
        <color theme="0"/>
      </colorScale>
    </cfRule>
    <cfRule type="expression" priority="9097">
      <formula>#REF!</formula>
    </cfRule>
  </conditionalFormatting>
  <conditionalFormatting sqref="K142">
    <cfRule type="colorScale" priority="9265">
      <colorScale>
        <cfvo type="min"/>
        <cfvo type="max"/>
        <color theme="0"/>
        <color theme="0"/>
      </colorScale>
    </cfRule>
    <cfRule type="expression" priority="9266">
      <formula>#REF!</formula>
    </cfRule>
    <cfRule type="expression" dxfId="2333" priority="9264">
      <formula>IF(K142="Validar","Rojo","Verde")</formula>
    </cfRule>
    <cfRule type="expression" dxfId="2332" priority="9267">
      <formula>J142&lt;0</formula>
    </cfRule>
  </conditionalFormatting>
  <conditionalFormatting sqref="M5">
    <cfRule type="colorScale" priority="103">
      <colorScale>
        <cfvo type="min"/>
        <cfvo type="max"/>
        <color theme="0"/>
        <color theme="0"/>
      </colorScale>
    </cfRule>
    <cfRule type="expression" dxfId="2331" priority="104">
      <formula>L5&lt;0</formula>
    </cfRule>
  </conditionalFormatting>
  <conditionalFormatting sqref="M5:M20">
    <cfRule type="expression" dxfId="2330" priority="101">
      <formula>IF(M5="Validar","Rojo","Verde")</formula>
    </cfRule>
    <cfRule type="expression" priority="102">
      <formula>#REF!</formula>
    </cfRule>
  </conditionalFormatting>
  <conditionalFormatting sqref="M6">
    <cfRule type="expression" dxfId="2329" priority="3900">
      <formula>L6&lt;0</formula>
    </cfRule>
    <cfRule type="colorScale" priority="3899">
      <colorScale>
        <cfvo type="min"/>
        <cfvo type="max"/>
        <color theme="0"/>
        <color theme="0"/>
      </colorScale>
    </cfRule>
  </conditionalFormatting>
  <conditionalFormatting sqref="M7:M8">
    <cfRule type="colorScale" priority="3895">
      <colorScale>
        <cfvo type="min"/>
        <cfvo type="max"/>
        <color theme="0"/>
        <color theme="0"/>
      </colorScale>
    </cfRule>
    <cfRule type="expression" dxfId="2328" priority="3896">
      <formula>L7&lt;0</formula>
    </cfRule>
  </conditionalFormatting>
  <conditionalFormatting sqref="M9">
    <cfRule type="colorScale" priority="4010">
      <colorScale>
        <cfvo type="min"/>
        <cfvo type="max"/>
        <color theme="0"/>
        <color theme="0"/>
      </colorScale>
    </cfRule>
    <cfRule type="expression" dxfId="2327" priority="4011">
      <formula>L9&lt;0</formula>
    </cfRule>
  </conditionalFormatting>
  <conditionalFormatting sqref="M10">
    <cfRule type="expression" dxfId="2326" priority="3988">
      <formula>L10&lt;0</formula>
    </cfRule>
    <cfRule type="colorScale" priority="3987">
      <colorScale>
        <cfvo type="min"/>
        <cfvo type="max"/>
        <color theme="0"/>
        <color theme="0"/>
      </colorScale>
    </cfRule>
  </conditionalFormatting>
  <conditionalFormatting sqref="M11:M13">
    <cfRule type="expression" dxfId="2325" priority="4009">
      <formula>L11&lt;0</formula>
    </cfRule>
    <cfRule type="colorScale" priority="4008">
      <colorScale>
        <cfvo type="min"/>
        <cfvo type="max"/>
        <color theme="0"/>
        <color theme="0"/>
      </colorScale>
    </cfRule>
  </conditionalFormatting>
  <conditionalFormatting sqref="M14">
    <cfRule type="colorScale" priority="387">
      <colorScale>
        <cfvo type="min"/>
        <cfvo type="max"/>
        <color theme="0"/>
        <color theme="0"/>
      </colorScale>
    </cfRule>
    <cfRule type="expression" dxfId="2324" priority="388">
      <formula>L14&lt;0</formula>
    </cfRule>
  </conditionalFormatting>
  <conditionalFormatting sqref="M15">
    <cfRule type="colorScale" priority="3985">
      <colorScale>
        <cfvo type="min"/>
        <cfvo type="max"/>
        <color theme="0"/>
        <color theme="0"/>
      </colorScale>
    </cfRule>
    <cfRule type="expression" dxfId="2323" priority="3986">
      <formula>L15&lt;0</formula>
    </cfRule>
  </conditionalFormatting>
  <conditionalFormatting sqref="M16:M17">
    <cfRule type="expression" dxfId="2322" priority="4007">
      <formula>L16&lt;0</formula>
    </cfRule>
    <cfRule type="colorScale" priority="4006">
      <colorScale>
        <cfvo type="min"/>
        <cfvo type="max"/>
        <color theme="0"/>
        <color theme="0"/>
      </colorScale>
    </cfRule>
  </conditionalFormatting>
  <conditionalFormatting sqref="M18">
    <cfRule type="expression" dxfId="2321" priority="3984">
      <formula>L18&lt;0</formula>
    </cfRule>
    <cfRule type="colorScale" priority="3982">
      <colorScale>
        <cfvo type="min"/>
        <cfvo type="max"/>
        <color theme="0"/>
        <color theme="0"/>
      </colorScale>
    </cfRule>
  </conditionalFormatting>
  <conditionalFormatting sqref="M19:M20">
    <cfRule type="colorScale" priority="4004">
      <colorScale>
        <cfvo type="min"/>
        <cfvo type="max"/>
        <color theme="0"/>
        <color theme="0"/>
      </colorScale>
    </cfRule>
    <cfRule type="expression" dxfId="2320" priority="4005">
      <formula>L19&lt;0</formula>
    </cfRule>
  </conditionalFormatting>
  <conditionalFormatting sqref="M23">
    <cfRule type="expression" dxfId="2319" priority="3980">
      <formula>L23&lt;0</formula>
    </cfRule>
    <cfRule type="colorScale" priority="3979">
      <colorScale>
        <cfvo type="min"/>
        <cfvo type="max"/>
        <color theme="0"/>
        <color theme="0"/>
      </colorScale>
    </cfRule>
  </conditionalFormatting>
  <conditionalFormatting sqref="M23:M31">
    <cfRule type="expression" priority="3975">
      <formula>#REF!</formula>
    </cfRule>
    <cfRule type="expression" dxfId="2318" priority="3973">
      <formula>IF(M23="Validar","Rojo","Verde")</formula>
    </cfRule>
  </conditionalFormatting>
  <conditionalFormatting sqref="M24">
    <cfRule type="expression" dxfId="2317" priority="4003">
      <formula>L24&lt;0</formula>
    </cfRule>
    <cfRule type="colorScale" priority="4002">
      <colorScale>
        <cfvo type="min"/>
        <cfvo type="max"/>
        <color theme="0"/>
        <color theme="0"/>
      </colorScale>
    </cfRule>
  </conditionalFormatting>
  <conditionalFormatting sqref="M25">
    <cfRule type="expression" dxfId="2316" priority="4001">
      <formula>L25&lt;0</formula>
    </cfRule>
    <cfRule type="colorScale" priority="4000">
      <colorScale>
        <cfvo type="min"/>
        <cfvo type="max"/>
        <color theme="0"/>
        <color theme="0"/>
      </colorScale>
    </cfRule>
  </conditionalFormatting>
  <conditionalFormatting sqref="M26">
    <cfRule type="expression" dxfId="2315" priority="3978">
      <formula>L26&lt;0</formula>
    </cfRule>
    <cfRule type="colorScale" priority="3977">
      <colorScale>
        <cfvo type="min"/>
        <cfvo type="max"/>
        <color theme="0"/>
        <color theme="0"/>
      </colorScale>
    </cfRule>
  </conditionalFormatting>
  <conditionalFormatting sqref="M27">
    <cfRule type="expression" dxfId="2314" priority="3999">
      <formula>L27&lt;0</formula>
    </cfRule>
    <cfRule type="colorScale" priority="3998">
      <colorScale>
        <cfvo type="min"/>
        <cfvo type="max"/>
        <color theme="0"/>
        <color theme="0"/>
      </colorScale>
    </cfRule>
  </conditionalFormatting>
  <conditionalFormatting sqref="M28">
    <cfRule type="expression" dxfId="2313" priority="3997">
      <formula>L28&lt;0</formula>
    </cfRule>
    <cfRule type="colorScale" priority="3996">
      <colorScale>
        <cfvo type="min"/>
        <cfvo type="max"/>
        <color theme="0"/>
        <color theme="0"/>
      </colorScale>
    </cfRule>
  </conditionalFormatting>
  <conditionalFormatting sqref="M29">
    <cfRule type="expression" dxfId="2312" priority="3976">
      <formula>L29&lt;0</formula>
    </cfRule>
    <cfRule type="colorScale" priority="3974">
      <colorScale>
        <cfvo type="min"/>
        <cfvo type="max"/>
        <color theme="0"/>
        <color theme="0"/>
      </colorScale>
    </cfRule>
  </conditionalFormatting>
  <conditionalFormatting sqref="M30">
    <cfRule type="colorScale" priority="3994">
      <colorScale>
        <cfvo type="min"/>
        <cfvo type="max"/>
        <color theme="0"/>
        <color theme="0"/>
      </colorScale>
    </cfRule>
    <cfRule type="expression" dxfId="2311" priority="3995">
      <formula>L30&lt;0</formula>
    </cfRule>
  </conditionalFormatting>
  <conditionalFormatting sqref="M31">
    <cfRule type="expression" dxfId="2310" priority="3993">
      <formula>L31&lt;0</formula>
    </cfRule>
    <cfRule type="colorScale" priority="3992">
      <colorScale>
        <cfvo type="min"/>
        <cfvo type="max"/>
        <color theme="0"/>
        <color theme="0"/>
      </colorScale>
    </cfRule>
  </conditionalFormatting>
  <conditionalFormatting sqref="M39">
    <cfRule type="colorScale" priority="3970">
      <colorScale>
        <cfvo type="min"/>
        <cfvo type="max"/>
        <color theme="0"/>
        <color theme="0"/>
      </colorScale>
    </cfRule>
    <cfRule type="expression" priority="3971">
      <formula>#REF!</formula>
    </cfRule>
    <cfRule type="expression" dxfId="2309" priority="3972">
      <formula>L39&lt;0</formula>
    </cfRule>
  </conditionalFormatting>
  <conditionalFormatting sqref="M39:M107">
    <cfRule type="expression" dxfId="2308" priority="3908">
      <formula>IF(M39="Validar","Rojo","Verde")</formula>
    </cfRule>
  </conditionalFormatting>
  <conditionalFormatting sqref="M40:M67">
    <cfRule type="colorScale" priority="3989">
      <colorScale>
        <cfvo type="min"/>
        <cfvo type="max"/>
        <color theme="0"/>
        <color theme="0"/>
      </colorScale>
    </cfRule>
    <cfRule type="expression" priority="3990">
      <formula>$F$19</formula>
    </cfRule>
    <cfRule type="expression" dxfId="2307" priority="3991">
      <formula>L40&lt;0</formula>
    </cfRule>
  </conditionalFormatting>
  <conditionalFormatting sqref="M68">
    <cfRule type="expression" priority="3968">
      <formula>#REF!</formula>
    </cfRule>
    <cfRule type="expression" dxfId="2306" priority="3969">
      <formula>L68&lt;0</formula>
    </cfRule>
    <cfRule type="colorScale" priority="3967">
      <colorScale>
        <cfvo type="min"/>
        <cfvo type="max"/>
        <color theme="0"/>
        <color theme="0"/>
      </colorScale>
    </cfRule>
  </conditionalFormatting>
  <conditionalFormatting sqref="M69:M81">
    <cfRule type="expression" dxfId="2305" priority="4016">
      <formula>L69&lt;0</formula>
    </cfRule>
    <cfRule type="colorScale" priority="4014">
      <colorScale>
        <cfvo type="min"/>
        <cfvo type="max"/>
        <color theme="0"/>
        <color theme="0"/>
      </colorScale>
    </cfRule>
    <cfRule type="expression" priority="4015">
      <formula>$F$19</formula>
    </cfRule>
  </conditionalFormatting>
  <conditionalFormatting sqref="M82 M92 M103 M107">
    <cfRule type="colorScale" priority="4012">
      <colorScale>
        <cfvo type="min"/>
        <cfvo type="max"/>
        <color theme="0"/>
        <color theme="0"/>
      </colorScale>
    </cfRule>
    <cfRule type="expression" dxfId="2304" priority="4013">
      <formula>L82&lt;0</formula>
    </cfRule>
  </conditionalFormatting>
  <conditionalFormatting sqref="M83">
    <cfRule type="expression" priority="3910">
      <formula>#REF!</formula>
    </cfRule>
    <cfRule type="expression" dxfId="2303" priority="3911">
      <formula>L83&lt;0</formula>
    </cfRule>
    <cfRule type="colorScale" priority="3909">
      <colorScale>
        <cfvo type="min"/>
        <cfvo type="max"/>
        <color theme="0"/>
        <color theme="0"/>
      </colorScale>
    </cfRule>
  </conditionalFormatting>
  <conditionalFormatting sqref="M84:M91">
    <cfRule type="expression" dxfId="2302" priority="4019">
      <formula>L84&lt;0</formula>
    </cfRule>
    <cfRule type="expression" priority="4018">
      <formula>$F$19</formula>
    </cfRule>
    <cfRule type="colorScale" priority="4017">
      <colorScale>
        <cfvo type="min"/>
        <cfvo type="max"/>
        <color theme="0"/>
        <color theme="0"/>
      </colorScale>
    </cfRule>
  </conditionalFormatting>
  <conditionalFormatting sqref="M93">
    <cfRule type="expression" dxfId="2301" priority="3966">
      <formula>L93&lt;0</formula>
    </cfRule>
    <cfRule type="expression" priority="3965">
      <formula>#REF!</formula>
    </cfRule>
    <cfRule type="colorScale" priority="3964">
      <colorScale>
        <cfvo type="min"/>
        <cfvo type="max"/>
        <color theme="0"/>
        <color theme="0"/>
      </colorScale>
    </cfRule>
  </conditionalFormatting>
  <conditionalFormatting sqref="M94:M102">
    <cfRule type="expression" dxfId="2300" priority="4022">
      <formula>L94&lt;0</formula>
    </cfRule>
    <cfRule type="expression" priority="4021">
      <formula>$F$19</formula>
    </cfRule>
    <cfRule type="colorScale" priority="4020">
      <colorScale>
        <cfvo type="min"/>
        <cfvo type="max"/>
        <color theme="0"/>
        <color theme="0"/>
      </colorScale>
    </cfRule>
  </conditionalFormatting>
  <conditionalFormatting sqref="M104">
    <cfRule type="expression" priority="3962">
      <formula>#REF!</formula>
    </cfRule>
    <cfRule type="colorScale" priority="3961">
      <colorScale>
        <cfvo type="min"/>
        <cfvo type="max"/>
        <color theme="0"/>
        <color theme="0"/>
      </colorScale>
    </cfRule>
    <cfRule type="expression" dxfId="2299" priority="3963">
      <formula>L104&lt;0</formula>
    </cfRule>
  </conditionalFormatting>
  <conditionalFormatting sqref="M105:M106">
    <cfRule type="expression" dxfId="2298" priority="4025">
      <formula>L105&lt;0</formula>
    </cfRule>
    <cfRule type="expression" priority="4024">
      <formula>$F$19</formula>
    </cfRule>
    <cfRule type="colorScale" priority="4023">
      <colorScale>
        <cfvo type="min"/>
        <cfvo type="max"/>
        <color theme="0"/>
        <color theme="0"/>
      </colorScale>
    </cfRule>
  </conditionalFormatting>
  <conditionalFormatting sqref="M110">
    <cfRule type="expression" dxfId="2297" priority="4027">
      <formula>L110&lt;0</formula>
    </cfRule>
    <cfRule type="colorScale" priority="4026">
      <colorScale>
        <cfvo type="min"/>
        <cfvo type="max"/>
        <color theme="0"/>
        <color theme="0"/>
      </colorScale>
    </cfRule>
  </conditionalFormatting>
  <conditionalFormatting sqref="M110:M111">
    <cfRule type="expression" priority="3906">
      <formula>$F$19</formula>
    </cfRule>
  </conditionalFormatting>
  <conditionalFormatting sqref="M111">
    <cfRule type="expression" dxfId="2296" priority="3907">
      <formula>L111&lt;0</formula>
    </cfRule>
    <cfRule type="colorScale" priority="3905">
      <colorScale>
        <cfvo type="min"/>
        <cfvo type="max"/>
        <color theme="0"/>
        <color theme="0"/>
      </colorScale>
    </cfRule>
  </conditionalFormatting>
  <conditionalFormatting sqref="M117:M123">
    <cfRule type="expression" dxfId="2295" priority="4033">
      <formula>L117&lt;0</formula>
    </cfRule>
    <cfRule type="expression" priority="4032">
      <formula>$F$19</formula>
    </cfRule>
    <cfRule type="colorScale" priority="4031">
      <colorScale>
        <cfvo type="min"/>
        <cfvo type="max"/>
        <color theme="0"/>
        <color theme="0"/>
      </colorScale>
    </cfRule>
  </conditionalFormatting>
  <conditionalFormatting sqref="M125">
    <cfRule type="expression" priority="3959">
      <formula>#REF!</formula>
    </cfRule>
    <cfRule type="colorScale" priority="3958">
      <colorScale>
        <cfvo type="min"/>
        <cfvo type="max"/>
        <color theme="0"/>
        <color theme="0"/>
      </colorScale>
    </cfRule>
    <cfRule type="expression" dxfId="2294" priority="3960">
      <formula>L125&lt;0</formula>
    </cfRule>
  </conditionalFormatting>
  <conditionalFormatting sqref="M125:M135">
    <cfRule type="expression" dxfId="2293" priority="3957">
      <formula>IF(M125="Validar","Rojo","Verde")</formula>
    </cfRule>
  </conditionalFormatting>
  <conditionalFormatting sqref="M126:M132">
    <cfRule type="expression" dxfId="2292" priority="4036">
      <formula>L126&lt;0</formula>
    </cfRule>
    <cfRule type="colorScale" priority="4034">
      <colorScale>
        <cfvo type="min"/>
        <cfvo type="max"/>
        <color theme="0"/>
        <color theme="0"/>
      </colorScale>
    </cfRule>
  </conditionalFormatting>
  <conditionalFormatting sqref="M126:M134">
    <cfRule type="expression" priority="4035">
      <formula>$F$19</formula>
    </cfRule>
  </conditionalFormatting>
  <conditionalFormatting sqref="M133:M134">
    <cfRule type="expression" dxfId="2291" priority="4038">
      <formula>L133&lt;0</formula>
    </cfRule>
    <cfRule type="colorScale" priority="4037">
      <colorScale>
        <cfvo type="min"/>
        <cfvo type="max"/>
        <color theme="0"/>
        <color theme="0"/>
      </colorScale>
    </cfRule>
  </conditionalFormatting>
  <conditionalFormatting sqref="M135">
    <cfRule type="colorScale" priority="4028">
      <colorScale>
        <cfvo type="min"/>
        <cfvo type="max"/>
        <color theme="0"/>
        <color theme="0"/>
      </colorScale>
    </cfRule>
    <cfRule type="expression" priority="4029">
      <formula>$F$23</formula>
    </cfRule>
    <cfRule type="expression" dxfId="2290" priority="4030">
      <formula>L135&lt;0</formula>
    </cfRule>
  </conditionalFormatting>
  <conditionalFormatting sqref="M110:N111">
    <cfRule type="expression" dxfId="2289" priority="3901">
      <formula>IF(M110="Validar","Rojo","Verde")</formula>
    </cfRule>
  </conditionalFormatting>
  <conditionalFormatting sqref="M117:N123">
    <cfRule type="expression" dxfId="2288" priority="3914">
      <formula>IF(M117="Validar","Rojo","Verde")</formula>
    </cfRule>
  </conditionalFormatting>
  <conditionalFormatting sqref="N40:N66">
    <cfRule type="expression" dxfId="2287" priority="3951">
      <formula>M40&lt;0</formula>
    </cfRule>
    <cfRule type="colorScale" priority="3949">
      <colorScale>
        <cfvo type="min"/>
        <cfvo type="max"/>
        <color theme="0"/>
        <color theme="0"/>
      </colorScale>
    </cfRule>
    <cfRule type="expression" priority="3950">
      <formula>#REF!</formula>
    </cfRule>
  </conditionalFormatting>
  <conditionalFormatting sqref="N40:N67">
    <cfRule type="expression" dxfId="2286" priority="3948">
      <formula>IF(N40="Validar","Rojo","Verde")</formula>
    </cfRule>
  </conditionalFormatting>
  <conditionalFormatting sqref="N67 M82:N82 M92:N92 M103:N103 M107:N107">
    <cfRule type="expression" priority="3953">
      <formula>$F$23</formula>
    </cfRule>
  </conditionalFormatting>
  <conditionalFormatting sqref="N67 N82 N92 N103 N107">
    <cfRule type="expression" dxfId="2285" priority="3954">
      <formula>M67&lt;0</formula>
    </cfRule>
    <cfRule type="colorScale" priority="3952">
      <colorScale>
        <cfvo type="min"/>
        <cfvo type="max"/>
        <color theme="0"/>
        <color theme="0"/>
      </colorScale>
    </cfRule>
  </conditionalFormatting>
  <conditionalFormatting sqref="N69">
    <cfRule type="colorScale" priority="3946">
      <colorScale>
        <cfvo type="min"/>
        <cfvo type="max"/>
        <color theme="0"/>
        <color theme="0"/>
      </colorScale>
    </cfRule>
    <cfRule type="expression" dxfId="2284" priority="3947">
      <formula>M69&lt;0</formula>
    </cfRule>
  </conditionalFormatting>
  <conditionalFormatting sqref="N69:N81">
    <cfRule type="expression" priority="3944">
      <formula>#REF!</formula>
    </cfRule>
  </conditionalFormatting>
  <conditionalFormatting sqref="N69:N82">
    <cfRule type="expression" dxfId="2283" priority="3942">
      <formula>IF(N69="Validar","Rojo","Verde")</formula>
    </cfRule>
  </conditionalFormatting>
  <conditionalFormatting sqref="N70:N78">
    <cfRule type="colorScale" priority="3943">
      <colorScale>
        <cfvo type="min"/>
        <cfvo type="max"/>
        <color theme="0"/>
        <color theme="0"/>
      </colorScale>
    </cfRule>
    <cfRule type="expression" dxfId="2282" priority="3945">
      <formula>M70&lt;0</formula>
    </cfRule>
  </conditionalFormatting>
  <conditionalFormatting sqref="N79:N81">
    <cfRule type="colorScale" priority="3955">
      <colorScale>
        <cfvo type="min"/>
        <cfvo type="max"/>
        <color theme="0"/>
        <color theme="0"/>
      </colorScale>
    </cfRule>
    <cfRule type="expression" dxfId="2281" priority="3956">
      <formula>M79&lt;0</formula>
    </cfRule>
  </conditionalFormatting>
  <conditionalFormatting sqref="N84">
    <cfRule type="expression" dxfId="2280" priority="3941">
      <formula>M84&lt;0</formula>
    </cfRule>
    <cfRule type="colorScale" priority="3940">
      <colorScale>
        <cfvo type="min"/>
        <cfvo type="max"/>
        <color theme="0"/>
        <color theme="0"/>
      </colorScale>
    </cfRule>
  </conditionalFormatting>
  <conditionalFormatting sqref="N84:N91">
    <cfRule type="expression" priority="3938">
      <formula>#REF!</formula>
    </cfRule>
  </conditionalFormatting>
  <conditionalFormatting sqref="N84:N92">
    <cfRule type="expression" dxfId="2279" priority="3936">
      <formula>IF(N84="Validar","Rojo","Verde")</formula>
    </cfRule>
  </conditionalFormatting>
  <conditionalFormatting sqref="N85:N91">
    <cfRule type="colorScale" priority="3937">
      <colorScale>
        <cfvo type="min"/>
        <cfvo type="max"/>
        <color theme="0"/>
        <color theme="0"/>
      </colorScale>
    </cfRule>
    <cfRule type="expression" dxfId="2278" priority="3939">
      <formula>M85&lt;0</formula>
    </cfRule>
  </conditionalFormatting>
  <conditionalFormatting sqref="N94">
    <cfRule type="colorScale" priority="3934">
      <colorScale>
        <cfvo type="min"/>
        <cfvo type="max"/>
        <color theme="0"/>
        <color theme="0"/>
      </colorScale>
    </cfRule>
    <cfRule type="expression" dxfId="2277" priority="3935">
      <formula>M94&lt;0</formula>
    </cfRule>
  </conditionalFormatting>
  <conditionalFormatting sqref="N94:N102">
    <cfRule type="expression" priority="3928">
      <formula>#REF!</formula>
    </cfRule>
  </conditionalFormatting>
  <conditionalFormatting sqref="N94:N103">
    <cfRule type="expression" dxfId="2276" priority="3926">
      <formula>IF(N94="Validar","Rojo","Verde")</formula>
    </cfRule>
  </conditionalFormatting>
  <conditionalFormatting sqref="N95:N100">
    <cfRule type="colorScale" priority="3932">
      <colorScale>
        <cfvo type="min"/>
        <cfvo type="max"/>
        <color theme="0"/>
        <color theme="0"/>
      </colorScale>
    </cfRule>
    <cfRule type="expression" dxfId="2275" priority="3933">
      <formula>M95&lt;0</formula>
    </cfRule>
  </conditionalFormatting>
  <conditionalFormatting sqref="N101">
    <cfRule type="expression" dxfId="2274" priority="3931">
      <formula>M101&lt;0</formula>
    </cfRule>
    <cfRule type="colorScale" priority="3930">
      <colorScale>
        <cfvo type="min"/>
        <cfvo type="max"/>
        <color theme="0"/>
        <color theme="0"/>
      </colorScale>
    </cfRule>
  </conditionalFormatting>
  <conditionalFormatting sqref="N102">
    <cfRule type="colorScale" priority="3927">
      <colorScale>
        <cfvo type="min"/>
        <cfvo type="max"/>
        <color theme="0"/>
        <color theme="0"/>
      </colorScale>
    </cfRule>
    <cfRule type="expression" dxfId="2273" priority="3929">
      <formula>M102&lt;0</formula>
    </cfRule>
  </conditionalFormatting>
  <conditionalFormatting sqref="N105">
    <cfRule type="expression" dxfId="2272" priority="3925">
      <formula>M105&lt;0</formula>
    </cfRule>
    <cfRule type="colorScale" priority="3924">
      <colorScale>
        <cfvo type="min"/>
        <cfvo type="max"/>
        <color theme="0"/>
        <color theme="0"/>
      </colorScale>
    </cfRule>
  </conditionalFormatting>
  <conditionalFormatting sqref="N105:N106">
    <cfRule type="expression" priority="3922">
      <formula>#REF!</formula>
    </cfRule>
  </conditionalFormatting>
  <conditionalFormatting sqref="N105:N107">
    <cfRule type="expression" dxfId="2271" priority="3920">
      <formula>IF(N105="Validar","Rojo","Verde")</formula>
    </cfRule>
  </conditionalFormatting>
  <conditionalFormatting sqref="N106">
    <cfRule type="expression" dxfId="2270" priority="3923">
      <formula>M106&lt;0</formula>
    </cfRule>
    <cfRule type="colorScale" priority="3921">
      <colorScale>
        <cfvo type="min"/>
        <cfvo type="max"/>
        <color theme="0"/>
        <color theme="0"/>
      </colorScale>
    </cfRule>
  </conditionalFormatting>
  <conditionalFormatting sqref="N110">
    <cfRule type="colorScale" priority="3912">
      <colorScale>
        <cfvo type="min"/>
        <cfvo type="max"/>
        <color theme="0"/>
        <color theme="0"/>
      </colorScale>
    </cfRule>
    <cfRule type="expression" dxfId="2269" priority="3913">
      <formula>M110&lt;0</formula>
    </cfRule>
  </conditionalFormatting>
  <conditionalFormatting sqref="N110:N111">
    <cfRule type="expression" priority="3903">
      <formula>#REF!</formula>
    </cfRule>
  </conditionalFormatting>
  <conditionalFormatting sqref="N111">
    <cfRule type="expression" dxfId="2268" priority="3904">
      <formula>M111&lt;0</formula>
    </cfRule>
    <cfRule type="colorScale" priority="3902">
      <colorScale>
        <cfvo type="min"/>
        <cfvo type="max"/>
        <color theme="0"/>
        <color theme="0"/>
      </colorScale>
    </cfRule>
  </conditionalFormatting>
  <conditionalFormatting sqref="N117">
    <cfRule type="expression" dxfId="2267" priority="3919">
      <formula>M117&lt;0</formula>
    </cfRule>
    <cfRule type="colorScale" priority="3918">
      <colorScale>
        <cfvo type="min"/>
        <cfvo type="max"/>
        <color theme="0"/>
        <color theme="0"/>
      </colorScale>
    </cfRule>
  </conditionalFormatting>
  <conditionalFormatting sqref="N117:N123">
    <cfRule type="expression" priority="3916">
      <formula>#REF!</formula>
    </cfRule>
  </conditionalFormatting>
  <conditionalFormatting sqref="N118:N123">
    <cfRule type="expression" dxfId="2266" priority="3917">
      <formula>M118&lt;0</formula>
    </cfRule>
    <cfRule type="colorScale" priority="3915">
      <colorScale>
        <cfvo type="min"/>
        <cfvo type="max"/>
        <color theme="0"/>
        <color theme="0"/>
      </colorScale>
    </cfRule>
  </conditionalFormatting>
  <conditionalFormatting sqref="N126:N135">
    <cfRule type="expression" dxfId="2265" priority="4039">
      <formula>IF(N126="Validar","Rojo","Verde")</formula>
    </cfRule>
    <cfRule type="colorScale" priority="4040">
      <colorScale>
        <cfvo type="min"/>
        <cfvo type="max"/>
        <color theme="0"/>
        <color theme="0"/>
      </colorScale>
    </cfRule>
    <cfRule type="expression" priority="4041">
      <formula>$F$23</formula>
    </cfRule>
    <cfRule type="expression" dxfId="2264" priority="4042">
      <formula>M126&lt;0</formula>
    </cfRule>
  </conditionalFormatting>
  <conditionalFormatting sqref="P5">
    <cfRule type="colorScale" priority="107">
      <colorScale>
        <cfvo type="min"/>
        <cfvo type="max"/>
        <color theme="0"/>
        <color theme="0"/>
      </colorScale>
    </cfRule>
    <cfRule type="expression" dxfId="2263" priority="108">
      <formula>O5&lt;0</formula>
    </cfRule>
  </conditionalFormatting>
  <conditionalFormatting sqref="P5:P20">
    <cfRule type="expression" dxfId="2262" priority="105">
      <formula>IF(P5="Validar","Rojo","Verde")</formula>
    </cfRule>
    <cfRule type="expression" priority="106">
      <formula>#REF!</formula>
    </cfRule>
  </conditionalFormatting>
  <conditionalFormatting sqref="P6">
    <cfRule type="expression" dxfId="2261" priority="4050">
      <formula>O6&lt;0</formula>
    </cfRule>
    <cfRule type="colorScale" priority="4049">
      <colorScale>
        <cfvo type="min"/>
        <cfvo type="max"/>
        <color theme="0"/>
        <color theme="0"/>
      </colorScale>
    </cfRule>
  </conditionalFormatting>
  <conditionalFormatting sqref="P7:P8">
    <cfRule type="expression" dxfId="2260" priority="4046">
      <formula>O7&lt;0</formula>
    </cfRule>
    <cfRule type="colorScale" priority="4045">
      <colorScale>
        <cfvo type="min"/>
        <cfvo type="max"/>
        <color theme="0"/>
        <color theme="0"/>
      </colorScale>
    </cfRule>
  </conditionalFormatting>
  <conditionalFormatting sqref="P9">
    <cfRule type="colorScale" priority="4160">
      <colorScale>
        <cfvo type="min"/>
        <cfvo type="max"/>
        <color theme="0"/>
        <color theme="0"/>
      </colorScale>
    </cfRule>
    <cfRule type="expression" dxfId="2259" priority="4161">
      <formula>O9&lt;0</formula>
    </cfRule>
  </conditionalFormatting>
  <conditionalFormatting sqref="P10">
    <cfRule type="expression" dxfId="2258" priority="4138">
      <formula>O10&lt;0</formula>
    </cfRule>
    <cfRule type="colorScale" priority="4137">
      <colorScale>
        <cfvo type="min"/>
        <cfvo type="max"/>
        <color theme="0"/>
        <color theme="0"/>
      </colorScale>
    </cfRule>
  </conditionalFormatting>
  <conditionalFormatting sqref="P11:P13">
    <cfRule type="expression" dxfId="2257" priority="4159">
      <formula>O11&lt;0</formula>
    </cfRule>
    <cfRule type="colorScale" priority="4158">
      <colorScale>
        <cfvo type="min"/>
        <cfvo type="max"/>
        <color theme="0"/>
        <color theme="0"/>
      </colorScale>
    </cfRule>
  </conditionalFormatting>
  <conditionalFormatting sqref="P14">
    <cfRule type="colorScale" priority="385">
      <colorScale>
        <cfvo type="min"/>
        <cfvo type="max"/>
        <color theme="0"/>
        <color theme="0"/>
      </colorScale>
    </cfRule>
    <cfRule type="expression" dxfId="2256" priority="386">
      <formula>O14&lt;0</formula>
    </cfRule>
  </conditionalFormatting>
  <conditionalFormatting sqref="P15">
    <cfRule type="expression" dxfId="2255" priority="4136">
      <formula>O15&lt;0</formula>
    </cfRule>
    <cfRule type="colorScale" priority="4135">
      <colorScale>
        <cfvo type="min"/>
        <cfvo type="max"/>
        <color theme="0"/>
        <color theme="0"/>
      </colorScale>
    </cfRule>
  </conditionalFormatting>
  <conditionalFormatting sqref="P16:P17">
    <cfRule type="expression" dxfId="2254" priority="4157">
      <formula>O16&lt;0</formula>
    </cfRule>
    <cfRule type="colorScale" priority="4156">
      <colorScale>
        <cfvo type="min"/>
        <cfvo type="max"/>
        <color theme="0"/>
        <color theme="0"/>
      </colorScale>
    </cfRule>
  </conditionalFormatting>
  <conditionalFormatting sqref="P18">
    <cfRule type="expression" dxfId="2253" priority="4134">
      <formula>O18&lt;0</formula>
    </cfRule>
    <cfRule type="colorScale" priority="4132">
      <colorScale>
        <cfvo type="min"/>
        <cfvo type="max"/>
        <color theme="0"/>
        <color theme="0"/>
      </colorScale>
    </cfRule>
  </conditionalFormatting>
  <conditionalFormatting sqref="P19:P20">
    <cfRule type="colorScale" priority="4154">
      <colorScale>
        <cfvo type="min"/>
        <cfvo type="max"/>
        <color theme="0"/>
        <color theme="0"/>
      </colorScale>
    </cfRule>
    <cfRule type="expression" dxfId="2252" priority="4155">
      <formula>O19&lt;0</formula>
    </cfRule>
  </conditionalFormatting>
  <conditionalFormatting sqref="P23">
    <cfRule type="colorScale" priority="4129">
      <colorScale>
        <cfvo type="min"/>
        <cfvo type="max"/>
        <color theme="0"/>
        <color theme="0"/>
      </colorScale>
    </cfRule>
    <cfRule type="expression" dxfId="2251" priority="4130">
      <formula>O23&lt;0</formula>
    </cfRule>
  </conditionalFormatting>
  <conditionalFormatting sqref="P23:P31">
    <cfRule type="expression" dxfId="2250" priority="4123">
      <formula>IF(P23="Validar","Rojo","Verde")</formula>
    </cfRule>
    <cfRule type="expression" priority="4125">
      <formula>#REF!</formula>
    </cfRule>
  </conditionalFormatting>
  <conditionalFormatting sqref="P24">
    <cfRule type="colorScale" priority="4152">
      <colorScale>
        <cfvo type="min"/>
        <cfvo type="max"/>
        <color theme="0"/>
        <color theme="0"/>
      </colorScale>
    </cfRule>
    <cfRule type="expression" dxfId="2249" priority="4153">
      <formula>O24&lt;0</formula>
    </cfRule>
  </conditionalFormatting>
  <conditionalFormatting sqref="P25">
    <cfRule type="colorScale" priority="4150">
      <colorScale>
        <cfvo type="min"/>
        <cfvo type="max"/>
        <color theme="0"/>
        <color theme="0"/>
      </colorScale>
    </cfRule>
    <cfRule type="expression" dxfId="2248" priority="4151">
      <formula>O25&lt;0</formula>
    </cfRule>
  </conditionalFormatting>
  <conditionalFormatting sqref="P26">
    <cfRule type="colorScale" priority="4127">
      <colorScale>
        <cfvo type="min"/>
        <cfvo type="max"/>
        <color theme="0"/>
        <color theme="0"/>
      </colorScale>
    </cfRule>
    <cfRule type="expression" dxfId="2247" priority="4128">
      <formula>O26&lt;0</formula>
    </cfRule>
  </conditionalFormatting>
  <conditionalFormatting sqref="P27">
    <cfRule type="colorScale" priority="4148">
      <colorScale>
        <cfvo type="min"/>
        <cfvo type="max"/>
        <color theme="0"/>
        <color theme="0"/>
      </colorScale>
    </cfRule>
    <cfRule type="expression" dxfId="2246" priority="4149">
      <formula>O27&lt;0</formula>
    </cfRule>
  </conditionalFormatting>
  <conditionalFormatting sqref="P28">
    <cfRule type="expression" dxfId="2245" priority="4147">
      <formula>O28&lt;0</formula>
    </cfRule>
    <cfRule type="colorScale" priority="4146">
      <colorScale>
        <cfvo type="min"/>
        <cfvo type="max"/>
        <color theme="0"/>
        <color theme="0"/>
      </colorScale>
    </cfRule>
  </conditionalFormatting>
  <conditionalFormatting sqref="P29">
    <cfRule type="colorScale" priority="4124">
      <colorScale>
        <cfvo type="min"/>
        <cfvo type="max"/>
        <color theme="0"/>
        <color theme="0"/>
      </colorScale>
    </cfRule>
    <cfRule type="expression" dxfId="2244" priority="4126">
      <formula>O29&lt;0</formula>
    </cfRule>
  </conditionalFormatting>
  <conditionalFormatting sqref="P30">
    <cfRule type="expression" dxfId="2243" priority="4145">
      <formula>O30&lt;0</formula>
    </cfRule>
    <cfRule type="colorScale" priority="4144">
      <colorScale>
        <cfvo type="min"/>
        <cfvo type="max"/>
        <color theme="0"/>
        <color theme="0"/>
      </colorScale>
    </cfRule>
  </conditionalFormatting>
  <conditionalFormatting sqref="P31">
    <cfRule type="colorScale" priority="4142">
      <colorScale>
        <cfvo type="min"/>
        <cfvo type="max"/>
        <color theme="0"/>
        <color theme="0"/>
      </colorScale>
    </cfRule>
    <cfRule type="expression" dxfId="2242" priority="4143">
      <formula>O31&lt;0</formula>
    </cfRule>
  </conditionalFormatting>
  <conditionalFormatting sqref="P39">
    <cfRule type="expression" dxfId="2241" priority="4122">
      <formula>O39&lt;0</formula>
    </cfRule>
    <cfRule type="colorScale" priority="4120">
      <colorScale>
        <cfvo type="min"/>
        <cfvo type="max"/>
        <color theme="0"/>
        <color theme="0"/>
      </colorScale>
    </cfRule>
    <cfRule type="expression" priority="4121">
      <formula>#REF!</formula>
    </cfRule>
  </conditionalFormatting>
  <conditionalFormatting sqref="P39:P107">
    <cfRule type="expression" dxfId="2240" priority="4058">
      <formula>IF(P39="Validar","Rojo","Verde")</formula>
    </cfRule>
  </conditionalFormatting>
  <conditionalFormatting sqref="P40:P67">
    <cfRule type="expression" priority="4140">
      <formula>$F$19</formula>
    </cfRule>
    <cfRule type="colorScale" priority="4139">
      <colorScale>
        <cfvo type="min"/>
        <cfvo type="max"/>
        <color theme="0"/>
        <color theme="0"/>
      </colorScale>
    </cfRule>
    <cfRule type="expression" dxfId="2239" priority="4141">
      <formula>O40&lt;0</formula>
    </cfRule>
  </conditionalFormatting>
  <conditionalFormatting sqref="P68">
    <cfRule type="colorScale" priority="4117">
      <colorScale>
        <cfvo type="min"/>
        <cfvo type="max"/>
        <color theme="0"/>
        <color theme="0"/>
      </colorScale>
    </cfRule>
    <cfRule type="expression" dxfId="2238" priority="4119">
      <formula>O68&lt;0</formula>
    </cfRule>
    <cfRule type="expression" priority="4118">
      <formula>#REF!</formula>
    </cfRule>
  </conditionalFormatting>
  <conditionalFormatting sqref="P69:P81">
    <cfRule type="expression" dxfId="2237" priority="4166">
      <formula>O69&lt;0</formula>
    </cfRule>
    <cfRule type="expression" priority="4165">
      <formula>$F$19</formula>
    </cfRule>
    <cfRule type="colorScale" priority="4164">
      <colorScale>
        <cfvo type="min"/>
        <cfvo type="max"/>
        <color theme="0"/>
        <color theme="0"/>
      </colorScale>
    </cfRule>
  </conditionalFormatting>
  <conditionalFormatting sqref="P82 P92 P103 P107">
    <cfRule type="expression" dxfId="2236" priority="4163">
      <formula>O82&lt;0</formula>
    </cfRule>
  </conditionalFormatting>
  <conditionalFormatting sqref="P83">
    <cfRule type="expression" dxfId="2235" priority="4061">
      <formula>O83&lt;0</formula>
    </cfRule>
    <cfRule type="expression" priority="4060">
      <formula>#REF!</formula>
    </cfRule>
    <cfRule type="colorScale" priority="4059">
      <colorScale>
        <cfvo type="min"/>
        <cfvo type="max"/>
        <color theme="0"/>
        <color theme="0"/>
      </colorScale>
    </cfRule>
  </conditionalFormatting>
  <conditionalFormatting sqref="P84:P91">
    <cfRule type="expression" dxfId="2234" priority="4169">
      <formula>O84&lt;0</formula>
    </cfRule>
    <cfRule type="expression" priority="4168">
      <formula>$F$19</formula>
    </cfRule>
    <cfRule type="colorScale" priority="4167">
      <colorScale>
        <cfvo type="min"/>
        <cfvo type="max"/>
        <color theme="0"/>
        <color theme="0"/>
      </colorScale>
    </cfRule>
  </conditionalFormatting>
  <conditionalFormatting sqref="P92 P82 P103 P107">
    <cfRule type="colorScale" priority="4162">
      <colorScale>
        <cfvo type="min"/>
        <cfvo type="max"/>
        <color theme="0"/>
        <color theme="0"/>
      </colorScale>
    </cfRule>
  </conditionalFormatting>
  <conditionalFormatting sqref="P93">
    <cfRule type="colorScale" priority="4114">
      <colorScale>
        <cfvo type="min"/>
        <cfvo type="max"/>
        <color theme="0"/>
        <color theme="0"/>
      </colorScale>
    </cfRule>
    <cfRule type="expression" priority="4115">
      <formula>#REF!</formula>
    </cfRule>
    <cfRule type="expression" dxfId="2233" priority="4116">
      <formula>O93&lt;0</formula>
    </cfRule>
  </conditionalFormatting>
  <conditionalFormatting sqref="P94:P102">
    <cfRule type="expression" priority="4171">
      <formula>$F$19</formula>
    </cfRule>
    <cfRule type="expression" dxfId="2232" priority="4172">
      <formula>O94&lt;0</formula>
    </cfRule>
    <cfRule type="colorScale" priority="4170">
      <colorScale>
        <cfvo type="min"/>
        <cfvo type="max"/>
        <color theme="0"/>
        <color theme="0"/>
      </colorScale>
    </cfRule>
  </conditionalFormatting>
  <conditionalFormatting sqref="P104">
    <cfRule type="expression" dxfId="2231" priority="4113">
      <formula>O104&lt;0</formula>
    </cfRule>
    <cfRule type="expression" priority="4112">
      <formula>#REF!</formula>
    </cfRule>
    <cfRule type="colorScale" priority="4111">
      <colorScale>
        <cfvo type="min"/>
        <cfvo type="max"/>
        <color theme="0"/>
        <color theme="0"/>
      </colorScale>
    </cfRule>
  </conditionalFormatting>
  <conditionalFormatting sqref="P105:P106">
    <cfRule type="expression" dxfId="2230" priority="4175">
      <formula>O105&lt;0</formula>
    </cfRule>
    <cfRule type="colorScale" priority="4173">
      <colorScale>
        <cfvo type="min"/>
        <cfvo type="max"/>
        <color theme="0"/>
        <color theme="0"/>
      </colorScale>
    </cfRule>
    <cfRule type="expression" priority="4174">
      <formula>$F$19</formula>
    </cfRule>
  </conditionalFormatting>
  <conditionalFormatting sqref="P110">
    <cfRule type="colorScale" priority="4176">
      <colorScale>
        <cfvo type="min"/>
        <cfvo type="max"/>
        <color theme="0"/>
        <color theme="0"/>
      </colorScale>
    </cfRule>
    <cfRule type="expression" dxfId="2229" priority="4177">
      <formula>O110&lt;0</formula>
    </cfRule>
  </conditionalFormatting>
  <conditionalFormatting sqref="P110:P111">
    <cfRule type="expression" priority="4056">
      <formula>$F$19</formula>
    </cfRule>
  </conditionalFormatting>
  <conditionalFormatting sqref="P111">
    <cfRule type="colorScale" priority="4055">
      <colorScale>
        <cfvo type="min"/>
        <cfvo type="max"/>
        <color theme="0"/>
        <color theme="0"/>
      </colorScale>
    </cfRule>
    <cfRule type="expression" dxfId="2228" priority="4057">
      <formula>O111&lt;0</formula>
    </cfRule>
  </conditionalFormatting>
  <conditionalFormatting sqref="P117:P123">
    <cfRule type="colorScale" priority="4181">
      <colorScale>
        <cfvo type="min"/>
        <cfvo type="max"/>
        <color theme="0"/>
        <color theme="0"/>
      </colorScale>
    </cfRule>
    <cfRule type="expression" priority="4182">
      <formula>$F$19</formula>
    </cfRule>
    <cfRule type="expression" dxfId="2227" priority="4183">
      <formula>O117&lt;0</formula>
    </cfRule>
  </conditionalFormatting>
  <conditionalFormatting sqref="P125">
    <cfRule type="expression" dxfId="2226" priority="4110">
      <formula>O125&lt;0</formula>
    </cfRule>
    <cfRule type="colorScale" priority="4108">
      <colorScale>
        <cfvo type="min"/>
        <cfvo type="max"/>
        <color theme="0"/>
        <color theme="0"/>
      </colorScale>
    </cfRule>
    <cfRule type="expression" priority="4109">
      <formula>#REF!</formula>
    </cfRule>
  </conditionalFormatting>
  <conditionalFormatting sqref="P125:P135">
    <cfRule type="expression" dxfId="2225" priority="4107">
      <formula>IF(P125="Validar","Rojo","Verde")</formula>
    </cfRule>
  </conditionalFormatting>
  <conditionalFormatting sqref="P126:P132">
    <cfRule type="expression" dxfId="2224" priority="4186">
      <formula>O126&lt;0</formula>
    </cfRule>
    <cfRule type="colorScale" priority="4184">
      <colorScale>
        <cfvo type="min"/>
        <cfvo type="max"/>
        <color theme="0"/>
        <color theme="0"/>
      </colorScale>
    </cfRule>
  </conditionalFormatting>
  <conditionalFormatting sqref="P126:P134">
    <cfRule type="expression" priority="4185">
      <formula>$F$19</formula>
    </cfRule>
  </conditionalFormatting>
  <conditionalFormatting sqref="P133:P134">
    <cfRule type="expression" dxfId="2223" priority="4188">
      <formula>O133&lt;0</formula>
    </cfRule>
    <cfRule type="colorScale" priority="4187">
      <colorScale>
        <cfvo type="min"/>
        <cfvo type="max"/>
        <color theme="0"/>
        <color theme="0"/>
      </colorScale>
    </cfRule>
  </conditionalFormatting>
  <conditionalFormatting sqref="P135">
    <cfRule type="expression" dxfId="2222" priority="4180">
      <formula>O135&lt;0</formula>
    </cfRule>
    <cfRule type="colorScale" priority="4178">
      <colorScale>
        <cfvo type="min"/>
        <cfvo type="max"/>
        <color theme="0"/>
        <color theme="0"/>
      </colorScale>
    </cfRule>
    <cfRule type="expression" priority="4179">
      <formula>$F$23</formula>
    </cfRule>
  </conditionalFormatting>
  <conditionalFormatting sqref="P110:R111">
    <cfRule type="expression" dxfId="2221" priority="4051">
      <formula>IF(P110="Validar","Rojo","Verde")</formula>
    </cfRule>
  </conditionalFormatting>
  <conditionalFormatting sqref="P117:R123">
    <cfRule type="expression" dxfId="2220" priority="4064">
      <formula>IF(P117="Validar","Rojo","Verde")</formula>
    </cfRule>
  </conditionalFormatting>
  <conditionalFormatting sqref="Q40:Q66">
    <cfRule type="expression" dxfId="2219" priority="4101">
      <formula>P40&lt;0</formula>
    </cfRule>
    <cfRule type="expression" priority="4100">
      <formula>#REF!</formula>
    </cfRule>
    <cfRule type="colorScale" priority="4099">
      <colorScale>
        <cfvo type="min"/>
        <cfvo type="max"/>
        <color theme="0"/>
        <color theme="0"/>
      </colorScale>
    </cfRule>
  </conditionalFormatting>
  <conditionalFormatting sqref="Q40:Q67">
    <cfRule type="expression" dxfId="2218" priority="4098">
      <formula>IF(Q40="Validar","Rojo","Verde")</formula>
    </cfRule>
  </conditionalFormatting>
  <conditionalFormatting sqref="Q67 P82:Q82 P92:Q92 P103:Q103 P107:Q107">
    <cfRule type="expression" priority="4103">
      <formula>$F$23</formula>
    </cfRule>
  </conditionalFormatting>
  <conditionalFormatting sqref="Q67 Q82 Q92 Q103 Q107">
    <cfRule type="expression" dxfId="2217" priority="4104">
      <formula>P67&lt;0</formula>
    </cfRule>
    <cfRule type="colorScale" priority="4102">
      <colorScale>
        <cfvo type="min"/>
        <cfvo type="max"/>
        <color theme="0"/>
        <color theme="0"/>
      </colorScale>
    </cfRule>
  </conditionalFormatting>
  <conditionalFormatting sqref="Q69">
    <cfRule type="colorScale" priority="4096">
      <colorScale>
        <cfvo type="min"/>
        <cfvo type="max"/>
        <color theme="0"/>
        <color theme="0"/>
      </colorScale>
    </cfRule>
    <cfRule type="expression" dxfId="2216" priority="4097">
      <formula>P69&lt;0</formula>
    </cfRule>
  </conditionalFormatting>
  <conditionalFormatting sqref="Q69:Q81">
    <cfRule type="expression" priority="4094">
      <formula>#REF!</formula>
    </cfRule>
  </conditionalFormatting>
  <conditionalFormatting sqref="Q69:Q82">
    <cfRule type="expression" dxfId="2215" priority="4092">
      <formula>IF(Q69="Validar","Rojo","Verde")</formula>
    </cfRule>
  </conditionalFormatting>
  <conditionalFormatting sqref="Q70:Q78">
    <cfRule type="colorScale" priority="4093">
      <colorScale>
        <cfvo type="min"/>
        <cfvo type="max"/>
        <color theme="0"/>
        <color theme="0"/>
      </colorScale>
    </cfRule>
    <cfRule type="expression" dxfId="2214" priority="4095">
      <formula>P70&lt;0</formula>
    </cfRule>
  </conditionalFormatting>
  <conditionalFormatting sqref="Q79:Q81">
    <cfRule type="colorScale" priority="4105">
      <colorScale>
        <cfvo type="min"/>
        <cfvo type="max"/>
        <color theme="0"/>
        <color theme="0"/>
      </colorScale>
    </cfRule>
    <cfRule type="expression" dxfId="2213" priority="4106">
      <formula>P79&lt;0</formula>
    </cfRule>
  </conditionalFormatting>
  <conditionalFormatting sqref="Q84">
    <cfRule type="colorScale" priority="4090">
      <colorScale>
        <cfvo type="min"/>
        <cfvo type="max"/>
        <color theme="0"/>
        <color theme="0"/>
      </colorScale>
    </cfRule>
    <cfRule type="expression" dxfId="2212" priority="4091">
      <formula>P84&lt;0</formula>
    </cfRule>
  </conditionalFormatting>
  <conditionalFormatting sqref="Q84:Q91">
    <cfRule type="expression" priority="4088">
      <formula>#REF!</formula>
    </cfRule>
  </conditionalFormatting>
  <conditionalFormatting sqref="Q84:Q92">
    <cfRule type="expression" dxfId="2211" priority="4086">
      <formula>IF(Q84="Validar","Rojo","Verde")</formula>
    </cfRule>
  </conditionalFormatting>
  <conditionalFormatting sqref="Q85:Q91">
    <cfRule type="expression" dxfId="2210" priority="4089">
      <formula>P85&lt;0</formula>
    </cfRule>
    <cfRule type="colorScale" priority="4087">
      <colorScale>
        <cfvo type="min"/>
        <cfvo type="max"/>
        <color theme="0"/>
        <color theme="0"/>
      </colorScale>
    </cfRule>
  </conditionalFormatting>
  <conditionalFormatting sqref="Q94">
    <cfRule type="expression" dxfId="2209" priority="4085">
      <formula>P94&lt;0</formula>
    </cfRule>
    <cfRule type="colorScale" priority="4084">
      <colorScale>
        <cfvo type="min"/>
        <cfvo type="max"/>
        <color theme="0"/>
        <color theme="0"/>
      </colorScale>
    </cfRule>
  </conditionalFormatting>
  <conditionalFormatting sqref="Q94:Q102">
    <cfRule type="expression" priority="4078">
      <formula>#REF!</formula>
    </cfRule>
  </conditionalFormatting>
  <conditionalFormatting sqref="Q94:Q103">
    <cfRule type="expression" dxfId="2208" priority="4076">
      <formula>IF(Q94="Validar","Rojo","Verde")</formula>
    </cfRule>
  </conditionalFormatting>
  <conditionalFormatting sqref="Q95:Q100">
    <cfRule type="expression" dxfId="2207" priority="4083">
      <formula>P95&lt;0</formula>
    </cfRule>
    <cfRule type="colorScale" priority="4082">
      <colorScale>
        <cfvo type="min"/>
        <cfvo type="max"/>
        <color theme="0"/>
        <color theme="0"/>
      </colorScale>
    </cfRule>
  </conditionalFormatting>
  <conditionalFormatting sqref="Q101">
    <cfRule type="colorScale" priority="4080">
      <colorScale>
        <cfvo type="min"/>
        <cfvo type="max"/>
        <color theme="0"/>
        <color theme="0"/>
      </colorScale>
    </cfRule>
    <cfRule type="expression" dxfId="2206" priority="4081">
      <formula>P101&lt;0</formula>
    </cfRule>
  </conditionalFormatting>
  <conditionalFormatting sqref="Q102">
    <cfRule type="expression" dxfId="2205" priority="4079">
      <formula>P102&lt;0</formula>
    </cfRule>
    <cfRule type="colorScale" priority="4077">
      <colorScale>
        <cfvo type="min"/>
        <cfvo type="max"/>
        <color theme="0"/>
        <color theme="0"/>
      </colorScale>
    </cfRule>
  </conditionalFormatting>
  <conditionalFormatting sqref="Q105">
    <cfRule type="expression" dxfId="2204" priority="4075">
      <formula>P105&lt;0</formula>
    </cfRule>
    <cfRule type="colorScale" priority="4074">
      <colorScale>
        <cfvo type="min"/>
        <cfvo type="max"/>
        <color theme="0"/>
        <color theme="0"/>
      </colorScale>
    </cfRule>
  </conditionalFormatting>
  <conditionalFormatting sqref="Q105:Q106">
    <cfRule type="expression" priority="4072">
      <formula>#REF!</formula>
    </cfRule>
  </conditionalFormatting>
  <conditionalFormatting sqref="Q105:Q107">
    <cfRule type="expression" dxfId="2203" priority="4070">
      <formula>IF(Q105="Validar","Rojo","Verde")</formula>
    </cfRule>
  </conditionalFormatting>
  <conditionalFormatting sqref="Q106">
    <cfRule type="expression" dxfId="2202" priority="4073">
      <formula>P106&lt;0</formula>
    </cfRule>
    <cfRule type="colorScale" priority="4071">
      <colorScale>
        <cfvo type="min"/>
        <cfvo type="max"/>
        <color theme="0"/>
        <color theme="0"/>
      </colorScale>
    </cfRule>
  </conditionalFormatting>
  <conditionalFormatting sqref="Q110">
    <cfRule type="colorScale" priority="4062">
      <colorScale>
        <cfvo type="min"/>
        <cfvo type="max"/>
        <color theme="0"/>
        <color theme="0"/>
      </colorScale>
    </cfRule>
    <cfRule type="expression" dxfId="2201" priority="4063">
      <formula>P110&lt;0</formula>
    </cfRule>
  </conditionalFormatting>
  <conditionalFormatting sqref="Q111">
    <cfRule type="expression" dxfId="2200" priority="4054">
      <formula>P111&lt;0</formula>
    </cfRule>
    <cfRule type="colorScale" priority="4052">
      <colorScale>
        <cfvo type="min"/>
        <cfvo type="max"/>
        <color theme="0"/>
        <color theme="0"/>
      </colorScale>
    </cfRule>
  </conditionalFormatting>
  <conditionalFormatting sqref="Q117">
    <cfRule type="expression" dxfId="2199" priority="4069">
      <formula>P117&lt;0</formula>
    </cfRule>
    <cfRule type="colorScale" priority="4068">
      <colorScale>
        <cfvo type="min"/>
        <cfvo type="max"/>
        <color theme="0"/>
        <color theme="0"/>
      </colorScale>
    </cfRule>
  </conditionalFormatting>
  <conditionalFormatting sqref="Q118:Q123">
    <cfRule type="colorScale" priority="4065">
      <colorScale>
        <cfvo type="min"/>
        <cfvo type="max"/>
        <color theme="0"/>
        <color theme="0"/>
      </colorScale>
    </cfRule>
    <cfRule type="expression" dxfId="2198" priority="4067">
      <formula>P118&lt;0</formula>
    </cfRule>
  </conditionalFormatting>
  <conditionalFormatting sqref="Q126:Q135">
    <cfRule type="expression" priority="4191">
      <formula>$F$23</formula>
    </cfRule>
    <cfRule type="expression" dxfId="2197" priority="4192">
      <formula>P126&lt;0</formula>
    </cfRule>
    <cfRule type="expression" dxfId="2196" priority="4189">
      <formula>IF(Q126="Validar","Rojo","Verde")</formula>
    </cfRule>
    <cfRule type="colorScale" priority="4190">
      <colorScale>
        <cfvo type="min"/>
        <cfvo type="max"/>
        <color theme="0"/>
        <color theme="0"/>
      </colorScale>
    </cfRule>
  </conditionalFormatting>
  <conditionalFormatting sqref="Q110:R111">
    <cfRule type="expression" priority="4053">
      <formula>#REF!</formula>
    </cfRule>
  </conditionalFormatting>
  <conditionalFormatting sqref="Q117:R123">
    <cfRule type="expression" priority="4066">
      <formula>#REF!</formula>
    </cfRule>
  </conditionalFormatting>
  <conditionalFormatting sqref="R5">
    <cfRule type="colorScale" priority="191">
      <colorScale>
        <cfvo type="min"/>
        <cfvo type="max"/>
        <color theme="0"/>
        <color theme="0"/>
      </colorScale>
    </cfRule>
    <cfRule type="expression" dxfId="2195" priority="192">
      <formula>Q5&lt;0</formula>
    </cfRule>
  </conditionalFormatting>
  <conditionalFormatting sqref="R5:R16">
    <cfRule type="expression" dxfId="2194" priority="189">
      <formula>IF(R5="Validar","Rojo","Verde")</formula>
    </cfRule>
    <cfRule type="expression" priority="190">
      <formula>#REF!</formula>
    </cfRule>
  </conditionalFormatting>
  <conditionalFormatting sqref="R6:R9">
    <cfRule type="expression" dxfId="2193" priority="9261">
      <formula>Q6&lt;0</formula>
    </cfRule>
    <cfRule type="colorScale" priority="9260">
      <colorScale>
        <cfvo type="min"/>
        <cfvo type="max"/>
        <color theme="0"/>
        <color theme="0"/>
      </colorScale>
    </cfRule>
  </conditionalFormatting>
  <conditionalFormatting sqref="R10">
    <cfRule type="colorScale" priority="9228">
      <colorScale>
        <cfvo type="min"/>
        <cfvo type="max"/>
        <color theme="0"/>
        <color theme="0"/>
      </colorScale>
    </cfRule>
    <cfRule type="expression" dxfId="2192" priority="9229">
      <formula>Q10&lt;0</formula>
    </cfRule>
  </conditionalFormatting>
  <conditionalFormatting sqref="R11:R13">
    <cfRule type="expression" dxfId="2191" priority="9259">
      <formula>Q11&lt;0</formula>
    </cfRule>
    <cfRule type="colorScale" priority="9258">
      <colorScale>
        <cfvo type="min"/>
        <cfvo type="max"/>
        <color theme="0"/>
        <color theme="0"/>
      </colorScale>
    </cfRule>
  </conditionalFormatting>
  <conditionalFormatting sqref="R14">
    <cfRule type="colorScale" priority="363">
      <colorScale>
        <cfvo type="min"/>
        <cfvo type="max"/>
        <color theme="0"/>
        <color theme="0"/>
      </colorScale>
    </cfRule>
    <cfRule type="expression" dxfId="2190" priority="364">
      <formula>Q14&lt;0</formula>
    </cfRule>
  </conditionalFormatting>
  <conditionalFormatting sqref="R15">
    <cfRule type="colorScale" priority="9225">
      <colorScale>
        <cfvo type="min"/>
        <cfvo type="max"/>
        <color theme="0"/>
        <color theme="0"/>
      </colorScale>
    </cfRule>
    <cfRule type="expression" dxfId="2189" priority="9227">
      <formula>Q15&lt;0</formula>
    </cfRule>
  </conditionalFormatting>
  <conditionalFormatting sqref="R16">
    <cfRule type="expression" dxfId="2188" priority="9257">
      <formula>Q16&lt;0</formula>
    </cfRule>
    <cfRule type="colorScale" priority="9256">
      <colorScale>
        <cfvo type="min"/>
        <cfvo type="max"/>
        <color theme="0"/>
        <color theme="0"/>
      </colorScale>
    </cfRule>
  </conditionalFormatting>
  <conditionalFormatting sqref="R18">
    <cfRule type="expression" dxfId="2187" priority="9223">
      <formula>Q18&lt;0</formula>
    </cfRule>
    <cfRule type="colorScale" priority="9221">
      <colorScale>
        <cfvo type="min"/>
        <cfvo type="max"/>
        <color theme="0"/>
        <color theme="0"/>
      </colorScale>
    </cfRule>
  </conditionalFormatting>
  <conditionalFormatting sqref="R18:R19">
    <cfRule type="expression" dxfId="2186" priority="9220">
      <formula>IF(R18="Validar","Rojo","Verde")</formula>
    </cfRule>
    <cfRule type="expression" priority="9222">
      <formula>#REF!</formula>
    </cfRule>
  </conditionalFormatting>
  <conditionalFormatting sqref="R19">
    <cfRule type="expression" dxfId="2185" priority="9255">
      <formula>Q19&lt;0</formula>
    </cfRule>
    <cfRule type="colorScale" priority="9254">
      <colorScale>
        <cfvo type="min"/>
        <cfvo type="max"/>
        <color theme="0"/>
        <color theme="0"/>
      </colorScale>
    </cfRule>
  </conditionalFormatting>
  <conditionalFormatting sqref="R23">
    <cfRule type="colorScale" priority="9217">
      <colorScale>
        <cfvo type="min"/>
        <cfvo type="max"/>
        <color theme="0"/>
        <color theme="0"/>
      </colorScale>
    </cfRule>
    <cfRule type="expression" dxfId="2184" priority="9219">
      <formula>Q23&lt;0</formula>
    </cfRule>
  </conditionalFormatting>
  <conditionalFormatting sqref="R23:R24">
    <cfRule type="expression" dxfId="2183" priority="9216">
      <formula>IF(R23="Validar","Rojo","Verde")</formula>
    </cfRule>
    <cfRule type="expression" priority="9218">
      <formula>#REF!</formula>
    </cfRule>
  </conditionalFormatting>
  <conditionalFormatting sqref="R24">
    <cfRule type="expression" dxfId="2182" priority="9251">
      <formula>Q24&lt;0</formula>
    </cfRule>
    <cfRule type="colorScale" priority="9250">
      <colorScale>
        <cfvo type="min"/>
        <cfvo type="max"/>
        <color theme="0"/>
        <color theme="0"/>
      </colorScale>
    </cfRule>
  </conditionalFormatting>
  <conditionalFormatting sqref="R26">
    <cfRule type="expression" dxfId="2181" priority="9215">
      <formula>Q26&lt;0</formula>
    </cfRule>
    <cfRule type="colorScale" priority="9213">
      <colorScale>
        <cfvo type="min"/>
        <cfvo type="max"/>
        <color theme="0"/>
        <color theme="0"/>
      </colorScale>
    </cfRule>
  </conditionalFormatting>
  <conditionalFormatting sqref="R26:R27">
    <cfRule type="expression" dxfId="2180" priority="9212">
      <formula>IF(R26="Validar","Rojo","Verde")</formula>
    </cfRule>
    <cfRule type="expression" priority="9214">
      <formula>#REF!</formula>
    </cfRule>
  </conditionalFormatting>
  <conditionalFormatting sqref="R27">
    <cfRule type="expression" dxfId="2179" priority="9249">
      <formula>Q27&lt;0</formula>
    </cfRule>
    <cfRule type="colorScale" priority="9248">
      <colorScale>
        <cfvo type="min"/>
        <cfvo type="max"/>
        <color theme="0"/>
        <color theme="0"/>
      </colorScale>
    </cfRule>
  </conditionalFormatting>
  <conditionalFormatting sqref="R29">
    <cfRule type="colorScale" priority="9209">
      <colorScale>
        <cfvo type="min"/>
        <cfvo type="max"/>
        <color theme="0"/>
        <color theme="0"/>
      </colorScale>
    </cfRule>
    <cfRule type="expression" dxfId="2178" priority="9211">
      <formula>Q29&lt;0</formula>
    </cfRule>
  </conditionalFormatting>
  <conditionalFormatting sqref="R29:R30">
    <cfRule type="expression" dxfId="2177" priority="9208">
      <formula>IF(R29="Validar","Rojo","Verde")</formula>
    </cfRule>
    <cfRule type="expression" priority="9210">
      <formula>#REF!</formula>
    </cfRule>
  </conditionalFormatting>
  <conditionalFormatting sqref="R30">
    <cfRule type="colorScale" priority="9246">
      <colorScale>
        <cfvo type="min"/>
        <cfvo type="max"/>
        <color theme="0"/>
        <color theme="0"/>
      </colorScale>
    </cfRule>
    <cfRule type="expression" dxfId="2176" priority="9247">
      <formula>Q30&lt;0</formula>
    </cfRule>
  </conditionalFormatting>
  <conditionalFormatting sqref="R39">
    <cfRule type="colorScale" priority="9205">
      <colorScale>
        <cfvo type="min"/>
        <cfvo type="max"/>
        <color theme="0"/>
        <color theme="0"/>
      </colorScale>
    </cfRule>
    <cfRule type="expression" dxfId="2175" priority="9207">
      <formula>Q39&lt;0</formula>
    </cfRule>
  </conditionalFormatting>
  <conditionalFormatting sqref="R39:R66">
    <cfRule type="expression" priority="9206">
      <formula>#REF!</formula>
    </cfRule>
    <cfRule type="expression" dxfId="2174" priority="9204">
      <formula>IF(R39="Validar","Rojo","Verde")</formula>
    </cfRule>
  </conditionalFormatting>
  <conditionalFormatting sqref="R40:R66">
    <cfRule type="colorScale" priority="9244">
      <colorScale>
        <cfvo type="min"/>
        <cfvo type="max"/>
        <color theme="0"/>
        <color theme="0"/>
      </colorScale>
    </cfRule>
    <cfRule type="expression" dxfId="2173" priority="9245">
      <formula>Q40&lt;0</formula>
    </cfRule>
  </conditionalFormatting>
  <conditionalFormatting sqref="R68">
    <cfRule type="colorScale" priority="9201">
      <colorScale>
        <cfvo type="min"/>
        <cfvo type="max"/>
        <color theme="0"/>
        <color theme="0"/>
      </colorScale>
    </cfRule>
    <cfRule type="expression" dxfId="2172" priority="9203">
      <formula>Q68&lt;0</formula>
    </cfRule>
  </conditionalFormatting>
  <conditionalFormatting sqref="R68:R81">
    <cfRule type="expression" dxfId="2171" priority="9200">
      <formula>IF(R68="Validar","Rojo","Verde")</formula>
    </cfRule>
    <cfRule type="expression" priority="9202">
      <formula>#REF!</formula>
    </cfRule>
  </conditionalFormatting>
  <conditionalFormatting sqref="R69:R81">
    <cfRule type="colorScale" priority="9262">
      <colorScale>
        <cfvo type="min"/>
        <cfvo type="max"/>
        <color theme="0"/>
        <color theme="0"/>
      </colorScale>
    </cfRule>
    <cfRule type="expression" dxfId="2170" priority="9263">
      <formula>Q69&lt;0</formula>
    </cfRule>
  </conditionalFormatting>
  <conditionalFormatting sqref="R83">
    <cfRule type="expression" dxfId="2169" priority="9151">
      <formula>Q83&lt;0</formula>
    </cfRule>
    <cfRule type="colorScale" priority="9149">
      <colorScale>
        <cfvo type="min"/>
        <cfvo type="max"/>
        <color theme="0"/>
        <color theme="0"/>
      </colorScale>
    </cfRule>
  </conditionalFormatting>
  <conditionalFormatting sqref="R83:R91">
    <cfRule type="expression" dxfId="2168" priority="9148">
      <formula>IF(R83="Validar","Rojo","Verde")</formula>
    </cfRule>
    <cfRule type="expression" priority="9150">
      <formula>#REF!</formula>
    </cfRule>
  </conditionalFormatting>
  <conditionalFormatting sqref="R84:R91">
    <cfRule type="colorScale" priority="9242">
      <colorScale>
        <cfvo type="min"/>
        <cfvo type="max"/>
        <color theme="0"/>
        <color theme="0"/>
      </colorScale>
    </cfRule>
    <cfRule type="expression" dxfId="2167" priority="9243">
      <formula>Q84&lt;0</formula>
    </cfRule>
  </conditionalFormatting>
  <conditionalFormatting sqref="R93">
    <cfRule type="expression" dxfId="2166" priority="9199">
      <formula>Q93&lt;0</formula>
    </cfRule>
    <cfRule type="colorScale" priority="9197">
      <colorScale>
        <cfvo type="min"/>
        <cfvo type="max"/>
        <color theme="0"/>
        <color theme="0"/>
      </colorScale>
    </cfRule>
  </conditionalFormatting>
  <conditionalFormatting sqref="R93:R102">
    <cfRule type="expression" dxfId="2165" priority="9196">
      <formula>IF(R93="Validar","Rojo","Verde")</formula>
    </cfRule>
    <cfRule type="expression" priority="9198">
      <formula>#REF!</formula>
    </cfRule>
  </conditionalFormatting>
  <conditionalFormatting sqref="R94:R102">
    <cfRule type="colorScale" priority="9240">
      <colorScale>
        <cfvo type="min"/>
        <cfvo type="max"/>
        <color theme="0"/>
        <color theme="0"/>
      </colorScale>
    </cfRule>
    <cfRule type="expression" dxfId="2164" priority="9241">
      <formula>Q94&lt;0</formula>
    </cfRule>
  </conditionalFormatting>
  <conditionalFormatting sqref="R104">
    <cfRule type="expression" dxfId="2163" priority="9195">
      <formula>Q104&lt;0</formula>
    </cfRule>
    <cfRule type="colorScale" priority="9193">
      <colorScale>
        <cfvo type="min"/>
        <cfvo type="max"/>
        <color theme="0"/>
        <color theme="0"/>
      </colorScale>
    </cfRule>
  </conditionalFormatting>
  <conditionalFormatting sqref="R104:R106">
    <cfRule type="expression" priority="9194">
      <formula>#REF!</formula>
    </cfRule>
    <cfRule type="expression" dxfId="2162" priority="9192">
      <formula>IF(R104="Validar","Rojo","Verde")</formula>
    </cfRule>
  </conditionalFormatting>
  <conditionalFormatting sqref="R105:R106">
    <cfRule type="expression" dxfId="2161" priority="9239">
      <formula>Q105&lt;0</formula>
    </cfRule>
    <cfRule type="colorScale" priority="9238">
      <colorScale>
        <cfvo type="min"/>
        <cfvo type="max"/>
        <color theme="0"/>
        <color theme="0"/>
      </colorScale>
    </cfRule>
  </conditionalFormatting>
  <conditionalFormatting sqref="R110">
    <cfRule type="expression" dxfId="2160" priority="9237">
      <formula>Q110&lt;0</formula>
    </cfRule>
    <cfRule type="colorScale" priority="9236">
      <colorScale>
        <cfvo type="min"/>
        <cfvo type="max"/>
        <color theme="0"/>
        <color theme="0"/>
      </colorScale>
    </cfRule>
  </conditionalFormatting>
  <conditionalFormatting sqref="R111">
    <cfRule type="colorScale" priority="9091">
      <colorScale>
        <cfvo type="min"/>
        <cfvo type="max"/>
        <color theme="0"/>
        <color theme="0"/>
      </colorScale>
    </cfRule>
    <cfRule type="expression" dxfId="2159" priority="9093">
      <formula>Q111&lt;0</formula>
    </cfRule>
  </conditionalFormatting>
  <conditionalFormatting sqref="R117:R123">
    <cfRule type="expression" dxfId="2158" priority="9235">
      <formula>Q117&lt;0</formula>
    </cfRule>
    <cfRule type="colorScale" priority="9233">
      <colorScale>
        <cfvo type="min"/>
        <cfvo type="max"/>
        <color theme="0"/>
        <color theme="0"/>
      </colorScale>
    </cfRule>
  </conditionalFormatting>
  <conditionalFormatting sqref="R125">
    <cfRule type="expression" dxfId="2157" priority="9191">
      <formula>Q125&lt;0</formula>
    </cfRule>
    <cfRule type="colorScale" priority="9189">
      <colorScale>
        <cfvo type="min"/>
        <cfvo type="max"/>
        <color theme="0"/>
        <color theme="0"/>
      </colorScale>
    </cfRule>
  </conditionalFormatting>
  <conditionalFormatting sqref="R125:R134">
    <cfRule type="expression" dxfId="2156" priority="9188">
      <formula>IF(R125="Validar","Rojo","Verde")</formula>
    </cfRule>
    <cfRule type="expression" priority="9190">
      <formula>#REF!</formula>
    </cfRule>
  </conditionalFormatting>
  <conditionalFormatting sqref="R126:R134">
    <cfRule type="colorScale" priority="9230">
      <colorScale>
        <cfvo type="min"/>
        <cfvo type="max"/>
        <color theme="0"/>
        <color theme="0"/>
      </colorScale>
    </cfRule>
    <cfRule type="expression" dxfId="2155" priority="9231">
      <formula>Q126&lt;0</formula>
    </cfRule>
  </conditionalFormatting>
  <conditionalFormatting sqref="T5">
    <cfRule type="colorScale" priority="99">
      <colorScale>
        <cfvo type="min"/>
        <cfvo type="max"/>
        <color theme="0"/>
        <color theme="0"/>
      </colorScale>
    </cfRule>
    <cfRule type="expression" dxfId="2154" priority="100">
      <formula>S5&lt;0</formula>
    </cfRule>
  </conditionalFormatting>
  <conditionalFormatting sqref="T5:T20">
    <cfRule type="expression" dxfId="2153" priority="97">
      <formula>IF(T5="Validar","Rojo","Verde")</formula>
    </cfRule>
    <cfRule type="expression" priority="98">
      <formula>#REF!</formula>
    </cfRule>
  </conditionalFormatting>
  <conditionalFormatting sqref="T6">
    <cfRule type="colorScale" priority="3749">
      <colorScale>
        <cfvo type="min"/>
        <cfvo type="max"/>
        <color theme="0"/>
        <color theme="0"/>
      </colorScale>
    </cfRule>
    <cfRule type="expression" dxfId="2152" priority="3750">
      <formula>S6&lt;0</formula>
    </cfRule>
  </conditionalFormatting>
  <conditionalFormatting sqref="T7:T8">
    <cfRule type="colorScale" priority="3745">
      <colorScale>
        <cfvo type="min"/>
        <cfvo type="max"/>
        <color theme="0"/>
        <color theme="0"/>
      </colorScale>
    </cfRule>
    <cfRule type="expression" dxfId="2151" priority="3746">
      <formula>S7&lt;0</formula>
    </cfRule>
  </conditionalFormatting>
  <conditionalFormatting sqref="T9">
    <cfRule type="colorScale" priority="3860">
      <colorScale>
        <cfvo type="min"/>
        <cfvo type="max"/>
        <color theme="0"/>
        <color theme="0"/>
      </colorScale>
    </cfRule>
    <cfRule type="expression" dxfId="2150" priority="3861">
      <formula>S9&lt;0</formula>
    </cfRule>
  </conditionalFormatting>
  <conditionalFormatting sqref="T10">
    <cfRule type="colorScale" priority="3837">
      <colorScale>
        <cfvo type="min"/>
        <cfvo type="max"/>
        <color theme="0"/>
        <color theme="0"/>
      </colorScale>
    </cfRule>
    <cfRule type="expression" dxfId="2149" priority="3838">
      <formula>S10&lt;0</formula>
    </cfRule>
  </conditionalFormatting>
  <conditionalFormatting sqref="T11:T13">
    <cfRule type="colorScale" priority="3858">
      <colorScale>
        <cfvo type="min"/>
        <cfvo type="max"/>
        <color theme="0"/>
        <color theme="0"/>
      </colorScale>
    </cfRule>
    <cfRule type="expression" dxfId="2148" priority="3859">
      <formula>S11&lt;0</formula>
    </cfRule>
  </conditionalFormatting>
  <conditionalFormatting sqref="T14">
    <cfRule type="expression" dxfId="2147" priority="384">
      <formula>S14&lt;0</formula>
    </cfRule>
    <cfRule type="colorScale" priority="383">
      <colorScale>
        <cfvo type="min"/>
        <cfvo type="max"/>
        <color theme="0"/>
        <color theme="0"/>
      </colorScale>
    </cfRule>
  </conditionalFormatting>
  <conditionalFormatting sqref="T15">
    <cfRule type="colorScale" priority="3835">
      <colorScale>
        <cfvo type="min"/>
        <cfvo type="max"/>
        <color theme="0"/>
        <color theme="0"/>
      </colorScale>
    </cfRule>
    <cfRule type="expression" dxfId="2146" priority="3836">
      <formula>S15&lt;0</formula>
    </cfRule>
  </conditionalFormatting>
  <conditionalFormatting sqref="T16:T17">
    <cfRule type="colorScale" priority="3856">
      <colorScale>
        <cfvo type="min"/>
        <cfvo type="max"/>
        <color theme="0"/>
        <color theme="0"/>
      </colorScale>
    </cfRule>
    <cfRule type="expression" dxfId="2145" priority="3857">
      <formula>S16&lt;0</formula>
    </cfRule>
  </conditionalFormatting>
  <conditionalFormatting sqref="T18">
    <cfRule type="colorScale" priority="3832">
      <colorScale>
        <cfvo type="min"/>
        <cfvo type="max"/>
        <color theme="0"/>
        <color theme="0"/>
      </colorScale>
    </cfRule>
    <cfRule type="expression" dxfId="2144" priority="3834">
      <formula>S18&lt;0</formula>
    </cfRule>
  </conditionalFormatting>
  <conditionalFormatting sqref="T19:T20">
    <cfRule type="colorScale" priority="3854">
      <colorScale>
        <cfvo type="min"/>
        <cfvo type="max"/>
        <color theme="0"/>
        <color theme="0"/>
      </colorScale>
    </cfRule>
    <cfRule type="expression" dxfId="2143" priority="3855">
      <formula>S19&lt;0</formula>
    </cfRule>
  </conditionalFormatting>
  <conditionalFormatting sqref="T23">
    <cfRule type="colorScale" priority="3829">
      <colorScale>
        <cfvo type="min"/>
        <cfvo type="max"/>
        <color theme="0"/>
        <color theme="0"/>
      </colorScale>
    </cfRule>
    <cfRule type="expression" dxfId="2142" priority="3830">
      <formula>S23&lt;0</formula>
    </cfRule>
  </conditionalFormatting>
  <conditionalFormatting sqref="T23:T31">
    <cfRule type="expression" priority="3825">
      <formula>#REF!</formula>
    </cfRule>
    <cfRule type="expression" dxfId="2141" priority="3823">
      <formula>IF(T23="Validar","Rojo","Verde")</formula>
    </cfRule>
  </conditionalFormatting>
  <conditionalFormatting sqref="T24">
    <cfRule type="colorScale" priority="3852">
      <colorScale>
        <cfvo type="min"/>
        <cfvo type="max"/>
        <color theme="0"/>
        <color theme="0"/>
      </colorScale>
    </cfRule>
    <cfRule type="expression" dxfId="2140" priority="3853">
      <formula>S24&lt;0</formula>
    </cfRule>
  </conditionalFormatting>
  <conditionalFormatting sqref="T25">
    <cfRule type="colorScale" priority="3850">
      <colorScale>
        <cfvo type="min"/>
        <cfvo type="max"/>
        <color theme="0"/>
        <color theme="0"/>
      </colorScale>
    </cfRule>
    <cfRule type="expression" dxfId="2139" priority="3851">
      <formula>S25&lt;0</formula>
    </cfRule>
  </conditionalFormatting>
  <conditionalFormatting sqref="T26">
    <cfRule type="colorScale" priority="3827">
      <colorScale>
        <cfvo type="min"/>
        <cfvo type="max"/>
        <color theme="0"/>
        <color theme="0"/>
      </colorScale>
    </cfRule>
    <cfRule type="expression" dxfId="2138" priority="3828">
      <formula>S26&lt;0</formula>
    </cfRule>
  </conditionalFormatting>
  <conditionalFormatting sqref="T27">
    <cfRule type="colorScale" priority="3848">
      <colorScale>
        <cfvo type="min"/>
        <cfvo type="max"/>
        <color theme="0"/>
        <color theme="0"/>
      </colorScale>
    </cfRule>
    <cfRule type="expression" dxfId="2137" priority="3849">
      <formula>S27&lt;0</formula>
    </cfRule>
  </conditionalFormatting>
  <conditionalFormatting sqref="T28">
    <cfRule type="expression" dxfId="2136" priority="3847">
      <formula>S28&lt;0</formula>
    </cfRule>
    <cfRule type="colorScale" priority="3846">
      <colorScale>
        <cfvo type="min"/>
        <cfvo type="max"/>
        <color theme="0"/>
        <color theme="0"/>
      </colorScale>
    </cfRule>
  </conditionalFormatting>
  <conditionalFormatting sqref="T29">
    <cfRule type="expression" dxfId="2135" priority="3826">
      <formula>S29&lt;0</formula>
    </cfRule>
    <cfRule type="colorScale" priority="3824">
      <colorScale>
        <cfvo type="min"/>
        <cfvo type="max"/>
        <color theme="0"/>
        <color theme="0"/>
      </colorScale>
    </cfRule>
  </conditionalFormatting>
  <conditionalFormatting sqref="T30">
    <cfRule type="colorScale" priority="3844">
      <colorScale>
        <cfvo type="min"/>
        <cfvo type="max"/>
        <color theme="0"/>
        <color theme="0"/>
      </colorScale>
    </cfRule>
    <cfRule type="expression" dxfId="2134" priority="3845">
      <formula>S30&lt;0</formula>
    </cfRule>
  </conditionalFormatting>
  <conditionalFormatting sqref="T31">
    <cfRule type="expression" dxfId="2133" priority="3843">
      <formula>S31&lt;0</formula>
    </cfRule>
    <cfRule type="colorScale" priority="3842">
      <colorScale>
        <cfvo type="min"/>
        <cfvo type="max"/>
        <color theme="0"/>
        <color theme="0"/>
      </colorScale>
    </cfRule>
  </conditionalFormatting>
  <conditionalFormatting sqref="T39">
    <cfRule type="colorScale" priority="3820">
      <colorScale>
        <cfvo type="min"/>
        <cfvo type="max"/>
        <color theme="0"/>
        <color theme="0"/>
      </colorScale>
    </cfRule>
    <cfRule type="expression" priority="3821">
      <formula>#REF!</formula>
    </cfRule>
    <cfRule type="expression" dxfId="2132" priority="3822">
      <formula>S39&lt;0</formula>
    </cfRule>
  </conditionalFormatting>
  <conditionalFormatting sqref="T39:T107">
    <cfRule type="expression" dxfId="2131" priority="3758">
      <formula>IF(T39="Validar","Rojo","Verde")</formula>
    </cfRule>
  </conditionalFormatting>
  <conditionalFormatting sqref="T40:T67">
    <cfRule type="colorScale" priority="3839">
      <colorScale>
        <cfvo type="min"/>
        <cfvo type="max"/>
        <color theme="0"/>
        <color theme="0"/>
      </colorScale>
    </cfRule>
    <cfRule type="expression" priority="3840">
      <formula>$F$19</formula>
    </cfRule>
    <cfRule type="expression" dxfId="2130" priority="3841">
      <formula>S40&lt;0</formula>
    </cfRule>
  </conditionalFormatting>
  <conditionalFormatting sqref="T68">
    <cfRule type="expression" dxfId="2129" priority="3819">
      <formula>S68&lt;0</formula>
    </cfRule>
    <cfRule type="expression" priority="3818">
      <formula>#REF!</formula>
    </cfRule>
    <cfRule type="colorScale" priority="3817">
      <colorScale>
        <cfvo type="min"/>
        <cfvo type="max"/>
        <color theme="0"/>
        <color theme="0"/>
      </colorScale>
    </cfRule>
  </conditionalFormatting>
  <conditionalFormatting sqref="T69:T81">
    <cfRule type="colorScale" priority="3864">
      <colorScale>
        <cfvo type="min"/>
        <cfvo type="max"/>
        <color theme="0"/>
        <color theme="0"/>
      </colorScale>
    </cfRule>
    <cfRule type="expression" priority="3865">
      <formula>$F$19</formula>
    </cfRule>
    <cfRule type="expression" dxfId="2128" priority="3866">
      <formula>S69&lt;0</formula>
    </cfRule>
  </conditionalFormatting>
  <conditionalFormatting sqref="T82 T92 T103 T107">
    <cfRule type="colorScale" priority="3862">
      <colorScale>
        <cfvo type="min"/>
        <cfvo type="max"/>
        <color theme="0"/>
        <color theme="0"/>
      </colorScale>
    </cfRule>
    <cfRule type="expression" dxfId="2127" priority="3863">
      <formula>S82&lt;0</formula>
    </cfRule>
  </conditionalFormatting>
  <conditionalFormatting sqref="T83">
    <cfRule type="expression" priority="3760">
      <formula>#REF!</formula>
    </cfRule>
    <cfRule type="colorScale" priority="3759">
      <colorScale>
        <cfvo type="min"/>
        <cfvo type="max"/>
        <color theme="0"/>
        <color theme="0"/>
      </colorScale>
    </cfRule>
    <cfRule type="expression" dxfId="2126" priority="3761">
      <formula>S83&lt;0</formula>
    </cfRule>
  </conditionalFormatting>
  <conditionalFormatting sqref="T84:T91">
    <cfRule type="colorScale" priority="3867">
      <colorScale>
        <cfvo type="min"/>
        <cfvo type="max"/>
        <color theme="0"/>
        <color theme="0"/>
      </colorScale>
    </cfRule>
    <cfRule type="expression" priority="3868">
      <formula>$F$19</formula>
    </cfRule>
    <cfRule type="expression" dxfId="2125" priority="3869">
      <formula>S84&lt;0</formula>
    </cfRule>
  </conditionalFormatting>
  <conditionalFormatting sqref="T93">
    <cfRule type="expression" priority="3815">
      <formula>#REF!</formula>
    </cfRule>
    <cfRule type="colorScale" priority="3814">
      <colorScale>
        <cfvo type="min"/>
        <cfvo type="max"/>
        <color theme="0"/>
        <color theme="0"/>
      </colorScale>
    </cfRule>
    <cfRule type="expression" dxfId="2124" priority="3816">
      <formula>S93&lt;0</formula>
    </cfRule>
  </conditionalFormatting>
  <conditionalFormatting sqref="T94:T102">
    <cfRule type="colorScale" priority="3870">
      <colorScale>
        <cfvo type="min"/>
        <cfvo type="max"/>
        <color theme="0"/>
        <color theme="0"/>
      </colorScale>
    </cfRule>
    <cfRule type="expression" priority="3871">
      <formula>$F$19</formula>
    </cfRule>
    <cfRule type="expression" dxfId="2123" priority="3872">
      <formula>S94&lt;0</formula>
    </cfRule>
  </conditionalFormatting>
  <conditionalFormatting sqref="T104">
    <cfRule type="expression" dxfId="2122" priority="3813">
      <formula>S104&lt;0</formula>
    </cfRule>
    <cfRule type="colorScale" priority="3811">
      <colorScale>
        <cfvo type="min"/>
        <cfvo type="max"/>
        <color theme="0"/>
        <color theme="0"/>
      </colorScale>
    </cfRule>
    <cfRule type="expression" priority="3812">
      <formula>#REF!</formula>
    </cfRule>
  </conditionalFormatting>
  <conditionalFormatting sqref="T105:T106">
    <cfRule type="expression" dxfId="2121" priority="3875">
      <formula>S105&lt;0</formula>
    </cfRule>
    <cfRule type="expression" priority="3874">
      <formula>$F$19</formula>
    </cfRule>
    <cfRule type="colorScale" priority="3873">
      <colorScale>
        <cfvo type="min"/>
        <cfvo type="max"/>
        <color theme="0"/>
        <color theme="0"/>
      </colorScale>
    </cfRule>
  </conditionalFormatting>
  <conditionalFormatting sqref="T110">
    <cfRule type="expression" dxfId="2120" priority="3877">
      <formula>S110&lt;0</formula>
    </cfRule>
    <cfRule type="colorScale" priority="3876">
      <colorScale>
        <cfvo type="min"/>
        <cfvo type="max"/>
        <color theme="0"/>
        <color theme="0"/>
      </colorScale>
    </cfRule>
  </conditionalFormatting>
  <conditionalFormatting sqref="T110:T111">
    <cfRule type="expression" priority="3756">
      <formula>$F$19</formula>
    </cfRule>
  </conditionalFormatting>
  <conditionalFormatting sqref="T111">
    <cfRule type="expression" dxfId="2119" priority="3757">
      <formula>S111&lt;0</formula>
    </cfRule>
    <cfRule type="colorScale" priority="3755">
      <colorScale>
        <cfvo type="min"/>
        <cfvo type="max"/>
        <color theme="0"/>
        <color theme="0"/>
      </colorScale>
    </cfRule>
  </conditionalFormatting>
  <conditionalFormatting sqref="T117:T123">
    <cfRule type="expression" dxfId="2118" priority="3883">
      <formula>S117&lt;0</formula>
    </cfRule>
    <cfRule type="expression" priority="3882">
      <formula>$F$19</formula>
    </cfRule>
    <cfRule type="colorScale" priority="3881">
      <colorScale>
        <cfvo type="min"/>
        <cfvo type="max"/>
        <color theme="0"/>
        <color theme="0"/>
      </colorScale>
    </cfRule>
  </conditionalFormatting>
  <conditionalFormatting sqref="T125">
    <cfRule type="expression" priority="3809">
      <formula>#REF!</formula>
    </cfRule>
    <cfRule type="expression" dxfId="2117" priority="3810">
      <formula>S125&lt;0</formula>
    </cfRule>
    <cfRule type="colorScale" priority="3808">
      <colorScale>
        <cfvo type="min"/>
        <cfvo type="max"/>
        <color theme="0"/>
        <color theme="0"/>
      </colorScale>
    </cfRule>
  </conditionalFormatting>
  <conditionalFormatting sqref="T125:T135">
    <cfRule type="expression" dxfId="2116" priority="3807">
      <formula>IF(T125="Validar","Rojo","Verde")</formula>
    </cfRule>
  </conditionalFormatting>
  <conditionalFormatting sqref="T126:T132">
    <cfRule type="colorScale" priority="3884">
      <colorScale>
        <cfvo type="min"/>
        <cfvo type="max"/>
        <color theme="0"/>
        <color theme="0"/>
      </colorScale>
    </cfRule>
    <cfRule type="expression" dxfId="2115" priority="3886">
      <formula>S126&lt;0</formula>
    </cfRule>
  </conditionalFormatting>
  <conditionalFormatting sqref="T126:T134">
    <cfRule type="expression" priority="3885">
      <formula>$F$19</formula>
    </cfRule>
  </conditionalFormatting>
  <conditionalFormatting sqref="T133:T134">
    <cfRule type="expression" dxfId="2114" priority="3888">
      <formula>S133&lt;0</formula>
    </cfRule>
    <cfRule type="colorScale" priority="3887">
      <colorScale>
        <cfvo type="min"/>
        <cfvo type="max"/>
        <color theme="0"/>
        <color theme="0"/>
      </colorScale>
    </cfRule>
  </conditionalFormatting>
  <conditionalFormatting sqref="T135">
    <cfRule type="expression" dxfId="2113" priority="3880">
      <formula>S135&lt;0</formula>
    </cfRule>
    <cfRule type="expression" priority="3879">
      <formula>$F$23</formula>
    </cfRule>
    <cfRule type="colorScale" priority="3878">
      <colorScale>
        <cfvo type="min"/>
        <cfvo type="max"/>
        <color theme="0"/>
        <color theme="0"/>
      </colorScale>
    </cfRule>
  </conditionalFormatting>
  <conditionalFormatting sqref="T110:U111">
    <cfRule type="expression" dxfId="2112" priority="3751">
      <formula>IF(T110="Validar","Rojo","Verde")</formula>
    </cfRule>
  </conditionalFormatting>
  <conditionalFormatting sqref="T117:U123">
    <cfRule type="expression" dxfId="2111" priority="3764">
      <formula>IF(T117="Validar","Rojo","Verde")</formula>
    </cfRule>
  </conditionalFormatting>
  <conditionalFormatting sqref="U40:U66">
    <cfRule type="expression" dxfId="2110" priority="3801">
      <formula>T40&lt;0</formula>
    </cfRule>
    <cfRule type="expression" priority="3800">
      <formula>#REF!</formula>
    </cfRule>
    <cfRule type="colorScale" priority="3799">
      <colorScale>
        <cfvo type="min"/>
        <cfvo type="max"/>
        <color theme="0"/>
        <color theme="0"/>
      </colorScale>
    </cfRule>
  </conditionalFormatting>
  <conditionalFormatting sqref="U40:U67">
    <cfRule type="expression" dxfId="2109" priority="3798">
      <formula>IF(U40="Validar","Rojo","Verde")</formula>
    </cfRule>
  </conditionalFormatting>
  <conditionalFormatting sqref="U67 T82:U82 T92:U92 T103:U103 T107:U107">
    <cfRule type="expression" priority="3803">
      <formula>$F$23</formula>
    </cfRule>
  </conditionalFormatting>
  <conditionalFormatting sqref="U67 U82 U92 U103 U107">
    <cfRule type="expression" dxfId="2108" priority="3804">
      <formula>T67&lt;0</formula>
    </cfRule>
    <cfRule type="colorScale" priority="3802">
      <colorScale>
        <cfvo type="min"/>
        <cfvo type="max"/>
        <color theme="0"/>
        <color theme="0"/>
      </colorScale>
    </cfRule>
  </conditionalFormatting>
  <conditionalFormatting sqref="U69">
    <cfRule type="expression" dxfId="2107" priority="3797">
      <formula>T69&lt;0</formula>
    </cfRule>
    <cfRule type="colorScale" priority="3796">
      <colorScale>
        <cfvo type="min"/>
        <cfvo type="max"/>
        <color theme="0"/>
        <color theme="0"/>
      </colorScale>
    </cfRule>
  </conditionalFormatting>
  <conditionalFormatting sqref="U69:U81">
    <cfRule type="expression" priority="3794">
      <formula>#REF!</formula>
    </cfRule>
  </conditionalFormatting>
  <conditionalFormatting sqref="U69:U82">
    <cfRule type="expression" dxfId="2106" priority="3792">
      <formula>IF(U69="Validar","Rojo","Verde")</formula>
    </cfRule>
  </conditionalFormatting>
  <conditionalFormatting sqref="U70:U78">
    <cfRule type="colorScale" priority="3793">
      <colorScale>
        <cfvo type="min"/>
        <cfvo type="max"/>
        <color theme="0"/>
        <color theme="0"/>
      </colorScale>
    </cfRule>
    <cfRule type="expression" dxfId="2105" priority="3795">
      <formula>T70&lt;0</formula>
    </cfRule>
  </conditionalFormatting>
  <conditionalFormatting sqref="U79:U81">
    <cfRule type="expression" dxfId="2104" priority="3806">
      <formula>T79&lt;0</formula>
    </cfRule>
    <cfRule type="colorScale" priority="3805">
      <colorScale>
        <cfvo type="min"/>
        <cfvo type="max"/>
        <color theme="0"/>
        <color theme="0"/>
      </colorScale>
    </cfRule>
  </conditionalFormatting>
  <conditionalFormatting sqref="U84">
    <cfRule type="colorScale" priority="3790">
      <colorScale>
        <cfvo type="min"/>
        <cfvo type="max"/>
        <color theme="0"/>
        <color theme="0"/>
      </colorScale>
    </cfRule>
    <cfRule type="expression" dxfId="2103" priority="3791">
      <formula>T84&lt;0</formula>
    </cfRule>
  </conditionalFormatting>
  <conditionalFormatting sqref="U84:U91">
    <cfRule type="expression" priority="3788">
      <formula>#REF!</formula>
    </cfRule>
  </conditionalFormatting>
  <conditionalFormatting sqref="U84:U92">
    <cfRule type="expression" dxfId="2102" priority="3786">
      <formula>IF(U84="Validar","Rojo","Verde")</formula>
    </cfRule>
  </conditionalFormatting>
  <conditionalFormatting sqref="U85:U91">
    <cfRule type="expression" dxfId="2101" priority="3789">
      <formula>T85&lt;0</formula>
    </cfRule>
    <cfRule type="colorScale" priority="3787">
      <colorScale>
        <cfvo type="min"/>
        <cfvo type="max"/>
        <color theme="0"/>
        <color theme="0"/>
      </colorScale>
    </cfRule>
  </conditionalFormatting>
  <conditionalFormatting sqref="U94">
    <cfRule type="expression" dxfId="2100" priority="3785">
      <formula>T94&lt;0</formula>
    </cfRule>
    <cfRule type="colorScale" priority="3784">
      <colorScale>
        <cfvo type="min"/>
        <cfvo type="max"/>
        <color theme="0"/>
        <color theme="0"/>
      </colorScale>
    </cfRule>
  </conditionalFormatting>
  <conditionalFormatting sqref="U94:U102">
    <cfRule type="expression" priority="3778">
      <formula>#REF!</formula>
    </cfRule>
  </conditionalFormatting>
  <conditionalFormatting sqref="U94:U103">
    <cfRule type="expression" dxfId="2099" priority="3776">
      <formula>IF(U94="Validar","Rojo","Verde")</formula>
    </cfRule>
  </conditionalFormatting>
  <conditionalFormatting sqref="U95:U100">
    <cfRule type="colorScale" priority="3782">
      <colorScale>
        <cfvo type="min"/>
        <cfvo type="max"/>
        <color theme="0"/>
        <color theme="0"/>
      </colorScale>
    </cfRule>
    <cfRule type="expression" dxfId="2098" priority="3783">
      <formula>T95&lt;0</formula>
    </cfRule>
  </conditionalFormatting>
  <conditionalFormatting sqref="U101">
    <cfRule type="colorScale" priority="3780">
      <colorScale>
        <cfvo type="min"/>
        <cfvo type="max"/>
        <color theme="0"/>
        <color theme="0"/>
      </colorScale>
    </cfRule>
    <cfRule type="expression" dxfId="2097" priority="3781">
      <formula>T101&lt;0</formula>
    </cfRule>
  </conditionalFormatting>
  <conditionalFormatting sqref="U102">
    <cfRule type="expression" dxfId="2096" priority="3779">
      <formula>T102&lt;0</formula>
    </cfRule>
    <cfRule type="colorScale" priority="3777">
      <colorScale>
        <cfvo type="min"/>
        <cfvo type="max"/>
        <color theme="0"/>
        <color theme="0"/>
      </colorScale>
    </cfRule>
  </conditionalFormatting>
  <conditionalFormatting sqref="U105">
    <cfRule type="colorScale" priority="3774">
      <colorScale>
        <cfvo type="min"/>
        <cfvo type="max"/>
        <color theme="0"/>
        <color theme="0"/>
      </colorScale>
    </cfRule>
    <cfRule type="expression" dxfId="2095" priority="3775">
      <formula>T105&lt;0</formula>
    </cfRule>
  </conditionalFormatting>
  <conditionalFormatting sqref="U105:U106">
    <cfRule type="expression" priority="3772">
      <formula>#REF!</formula>
    </cfRule>
  </conditionalFormatting>
  <conditionalFormatting sqref="U105:U107">
    <cfRule type="expression" dxfId="2094" priority="3770">
      <formula>IF(U105="Validar","Rojo","Verde")</formula>
    </cfRule>
  </conditionalFormatting>
  <conditionalFormatting sqref="U106">
    <cfRule type="colorScale" priority="3771">
      <colorScale>
        <cfvo type="min"/>
        <cfvo type="max"/>
        <color theme="0"/>
        <color theme="0"/>
      </colorScale>
    </cfRule>
    <cfRule type="expression" dxfId="2093" priority="3773">
      <formula>T106&lt;0</formula>
    </cfRule>
  </conditionalFormatting>
  <conditionalFormatting sqref="U110">
    <cfRule type="colorScale" priority="3762">
      <colorScale>
        <cfvo type="min"/>
        <cfvo type="max"/>
        <color theme="0"/>
        <color theme="0"/>
      </colorScale>
    </cfRule>
    <cfRule type="expression" dxfId="2092" priority="3763">
      <formula>T110&lt;0</formula>
    </cfRule>
  </conditionalFormatting>
  <conditionalFormatting sqref="U110:U111">
    <cfRule type="expression" priority="3753">
      <formula>#REF!</formula>
    </cfRule>
  </conditionalFormatting>
  <conditionalFormatting sqref="U111">
    <cfRule type="colorScale" priority="3752">
      <colorScale>
        <cfvo type="min"/>
        <cfvo type="max"/>
        <color theme="0"/>
        <color theme="0"/>
      </colorScale>
    </cfRule>
    <cfRule type="expression" dxfId="2091" priority="3754">
      <formula>T111&lt;0</formula>
    </cfRule>
  </conditionalFormatting>
  <conditionalFormatting sqref="U117">
    <cfRule type="colorScale" priority="3768">
      <colorScale>
        <cfvo type="min"/>
        <cfvo type="max"/>
        <color theme="0"/>
        <color theme="0"/>
      </colorScale>
    </cfRule>
    <cfRule type="expression" dxfId="2090" priority="3769">
      <formula>T117&lt;0</formula>
    </cfRule>
  </conditionalFormatting>
  <conditionalFormatting sqref="U117:U123">
    <cfRule type="expression" priority="3766">
      <formula>#REF!</formula>
    </cfRule>
  </conditionalFormatting>
  <conditionalFormatting sqref="U118:U123">
    <cfRule type="colorScale" priority="3765">
      <colorScale>
        <cfvo type="min"/>
        <cfvo type="max"/>
        <color theme="0"/>
        <color theme="0"/>
      </colorScale>
    </cfRule>
    <cfRule type="expression" dxfId="2089" priority="3767">
      <formula>T118&lt;0</formula>
    </cfRule>
  </conditionalFormatting>
  <conditionalFormatting sqref="U126:U135">
    <cfRule type="expression" dxfId="2088" priority="3889">
      <formula>IF(U126="Validar","Rojo","Verde")</formula>
    </cfRule>
    <cfRule type="colorScale" priority="3890">
      <colorScale>
        <cfvo type="min"/>
        <cfvo type="max"/>
        <color theme="0"/>
        <color theme="0"/>
      </colorScale>
    </cfRule>
    <cfRule type="expression" dxfId="2087" priority="3892">
      <formula>T126&lt;0</formula>
    </cfRule>
    <cfRule type="expression" priority="3891">
      <formula>$F$23</formula>
    </cfRule>
  </conditionalFormatting>
  <conditionalFormatting sqref="W5">
    <cfRule type="colorScale" priority="95">
      <colorScale>
        <cfvo type="min"/>
        <cfvo type="max"/>
        <color theme="0"/>
        <color theme="0"/>
      </colorScale>
    </cfRule>
    <cfRule type="expression" dxfId="2086" priority="96">
      <formula>V5&lt;0</formula>
    </cfRule>
  </conditionalFormatting>
  <conditionalFormatting sqref="W5:W20">
    <cfRule type="expression" priority="94">
      <formula>#REF!</formula>
    </cfRule>
    <cfRule type="expression" dxfId="2085" priority="93">
      <formula>IF(W5="Validar","Rojo","Verde")</formula>
    </cfRule>
  </conditionalFormatting>
  <conditionalFormatting sqref="W6">
    <cfRule type="expression" dxfId="2084" priority="3650">
      <formula>V6&lt;0</formula>
    </cfRule>
    <cfRule type="colorScale" priority="3649">
      <colorScale>
        <cfvo type="min"/>
        <cfvo type="max"/>
        <color theme="0"/>
        <color theme="0"/>
      </colorScale>
    </cfRule>
  </conditionalFormatting>
  <conditionalFormatting sqref="W7:W8">
    <cfRule type="colorScale" priority="3645">
      <colorScale>
        <cfvo type="min"/>
        <cfvo type="max"/>
        <color theme="0"/>
        <color theme="0"/>
      </colorScale>
    </cfRule>
    <cfRule type="expression" dxfId="2083" priority="3646">
      <formula>V7&lt;0</formula>
    </cfRule>
  </conditionalFormatting>
  <conditionalFormatting sqref="W9">
    <cfRule type="expression" dxfId="2082" priority="3715">
      <formula>V9&lt;0</formula>
    </cfRule>
    <cfRule type="colorScale" priority="3714">
      <colorScale>
        <cfvo type="min"/>
        <cfvo type="max"/>
        <color theme="0"/>
        <color theme="0"/>
      </colorScale>
    </cfRule>
  </conditionalFormatting>
  <conditionalFormatting sqref="W10">
    <cfRule type="colorScale" priority="3691">
      <colorScale>
        <cfvo type="min"/>
        <cfvo type="max"/>
        <color theme="0"/>
        <color theme="0"/>
      </colorScale>
    </cfRule>
    <cfRule type="expression" dxfId="2081" priority="3692">
      <formula>V10&lt;0</formula>
    </cfRule>
  </conditionalFormatting>
  <conditionalFormatting sqref="W11:W13">
    <cfRule type="expression" dxfId="2080" priority="3713">
      <formula>V11&lt;0</formula>
    </cfRule>
    <cfRule type="colorScale" priority="3712">
      <colorScale>
        <cfvo type="min"/>
        <cfvo type="max"/>
        <color theme="0"/>
        <color theme="0"/>
      </colorScale>
    </cfRule>
  </conditionalFormatting>
  <conditionalFormatting sqref="W14">
    <cfRule type="expression" dxfId="2079" priority="382">
      <formula>V14&lt;0</formula>
    </cfRule>
    <cfRule type="colorScale" priority="381">
      <colorScale>
        <cfvo type="min"/>
        <cfvo type="max"/>
        <color theme="0"/>
        <color theme="0"/>
      </colorScale>
    </cfRule>
  </conditionalFormatting>
  <conditionalFormatting sqref="W15">
    <cfRule type="colorScale" priority="3689">
      <colorScale>
        <cfvo type="min"/>
        <cfvo type="max"/>
        <color theme="0"/>
        <color theme="0"/>
      </colorScale>
    </cfRule>
    <cfRule type="expression" dxfId="2078" priority="3690">
      <formula>V15&lt;0</formula>
    </cfRule>
  </conditionalFormatting>
  <conditionalFormatting sqref="W16:W17">
    <cfRule type="colorScale" priority="3710">
      <colorScale>
        <cfvo type="min"/>
        <cfvo type="max"/>
        <color theme="0"/>
        <color theme="0"/>
      </colorScale>
    </cfRule>
    <cfRule type="expression" dxfId="2077" priority="3711">
      <formula>V16&lt;0</formula>
    </cfRule>
  </conditionalFormatting>
  <conditionalFormatting sqref="W18">
    <cfRule type="expression" dxfId="2076" priority="3688">
      <formula>V18&lt;0</formula>
    </cfRule>
    <cfRule type="colorScale" priority="3686">
      <colorScale>
        <cfvo type="min"/>
        <cfvo type="max"/>
        <color theme="0"/>
        <color theme="0"/>
      </colorScale>
    </cfRule>
  </conditionalFormatting>
  <conditionalFormatting sqref="W19:W20">
    <cfRule type="colorScale" priority="3708">
      <colorScale>
        <cfvo type="min"/>
        <cfvo type="max"/>
        <color theme="0"/>
        <color theme="0"/>
      </colorScale>
    </cfRule>
    <cfRule type="expression" dxfId="2075" priority="3709">
      <formula>V19&lt;0</formula>
    </cfRule>
  </conditionalFormatting>
  <conditionalFormatting sqref="W23">
    <cfRule type="colorScale" priority="3683">
      <colorScale>
        <cfvo type="min"/>
        <cfvo type="max"/>
        <color theme="0"/>
        <color theme="0"/>
      </colorScale>
    </cfRule>
    <cfRule type="expression" dxfId="2074" priority="3684">
      <formula>V23&lt;0</formula>
    </cfRule>
  </conditionalFormatting>
  <conditionalFormatting sqref="W23:W31">
    <cfRule type="expression" dxfId="2073" priority="3677">
      <formula>IF(W23="Validar","Rojo","Verde")</formula>
    </cfRule>
    <cfRule type="expression" priority="3679">
      <formula>#REF!</formula>
    </cfRule>
  </conditionalFormatting>
  <conditionalFormatting sqref="W24">
    <cfRule type="expression" dxfId="2072" priority="3707">
      <formula>V24&lt;0</formula>
    </cfRule>
    <cfRule type="colorScale" priority="3706">
      <colorScale>
        <cfvo type="min"/>
        <cfvo type="max"/>
        <color theme="0"/>
        <color theme="0"/>
      </colorScale>
    </cfRule>
  </conditionalFormatting>
  <conditionalFormatting sqref="W25">
    <cfRule type="colorScale" priority="3704">
      <colorScale>
        <cfvo type="min"/>
        <cfvo type="max"/>
        <color theme="0"/>
        <color theme="0"/>
      </colorScale>
    </cfRule>
    <cfRule type="expression" dxfId="2071" priority="3705">
      <formula>V25&lt;0</formula>
    </cfRule>
  </conditionalFormatting>
  <conditionalFormatting sqref="W26">
    <cfRule type="expression" dxfId="2070" priority="3682">
      <formula>V26&lt;0</formula>
    </cfRule>
    <cfRule type="colorScale" priority="3681">
      <colorScale>
        <cfvo type="min"/>
        <cfvo type="max"/>
        <color theme="0"/>
        <color theme="0"/>
      </colorScale>
    </cfRule>
  </conditionalFormatting>
  <conditionalFormatting sqref="W27">
    <cfRule type="expression" dxfId="2069" priority="3703">
      <formula>V27&lt;0</formula>
    </cfRule>
    <cfRule type="colorScale" priority="3702">
      <colorScale>
        <cfvo type="min"/>
        <cfvo type="max"/>
        <color theme="0"/>
        <color theme="0"/>
      </colorScale>
    </cfRule>
  </conditionalFormatting>
  <conditionalFormatting sqref="W28">
    <cfRule type="colorScale" priority="3700">
      <colorScale>
        <cfvo type="min"/>
        <cfvo type="max"/>
        <color theme="0"/>
        <color theme="0"/>
      </colorScale>
    </cfRule>
    <cfRule type="expression" dxfId="2068" priority="3701">
      <formula>V28&lt;0</formula>
    </cfRule>
  </conditionalFormatting>
  <conditionalFormatting sqref="W29">
    <cfRule type="expression" dxfId="2067" priority="3680">
      <formula>V29&lt;0</formula>
    </cfRule>
    <cfRule type="colorScale" priority="3678">
      <colorScale>
        <cfvo type="min"/>
        <cfvo type="max"/>
        <color theme="0"/>
        <color theme="0"/>
      </colorScale>
    </cfRule>
  </conditionalFormatting>
  <conditionalFormatting sqref="W30">
    <cfRule type="expression" dxfId="2066" priority="3699">
      <formula>V30&lt;0</formula>
    </cfRule>
    <cfRule type="colorScale" priority="3698">
      <colorScale>
        <cfvo type="min"/>
        <cfvo type="max"/>
        <color theme="0"/>
        <color theme="0"/>
      </colorScale>
    </cfRule>
  </conditionalFormatting>
  <conditionalFormatting sqref="W31">
    <cfRule type="expression" dxfId="2065" priority="3697">
      <formula>V31&lt;0</formula>
    </cfRule>
    <cfRule type="colorScale" priority="3696">
      <colorScale>
        <cfvo type="min"/>
        <cfvo type="max"/>
        <color theme="0"/>
        <color theme="0"/>
      </colorScale>
    </cfRule>
  </conditionalFormatting>
  <conditionalFormatting sqref="W39">
    <cfRule type="expression" dxfId="2064" priority="3676">
      <formula>V39&lt;0</formula>
    </cfRule>
    <cfRule type="colorScale" priority="3674">
      <colorScale>
        <cfvo type="min"/>
        <cfvo type="max"/>
        <color theme="0"/>
        <color theme="0"/>
      </colorScale>
    </cfRule>
    <cfRule type="expression" priority="3675">
      <formula>#REF!</formula>
    </cfRule>
  </conditionalFormatting>
  <conditionalFormatting sqref="W39:W107">
    <cfRule type="expression" dxfId="2063" priority="3655">
      <formula>IF(W39="Validar","Rojo","Verde")</formula>
    </cfRule>
  </conditionalFormatting>
  <conditionalFormatting sqref="W40:W67">
    <cfRule type="expression" dxfId="2062" priority="3695">
      <formula>V40&lt;0</formula>
    </cfRule>
    <cfRule type="colorScale" priority="3693">
      <colorScale>
        <cfvo type="min"/>
        <cfvo type="max"/>
        <color theme="0"/>
        <color theme="0"/>
      </colorScale>
    </cfRule>
    <cfRule type="expression" priority="3694">
      <formula>$F$19</formula>
    </cfRule>
  </conditionalFormatting>
  <conditionalFormatting sqref="W68">
    <cfRule type="expression" dxfId="2061" priority="3673">
      <formula>V68&lt;0</formula>
    </cfRule>
    <cfRule type="expression" priority="3672">
      <formula>#REF!</formula>
    </cfRule>
    <cfRule type="colorScale" priority="3671">
      <colorScale>
        <cfvo type="min"/>
        <cfvo type="max"/>
        <color theme="0"/>
        <color theme="0"/>
      </colorScale>
    </cfRule>
  </conditionalFormatting>
  <conditionalFormatting sqref="W69:W81">
    <cfRule type="expression" dxfId="2060" priority="3720">
      <formula>V69&lt;0</formula>
    </cfRule>
    <cfRule type="expression" priority="3719">
      <formula>$F$19</formula>
    </cfRule>
    <cfRule type="colorScale" priority="3718">
      <colorScale>
        <cfvo type="min"/>
        <cfvo type="max"/>
        <color theme="0"/>
        <color theme="0"/>
      </colorScale>
    </cfRule>
  </conditionalFormatting>
  <conditionalFormatting sqref="W82 W92 W103 W107">
    <cfRule type="expression" dxfId="2059" priority="3717">
      <formula>V82&lt;0</formula>
    </cfRule>
    <cfRule type="colorScale" priority="3716">
      <colorScale>
        <cfvo type="min"/>
        <cfvo type="max"/>
        <color theme="0"/>
        <color theme="0"/>
      </colorScale>
    </cfRule>
    <cfRule type="expression" priority="3660">
      <formula>$F$23</formula>
    </cfRule>
  </conditionalFormatting>
  <conditionalFormatting sqref="W83">
    <cfRule type="expression" dxfId="2058" priority="3658">
      <formula>V83&lt;0</formula>
    </cfRule>
    <cfRule type="expression" priority="3657">
      <formula>#REF!</formula>
    </cfRule>
    <cfRule type="colorScale" priority="3656">
      <colorScale>
        <cfvo type="min"/>
        <cfvo type="max"/>
        <color theme="0"/>
        <color theme="0"/>
      </colorScale>
    </cfRule>
  </conditionalFormatting>
  <conditionalFormatting sqref="W84:W91">
    <cfRule type="expression" dxfId="2057" priority="3723">
      <formula>V84&lt;0</formula>
    </cfRule>
    <cfRule type="colorScale" priority="3721">
      <colorScale>
        <cfvo type="min"/>
        <cfvo type="max"/>
        <color theme="0"/>
        <color theme="0"/>
      </colorScale>
    </cfRule>
    <cfRule type="expression" priority="3722">
      <formula>$F$19</formula>
    </cfRule>
  </conditionalFormatting>
  <conditionalFormatting sqref="W93">
    <cfRule type="colorScale" priority="3668">
      <colorScale>
        <cfvo type="min"/>
        <cfvo type="max"/>
        <color theme="0"/>
        <color theme="0"/>
      </colorScale>
    </cfRule>
    <cfRule type="expression" priority="3669">
      <formula>#REF!</formula>
    </cfRule>
    <cfRule type="expression" dxfId="2056" priority="3670">
      <formula>V93&lt;0</formula>
    </cfRule>
  </conditionalFormatting>
  <conditionalFormatting sqref="W94:W102">
    <cfRule type="expression" dxfId="2055" priority="3726">
      <formula>V94&lt;0</formula>
    </cfRule>
    <cfRule type="expression" priority="3725">
      <formula>$F$19</formula>
    </cfRule>
    <cfRule type="colorScale" priority="3724">
      <colorScale>
        <cfvo type="min"/>
        <cfvo type="max"/>
        <color theme="0"/>
        <color theme="0"/>
      </colorScale>
    </cfRule>
  </conditionalFormatting>
  <conditionalFormatting sqref="W104">
    <cfRule type="expression" priority="3666">
      <formula>#REF!</formula>
    </cfRule>
    <cfRule type="colorScale" priority="3665">
      <colorScale>
        <cfvo type="min"/>
        <cfvo type="max"/>
        <color theme="0"/>
        <color theme="0"/>
      </colorScale>
    </cfRule>
    <cfRule type="expression" dxfId="2054" priority="3667">
      <formula>V104&lt;0</formula>
    </cfRule>
  </conditionalFormatting>
  <conditionalFormatting sqref="W105:W106">
    <cfRule type="colorScale" priority="3727">
      <colorScale>
        <cfvo type="min"/>
        <cfvo type="max"/>
        <color theme="0"/>
        <color theme="0"/>
      </colorScale>
    </cfRule>
    <cfRule type="expression" dxfId="2053" priority="3729">
      <formula>V105&lt;0</formula>
    </cfRule>
    <cfRule type="expression" priority="3728">
      <formula>$F$19</formula>
    </cfRule>
  </conditionalFormatting>
  <conditionalFormatting sqref="W110">
    <cfRule type="colorScale" priority="3730">
      <colorScale>
        <cfvo type="min"/>
        <cfvo type="max"/>
        <color theme="0"/>
        <color theme="0"/>
      </colorScale>
    </cfRule>
    <cfRule type="expression" dxfId="2052" priority="3731">
      <formula>V110&lt;0</formula>
    </cfRule>
  </conditionalFormatting>
  <conditionalFormatting sqref="W110:W111">
    <cfRule type="expression" priority="3653">
      <formula>$F$19</formula>
    </cfRule>
  </conditionalFormatting>
  <conditionalFormatting sqref="W111">
    <cfRule type="expression" dxfId="2051" priority="3654">
      <formula>V111&lt;0</formula>
    </cfRule>
    <cfRule type="colorScale" priority="3652">
      <colorScale>
        <cfvo type="min"/>
        <cfvo type="max"/>
        <color theme="0"/>
        <color theme="0"/>
      </colorScale>
    </cfRule>
  </conditionalFormatting>
  <conditionalFormatting sqref="W117:W123">
    <cfRule type="expression" priority="3736">
      <formula>$F$19</formula>
    </cfRule>
    <cfRule type="colorScale" priority="3735">
      <colorScale>
        <cfvo type="min"/>
        <cfvo type="max"/>
        <color theme="0"/>
        <color theme="0"/>
      </colorScale>
    </cfRule>
    <cfRule type="expression" dxfId="2050" priority="3737">
      <formula>V117&lt;0</formula>
    </cfRule>
  </conditionalFormatting>
  <conditionalFormatting sqref="W125">
    <cfRule type="expression" dxfId="2049" priority="3664">
      <formula>V125&lt;0</formula>
    </cfRule>
    <cfRule type="colorScale" priority="3662">
      <colorScale>
        <cfvo type="min"/>
        <cfvo type="max"/>
        <color theme="0"/>
        <color theme="0"/>
      </colorScale>
    </cfRule>
    <cfRule type="expression" priority="3663">
      <formula>#REF!</formula>
    </cfRule>
  </conditionalFormatting>
  <conditionalFormatting sqref="W125:W135">
    <cfRule type="expression" dxfId="2048" priority="3661">
      <formula>IF(W125="Validar","Rojo","Verde")</formula>
    </cfRule>
  </conditionalFormatting>
  <conditionalFormatting sqref="W126:W132">
    <cfRule type="colorScale" priority="3738">
      <colorScale>
        <cfvo type="min"/>
        <cfvo type="max"/>
        <color theme="0"/>
        <color theme="0"/>
      </colorScale>
    </cfRule>
    <cfRule type="expression" dxfId="2047" priority="3740">
      <formula>V126&lt;0</formula>
    </cfRule>
  </conditionalFormatting>
  <conditionalFormatting sqref="W126:W134">
    <cfRule type="expression" priority="3739">
      <formula>$F$19</formula>
    </cfRule>
  </conditionalFormatting>
  <conditionalFormatting sqref="W133:W134">
    <cfRule type="colorScale" priority="3741">
      <colorScale>
        <cfvo type="min"/>
        <cfvo type="max"/>
        <color theme="0"/>
        <color theme="0"/>
      </colorScale>
    </cfRule>
    <cfRule type="expression" dxfId="2046" priority="3742">
      <formula>V133&lt;0</formula>
    </cfRule>
  </conditionalFormatting>
  <conditionalFormatting sqref="W135">
    <cfRule type="expression" priority="3733">
      <formula>$F$23</formula>
    </cfRule>
    <cfRule type="expression" dxfId="2045" priority="3734">
      <formula>V135&lt;0</formula>
    </cfRule>
    <cfRule type="colorScale" priority="3732">
      <colorScale>
        <cfvo type="min"/>
        <cfvo type="max"/>
        <color theme="0"/>
        <color theme="0"/>
      </colorScale>
    </cfRule>
  </conditionalFormatting>
  <conditionalFormatting sqref="W110:X111">
    <cfRule type="expression" dxfId="2044" priority="3651">
      <formula>IF(W110="Validar","Rojo","Verde")</formula>
    </cfRule>
  </conditionalFormatting>
  <conditionalFormatting sqref="W117:X123">
    <cfRule type="expression" dxfId="2043" priority="3659">
      <formula>IF(W117="Validar","Rojo","Verde")</formula>
    </cfRule>
  </conditionalFormatting>
  <conditionalFormatting sqref="X5">
    <cfRule type="expression" dxfId="2042" priority="181">
      <formula>W5&lt;0</formula>
    </cfRule>
    <cfRule type="colorScale" priority="180">
      <colorScale>
        <cfvo type="min"/>
        <cfvo type="max"/>
        <color theme="0"/>
        <color theme="0"/>
      </colorScale>
    </cfRule>
  </conditionalFormatting>
  <conditionalFormatting sqref="X5:X16">
    <cfRule type="expression" dxfId="2041" priority="178">
      <formula>IF(X5="Validar","Rojo","Verde")</formula>
    </cfRule>
    <cfRule type="expression" priority="179">
      <formula>#REF!</formula>
    </cfRule>
  </conditionalFormatting>
  <conditionalFormatting sqref="X6:X9">
    <cfRule type="colorScale" priority="8042">
      <colorScale>
        <cfvo type="min"/>
        <cfvo type="max"/>
        <color theme="0"/>
        <color theme="0"/>
      </colorScale>
    </cfRule>
    <cfRule type="expression" dxfId="2040" priority="8043">
      <formula>W6&lt;0</formula>
    </cfRule>
  </conditionalFormatting>
  <conditionalFormatting sqref="X10">
    <cfRule type="expression" dxfId="2039" priority="8011">
      <formula>W10&lt;0</formula>
    </cfRule>
    <cfRule type="colorScale" priority="8010">
      <colorScale>
        <cfvo type="min"/>
        <cfvo type="max"/>
        <color theme="0"/>
        <color theme="0"/>
      </colorScale>
    </cfRule>
  </conditionalFormatting>
  <conditionalFormatting sqref="X11:X13">
    <cfRule type="colorScale" priority="8040">
      <colorScale>
        <cfvo type="min"/>
        <cfvo type="max"/>
        <color theme="0"/>
        <color theme="0"/>
      </colorScale>
    </cfRule>
    <cfRule type="expression" dxfId="2038" priority="8041">
      <formula>W11&lt;0</formula>
    </cfRule>
  </conditionalFormatting>
  <conditionalFormatting sqref="X14">
    <cfRule type="expression" dxfId="2037" priority="341">
      <formula>W14&lt;0</formula>
    </cfRule>
    <cfRule type="colorScale" priority="340">
      <colorScale>
        <cfvo type="min"/>
        <cfvo type="max"/>
        <color theme="0"/>
        <color theme="0"/>
      </colorScale>
    </cfRule>
  </conditionalFormatting>
  <conditionalFormatting sqref="X15">
    <cfRule type="expression" dxfId="2036" priority="8009">
      <formula>W15&lt;0</formula>
    </cfRule>
    <cfRule type="colorScale" priority="8007">
      <colorScale>
        <cfvo type="min"/>
        <cfvo type="max"/>
        <color theme="0"/>
        <color theme="0"/>
      </colorScale>
    </cfRule>
  </conditionalFormatting>
  <conditionalFormatting sqref="X16">
    <cfRule type="colorScale" priority="8038">
      <colorScale>
        <cfvo type="min"/>
        <cfvo type="max"/>
        <color theme="0"/>
        <color theme="0"/>
      </colorScale>
    </cfRule>
    <cfRule type="expression" dxfId="2035" priority="8039">
      <formula>W16&lt;0</formula>
    </cfRule>
  </conditionalFormatting>
  <conditionalFormatting sqref="X18">
    <cfRule type="expression" dxfId="2034" priority="8005">
      <formula>W18&lt;0</formula>
    </cfRule>
    <cfRule type="colorScale" priority="8003">
      <colorScale>
        <cfvo type="min"/>
        <cfvo type="max"/>
        <color theme="0"/>
        <color theme="0"/>
      </colorScale>
    </cfRule>
  </conditionalFormatting>
  <conditionalFormatting sqref="X18:X19">
    <cfRule type="expression" priority="8004">
      <formula>#REF!</formula>
    </cfRule>
    <cfRule type="expression" dxfId="2033" priority="8002">
      <formula>IF(X18="Validar","Rojo","Verde")</formula>
    </cfRule>
  </conditionalFormatting>
  <conditionalFormatting sqref="X19">
    <cfRule type="colorScale" priority="8036">
      <colorScale>
        <cfvo type="min"/>
        <cfvo type="max"/>
        <color theme="0"/>
        <color theme="0"/>
      </colorScale>
    </cfRule>
    <cfRule type="expression" dxfId="2032" priority="8037">
      <formula>W19&lt;0</formula>
    </cfRule>
  </conditionalFormatting>
  <conditionalFormatting sqref="X23">
    <cfRule type="colorScale" priority="7999">
      <colorScale>
        <cfvo type="min"/>
        <cfvo type="max"/>
        <color theme="0"/>
        <color theme="0"/>
      </colorScale>
    </cfRule>
    <cfRule type="expression" dxfId="2031" priority="8001">
      <formula>W23&lt;0</formula>
    </cfRule>
  </conditionalFormatting>
  <conditionalFormatting sqref="X23:X24">
    <cfRule type="expression" dxfId="2030" priority="7998">
      <formula>IF(X23="Validar","Rojo","Verde")</formula>
    </cfRule>
    <cfRule type="expression" priority="8000">
      <formula>#REF!</formula>
    </cfRule>
  </conditionalFormatting>
  <conditionalFormatting sqref="X24">
    <cfRule type="expression" dxfId="2029" priority="8033">
      <formula>W24&lt;0</formula>
    </cfRule>
    <cfRule type="colorScale" priority="8032">
      <colorScale>
        <cfvo type="min"/>
        <cfvo type="max"/>
        <color theme="0"/>
        <color theme="0"/>
      </colorScale>
    </cfRule>
  </conditionalFormatting>
  <conditionalFormatting sqref="X26">
    <cfRule type="colorScale" priority="7995">
      <colorScale>
        <cfvo type="min"/>
        <cfvo type="max"/>
        <color theme="0"/>
        <color theme="0"/>
      </colorScale>
    </cfRule>
    <cfRule type="expression" dxfId="2028" priority="7997">
      <formula>W26&lt;0</formula>
    </cfRule>
  </conditionalFormatting>
  <conditionalFormatting sqref="X26:X27">
    <cfRule type="expression" dxfId="2027" priority="7994">
      <formula>IF(X26="Validar","Rojo","Verde")</formula>
    </cfRule>
    <cfRule type="expression" priority="7996">
      <formula>#REF!</formula>
    </cfRule>
  </conditionalFormatting>
  <conditionalFormatting sqref="X27">
    <cfRule type="expression" dxfId="2026" priority="8031">
      <formula>W27&lt;0</formula>
    </cfRule>
    <cfRule type="colorScale" priority="8030">
      <colorScale>
        <cfvo type="min"/>
        <cfvo type="max"/>
        <color theme="0"/>
        <color theme="0"/>
      </colorScale>
    </cfRule>
  </conditionalFormatting>
  <conditionalFormatting sqref="X29">
    <cfRule type="colorScale" priority="7991">
      <colorScale>
        <cfvo type="min"/>
        <cfvo type="max"/>
        <color theme="0"/>
        <color theme="0"/>
      </colorScale>
    </cfRule>
    <cfRule type="expression" dxfId="2025" priority="7993">
      <formula>W29&lt;0</formula>
    </cfRule>
  </conditionalFormatting>
  <conditionalFormatting sqref="X29:X30">
    <cfRule type="expression" dxfId="2024" priority="7990">
      <formula>IF(X29="Validar","Rojo","Verde")</formula>
    </cfRule>
    <cfRule type="expression" priority="7992">
      <formula>#REF!</formula>
    </cfRule>
  </conditionalFormatting>
  <conditionalFormatting sqref="X30">
    <cfRule type="colorScale" priority="8028">
      <colorScale>
        <cfvo type="min"/>
        <cfvo type="max"/>
        <color theme="0"/>
        <color theme="0"/>
      </colorScale>
    </cfRule>
    <cfRule type="expression" dxfId="2023" priority="8029">
      <formula>W30&lt;0</formula>
    </cfRule>
  </conditionalFormatting>
  <conditionalFormatting sqref="X39">
    <cfRule type="colorScale" priority="7987">
      <colorScale>
        <cfvo type="min"/>
        <cfvo type="max"/>
        <color theme="0"/>
        <color theme="0"/>
      </colorScale>
    </cfRule>
    <cfRule type="expression" dxfId="2022" priority="7989">
      <formula>W39&lt;0</formula>
    </cfRule>
  </conditionalFormatting>
  <conditionalFormatting sqref="X39:X66">
    <cfRule type="expression" dxfId="2021" priority="7986">
      <formula>IF(X39="Validar","Rojo","Verde")</formula>
    </cfRule>
    <cfRule type="expression" priority="7988">
      <formula>#REF!</formula>
    </cfRule>
  </conditionalFormatting>
  <conditionalFormatting sqref="X40:X66">
    <cfRule type="expression" dxfId="2020" priority="8027">
      <formula>W40&lt;0</formula>
    </cfRule>
    <cfRule type="colorScale" priority="8026">
      <colorScale>
        <cfvo type="min"/>
        <cfvo type="max"/>
        <color theme="0"/>
        <color theme="0"/>
      </colorScale>
    </cfRule>
  </conditionalFormatting>
  <conditionalFormatting sqref="X68">
    <cfRule type="expression" dxfId="2019" priority="7985">
      <formula>W68&lt;0</formula>
    </cfRule>
    <cfRule type="colorScale" priority="7983">
      <colorScale>
        <cfvo type="min"/>
        <cfvo type="max"/>
        <color theme="0"/>
        <color theme="0"/>
      </colorScale>
    </cfRule>
  </conditionalFormatting>
  <conditionalFormatting sqref="X68:X81">
    <cfRule type="expression" priority="7984">
      <formula>#REF!</formula>
    </cfRule>
    <cfRule type="expression" dxfId="2018" priority="7982">
      <formula>IF(X68="Validar","Rojo","Verde")</formula>
    </cfRule>
  </conditionalFormatting>
  <conditionalFormatting sqref="X69:X81">
    <cfRule type="expression" dxfId="2017" priority="8045">
      <formula>W69&lt;0</formula>
    </cfRule>
    <cfRule type="colorScale" priority="8044">
      <colorScale>
        <cfvo type="min"/>
        <cfvo type="max"/>
        <color theme="0"/>
        <color theme="0"/>
      </colorScale>
    </cfRule>
  </conditionalFormatting>
  <conditionalFormatting sqref="X83">
    <cfRule type="colorScale" priority="7966">
      <colorScale>
        <cfvo type="min"/>
        <cfvo type="max"/>
        <color theme="0"/>
        <color theme="0"/>
      </colorScale>
    </cfRule>
    <cfRule type="expression" dxfId="2016" priority="7968">
      <formula>W83&lt;0</formula>
    </cfRule>
  </conditionalFormatting>
  <conditionalFormatting sqref="X83:X91">
    <cfRule type="expression" dxfId="2015" priority="7965">
      <formula>IF(X83="Validar","Rojo","Verde")</formula>
    </cfRule>
    <cfRule type="expression" priority="7967">
      <formula>#REF!</formula>
    </cfRule>
  </conditionalFormatting>
  <conditionalFormatting sqref="X84:X91">
    <cfRule type="expression" dxfId="2014" priority="8025">
      <formula>W84&lt;0</formula>
    </cfRule>
    <cfRule type="colorScale" priority="8024">
      <colorScale>
        <cfvo type="min"/>
        <cfvo type="max"/>
        <color theme="0"/>
        <color theme="0"/>
      </colorScale>
    </cfRule>
  </conditionalFormatting>
  <conditionalFormatting sqref="X93">
    <cfRule type="colorScale" priority="7979">
      <colorScale>
        <cfvo type="min"/>
        <cfvo type="max"/>
        <color theme="0"/>
        <color theme="0"/>
      </colorScale>
    </cfRule>
    <cfRule type="expression" dxfId="2013" priority="7981">
      <formula>W93&lt;0</formula>
    </cfRule>
  </conditionalFormatting>
  <conditionalFormatting sqref="X93:X102">
    <cfRule type="expression" priority="7980">
      <formula>#REF!</formula>
    </cfRule>
    <cfRule type="expression" dxfId="2012" priority="7978">
      <formula>IF(X93="Validar","Rojo","Verde")</formula>
    </cfRule>
  </conditionalFormatting>
  <conditionalFormatting sqref="X94:X102">
    <cfRule type="expression" dxfId="2011" priority="8023">
      <formula>W94&lt;0</formula>
    </cfRule>
    <cfRule type="colorScale" priority="8022">
      <colorScale>
        <cfvo type="min"/>
        <cfvo type="max"/>
        <color theme="0"/>
        <color theme="0"/>
      </colorScale>
    </cfRule>
  </conditionalFormatting>
  <conditionalFormatting sqref="X104">
    <cfRule type="colorScale" priority="7975">
      <colorScale>
        <cfvo type="min"/>
        <cfvo type="max"/>
        <color theme="0"/>
        <color theme="0"/>
      </colorScale>
    </cfRule>
    <cfRule type="expression" dxfId="2010" priority="7977">
      <formula>W104&lt;0</formula>
    </cfRule>
  </conditionalFormatting>
  <conditionalFormatting sqref="X104:X106">
    <cfRule type="expression" priority="7976">
      <formula>#REF!</formula>
    </cfRule>
    <cfRule type="expression" dxfId="2009" priority="7974">
      <formula>IF(X104="Validar","Rojo","Verde")</formula>
    </cfRule>
  </conditionalFormatting>
  <conditionalFormatting sqref="X105:X106">
    <cfRule type="colorScale" priority="8020">
      <colorScale>
        <cfvo type="min"/>
        <cfvo type="max"/>
        <color theme="0"/>
        <color theme="0"/>
      </colorScale>
    </cfRule>
    <cfRule type="expression" dxfId="2008" priority="8021">
      <formula>W105&lt;0</formula>
    </cfRule>
  </conditionalFormatting>
  <conditionalFormatting sqref="X110">
    <cfRule type="colorScale" priority="8018">
      <colorScale>
        <cfvo type="min"/>
        <cfvo type="max"/>
        <color theme="0"/>
        <color theme="0"/>
      </colorScale>
    </cfRule>
    <cfRule type="expression" dxfId="2007" priority="8019">
      <formula>W110&lt;0</formula>
    </cfRule>
  </conditionalFormatting>
  <conditionalFormatting sqref="X110:X111">
    <cfRule type="expression" priority="7960">
      <formula>#REF!</formula>
    </cfRule>
  </conditionalFormatting>
  <conditionalFormatting sqref="X111">
    <cfRule type="colorScale" priority="7959">
      <colorScale>
        <cfvo type="min"/>
        <cfvo type="max"/>
        <color theme="0"/>
        <color theme="0"/>
      </colorScale>
    </cfRule>
    <cfRule type="expression" dxfId="2006" priority="7961">
      <formula>W111&lt;0</formula>
    </cfRule>
  </conditionalFormatting>
  <conditionalFormatting sqref="X117:X123">
    <cfRule type="expression" dxfId="2005" priority="8017">
      <formula>W117&lt;0</formula>
    </cfRule>
    <cfRule type="colorScale" priority="8015">
      <colorScale>
        <cfvo type="min"/>
        <cfvo type="max"/>
        <color theme="0"/>
        <color theme="0"/>
      </colorScale>
    </cfRule>
    <cfRule type="expression" priority="8016">
      <formula>#REF!</formula>
    </cfRule>
  </conditionalFormatting>
  <conditionalFormatting sqref="X125">
    <cfRule type="expression" dxfId="2004" priority="7973">
      <formula>W125&lt;0</formula>
    </cfRule>
    <cfRule type="colorScale" priority="7971">
      <colorScale>
        <cfvo type="min"/>
        <cfvo type="max"/>
        <color theme="0"/>
        <color theme="0"/>
      </colorScale>
    </cfRule>
  </conditionalFormatting>
  <conditionalFormatting sqref="X125:X134">
    <cfRule type="expression" dxfId="2003" priority="7970">
      <formula>IF(X125="Validar","Rojo","Verde")</formula>
    </cfRule>
    <cfRule type="expression" priority="7972">
      <formula>#REF!</formula>
    </cfRule>
  </conditionalFormatting>
  <conditionalFormatting sqref="X126:X134">
    <cfRule type="colorScale" priority="8012">
      <colorScale>
        <cfvo type="min"/>
        <cfvo type="max"/>
        <color theme="0"/>
        <color theme="0"/>
      </colorScale>
    </cfRule>
    <cfRule type="expression" dxfId="2002" priority="8013">
      <formula>W126&lt;0</formula>
    </cfRule>
  </conditionalFormatting>
  <conditionalFormatting sqref="Z5">
    <cfRule type="expression" dxfId="2001" priority="92">
      <formula>Y5&lt;0</formula>
    </cfRule>
    <cfRule type="colorScale" priority="91">
      <colorScale>
        <cfvo type="min"/>
        <cfvo type="max"/>
        <color theme="0"/>
        <color theme="0"/>
      </colorScale>
    </cfRule>
  </conditionalFormatting>
  <conditionalFormatting sqref="Z5:Z20">
    <cfRule type="expression" priority="90">
      <formula>#REF!</formula>
    </cfRule>
    <cfRule type="expression" dxfId="2000" priority="89">
      <formula>IF(Z5="Validar","Rojo","Verde")</formula>
    </cfRule>
  </conditionalFormatting>
  <conditionalFormatting sqref="Z6">
    <cfRule type="colorScale" priority="3499">
      <colorScale>
        <cfvo type="min"/>
        <cfvo type="max"/>
        <color theme="0"/>
        <color theme="0"/>
      </colorScale>
    </cfRule>
    <cfRule type="expression" dxfId="1999" priority="3500">
      <formula>Y6&lt;0</formula>
    </cfRule>
  </conditionalFormatting>
  <conditionalFormatting sqref="Z7:Z8">
    <cfRule type="colorScale" priority="3495">
      <colorScale>
        <cfvo type="min"/>
        <cfvo type="max"/>
        <color theme="0"/>
        <color theme="0"/>
      </colorScale>
    </cfRule>
    <cfRule type="expression" dxfId="1998" priority="3496">
      <formula>Y7&lt;0</formula>
    </cfRule>
  </conditionalFormatting>
  <conditionalFormatting sqref="Z9">
    <cfRule type="colorScale" priority="3610">
      <colorScale>
        <cfvo type="min"/>
        <cfvo type="max"/>
        <color theme="0"/>
        <color theme="0"/>
      </colorScale>
    </cfRule>
    <cfRule type="expression" dxfId="1997" priority="3611">
      <formula>Y9&lt;0</formula>
    </cfRule>
  </conditionalFormatting>
  <conditionalFormatting sqref="Z10">
    <cfRule type="colorScale" priority="3587">
      <colorScale>
        <cfvo type="min"/>
        <cfvo type="max"/>
        <color theme="0"/>
        <color theme="0"/>
      </colorScale>
    </cfRule>
    <cfRule type="expression" dxfId="1996" priority="3588">
      <formula>Y10&lt;0</formula>
    </cfRule>
  </conditionalFormatting>
  <conditionalFormatting sqref="Z11:Z13">
    <cfRule type="expression" dxfId="1995" priority="3609">
      <formula>Y11&lt;0</formula>
    </cfRule>
    <cfRule type="colorScale" priority="3608">
      <colorScale>
        <cfvo type="min"/>
        <cfvo type="max"/>
        <color theme="0"/>
        <color theme="0"/>
      </colorScale>
    </cfRule>
  </conditionalFormatting>
  <conditionalFormatting sqref="Z14">
    <cfRule type="expression" dxfId="1994" priority="358">
      <formula>Y14&lt;0</formula>
    </cfRule>
    <cfRule type="colorScale" priority="357">
      <colorScale>
        <cfvo type="min"/>
        <cfvo type="max"/>
        <color theme="0"/>
        <color theme="0"/>
      </colorScale>
    </cfRule>
  </conditionalFormatting>
  <conditionalFormatting sqref="Z15">
    <cfRule type="colorScale" priority="3585">
      <colorScale>
        <cfvo type="min"/>
        <cfvo type="max"/>
        <color theme="0"/>
        <color theme="0"/>
      </colorScale>
    </cfRule>
    <cfRule type="expression" dxfId="1993" priority="3586">
      <formula>Y15&lt;0</formula>
    </cfRule>
  </conditionalFormatting>
  <conditionalFormatting sqref="Z16:Z17">
    <cfRule type="expression" dxfId="1992" priority="3607">
      <formula>Y16&lt;0</formula>
    </cfRule>
    <cfRule type="colorScale" priority="3606">
      <colorScale>
        <cfvo type="min"/>
        <cfvo type="max"/>
        <color theme="0"/>
        <color theme="0"/>
      </colorScale>
    </cfRule>
  </conditionalFormatting>
  <conditionalFormatting sqref="Z18">
    <cfRule type="colorScale" priority="3582">
      <colorScale>
        <cfvo type="min"/>
        <cfvo type="max"/>
        <color theme="0"/>
        <color theme="0"/>
      </colorScale>
    </cfRule>
    <cfRule type="expression" dxfId="1991" priority="3584">
      <formula>Y18&lt;0</formula>
    </cfRule>
  </conditionalFormatting>
  <conditionalFormatting sqref="Z19:Z20">
    <cfRule type="expression" dxfId="1990" priority="3605">
      <formula>Y19&lt;0</formula>
    </cfRule>
    <cfRule type="colorScale" priority="3604">
      <colorScale>
        <cfvo type="min"/>
        <cfvo type="max"/>
        <color theme="0"/>
        <color theme="0"/>
      </colorScale>
    </cfRule>
  </conditionalFormatting>
  <conditionalFormatting sqref="Z23">
    <cfRule type="expression" dxfId="1989" priority="3580">
      <formula>Y23&lt;0</formula>
    </cfRule>
    <cfRule type="colorScale" priority="3579">
      <colorScale>
        <cfvo type="min"/>
        <cfvo type="max"/>
        <color theme="0"/>
        <color theme="0"/>
      </colorScale>
    </cfRule>
  </conditionalFormatting>
  <conditionalFormatting sqref="Z23:Z31">
    <cfRule type="expression" dxfId="1988" priority="3573">
      <formula>IF(Z23="Validar","Rojo","Verde")</formula>
    </cfRule>
    <cfRule type="expression" priority="3575">
      <formula>#REF!</formula>
    </cfRule>
  </conditionalFormatting>
  <conditionalFormatting sqref="Z24">
    <cfRule type="expression" dxfId="1987" priority="3603">
      <formula>Y24&lt;0</formula>
    </cfRule>
    <cfRule type="colorScale" priority="3602">
      <colorScale>
        <cfvo type="min"/>
        <cfvo type="max"/>
        <color theme="0"/>
        <color theme="0"/>
      </colorScale>
    </cfRule>
  </conditionalFormatting>
  <conditionalFormatting sqref="Z25">
    <cfRule type="expression" dxfId="1986" priority="3601">
      <formula>Y25&lt;0</formula>
    </cfRule>
    <cfRule type="colorScale" priority="3600">
      <colorScale>
        <cfvo type="min"/>
        <cfvo type="max"/>
        <color theme="0"/>
        <color theme="0"/>
      </colorScale>
    </cfRule>
  </conditionalFormatting>
  <conditionalFormatting sqref="Z26">
    <cfRule type="colorScale" priority="3577">
      <colorScale>
        <cfvo type="min"/>
        <cfvo type="max"/>
        <color theme="0"/>
        <color theme="0"/>
      </colorScale>
    </cfRule>
    <cfRule type="expression" dxfId="1985" priority="3578">
      <formula>Y26&lt;0</formula>
    </cfRule>
  </conditionalFormatting>
  <conditionalFormatting sqref="Z27">
    <cfRule type="expression" dxfId="1984" priority="3599">
      <formula>Y27&lt;0</formula>
    </cfRule>
    <cfRule type="colorScale" priority="3598">
      <colorScale>
        <cfvo type="min"/>
        <cfvo type="max"/>
        <color theme="0"/>
        <color theme="0"/>
      </colorScale>
    </cfRule>
  </conditionalFormatting>
  <conditionalFormatting sqref="Z28">
    <cfRule type="expression" dxfId="1983" priority="3597">
      <formula>Y28&lt;0</formula>
    </cfRule>
    <cfRule type="colorScale" priority="3596">
      <colorScale>
        <cfvo type="min"/>
        <cfvo type="max"/>
        <color theme="0"/>
        <color theme="0"/>
      </colorScale>
    </cfRule>
  </conditionalFormatting>
  <conditionalFormatting sqref="Z29">
    <cfRule type="colorScale" priority="3574">
      <colorScale>
        <cfvo type="min"/>
        <cfvo type="max"/>
        <color theme="0"/>
        <color theme="0"/>
      </colorScale>
    </cfRule>
    <cfRule type="expression" dxfId="1982" priority="3576">
      <formula>Y29&lt;0</formula>
    </cfRule>
  </conditionalFormatting>
  <conditionalFormatting sqref="Z30">
    <cfRule type="expression" dxfId="1981" priority="3595">
      <formula>Y30&lt;0</formula>
    </cfRule>
    <cfRule type="colorScale" priority="3594">
      <colorScale>
        <cfvo type="min"/>
        <cfvo type="max"/>
        <color theme="0"/>
        <color theme="0"/>
      </colorScale>
    </cfRule>
  </conditionalFormatting>
  <conditionalFormatting sqref="Z31">
    <cfRule type="expression" dxfId="1980" priority="3593">
      <formula>Y31&lt;0</formula>
    </cfRule>
    <cfRule type="colorScale" priority="3592">
      <colorScale>
        <cfvo type="min"/>
        <cfvo type="max"/>
        <color theme="0"/>
        <color theme="0"/>
      </colorScale>
    </cfRule>
  </conditionalFormatting>
  <conditionalFormatting sqref="Z39">
    <cfRule type="colorScale" priority="3570">
      <colorScale>
        <cfvo type="min"/>
        <cfvo type="max"/>
        <color theme="0"/>
        <color theme="0"/>
      </colorScale>
    </cfRule>
    <cfRule type="expression" priority="3571">
      <formula>#REF!</formula>
    </cfRule>
    <cfRule type="expression" dxfId="1979" priority="3572">
      <formula>Y39&lt;0</formula>
    </cfRule>
  </conditionalFormatting>
  <conditionalFormatting sqref="Z39:Z107">
    <cfRule type="expression" dxfId="1978" priority="3508">
      <formula>IF(Z39="Validar","Rojo","Verde")</formula>
    </cfRule>
  </conditionalFormatting>
  <conditionalFormatting sqref="Z40:Z67">
    <cfRule type="colorScale" priority="3589">
      <colorScale>
        <cfvo type="min"/>
        <cfvo type="max"/>
        <color theme="0"/>
        <color theme="0"/>
      </colorScale>
    </cfRule>
    <cfRule type="expression" dxfId="1977" priority="3591">
      <formula>Y40&lt;0</formula>
    </cfRule>
    <cfRule type="expression" priority="3590">
      <formula>$F$19</formula>
    </cfRule>
  </conditionalFormatting>
  <conditionalFormatting sqref="Z68">
    <cfRule type="colorScale" priority="3567">
      <colorScale>
        <cfvo type="min"/>
        <cfvo type="max"/>
        <color theme="0"/>
        <color theme="0"/>
      </colorScale>
    </cfRule>
    <cfRule type="expression" dxfId="1976" priority="3569">
      <formula>Y68&lt;0</formula>
    </cfRule>
    <cfRule type="expression" priority="3568">
      <formula>#REF!</formula>
    </cfRule>
  </conditionalFormatting>
  <conditionalFormatting sqref="Z69:Z81">
    <cfRule type="colorScale" priority="3614">
      <colorScale>
        <cfvo type="min"/>
        <cfvo type="max"/>
        <color theme="0"/>
        <color theme="0"/>
      </colorScale>
    </cfRule>
    <cfRule type="expression" priority="3615">
      <formula>$F$19</formula>
    </cfRule>
    <cfRule type="expression" dxfId="1975" priority="3616">
      <formula>Y69&lt;0</formula>
    </cfRule>
  </conditionalFormatting>
  <conditionalFormatting sqref="Z82 Z92 Z103 Z107">
    <cfRule type="colorScale" priority="3612">
      <colorScale>
        <cfvo type="min"/>
        <cfvo type="max"/>
        <color theme="0"/>
        <color theme="0"/>
      </colorScale>
    </cfRule>
    <cfRule type="expression" dxfId="1974" priority="3613">
      <formula>Y82&lt;0</formula>
    </cfRule>
  </conditionalFormatting>
  <conditionalFormatting sqref="Z83">
    <cfRule type="expression" dxfId="1973" priority="3511">
      <formula>Y83&lt;0</formula>
    </cfRule>
    <cfRule type="colorScale" priority="3509">
      <colorScale>
        <cfvo type="min"/>
        <cfvo type="max"/>
        <color theme="0"/>
        <color theme="0"/>
      </colorScale>
    </cfRule>
    <cfRule type="expression" priority="3510">
      <formula>#REF!</formula>
    </cfRule>
  </conditionalFormatting>
  <conditionalFormatting sqref="Z84:Z91">
    <cfRule type="colorScale" priority="3617">
      <colorScale>
        <cfvo type="min"/>
        <cfvo type="max"/>
        <color theme="0"/>
        <color theme="0"/>
      </colorScale>
    </cfRule>
    <cfRule type="expression" priority="3618">
      <formula>$F$19</formula>
    </cfRule>
    <cfRule type="expression" dxfId="1972" priority="3619">
      <formula>Y84&lt;0</formula>
    </cfRule>
  </conditionalFormatting>
  <conditionalFormatting sqref="Z93">
    <cfRule type="colorScale" priority="3564">
      <colorScale>
        <cfvo type="min"/>
        <cfvo type="max"/>
        <color theme="0"/>
        <color theme="0"/>
      </colorScale>
    </cfRule>
    <cfRule type="expression" priority="3565">
      <formula>#REF!</formula>
    </cfRule>
    <cfRule type="expression" dxfId="1971" priority="3566">
      <formula>Y93&lt;0</formula>
    </cfRule>
  </conditionalFormatting>
  <conditionalFormatting sqref="Z94:Z102">
    <cfRule type="expression" dxfId="1970" priority="3622">
      <formula>Y94&lt;0</formula>
    </cfRule>
    <cfRule type="expression" priority="3621">
      <formula>$F$19</formula>
    </cfRule>
    <cfRule type="colorScale" priority="3620">
      <colorScale>
        <cfvo type="min"/>
        <cfvo type="max"/>
        <color theme="0"/>
        <color theme="0"/>
      </colorScale>
    </cfRule>
  </conditionalFormatting>
  <conditionalFormatting sqref="Z104">
    <cfRule type="colorScale" priority="3561">
      <colorScale>
        <cfvo type="min"/>
        <cfvo type="max"/>
        <color theme="0"/>
        <color theme="0"/>
      </colorScale>
    </cfRule>
    <cfRule type="expression" priority="3562">
      <formula>#REF!</formula>
    </cfRule>
    <cfRule type="expression" dxfId="1969" priority="3563">
      <formula>Y104&lt;0</formula>
    </cfRule>
  </conditionalFormatting>
  <conditionalFormatting sqref="Z105:Z106">
    <cfRule type="expression" priority="3624">
      <formula>$F$19</formula>
    </cfRule>
    <cfRule type="expression" dxfId="1968" priority="3625">
      <formula>Y105&lt;0</formula>
    </cfRule>
    <cfRule type="colorScale" priority="3623">
      <colorScale>
        <cfvo type="min"/>
        <cfvo type="max"/>
        <color theme="0"/>
        <color theme="0"/>
      </colorScale>
    </cfRule>
  </conditionalFormatting>
  <conditionalFormatting sqref="Z110">
    <cfRule type="expression" dxfId="1967" priority="3627">
      <formula>Y110&lt;0</formula>
    </cfRule>
    <cfRule type="colorScale" priority="3626">
      <colorScale>
        <cfvo type="min"/>
        <cfvo type="max"/>
        <color theme="0"/>
        <color theme="0"/>
      </colorScale>
    </cfRule>
  </conditionalFormatting>
  <conditionalFormatting sqref="Z110:Z111">
    <cfRule type="expression" priority="3506">
      <formula>$F$19</formula>
    </cfRule>
  </conditionalFormatting>
  <conditionalFormatting sqref="Z111">
    <cfRule type="colorScale" priority="3505">
      <colorScale>
        <cfvo type="min"/>
        <cfvo type="max"/>
        <color theme="0"/>
        <color theme="0"/>
      </colorScale>
    </cfRule>
    <cfRule type="expression" dxfId="1966" priority="3507">
      <formula>Y111&lt;0</formula>
    </cfRule>
  </conditionalFormatting>
  <conditionalFormatting sqref="Z117:Z123">
    <cfRule type="expression" dxfId="1965" priority="3633">
      <formula>Y117&lt;0</formula>
    </cfRule>
    <cfRule type="colorScale" priority="3631">
      <colorScale>
        <cfvo type="min"/>
        <cfvo type="max"/>
        <color theme="0"/>
        <color theme="0"/>
      </colorScale>
    </cfRule>
    <cfRule type="expression" priority="3632">
      <formula>$F$19</formula>
    </cfRule>
  </conditionalFormatting>
  <conditionalFormatting sqref="Z125">
    <cfRule type="expression" dxfId="1964" priority="3560">
      <formula>Y125&lt;0</formula>
    </cfRule>
    <cfRule type="expression" priority="3559">
      <formula>#REF!</formula>
    </cfRule>
    <cfRule type="colorScale" priority="3558">
      <colorScale>
        <cfvo type="min"/>
        <cfvo type="max"/>
        <color theme="0"/>
        <color theme="0"/>
      </colorScale>
    </cfRule>
  </conditionalFormatting>
  <conditionalFormatting sqref="Z125:Z135">
    <cfRule type="expression" dxfId="1963" priority="3557">
      <formula>IF(Z125="Validar","Rojo","Verde")</formula>
    </cfRule>
  </conditionalFormatting>
  <conditionalFormatting sqref="Z126:Z132">
    <cfRule type="colorScale" priority="3634">
      <colorScale>
        <cfvo type="min"/>
        <cfvo type="max"/>
        <color theme="0"/>
        <color theme="0"/>
      </colorScale>
    </cfRule>
    <cfRule type="expression" dxfId="1962" priority="3636">
      <formula>Y126&lt;0</formula>
    </cfRule>
  </conditionalFormatting>
  <conditionalFormatting sqref="Z126:Z134">
    <cfRule type="expression" priority="3635">
      <formula>$F$19</formula>
    </cfRule>
  </conditionalFormatting>
  <conditionalFormatting sqref="Z133:Z134">
    <cfRule type="colorScale" priority="3637">
      <colorScale>
        <cfvo type="min"/>
        <cfvo type="max"/>
        <color theme="0"/>
        <color theme="0"/>
      </colorScale>
    </cfRule>
    <cfRule type="expression" dxfId="1961" priority="3638">
      <formula>Y133&lt;0</formula>
    </cfRule>
  </conditionalFormatting>
  <conditionalFormatting sqref="Z135">
    <cfRule type="colorScale" priority="3628">
      <colorScale>
        <cfvo type="min"/>
        <cfvo type="max"/>
        <color theme="0"/>
        <color theme="0"/>
      </colorScale>
    </cfRule>
    <cfRule type="expression" priority="3629">
      <formula>$F$23</formula>
    </cfRule>
    <cfRule type="expression" dxfId="1960" priority="3630">
      <formula>Y135&lt;0</formula>
    </cfRule>
  </conditionalFormatting>
  <conditionalFormatting sqref="Z110:AB111">
    <cfRule type="expression" dxfId="1959" priority="3501">
      <formula>IF(Z110="Validar","Rojo","Verde")</formula>
    </cfRule>
  </conditionalFormatting>
  <conditionalFormatting sqref="Z117:AB123">
    <cfRule type="expression" dxfId="1958" priority="3514">
      <formula>IF(Z117="Validar","Rojo","Verde")</formula>
    </cfRule>
  </conditionalFormatting>
  <conditionalFormatting sqref="AA40:AA66">
    <cfRule type="colorScale" priority="3549">
      <colorScale>
        <cfvo type="min"/>
        <cfvo type="max"/>
        <color theme="0"/>
        <color theme="0"/>
      </colorScale>
    </cfRule>
    <cfRule type="expression" dxfId="1957" priority="3551">
      <formula>Z40&lt;0</formula>
    </cfRule>
    <cfRule type="expression" priority="3550">
      <formula>#REF!</formula>
    </cfRule>
  </conditionalFormatting>
  <conditionalFormatting sqref="AA40:AA67">
    <cfRule type="expression" dxfId="1956" priority="3548">
      <formula>IF(AA40="Validar","Rojo","Verde")</formula>
    </cfRule>
  </conditionalFormatting>
  <conditionalFormatting sqref="AA67 Z82:AA82 Z92:AA92 Z103:AA103 Z107:AA107">
    <cfRule type="expression" priority="3553">
      <formula>$F$23</formula>
    </cfRule>
  </conditionalFormatting>
  <conditionalFormatting sqref="AA67 AA82 AA92 AA103 AA107">
    <cfRule type="expression" dxfId="1955" priority="3554">
      <formula>Z67&lt;0</formula>
    </cfRule>
    <cfRule type="colorScale" priority="3552">
      <colorScale>
        <cfvo type="min"/>
        <cfvo type="max"/>
        <color theme="0"/>
        <color theme="0"/>
      </colorScale>
    </cfRule>
  </conditionalFormatting>
  <conditionalFormatting sqref="AA69">
    <cfRule type="expression" dxfId="1954" priority="3547">
      <formula>Z69&lt;0</formula>
    </cfRule>
    <cfRule type="colorScale" priority="3546">
      <colorScale>
        <cfvo type="min"/>
        <cfvo type="max"/>
        <color theme="0"/>
        <color theme="0"/>
      </colorScale>
    </cfRule>
  </conditionalFormatting>
  <conditionalFormatting sqref="AA69:AA81">
    <cfRule type="expression" priority="3544">
      <formula>#REF!</formula>
    </cfRule>
  </conditionalFormatting>
  <conditionalFormatting sqref="AA69:AA82">
    <cfRule type="expression" dxfId="1953" priority="3542">
      <formula>IF(AA69="Validar","Rojo","Verde")</formula>
    </cfRule>
  </conditionalFormatting>
  <conditionalFormatting sqref="AA70:AA78">
    <cfRule type="colorScale" priority="3543">
      <colorScale>
        <cfvo type="min"/>
        <cfvo type="max"/>
        <color theme="0"/>
        <color theme="0"/>
      </colorScale>
    </cfRule>
    <cfRule type="expression" dxfId="1952" priority="3545">
      <formula>Z70&lt;0</formula>
    </cfRule>
  </conditionalFormatting>
  <conditionalFormatting sqref="AA79:AA81">
    <cfRule type="colorScale" priority="3555">
      <colorScale>
        <cfvo type="min"/>
        <cfvo type="max"/>
        <color theme="0"/>
        <color theme="0"/>
      </colorScale>
    </cfRule>
    <cfRule type="expression" dxfId="1951" priority="3556">
      <formula>Z79&lt;0</formula>
    </cfRule>
  </conditionalFormatting>
  <conditionalFormatting sqref="AA84">
    <cfRule type="colorScale" priority="3540">
      <colorScale>
        <cfvo type="min"/>
        <cfvo type="max"/>
        <color theme="0"/>
        <color theme="0"/>
      </colorScale>
    </cfRule>
    <cfRule type="expression" dxfId="1950" priority="3541">
      <formula>Z84&lt;0</formula>
    </cfRule>
  </conditionalFormatting>
  <conditionalFormatting sqref="AA84:AA91">
    <cfRule type="expression" priority="3538">
      <formula>#REF!</formula>
    </cfRule>
  </conditionalFormatting>
  <conditionalFormatting sqref="AA84:AA92">
    <cfRule type="expression" dxfId="1949" priority="3536">
      <formula>IF(AA84="Validar","Rojo","Verde")</formula>
    </cfRule>
  </conditionalFormatting>
  <conditionalFormatting sqref="AA85:AA91">
    <cfRule type="expression" dxfId="1948" priority="3539">
      <formula>Z85&lt;0</formula>
    </cfRule>
    <cfRule type="colorScale" priority="3537">
      <colorScale>
        <cfvo type="min"/>
        <cfvo type="max"/>
        <color theme="0"/>
        <color theme="0"/>
      </colorScale>
    </cfRule>
  </conditionalFormatting>
  <conditionalFormatting sqref="AA94">
    <cfRule type="expression" dxfId="1947" priority="3535">
      <formula>Z94&lt;0</formula>
    </cfRule>
    <cfRule type="colorScale" priority="3534">
      <colorScale>
        <cfvo type="min"/>
        <cfvo type="max"/>
        <color theme="0"/>
        <color theme="0"/>
      </colorScale>
    </cfRule>
  </conditionalFormatting>
  <conditionalFormatting sqref="AA94:AA102">
    <cfRule type="expression" priority="3528">
      <formula>#REF!</formula>
    </cfRule>
  </conditionalFormatting>
  <conditionalFormatting sqref="AA94:AA103">
    <cfRule type="expression" dxfId="1946" priority="3526">
      <formula>IF(AA94="Validar","Rojo","Verde")</formula>
    </cfRule>
  </conditionalFormatting>
  <conditionalFormatting sqref="AA95:AA100">
    <cfRule type="expression" dxfId="1945" priority="3533">
      <formula>Z95&lt;0</formula>
    </cfRule>
    <cfRule type="colorScale" priority="3532">
      <colorScale>
        <cfvo type="min"/>
        <cfvo type="max"/>
        <color theme="0"/>
        <color theme="0"/>
      </colorScale>
    </cfRule>
  </conditionalFormatting>
  <conditionalFormatting sqref="AA101">
    <cfRule type="expression" dxfId="1944" priority="3531">
      <formula>Z101&lt;0</formula>
    </cfRule>
    <cfRule type="colorScale" priority="3530">
      <colorScale>
        <cfvo type="min"/>
        <cfvo type="max"/>
        <color theme="0"/>
        <color theme="0"/>
      </colorScale>
    </cfRule>
  </conditionalFormatting>
  <conditionalFormatting sqref="AA102">
    <cfRule type="expression" dxfId="1943" priority="3529">
      <formula>Z102&lt;0</formula>
    </cfRule>
    <cfRule type="colorScale" priority="3527">
      <colorScale>
        <cfvo type="min"/>
        <cfvo type="max"/>
        <color theme="0"/>
        <color theme="0"/>
      </colorScale>
    </cfRule>
  </conditionalFormatting>
  <conditionalFormatting sqref="AA105">
    <cfRule type="colorScale" priority="3524">
      <colorScale>
        <cfvo type="min"/>
        <cfvo type="max"/>
        <color theme="0"/>
        <color theme="0"/>
      </colorScale>
    </cfRule>
    <cfRule type="expression" dxfId="1942" priority="3525">
      <formula>Z105&lt;0</formula>
    </cfRule>
  </conditionalFormatting>
  <conditionalFormatting sqref="AA105:AA106">
    <cfRule type="expression" priority="3522">
      <formula>#REF!</formula>
    </cfRule>
  </conditionalFormatting>
  <conditionalFormatting sqref="AA105:AA107">
    <cfRule type="expression" dxfId="1941" priority="3520">
      <formula>IF(AA105="Validar","Rojo","Verde")</formula>
    </cfRule>
  </conditionalFormatting>
  <conditionalFormatting sqref="AA106">
    <cfRule type="colorScale" priority="3521">
      <colorScale>
        <cfvo type="min"/>
        <cfvo type="max"/>
        <color theme="0"/>
        <color theme="0"/>
      </colorScale>
    </cfRule>
    <cfRule type="expression" dxfId="1940" priority="3523">
      <formula>Z106&lt;0</formula>
    </cfRule>
  </conditionalFormatting>
  <conditionalFormatting sqref="AA110">
    <cfRule type="expression" dxfId="1939" priority="3513">
      <formula>Z110&lt;0</formula>
    </cfRule>
    <cfRule type="colorScale" priority="3512">
      <colorScale>
        <cfvo type="min"/>
        <cfvo type="max"/>
        <color theme="0"/>
        <color theme="0"/>
      </colorScale>
    </cfRule>
  </conditionalFormatting>
  <conditionalFormatting sqref="AA111">
    <cfRule type="expression" dxfId="1938" priority="3504">
      <formula>Z111&lt;0</formula>
    </cfRule>
    <cfRule type="colorScale" priority="3502">
      <colorScale>
        <cfvo type="min"/>
        <cfvo type="max"/>
        <color theme="0"/>
        <color theme="0"/>
      </colorScale>
    </cfRule>
  </conditionalFormatting>
  <conditionalFormatting sqref="AA117">
    <cfRule type="colorScale" priority="3518">
      <colorScale>
        <cfvo type="min"/>
        <cfvo type="max"/>
        <color theme="0"/>
        <color theme="0"/>
      </colorScale>
    </cfRule>
    <cfRule type="expression" dxfId="1937" priority="3519">
      <formula>Z117&lt;0</formula>
    </cfRule>
  </conditionalFormatting>
  <conditionalFormatting sqref="AA118:AA123">
    <cfRule type="expression" dxfId="1936" priority="3517">
      <formula>Z118&lt;0</formula>
    </cfRule>
    <cfRule type="colorScale" priority="3515">
      <colorScale>
        <cfvo type="min"/>
        <cfvo type="max"/>
        <color theme="0"/>
        <color theme="0"/>
      </colorScale>
    </cfRule>
  </conditionalFormatting>
  <conditionalFormatting sqref="AA126:AA135">
    <cfRule type="colorScale" priority="3640">
      <colorScale>
        <cfvo type="min"/>
        <cfvo type="max"/>
        <color theme="0"/>
        <color theme="0"/>
      </colorScale>
    </cfRule>
    <cfRule type="expression" dxfId="1935" priority="3639">
      <formula>IF(AA126="Validar","Rojo","Verde")</formula>
    </cfRule>
    <cfRule type="expression" priority="3641">
      <formula>$F$23</formula>
    </cfRule>
    <cfRule type="expression" dxfId="1934" priority="3642">
      <formula>Z126&lt;0</formula>
    </cfRule>
  </conditionalFormatting>
  <conditionalFormatting sqref="AA110:AB111">
    <cfRule type="expression" priority="3503">
      <formula>#REF!</formula>
    </cfRule>
  </conditionalFormatting>
  <conditionalFormatting sqref="AA117:AB123">
    <cfRule type="expression" priority="3516">
      <formula>#REF!</formula>
    </cfRule>
  </conditionalFormatting>
  <conditionalFormatting sqref="AB5">
    <cfRule type="colorScale" priority="185">
      <colorScale>
        <cfvo type="min"/>
        <cfvo type="max"/>
        <color theme="0"/>
        <color theme="0"/>
      </colorScale>
    </cfRule>
    <cfRule type="expression" dxfId="1933" priority="186">
      <formula>AA5&lt;0</formula>
    </cfRule>
  </conditionalFormatting>
  <conditionalFormatting sqref="AB5:AB16">
    <cfRule type="expression" dxfId="1932" priority="183">
      <formula>IF(AB5="Validar","Rojo","Verde")</formula>
    </cfRule>
    <cfRule type="expression" priority="184">
      <formula>#REF!</formula>
    </cfRule>
  </conditionalFormatting>
  <conditionalFormatting sqref="AB6:AB9">
    <cfRule type="colorScale" priority="8799">
      <colorScale>
        <cfvo type="min"/>
        <cfvo type="max"/>
        <color theme="0"/>
        <color theme="0"/>
      </colorScale>
    </cfRule>
    <cfRule type="expression" dxfId="1931" priority="8800">
      <formula>AA6&lt;0</formula>
    </cfRule>
  </conditionalFormatting>
  <conditionalFormatting sqref="AB10">
    <cfRule type="expression" dxfId="1930" priority="8768">
      <formula>AA10&lt;0</formula>
    </cfRule>
    <cfRule type="colorScale" priority="8767">
      <colorScale>
        <cfvo type="min"/>
        <cfvo type="max"/>
        <color theme="0"/>
        <color theme="0"/>
      </colorScale>
    </cfRule>
  </conditionalFormatting>
  <conditionalFormatting sqref="AB11:AB13">
    <cfRule type="colorScale" priority="8797">
      <colorScale>
        <cfvo type="min"/>
        <cfvo type="max"/>
        <color theme="0"/>
        <color theme="0"/>
      </colorScale>
    </cfRule>
    <cfRule type="expression" dxfId="1929" priority="8798">
      <formula>AA11&lt;0</formula>
    </cfRule>
  </conditionalFormatting>
  <conditionalFormatting sqref="AB14">
    <cfRule type="expression" dxfId="1928" priority="350">
      <formula>AA14&lt;0</formula>
    </cfRule>
    <cfRule type="colorScale" priority="349">
      <colorScale>
        <cfvo type="min"/>
        <cfvo type="max"/>
        <color theme="0"/>
        <color theme="0"/>
      </colorScale>
    </cfRule>
  </conditionalFormatting>
  <conditionalFormatting sqref="AB15">
    <cfRule type="expression" dxfId="1927" priority="8766">
      <formula>AA15&lt;0</formula>
    </cfRule>
    <cfRule type="colorScale" priority="8764">
      <colorScale>
        <cfvo type="min"/>
        <cfvo type="max"/>
        <color theme="0"/>
        <color theme="0"/>
      </colorScale>
    </cfRule>
  </conditionalFormatting>
  <conditionalFormatting sqref="AB16">
    <cfRule type="colorScale" priority="8795">
      <colorScale>
        <cfvo type="min"/>
        <cfvo type="max"/>
        <color theme="0"/>
        <color theme="0"/>
      </colorScale>
    </cfRule>
    <cfRule type="expression" dxfId="1926" priority="8796">
      <formula>AA16&lt;0</formula>
    </cfRule>
  </conditionalFormatting>
  <conditionalFormatting sqref="AB18">
    <cfRule type="expression" dxfId="1925" priority="8762">
      <formula>AA18&lt;0</formula>
    </cfRule>
    <cfRule type="colorScale" priority="8760">
      <colorScale>
        <cfvo type="min"/>
        <cfvo type="max"/>
        <color theme="0"/>
        <color theme="0"/>
      </colorScale>
    </cfRule>
  </conditionalFormatting>
  <conditionalFormatting sqref="AB18:AB19">
    <cfRule type="expression" priority="8761">
      <formula>#REF!</formula>
    </cfRule>
    <cfRule type="expression" dxfId="1924" priority="8759">
      <formula>IF(AB18="Validar","Rojo","Verde")</formula>
    </cfRule>
  </conditionalFormatting>
  <conditionalFormatting sqref="AB19">
    <cfRule type="colorScale" priority="8793">
      <colorScale>
        <cfvo type="min"/>
        <cfvo type="max"/>
        <color theme="0"/>
        <color theme="0"/>
      </colorScale>
    </cfRule>
    <cfRule type="expression" dxfId="1923" priority="8794">
      <formula>AA19&lt;0</formula>
    </cfRule>
  </conditionalFormatting>
  <conditionalFormatting sqref="AB23">
    <cfRule type="expression" dxfId="1922" priority="8758">
      <formula>AA23&lt;0</formula>
    </cfRule>
    <cfRule type="colorScale" priority="8756">
      <colorScale>
        <cfvo type="min"/>
        <cfvo type="max"/>
        <color theme="0"/>
        <color theme="0"/>
      </colorScale>
    </cfRule>
  </conditionalFormatting>
  <conditionalFormatting sqref="AB23:AB24">
    <cfRule type="expression" priority="8757">
      <formula>#REF!</formula>
    </cfRule>
    <cfRule type="expression" dxfId="1921" priority="8755">
      <formula>IF(AB23="Validar","Rojo","Verde")</formula>
    </cfRule>
  </conditionalFormatting>
  <conditionalFormatting sqref="AB24">
    <cfRule type="colorScale" priority="8789">
      <colorScale>
        <cfvo type="min"/>
        <cfvo type="max"/>
        <color theme="0"/>
        <color theme="0"/>
      </colorScale>
    </cfRule>
    <cfRule type="expression" dxfId="1920" priority="8790">
      <formula>AA24&lt;0</formula>
    </cfRule>
  </conditionalFormatting>
  <conditionalFormatting sqref="AB26">
    <cfRule type="colorScale" priority="8752">
      <colorScale>
        <cfvo type="min"/>
        <cfvo type="max"/>
        <color theme="0"/>
        <color theme="0"/>
      </colorScale>
    </cfRule>
    <cfRule type="expression" dxfId="1919" priority="8754">
      <formula>AA26&lt;0</formula>
    </cfRule>
  </conditionalFormatting>
  <conditionalFormatting sqref="AB26:AB27">
    <cfRule type="expression" dxfId="1918" priority="8751">
      <formula>IF(AB26="Validar","Rojo","Verde")</formula>
    </cfRule>
    <cfRule type="expression" priority="8753">
      <formula>#REF!</formula>
    </cfRule>
  </conditionalFormatting>
  <conditionalFormatting sqref="AB27">
    <cfRule type="expression" dxfId="1917" priority="8788">
      <formula>AA27&lt;0</formula>
    </cfRule>
    <cfRule type="colorScale" priority="8787">
      <colorScale>
        <cfvo type="min"/>
        <cfvo type="max"/>
        <color theme="0"/>
        <color theme="0"/>
      </colorScale>
    </cfRule>
  </conditionalFormatting>
  <conditionalFormatting sqref="AB29">
    <cfRule type="colorScale" priority="8748">
      <colorScale>
        <cfvo type="min"/>
        <cfvo type="max"/>
        <color theme="0"/>
        <color theme="0"/>
      </colorScale>
    </cfRule>
    <cfRule type="expression" dxfId="1916" priority="8750">
      <formula>AA29&lt;0</formula>
    </cfRule>
  </conditionalFormatting>
  <conditionalFormatting sqref="AB29:AB30">
    <cfRule type="expression" priority="8749">
      <formula>#REF!</formula>
    </cfRule>
    <cfRule type="expression" dxfId="1915" priority="8747">
      <formula>IF(AB29="Validar","Rojo","Verde")</formula>
    </cfRule>
  </conditionalFormatting>
  <conditionalFormatting sqref="AB30">
    <cfRule type="expression" dxfId="1914" priority="8786">
      <formula>AA30&lt;0</formula>
    </cfRule>
    <cfRule type="colorScale" priority="8785">
      <colorScale>
        <cfvo type="min"/>
        <cfvo type="max"/>
        <color theme="0"/>
        <color theme="0"/>
      </colorScale>
    </cfRule>
  </conditionalFormatting>
  <conditionalFormatting sqref="AB39">
    <cfRule type="colorScale" priority="8744">
      <colorScale>
        <cfvo type="min"/>
        <cfvo type="max"/>
        <color theme="0"/>
        <color theme="0"/>
      </colorScale>
    </cfRule>
    <cfRule type="expression" dxfId="1913" priority="8746">
      <formula>AA39&lt;0</formula>
    </cfRule>
  </conditionalFormatting>
  <conditionalFormatting sqref="AB39:AB66">
    <cfRule type="expression" priority="8745">
      <formula>#REF!</formula>
    </cfRule>
    <cfRule type="expression" dxfId="1912" priority="8743">
      <formula>IF(AB39="Validar","Rojo","Verde")</formula>
    </cfRule>
  </conditionalFormatting>
  <conditionalFormatting sqref="AB40:AB66">
    <cfRule type="colorScale" priority="8783">
      <colorScale>
        <cfvo type="min"/>
        <cfvo type="max"/>
        <color theme="0"/>
        <color theme="0"/>
      </colorScale>
    </cfRule>
    <cfRule type="expression" dxfId="1911" priority="8784">
      <formula>AA40&lt;0</formula>
    </cfRule>
  </conditionalFormatting>
  <conditionalFormatting sqref="AB68">
    <cfRule type="colorScale" priority="8740">
      <colorScale>
        <cfvo type="min"/>
        <cfvo type="max"/>
        <color theme="0"/>
        <color theme="0"/>
      </colorScale>
    </cfRule>
    <cfRule type="expression" dxfId="1910" priority="8742">
      <formula>AA68&lt;0</formula>
    </cfRule>
  </conditionalFormatting>
  <conditionalFormatting sqref="AB68:AB81">
    <cfRule type="expression" priority="8741">
      <formula>#REF!</formula>
    </cfRule>
    <cfRule type="expression" dxfId="1909" priority="8739">
      <formula>IF(AB68="Validar","Rojo","Verde")</formula>
    </cfRule>
  </conditionalFormatting>
  <conditionalFormatting sqref="AB69:AB81">
    <cfRule type="colorScale" priority="8801">
      <colorScale>
        <cfvo type="min"/>
        <cfvo type="max"/>
        <color theme="0"/>
        <color theme="0"/>
      </colorScale>
    </cfRule>
    <cfRule type="expression" dxfId="1908" priority="8802">
      <formula>AA69&lt;0</formula>
    </cfRule>
  </conditionalFormatting>
  <conditionalFormatting sqref="AB83">
    <cfRule type="colorScale" priority="8723">
      <colorScale>
        <cfvo type="min"/>
        <cfvo type="max"/>
        <color theme="0"/>
        <color theme="0"/>
      </colorScale>
    </cfRule>
    <cfRule type="expression" dxfId="1907" priority="8725">
      <formula>AA83&lt;0</formula>
    </cfRule>
  </conditionalFormatting>
  <conditionalFormatting sqref="AB83:AB91">
    <cfRule type="expression" priority="8724">
      <formula>#REF!</formula>
    </cfRule>
    <cfRule type="expression" dxfId="1906" priority="8722">
      <formula>IF(AB83="Validar","Rojo","Verde")</formula>
    </cfRule>
  </conditionalFormatting>
  <conditionalFormatting sqref="AB84:AB91">
    <cfRule type="expression" dxfId="1905" priority="8782">
      <formula>AA84&lt;0</formula>
    </cfRule>
    <cfRule type="colorScale" priority="8781">
      <colorScale>
        <cfvo type="min"/>
        <cfvo type="max"/>
        <color theme="0"/>
        <color theme="0"/>
      </colorScale>
    </cfRule>
  </conditionalFormatting>
  <conditionalFormatting sqref="AB93">
    <cfRule type="colorScale" priority="8736">
      <colorScale>
        <cfvo type="min"/>
        <cfvo type="max"/>
        <color theme="0"/>
        <color theme="0"/>
      </colorScale>
    </cfRule>
    <cfRule type="expression" dxfId="1904" priority="8738">
      <formula>AA93&lt;0</formula>
    </cfRule>
  </conditionalFormatting>
  <conditionalFormatting sqref="AB93:AB102">
    <cfRule type="expression" priority="8737">
      <formula>#REF!</formula>
    </cfRule>
    <cfRule type="expression" dxfId="1903" priority="8735">
      <formula>IF(AB93="Validar","Rojo","Verde")</formula>
    </cfRule>
  </conditionalFormatting>
  <conditionalFormatting sqref="AB94:AB102">
    <cfRule type="colorScale" priority="8779">
      <colorScale>
        <cfvo type="min"/>
        <cfvo type="max"/>
        <color theme="0"/>
        <color theme="0"/>
      </colorScale>
    </cfRule>
    <cfRule type="expression" dxfId="1902" priority="8780">
      <formula>AA94&lt;0</formula>
    </cfRule>
  </conditionalFormatting>
  <conditionalFormatting sqref="AB104">
    <cfRule type="colorScale" priority="8732">
      <colorScale>
        <cfvo type="min"/>
        <cfvo type="max"/>
        <color theme="0"/>
        <color theme="0"/>
      </colorScale>
    </cfRule>
    <cfRule type="expression" dxfId="1901" priority="8734">
      <formula>AA104&lt;0</formula>
    </cfRule>
  </conditionalFormatting>
  <conditionalFormatting sqref="AB104:AB106">
    <cfRule type="expression" dxfId="1900" priority="8731">
      <formula>IF(AB104="Validar","Rojo","Verde")</formula>
    </cfRule>
    <cfRule type="expression" priority="8733">
      <formula>#REF!</formula>
    </cfRule>
  </conditionalFormatting>
  <conditionalFormatting sqref="AB105:AB106">
    <cfRule type="expression" dxfId="1899" priority="8778">
      <formula>AA105&lt;0</formula>
    </cfRule>
    <cfRule type="colorScale" priority="8777">
      <colorScale>
        <cfvo type="min"/>
        <cfvo type="max"/>
        <color theme="0"/>
        <color theme="0"/>
      </colorScale>
    </cfRule>
  </conditionalFormatting>
  <conditionalFormatting sqref="AB110">
    <cfRule type="colorScale" priority="8775">
      <colorScale>
        <cfvo type="min"/>
        <cfvo type="max"/>
        <color theme="0"/>
        <color theme="0"/>
      </colorScale>
    </cfRule>
    <cfRule type="expression" dxfId="1898" priority="8776">
      <formula>AA110&lt;0</formula>
    </cfRule>
  </conditionalFormatting>
  <conditionalFormatting sqref="AB111">
    <cfRule type="expression" dxfId="1897" priority="8718">
      <formula>AA111&lt;0</formula>
    </cfRule>
    <cfRule type="colorScale" priority="8716">
      <colorScale>
        <cfvo type="min"/>
        <cfvo type="max"/>
        <color theme="0"/>
        <color theme="0"/>
      </colorScale>
    </cfRule>
  </conditionalFormatting>
  <conditionalFormatting sqref="AB117:AB123">
    <cfRule type="colorScale" priority="8772">
      <colorScale>
        <cfvo type="min"/>
        <cfvo type="max"/>
        <color theme="0"/>
        <color theme="0"/>
      </colorScale>
    </cfRule>
    <cfRule type="expression" dxfId="1896" priority="8774">
      <formula>AA117&lt;0</formula>
    </cfRule>
  </conditionalFormatting>
  <conditionalFormatting sqref="AB125">
    <cfRule type="colorScale" priority="8728">
      <colorScale>
        <cfvo type="min"/>
        <cfvo type="max"/>
        <color theme="0"/>
        <color theme="0"/>
      </colorScale>
    </cfRule>
    <cfRule type="expression" dxfId="1895" priority="8730">
      <formula>AA125&lt;0</formula>
    </cfRule>
  </conditionalFormatting>
  <conditionalFormatting sqref="AB125:AB134">
    <cfRule type="expression" dxfId="1894" priority="8727">
      <formula>IF(AB125="Validar","Rojo","Verde")</formula>
    </cfRule>
    <cfRule type="expression" priority="8729">
      <formula>#REF!</formula>
    </cfRule>
  </conditionalFormatting>
  <conditionalFormatting sqref="AB126:AB134">
    <cfRule type="colorScale" priority="8769">
      <colorScale>
        <cfvo type="min"/>
        <cfvo type="max"/>
        <color theme="0"/>
        <color theme="0"/>
      </colorScale>
    </cfRule>
    <cfRule type="expression" dxfId="1893" priority="8770">
      <formula>AA126&lt;0</formula>
    </cfRule>
  </conditionalFormatting>
  <conditionalFormatting sqref="AD5">
    <cfRule type="colorScale" priority="87">
      <colorScale>
        <cfvo type="min"/>
        <cfvo type="max"/>
        <color theme="0"/>
        <color theme="0"/>
      </colorScale>
    </cfRule>
    <cfRule type="expression" dxfId="1892" priority="88">
      <formula>AC5&lt;0</formula>
    </cfRule>
  </conditionalFormatting>
  <conditionalFormatting sqref="AD5:AD20">
    <cfRule type="expression" dxfId="1891" priority="85">
      <formula>IF(AD5="Validar","Rojo","Verde")</formula>
    </cfRule>
    <cfRule type="expression" priority="86">
      <formula>#REF!</formula>
    </cfRule>
  </conditionalFormatting>
  <conditionalFormatting sqref="AD6">
    <cfRule type="colorScale" priority="3349">
      <colorScale>
        <cfvo type="min"/>
        <cfvo type="max"/>
        <color theme="0"/>
        <color theme="0"/>
      </colorScale>
    </cfRule>
    <cfRule type="expression" dxfId="1890" priority="3350">
      <formula>AC6&lt;0</formula>
    </cfRule>
  </conditionalFormatting>
  <conditionalFormatting sqref="AD7:AD8">
    <cfRule type="expression" dxfId="1889" priority="3346">
      <formula>AC7&lt;0</formula>
    </cfRule>
    <cfRule type="colorScale" priority="3345">
      <colorScale>
        <cfvo type="min"/>
        <cfvo type="max"/>
        <color theme="0"/>
        <color theme="0"/>
      </colorScale>
    </cfRule>
  </conditionalFormatting>
  <conditionalFormatting sqref="AD9">
    <cfRule type="expression" dxfId="1888" priority="3461">
      <formula>AC9&lt;0</formula>
    </cfRule>
    <cfRule type="colorScale" priority="3460">
      <colorScale>
        <cfvo type="min"/>
        <cfvo type="max"/>
        <color theme="0"/>
        <color theme="0"/>
      </colorScale>
    </cfRule>
  </conditionalFormatting>
  <conditionalFormatting sqref="AD10">
    <cfRule type="expression" dxfId="1887" priority="3438">
      <formula>AC10&lt;0</formula>
    </cfRule>
    <cfRule type="colorScale" priority="3437">
      <colorScale>
        <cfvo type="min"/>
        <cfvo type="max"/>
        <color theme="0"/>
        <color theme="0"/>
      </colorScale>
    </cfRule>
  </conditionalFormatting>
  <conditionalFormatting sqref="AD11:AD13">
    <cfRule type="expression" dxfId="1886" priority="3459">
      <formula>AC11&lt;0</formula>
    </cfRule>
    <cfRule type="colorScale" priority="3458">
      <colorScale>
        <cfvo type="min"/>
        <cfvo type="max"/>
        <color theme="0"/>
        <color theme="0"/>
      </colorScale>
    </cfRule>
  </conditionalFormatting>
  <conditionalFormatting sqref="AD14">
    <cfRule type="expression" dxfId="1885" priority="356">
      <formula>AC14&lt;0</formula>
    </cfRule>
    <cfRule type="colorScale" priority="355">
      <colorScale>
        <cfvo type="min"/>
        <cfvo type="max"/>
        <color theme="0"/>
        <color theme="0"/>
      </colorScale>
    </cfRule>
  </conditionalFormatting>
  <conditionalFormatting sqref="AD15">
    <cfRule type="colorScale" priority="3435">
      <colorScale>
        <cfvo type="min"/>
        <cfvo type="max"/>
        <color theme="0"/>
        <color theme="0"/>
      </colorScale>
    </cfRule>
    <cfRule type="expression" dxfId="1884" priority="3436">
      <formula>AC15&lt;0</formula>
    </cfRule>
  </conditionalFormatting>
  <conditionalFormatting sqref="AD16:AD17">
    <cfRule type="expression" dxfId="1883" priority="3457">
      <formula>AC16&lt;0</formula>
    </cfRule>
    <cfRule type="colorScale" priority="3456">
      <colorScale>
        <cfvo type="min"/>
        <cfvo type="max"/>
        <color theme="0"/>
        <color theme="0"/>
      </colorScale>
    </cfRule>
  </conditionalFormatting>
  <conditionalFormatting sqref="AD18">
    <cfRule type="expression" dxfId="1882" priority="3434">
      <formula>AC18&lt;0</formula>
    </cfRule>
    <cfRule type="colorScale" priority="3432">
      <colorScale>
        <cfvo type="min"/>
        <cfvo type="max"/>
        <color theme="0"/>
        <color theme="0"/>
      </colorScale>
    </cfRule>
  </conditionalFormatting>
  <conditionalFormatting sqref="AD19:AD20">
    <cfRule type="expression" dxfId="1881" priority="3455">
      <formula>AC19&lt;0</formula>
    </cfRule>
    <cfRule type="colorScale" priority="3454">
      <colorScale>
        <cfvo type="min"/>
        <cfvo type="max"/>
        <color theme="0"/>
        <color theme="0"/>
      </colorScale>
    </cfRule>
  </conditionalFormatting>
  <conditionalFormatting sqref="AD23">
    <cfRule type="expression" dxfId="1880" priority="3430">
      <formula>AC23&lt;0</formula>
    </cfRule>
    <cfRule type="colorScale" priority="3429">
      <colorScale>
        <cfvo type="min"/>
        <cfvo type="max"/>
        <color theme="0"/>
        <color theme="0"/>
      </colorScale>
    </cfRule>
  </conditionalFormatting>
  <conditionalFormatting sqref="AD23:AD31">
    <cfRule type="expression" dxfId="1879" priority="3423">
      <formula>IF(AD23="Validar","Rojo","Verde")</formula>
    </cfRule>
    <cfRule type="expression" priority="3425">
      <formula>#REF!</formula>
    </cfRule>
  </conditionalFormatting>
  <conditionalFormatting sqref="AD24">
    <cfRule type="colorScale" priority="3452">
      <colorScale>
        <cfvo type="min"/>
        <cfvo type="max"/>
        <color theme="0"/>
        <color theme="0"/>
      </colorScale>
    </cfRule>
    <cfRule type="expression" dxfId="1878" priority="3453">
      <formula>AC24&lt;0</formula>
    </cfRule>
  </conditionalFormatting>
  <conditionalFormatting sqref="AD25">
    <cfRule type="expression" dxfId="1877" priority="3451">
      <formula>AC25&lt;0</formula>
    </cfRule>
    <cfRule type="colorScale" priority="3450">
      <colorScale>
        <cfvo type="min"/>
        <cfvo type="max"/>
        <color theme="0"/>
        <color theme="0"/>
      </colorScale>
    </cfRule>
  </conditionalFormatting>
  <conditionalFormatting sqref="AD26">
    <cfRule type="colorScale" priority="3427">
      <colorScale>
        <cfvo type="min"/>
        <cfvo type="max"/>
        <color theme="0"/>
        <color theme="0"/>
      </colorScale>
    </cfRule>
    <cfRule type="expression" dxfId="1876" priority="3428">
      <formula>AC26&lt;0</formula>
    </cfRule>
  </conditionalFormatting>
  <conditionalFormatting sqref="AD27">
    <cfRule type="colorScale" priority="3448">
      <colorScale>
        <cfvo type="min"/>
        <cfvo type="max"/>
        <color theme="0"/>
        <color theme="0"/>
      </colorScale>
    </cfRule>
    <cfRule type="expression" dxfId="1875" priority="3449">
      <formula>AC27&lt;0</formula>
    </cfRule>
  </conditionalFormatting>
  <conditionalFormatting sqref="AD28">
    <cfRule type="expression" dxfId="1874" priority="3447">
      <formula>AC28&lt;0</formula>
    </cfRule>
    <cfRule type="colorScale" priority="3446">
      <colorScale>
        <cfvo type="min"/>
        <cfvo type="max"/>
        <color theme="0"/>
        <color theme="0"/>
      </colorScale>
    </cfRule>
  </conditionalFormatting>
  <conditionalFormatting sqref="AD29">
    <cfRule type="expression" dxfId="1873" priority="3426">
      <formula>AC29&lt;0</formula>
    </cfRule>
    <cfRule type="colorScale" priority="3424">
      <colorScale>
        <cfvo type="min"/>
        <cfvo type="max"/>
        <color theme="0"/>
        <color theme="0"/>
      </colorScale>
    </cfRule>
  </conditionalFormatting>
  <conditionalFormatting sqref="AD30">
    <cfRule type="colorScale" priority="3444">
      <colorScale>
        <cfvo type="min"/>
        <cfvo type="max"/>
        <color theme="0"/>
        <color theme="0"/>
      </colorScale>
    </cfRule>
    <cfRule type="expression" dxfId="1872" priority="3445">
      <formula>AC30&lt;0</formula>
    </cfRule>
  </conditionalFormatting>
  <conditionalFormatting sqref="AD31">
    <cfRule type="expression" dxfId="1871" priority="3443">
      <formula>AC31&lt;0</formula>
    </cfRule>
    <cfRule type="colorScale" priority="3442">
      <colorScale>
        <cfvo type="min"/>
        <cfvo type="max"/>
        <color theme="0"/>
        <color theme="0"/>
      </colorScale>
    </cfRule>
  </conditionalFormatting>
  <conditionalFormatting sqref="AD39">
    <cfRule type="expression" dxfId="1870" priority="3422">
      <formula>AC39&lt;0</formula>
    </cfRule>
    <cfRule type="expression" priority="3421">
      <formula>#REF!</formula>
    </cfRule>
    <cfRule type="colorScale" priority="3420">
      <colorScale>
        <cfvo type="min"/>
        <cfvo type="max"/>
        <color theme="0"/>
        <color theme="0"/>
      </colorScale>
    </cfRule>
  </conditionalFormatting>
  <conditionalFormatting sqref="AD39:AD107">
    <cfRule type="expression" dxfId="1869" priority="3358">
      <formula>IF(AD39="Validar","Rojo","Verde")</formula>
    </cfRule>
  </conditionalFormatting>
  <conditionalFormatting sqref="AD40:AD67">
    <cfRule type="expression" dxfId="1868" priority="3441">
      <formula>AC40&lt;0</formula>
    </cfRule>
    <cfRule type="colorScale" priority="3439">
      <colorScale>
        <cfvo type="min"/>
        <cfvo type="max"/>
        <color theme="0"/>
        <color theme="0"/>
      </colorScale>
    </cfRule>
    <cfRule type="expression" priority="3440">
      <formula>$F$19</formula>
    </cfRule>
  </conditionalFormatting>
  <conditionalFormatting sqref="AD68">
    <cfRule type="colorScale" priority="3417">
      <colorScale>
        <cfvo type="min"/>
        <cfvo type="max"/>
        <color theme="0"/>
        <color theme="0"/>
      </colorScale>
    </cfRule>
    <cfRule type="expression" priority="3418">
      <formula>#REF!</formula>
    </cfRule>
    <cfRule type="expression" dxfId="1867" priority="3419">
      <formula>AC68&lt;0</formula>
    </cfRule>
  </conditionalFormatting>
  <conditionalFormatting sqref="AD69:AD81">
    <cfRule type="expression" dxfId="1866" priority="3466">
      <formula>AC69&lt;0</formula>
    </cfRule>
    <cfRule type="colorScale" priority="3464">
      <colorScale>
        <cfvo type="min"/>
        <cfvo type="max"/>
        <color theme="0"/>
        <color theme="0"/>
      </colorScale>
    </cfRule>
    <cfRule type="expression" priority="3465">
      <formula>$F$19</formula>
    </cfRule>
  </conditionalFormatting>
  <conditionalFormatting sqref="AD82 AD92 AD103 AD107">
    <cfRule type="colorScale" priority="3462">
      <colorScale>
        <cfvo type="min"/>
        <cfvo type="max"/>
        <color theme="0"/>
        <color theme="0"/>
      </colorScale>
    </cfRule>
    <cfRule type="expression" dxfId="1865" priority="3463">
      <formula>AC82&lt;0</formula>
    </cfRule>
  </conditionalFormatting>
  <conditionalFormatting sqref="AD83">
    <cfRule type="colorScale" priority="3359">
      <colorScale>
        <cfvo type="min"/>
        <cfvo type="max"/>
        <color theme="0"/>
        <color theme="0"/>
      </colorScale>
    </cfRule>
    <cfRule type="expression" priority="3360">
      <formula>#REF!</formula>
    </cfRule>
    <cfRule type="expression" dxfId="1864" priority="3361">
      <formula>AC83&lt;0</formula>
    </cfRule>
  </conditionalFormatting>
  <conditionalFormatting sqref="AD84:AD91">
    <cfRule type="colorScale" priority="3467">
      <colorScale>
        <cfvo type="min"/>
        <cfvo type="max"/>
        <color theme="0"/>
        <color theme="0"/>
      </colorScale>
    </cfRule>
    <cfRule type="expression" priority="3468">
      <formula>$F$19</formula>
    </cfRule>
    <cfRule type="expression" dxfId="1863" priority="3469">
      <formula>AC84&lt;0</formula>
    </cfRule>
  </conditionalFormatting>
  <conditionalFormatting sqref="AD93">
    <cfRule type="expression" priority="3415">
      <formula>#REF!</formula>
    </cfRule>
    <cfRule type="expression" dxfId="1862" priority="3416">
      <formula>AC93&lt;0</formula>
    </cfRule>
    <cfRule type="colorScale" priority="3414">
      <colorScale>
        <cfvo type="min"/>
        <cfvo type="max"/>
        <color theme="0"/>
        <color theme="0"/>
      </colorScale>
    </cfRule>
  </conditionalFormatting>
  <conditionalFormatting sqref="AD94:AD102">
    <cfRule type="colorScale" priority="3470">
      <colorScale>
        <cfvo type="min"/>
        <cfvo type="max"/>
        <color theme="0"/>
        <color theme="0"/>
      </colorScale>
    </cfRule>
    <cfRule type="expression" dxfId="1861" priority="3472">
      <formula>AC94&lt;0</formula>
    </cfRule>
    <cfRule type="expression" priority="3471">
      <formula>$F$19</formula>
    </cfRule>
  </conditionalFormatting>
  <conditionalFormatting sqref="AD104">
    <cfRule type="expression" priority="3412">
      <formula>#REF!</formula>
    </cfRule>
    <cfRule type="colorScale" priority="3411">
      <colorScale>
        <cfvo type="min"/>
        <cfvo type="max"/>
        <color theme="0"/>
        <color theme="0"/>
      </colorScale>
    </cfRule>
    <cfRule type="expression" dxfId="1860" priority="3413">
      <formula>AC104&lt;0</formula>
    </cfRule>
  </conditionalFormatting>
  <conditionalFormatting sqref="AD105:AD106">
    <cfRule type="expression" dxfId="1859" priority="3475">
      <formula>AC105&lt;0</formula>
    </cfRule>
    <cfRule type="colorScale" priority="3473">
      <colorScale>
        <cfvo type="min"/>
        <cfvo type="max"/>
        <color theme="0"/>
        <color theme="0"/>
      </colorScale>
    </cfRule>
    <cfRule type="expression" priority="3474">
      <formula>$F$19</formula>
    </cfRule>
  </conditionalFormatting>
  <conditionalFormatting sqref="AD110">
    <cfRule type="colorScale" priority="3476">
      <colorScale>
        <cfvo type="min"/>
        <cfvo type="max"/>
        <color theme="0"/>
        <color theme="0"/>
      </colorScale>
    </cfRule>
    <cfRule type="expression" dxfId="1858" priority="3477">
      <formula>AC110&lt;0</formula>
    </cfRule>
  </conditionalFormatting>
  <conditionalFormatting sqref="AD110:AD111">
    <cfRule type="expression" priority="3356">
      <formula>$F$19</formula>
    </cfRule>
  </conditionalFormatting>
  <conditionalFormatting sqref="AD111">
    <cfRule type="expression" dxfId="1857" priority="3357">
      <formula>AC111&lt;0</formula>
    </cfRule>
    <cfRule type="colorScale" priority="3355">
      <colorScale>
        <cfvo type="min"/>
        <cfvo type="max"/>
        <color theme="0"/>
        <color theme="0"/>
      </colorScale>
    </cfRule>
  </conditionalFormatting>
  <conditionalFormatting sqref="AD117:AD123">
    <cfRule type="expression" dxfId="1856" priority="3483">
      <formula>AC117&lt;0</formula>
    </cfRule>
    <cfRule type="expression" priority="3482">
      <formula>$F$19</formula>
    </cfRule>
    <cfRule type="colorScale" priority="3481">
      <colorScale>
        <cfvo type="min"/>
        <cfvo type="max"/>
        <color theme="0"/>
        <color theme="0"/>
      </colorScale>
    </cfRule>
  </conditionalFormatting>
  <conditionalFormatting sqref="AD125">
    <cfRule type="expression" dxfId="1855" priority="3410">
      <formula>AC125&lt;0</formula>
    </cfRule>
    <cfRule type="expression" priority="3409">
      <formula>#REF!</formula>
    </cfRule>
    <cfRule type="colorScale" priority="3408">
      <colorScale>
        <cfvo type="min"/>
        <cfvo type="max"/>
        <color theme="0"/>
        <color theme="0"/>
      </colorScale>
    </cfRule>
  </conditionalFormatting>
  <conditionalFormatting sqref="AD125:AD135">
    <cfRule type="expression" dxfId="1854" priority="3407">
      <formula>IF(AD125="Validar","Rojo","Verde")</formula>
    </cfRule>
  </conditionalFormatting>
  <conditionalFormatting sqref="AD126:AD132">
    <cfRule type="expression" dxfId="1853" priority="3486">
      <formula>AC126&lt;0</formula>
    </cfRule>
    <cfRule type="colorScale" priority="3484">
      <colorScale>
        <cfvo type="min"/>
        <cfvo type="max"/>
        <color theme="0"/>
        <color theme="0"/>
      </colorScale>
    </cfRule>
  </conditionalFormatting>
  <conditionalFormatting sqref="AD126:AD134">
    <cfRule type="expression" priority="3485">
      <formula>$F$19</formula>
    </cfRule>
  </conditionalFormatting>
  <conditionalFormatting sqref="AD133:AD134">
    <cfRule type="expression" dxfId="1852" priority="3488">
      <formula>AC133&lt;0</formula>
    </cfRule>
    <cfRule type="colorScale" priority="3487">
      <colorScale>
        <cfvo type="min"/>
        <cfvo type="max"/>
        <color theme="0"/>
        <color theme="0"/>
      </colorScale>
    </cfRule>
  </conditionalFormatting>
  <conditionalFormatting sqref="AD135">
    <cfRule type="expression" dxfId="1851" priority="3480">
      <formula>AC135&lt;0</formula>
    </cfRule>
    <cfRule type="expression" priority="3479">
      <formula>$F$23</formula>
    </cfRule>
    <cfRule type="colorScale" priority="3478">
      <colorScale>
        <cfvo type="min"/>
        <cfvo type="max"/>
        <color theme="0"/>
        <color theme="0"/>
      </colorScale>
    </cfRule>
  </conditionalFormatting>
  <conditionalFormatting sqref="AD110:AE111">
    <cfRule type="expression" dxfId="1850" priority="3351">
      <formula>IF(AD110="Validar","Rojo","Verde")</formula>
    </cfRule>
  </conditionalFormatting>
  <conditionalFormatting sqref="AD117:AE123">
    <cfRule type="expression" dxfId="1849" priority="3364">
      <formula>IF(AD117="Validar","Rojo","Verde")</formula>
    </cfRule>
  </conditionalFormatting>
  <conditionalFormatting sqref="AE40:AE66">
    <cfRule type="expression" dxfId="1848" priority="3401">
      <formula>AD40&lt;0</formula>
    </cfRule>
    <cfRule type="colorScale" priority="3399">
      <colorScale>
        <cfvo type="min"/>
        <cfvo type="max"/>
        <color theme="0"/>
        <color theme="0"/>
      </colorScale>
    </cfRule>
    <cfRule type="expression" priority="3400">
      <formula>#REF!</formula>
    </cfRule>
  </conditionalFormatting>
  <conditionalFormatting sqref="AE40:AE67">
    <cfRule type="expression" dxfId="1847" priority="3398">
      <formula>IF(AE40="Validar","Rojo","Verde")</formula>
    </cfRule>
  </conditionalFormatting>
  <conditionalFormatting sqref="AE67 AD82:AE82 AD92:AE92 AD103:AE103 AD107:AE107">
    <cfRule type="expression" priority="3403">
      <formula>$F$23</formula>
    </cfRule>
  </conditionalFormatting>
  <conditionalFormatting sqref="AE67 AE82 AE92 AE103 AE107">
    <cfRule type="colorScale" priority="3402">
      <colorScale>
        <cfvo type="min"/>
        <cfvo type="max"/>
        <color theme="0"/>
        <color theme="0"/>
      </colorScale>
    </cfRule>
    <cfRule type="expression" dxfId="1846" priority="3404">
      <formula>AD67&lt;0</formula>
    </cfRule>
  </conditionalFormatting>
  <conditionalFormatting sqref="AE69">
    <cfRule type="colorScale" priority="3396">
      <colorScale>
        <cfvo type="min"/>
        <cfvo type="max"/>
        <color theme="0"/>
        <color theme="0"/>
      </colorScale>
    </cfRule>
    <cfRule type="expression" dxfId="1845" priority="3397">
      <formula>AD69&lt;0</formula>
    </cfRule>
  </conditionalFormatting>
  <conditionalFormatting sqref="AE69:AE81">
    <cfRule type="expression" priority="3394">
      <formula>#REF!</formula>
    </cfRule>
  </conditionalFormatting>
  <conditionalFormatting sqref="AE69:AE82">
    <cfRule type="expression" dxfId="1844" priority="3392">
      <formula>IF(AE69="Validar","Rojo","Verde")</formula>
    </cfRule>
  </conditionalFormatting>
  <conditionalFormatting sqref="AE70:AE78">
    <cfRule type="colorScale" priority="3393">
      <colorScale>
        <cfvo type="min"/>
        <cfvo type="max"/>
        <color theme="0"/>
        <color theme="0"/>
      </colorScale>
    </cfRule>
    <cfRule type="expression" dxfId="1843" priority="3395">
      <formula>AD70&lt;0</formula>
    </cfRule>
  </conditionalFormatting>
  <conditionalFormatting sqref="AE79:AE81">
    <cfRule type="colorScale" priority="3405">
      <colorScale>
        <cfvo type="min"/>
        <cfvo type="max"/>
        <color theme="0"/>
        <color theme="0"/>
      </colorScale>
    </cfRule>
    <cfRule type="expression" dxfId="1842" priority="3406">
      <formula>AD79&lt;0</formula>
    </cfRule>
  </conditionalFormatting>
  <conditionalFormatting sqref="AE84">
    <cfRule type="colorScale" priority="3390">
      <colorScale>
        <cfvo type="min"/>
        <cfvo type="max"/>
        <color theme="0"/>
        <color theme="0"/>
      </colorScale>
    </cfRule>
    <cfRule type="expression" dxfId="1841" priority="3391">
      <formula>AD84&lt;0</formula>
    </cfRule>
  </conditionalFormatting>
  <conditionalFormatting sqref="AE84:AE91">
    <cfRule type="expression" priority="3388">
      <formula>#REF!</formula>
    </cfRule>
  </conditionalFormatting>
  <conditionalFormatting sqref="AE84:AE92">
    <cfRule type="expression" dxfId="1840" priority="3386">
      <formula>IF(AE84="Validar","Rojo","Verde")</formula>
    </cfRule>
  </conditionalFormatting>
  <conditionalFormatting sqref="AE85:AE91">
    <cfRule type="colorScale" priority="3387">
      <colorScale>
        <cfvo type="min"/>
        <cfvo type="max"/>
        <color theme="0"/>
        <color theme="0"/>
      </colorScale>
    </cfRule>
    <cfRule type="expression" dxfId="1839" priority="3389">
      <formula>AD85&lt;0</formula>
    </cfRule>
  </conditionalFormatting>
  <conditionalFormatting sqref="AE94">
    <cfRule type="expression" dxfId="1838" priority="3385">
      <formula>AD94&lt;0</formula>
    </cfRule>
    <cfRule type="colorScale" priority="3384">
      <colorScale>
        <cfvo type="min"/>
        <cfvo type="max"/>
        <color theme="0"/>
        <color theme="0"/>
      </colorScale>
    </cfRule>
  </conditionalFormatting>
  <conditionalFormatting sqref="AE94:AE102">
    <cfRule type="expression" priority="3378">
      <formula>#REF!</formula>
    </cfRule>
  </conditionalFormatting>
  <conditionalFormatting sqref="AE94:AE103">
    <cfRule type="expression" dxfId="1837" priority="3376">
      <formula>IF(AE94="Validar","Rojo","Verde")</formula>
    </cfRule>
  </conditionalFormatting>
  <conditionalFormatting sqref="AE95:AE100">
    <cfRule type="expression" dxfId="1836" priority="3383">
      <formula>AD95&lt;0</formula>
    </cfRule>
    <cfRule type="colorScale" priority="3382">
      <colorScale>
        <cfvo type="min"/>
        <cfvo type="max"/>
        <color theme="0"/>
        <color theme="0"/>
      </colorScale>
    </cfRule>
  </conditionalFormatting>
  <conditionalFormatting sqref="AE101">
    <cfRule type="expression" dxfId="1835" priority="3381">
      <formula>AD101&lt;0</formula>
    </cfRule>
    <cfRule type="colorScale" priority="3380">
      <colorScale>
        <cfvo type="min"/>
        <cfvo type="max"/>
        <color theme="0"/>
        <color theme="0"/>
      </colorScale>
    </cfRule>
  </conditionalFormatting>
  <conditionalFormatting sqref="AE102">
    <cfRule type="expression" dxfId="1834" priority="3379">
      <formula>AD102&lt;0</formula>
    </cfRule>
    <cfRule type="colorScale" priority="3377">
      <colorScale>
        <cfvo type="min"/>
        <cfvo type="max"/>
        <color theme="0"/>
        <color theme="0"/>
      </colorScale>
    </cfRule>
  </conditionalFormatting>
  <conditionalFormatting sqref="AE105">
    <cfRule type="expression" dxfId="1833" priority="3375">
      <formula>AD105&lt;0</formula>
    </cfRule>
    <cfRule type="colorScale" priority="3374">
      <colorScale>
        <cfvo type="min"/>
        <cfvo type="max"/>
        <color theme="0"/>
        <color theme="0"/>
      </colorScale>
    </cfRule>
  </conditionalFormatting>
  <conditionalFormatting sqref="AE105:AE106">
    <cfRule type="expression" priority="3372">
      <formula>#REF!</formula>
    </cfRule>
  </conditionalFormatting>
  <conditionalFormatting sqref="AE105:AE107">
    <cfRule type="expression" dxfId="1832" priority="3370">
      <formula>IF(AE105="Validar","Rojo","Verde")</formula>
    </cfRule>
  </conditionalFormatting>
  <conditionalFormatting sqref="AE106">
    <cfRule type="expression" dxfId="1831" priority="3373">
      <formula>AD106&lt;0</formula>
    </cfRule>
    <cfRule type="colorScale" priority="3371">
      <colorScale>
        <cfvo type="min"/>
        <cfvo type="max"/>
        <color theme="0"/>
        <color theme="0"/>
      </colorScale>
    </cfRule>
  </conditionalFormatting>
  <conditionalFormatting sqref="AE110">
    <cfRule type="colorScale" priority="3362">
      <colorScale>
        <cfvo type="min"/>
        <cfvo type="max"/>
        <color theme="0"/>
        <color theme="0"/>
      </colorScale>
    </cfRule>
    <cfRule type="expression" dxfId="1830" priority="3363">
      <formula>AD110&lt;0</formula>
    </cfRule>
  </conditionalFormatting>
  <conditionalFormatting sqref="AE110:AE111">
    <cfRule type="expression" priority="3353">
      <formula>#REF!</formula>
    </cfRule>
  </conditionalFormatting>
  <conditionalFormatting sqref="AE111">
    <cfRule type="expression" dxfId="1829" priority="3354">
      <formula>AD111&lt;0</formula>
    </cfRule>
    <cfRule type="colorScale" priority="3352">
      <colorScale>
        <cfvo type="min"/>
        <cfvo type="max"/>
        <color theme="0"/>
        <color theme="0"/>
      </colorScale>
    </cfRule>
  </conditionalFormatting>
  <conditionalFormatting sqref="AE117">
    <cfRule type="expression" dxfId="1828" priority="3369">
      <formula>AD117&lt;0</formula>
    </cfRule>
    <cfRule type="colorScale" priority="3368">
      <colorScale>
        <cfvo type="min"/>
        <cfvo type="max"/>
        <color theme="0"/>
        <color theme="0"/>
      </colorScale>
    </cfRule>
  </conditionalFormatting>
  <conditionalFormatting sqref="AE117:AE123">
    <cfRule type="expression" priority="3366">
      <formula>#REF!</formula>
    </cfRule>
  </conditionalFormatting>
  <conditionalFormatting sqref="AE118:AE123">
    <cfRule type="expression" dxfId="1827" priority="3367">
      <formula>AD118&lt;0</formula>
    </cfRule>
    <cfRule type="colorScale" priority="3365">
      <colorScale>
        <cfvo type="min"/>
        <cfvo type="max"/>
        <color theme="0"/>
        <color theme="0"/>
      </colorScale>
    </cfRule>
  </conditionalFormatting>
  <conditionalFormatting sqref="AE126:AE135">
    <cfRule type="expression" dxfId="1826" priority="3489">
      <formula>IF(AE126="Validar","Rojo","Verde")</formula>
    </cfRule>
    <cfRule type="expression" priority="3491">
      <formula>$F$23</formula>
    </cfRule>
    <cfRule type="expression" dxfId="1825" priority="3492">
      <formula>AD126&lt;0</formula>
    </cfRule>
    <cfRule type="colorScale" priority="3490">
      <colorScale>
        <cfvo type="min"/>
        <cfvo type="max"/>
        <color theme="0"/>
        <color theme="0"/>
      </colorScale>
    </cfRule>
  </conditionalFormatting>
  <conditionalFormatting sqref="AG5">
    <cfRule type="colorScale" priority="83">
      <colorScale>
        <cfvo type="min"/>
        <cfvo type="max"/>
        <color theme="0"/>
        <color theme="0"/>
      </colorScale>
    </cfRule>
    <cfRule type="expression" dxfId="1824" priority="84">
      <formula>AF5&lt;0</formula>
    </cfRule>
  </conditionalFormatting>
  <conditionalFormatting sqref="AG5:AG20">
    <cfRule type="expression" dxfId="1823" priority="81">
      <formula>IF(AG5="Validar","Rojo","Verde")</formula>
    </cfRule>
    <cfRule type="expression" priority="82">
      <formula>#REF!</formula>
    </cfRule>
  </conditionalFormatting>
  <conditionalFormatting sqref="AG6">
    <cfRule type="expression" dxfId="1822" priority="3200">
      <formula>AF6&lt;0</formula>
    </cfRule>
    <cfRule type="colorScale" priority="3199">
      <colorScale>
        <cfvo type="min"/>
        <cfvo type="max"/>
        <color theme="0"/>
        <color theme="0"/>
      </colorScale>
    </cfRule>
  </conditionalFormatting>
  <conditionalFormatting sqref="AG7:AG8">
    <cfRule type="expression" dxfId="1821" priority="3196">
      <formula>AF7&lt;0</formula>
    </cfRule>
    <cfRule type="colorScale" priority="3195">
      <colorScale>
        <cfvo type="min"/>
        <cfvo type="max"/>
        <color theme="0"/>
        <color theme="0"/>
      </colorScale>
    </cfRule>
  </conditionalFormatting>
  <conditionalFormatting sqref="AG9">
    <cfRule type="expression" dxfId="1820" priority="3311">
      <formula>AF9&lt;0</formula>
    </cfRule>
    <cfRule type="colorScale" priority="3310">
      <colorScale>
        <cfvo type="min"/>
        <cfvo type="max"/>
        <color theme="0"/>
        <color theme="0"/>
      </colorScale>
    </cfRule>
  </conditionalFormatting>
  <conditionalFormatting sqref="AG10">
    <cfRule type="expression" dxfId="1819" priority="3288">
      <formula>AF10&lt;0</formula>
    </cfRule>
    <cfRule type="colorScale" priority="3287">
      <colorScale>
        <cfvo type="min"/>
        <cfvo type="max"/>
        <color theme="0"/>
        <color theme="0"/>
      </colorScale>
    </cfRule>
  </conditionalFormatting>
  <conditionalFormatting sqref="AG11:AG13">
    <cfRule type="colorScale" priority="3308">
      <colorScale>
        <cfvo type="min"/>
        <cfvo type="max"/>
        <color theme="0"/>
        <color theme="0"/>
      </colorScale>
    </cfRule>
    <cfRule type="expression" dxfId="1818" priority="3309">
      <formula>AF11&lt;0</formula>
    </cfRule>
  </conditionalFormatting>
  <conditionalFormatting sqref="AG14">
    <cfRule type="colorScale" priority="344">
      <colorScale>
        <cfvo type="min"/>
        <cfvo type="max"/>
        <color theme="0"/>
        <color theme="0"/>
      </colorScale>
    </cfRule>
    <cfRule type="expression" dxfId="1817" priority="345">
      <formula>AF14&lt;0</formula>
    </cfRule>
  </conditionalFormatting>
  <conditionalFormatting sqref="AG15">
    <cfRule type="expression" dxfId="1816" priority="3286">
      <formula>AF15&lt;0</formula>
    </cfRule>
    <cfRule type="colorScale" priority="3285">
      <colorScale>
        <cfvo type="min"/>
        <cfvo type="max"/>
        <color theme="0"/>
        <color theme="0"/>
      </colorScale>
    </cfRule>
  </conditionalFormatting>
  <conditionalFormatting sqref="AG16:AG17">
    <cfRule type="colorScale" priority="3306">
      <colorScale>
        <cfvo type="min"/>
        <cfvo type="max"/>
        <color theme="0"/>
        <color theme="0"/>
      </colorScale>
    </cfRule>
    <cfRule type="expression" dxfId="1815" priority="3307">
      <formula>AF16&lt;0</formula>
    </cfRule>
  </conditionalFormatting>
  <conditionalFormatting sqref="AG18">
    <cfRule type="expression" dxfId="1814" priority="3284">
      <formula>AF18&lt;0</formula>
    </cfRule>
    <cfRule type="colorScale" priority="3282">
      <colorScale>
        <cfvo type="min"/>
        <cfvo type="max"/>
        <color theme="0"/>
        <color theme="0"/>
      </colorScale>
    </cfRule>
  </conditionalFormatting>
  <conditionalFormatting sqref="AG19:AG20">
    <cfRule type="colorScale" priority="3304">
      <colorScale>
        <cfvo type="min"/>
        <cfvo type="max"/>
        <color theme="0"/>
        <color theme="0"/>
      </colorScale>
    </cfRule>
    <cfRule type="expression" dxfId="1813" priority="3305">
      <formula>AF19&lt;0</formula>
    </cfRule>
  </conditionalFormatting>
  <conditionalFormatting sqref="AG23">
    <cfRule type="colorScale" priority="3279">
      <colorScale>
        <cfvo type="min"/>
        <cfvo type="max"/>
        <color theme="0"/>
        <color theme="0"/>
      </colorScale>
    </cfRule>
    <cfRule type="expression" dxfId="1812" priority="3280">
      <formula>AF23&lt;0</formula>
    </cfRule>
  </conditionalFormatting>
  <conditionalFormatting sqref="AG23:AG31">
    <cfRule type="expression" priority="3275">
      <formula>#REF!</formula>
    </cfRule>
    <cfRule type="expression" dxfId="1811" priority="3273">
      <formula>IF(AG23="Validar","Rojo","Verde")</formula>
    </cfRule>
  </conditionalFormatting>
  <conditionalFormatting sqref="AG24">
    <cfRule type="colorScale" priority="3302">
      <colorScale>
        <cfvo type="min"/>
        <cfvo type="max"/>
        <color theme="0"/>
        <color theme="0"/>
      </colorScale>
    </cfRule>
    <cfRule type="expression" dxfId="1810" priority="3303">
      <formula>AF24&lt;0</formula>
    </cfRule>
  </conditionalFormatting>
  <conditionalFormatting sqref="AG25">
    <cfRule type="colorScale" priority="3300">
      <colorScale>
        <cfvo type="min"/>
        <cfvo type="max"/>
        <color theme="0"/>
        <color theme="0"/>
      </colorScale>
    </cfRule>
    <cfRule type="expression" dxfId="1809" priority="3301">
      <formula>AF25&lt;0</formula>
    </cfRule>
  </conditionalFormatting>
  <conditionalFormatting sqref="AG26">
    <cfRule type="expression" dxfId="1808" priority="3278">
      <formula>AF26&lt;0</formula>
    </cfRule>
    <cfRule type="colorScale" priority="3277">
      <colorScale>
        <cfvo type="min"/>
        <cfvo type="max"/>
        <color theme="0"/>
        <color theme="0"/>
      </colorScale>
    </cfRule>
  </conditionalFormatting>
  <conditionalFormatting sqref="AG27">
    <cfRule type="colorScale" priority="3298">
      <colorScale>
        <cfvo type="min"/>
        <cfvo type="max"/>
        <color theme="0"/>
        <color theme="0"/>
      </colorScale>
    </cfRule>
    <cfRule type="expression" dxfId="1807" priority="3299">
      <formula>AF27&lt;0</formula>
    </cfRule>
  </conditionalFormatting>
  <conditionalFormatting sqref="AG28">
    <cfRule type="colorScale" priority="3296">
      <colorScale>
        <cfvo type="min"/>
        <cfvo type="max"/>
        <color theme="0"/>
        <color theme="0"/>
      </colorScale>
    </cfRule>
    <cfRule type="expression" dxfId="1806" priority="3297">
      <formula>AF28&lt;0</formula>
    </cfRule>
  </conditionalFormatting>
  <conditionalFormatting sqref="AG29">
    <cfRule type="colorScale" priority="3274">
      <colorScale>
        <cfvo type="min"/>
        <cfvo type="max"/>
        <color theme="0"/>
        <color theme="0"/>
      </colorScale>
    </cfRule>
    <cfRule type="expression" dxfId="1805" priority="3276">
      <formula>AF29&lt;0</formula>
    </cfRule>
  </conditionalFormatting>
  <conditionalFormatting sqref="AG30">
    <cfRule type="colorScale" priority="3294">
      <colorScale>
        <cfvo type="min"/>
        <cfvo type="max"/>
        <color theme="0"/>
        <color theme="0"/>
      </colorScale>
    </cfRule>
    <cfRule type="expression" dxfId="1804" priority="3295">
      <formula>AF30&lt;0</formula>
    </cfRule>
  </conditionalFormatting>
  <conditionalFormatting sqref="AG31">
    <cfRule type="colorScale" priority="3292">
      <colorScale>
        <cfvo type="min"/>
        <cfvo type="max"/>
        <color theme="0"/>
        <color theme="0"/>
      </colorScale>
    </cfRule>
    <cfRule type="expression" dxfId="1803" priority="3293">
      <formula>AF31&lt;0</formula>
    </cfRule>
  </conditionalFormatting>
  <conditionalFormatting sqref="AG39">
    <cfRule type="expression" priority="3271">
      <formula>#REF!</formula>
    </cfRule>
    <cfRule type="colorScale" priority="3270">
      <colorScale>
        <cfvo type="min"/>
        <cfvo type="max"/>
        <color theme="0"/>
        <color theme="0"/>
      </colorScale>
    </cfRule>
    <cfRule type="expression" dxfId="1802" priority="3272">
      <formula>AF39&lt;0</formula>
    </cfRule>
  </conditionalFormatting>
  <conditionalFormatting sqref="AG39:AG107">
    <cfRule type="expression" dxfId="1801" priority="3208">
      <formula>IF(AG39="Validar","Rojo","Verde")</formula>
    </cfRule>
  </conditionalFormatting>
  <conditionalFormatting sqref="AG40:AG67">
    <cfRule type="colorScale" priority="3289">
      <colorScale>
        <cfvo type="min"/>
        <cfvo type="max"/>
        <color theme="0"/>
        <color theme="0"/>
      </colorScale>
    </cfRule>
    <cfRule type="expression" priority="3290">
      <formula>$F$19</formula>
    </cfRule>
    <cfRule type="expression" dxfId="1800" priority="3291">
      <formula>AF40&lt;0</formula>
    </cfRule>
  </conditionalFormatting>
  <conditionalFormatting sqref="AG68">
    <cfRule type="colorScale" priority="3267">
      <colorScale>
        <cfvo type="min"/>
        <cfvo type="max"/>
        <color theme="0"/>
        <color theme="0"/>
      </colorScale>
    </cfRule>
    <cfRule type="expression" dxfId="1799" priority="3269">
      <formula>AF68&lt;0</formula>
    </cfRule>
    <cfRule type="expression" priority="3268">
      <formula>#REF!</formula>
    </cfRule>
  </conditionalFormatting>
  <conditionalFormatting sqref="AG69:AG81">
    <cfRule type="expression" dxfId="1798" priority="3316">
      <formula>AF69&lt;0</formula>
    </cfRule>
    <cfRule type="colorScale" priority="3314">
      <colorScale>
        <cfvo type="min"/>
        <cfvo type="max"/>
        <color theme="0"/>
        <color theme="0"/>
      </colorScale>
    </cfRule>
    <cfRule type="expression" priority="3315">
      <formula>$F$19</formula>
    </cfRule>
  </conditionalFormatting>
  <conditionalFormatting sqref="AG82 AG92 AG103 AG107">
    <cfRule type="colorScale" priority="3312">
      <colorScale>
        <cfvo type="min"/>
        <cfvo type="max"/>
        <color theme="0"/>
        <color theme="0"/>
      </colorScale>
    </cfRule>
    <cfRule type="expression" dxfId="1797" priority="3313">
      <formula>AF82&lt;0</formula>
    </cfRule>
  </conditionalFormatting>
  <conditionalFormatting sqref="AG83">
    <cfRule type="colorScale" priority="3209">
      <colorScale>
        <cfvo type="min"/>
        <cfvo type="max"/>
        <color theme="0"/>
        <color theme="0"/>
      </colorScale>
    </cfRule>
    <cfRule type="expression" priority="3210">
      <formula>#REF!</formula>
    </cfRule>
    <cfRule type="expression" dxfId="1796" priority="3211">
      <formula>AF83&lt;0</formula>
    </cfRule>
  </conditionalFormatting>
  <conditionalFormatting sqref="AG84:AG91">
    <cfRule type="colorScale" priority="3317">
      <colorScale>
        <cfvo type="min"/>
        <cfvo type="max"/>
        <color theme="0"/>
        <color theme="0"/>
      </colorScale>
    </cfRule>
    <cfRule type="expression" priority="3318">
      <formula>$F$19</formula>
    </cfRule>
    <cfRule type="expression" dxfId="1795" priority="3319">
      <formula>AF84&lt;0</formula>
    </cfRule>
  </conditionalFormatting>
  <conditionalFormatting sqref="AG93">
    <cfRule type="expression" dxfId="1794" priority="3266">
      <formula>AF93&lt;0</formula>
    </cfRule>
    <cfRule type="expression" priority="3265">
      <formula>#REF!</formula>
    </cfRule>
    <cfRule type="colorScale" priority="3264">
      <colorScale>
        <cfvo type="min"/>
        <cfvo type="max"/>
        <color theme="0"/>
        <color theme="0"/>
      </colorScale>
    </cfRule>
  </conditionalFormatting>
  <conditionalFormatting sqref="AG94:AG102">
    <cfRule type="expression" dxfId="1793" priority="3322">
      <formula>AF94&lt;0</formula>
    </cfRule>
    <cfRule type="colorScale" priority="3320">
      <colorScale>
        <cfvo type="min"/>
        <cfvo type="max"/>
        <color theme="0"/>
        <color theme="0"/>
      </colorScale>
    </cfRule>
    <cfRule type="expression" priority="3321">
      <formula>$F$19</formula>
    </cfRule>
  </conditionalFormatting>
  <conditionalFormatting sqref="AG104">
    <cfRule type="expression" priority="3262">
      <formula>#REF!</formula>
    </cfRule>
    <cfRule type="colorScale" priority="3261">
      <colorScale>
        <cfvo type="min"/>
        <cfvo type="max"/>
        <color theme="0"/>
        <color theme="0"/>
      </colorScale>
    </cfRule>
    <cfRule type="expression" dxfId="1792" priority="3263">
      <formula>AF104&lt;0</formula>
    </cfRule>
  </conditionalFormatting>
  <conditionalFormatting sqref="AG105:AG106">
    <cfRule type="expression" dxfId="1791" priority="3325">
      <formula>AF105&lt;0</formula>
    </cfRule>
    <cfRule type="expression" priority="3324">
      <formula>$F$19</formula>
    </cfRule>
    <cfRule type="colorScale" priority="3323">
      <colorScale>
        <cfvo type="min"/>
        <cfvo type="max"/>
        <color theme="0"/>
        <color theme="0"/>
      </colorScale>
    </cfRule>
  </conditionalFormatting>
  <conditionalFormatting sqref="AG110">
    <cfRule type="expression" dxfId="1790" priority="3327">
      <formula>AF110&lt;0</formula>
    </cfRule>
    <cfRule type="colorScale" priority="3326">
      <colorScale>
        <cfvo type="min"/>
        <cfvo type="max"/>
        <color theme="0"/>
        <color theme="0"/>
      </colorScale>
    </cfRule>
  </conditionalFormatting>
  <conditionalFormatting sqref="AG110:AG111">
    <cfRule type="expression" priority="3206">
      <formula>$F$19</formula>
    </cfRule>
  </conditionalFormatting>
  <conditionalFormatting sqref="AG111">
    <cfRule type="expression" dxfId="1789" priority="3207">
      <formula>AF111&lt;0</formula>
    </cfRule>
    <cfRule type="colorScale" priority="3205">
      <colorScale>
        <cfvo type="min"/>
        <cfvo type="max"/>
        <color theme="0"/>
        <color theme="0"/>
      </colorScale>
    </cfRule>
  </conditionalFormatting>
  <conditionalFormatting sqref="AG117:AG123">
    <cfRule type="colorScale" priority="3331">
      <colorScale>
        <cfvo type="min"/>
        <cfvo type="max"/>
        <color theme="0"/>
        <color theme="0"/>
      </colorScale>
    </cfRule>
    <cfRule type="expression" priority="3332">
      <formula>$F$19</formula>
    </cfRule>
    <cfRule type="expression" dxfId="1788" priority="3333">
      <formula>AF117&lt;0</formula>
    </cfRule>
  </conditionalFormatting>
  <conditionalFormatting sqref="AG125">
    <cfRule type="expression" dxfId="1787" priority="3260">
      <formula>AF125&lt;0</formula>
    </cfRule>
    <cfRule type="expression" priority="3259">
      <formula>#REF!</formula>
    </cfRule>
    <cfRule type="colorScale" priority="3258">
      <colorScale>
        <cfvo type="min"/>
        <cfvo type="max"/>
        <color theme="0"/>
        <color theme="0"/>
      </colorScale>
    </cfRule>
  </conditionalFormatting>
  <conditionalFormatting sqref="AG125:AG135">
    <cfRule type="expression" dxfId="1786" priority="3257">
      <formula>IF(AG125="Validar","Rojo","Verde")</formula>
    </cfRule>
  </conditionalFormatting>
  <conditionalFormatting sqref="AG126:AG132">
    <cfRule type="colorScale" priority="3334">
      <colorScale>
        <cfvo type="min"/>
        <cfvo type="max"/>
        <color theme="0"/>
        <color theme="0"/>
      </colorScale>
    </cfRule>
    <cfRule type="expression" dxfId="1785" priority="3336">
      <formula>AF126&lt;0</formula>
    </cfRule>
  </conditionalFormatting>
  <conditionalFormatting sqref="AG126:AG134">
    <cfRule type="expression" priority="3335">
      <formula>$F$19</formula>
    </cfRule>
  </conditionalFormatting>
  <conditionalFormatting sqref="AG133:AG134">
    <cfRule type="colorScale" priority="3337">
      <colorScale>
        <cfvo type="min"/>
        <cfvo type="max"/>
        <color theme="0"/>
        <color theme="0"/>
      </colorScale>
    </cfRule>
    <cfRule type="expression" dxfId="1784" priority="3338">
      <formula>AF133&lt;0</formula>
    </cfRule>
  </conditionalFormatting>
  <conditionalFormatting sqref="AG135">
    <cfRule type="expression" priority="3329">
      <formula>$F$23</formula>
    </cfRule>
    <cfRule type="expression" dxfId="1783" priority="3330">
      <formula>AF135&lt;0</formula>
    </cfRule>
    <cfRule type="colorScale" priority="3328">
      <colorScale>
        <cfvo type="min"/>
        <cfvo type="max"/>
        <color theme="0"/>
        <color theme="0"/>
      </colorScale>
    </cfRule>
  </conditionalFormatting>
  <conditionalFormatting sqref="AG110:AI111">
    <cfRule type="expression" dxfId="1782" priority="3201">
      <formula>IF(AG110="Validar","Rojo","Verde")</formula>
    </cfRule>
  </conditionalFormatting>
  <conditionalFormatting sqref="AG117:AI123">
    <cfRule type="expression" dxfId="1781" priority="3214">
      <formula>IF(AG117="Validar","Rojo","Verde")</formula>
    </cfRule>
  </conditionalFormatting>
  <conditionalFormatting sqref="AH40:AH66">
    <cfRule type="expression" dxfId="1780" priority="3251">
      <formula>AG40&lt;0</formula>
    </cfRule>
    <cfRule type="expression" priority="3250">
      <formula>#REF!</formula>
    </cfRule>
    <cfRule type="colorScale" priority="3249">
      <colorScale>
        <cfvo type="min"/>
        <cfvo type="max"/>
        <color theme="0"/>
        <color theme="0"/>
      </colorScale>
    </cfRule>
  </conditionalFormatting>
  <conditionalFormatting sqref="AH40:AH67">
    <cfRule type="expression" dxfId="1779" priority="3248">
      <formula>IF(AH40="Validar","Rojo","Verde")</formula>
    </cfRule>
  </conditionalFormatting>
  <conditionalFormatting sqref="AH67 AG82:AH82 AG92:AH92 AG103:AH103 AG107:AH107">
    <cfRule type="expression" priority="3253">
      <formula>$F$23</formula>
    </cfRule>
  </conditionalFormatting>
  <conditionalFormatting sqref="AH67 AH82 AH92 AH103 AH107">
    <cfRule type="expression" dxfId="1778" priority="3254">
      <formula>AG67&lt;0</formula>
    </cfRule>
  </conditionalFormatting>
  <conditionalFormatting sqref="AH69">
    <cfRule type="expression" dxfId="1777" priority="3247">
      <formula>AG69&lt;0</formula>
    </cfRule>
    <cfRule type="colorScale" priority="3246">
      <colorScale>
        <cfvo type="min"/>
        <cfvo type="max"/>
        <color theme="0"/>
        <color theme="0"/>
      </colorScale>
    </cfRule>
  </conditionalFormatting>
  <conditionalFormatting sqref="AH69:AH81">
    <cfRule type="expression" priority="3244">
      <formula>#REF!</formula>
    </cfRule>
  </conditionalFormatting>
  <conditionalFormatting sqref="AH69:AH82">
    <cfRule type="expression" dxfId="1776" priority="3242">
      <formula>IF(AH69="Validar","Rojo","Verde")</formula>
    </cfRule>
  </conditionalFormatting>
  <conditionalFormatting sqref="AH70:AH78">
    <cfRule type="colorScale" priority="3243">
      <colorScale>
        <cfvo type="min"/>
        <cfvo type="max"/>
        <color theme="0"/>
        <color theme="0"/>
      </colorScale>
    </cfRule>
    <cfRule type="expression" dxfId="1775" priority="3245">
      <formula>AG70&lt;0</formula>
    </cfRule>
  </conditionalFormatting>
  <conditionalFormatting sqref="AH79:AH81">
    <cfRule type="colorScale" priority="3255">
      <colorScale>
        <cfvo type="min"/>
        <cfvo type="max"/>
        <color theme="0"/>
        <color theme="0"/>
      </colorScale>
    </cfRule>
    <cfRule type="expression" dxfId="1774" priority="3256">
      <formula>AG79&lt;0</formula>
    </cfRule>
  </conditionalFormatting>
  <conditionalFormatting sqref="AH82 AH67 AH92 AH103 AH107">
    <cfRule type="colorScale" priority="3252">
      <colorScale>
        <cfvo type="min"/>
        <cfvo type="max"/>
        <color theme="0"/>
        <color theme="0"/>
      </colorScale>
    </cfRule>
  </conditionalFormatting>
  <conditionalFormatting sqref="AH84">
    <cfRule type="expression" dxfId="1773" priority="3241">
      <formula>AG84&lt;0</formula>
    </cfRule>
    <cfRule type="colorScale" priority="3240">
      <colorScale>
        <cfvo type="min"/>
        <cfvo type="max"/>
        <color theme="0"/>
        <color theme="0"/>
      </colorScale>
    </cfRule>
  </conditionalFormatting>
  <conditionalFormatting sqref="AH84:AH91">
    <cfRule type="expression" priority="3238">
      <formula>#REF!</formula>
    </cfRule>
  </conditionalFormatting>
  <conditionalFormatting sqref="AH84:AH92">
    <cfRule type="expression" dxfId="1772" priority="3236">
      <formula>IF(AH84="Validar","Rojo","Verde")</formula>
    </cfRule>
  </conditionalFormatting>
  <conditionalFormatting sqref="AH85:AH91">
    <cfRule type="expression" dxfId="1771" priority="3239">
      <formula>AG85&lt;0</formula>
    </cfRule>
    <cfRule type="colorScale" priority="3237">
      <colorScale>
        <cfvo type="min"/>
        <cfvo type="max"/>
        <color theme="0"/>
        <color theme="0"/>
      </colorScale>
    </cfRule>
  </conditionalFormatting>
  <conditionalFormatting sqref="AH94">
    <cfRule type="expression" dxfId="1770" priority="3235">
      <formula>AG94&lt;0</formula>
    </cfRule>
    <cfRule type="colorScale" priority="3234">
      <colorScale>
        <cfvo type="min"/>
        <cfvo type="max"/>
        <color theme="0"/>
        <color theme="0"/>
      </colorScale>
    </cfRule>
  </conditionalFormatting>
  <conditionalFormatting sqref="AH94:AH102">
    <cfRule type="expression" priority="3228">
      <formula>#REF!</formula>
    </cfRule>
  </conditionalFormatting>
  <conditionalFormatting sqref="AH94:AH103">
    <cfRule type="expression" dxfId="1769" priority="3226">
      <formula>IF(AH94="Validar","Rojo","Verde")</formula>
    </cfRule>
  </conditionalFormatting>
  <conditionalFormatting sqref="AH95:AH100">
    <cfRule type="expression" dxfId="1768" priority="3233">
      <formula>AG95&lt;0</formula>
    </cfRule>
    <cfRule type="colorScale" priority="3232">
      <colorScale>
        <cfvo type="min"/>
        <cfvo type="max"/>
        <color theme="0"/>
        <color theme="0"/>
      </colorScale>
    </cfRule>
  </conditionalFormatting>
  <conditionalFormatting sqref="AH101">
    <cfRule type="expression" dxfId="1767" priority="3231">
      <formula>AG101&lt;0</formula>
    </cfRule>
    <cfRule type="colorScale" priority="3230">
      <colorScale>
        <cfvo type="min"/>
        <cfvo type="max"/>
        <color theme="0"/>
        <color theme="0"/>
      </colorScale>
    </cfRule>
  </conditionalFormatting>
  <conditionalFormatting sqref="AH102">
    <cfRule type="expression" dxfId="1766" priority="3229">
      <formula>AG102&lt;0</formula>
    </cfRule>
    <cfRule type="colorScale" priority="3227">
      <colorScale>
        <cfvo type="min"/>
        <cfvo type="max"/>
        <color theme="0"/>
        <color theme="0"/>
      </colorScale>
    </cfRule>
  </conditionalFormatting>
  <conditionalFormatting sqref="AH105">
    <cfRule type="expression" dxfId="1765" priority="3225">
      <formula>AG105&lt;0</formula>
    </cfRule>
    <cfRule type="colorScale" priority="3224">
      <colorScale>
        <cfvo type="min"/>
        <cfvo type="max"/>
        <color theme="0"/>
        <color theme="0"/>
      </colorScale>
    </cfRule>
  </conditionalFormatting>
  <conditionalFormatting sqref="AH105:AH106">
    <cfRule type="expression" priority="3222">
      <formula>#REF!</formula>
    </cfRule>
  </conditionalFormatting>
  <conditionalFormatting sqref="AH105:AH107">
    <cfRule type="expression" dxfId="1764" priority="3220">
      <formula>IF(AH105="Validar","Rojo","Verde")</formula>
    </cfRule>
  </conditionalFormatting>
  <conditionalFormatting sqref="AH106">
    <cfRule type="expression" dxfId="1763" priority="3223">
      <formula>AG106&lt;0</formula>
    </cfRule>
    <cfRule type="colorScale" priority="3221">
      <colorScale>
        <cfvo type="min"/>
        <cfvo type="max"/>
        <color theme="0"/>
        <color theme="0"/>
      </colorScale>
    </cfRule>
  </conditionalFormatting>
  <conditionalFormatting sqref="AH110">
    <cfRule type="colorScale" priority="3212">
      <colorScale>
        <cfvo type="min"/>
        <cfvo type="max"/>
        <color theme="0"/>
        <color theme="0"/>
      </colorScale>
    </cfRule>
    <cfRule type="expression" dxfId="1762" priority="3213">
      <formula>AG110&lt;0</formula>
    </cfRule>
  </conditionalFormatting>
  <conditionalFormatting sqref="AH111">
    <cfRule type="colorScale" priority="3202">
      <colorScale>
        <cfvo type="min"/>
        <cfvo type="max"/>
        <color theme="0"/>
        <color theme="0"/>
      </colorScale>
    </cfRule>
    <cfRule type="expression" dxfId="1761" priority="3204">
      <formula>AG111&lt;0</formula>
    </cfRule>
  </conditionalFormatting>
  <conditionalFormatting sqref="AH117">
    <cfRule type="expression" dxfId="1760" priority="3219">
      <formula>AG117&lt;0</formula>
    </cfRule>
    <cfRule type="colorScale" priority="3218">
      <colorScale>
        <cfvo type="min"/>
        <cfvo type="max"/>
        <color theme="0"/>
        <color theme="0"/>
      </colorScale>
    </cfRule>
  </conditionalFormatting>
  <conditionalFormatting sqref="AH118:AH123">
    <cfRule type="colorScale" priority="3215">
      <colorScale>
        <cfvo type="min"/>
        <cfvo type="max"/>
        <color theme="0"/>
        <color theme="0"/>
      </colorScale>
    </cfRule>
    <cfRule type="expression" dxfId="1759" priority="3217">
      <formula>AG118&lt;0</formula>
    </cfRule>
  </conditionalFormatting>
  <conditionalFormatting sqref="AH126:AH135">
    <cfRule type="expression" dxfId="1758" priority="3339">
      <formula>IF(AH126="Validar","Rojo","Verde")</formula>
    </cfRule>
    <cfRule type="colorScale" priority="3340">
      <colorScale>
        <cfvo type="min"/>
        <cfvo type="max"/>
        <color theme="0"/>
        <color theme="0"/>
      </colorScale>
    </cfRule>
    <cfRule type="expression" priority="3341">
      <formula>$F$23</formula>
    </cfRule>
    <cfRule type="expression" dxfId="1757" priority="3342">
      <formula>AG126&lt;0</formula>
    </cfRule>
  </conditionalFormatting>
  <conditionalFormatting sqref="AH110:AI111">
    <cfRule type="expression" priority="3203">
      <formula>#REF!</formula>
    </cfRule>
  </conditionalFormatting>
  <conditionalFormatting sqref="AH117:AI123">
    <cfRule type="expression" priority="3216">
      <formula>#REF!</formula>
    </cfRule>
  </conditionalFormatting>
  <conditionalFormatting sqref="AI5">
    <cfRule type="colorScale" priority="145">
      <colorScale>
        <cfvo type="min"/>
        <cfvo type="max"/>
        <color theme="0"/>
        <color theme="0"/>
      </colorScale>
    </cfRule>
    <cfRule type="expression" dxfId="1756" priority="146">
      <formula>AH5&lt;0</formula>
    </cfRule>
  </conditionalFormatting>
  <conditionalFormatting sqref="AI5:AI16">
    <cfRule type="expression" dxfId="1755" priority="143">
      <formula>IF(AI5="Validar","Rojo","Verde")</formula>
    </cfRule>
    <cfRule type="expression" priority="144">
      <formula>#REF!</formula>
    </cfRule>
  </conditionalFormatting>
  <conditionalFormatting sqref="AI6:AI9">
    <cfRule type="expression" dxfId="1754" priority="5277">
      <formula>AH6&lt;0</formula>
    </cfRule>
    <cfRule type="colorScale" priority="5276">
      <colorScale>
        <cfvo type="min"/>
        <cfvo type="max"/>
        <color theme="0"/>
        <color theme="0"/>
      </colorScale>
    </cfRule>
  </conditionalFormatting>
  <conditionalFormatting sqref="AI10">
    <cfRule type="expression" dxfId="1753" priority="5245">
      <formula>AH10&lt;0</formula>
    </cfRule>
    <cfRule type="colorScale" priority="5244">
      <colorScale>
        <cfvo type="min"/>
        <cfvo type="max"/>
        <color theme="0"/>
        <color theme="0"/>
      </colorScale>
    </cfRule>
  </conditionalFormatting>
  <conditionalFormatting sqref="AI11:AI13">
    <cfRule type="expression" dxfId="1752" priority="5275">
      <formula>AH11&lt;0</formula>
    </cfRule>
    <cfRule type="colorScale" priority="5274">
      <colorScale>
        <cfvo type="min"/>
        <cfvo type="max"/>
        <color theme="0"/>
        <color theme="0"/>
      </colorScale>
    </cfRule>
  </conditionalFormatting>
  <conditionalFormatting sqref="AI14">
    <cfRule type="expression" dxfId="1751" priority="306">
      <formula>AH14&lt;0</formula>
    </cfRule>
    <cfRule type="colorScale" priority="305">
      <colorScale>
        <cfvo type="min"/>
        <cfvo type="max"/>
        <color theme="0"/>
        <color theme="0"/>
      </colorScale>
    </cfRule>
  </conditionalFormatting>
  <conditionalFormatting sqref="AI15">
    <cfRule type="expression" dxfId="1750" priority="5243">
      <formula>AH15&lt;0</formula>
    </cfRule>
    <cfRule type="colorScale" priority="5241">
      <colorScale>
        <cfvo type="min"/>
        <cfvo type="max"/>
        <color theme="0"/>
        <color theme="0"/>
      </colorScale>
    </cfRule>
  </conditionalFormatting>
  <conditionalFormatting sqref="AI16">
    <cfRule type="colorScale" priority="5272">
      <colorScale>
        <cfvo type="min"/>
        <cfvo type="max"/>
        <color theme="0"/>
        <color theme="0"/>
      </colorScale>
    </cfRule>
    <cfRule type="expression" dxfId="1749" priority="5273">
      <formula>AH16&lt;0</formula>
    </cfRule>
  </conditionalFormatting>
  <conditionalFormatting sqref="AI18">
    <cfRule type="colorScale" priority="5237">
      <colorScale>
        <cfvo type="min"/>
        <cfvo type="max"/>
        <color theme="0"/>
        <color theme="0"/>
      </colorScale>
    </cfRule>
    <cfRule type="expression" dxfId="1748" priority="5239">
      <formula>AH18&lt;0</formula>
    </cfRule>
  </conditionalFormatting>
  <conditionalFormatting sqref="AI18:AI19">
    <cfRule type="expression" dxfId="1747" priority="5236">
      <formula>IF(AI18="Validar","Rojo","Verde")</formula>
    </cfRule>
    <cfRule type="expression" priority="5238">
      <formula>#REF!</formula>
    </cfRule>
  </conditionalFormatting>
  <conditionalFormatting sqref="AI19">
    <cfRule type="expression" dxfId="1746" priority="5271">
      <formula>AH19&lt;0</formula>
    </cfRule>
    <cfRule type="colorScale" priority="5270">
      <colorScale>
        <cfvo type="min"/>
        <cfvo type="max"/>
        <color theme="0"/>
        <color theme="0"/>
      </colorScale>
    </cfRule>
  </conditionalFormatting>
  <conditionalFormatting sqref="AI23">
    <cfRule type="expression" dxfId="1745" priority="5235">
      <formula>AH23&lt;0</formula>
    </cfRule>
    <cfRule type="colorScale" priority="5233">
      <colorScale>
        <cfvo type="min"/>
        <cfvo type="max"/>
        <color theme="0"/>
        <color theme="0"/>
      </colorScale>
    </cfRule>
  </conditionalFormatting>
  <conditionalFormatting sqref="AI23:AI24">
    <cfRule type="expression" priority="5234">
      <formula>#REF!</formula>
    </cfRule>
    <cfRule type="expression" dxfId="1744" priority="5232">
      <formula>IF(AI23="Validar","Rojo","Verde")</formula>
    </cfRule>
  </conditionalFormatting>
  <conditionalFormatting sqref="AI24">
    <cfRule type="expression" dxfId="1743" priority="5267">
      <formula>AH24&lt;0</formula>
    </cfRule>
    <cfRule type="colorScale" priority="5266">
      <colorScale>
        <cfvo type="min"/>
        <cfvo type="max"/>
        <color theme="0"/>
        <color theme="0"/>
      </colorScale>
    </cfRule>
  </conditionalFormatting>
  <conditionalFormatting sqref="AI26">
    <cfRule type="expression" dxfId="1742" priority="5231">
      <formula>AH26&lt;0</formula>
    </cfRule>
    <cfRule type="colorScale" priority="5229">
      <colorScale>
        <cfvo type="min"/>
        <cfvo type="max"/>
        <color theme="0"/>
        <color theme="0"/>
      </colorScale>
    </cfRule>
  </conditionalFormatting>
  <conditionalFormatting sqref="AI26:AI27">
    <cfRule type="expression" dxfId="1741" priority="5228">
      <formula>IF(AI26="Validar","Rojo","Verde")</formula>
    </cfRule>
    <cfRule type="expression" priority="5230">
      <formula>#REF!</formula>
    </cfRule>
  </conditionalFormatting>
  <conditionalFormatting sqref="AI27">
    <cfRule type="expression" dxfId="1740" priority="5265">
      <formula>AH27&lt;0</formula>
    </cfRule>
    <cfRule type="colorScale" priority="5264">
      <colorScale>
        <cfvo type="min"/>
        <cfvo type="max"/>
        <color theme="0"/>
        <color theme="0"/>
      </colorScale>
    </cfRule>
  </conditionalFormatting>
  <conditionalFormatting sqref="AI29">
    <cfRule type="expression" dxfId="1739" priority="5227">
      <formula>AH29&lt;0</formula>
    </cfRule>
    <cfRule type="colorScale" priority="5225">
      <colorScale>
        <cfvo type="min"/>
        <cfvo type="max"/>
        <color theme="0"/>
        <color theme="0"/>
      </colorScale>
    </cfRule>
  </conditionalFormatting>
  <conditionalFormatting sqref="AI29:AI30">
    <cfRule type="expression" priority="5226">
      <formula>#REF!</formula>
    </cfRule>
    <cfRule type="expression" dxfId="1738" priority="5224">
      <formula>IF(AI29="Validar","Rojo","Verde")</formula>
    </cfRule>
  </conditionalFormatting>
  <conditionalFormatting sqref="AI30">
    <cfRule type="expression" dxfId="1737" priority="5263">
      <formula>AH30&lt;0</formula>
    </cfRule>
    <cfRule type="colorScale" priority="5262">
      <colorScale>
        <cfvo type="min"/>
        <cfvo type="max"/>
        <color theme="0"/>
        <color theme="0"/>
      </colorScale>
    </cfRule>
  </conditionalFormatting>
  <conditionalFormatting sqref="AI39">
    <cfRule type="expression" dxfId="1736" priority="5223">
      <formula>AH39&lt;0</formula>
    </cfRule>
    <cfRule type="colorScale" priority="5221">
      <colorScale>
        <cfvo type="min"/>
        <cfvo type="max"/>
        <color theme="0"/>
        <color theme="0"/>
      </colorScale>
    </cfRule>
  </conditionalFormatting>
  <conditionalFormatting sqref="AI39:AI66">
    <cfRule type="expression" priority="5222">
      <formula>#REF!</formula>
    </cfRule>
    <cfRule type="expression" dxfId="1735" priority="5220">
      <formula>IF(AI39="Validar","Rojo","Verde")</formula>
    </cfRule>
  </conditionalFormatting>
  <conditionalFormatting sqref="AI40:AI66">
    <cfRule type="colorScale" priority="5260">
      <colorScale>
        <cfvo type="min"/>
        <cfvo type="max"/>
        <color theme="0"/>
        <color theme="0"/>
      </colorScale>
    </cfRule>
    <cfRule type="expression" dxfId="1734" priority="5261">
      <formula>AH40&lt;0</formula>
    </cfRule>
  </conditionalFormatting>
  <conditionalFormatting sqref="AI68">
    <cfRule type="colorScale" priority="5217">
      <colorScale>
        <cfvo type="min"/>
        <cfvo type="max"/>
        <color theme="0"/>
        <color theme="0"/>
      </colorScale>
    </cfRule>
    <cfRule type="expression" dxfId="1733" priority="5219">
      <formula>AH68&lt;0</formula>
    </cfRule>
  </conditionalFormatting>
  <conditionalFormatting sqref="AI68:AI81">
    <cfRule type="expression" dxfId="1732" priority="5216">
      <formula>IF(AI68="Validar","Rojo","Verde")</formula>
    </cfRule>
    <cfRule type="expression" priority="5218">
      <formula>#REF!</formula>
    </cfRule>
  </conditionalFormatting>
  <conditionalFormatting sqref="AI69:AI81">
    <cfRule type="expression" dxfId="1731" priority="5279">
      <formula>AH69&lt;0</formula>
    </cfRule>
    <cfRule type="colorScale" priority="5278">
      <colorScale>
        <cfvo type="min"/>
        <cfvo type="max"/>
        <color theme="0"/>
        <color theme="0"/>
      </colorScale>
    </cfRule>
  </conditionalFormatting>
  <conditionalFormatting sqref="AI83">
    <cfRule type="colorScale" priority="5200">
      <colorScale>
        <cfvo type="min"/>
        <cfvo type="max"/>
        <color theme="0"/>
        <color theme="0"/>
      </colorScale>
    </cfRule>
    <cfRule type="expression" dxfId="1730" priority="5202">
      <formula>AH83&lt;0</formula>
    </cfRule>
  </conditionalFormatting>
  <conditionalFormatting sqref="AI83:AI91">
    <cfRule type="expression" dxfId="1729" priority="5199">
      <formula>IF(AI83="Validar","Rojo","Verde")</formula>
    </cfRule>
    <cfRule type="expression" priority="5201">
      <formula>#REF!</formula>
    </cfRule>
  </conditionalFormatting>
  <conditionalFormatting sqref="AI84:AI91">
    <cfRule type="colorScale" priority="5258">
      <colorScale>
        <cfvo type="min"/>
        <cfvo type="max"/>
        <color theme="0"/>
        <color theme="0"/>
      </colorScale>
    </cfRule>
    <cfRule type="expression" dxfId="1728" priority="5259">
      <formula>AH84&lt;0</formula>
    </cfRule>
  </conditionalFormatting>
  <conditionalFormatting sqref="AI93">
    <cfRule type="expression" dxfId="1727" priority="5215">
      <formula>AH93&lt;0</formula>
    </cfRule>
    <cfRule type="colorScale" priority="5213">
      <colorScale>
        <cfvo type="min"/>
        <cfvo type="max"/>
        <color theme="0"/>
        <color theme="0"/>
      </colorScale>
    </cfRule>
  </conditionalFormatting>
  <conditionalFormatting sqref="AI93:AI102">
    <cfRule type="expression" priority="5214">
      <formula>#REF!</formula>
    </cfRule>
    <cfRule type="expression" dxfId="1726" priority="5212">
      <formula>IF(AI93="Validar","Rojo","Verde")</formula>
    </cfRule>
  </conditionalFormatting>
  <conditionalFormatting sqref="AI94:AI102">
    <cfRule type="colorScale" priority="5256">
      <colorScale>
        <cfvo type="min"/>
        <cfvo type="max"/>
        <color theme="0"/>
        <color theme="0"/>
      </colorScale>
    </cfRule>
    <cfRule type="expression" dxfId="1725" priority="5257">
      <formula>AH94&lt;0</formula>
    </cfRule>
  </conditionalFormatting>
  <conditionalFormatting sqref="AI104">
    <cfRule type="colorScale" priority="5209">
      <colorScale>
        <cfvo type="min"/>
        <cfvo type="max"/>
        <color theme="0"/>
        <color theme="0"/>
      </colorScale>
    </cfRule>
    <cfRule type="expression" dxfId="1724" priority="5211">
      <formula>AH104&lt;0</formula>
    </cfRule>
  </conditionalFormatting>
  <conditionalFormatting sqref="AI104:AI106">
    <cfRule type="expression" dxfId="1723" priority="5208">
      <formula>IF(AI104="Validar","Rojo","Verde")</formula>
    </cfRule>
    <cfRule type="expression" priority="5210">
      <formula>#REF!</formula>
    </cfRule>
  </conditionalFormatting>
  <conditionalFormatting sqref="AI105:AI106">
    <cfRule type="expression" dxfId="1722" priority="5255">
      <formula>AH105&lt;0</formula>
    </cfRule>
    <cfRule type="colorScale" priority="5254">
      <colorScale>
        <cfvo type="min"/>
        <cfvo type="max"/>
        <color theme="0"/>
        <color theme="0"/>
      </colorScale>
    </cfRule>
  </conditionalFormatting>
  <conditionalFormatting sqref="AI110">
    <cfRule type="expression" dxfId="1721" priority="5253">
      <formula>AH110&lt;0</formula>
    </cfRule>
    <cfRule type="colorScale" priority="5252">
      <colorScale>
        <cfvo type="min"/>
        <cfvo type="max"/>
        <color theme="0"/>
        <color theme="0"/>
      </colorScale>
    </cfRule>
  </conditionalFormatting>
  <conditionalFormatting sqref="AI111">
    <cfRule type="colorScale" priority="5193">
      <colorScale>
        <cfvo type="min"/>
        <cfvo type="max"/>
        <color theme="0"/>
        <color theme="0"/>
      </colorScale>
    </cfRule>
    <cfRule type="expression" dxfId="1720" priority="5195">
      <formula>AH111&lt;0</formula>
    </cfRule>
  </conditionalFormatting>
  <conditionalFormatting sqref="AI117:AI123">
    <cfRule type="expression" dxfId="1719" priority="5251">
      <formula>AH117&lt;0</formula>
    </cfRule>
    <cfRule type="colorScale" priority="5249">
      <colorScale>
        <cfvo type="min"/>
        <cfvo type="max"/>
        <color theme="0"/>
        <color theme="0"/>
      </colorScale>
    </cfRule>
  </conditionalFormatting>
  <conditionalFormatting sqref="AI125">
    <cfRule type="colorScale" priority="5205">
      <colorScale>
        <cfvo type="min"/>
        <cfvo type="max"/>
        <color theme="0"/>
        <color theme="0"/>
      </colorScale>
    </cfRule>
    <cfRule type="expression" dxfId="1718" priority="5207">
      <formula>AH125&lt;0</formula>
    </cfRule>
  </conditionalFormatting>
  <conditionalFormatting sqref="AI125:AI134">
    <cfRule type="expression" priority="5206">
      <formula>#REF!</formula>
    </cfRule>
    <cfRule type="expression" dxfId="1717" priority="5204">
      <formula>IF(AI125="Validar","Rojo","Verde")</formula>
    </cfRule>
  </conditionalFormatting>
  <conditionalFormatting sqref="AI126:AI134">
    <cfRule type="expression" dxfId="1716" priority="5247">
      <formula>AH126&lt;0</formula>
    </cfRule>
    <cfRule type="colorScale" priority="5246">
      <colorScale>
        <cfvo type="min"/>
        <cfvo type="max"/>
        <color theme="0"/>
        <color theme="0"/>
      </colorScale>
    </cfRule>
  </conditionalFormatting>
  <conditionalFormatting sqref="AK5">
    <cfRule type="expression" dxfId="1715" priority="80">
      <formula>AJ5&lt;0</formula>
    </cfRule>
    <cfRule type="colorScale" priority="79">
      <colorScale>
        <cfvo type="min"/>
        <cfvo type="max"/>
        <color theme="0"/>
        <color theme="0"/>
      </colorScale>
    </cfRule>
  </conditionalFormatting>
  <conditionalFormatting sqref="AK5:AK20">
    <cfRule type="expression" priority="78">
      <formula>#REF!</formula>
    </cfRule>
    <cfRule type="expression" dxfId="1714" priority="77">
      <formula>IF(AK5="Validar","Rojo","Verde")</formula>
    </cfRule>
  </conditionalFormatting>
  <conditionalFormatting sqref="AK6">
    <cfRule type="colorScale" priority="3049">
      <colorScale>
        <cfvo type="min"/>
        <cfvo type="max"/>
        <color theme="0"/>
        <color theme="0"/>
      </colorScale>
    </cfRule>
    <cfRule type="expression" dxfId="1713" priority="3050">
      <formula>AJ6&lt;0</formula>
    </cfRule>
  </conditionalFormatting>
  <conditionalFormatting sqref="AK7:AK8">
    <cfRule type="colorScale" priority="3045">
      <colorScale>
        <cfvo type="min"/>
        <cfvo type="max"/>
        <color theme="0"/>
        <color theme="0"/>
      </colorScale>
    </cfRule>
    <cfRule type="expression" dxfId="1712" priority="3046">
      <formula>AJ7&lt;0</formula>
    </cfRule>
  </conditionalFormatting>
  <conditionalFormatting sqref="AK9">
    <cfRule type="colorScale" priority="3160">
      <colorScale>
        <cfvo type="min"/>
        <cfvo type="max"/>
        <color theme="0"/>
        <color theme="0"/>
      </colorScale>
    </cfRule>
    <cfRule type="expression" dxfId="1711" priority="3161">
      <formula>AJ9&lt;0</formula>
    </cfRule>
  </conditionalFormatting>
  <conditionalFormatting sqref="AK10">
    <cfRule type="colorScale" priority="3137">
      <colorScale>
        <cfvo type="min"/>
        <cfvo type="max"/>
        <color theme="0"/>
        <color theme="0"/>
      </colorScale>
    </cfRule>
    <cfRule type="expression" dxfId="1710" priority="3138">
      <formula>AJ10&lt;0</formula>
    </cfRule>
  </conditionalFormatting>
  <conditionalFormatting sqref="AK11:AK13">
    <cfRule type="expression" dxfId="1709" priority="3159">
      <formula>AJ11&lt;0</formula>
    </cfRule>
    <cfRule type="colorScale" priority="3158">
      <colorScale>
        <cfvo type="min"/>
        <cfvo type="max"/>
        <color theme="0"/>
        <color theme="0"/>
      </colorScale>
    </cfRule>
  </conditionalFormatting>
  <conditionalFormatting sqref="AK14">
    <cfRule type="colorScale" priority="255">
      <colorScale>
        <cfvo type="min"/>
        <cfvo type="max"/>
        <color theme="0"/>
        <color theme="0"/>
      </colorScale>
    </cfRule>
    <cfRule type="expression" dxfId="1708" priority="256">
      <formula>AJ14&lt;0</formula>
    </cfRule>
  </conditionalFormatting>
  <conditionalFormatting sqref="AK15">
    <cfRule type="colorScale" priority="3135">
      <colorScale>
        <cfvo type="min"/>
        <cfvo type="max"/>
        <color theme="0"/>
        <color theme="0"/>
      </colorScale>
    </cfRule>
    <cfRule type="expression" dxfId="1707" priority="3136">
      <formula>AJ15&lt;0</formula>
    </cfRule>
  </conditionalFormatting>
  <conditionalFormatting sqref="AK16:AK17">
    <cfRule type="expression" dxfId="1706" priority="3157">
      <formula>AJ16&lt;0</formula>
    </cfRule>
    <cfRule type="colorScale" priority="3156">
      <colorScale>
        <cfvo type="min"/>
        <cfvo type="max"/>
        <color theme="0"/>
        <color theme="0"/>
      </colorScale>
    </cfRule>
  </conditionalFormatting>
  <conditionalFormatting sqref="AK18">
    <cfRule type="colorScale" priority="3132">
      <colorScale>
        <cfvo type="min"/>
        <cfvo type="max"/>
        <color theme="0"/>
        <color theme="0"/>
      </colorScale>
    </cfRule>
    <cfRule type="expression" dxfId="1705" priority="3134">
      <formula>AJ18&lt;0</formula>
    </cfRule>
  </conditionalFormatting>
  <conditionalFormatting sqref="AK19:AK20">
    <cfRule type="colorScale" priority="3154">
      <colorScale>
        <cfvo type="min"/>
        <cfvo type="max"/>
        <color theme="0"/>
        <color theme="0"/>
      </colorScale>
    </cfRule>
    <cfRule type="expression" dxfId="1704" priority="3155">
      <formula>AJ19&lt;0</formula>
    </cfRule>
  </conditionalFormatting>
  <conditionalFormatting sqref="AK23">
    <cfRule type="colorScale" priority="3129">
      <colorScale>
        <cfvo type="min"/>
        <cfvo type="max"/>
        <color theme="0"/>
        <color theme="0"/>
      </colorScale>
    </cfRule>
    <cfRule type="expression" dxfId="1703" priority="3130">
      <formula>AJ23&lt;0</formula>
    </cfRule>
  </conditionalFormatting>
  <conditionalFormatting sqref="AK23:AK31">
    <cfRule type="expression" dxfId="1702" priority="3123">
      <formula>IF(AK23="Validar","Rojo","Verde")</formula>
    </cfRule>
    <cfRule type="expression" priority="3125">
      <formula>#REF!</formula>
    </cfRule>
  </conditionalFormatting>
  <conditionalFormatting sqref="AK24">
    <cfRule type="expression" dxfId="1701" priority="3153">
      <formula>AJ24&lt;0</formula>
    </cfRule>
    <cfRule type="colorScale" priority="3152">
      <colorScale>
        <cfvo type="min"/>
        <cfvo type="max"/>
        <color theme="0"/>
        <color theme="0"/>
      </colorScale>
    </cfRule>
  </conditionalFormatting>
  <conditionalFormatting sqref="AK25">
    <cfRule type="colorScale" priority="3150">
      <colorScale>
        <cfvo type="min"/>
        <cfvo type="max"/>
        <color theme="0"/>
        <color theme="0"/>
      </colorScale>
    </cfRule>
    <cfRule type="expression" dxfId="1700" priority="3151">
      <formula>AJ25&lt;0</formula>
    </cfRule>
  </conditionalFormatting>
  <conditionalFormatting sqref="AK26">
    <cfRule type="colorScale" priority="3127">
      <colorScale>
        <cfvo type="min"/>
        <cfvo type="max"/>
        <color theme="0"/>
        <color theme="0"/>
      </colorScale>
    </cfRule>
    <cfRule type="expression" dxfId="1699" priority="3128">
      <formula>AJ26&lt;0</formula>
    </cfRule>
  </conditionalFormatting>
  <conditionalFormatting sqref="AK27">
    <cfRule type="colorScale" priority="3148">
      <colorScale>
        <cfvo type="min"/>
        <cfvo type="max"/>
        <color theme="0"/>
        <color theme="0"/>
      </colorScale>
    </cfRule>
    <cfRule type="expression" dxfId="1698" priority="3149">
      <formula>AJ27&lt;0</formula>
    </cfRule>
  </conditionalFormatting>
  <conditionalFormatting sqref="AK28">
    <cfRule type="colorScale" priority="3146">
      <colorScale>
        <cfvo type="min"/>
        <cfvo type="max"/>
        <color theme="0"/>
        <color theme="0"/>
      </colorScale>
    </cfRule>
    <cfRule type="expression" dxfId="1697" priority="3147">
      <formula>AJ28&lt;0</formula>
    </cfRule>
  </conditionalFormatting>
  <conditionalFormatting sqref="AK29">
    <cfRule type="expression" dxfId="1696" priority="3126">
      <formula>AJ29&lt;0</formula>
    </cfRule>
    <cfRule type="colorScale" priority="3124">
      <colorScale>
        <cfvo type="min"/>
        <cfvo type="max"/>
        <color theme="0"/>
        <color theme="0"/>
      </colorScale>
    </cfRule>
  </conditionalFormatting>
  <conditionalFormatting sqref="AK30">
    <cfRule type="colorScale" priority="3144">
      <colorScale>
        <cfvo type="min"/>
        <cfvo type="max"/>
        <color theme="0"/>
        <color theme="0"/>
      </colorScale>
    </cfRule>
    <cfRule type="expression" dxfId="1695" priority="3145">
      <formula>AJ30&lt;0</formula>
    </cfRule>
  </conditionalFormatting>
  <conditionalFormatting sqref="AK31">
    <cfRule type="colorScale" priority="3142">
      <colorScale>
        <cfvo type="min"/>
        <cfvo type="max"/>
        <color theme="0"/>
        <color theme="0"/>
      </colorScale>
    </cfRule>
    <cfRule type="expression" dxfId="1694" priority="3143">
      <formula>AJ31&lt;0</formula>
    </cfRule>
  </conditionalFormatting>
  <conditionalFormatting sqref="AK39">
    <cfRule type="expression" dxfId="1693" priority="3122">
      <formula>AJ39&lt;0</formula>
    </cfRule>
    <cfRule type="expression" priority="3121">
      <formula>#REF!</formula>
    </cfRule>
    <cfRule type="colorScale" priority="3120">
      <colorScale>
        <cfvo type="min"/>
        <cfvo type="max"/>
        <color theme="0"/>
        <color theme="0"/>
      </colorScale>
    </cfRule>
  </conditionalFormatting>
  <conditionalFormatting sqref="AK39:AK107">
    <cfRule type="expression" dxfId="1692" priority="3058">
      <formula>IF(AK39="Validar","Rojo","Verde")</formula>
    </cfRule>
  </conditionalFormatting>
  <conditionalFormatting sqref="AK40:AK67">
    <cfRule type="expression" dxfId="1691" priority="3141">
      <formula>AJ40&lt;0</formula>
    </cfRule>
    <cfRule type="expression" priority="3140">
      <formula>$F$19</formula>
    </cfRule>
    <cfRule type="colorScale" priority="3139">
      <colorScale>
        <cfvo type="min"/>
        <cfvo type="max"/>
        <color theme="0"/>
        <color theme="0"/>
      </colorScale>
    </cfRule>
  </conditionalFormatting>
  <conditionalFormatting sqref="AK68">
    <cfRule type="expression" dxfId="1690" priority="3119">
      <formula>AJ68&lt;0</formula>
    </cfRule>
    <cfRule type="expression" priority="3118">
      <formula>#REF!</formula>
    </cfRule>
    <cfRule type="colorScale" priority="3117">
      <colorScale>
        <cfvo type="min"/>
        <cfvo type="max"/>
        <color theme="0"/>
        <color theme="0"/>
      </colorScale>
    </cfRule>
  </conditionalFormatting>
  <conditionalFormatting sqref="AK69:AK81">
    <cfRule type="expression" priority="3165">
      <formula>$F$19</formula>
    </cfRule>
    <cfRule type="colorScale" priority="3164">
      <colorScale>
        <cfvo type="min"/>
        <cfvo type="max"/>
        <color theme="0"/>
        <color theme="0"/>
      </colorScale>
    </cfRule>
    <cfRule type="expression" dxfId="1689" priority="3166">
      <formula>AJ69&lt;0</formula>
    </cfRule>
  </conditionalFormatting>
  <conditionalFormatting sqref="AK82 AK92 AK103 AK107">
    <cfRule type="expression" dxfId="1688" priority="3163">
      <formula>AJ82&lt;0</formula>
    </cfRule>
  </conditionalFormatting>
  <conditionalFormatting sqref="AK83">
    <cfRule type="colorScale" priority="3059">
      <colorScale>
        <cfvo type="min"/>
        <cfvo type="max"/>
        <color theme="0"/>
        <color theme="0"/>
      </colorScale>
    </cfRule>
    <cfRule type="expression" priority="3060">
      <formula>#REF!</formula>
    </cfRule>
    <cfRule type="expression" dxfId="1687" priority="3061">
      <formula>AJ83&lt;0</formula>
    </cfRule>
  </conditionalFormatting>
  <conditionalFormatting sqref="AK84:AK91">
    <cfRule type="expression" dxfId="1686" priority="3169">
      <formula>AJ84&lt;0</formula>
    </cfRule>
    <cfRule type="expression" priority="3168">
      <formula>$F$19</formula>
    </cfRule>
    <cfRule type="colorScale" priority="3167">
      <colorScale>
        <cfvo type="min"/>
        <cfvo type="max"/>
        <color theme="0"/>
        <color theme="0"/>
      </colorScale>
    </cfRule>
  </conditionalFormatting>
  <conditionalFormatting sqref="AK92 AK82 AK103 AK107">
    <cfRule type="colorScale" priority="3162">
      <colorScale>
        <cfvo type="min"/>
        <cfvo type="max"/>
        <color theme="0"/>
        <color theme="0"/>
      </colorScale>
    </cfRule>
  </conditionalFormatting>
  <conditionalFormatting sqref="AK93">
    <cfRule type="expression" dxfId="1685" priority="3116">
      <formula>AJ93&lt;0</formula>
    </cfRule>
    <cfRule type="expression" priority="3115">
      <formula>#REF!</formula>
    </cfRule>
    <cfRule type="colorScale" priority="3114">
      <colorScale>
        <cfvo type="min"/>
        <cfvo type="max"/>
        <color theme="0"/>
        <color theme="0"/>
      </colorScale>
    </cfRule>
  </conditionalFormatting>
  <conditionalFormatting sqref="AK94:AK102">
    <cfRule type="expression" priority="3171">
      <formula>$F$19</formula>
    </cfRule>
    <cfRule type="expression" dxfId="1684" priority="3172">
      <formula>AJ94&lt;0</formula>
    </cfRule>
    <cfRule type="colorScale" priority="3170">
      <colorScale>
        <cfvo type="min"/>
        <cfvo type="max"/>
        <color theme="0"/>
        <color theme="0"/>
      </colorScale>
    </cfRule>
  </conditionalFormatting>
  <conditionalFormatting sqref="AK104">
    <cfRule type="expression" priority="3112">
      <formula>#REF!</formula>
    </cfRule>
    <cfRule type="expression" dxfId="1683" priority="3113">
      <formula>AJ104&lt;0</formula>
    </cfRule>
    <cfRule type="colorScale" priority="3111">
      <colorScale>
        <cfvo type="min"/>
        <cfvo type="max"/>
        <color theme="0"/>
        <color theme="0"/>
      </colorScale>
    </cfRule>
  </conditionalFormatting>
  <conditionalFormatting sqref="AK105:AK106">
    <cfRule type="expression" dxfId="1682" priority="3175">
      <formula>AJ105&lt;0</formula>
    </cfRule>
    <cfRule type="expression" priority="3174">
      <formula>$F$19</formula>
    </cfRule>
    <cfRule type="colorScale" priority="3173">
      <colorScale>
        <cfvo type="min"/>
        <cfvo type="max"/>
        <color theme="0"/>
        <color theme="0"/>
      </colorScale>
    </cfRule>
  </conditionalFormatting>
  <conditionalFormatting sqref="AK110">
    <cfRule type="colorScale" priority="3176">
      <colorScale>
        <cfvo type="min"/>
        <cfvo type="max"/>
        <color theme="0"/>
        <color theme="0"/>
      </colorScale>
    </cfRule>
    <cfRule type="expression" dxfId="1681" priority="3177">
      <formula>AJ110&lt;0</formula>
    </cfRule>
  </conditionalFormatting>
  <conditionalFormatting sqref="AK110:AK111">
    <cfRule type="expression" priority="3056">
      <formula>$F$19</formula>
    </cfRule>
  </conditionalFormatting>
  <conditionalFormatting sqref="AK111">
    <cfRule type="colorScale" priority="3055">
      <colorScale>
        <cfvo type="min"/>
        <cfvo type="max"/>
        <color theme="0"/>
        <color theme="0"/>
      </colorScale>
    </cfRule>
    <cfRule type="expression" dxfId="1680" priority="3057">
      <formula>AJ111&lt;0</formula>
    </cfRule>
  </conditionalFormatting>
  <conditionalFormatting sqref="AK117:AK123">
    <cfRule type="colorScale" priority="3181">
      <colorScale>
        <cfvo type="min"/>
        <cfvo type="max"/>
        <color theme="0"/>
        <color theme="0"/>
      </colorScale>
    </cfRule>
    <cfRule type="expression" priority="3182">
      <formula>$F$19</formula>
    </cfRule>
    <cfRule type="expression" dxfId="1679" priority="3183">
      <formula>AJ117&lt;0</formula>
    </cfRule>
  </conditionalFormatting>
  <conditionalFormatting sqref="AK125">
    <cfRule type="colorScale" priority="3108">
      <colorScale>
        <cfvo type="min"/>
        <cfvo type="max"/>
        <color theme="0"/>
        <color theme="0"/>
      </colorScale>
    </cfRule>
    <cfRule type="expression" priority="3109">
      <formula>#REF!</formula>
    </cfRule>
    <cfRule type="expression" dxfId="1678" priority="3110">
      <formula>AJ125&lt;0</formula>
    </cfRule>
  </conditionalFormatting>
  <conditionalFormatting sqref="AK125:AK135">
    <cfRule type="expression" dxfId="1677" priority="3107">
      <formula>IF(AK125="Validar","Rojo","Verde")</formula>
    </cfRule>
  </conditionalFormatting>
  <conditionalFormatting sqref="AK126:AK132">
    <cfRule type="colorScale" priority="3184">
      <colorScale>
        <cfvo type="min"/>
        <cfvo type="max"/>
        <color theme="0"/>
        <color theme="0"/>
      </colorScale>
    </cfRule>
    <cfRule type="expression" dxfId="1676" priority="3186">
      <formula>AJ126&lt;0</formula>
    </cfRule>
  </conditionalFormatting>
  <conditionalFormatting sqref="AK126:AK134">
    <cfRule type="expression" priority="3185">
      <formula>$F$19</formula>
    </cfRule>
  </conditionalFormatting>
  <conditionalFormatting sqref="AK133:AK134">
    <cfRule type="colorScale" priority="3187">
      <colorScale>
        <cfvo type="min"/>
        <cfvo type="max"/>
        <color theme="0"/>
        <color theme="0"/>
      </colorScale>
    </cfRule>
    <cfRule type="expression" dxfId="1675" priority="3188">
      <formula>AJ133&lt;0</formula>
    </cfRule>
  </conditionalFormatting>
  <conditionalFormatting sqref="AK135">
    <cfRule type="expression" dxfId="1674" priority="3180">
      <formula>AJ135&lt;0</formula>
    </cfRule>
    <cfRule type="colorScale" priority="3178">
      <colorScale>
        <cfvo type="min"/>
        <cfvo type="max"/>
        <color theme="0"/>
        <color theme="0"/>
      </colorScale>
    </cfRule>
    <cfRule type="expression" priority="3179">
      <formula>$F$23</formula>
    </cfRule>
  </conditionalFormatting>
  <conditionalFormatting sqref="AK110:AL111">
    <cfRule type="expression" dxfId="1673" priority="3051">
      <formula>IF(AK110="Validar","Rojo","Verde")</formula>
    </cfRule>
  </conditionalFormatting>
  <conditionalFormatting sqref="AK117:AL123">
    <cfRule type="expression" dxfId="1672" priority="3064">
      <formula>IF(AK117="Validar","Rojo","Verde")</formula>
    </cfRule>
  </conditionalFormatting>
  <conditionalFormatting sqref="AL40:AL66">
    <cfRule type="expression" dxfId="1671" priority="3101">
      <formula>AK40&lt;0</formula>
    </cfRule>
    <cfRule type="colorScale" priority="3099">
      <colorScale>
        <cfvo type="min"/>
        <cfvo type="max"/>
        <color theme="0"/>
        <color theme="0"/>
      </colorScale>
    </cfRule>
    <cfRule type="expression" priority="3100">
      <formula>#REF!</formula>
    </cfRule>
  </conditionalFormatting>
  <conditionalFormatting sqref="AL40:AL67">
    <cfRule type="expression" dxfId="1670" priority="3098">
      <formula>IF(AL40="Validar","Rojo","Verde")</formula>
    </cfRule>
  </conditionalFormatting>
  <conditionalFormatting sqref="AL67 AK82:AL82 AK92:AL92 AK103:AL103 AK107:AL107">
    <cfRule type="expression" priority="3103">
      <formula>$F$23</formula>
    </cfRule>
  </conditionalFormatting>
  <conditionalFormatting sqref="AL67 AL82 AL92 AL103 AL107">
    <cfRule type="expression" dxfId="1669" priority="3104">
      <formula>AK67&lt;0</formula>
    </cfRule>
    <cfRule type="colorScale" priority="3102">
      <colorScale>
        <cfvo type="min"/>
        <cfvo type="max"/>
        <color theme="0"/>
        <color theme="0"/>
      </colorScale>
    </cfRule>
  </conditionalFormatting>
  <conditionalFormatting sqref="AL69">
    <cfRule type="expression" dxfId="1668" priority="3097">
      <formula>AK69&lt;0</formula>
    </cfRule>
    <cfRule type="colorScale" priority="3096">
      <colorScale>
        <cfvo type="min"/>
        <cfvo type="max"/>
        <color theme="0"/>
        <color theme="0"/>
      </colorScale>
    </cfRule>
  </conditionalFormatting>
  <conditionalFormatting sqref="AL69:AL81">
    <cfRule type="expression" priority="3094">
      <formula>#REF!</formula>
    </cfRule>
  </conditionalFormatting>
  <conditionalFormatting sqref="AL69:AL82">
    <cfRule type="expression" dxfId="1667" priority="3092">
      <formula>IF(AL69="Validar","Rojo","Verde")</formula>
    </cfRule>
  </conditionalFormatting>
  <conditionalFormatting sqref="AL70:AL78">
    <cfRule type="expression" dxfId="1666" priority="3095">
      <formula>AK70&lt;0</formula>
    </cfRule>
    <cfRule type="colorScale" priority="3093">
      <colorScale>
        <cfvo type="min"/>
        <cfvo type="max"/>
        <color theme="0"/>
        <color theme="0"/>
      </colorScale>
    </cfRule>
  </conditionalFormatting>
  <conditionalFormatting sqref="AL79:AL81">
    <cfRule type="expression" dxfId="1665" priority="3106">
      <formula>AK79&lt;0</formula>
    </cfRule>
    <cfRule type="colorScale" priority="3105">
      <colorScale>
        <cfvo type="min"/>
        <cfvo type="max"/>
        <color theme="0"/>
        <color theme="0"/>
      </colorScale>
    </cfRule>
  </conditionalFormatting>
  <conditionalFormatting sqref="AL84">
    <cfRule type="colorScale" priority="3090">
      <colorScale>
        <cfvo type="min"/>
        <cfvo type="max"/>
        <color theme="0"/>
        <color theme="0"/>
      </colorScale>
    </cfRule>
    <cfRule type="expression" dxfId="1664" priority="3091">
      <formula>AK84&lt;0</formula>
    </cfRule>
  </conditionalFormatting>
  <conditionalFormatting sqref="AL84:AL91">
    <cfRule type="expression" priority="3088">
      <formula>#REF!</formula>
    </cfRule>
  </conditionalFormatting>
  <conditionalFormatting sqref="AL84:AL92">
    <cfRule type="expression" dxfId="1663" priority="3086">
      <formula>IF(AL84="Validar","Rojo","Verde")</formula>
    </cfRule>
  </conditionalFormatting>
  <conditionalFormatting sqref="AL85:AL91">
    <cfRule type="expression" dxfId="1662" priority="3089">
      <formula>AK85&lt;0</formula>
    </cfRule>
    <cfRule type="colorScale" priority="3087">
      <colorScale>
        <cfvo type="min"/>
        <cfvo type="max"/>
        <color theme="0"/>
        <color theme="0"/>
      </colorScale>
    </cfRule>
  </conditionalFormatting>
  <conditionalFormatting sqref="AL94">
    <cfRule type="colorScale" priority="3084">
      <colorScale>
        <cfvo type="min"/>
        <cfvo type="max"/>
        <color theme="0"/>
        <color theme="0"/>
      </colorScale>
    </cfRule>
    <cfRule type="expression" dxfId="1661" priority="3085">
      <formula>AK94&lt;0</formula>
    </cfRule>
  </conditionalFormatting>
  <conditionalFormatting sqref="AL94:AL102">
    <cfRule type="expression" priority="3078">
      <formula>#REF!</formula>
    </cfRule>
  </conditionalFormatting>
  <conditionalFormatting sqref="AL94:AL103">
    <cfRule type="expression" dxfId="1660" priority="3076">
      <formula>IF(AL94="Validar","Rojo","Verde")</formula>
    </cfRule>
  </conditionalFormatting>
  <conditionalFormatting sqref="AL95:AL100">
    <cfRule type="expression" dxfId="1659" priority="3083">
      <formula>AK95&lt;0</formula>
    </cfRule>
    <cfRule type="colorScale" priority="3082">
      <colorScale>
        <cfvo type="min"/>
        <cfvo type="max"/>
        <color theme="0"/>
        <color theme="0"/>
      </colorScale>
    </cfRule>
  </conditionalFormatting>
  <conditionalFormatting sqref="AL101">
    <cfRule type="colorScale" priority="3080">
      <colorScale>
        <cfvo type="min"/>
        <cfvo type="max"/>
        <color theme="0"/>
        <color theme="0"/>
      </colorScale>
    </cfRule>
    <cfRule type="expression" dxfId="1658" priority="3081">
      <formula>AK101&lt;0</formula>
    </cfRule>
  </conditionalFormatting>
  <conditionalFormatting sqref="AL102">
    <cfRule type="colorScale" priority="3077">
      <colorScale>
        <cfvo type="min"/>
        <cfvo type="max"/>
        <color theme="0"/>
        <color theme="0"/>
      </colorScale>
    </cfRule>
    <cfRule type="expression" dxfId="1657" priority="3079">
      <formula>AK102&lt;0</formula>
    </cfRule>
  </conditionalFormatting>
  <conditionalFormatting sqref="AL105">
    <cfRule type="expression" dxfId="1656" priority="3075">
      <formula>AK105&lt;0</formula>
    </cfRule>
    <cfRule type="colorScale" priority="3074">
      <colorScale>
        <cfvo type="min"/>
        <cfvo type="max"/>
        <color theme="0"/>
        <color theme="0"/>
      </colorScale>
    </cfRule>
  </conditionalFormatting>
  <conditionalFormatting sqref="AL105:AL106">
    <cfRule type="expression" priority="3072">
      <formula>#REF!</formula>
    </cfRule>
  </conditionalFormatting>
  <conditionalFormatting sqref="AL105:AL107">
    <cfRule type="expression" dxfId="1655" priority="3070">
      <formula>IF(AL105="Validar","Rojo","Verde")</formula>
    </cfRule>
  </conditionalFormatting>
  <conditionalFormatting sqref="AL106">
    <cfRule type="expression" dxfId="1654" priority="3073">
      <formula>AK106&lt;0</formula>
    </cfRule>
    <cfRule type="colorScale" priority="3071">
      <colorScale>
        <cfvo type="min"/>
        <cfvo type="max"/>
        <color theme="0"/>
        <color theme="0"/>
      </colorScale>
    </cfRule>
  </conditionalFormatting>
  <conditionalFormatting sqref="AL110">
    <cfRule type="colorScale" priority="3062">
      <colorScale>
        <cfvo type="min"/>
        <cfvo type="max"/>
        <color theme="0"/>
        <color theme="0"/>
      </colorScale>
    </cfRule>
    <cfRule type="expression" dxfId="1653" priority="3063">
      <formula>AK110&lt;0</formula>
    </cfRule>
  </conditionalFormatting>
  <conditionalFormatting sqref="AL110:AL111">
    <cfRule type="expression" priority="3053">
      <formula>#REF!</formula>
    </cfRule>
  </conditionalFormatting>
  <conditionalFormatting sqref="AL111">
    <cfRule type="expression" dxfId="1652" priority="3054">
      <formula>AK111&lt;0</formula>
    </cfRule>
    <cfRule type="colorScale" priority="3052">
      <colorScale>
        <cfvo type="min"/>
        <cfvo type="max"/>
        <color theme="0"/>
        <color theme="0"/>
      </colorScale>
    </cfRule>
  </conditionalFormatting>
  <conditionalFormatting sqref="AL117">
    <cfRule type="expression" dxfId="1651" priority="3069">
      <formula>AK117&lt;0</formula>
    </cfRule>
    <cfRule type="colorScale" priority="3068">
      <colorScale>
        <cfvo type="min"/>
        <cfvo type="max"/>
        <color theme="0"/>
        <color theme="0"/>
      </colorScale>
    </cfRule>
  </conditionalFormatting>
  <conditionalFormatting sqref="AL117:AL123">
    <cfRule type="expression" priority="3066">
      <formula>#REF!</formula>
    </cfRule>
  </conditionalFormatting>
  <conditionalFormatting sqref="AL118:AL123">
    <cfRule type="colorScale" priority="3065">
      <colorScale>
        <cfvo type="min"/>
        <cfvo type="max"/>
        <color theme="0"/>
        <color theme="0"/>
      </colorScale>
    </cfRule>
    <cfRule type="expression" dxfId="1650" priority="3067">
      <formula>AK118&lt;0</formula>
    </cfRule>
  </conditionalFormatting>
  <conditionalFormatting sqref="AL126:AL135">
    <cfRule type="expression" dxfId="1649" priority="3189">
      <formula>IF(AL126="Validar","Rojo","Verde")</formula>
    </cfRule>
    <cfRule type="colorScale" priority="3190">
      <colorScale>
        <cfvo type="min"/>
        <cfvo type="max"/>
        <color theme="0"/>
        <color theme="0"/>
      </colorScale>
    </cfRule>
    <cfRule type="expression" priority="3191">
      <formula>$F$23</formula>
    </cfRule>
    <cfRule type="expression" dxfId="1648" priority="3192">
      <formula>AK126&lt;0</formula>
    </cfRule>
  </conditionalFormatting>
  <conditionalFormatting sqref="AN5">
    <cfRule type="expression" dxfId="1647" priority="76">
      <formula>AM5&lt;0</formula>
    </cfRule>
    <cfRule type="colorScale" priority="75">
      <colorScale>
        <cfvo type="min"/>
        <cfvo type="max"/>
        <color theme="0"/>
        <color theme="0"/>
      </colorScale>
    </cfRule>
  </conditionalFormatting>
  <conditionalFormatting sqref="AN5:AN20">
    <cfRule type="expression" dxfId="1646" priority="73">
      <formula>IF(AN5="Validar","Rojo","Verde")</formula>
    </cfRule>
    <cfRule type="expression" priority="74">
      <formula>#REF!</formula>
    </cfRule>
  </conditionalFormatting>
  <conditionalFormatting sqref="AN6">
    <cfRule type="expression" dxfId="1645" priority="2900">
      <formula>AM6&lt;0</formula>
    </cfRule>
    <cfRule type="colorScale" priority="2899">
      <colorScale>
        <cfvo type="min"/>
        <cfvo type="max"/>
        <color theme="0"/>
        <color theme="0"/>
      </colorScale>
    </cfRule>
  </conditionalFormatting>
  <conditionalFormatting sqref="AN7:AN8">
    <cfRule type="expression" dxfId="1644" priority="2896">
      <formula>AM7&lt;0</formula>
    </cfRule>
    <cfRule type="colorScale" priority="2895">
      <colorScale>
        <cfvo type="min"/>
        <cfvo type="max"/>
        <color theme="0"/>
        <color theme="0"/>
      </colorScale>
    </cfRule>
  </conditionalFormatting>
  <conditionalFormatting sqref="AN9">
    <cfRule type="colorScale" priority="3010">
      <colorScale>
        <cfvo type="min"/>
        <cfvo type="max"/>
        <color theme="0"/>
        <color theme="0"/>
      </colorScale>
    </cfRule>
    <cfRule type="expression" dxfId="1643" priority="3011">
      <formula>AM9&lt;0</formula>
    </cfRule>
  </conditionalFormatting>
  <conditionalFormatting sqref="AN10">
    <cfRule type="colorScale" priority="2987">
      <colorScale>
        <cfvo type="min"/>
        <cfvo type="max"/>
        <color theme="0"/>
        <color theme="0"/>
      </colorScale>
    </cfRule>
    <cfRule type="expression" dxfId="1642" priority="2988">
      <formula>AM10&lt;0</formula>
    </cfRule>
  </conditionalFormatting>
  <conditionalFormatting sqref="AN11:AN13">
    <cfRule type="colorScale" priority="3008">
      <colorScale>
        <cfvo type="min"/>
        <cfvo type="max"/>
        <color theme="0"/>
        <color theme="0"/>
      </colorScale>
    </cfRule>
    <cfRule type="expression" dxfId="1641" priority="3009">
      <formula>AM11&lt;0</formula>
    </cfRule>
  </conditionalFormatting>
  <conditionalFormatting sqref="AN14">
    <cfRule type="expression" dxfId="1640" priority="252">
      <formula>AM14&lt;0</formula>
    </cfRule>
    <cfRule type="colorScale" priority="251">
      <colorScale>
        <cfvo type="min"/>
        <cfvo type="max"/>
        <color theme="0"/>
        <color theme="0"/>
      </colorScale>
    </cfRule>
  </conditionalFormatting>
  <conditionalFormatting sqref="AN15">
    <cfRule type="colorScale" priority="2985">
      <colorScale>
        <cfvo type="min"/>
        <cfvo type="max"/>
        <color theme="0"/>
        <color theme="0"/>
      </colorScale>
    </cfRule>
    <cfRule type="expression" dxfId="1639" priority="2986">
      <formula>AM15&lt;0</formula>
    </cfRule>
  </conditionalFormatting>
  <conditionalFormatting sqref="AN16:AN17">
    <cfRule type="colorScale" priority="3006">
      <colorScale>
        <cfvo type="min"/>
        <cfvo type="max"/>
        <color theme="0"/>
        <color theme="0"/>
      </colorScale>
    </cfRule>
    <cfRule type="expression" dxfId="1638" priority="3007">
      <formula>AM16&lt;0</formula>
    </cfRule>
  </conditionalFormatting>
  <conditionalFormatting sqref="AN18">
    <cfRule type="expression" dxfId="1637" priority="2984">
      <formula>AM18&lt;0</formula>
    </cfRule>
    <cfRule type="colorScale" priority="2982">
      <colorScale>
        <cfvo type="min"/>
        <cfvo type="max"/>
        <color theme="0"/>
        <color theme="0"/>
      </colorScale>
    </cfRule>
  </conditionalFormatting>
  <conditionalFormatting sqref="AN19:AN20">
    <cfRule type="colorScale" priority="3004">
      <colorScale>
        <cfvo type="min"/>
        <cfvo type="max"/>
        <color theme="0"/>
        <color theme="0"/>
      </colorScale>
    </cfRule>
    <cfRule type="expression" dxfId="1636" priority="3005">
      <formula>AM19&lt;0</formula>
    </cfRule>
  </conditionalFormatting>
  <conditionalFormatting sqref="AN23">
    <cfRule type="expression" dxfId="1635" priority="2980">
      <formula>AM23&lt;0</formula>
    </cfRule>
    <cfRule type="colorScale" priority="2979">
      <colorScale>
        <cfvo type="min"/>
        <cfvo type="max"/>
        <color theme="0"/>
        <color theme="0"/>
      </colorScale>
    </cfRule>
  </conditionalFormatting>
  <conditionalFormatting sqref="AN23:AN31">
    <cfRule type="expression" priority="2975">
      <formula>#REF!</formula>
    </cfRule>
    <cfRule type="expression" dxfId="1634" priority="2973">
      <formula>IF(AN23="Validar","Rojo","Verde")</formula>
    </cfRule>
  </conditionalFormatting>
  <conditionalFormatting sqref="AN24">
    <cfRule type="colorScale" priority="3002">
      <colorScale>
        <cfvo type="min"/>
        <cfvo type="max"/>
        <color theme="0"/>
        <color theme="0"/>
      </colorScale>
    </cfRule>
    <cfRule type="expression" dxfId="1633" priority="3003">
      <formula>AM24&lt;0</formula>
    </cfRule>
  </conditionalFormatting>
  <conditionalFormatting sqref="AN25">
    <cfRule type="colorScale" priority="3000">
      <colorScale>
        <cfvo type="min"/>
        <cfvo type="max"/>
        <color theme="0"/>
        <color theme="0"/>
      </colorScale>
    </cfRule>
    <cfRule type="expression" dxfId="1632" priority="3001">
      <formula>AM25&lt;0</formula>
    </cfRule>
  </conditionalFormatting>
  <conditionalFormatting sqref="AN26">
    <cfRule type="colorScale" priority="2977">
      <colorScale>
        <cfvo type="min"/>
        <cfvo type="max"/>
        <color theme="0"/>
        <color theme="0"/>
      </colorScale>
    </cfRule>
    <cfRule type="expression" dxfId="1631" priority="2978">
      <formula>AM26&lt;0</formula>
    </cfRule>
  </conditionalFormatting>
  <conditionalFormatting sqref="AN27">
    <cfRule type="colorScale" priority="2998">
      <colorScale>
        <cfvo type="min"/>
        <cfvo type="max"/>
        <color theme="0"/>
        <color theme="0"/>
      </colorScale>
    </cfRule>
    <cfRule type="expression" dxfId="1630" priority="2999">
      <formula>AM27&lt;0</formula>
    </cfRule>
  </conditionalFormatting>
  <conditionalFormatting sqref="AN28">
    <cfRule type="expression" dxfId="1629" priority="2997">
      <formula>AM28&lt;0</formula>
    </cfRule>
    <cfRule type="colorScale" priority="2996">
      <colorScale>
        <cfvo type="min"/>
        <cfvo type="max"/>
        <color theme="0"/>
        <color theme="0"/>
      </colorScale>
    </cfRule>
  </conditionalFormatting>
  <conditionalFormatting sqref="AN29">
    <cfRule type="colorScale" priority="2974">
      <colorScale>
        <cfvo type="min"/>
        <cfvo type="max"/>
        <color theme="0"/>
        <color theme="0"/>
      </colorScale>
    </cfRule>
    <cfRule type="expression" dxfId="1628" priority="2976">
      <formula>AM29&lt;0</formula>
    </cfRule>
  </conditionalFormatting>
  <conditionalFormatting sqref="AN30">
    <cfRule type="expression" dxfId="1627" priority="2995">
      <formula>AM30&lt;0</formula>
    </cfRule>
    <cfRule type="colorScale" priority="2994">
      <colorScale>
        <cfvo type="min"/>
        <cfvo type="max"/>
        <color theme="0"/>
        <color theme="0"/>
      </colorScale>
    </cfRule>
  </conditionalFormatting>
  <conditionalFormatting sqref="AN31">
    <cfRule type="expression" dxfId="1626" priority="2993">
      <formula>AM31&lt;0</formula>
    </cfRule>
    <cfRule type="colorScale" priority="2992">
      <colorScale>
        <cfvo type="min"/>
        <cfvo type="max"/>
        <color theme="0"/>
        <color theme="0"/>
      </colorScale>
    </cfRule>
  </conditionalFormatting>
  <conditionalFormatting sqref="AN39">
    <cfRule type="expression" dxfId="1625" priority="2972">
      <formula>AM39&lt;0</formula>
    </cfRule>
    <cfRule type="expression" priority="2971">
      <formula>#REF!</formula>
    </cfRule>
    <cfRule type="colorScale" priority="2970">
      <colorScale>
        <cfvo type="min"/>
        <cfvo type="max"/>
        <color theme="0"/>
        <color theme="0"/>
      </colorScale>
    </cfRule>
  </conditionalFormatting>
  <conditionalFormatting sqref="AN39:AN107">
    <cfRule type="expression" dxfId="1624" priority="2908">
      <formula>IF(AN39="Validar","Rojo","Verde")</formula>
    </cfRule>
  </conditionalFormatting>
  <conditionalFormatting sqref="AN40:AN67">
    <cfRule type="colorScale" priority="2989">
      <colorScale>
        <cfvo type="min"/>
        <cfvo type="max"/>
        <color theme="0"/>
        <color theme="0"/>
      </colorScale>
    </cfRule>
    <cfRule type="expression" priority="2990">
      <formula>$F$19</formula>
    </cfRule>
    <cfRule type="expression" dxfId="1623" priority="2991">
      <formula>AM40&lt;0</formula>
    </cfRule>
  </conditionalFormatting>
  <conditionalFormatting sqref="AN68">
    <cfRule type="colorScale" priority="2967">
      <colorScale>
        <cfvo type="min"/>
        <cfvo type="max"/>
        <color theme="0"/>
        <color theme="0"/>
      </colorScale>
    </cfRule>
    <cfRule type="expression" priority="2968">
      <formula>#REF!</formula>
    </cfRule>
    <cfRule type="expression" dxfId="1622" priority="2969">
      <formula>AM68&lt;0</formula>
    </cfRule>
  </conditionalFormatting>
  <conditionalFormatting sqref="AN69:AN81">
    <cfRule type="colorScale" priority="3014">
      <colorScale>
        <cfvo type="min"/>
        <cfvo type="max"/>
        <color theme="0"/>
        <color theme="0"/>
      </colorScale>
    </cfRule>
    <cfRule type="expression" dxfId="1621" priority="3016">
      <formula>AM69&lt;0</formula>
    </cfRule>
    <cfRule type="expression" priority="3015">
      <formula>$F$19</formula>
    </cfRule>
  </conditionalFormatting>
  <conditionalFormatting sqref="AN82 AN92 AN103 AN107">
    <cfRule type="expression" dxfId="1620" priority="3013">
      <formula>AM82&lt;0</formula>
    </cfRule>
    <cfRule type="colorScale" priority="3012">
      <colorScale>
        <cfvo type="min"/>
        <cfvo type="max"/>
        <color theme="0"/>
        <color theme="0"/>
      </colorScale>
    </cfRule>
  </conditionalFormatting>
  <conditionalFormatting sqref="AN83">
    <cfRule type="expression" dxfId="1619" priority="2911">
      <formula>AM83&lt;0</formula>
    </cfRule>
    <cfRule type="expression" priority="2910">
      <formula>#REF!</formula>
    </cfRule>
    <cfRule type="colorScale" priority="2909">
      <colorScale>
        <cfvo type="min"/>
        <cfvo type="max"/>
        <color theme="0"/>
        <color theme="0"/>
      </colorScale>
    </cfRule>
  </conditionalFormatting>
  <conditionalFormatting sqref="AN84:AN91">
    <cfRule type="colorScale" priority="3017">
      <colorScale>
        <cfvo type="min"/>
        <cfvo type="max"/>
        <color theme="0"/>
        <color theme="0"/>
      </colorScale>
    </cfRule>
    <cfRule type="expression" priority="3018">
      <formula>$F$19</formula>
    </cfRule>
    <cfRule type="expression" dxfId="1618" priority="3019">
      <formula>AM84&lt;0</formula>
    </cfRule>
  </conditionalFormatting>
  <conditionalFormatting sqref="AN93">
    <cfRule type="colorScale" priority="2964">
      <colorScale>
        <cfvo type="min"/>
        <cfvo type="max"/>
        <color theme="0"/>
        <color theme="0"/>
      </colorScale>
    </cfRule>
    <cfRule type="expression" priority="2965">
      <formula>#REF!</formula>
    </cfRule>
    <cfRule type="expression" dxfId="1617" priority="2966">
      <formula>AM93&lt;0</formula>
    </cfRule>
  </conditionalFormatting>
  <conditionalFormatting sqref="AN94:AN102">
    <cfRule type="colorScale" priority="3020">
      <colorScale>
        <cfvo type="min"/>
        <cfvo type="max"/>
        <color theme="0"/>
        <color theme="0"/>
      </colorScale>
    </cfRule>
    <cfRule type="expression" dxfId="1616" priority="3022">
      <formula>AM94&lt;0</formula>
    </cfRule>
    <cfRule type="expression" priority="3021">
      <formula>$F$19</formula>
    </cfRule>
  </conditionalFormatting>
  <conditionalFormatting sqref="AN104">
    <cfRule type="expression" dxfId="1615" priority="2963">
      <formula>AM104&lt;0</formula>
    </cfRule>
    <cfRule type="colorScale" priority="2961">
      <colorScale>
        <cfvo type="min"/>
        <cfvo type="max"/>
        <color theme="0"/>
        <color theme="0"/>
      </colorScale>
    </cfRule>
    <cfRule type="expression" priority="2962">
      <formula>#REF!</formula>
    </cfRule>
  </conditionalFormatting>
  <conditionalFormatting sqref="AN105:AN106">
    <cfRule type="colorScale" priority="3023">
      <colorScale>
        <cfvo type="min"/>
        <cfvo type="max"/>
        <color theme="0"/>
        <color theme="0"/>
      </colorScale>
    </cfRule>
    <cfRule type="expression" priority="3024">
      <formula>$F$19</formula>
    </cfRule>
    <cfRule type="expression" dxfId="1614" priority="3025">
      <formula>AM105&lt;0</formula>
    </cfRule>
  </conditionalFormatting>
  <conditionalFormatting sqref="AN110">
    <cfRule type="colorScale" priority="3026">
      <colorScale>
        <cfvo type="min"/>
        <cfvo type="max"/>
        <color theme="0"/>
        <color theme="0"/>
      </colorScale>
    </cfRule>
    <cfRule type="expression" dxfId="1613" priority="3027">
      <formula>AM110&lt;0</formula>
    </cfRule>
  </conditionalFormatting>
  <conditionalFormatting sqref="AN110:AN111">
    <cfRule type="expression" priority="2906">
      <formula>$F$19</formula>
    </cfRule>
  </conditionalFormatting>
  <conditionalFormatting sqref="AN111">
    <cfRule type="colorScale" priority="2905">
      <colorScale>
        <cfvo type="min"/>
        <cfvo type="max"/>
        <color theme="0"/>
        <color theme="0"/>
      </colorScale>
    </cfRule>
    <cfRule type="expression" dxfId="1612" priority="2907">
      <formula>AM111&lt;0</formula>
    </cfRule>
  </conditionalFormatting>
  <conditionalFormatting sqref="AN117:AN123">
    <cfRule type="expression" priority="3032">
      <formula>$F$19</formula>
    </cfRule>
    <cfRule type="expression" dxfId="1611" priority="3033">
      <formula>AM117&lt;0</formula>
    </cfRule>
    <cfRule type="colorScale" priority="3031">
      <colorScale>
        <cfvo type="min"/>
        <cfvo type="max"/>
        <color theme="0"/>
        <color theme="0"/>
      </colorScale>
    </cfRule>
  </conditionalFormatting>
  <conditionalFormatting sqref="AN125">
    <cfRule type="colorScale" priority="2958">
      <colorScale>
        <cfvo type="min"/>
        <cfvo type="max"/>
        <color theme="0"/>
        <color theme="0"/>
      </colorScale>
    </cfRule>
    <cfRule type="expression" dxfId="1610" priority="2960">
      <formula>AM125&lt;0</formula>
    </cfRule>
    <cfRule type="expression" priority="2959">
      <formula>#REF!</formula>
    </cfRule>
  </conditionalFormatting>
  <conditionalFormatting sqref="AN125:AN135">
    <cfRule type="expression" dxfId="1609" priority="2957">
      <formula>IF(AN125="Validar","Rojo","Verde")</formula>
    </cfRule>
  </conditionalFormatting>
  <conditionalFormatting sqref="AN126:AN132">
    <cfRule type="expression" dxfId="1608" priority="3036">
      <formula>AM126&lt;0</formula>
    </cfRule>
    <cfRule type="colorScale" priority="3034">
      <colorScale>
        <cfvo type="min"/>
        <cfvo type="max"/>
        <color theme="0"/>
        <color theme="0"/>
      </colorScale>
    </cfRule>
  </conditionalFormatting>
  <conditionalFormatting sqref="AN126:AN134">
    <cfRule type="expression" priority="3035">
      <formula>$F$19</formula>
    </cfRule>
  </conditionalFormatting>
  <conditionalFormatting sqref="AN133:AN134">
    <cfRule type="colorScale" priority="3037">
      <colorScale>
        <cfvo type="min"/>
        <cfvo type="max"/>
        <color theme="0"/>
        <color theme="0"/>
      </colorScale>
    </cfRule>
    <cfRule type="expression" dxfId="1607" priority="3038">
      <formula>AM133&lt;0</formula>
    </cfRule>
  </conditionalFormatting>
  <conditionalFormatting sqref="AN135">
    <cfRule type="expression" dxfId="1606" priority="3030">
      <formula>AM135&lt;0</formula>
    </cfRule>
    <cfRule type="expression" priority="3029">
      <formula>$F$23</formula>
    </cfRule>
    <cfRule type="colorScale" priority="3028">
      <colorScale>
        <cfvo type="min"/>
        <cfvo type="max"/>
        <color theme="0"/>
        <color theme="0"/>
      </colorScale>
    </cfRule>
  </conditionalFormatting>
  <conditionalFormatting sqref="AN110:AP111">
    <cfRule type="expression" dxfId="1605" priority="2901">
      <formula>IF(AN110="Validar","Rojo","Verde")</formula>
    </cfRule>
  </conditionalFormatting>
  <conditionalFormatting sqref="AN117:AP123">
    <cfRule type="expression" dxfId="1604" priority="2914">
      <formula>IF(AN117="Validar","Rojo","Verde")</formula>
    </cfRule>
  </conditionalFormatting>
  <conditionalFormatting sqref="AO40:AO66">
    <cfRule type="expression" priority="2950">
      <formula>#REF!</formula>
    </cfRule>
    <cfRule type="expression" dxfId="1603" priority="2951">
      <formula>AN40&lt;0</formula>
    </cfRule>
    <cfRule type="colorScale" priority="2949">
      <colorScale>
        <cfvo type="min"/>
        <cfvo type="max"/>
        <color theme="0"/>
        <color theme="0"/>
      </colorScale>
    </cfRule>
  </conditionalFormatting>
  <conditionalFormatting sqref="AO40:AO67">
    <cfRule type="expression" dxfId="1602" priority="2948">
      <formula>IF(AO40="Validar","Rojo","Verde")</formula>
    </cfRule>
  </conditionalFormatting>
  <conditionalFormatting sqref="AO67 AN82:AO82 AN92:AO92 AN103:AO103 AN107:AO107">
    <cfRule type="expression" priority="2953">
      <formula>$F$23</formula>
    </cfRule>
  </conditionalFormatting>
  <conditionalFormatting sqref="AO67 AO82 AO92 AO103 AO107">
    <cfRule type="colorScale" priority="2952">
      <colorScale>
        <cfvo type="min"/>
        <cfvo type="max"/>
        <color theme="0"/>
        <color theme="0"/>
      </colorScale>
    </cfRule>
    <cfRule type="expression" dxfId="1601" priority="2954">
      <formula>AN67&lt;0</formula>
    </cfRule>
  </conditionalFormatting>
  <conditionalFormatting sqref="AO69">
    <cfRule type="colorScale" priority="2946">
      <colorScale>
        <cfvo type="min"/>
        <cfvo type="max"/>
        <color theme="0"/>
        <color theme="0"/>
      </colorScale>
    </cfRule>
    <cfRule type="expression" dxfId="1600" priority="2947">
      <formula>AN69&lt;0</formula>
    </cfRule>
  </conditionalFormatting>
  <conditionalFormatting sqref="AO69:AO81">
    <cfRule type="expression" priority="2944">
      <formula>#REF!</formula>
    </cfRule>
  </conditionalFormatting>
  <conditionalFormatting sqref="AO69:AO82">
    <cfRule type="expression" dxfId="1599" priority="2942">
      <formula>IF(AO69="Validar","Rojo","Verde")</formula>
    </cfRule>
  </conditionalFormatting>
  <conditionalFormatting sqref="AO70:AO78">
    <cfRule type="expression" dxfId="1598" priority="2945">
      <formula>AN70&lt;0</formula>
    </cfRule>
    <cfRule type="colorScale" priority="2943">
      <colorScale>
        <cfvo type="min"/>
        <cfvo type="max"/>
        <color theme="0"/>
        <color theme="0"/>
      </colorScale>
    </cfRule>
  </conditionalFormatting>
  <conditionalFormatting sqref="AO79:AO81">
    <cfRule type="expression" dxfId="1597" priority="2956">
      <formula>AN79&lt;0</formula>
    </cfRule>
    <cfRule type="colorScale" priority="2955">
      <colorScale>
        <cfvo type="min"/>
        <cfvo type="max"/>
        <color theme="0"/>
        <color theme="0"/>
      </colorScale>
    </cfRule>
  </conditionalFormatting>
  <conditionalFormatting sqref="AO84">
    <cfRule type="expression" dxfId="1596" priority="2941">
      <formula>AN84&lt;0</formula>
    </cfRule>
    <cfRule type="colorScale" priority="2940">
      <colorScale>
        <cfvo type="min"/>
        <cfvo type="max"/>
        <color theme="0"/>
        <color theme="0"/>
      </colorScale>
    </cfRule>
  </conditionalFormatting>
  <conditionalFormatting sqref="AO84:AO91">
    <cfRule type="expression" priority="2938">
      <formula>#REF!</formula>
    </cfRule>
  </conditionalFormatting>
  <conditionalFormatting sqref="AO84:AO92">
    <cfRule type="expression" dxfId="1595" priority="2936">
      <formula>IF(AO84="Validar","Rojo","Verde")</formula>
    </cfRule>
  </conditionalFormatting>
  <conditionalFormatting sqref="AO85:AO91">
    <cfRule type="expression" dxfId="1594" priority="2939">
      <formula>AN85&lt;0</formula>
    </cfRule>
    <cfRule type="colorScale" priority="2937">
      <colorScale>
        <cfvo type="min"/>
        <cfvo type="max"/>
        <color theme="0"/>
        <color theme="0"/>
      </colorScale>
    </cfRule>
  </conditionalFormatting>
  <conditionalFormatting sqref="AO94">
    <cfRule type="expression" dxfId="1593" priority="2935">
      <formula>AN94&lt;0</formula>
    </cfRule>
    <cfRule type="colorScale" priority="2934">
      <colorScale>
        <cfvo type="min"/>
        <cfvo type="max"/>
        <color theme="0"/>
        <color theme="0"/>
      </colorScale>
    </cfRule>
  </conditionalFormatting>
  <conditionalFormatting sqref="AO94:AO102">
    <cfRule type="expression" priority="2928">
      <formula>#REF!</formula>
    </cfRule>
  </conditionalFormatting>
  <conditionalFormatting sqref="AO94:AO103">
    <cfRule type="expression" dxfId="1592" priority="2926">
      <formula>IF(AO94="Validar","Rojo","Verde")</formula>
    </cfRule>
  </conditionalFormatting>
  <conditionalFormatting sqref="AO95:AO100">
    <cfRule type="colorScale" priority="2932">
      <colorScale>
        <cfvo type="min"/>
        <cfvo type="max"/>
        <color theme="0"/>
        <color theme="0"/>
      </colorScale>
    </cfRule>
    <cfRule type="expression" dxfId="1591" priority="2933">
      <formula>AN95&lt;0</formula>
    </cfRule>
  </conditionalFormatting>
  <conditionalFormatting sqref="AO101">
    <cfRule type="colorScale" priority="2930">
      <colorScale>
        <cfvo type="min"/>
        <cfvo type="max"/>
        <color theme="0"/>
        <color theme="0"/>
      </colorScale>
    </cfRule>
    <cfRule type="expression" dxfId="1590" priority="2931">
      <formula>AN101&lt;0</formula>
    </cfRule>
  </conditionalFormatting>
  <conditionalFormatting sqref="AO102">
    <cfRule type="expression" dxfId="1589" priority="2929">
      <formula>AN102&lt;0</formula>
    </cfRule>
    <cfRule type="colorScale" priority="2927">
      <colorScale>
        <cfvo type="min"/>
        <cfvo type="max"/>
        <color theme="0"/>
        <color theme="0"/>
      </colorScale>
    </cfRule>
  </conditionalFormatting>
  <conditionalFormatting sqref="AO105">
    <cfRule type="expression" dxfId="1588" priority="2925">
      <formula>AN105&lt;0</formula>
    </cfRule>
    <cfRule type="colorScale" priority="2924">
      <colorScale>
        <cfvo type="min"/>
        <cfvo type="max"/>
        <color theme="0"/>
        <color theme="0"/>
      </colorScale>
    </cfRule>
  </conditionalFormatting>
  <conditionalFormatting sqref="AO105:AO106">
    <cfRule type="expression" priority="2922">
      <formula>#REF!</formula>
    </cfRule>
  </conditionalFormatting>
  <conditionalFormatting sqref="AO105:AO107">
    <cfRule type="expression" dxfId="1587" priority="2920">
      <formula>IF(AO105="Validar","Rojo","Verde")</formula>
    </cfRule>
  </conditionalFormatting>
  <conditionalFormatting sqref="AO106">
    <cfRule type="colorScale" priority="2921">
      <colorScale>
        <cfvo type="min"/>
        <cfvo type="max"/>
        <color theme="0"/>
        <color theme="0"/>
      </colorScale>
    </cfRule>
    <cfRule type="expression" dxfId="1586" priority="2923">
      <formula>AN106&lt;0</formula>
    </cfRule>
  </conditionalFormatting>
  <conditionalFormatting sqref="AO110">
    <cfRule type="expression" dxfId="1585" priority="2913">
      <formula>AN110&lt;0</formula>
    </cfRule>
    <cfRule type="colorScale" priority="2912">
      <colorScale>
        <cfvo type="min"/>
        <cfvo type="max"/>
        <color theme="0"/>
        <color theme="0"/>
      </colorScale>
    </cfRule>
  </conditionalFormatting>
  <conditionalFormatting sqref="AO111">
    <cfRule type="expression" dxfId="1584" priority="2904">
      <formula>AN111&lt;0</formula>
    </cfRule>
    <cfRule type="colorScale" priority="2902">
      <colorScale>
        <cfvo type="min"/>
        <cfvo type="max"/>
        <color theme="0"/>
        <color theme="0"/>
      </colorScale>
    </cfRule>
  </conditionalFormatting>
  <conditionalFormatting sqref="AO117">
    <cfRule type="expression" dxfId="1583" priority="2919">
      <formula>AN117&lt;0</formula>
    </cfRule>
    <cfRule type="colorScale" priority="2918">
      <colorScale>
        <cfvo type="min"/>
        <cfvo type="max"/>
        <color theme="0"/>
        <color theme="0"/>
      </colorScale>
    </cfRule>
  </conditionalFormatting>
  <conditionalFormatting sqref="AO118:AO123">
    <cfRule type="expression" dxfId="1582" priority="2917">
      <formula>AN118&lt;0</formula>
    </cfRule>
    <cfRule type="colorScale" priority="2915">
      <colorScale>
        <cfvo type="min"/>
        <cfvo type="max"/>
        <color theme="0"/>
        <color theme="0"/>
      </colorScale>
    </cfRule>
  </conditionalFormatting>
  <conditionalFormatting sqref="AO126:AO135">
    <cfRule type="expression" priority="3041">
      <formula>$F$23</formula>
    </cfRule>
    <cfRule type="colorScale" priority="3040">
      <colorScale>
        <cfvo type="min"/>
        <cfvo type="max"/>
        <color theme="0"/>
        <color theme="0"/>
      </colorScale>
    </cfRule>
    <cfRule type="expression" dxfId="1581" priority="3039">
      <formula>IF(AO126="Validar","Rojo","Verde")</formula>
    </cfRule>
    <cfRule type="expression" dxfId="1580" priority="3042">
      <formula>AN126&lt;0</formula>
    </cfRule>
  </conditionalFormatting>
  <conditionalFormatting sqref="AO110:AP111">
    <cfRule type="expression" priority="2903">
      <formula>#REF!</formula>
    </cfRule>
  </conditionalFormatting>
  <conditionalFormatting sqref="AO117:AP123">
    <cfRule type="expression" priority="2916">
      <formula>#REF!</formula>
    </cfRule>
  </conditionalFormatting>
  <conditionalFormatting sqref="AP5">
    <cfRule type="expression" dxfId="1579" priority="141">
      <formula>AO5&lt;0</formula>
    </cfRule>
    <cfRule type="colorScale" priority="140">
      <colorScale>
        <cfvo type="min"/>
        <cfvo type="max"/>
        <color theme="0"/>
        <color theme="0"/>
      </colorScale>
    </cfRule>
  </conditionalFormatting>
  <conditionalFormatting sqref="AP5:AP16">
    <cfRule type="expression" priority="139">
      <formula>#REF!</formula>
    </cfRule>
    <cfRule type="expression" dxfId="1578" priority="138">
      <formula>IF(AP5="Validar","Rojo","Verde")</formula>
    </cfRule>
  </conditionalFormatting>
  <conditionalFormatting sqref="AP6:AP9">
    <cfRule type="expression" dxfId="1577" priority="5188">
      <formula>AO6&lt;0</formula>
    </cfRule>
    <cfRule type="colorScale" priority="5187">
      <colorScale>
        <cfvo type="min"/>
        <cfvo type="max"/>
        <color theme="0"/>
        <color theme="0"/>
      </colorScale>
    </cfRule>
  </conditionalFormatting>
  <conditionalFormatting sqref="AP10">
    <cfRule type="colorScale" priority="5155">
      <colorScale>
        <cfvo type="min"/>
        <cfvo type="max"/>
        <color theme="0"/>
        <color theme="0"/>
      </colorScale>
    </cfRule>
    <cfRule type="expression" dxfId="1576" priority="5156">
      <formula>AO10&lt;0</formula>
    </cfRule>
  </conditionalFormatting>
  <conditionalFormatting sqref="AP11:AP13">
    <cfRule type="colorScale" priority="5185">
      <colorScale>
        <cfvo type="min"/>
        <cfvo type="max"/>
        <color theme="0"/>
        <color theme="0"/>
      </colorScale>
    </cfRule>
    <cfRule type="expression" dxfId="1575" priority="5186">
      <formula>AO11&lt;0</formula>
    </cfRule>
  </conditionalFormatting>
  <conditionalFormatting sqref="AP14">
    <cfRule type="colorScale" priority="300">
      <colorScale>
        <cfvo type="min"/>
        <cfvo type="max"/>
        <color theme="0"/>
        <color theme="0"/>
      </colorScale>
    </cfRule>
    <cfRule type="expression" dxfId="1574" priority="301">
      <formula>AO14&lt;0</formula>
    </cfRule>
  </conditionalFormatting>
  <conditionalFormatting sqref="AP15">
    <cfRule type="expression" dxfId="1573" priority="5154">
      <formula>AO15&lt;0</formula>
    </cfRule>
    <cfRule type="colorScale" priority="5152">
      <colorScale>
        <cfvo type="min"/>
        <cfvo type="max"/>
        <color theme="0"/>
        <color theme="0"/>
      </colorScale>
    </cfRule>
  </conditionalFormatting>
  <conditionalFormatting sqref="AP16">
    <cfRule type="colorScale" priority="5183">
      <colorScale>
        <cfvo type="min"/>
        <cfvo type="max"/>
        <color theme="0"/>
        <color theme="0"/>
      </colorScale>
    </cfRule>
    <cfRule type="expression" dxfId="1572" priority="5184">
      <formula>AO16&lt;0</formula>
    </cfRule>
  </conditionalFormatting>
  <conditionalFormatting sqref="AP18">
    <cfRule type="expression" dxfId="1571" priority="5150">
      <formula>AO18&lt;0</formula>
    </cfRule>
    <cfRule type="colorScale" priority="5148">
      <colorScale>
        <cfvo type="min"/>
        <cfvo type="max"/>
        <color theme="0"/>
        <color theme="0"/>
      </colorScale>
    </cfRule>
  </conditionalFormatting>
  <conditionalFormatting sqref="AP18:AP19">
    <cfRule type="expression" priority="5149">
      <formula>#REF!</formula>
    </cfRule>
    <cfRule type="expression" dxfId="1570" priority="5147">
      <formula>IF(AP18="Validar","Rojo","Verde")</formula>
    </cfRule>
  </conditionalFormatting>
  <conditionalFormatting sqref="AP19">
    <cfRule type="colorScale" priority="5181">
      <colorScale>
        <cfvo type="min"/>
        <cfvo type="max"/>
        <color theme="0"/>
        <color theme="0"/>
      </colorScale>
    </cfRule>
    <cfRule type="expression" dxfId="1569" priority="5182">
      <formula>AO19&lt;0</formula>
    </cfRule>
  </conditionalFormatting>
  <conditionalFormatting sqref="AP23">
    <cfRule type="expression" dxfId="1568" priority="5146">
      <formula>AO23&lt;0</formula>
    </cfRule>
    <cfRule type="colorScale" priority="5144">
      <colorScale>
        <cfvo type="min"/>
        <cfvo type="max"/>
        <color theme="0"/>
        <color theme="0"/>
      </colorScale>
    </cfRule>
  </conditionalFormatting>
  <conditionalFormatting sqref="AP23:AP24">
    <cfRule type="expression" priority="5145">
      <formula>#REF!</formula>
    </cfRule>
    <cfRule type="expression" dxfId="1567" priority="5143">
      <formula>IF(AP23="Validar","Rojo","Verde")</formula>
    </cfRule>
  </conditionalFormatting>
  <conditionalFormatting sqref="AP24">
    <cfRule type="expression" dxfId="1566" priority="5178">
      <formula>AO24&lt;0</formula>
    </cfRule>
    <cfRule type="colorScale" priority="5177">
      <colorScale>
        <cfvo type="min"/>
        <cfvo type="max"/>
        <color theme="0"/>
        <color theme="0"/>
      </colorScale>
    </cfRule>
  </conditionalFormatting>
  <conditionalFormatting sqref="AP26">
    <cfRule type="colorScale" priority="5140">
      <colorScale>
        <cfvo type="min"/>
        <cfvo type="max"/>
        <color theme="0"/>
        <color theme="0"/>
      </colorScale>
    </cfRule>
    <cfRule type="expression" dxfId="1565" priority="5142">
      <formula>AO26&lt;0</formula>
    </cfRule>
  </conditionalFormatting>
  <conditionalFormatting sqref="AP26:AP27">
    <cfRule type="expression" dxfId="1564" priority="5139">
      <formula>IF(AP26="Validar","Rojo","Verde")</formula>
    </cfRule>
    <cfRule type="expression" priority="5141">
      <formula>#REF!</formula>
    </cfRule>
  </conditionalFormatting>
  <conditionalFormatting sqref="AP27">
    <cfRule type="expression" dxfId="1563" priority="5176">
      <formula>AO27&lt;0</formula>
    </cfRule>
    <cfRule type="colorScale" priority="5175">
      <colorScale>
        <cfvo type="min"/>
        <cfvo type="max"/>
        <color theme="0"/>
        <color theme="0"/>
      </colorScale>
    </cfRule>
  </conditionalFormatting>
  <conditionalFormatting sqref="AP29">
    <cfRule type="expression" dxfId="1562" priority="5138">
      <formula>AO29&lt;0</formula>
    </cfRule>
    <cfRule type="colorScale" priority="5136">
      <colorScale>
        <cfvo type="min"/>
        <cfvo type="max"/>
        <color theme="0"/>
        <color theme="0"/>
      </colorScale>
    </cfRule>
  </conditionalFormatting>
  <conditionalFormatting sqref="AP29:AP30">
    <cfRule type="expression" priority="5137">
      <formula>#REF!</formula>
    </cfRule>
    <cfRule type="expression" dxfId="1561" priority="5135">
      <formula>IF(AP29="Validar","Rojo","Verde")</formula>
    </cfRule>
  </conditionalFormatting>
  <conditionalFormatting sqref="AP30">
    <cfRule type="expression" dxfId="1560" priority="5174">
      <formula>AO30&lt;0</formula>
    </cfRule>
    <cfRule type="colorScale" priority="5173">
      <colorScale>
        <cfvo type="min"/>
        <cfvo type="max"/>
        <color theme="0"/>
        <color theme="0"/>
      </colorScale>
    </cfRule>
  </conditionalFormatting>
  <conditionalFormatting sqref="AP39">
    <cfRule type="colorScale" priority="5132">
      <colorScale>
        <cfvo type="min"/>
        <cfvo type="max"/>
        <color theme="0"/>
        <color theme="0"/>
      </colorScale>
    </cfRule>
    <cfRule type="expression" dxfId="1559" priority="5134">
      <formula>AO39&lt;0</formula>
    </cfRule>
  </conditionalFormatting>
  <conditionalFormatting sqref="AP39:AP66">
    <cfRule type="expression" priority="5133">
      <formula>#REF!</formula>
    </cfRule>
    <cfRule type="expression" dxfId="1558" priority="5131">
      <formula>IF(AP39="Validar","Rojo","Verde")</formula>
    </cfRule>
  </conditionalFormatting>
  <conditionalFormatting sqref="AP40:AP66">
    <cfRule type="expression" dxfId="1557" priority="5172">
      <formula>AO40&lt;0</formula>
    </cfRule>
    <cfRule type="colorScale" priority="5171">
      <colorScale>
        <cfvo type="min"/>
        <cfvo type="max"/>
        <color theme="0"/>
        <color theme="0"/>
      </colorScale>
    </cfRule>
  </conditionalFormatting>
  <conditionalFormatting sqref="AP68">
    <cfRule type="expression" dxfId="1556" priority="5130">
      <formula>AO68&lt;0</formula>
    </cfRule>
    <cfRule type="colorScale" priority="5128">
      <colorScale>
        <cfvo type="min"/>
        <cfvo type="max"/>
        <color theme="0"/>
        <color theme="0"/>
      </colorScale>
    </cfRule>
  </conditionalFormatting>
  <conditionalFormatting sqref="AP68:AP81">
    <cfRule type="expression" priority="5129">
      <formula>#REF!</formula>
    </cfRule>
    <cfRule type="expression" dxfId="1555" priority="5127">
      <formula>IF(AP68="Validar","Rojo","Verde")</formula>
    </cfRule>
  </conditionalFormatting>
  <conditionalFormatting sqref="AP69:AP81">
    <cfRule type="expression" dxfId="1554" priority="5190">
      <formula>AO69&lt;0</formula>
    </cfRule>
    <cfRule type="colorScale" priority="5189">
      <colorScale>
        <cfvo type="min"/>
        <cfvo type="max"/>
        <color theme="0"/>
        <color theme="0"/>
      </colorScale>
    </cfRule>
  </conditionalFormatting>
  <conditionalFormatting sqref="AP83">
    <cfRule type="colorScale" priority="5111">
      <colorScale>
        <cfvo type="min"/>
        <cfvo type="max"/>
        <color theme="0"/>
        <color theme="0"/>
      </colorScale>
    </cfRule>
    <cfRule type="expression" dxfId="1553" priority="5113">
      <formula>AO83&lt;0</formula>
    </cfRule>
  </conditionalFormatting>
  <conditionalFormatting sqref="AP83:AP91">
    <cfRule type="expression" dxfId="1552" priority="5110">
      <formula>IF(AP83="Validar","Rojo","Verde")</formula>
    </cfRule>
    <cfRule type="expression" priority="5112">
      <formula>#REF!</formula>
    </cfRule>
  </conditionalFormatting>
  <conditionalFormatting sqref="AP84:AP91">
    <cfRule type="expression" dxfId="1551" priority="5170">
      <formula>AO84&lt;0</formula>
    </cfRule>
    <cfRule type="colorScale" priority="5169">
      <colorScale>
        <cfvo type="min"/>
        <cfvo type="max"/>
        <color theme="0"/>
        <color theme="0"/>
      </colorScale>
    </cfRule>
  </conditionalFormatting>
  <conditionalFormatting sqref="AP93">
    <cfRule type="colorScale" priority="5124">
      <colorScale>
        <cfvo type="min"/>
        <cfvo type="max"/>
        <color theme="0"/>
        <color theme="0"/>
      </colorScale>
    </cfRule>
    <cfRule type="expression" dxfId="1550" priority="5126">
      <formula>AO93&lt;0</formula>
    </cfRule>
  </conditionalFormatting>
  <conditionalFormatting sqref="AP93:AP102">
    <cfRule type="expression" dxfId="1549" priority="5123">
      <formula>IF(AP93="Validar","Rojo","Verde")</formula>
    </cfRule>
    <cfRule type="expression" priority="5125">
      <formula>#REF!</formula>
    </cfRule>
  </conditionalFormatting>
  <conditionalFormatting sqref="AP94:AP102">
    <cfRule type="expression" dxfId="1548" priority="5168">
      <formula>AO94&lt;0</formula>
    </cfRule>
    <cfRule type="colorScale" priority="5167">
      <colorScale>
        <cfvo type="min"/>
        <cfvo type="max"/>
        <color theme="0"/>
        <color theme="0"/>
      </colorScale>
    </cfRule>
  </conditionalFormatting>
  <conditionalFormatting sqref="AP104">
    <cfRule type="colorScale" priority="5120">
      <colorScale>
        <cfvo type="min"/>
        <cfvo type="max"/>
        <color theme="0"/>
        <color theme="0"/>
      </colorScale>
    </cfRule>
    <cfRule type="expression" dxfId="1547" priority="5122">
      <formula>AO104&lt;0</formula>
    </cfRule>
  </conditionalFormatting>
  <conditionalFormatting sqref="AP104:AP106">
    <cfRule type="expression" priority="5121">
      <formula>#REF!</formula>
    </cfRule>
    <cfRule type="expression" dxfId="1546" priority="5119">
      <formula>IF(AP104="Validar","Rojo","Verde")</formula>
    </cfRule>
  </conditionalFormatting>
  <conditionalFormatting sqref="AP105:AP106">
    <cfRule type="expression" dxfId="1545" priority="5166">
      <formula>AO105&lt;0</formula>
    </cfRule>
    <cfRule type="colorScale" priority="5165">
      <colorScale>
        <cfvo type="min"/>
        <cfvo type="max"/>
        <color theme="0"/>
        <color theme="0"/>
      </colorScale>
    </cfRule>
  </conditionalFormatting>
  <conditionalFormatting sqref="AP110">
    <cfRule type="expression" dxfId="1544" priority="5164">
      <formula>AO110&lt;0</formula>
    </cfRule>
    <cfRule type="colorScale" priority="5163">
      <colorScale>
        <cfvo type="min"/>
        <cfvo type="max"/>
        <color theme="0"/>
        <color theme="0"/>
      </colorScale>
    </cfRule>
  </conditionalFormatting>
  <conditionalFormatting sqref="AP111">
    <cfRule type="colorScale" priority="5104">
      <colorScale>
        <cfvo type="min"/>
        <cfvo type="max"/>
        <color theme="0"/>
        <color theme="0"/>
      </colorScale>
    </cfRule>
    <cfRule type="expression" dxfId="1543" priority="5106">
      <formula>AO111&lt;0</formula>
    </cfRule>
  </conditionalFormatting>
  <conditionalFormatting sqref="AP117:AP123">
    <cfRule type="expression" dxfId="1542" priority="5162">
      <formula>AO117&lt;0</formula>
    </cfRule>
    <cfRule type="colorScale" priority="5160">
      <colorScale>
        <cfvo type="min"/>
        <cfvo type="max"/>
        <color theme="0"/>
        <color theme="0"/>
      </colorScale>
    </cfRule>
  </conditionalFormatting>
  <conditionalFormatting sqref="AP125">
    <cfRule type="expression" dxfId="1541" priority="5118">
      <formula>AO125&lt;0</formula>
    </cfRule>
    <cfRule type="colorScale" priority="5116">
      <colorScale>
        <cfvo type="min"/>
        <cfvo type="max"/>
        <color theme="0"/>
        <color theme="0"/>
      </colorScale>
    </cfRule>
  </conditionalFormatting>
  <conditionalFormatting sqref="AP125:AP134">
    <cfRule type="expression" priority="5117">
      <formula>#REF!</formula>
    </cfRule>
    <cfRule type="expression" dxfId="1540" priority="5115">
      <formula>IF(AP125="Validar","Rojo","Verde")</formula>
    </cfRule>
  </conditionalFormatting>
  <conditionalFormatting sqref="AP126:AP134">
    <cfRule type="expression" dxfId="1539" priority="5158">
      <formula>AO126&lt;0</formula>
    </cfRule>
    <cfRule type="colorScale" priority="5157">
      <colorScale>
        <cfvo type="min"/>
        <cfvo type="max"/>
        <color theme="0"/>
        <color theme="0"/>
      </colorScale>
    </cfRule>
  </conditionalFormatting>
  <conditionalFormatting sqref="AR5">
    <cfRule type="colorScale" priority="71">
      <colorScale>
        <cfvo type="min"/>
        <cfvo type="max"/>
        <color theme="0"/>
        <color theme="0"/>
      </colorScale>
    </cfRule>
    <cfRule type="expression" dxfId="1538" priority="72">
      <formula>AQ5&lt;0</formula>
    </cfRule>
  </conditionalFormatting>
  <conditionalFormatting sqref="AR5:AR20">
    <cfRule type="expression" priority="70">
      <formula>#REF!</formula>
    </cfRule>
    <cfRule type="expression" dxfId="1537" priority="69">
      <formula>IF(AR5="Validar","Rojo","Verde")</formula>
    </cfRule>
  </conditionalFormatting>
  <conditionalFormatting sqref="AR6">
    <cfRule type="expression" dxfId="1536" priority="2750">
      <formula>AQ6&lt;0</formula>
    </cfRule>
    <cfRule type="colorScale" priority="2749">
      <colorScale>
        <cfvo type="min"/>
        <cfvo type="max"/>
        <color theme="0"/>
        <color theme="0"/>
      </colorScale>
    </cfRule>
  </conditionalFormatting>
  <conditionalFormatting sqref="AR7:AR8">
    <cfRule type="expression" dxfId="1535" priority="2746">
      <formula>AQ7&lt;0</formula>
    </cfRule>
    <cfRule type="colorScale" priority="2745">
      <colorScale>
        <cfvo type="min"/>
        <cfvo type="max"/>
        <color theme="0"/>
        <color theme="0"/>
      </colorScale>
    </cfRule>
  </conditionalFormatting>
  <conditionalFormatting sqref="AR9">
    <cfRule type="expression" dxfId="1534" priority="2861">
      <formula>AQ9&lt;0</formula>
    </cfRule>
    <cfRule type="colorScale" priority="2860">
      <colorScale>
        <cfvo type="min"/>
        <cfvo type="max"/>
        <color theme="0"/>
        <color theme="0"/>
      </colorScale>
    </cfRule>
  </conditionalFormatting>
  <conditionalFormatting sqref="AR10">
    <cfRule type="colorScale" priority="2837">
      <colorScale>
        <cfvo type="min"/>
        <cfvo type="max"/>
        <color theme="0"/>
        <color theme="0"/>
      </colorScale>
    </cfRule>
    <cfRule type="expression" dxfId="1533" priority="2838">
      <formula>AQ10&lt;0</formula>
    </cfRule>
  </conditionalFormatting>
  <conditionalFormatting sqref="AR11:AR13">
    <cfRule type="expression" dxfId="1532" priority="2859">
      <formula>AQ11&lt;0</formula>
    </cfRule>
    <cfRule type="colorScale" priority="2858">
      <colorScale>
        <cfvo type="min"/>
        <cfvo type="max"/>
        <color theme="0"/>
        <color theme="0"/>
      </colorScale>
    </cfRule>
  </conditionalFormatting>
  <conditionalFormatting sqref="AR14">
    <cfRule type="expression" dxfId="1531" priority="248">
      <formula>AQ14&lt;0</formula>
    </cfRule>
    <cfRule type="colorScale" priority="247">
      <colorScale>
        <cfvo type="min"/>
        <cfvo type="max"/>
        <color theme="0"/>
        <color theme="0"/>
      </colorScale>
    </cfRule>
  </conditionalFormatting>
  <conditionalFormatting sqref="AR15">
    <cfRule type="colorScale" priority="2835">
      <colorScale>
        <cfvo type="min"/>
        <cfvo type="max"/>
        <color theme="0"/>
        <color theme="0"/>
      </colorScale>
    </cfRule>
    <cfRule type="expression" dxfId="1530" priority="2836">
      <formula>AQ15&lt;0</formula>
    </cfRule>
  </conditionalFormatting>
  <conditionalFormatting sqref="AR16:AR17">
    <cfRule type="expression" dxfId="1529" priority="2857">
      <formula>AQ16&lt;0</formula>
    </cfRule>
    <cfRule type="colorScale" priority="2856">
      <colorScale>
        <cfvo type="min"/>
        <cfvo type="max"/>
        <color theme="0"/>
        <color theme="0"/>
      </colorScale>
    </cfRule>
  </conditionalFormatting>
  <conditionalFormatting sqref="AR18">
    <cfRule type="colorScale" priority="2832">
      <colorScale>
        <cfvo type="min"/>
        <cfvo type="max"/>
        <color theme="0"/>
        <color theme="0"/>
      </colorScale>
    </cfRule>
    <cfRule type="expression" dxfId="1528" priority="2834">
      <formula>AQ18&lt;0</formula>
    </cfRule>
  </conditionalFormatting>
  <conditionalFormatting sqref="AR19:AR20">
    <cfRule type="colorScale" priority="2854">
      <colorScale>
        <cfvo type="min"/>
        <cfvo type="max"/>
        <color theme="0"/>
        <color theme="0"/>
      </colorScale>
    </cfRule>
    <cfRule type="expression" dxfId="1527" priority="2855">
      <formula>AQ19&lt;0</formula>
    </cfRule>
  </conditionalFormatting>
  <conditionalFormatting sqref="AR23">
    <cfRule type="colorScale" priority="2829">
      <colorScale>
        <cfvo type="min"/>
        <cfvo type="max"/>
        <color theme="0"/>
        <color theme="0"/>
      </colorScale>
    </cfRule>
    <cfRule type="expression" dxfId="1526" priority="2830">
      <formula>AQ23&lt;0</formula>
    </cfRule>
  </conditionalFormatting>
  <conditionalFormatting sqref="AR23:AR31">
    <cfRule type="expression" priority="2825">
      <formula>#REF!</formula>
    </cfRule>
    <cfRule type="expression" dxfId="1525" priority="2823">
      <formula>IF(AR23="Validar","Rojo","Verde")</formula>
    </cfRule>
  </conditionalFormatting>
  <conditionalFormatting sqref="AR24">
    <cfRule type="colorScale" priority="2852">
      <colorScale>
        <cfvo type="min"/>
        <cfvo type="max"/>
        <color theme="0"/>
        <color theme="0"/>
      </colorScale>
    </cfRule>
    <cfRule type="expression" dxfId="1524" priority="2853">
      <formula>AQ24&lt;0</formula>
    </cfRule>
  </conditionalFormatting>
  <conditionalFormatting sqref="AR25">
    <cfRule type="colorScale" priority="2850">
      <colorScale>
        <cfvo type="min"/>
        <cfvo type="max"/>
        <color theme="0"/>
        <color theme="0"/>
      </colorScale>
    </cfRule>
    <cfRule type="expression" dxfId="1523" priority="2851">
      <formula>AQ25&lt;0</formula>
    </cfRule>
  </conditionalFormatting>
  <conditionalFormatting sqref="AR26">
    <cfRule type="expression" dxfId="1522" priority="2828">
      <formula>AQ26&lt;0</formula>
    </cfRule>
    <cfRule type="colorScale" priority="2827">
      <colorScale>
        <cfvo type="min"/>
        <cfvo type="max"/>
        <color theme="0"/>
        <color theme="0"/>
      </colorScale>
    </cfRule>
  </conditionalFormatting>
  <conditionalFormatting sqref="AR27">
    <cfRule type="expression" dxfId="1521" priority="2849">
      <formula>AQ27&lt;0</formula>
    </cfRule>
    <cfRule type="colorScale" priority="2848">
      <colorScale>
        <cfvo type="min"/>
        <cfvo type="max"/>
        <color theme="0"/>
        <color theme="0"/>
      </colorScale>
    </cfRule>
  </conditionalFormatting>
  <conditionalFormatting sqref="AR28">
    <cfRule type="colorScale" priority="2846">
      <colorScale>
        <cfvo type="min"/>
        <cfvo type="max"/>
        <color theme="0"/>
        <color theme="0"/>
      </colorScale>
    </cfRule>
    <cfRule type="expression" dxfId="1520" priority="2847">
      <formula>AQ28&lt;0</formula>
    </cfRule>
  </conditionalFormatting>
  <conditionalFormatting sqref="AR29">
    <cfRule type="colorScale" priority="2824">
      <colorScale>
        <cfvo type="min"/>
        <cfvo type="max"/>
        <color theme="0"/>
        <color theme="0"/>
      </colorScale>
    </cfRule>
    <cfRule type="expression" dxfId="1519" priority="2826">
      <formula>AQ29&lt;0</formula>
    </cfRule>
  </conditionalFormatting>
  <conditionalFormatting sqref="AR30">
    <cfRule type="expression" dxfId="1518" priority="2845">
      <formula>AQ30&lt;0</formula>
    </cfRule>
    <cfRule type="colorScale" priority="2844">
      <colorScale>
        <cfvo type="min"/>
        <cfvo type="max"/>
        <color theme="0"/>
        <color theme="0"/>
      </colorScale>
    </cfRule>
  </conditionalFormatting>
  <conditionalFormatting sqref="AR31">
    <cfRule type="colorScale" priority="2842">
      <colorScale>
        <cfvo type="min"/>
        <cfvo type="max"/>
        <color theme="0"/>
        <color theme="0"/>
      </colorScale>
    </cfRule>
    <cfRule type="expression" dxfId="1517" priority="2843">
      <formula>AQ31&lt;0</formula>
    </cfRule>
  </conditionalFormatting>
  <conditionalFormatting sqref="AR39">
    <cfRule type="colorScale" priority="2820">
      <colorScale>
        <cfvo type="min"/>
        <cfvo type="max"/>
        <color theme="0"/>
        <color theme="0"/>
      </colorScale>
    </cfRule>
    <cfRule type="expression" dxfId="1516" priority="2822">
      <formula>AQ39&lt;0</formula>
    </cfRule>
    <cfRule type="expression" priority="2821">
      <formula>#REF!</formula>
    </cfRule>
  </conditionalFormatting>
  <conditionalFormatting sqref="AR39:AR107">
    <cfRule type="expression" dxfId="1515" priority="2758">
      <formula>IF(AR39="Validar","Rojo","Verde")</formula>
    </cfRule>
  </conditionalFormatting>
  <conditionalFormatting sqref="AR40:AR67">
    <cfRule type="expression" priority="2840">
      <formula>$F$19</formula>
    </cfRule>
    <cfRule type="colorScale" priority="2839">
      <colorScale>
        <cfvo type="min"/>
        <cfvo type="max"/>
        <color theme="0"/>
        <color theme="0"/>
      </colorScale>
    </cfRule>
    <cfRule type="expression" dxfId="1514" priority="2841">
      <formula>AQ40&lt;0</formula>
    </cfRule>
  </conditionalFormatting>
  <conditionalFormatting sqref="AR68">
    <cfRule type="expression" priority="2818">
      <formula>#REF!</formula>
    </cfRule>
    <cfRule type="expression" dxfId="1513" priority="2819">
      <formula>AQ68&lt;0</formula>
    </cfRule>
    <cfRule type="colorScale" priority="2817">
      <colorScale>
        <cfvo type="min"/>
        <cfvo type="max"/>
        <color theme="0"/>
        <color theme="0"/>
      </colorScale>
    </cfRule>
  </conditionalFormatting>
  <conditionalFormatting sqref="AR69:AR81">
    <cfRule type="expression" dxfId="1512" priority="2866">
      <formula>AQ69&lt;0</formula>
    </cfRule>
    <cfRule type="expression" priority="2865">
      <formula>$F$19</formula>
    </cfRule>
    <cfRule type="colorScale" priority="2864">
      <colorScale>
        <cfvo type="min"/>
        <cfvo type="max"/>
        <color theme="0"/>
        <color theme="0"/>
      </colorScale>
    </cfRule>
  </conditionalFormatting>
  <conditionalFormatting sqref="AR82 AR92 AR103 AR107">
    <cfRule type="colorScale" priority="2862">
      <colorScale>
        <cfvo type="min"/>
        <cfvo type="max"/>
        <color theme="0"/>
        <color theme="0"/>
      </colorScale>
    </cfRule>
    <cfRule type="expression" dxfId="1511" priority="2863">
      <formula>AQ82&lt;0</formula>
    </cfRule>
  </conditionalFormatting>
  <conditionalFormatting sqref="AR83">
    <cfRule type="expression" priority="2760">
      <formula>#REF!</formula>
    </cfRule>
    <cfRule type="expression" dxfId="1510" priority="2761">
      <formula>AQ83&lt;0</formula>
    </cfRule>
    <cfRule type="colorScale" priority="2759">
      <colorScale>
        <cfvo type="min"/>
        <cfvo type="max"/>
        <color theme="0"/>
        <color theme="0"/>
      </colorScale>
    </cfRule>
  </conditionalFormatting>
  <conditionalFormatting sqref="AR84:AR91">
    <cfRule type="expression" priority="2868">
      <formula>$F$19</formula>
    </cfRule>
    <cfRule type="colorScale" priority="2867">
      <colorScale>
        <cfvo type="min"/>
        <cfvo type="max"/>
        <color theme="0"/>
        <color theme="0"/>
      </colorScale>
    </cfRule>
    <cfRule type="expression" dxfId="1509" priority="2869">
      <formula>AQ84&lt;0</formula>
    </cfRule>
  </conditionalFormatting>
  <conditionalFormatting sqref="AR93">
    <cfRule type="colorScale" priority="2814">
      <colorScale>
        <cfvo type="min"/>
        <cfvo type="max"/>
        <color theme="0"/>
        <color theme="0"/>
      </colorScale>
    </cfRule>
    <cfRule type="expression" priority="2815">
      <formula>#REF!</formula>
    </cfRule>
    <cfRule type="expression" dxfId="1508" priority="2816">
      <formula>AQ93&lt;0</formula>
    </cfRule>
  </conditionalFormatting>
  <conditionalFormatting sqref="AR94:AR102">
    <cfRule type="expression" priority="2871">
      <formula>$F$19</formula>
    </cfRule>
    <cfRule type="expression" dxfId="1507" priority="2872">
      <formula>AQ94&lt;0</formula>
    </cfRule>
    <cfRule type="colorScale" priority="2870">
      <colorScale>
        <cfvo type="min"/>
        <cfvo type="max"/>
        <color theme="0"/>
        <color theme="0"/>
      </colorScale>
    </cfRule>
  </conditionalFormatting>
  <conditionalFormatting sqref="AR104">
    <cfRule type="colorScale" priority="2811">
      <colorScale>
        <cfvo type="min"/>
        <cfvo type="max"/>
        <color theme="0"/>
        <color theme="0"/>
      </colorScale>
    </cfRule>
    <cfRule type="expression" priority="2812">
      <formula>#REF!</formula>
    </cfRule>
    <cfRule type="expression" dxfId="1506" priority="2813">
      <formula>AQ104&lt;0</formula>
    </cfRule>
  </conditionalFormatting>
  <conditionalFormatting sqref="AR105:AR106">
    <cfRule type="colorScale" priority="2873">
      <colorScale>
        <cfvo type="min"/>
        <cfvo type="max"/>
        <color theme="0"/>
        <color theme="0"/>
      </colorScale>
    </cfRule>
    <cfRule type="expression" priority="2874">
      <formula>$F$19</formula>
    </cfRule>
    <cfRule type="expression" dxfId="1505" priority="2875">
      <formula>AQ105&lt;0</formula>
    </cfRule>
  </conditionalFormatting>
  <conditionalFormatting sqref="AR110">
    <cfRule type="colorScale" priority="2876">
      <colorScale>
        <cfvo type="min"/>
        <cfvo type="max"/>
        <color theme="0"/>
        <color theme="0"/>
      </colorScale>
    </cfRule>
    <cfRule type="expression" dxfId="1504" priority="2877">
      <formula>AQ110&lt;0</formula>
    </cfRule>
  </conditionalFormatting>
  <conditionalFormatting sqref="AR110:AR111">
    <cfRule type="expression" priority="2756">
      <formula>$F$19</formula>
    </cfRule>
  </conditionalFormatting>
  <conditionalFormatting sqref="AR111">
    <cfRule type="colorScale" priority="2755">
      <colorScale>
        <cfvo type="min"/>
        <cfvo type="max"/>
        <color theme="0"/>
        <color theme="0"/>
      </colorScale>
    </cfRule>
    <cfRule type="expression" dxfId="1503" priority="2757">
      <formula>AQ111&lt;0</formula>
    </cfRule>
  </conditionalFormatting>
  <conditionalFormatting sqref="AR117:AR123">
    <cfRule type="expression" dxfId="1502" priority="2883">
      <formula>AQ117&lt;0</formula>
    </cfRule>
    <cfRule type="colorScale" priority="2881">
      <colorScale>
        <cfvo type="min"/>
        <cfvo type="max"/>
        <color theme="0"/>
        <color theme="0"/>
      </colorScale>
    </cfRule>
    <cfRule type="expression" priority="2882">
      <formula>$F$19</formula>
    </cfRule>
  </conditionalFormatting>
  <conditionalFormatting sqref="AR125">
    <cfRule type="colorScale" priority="2808">
      <colorScale>
        <cfvo type="min"/>
        <cfvo type="max"/>
        <color theme="0"/>
        <color theme="0"/>
      </colorScale>
    </cfRule>
    <cfRule type="expression" priority="2809">
      <formula>#REF!</formula>
    </cfRule>
    <cfRule type="expression" dxfId="1501" priority="2810">
      <formula>AQ125&lt;0</formula>
    </cfRule>
  </conditionalFormatting>
  <conditionalFormatting sqref="AR125:AR135">
    <cfRule type="expression" dxfId="1500" priority="2807">
      <formula>IF(AR125="Validar","Rojo","Verde")</formula>
    </cfRule>
  </conditionalFormatting>
  <conditionalFormatting sqref="AR126:AR132">
    <cfRule type="colorScale" priority="2884">
      <colorScale>
        <cfvo type="min"/>
        <cfvo type="max"/>
        <color theme="0"/>
        <color theme="0"/>
      </colorScale>
    </cfRule>
    <cfRule type="expression" dxfId="1499" priority="2886">
      <formula>AQ126&lt;0</formula>
    </cfRule>
  </conditionalFormatting>
  <conditionalFormatting sqref="AR126:AR134">
    <cfRule type="expression" priority="2885">
      <formula>$F$19</formula>
    </cfRule>
  </conditionalFormatting>
  <conditionalFormatting sqref="AR133:AR134">
    <cfRule type="colorScale" priority="2887">
      <colorScale>
        <cfvo type="min"/>
        <cfvo type="max"/>
        <color theme="0"/>
        <color theme="0"/>
      </colorScale>
    </cfRule>
    <cfRule type="expression" dxfId="1498" priority="2888">
      <formula>AQ133&lt;0</formula>
    </cfRule>
  </conditionalFormatting>
  <conditionalFormatting sqref="AR135">
    <cfRule type="expression" dxfId="1497" priority="2880">
      <formula>AQ135&lt;0</formula>
    </cfRule>
    <cfRule type="expression" priority="2879">
      <formula>$F$23</formula>
    </cfRule>
    <cfRule type="colorScale" priority="2878">
      <colorScale>
        <cfvo type="min"/>
        <cfvo type="max"/>
        <color theme="0"/>
        <color theme="0"/>
      </colorScale>
    </cfRule>
  </conditionalFormatting>
  <conditionalFormatting sqref="AR110:AS111">
    <cfRule type="expression" dxfId="1496" priority="2751">
      <formula>IF(AR110="Validar","Rojo","Verde")</formula>
    </cfRule>
  </conditionalFormatting>
  <conditionalFormatting sqref="AR117:AS123">
    <cfRule type="expression" dxfId="1495" priority="2764">
      <formula>IF(AR117="Validar","Rojo","Verde")</formula>
    </cfRule>
  </conditionalFormatting>
  <conditionalFormatting sqref="AS40:AS66">
    <cfRule type="colorScale" priority="2799">
      <colorScale>
        <cfvo type="min"/>
        <cfvo type="max"/>
        <color theme="0"/>
        <color theme="0"/>
      </colorScale>
    </cfRule>
    <cfRule type="expression" priority="2800">
      <formula>#REF!</formula>
    </cfRule>
    <cfRule type="expression" dxfId="1494" priority="2801">
      <formula>AR40&lt;0</formula>
    </cfRule>
  </conditionalFormatting>
  <conditionalFormatting sqref="AS40:AS67">
    <cfRule type="expression" dxfId="1493" priority="2798">
      <formula>IF(AS40="Validar","Rojo","Verde")</formula>
    </cfRule>
  </conditionalFormatting>
  <conditionalFormatting sqref="AS67 AR82:AS82 AR92:AS92 AR103:AS103 AR107:AS107">
    <cfRule type="expression" priority="2803">
      <formula>$F$23</formula>
    </cfRule>
  </conditionalFormatting>
  <conditionalFormatting sqref="AS67 AS82 AS92 AS103 AS107">
    <cfRule type="expression" dxfId="1492" priority="2804">
      <formula>AR67&lt;0</formula>
    </cfRule>
  </conditionalFormatting>
  <conditionalFormatting sqref="AS69">
    <cfRule type="expression" dxfId="1491" priority="2797">
      <formula>AR69&lt;0</formula>
    </cfRule>
    <cfRule type="colorScale" priority="2796">
      <colorScale>
        <cfvo type="min"/>
        <cfvo type="max"/>
        <color theme="0"/>
        <color theme="0"/>
      </colorScale>
    </cfRule>
  </conditionalFormatting>
  <conditionalFormatting sqref="AS69:AS81">
    <cfRule type="expression" priority="2794">
      <formula>#REF!</formula>
    </cfRule>
  </conditionalFormatting>
  <conditionalFormatting sqref="AS69:AS82">
    <cfRule type="expression" dxfId="1490" priority="2792">
      <formula>IF(AS69="Validar","Rojo","Verde")</formula>
    </cfRule>
  </conditionalFormatting>
  <conditionalFormatting sqref="AS70:AS78">
    <cfRule type="expression" dxfId="1489" priority="2795">
      <formula>AR70&lt;0</formula>
    </cfRule>
    <cfRule type="colorScale" priority="2793">
      <colorScale>
        <cfvo type="min"/>
        <cfvo type="max"/>
        <color theme="0"/>
        <color theme="0"/>
      </colorScale>
    </cfRule>
  </conditionalFormatting>
  <conditionalFormatting sqref="AS79:AS81">
    <cfRule type="colorScale" priority="2805">
      <colorScale>
        <cfvo type="min"/>
        <cfvo type="max"/>
        <color theme="0"/>
        <color theme="0"/>
      </colorScale>
    </cfRule>
    <cfRule type="expression" dxfId="1488" priority="2806">
      <formula>AR79&lt;0</formula>
    </cfRule>
  </conditionalFormatting>
  <conditionalFormatting sqref="AS82 AS67 AS92 AS103 AS107">
    <cfRule type="colorScale" priority="2802">
      <colorScale>
        <cfvo type="min"/>
        <cfvo type="max"/>
        <color theme="0"/>
        <color theme="0"/>
      </colorScale>
    </cfRule>
  </conditionalFormatting>
  <conditionalFormatting sqref="AS84">
    <cfRule type="colorScale" priority="2790">
      <colorScale>
        <cfvo type="min"/>
        <cfvo type="max"/>
        <color theme="0"/>
        <color theme="0"/>
      </colorScale>
    </cfRule>
    <cfRule type="expression" dxfId="1487" priority="2791">
      <formula>AR84&lt;0</formula>
    </cfRule>
  </conditionalFormatting>
  <conditionalFormatting sqref="AS84:AS91">
    <cfRule type="expression" priority="2788">
      <formula>#REF!</formula>
    </cfRule>
  </conditionalFormatting>
  <conditionalFormatting sqref="AS84:AS92">
    <cfRule type="expression" dxfId="1486" priority="2786">
      <formula>IF(AS84="Validar","Rojo","Verde")</formula>
    </cfRule>
  </conditionalFormatting>
  <conditionalFormatting sqref="AS85:AS91">
    <cfRule type="expression" dxfId="1485" priority="2789">
      <formula>AR85&lt;0</formula>
    </cfRule>
    <cfRule type="colorScale" priority="2787">
      <colorScale>
        <cfvo type="min"/>
        <cfvo type="max"/>
        <color theme="0"/>
        <color theme="0"/>
      </colorScale>
    </cfRule>
  </conditionalFormatting>
  <conditionalFormatting sqref="AS94">
    <cfRule type="expression" dxfId="1484" priority="2785">
      <formula>AR94&lt;0</formula>
    </cfRule>
    <cfRule type="colorScale" priority="2784">
      <colorScale>
        <cfvo type="min"/>
        <cfvo type="max"/>
        <color theme="0"/>
        <color theme="0"/>
      </colorScale>
    </cfRule>
  </conditionalFormatting>
  <conditionalFormatting sqref="AS94:AS102">
    <cfRule type="expression" priority="2778">
      <formula>#REF!</formula>
    </cfRule>
  </conditionalFormatting>
  <conditionalFormatting sqref="AS94:AS103">
    <cfRule type="expression" dxfId="1483" priority="2776">
      <formula>IF(AS94="Validar","Rojo","Verde")</formula>
    </cfRule>
  </conditionalFormatting>
  <conditionalFormatting sqref="AS95:AS100">
    <cfRule type="colorScale" priority="2782">
      <colorScale>
        <cfvo type="min"/>
        <cfvo type="max"/>
        <color theme="0"/>
        <color theme="0"/>
      </colorScale>
    </cfRule>
    <cfRule type="expression" dxfId="1482" priority="2783">
      <formula>AR95&lt;0</formula>
    </cfRule>
  </conditionalFormatting>
  <conditionalFormatting sqref="AS101">
    <cfRule type="expression" dxfId="1481" priority="2781">
      <formula>AR101&lt;0</formula>
    </cfRule>
    <cfRule type="colorScale" priority="2780">
      <colorScale>
        <cfvo type="min"/>
        <cfvo type="max"/>
        <color theme="0"/>
        <color theme="0"/>
      </colorScale>
    </cfRule>
  </conditionalFormatting>
  <conditionalFormatting sqref="AS102">
    <cfRule type="expression" dxfId="1480" priority="2779">
      <formula>AR102&lt;0</formula>
    </cfRule>
    <cfRule type="colorScale" priority="2777">
      <colorScale>
        <cfvo type="min"/>
        <cfvo type="max"/>
        <color theme="0"/>
        <color theme="0"/>
      </colorScale>
    </cfRule>
  </conditionalFormatting>
  <conditionalFormatting sqref="AS105">
    <cfRule type="expression" dxfId="1479" priority="2775">
      <formula>AR105&lt;0</formula>
    </cfRule>
    <cfRule type="colorScale" priority="2774">
      <colorScale>
        <cfvo type="min"/>
        <cfvo type="max"/>
        <color theme="0"/>
        <color theme="0"/>
      </colorScale>
    </cfRule>
  </conditionalFormatting>
  <conditionalFormatting sqref="AS105:AS106">
    <cfRule type="expression" priority="2772">
      <formula>#REF!</formula>
    </cfRule>
  </conditionalFormatting>
  <conditionalFormatting sqref="AS105:AS107">
    <cfRule type="expression" dxfId="1478" priority="2770">
      <formula>IF(AS105="Validar","Rojo","Verde")</formula>
    </cfRule>
  </conditionalFormatting>
  <conditionalFormatting sqref="AS106">
    <cfRule type="colorScale" priority="2771">
      <colorScale>
        <cfvo type="min"/>
        <cfvo type="max"/>
        <color theme="0"/>
        <color theme="0"/>
      </colorScale>
    </cfRule>
    <cfRule type="expression" dxfId="1477" priority="2773">
      <formula>AR106&lt;0</formula>
    </cfRule>
  </conditionalFormatting>
  <conditionalFormatting sqref="AS110">
    <cfRule type="colorScale" priority="2762">
      <colorScale>
        <cfvo type="min"/>
        <cfvo type="max"/>
        <color theme="0"/>
        <color theme="0"/>
      </colorScale>
    </cfRule>
    <cfRule type="expression" dxfId="1476" priority="2763">
      <formula>AR110&lt;0</formula>
    </cfRule>
  </conditionalFormatting>
  <conditionalFormatting sqref="AS110:AS111">
    <cfRule type="expression" priority="2753">
      <formula>#REF!</formula>
    </cfRule>
  </conditionalFormatting>
  <conditionalFormatting sqref="AS111">
    <cfRule type="expression" dxfId="1475" priority="2754">
      <formula>AR111&lt;0</formula>
    </cfRule>
    <cfRule type="colorScale" priority="2752">
      <colorScale>
        <cfvo type="min"/>
        <cfvo type="max"/>
        <color theme="0"/>
        <color theme="0"/>
      </colorScale>
    </cfRule>
  </conditionalFormatting>
  <conditionalFormatting sqref="AS117">
    <cfRule type="expression" dxfId="1474" priority="2769">
      <formula>AR117&lt;0</formula>
    </cfRule>
    <cfRule type="colorScale" priority="2768">
      <colorScale>
        <cfvo type="min"/>
        <cfvo type="max"/>
        <color theme="0"/>
        <color theme="0"/>
      </colorScale>
    </cfRule>
  </conditionalFormatting>
  <conditionalFormatting sqref="AS117:AS123">
    <cfRule type="expression" priority="2766">
      <formula>#REF!</formula>
    </cfRule>
  </conditionalFormatting>
  <conditionalFormatting sqref="AS118:AS123">
    <cfRule type="expression" dxfId="1473" priority="2767">
      <formula>AR118&lt;0</formula>
    </cfRule>
    <cfRule type="colorScale" priority="2765">
      <colorScale>
        <cfvo type="min"/>
        <cfvo type="max"/>
        <color theme="0"/>
        <color theme="0"/>
      </colorScale>
    </cfRule>
  </conditionalFormatting>
  <conditionalFormatting sqref="AS126:AS135">
    <cfRule type="expression" dxfId="1472" priority="2889">
      <formula>IF(AS126="Validar","Rojo","Verde")</formula>
    </cfRule>
    <cfRule type="colorScale" priority="2890">
      <colorScale>
        <cfvo type="min"/>
        <cfvo type="max"/>
        <color theme="0"/>
        <color theme="0"/>
      </colorScale>
    </cfRule>
    <cfRule type="expression" priority="2891">
      <formula>$F$23</formula>
    </cfRule>
    <cfRule type="expression" dxfId="1471" priority="2892">
      <formula>AR126&lt;0</formula>
    </cfRule>
  </conditionalFormatting>
  <conditionalFormatting sqref="AU5">
    <cfRule type="colorScale" priority="11">
      <colorScale>
        <cfvo type="min"/>
        <cfvo type="max"/>
        <color theme="0"/>
        <color theme="0"/>
      </colorScale>
    </cfRule>
    <cfRule type="expression" dxfId="1470" priority="12">
      <formula>AT5&lt;0</formula>
    </cfRule>
  </conditionalFormatting>
  <conditionalFormatting sqref="AU5:AU20">
    <cfRule type="expression" priority="10">
      <formula>#REF!</formula>
    </cfRule>
    <cfRule type="expression" dxfId="1469" priority="9">
      <formula>IF(AU5="Validar","Rojo","Verde")</formula>
    </cfRule>
  </conditionalFormatting>
  <conditionalFormatting sqref="AU6">
    <cfRule type="expression" dxfId="1468" priority="600">
      <formula>AT6&lt;0</formula>
    </cfRule>
    <cfRule type="colorScale" priority="599">
      <colorScale>
        <cfvo type="min"/>
        <cfvo type="max"/>
        <color theme="0"/>
        <color theme="0"/>
      </colorScale>
    </cfRule>
  </conditionalFormatting>
  <conditionalFormatting sqref="AU7:AU8">
    <cfRule type="expression" dxfId="1467" priority="596">
      <formula>AT7&lt;0</formula>
    </cfRule>
    <cfRule type="colorScale" priority="595">
      <colorScale>
        <cfvo type="min"/>
        <cfvo type="max"/>
        <color theme="0"/>
        <color theme="0"/>
      </colorScale>
    </cfRule>
  </conditionalFormatting>
  <conditionalFormatting sqref="AU9">
    <cfRule type="colorScale" priority="664">
      <colorScale>
        <cfvo type="min"/>
        <cfvo type="max"/>
        <color theme="0"/>
        <color theme="0"/>
      </colorScale>
    </cfRule>
    <cfRule type="expression" dxfId="1466" priority="665">
      <formula>AT9&lt;0</formula>
    </cfRule>
  </conditionalFormatting>
  <conditionalFormatting sqref="AU10">
    <cfRule type="colorScale" priority="641">
      <colorScale>
        <cfvo type="min"/>
        <cfvo type="max"/>
        <color theme="0"/>
        <color theme="0"/>
      </colorScale>
    </cfRule>
    <cfRule type="expression" dxfId="1465" priority="642">
      <formula>AT10&lt;0</formula>
    </cfRule>
  </conditionalFormatting>
  <conditionalFormatting sqref="AU11:AU13">
    <cfRule type="colorScale" priority="662">
      <colorScale>
        <cfvo type="min"/>
        <cfvo type="max"/>
        <color theme="0"/>
        <color theme="0"/>
      </colorScale>
    </cfRule>
    <cfRule type="expression" dxfId="1464" priority="663">
      <formula>AT11&lt;0</formula>
    </cfRule>
  </conditionalFormatting>
  <conditionalFormatting sqref="AU14">
    <cfRule type="expression" dxfId="1463" priority="240">
      <formula>AT14&lt;0</formula>
    </cfRule>
    <cfRule type="colorScale" priority="239">
      <colorScale>
        <cfvo type="min"/>
        <cfvo type="max"/>
        <color theme="0"/>
        <color theme="0"/>
      </colorScale>
    </cfRule>
  </conditionalFormatting>
  <conditionalFormatting sqref="AU15">
    <cfRule type="colorScale" priority="639">
      <colorScale>
        <cfvo type="min"/>
        <cfvo type="max"/>
        <color theme="0"/>
        <color theme="0"/>
      </colorScale>
    </cfRule>
    <cfRule type="expression" dxfId="1462" priority="640">
      <formula>AT15&lt;0</formula>
    </cfRule>
  </conditionalFormatting>
  <conditionalFormatting sqref="AU16:AU17">
    <cfRule type="colorScale" priority="660">
      <colorScale>
        <cfvo type="min"/>
        <cfvo type="max"/>
        <color theme="0"/>
        <color theme="0"/>
      </colorScale>
    </cfRule>
    <cfRule type="expression" dxfId="1461" priority="661">
      <formula>AT16&lt;0</formula>
    </cfRule>
  </conditionalFormatting>
  <conditionalFormatting sqref="AU18">
    <cfRule type="colorScale" priority="636">
      <colorScale>
        <cfvo type="min"/>
        <cfvo type="max"/>
        <color theme="0"/>
        <color theme="0"/>
      </colorScale>
    </cfRule>
    <cfRule type="expression" dxfId="1460" priority="638">
      <formula>AT18&lt;0</formula>
    </cfRule>
  </conditionalFormatting>
  <conditionalFormatting sqref="AU19:AU20">
    <cfRule type="colorScale" priority="658">
      <colorScale>
        <cfvo type="min"/>
        <cfvo type="max"/>
        <color theme="0"/>
        <color theme="0"/>
      </colorScale>
    </cfRule>
    <cfRule type="expression" dxfId="1459" priority="659">
      <formula>AT19&lt;0</formula>
    </cfRule>
  </conditionalFormatting>
  <conditionalFormatting sqref="AU23">
    <cfRule type="expression" dxfId="1458" priority="634">
      <formula>AT23&lt;0</formula>
    </cfRule>
    <cfRule type="colorScale" priority="633">
      <colorScale>
        <cfvo type="min"/>
        <cfvo type="max"/>
        <color theme="0"/>
        <color theme="0"/>
      </colorScale>
    </cfRule>
  </conditionalFormatting>
  <conditionalFormatting sqref="AU23:AU31">
    <cfRule type="expression" priority="629">
      <formula>#REF!</formula>
    </cfRule>
    <cfRule type="expression" dxfId="1457" priority="627">
      <formula>IF(AU23="Validar","Rojo","Verde")</formula>
    </cfRule>
  </conditionalFormatting>
  <conditionalFormatting sqref="AU24">
    <cfRule type="colorScale" priority="656">
      <colorScale>
        <cfvo type="min"/>
        <cfvo type="max"/>
        <color theme="0"/>
        <color theme="0"/>
      </colorScale>
    </cfRule>
    <cfRule type="expression" dxfId="1456" priority="657">
      <formula>AT24&lt;0</formula>
    </cfRule>
  </conditionalFormatting>
  <conditionalFormatting sqref="AU25">
    <cfRule type="colorScale" priority="654">
      <colorScale>
        <cfvo type="min"/>
        <cfvo type="max"/>
        <color theme="0"/>
        <color theme="0"/>
      </colorScale>
    </cfRule>
    <cfRule type="expression" dxfId="1455" priority="655">
      <formula>AT25&lt;0</formula>
    </cfRule>
  </conditionalFormatting>
  <conditionalFormatting sqref="AU26">
    <cfRule type="colorScale" priority="631">
      <colorScale>
        <cfvo type="min"/>
        <cfvo type="max"/>
        <color theme="0"/>
        <color theme="0"/>
      </colorScale>
    </cfRule>
    <cfRule type="expression" dxfId="1454" priority="632">
      <formula>AT26&lt;0</formula>
    </cfRule>
  </conditionalFormatting>
  <conditionalFormatting sqref="AU27">
    <cfRule type="colorScale" priority="652">
      <colorScale>
        <cfvo type="min"/>
        <cfvo type="max"/>
        <color theme="0"/>
        <color theme="0"/>
      </colorScale>
    </cfRule>
    <cfRule type="expression" dxfId="1453" priority="653">
      <formula>AT27&lt;0</formula>
    </cfRule>
  </conditionalFormatting>
  <conditionalFormatting sqref="AU28">
    <cfRule type="expression" dxfId="1452" priority="651">
      <formula>AT28&lt;0</formula>
    </cfRule>
    <cfRule type="colorScale" priority="650">
      <colorScale>
        <cfvo type="min"/>
        <cfvo type="max"/>
        <color theme="0"/>
        <color theme="0"/>
      </colorScale>
    </cfRule>
  </conditionalFormatting>
  <conditionalFormatting sqref="AU29">
    <cfRule type="colorScale" priority="628">
      <colorScale>
        <cfvo type="min"/>
        <cfvo type="max"/>
        <color theme="0"/>
        <color theme="0"/>
      </colorScale>
    </cfRule>
    <cfRule type="expression" dxfId="1451" priority="630">
      <formula>AT29&lt;0</formula>
    </cfRule>
  </conditionalFormatting>
  <conditionalFormatting sqref="AU30">
    <cfRule type="colorScale" priority="648">
      <colorScale>
        <cfvo type="min"/>
        <cfvo type="max"/>
        <color theme="0"/>
        <color theme="0"/>
      </colorScale>
    </cfRule>
    <cfRule type="expression" dxfId="1450" priority="649">
      <formula>AT30&lt;0</formula>
    </cfRule>
  </conditionalFormatting>
  <conditionalFormatting sqref="AU31">
    <cfRule type="colorScale" priority="646">
      <colorScale>
        <cfvo type="min"/>
        <cfvo type="max"/>
        <color theme="0"/>
        <color theme="0"/>
      </colorScale>
    </cfRule>
    <cfRule type="expression" dxfId="1449" priority="647">
      <formula>AT31&lt;0</formula>
    </cfRule>
  </conditionalFormatting>
  <conditionalFormatting sqref="AU39">
    <cfRule type="colorScale" priority="624">
      <colorScale>
        <cfvo type="min"/>
        <cfvo type="max"/>
        <color theme="0"/>
        <color theme="0"/>
      </colorScale>
    </cfRule>
    <cfRule type="expression" priority="625">
      <formula>#REF!</formula>
    </cfRule>
    <cfRule type="expression" dxfId="1448" priority="626">
      <formula>AT39&lt;0</formula>
    </cfRule>
  </conditionalFormatting>
  <conditionalFormatting sqref="AU39:AU107">
    <cfRule type="expression" dxfId="1447" priority="605">
      <formula>IF(AU39="Validar","Rojo","Verde")</formula>
    </cfRule>
  </conditionalFormatting>
  <conditionalFormatting sqref="AU40:AU67">
    <cfRule type="colorScale" priority="643">
      <colorScale>
        <cfvo type="min"/>
        <cfvo type="max"/>
        <color theme="0"/>
        <color theme="0"/>
      </colorScale>
    </cfRule>
    <cfRule type="expression" priority="644">
      <formula>$F$19</formula>
    </cfRule>
    <cfRule type="expression" dxfId="1446" priority="645">
      <formula>AT40&lt;0</formula>
    </cfRule>
  </conditionalFormatting>
  <conditionalFormatting sqref="AU68">
    <cfRule type="expression" dxfId="1445" priority="623">
      <formula>AT68&lt;0</formula>
    </cfRule>
    <cfRule type="expression" priority="622">
      <formula>#REF!</formula>
    </cfRule>
    <cfRule type="colorScale" priority="621">
      <colorScale>
        <cfvo type="min"/>
        <cfvo type="max"/>
        <color theme="0"/>
        <color theme="0"/>
      </colorScale>
    </cfRule>
  </conditionalFormatting>
  <conditionalFormatting sqref="AU69:AU81">
    <cfRule type="expression" dxfId="1444" priority="670">
      <formula>AT69&lt;0</formula>
    </cfRule>
    <cfRule type="colorScale" priority="668">
      <colorScale>
        <cfvo type="min"/>
        <cfvo type="max"/>
        <color theme="0"/>
        <color theme="0"/>
      </colorScale>
    </cfRule>
    <cfRule type="expression" priority="669">
      <formula>$F$19</formula>
    </cfRule>
  </conditionalFormatting>
  <conditionalFormatting sqref="AU82 AU92 AU103 AU107">
    <cfRule type="expression" dxfId="1443" priority="667">
      <formula>AT82&lt;0</formula>
    </cfRule>
    <cfRule type="colorScale" priority="666">
      <colorScale>
        <cfvo type="min"/>
        <cfvo type="max"/>
        <color theme="0"/>
        <color theme="0"/>
      </colorScale>
    </cfRule>
    <cfRule type="expression" priority="610">
      <formula>$F$23</formula>
    </cfRule>
  </conditionalFormatting>
  <conditionalFormatting sqref="AU83">
    <cfRule type="expression" dxfId="1442" priority="608">
      <formula>AT83&lt;0</formula>
    </cfRule>
    <cfRule type="expression" priority="607">
      <formula>#REF!</formula>
    </cfRule>
    <cfRule type="colorScale" priority="606">
      <colorScale>
        <cfvo type="min"/>
        <cfvo type="max"/>
        <color theme="0"/>
        <color theme="0"/>
      </colorScale>
    </cfRule>
  </conditionalFormatting>
  <conditionalFormatting sqref="AU84:AU91">
    <cfRule type="expression" dxfId="1441" priority="673">
      <formula>AT84&lt;0</formula>
    </cfRule>
    <cfRule type="colorScale" priority="671">
      <colorScale>
        <cfvo type="min"/>
        <cfvo type="max"/>
        <color theme="0"/>
        <color theme="0"/>
      </colorScale>
    </cfRule>
    <cfRule type="expression" priority="672">
      <formula>$F$19</formula>
    </cfRule>
  </conditionalFormatting>
  <conditionalFormatting sqref="AU93">
    <cfRule type="expression" dxfId="1440" priority="620">
      <formula>AT93&lt;0</formula>
    </cfRule>
    <cfRule type="expression" priority="619">
      <formula>#REF!</formula>
    </cfRule>
    <cfRule type="colorScale" priority="618">
      <colorScale>
        <cfvo type="min"/>
        <cfvo type="max"/>
        <color theme="0"/>
        <color theme="0"/>
      </colorScale>
    </cfRule>
  </conditionalFormatting>
  <conditionalFormatting sqref="AU94:AU102">
    <cfRule type="expression" dxfId="1439" priority="676">
      <formula>AT94&lt;0</formula>
    </cfRule>
    <cfRule type="expression" priority="675">
      <formula>$F$19</formula>
    </cfRule>
    <cfRule type="colorScale" priority="674">
      <colorScale>
        <cfvo type="min"/>
        <cfvo type="max"/>
        <color theme="0"/>
        <color theme="0"/>
      </colorScale>
    </cfRule>
  </conditionalFormatting>
  <conditionalFormatting sqref="AU104">
    <cfRule type="expression" priority="616">
      <formula>#REF!</formula>
    </cfRule>
    <cfRule type="expression" dxfId="1438" priority="617">
      <formula>AT104&lt;0</formula>
    </cfRule>
    <cfRule type="colorScale" priority="615">
      <colorScale>
        <cfvo type="min"/>
        <cfvo type="max"/>
        <color theme="0"/>
        <color theme="0"/>
      </colorScale>
    </cfRule>
  </conditionalFormatting>
  <conditionalFormatting sqref="AU105:AU106">
    <cfRule type="expression" priority="678">
      <formula>$F$19</formula>
    </cfRule>
    <cfRule type="expression" dxfId="1437" priority="679">
      <formula>AT105&lt;0</formula>
    </cfRule>
    <cfRule type="colorScale" priority="677">
      <colorScale>
        <cfvo type="min"/>
        <cfvo type="max"/>
        <color theme="0"/>
        <color theme="0"/>
      </colorScale>
    </cfRule>
  </conditionalFormatting>
  <conditionalFormatting sqref="AU110">
    <cfRule type="colorScale" priority="680">
      <colorScale>
        <cfvo type="min"/>
        <cfvo type="max"/>
        <color theme="0"/>
        <color theme="0"/>
      </colorScale>
    </cfRule>
    <cfRule type="expression" dxfId="1436" priority="681">
      <formula>AT110&lt;0</formula>
    </cfRule>
  </conditionalFormatting>
  <conditionalFormatting sqref="AU110:AU111">
    <cfRule type="expression" priority="603">
      <formula>$F$19</formula>
    </cfRule>
  </conditionalFormatting>
  <conditionalFormatting sqref="AU111">
    <cfRule type="colorScale" priority="602">
      <colorScale>
        <cfvo type="min"/>
        <cfvo type="max"/>
        <color theme="0"/>
        <color theme="0"/>
      </colorScale>
    </cfRule>
    <cfRule type="expression" dxfId="1435" priority="604">
      <formula>AT111&lt;0</formula>
    </cfRule>
  </conditionalFormatting>
  <conditionalFormatting sqref="AU117:AU123">
    <cfRule type="colorScale" priority="685">
      <colorScale>
        <cfvo type="min"/>
        <cfvo type="max"/>
        <color theme="0"/>
        <color theme="0"/>
      </colorScale>
    </cfRule>
    <cfRule type="expression" priority="686">
      <formula>$F$19</formula>
    </cfRule>
    <cfRule type="expression" dxfId="1434" priority="687">
      <formula>AT117&lt;0</formula>
    </cfRule>
  </conditionalFormatting>
  <conditionalFormatting sqref="AU125">
    <cfRule type="colorScale" priority="612">
      <colorScale>
        <cfvo type="min"/>
        <cfvo type="max"/>
        <color theme="0"/>
        <color theme="0"/>
      </colorScale>
    </cfRule>
    <cfRule type="expression" priority="613">
      <formula>#REF!</formula>
    </cfRule>
    <cfRule type="expression" dxfId="1433" priority="614">
      <formula>AT125&lt;0</formula>
    </cfRule>
  </conditionalFormatting>
  <conditionalFormatting sqref="AU125:AU135">
    <cfRule type="expression" dxfId="1432" priority="611">
      <formula>IF(AU125="Validar","Rojo","Verde")</formula>
    </cfRule>
  </conditionalFormatting>
  <conditionalFormatting sqref="AU126:AU132">
    <cfRule type="colorScale" priority="688">
      <colorScale>
        <cfvo type="min"/>
        <cfvo type="max"/>
        <color theme="0"/>
        <color theme="0"/>
      </colorScale>
    </cfRule>
    <cfRule type="expression" dxfId="1431" priority="690">
      <formula>AT126&lt;0</formula>
    </cfRule>
  </conditionalFormatting>
  <conditionalFormatting sqref="AU126:AU134">
    <cfRule type="expression" priority="689">
      <formula>$F$19</formula>
    </cfRule>
  </conditionalFormatting>
  <conditionalFormatting sqref="AU133:AU134">
    <cfRule type="colorScale" priority="691">
      <colorScale>
        <cfvo type="min"/>
        <cfvo type="max"/>
        <color theme="0"/>
        <color theme="0"/>
      </colorScale>
    </cfRule>
    <cfRule type="expression" dxfId="1430" priority="692">
      <formula>AT133&lt;0</formula>
    </cfRule>
  </conditionalFormatting>
  <conditionalFormatting sqref="AU135">
    <cfRule type="colorScale" priority="682">
      <colorScale>
        <cfvo type="min"/>
        <cfvo type="max"/>
        <color theme="0"/>
        <color theme="0"/>
      </colorScale>
    </cfRule>
    <cfRule type="expression" priority="683">
      <formula>$F$23</formula>
    </cfRule>
    <cfRule type="expression" dxfId="1429" priority="684">
      <formula>AT135&lt;0</formula>
    </cfRule>
  </conditionalFormatting>
  <conditionalFormatting sqref="AU110:AV111">
    <cfRule type="expression" dxfId="1428" priority="601">
      <formula>IF(AU110="Validar","Rojo","Verde")</formula>
    </cfRule>
  </conditionalFormatting>
  <conditionalFormatting sqref="AU117:AV123">
    <cfRule type="expression" dxfId="1427" priority="609">
      <formula>IF(AU117="Validar","Rojo","Verde")</formula>
    </cfRule>
  </conditionalFormatting>
  <conditionalFormatting sqref="AV5">
    <cfRule type="colorScale" priority="175">
      <colorScale>
        <cfvo type="min"/>
        <cfvo type="max"/>
        <color theme="0"/>
        <color theme="0"/>
      </colorScale>
    </cfRule>
    <cfRule type="expression" dxfId="1426" priority="176">
      <formula>AU5&lt;0</formula>
    </cfRule>
  </conditionalFormatting>
  <conditionalFormatting sqref="AV5:AV16">
    <cfRule type="expression" dxfId="1425" priority="173">
      <formula>IF(AV5="Validar","Rojo","Verde")</formula>
    </cfRule>
    <cfRule type="expression" priority="174">
      <formula>#REF!</formula>
    </cfRule>
  </conditionalFormatting>
  <conditionalFormatting sqref="AV6:AV9">
    <cfRule type="colorScale" priority="7953">
      <colorScale>
        <cfvo type="min"/>
        <cfvo type="max"/>
        <color theme="0"/>
        <color theme="0"/>
      </colorScale>
    </cfRule>
    <cfRule type="expression" dxfId="1424" priority="7954">
      <formula>AU6&lt;0</formula>
    </cfRule>
  </conditionalFormatting>
  <conditionalFormatting sqref="AV10">
    <cfRule type="expression" dxfId="1423" priority="7922">
      <formula>AU10&lt;0</formula>
    </cfRule>
    <cfRule type="colorScale" priority="7921">
      <colorScale>
        <cfvo type="min"/>
        <cfvo type="max"/>
        <color theme="0"/>
        <color theme="0"/>
      </colorScale>
    </cfRule>
  </conditionalFormatting>
  <conditionalFormatting sqref="AV11:AV13">
    <cfRule type="expression" dxfId="1422" priority="7952">
      <formula>AU11&lt;0</formula>
    </cfRule>
    <cfRule type="colorScale" priority="7951">
      <colorScale>
        <cfvo type="min"/>
        <cfvo type="max"/>
        <color theme="0"/>
        <color theme="0"/>
      </colorScale>
    </cfRule>
  </conditionalFormatting>
  <conditionalFormatting sqref="AV14">
    <cfRule type="colorScale" priority="335">
      <colorScale>
        <cfvo type="min"/>
        <cfvo type="max"/>
        <color theme="0"/>
        <color theme="0"/>
      </colorScale>
    </cfRule>
    <cfRule type="expression" dxfId="1421" priority="336">
      <formula>AU14&lt;0</formula>
    </cfRule>
  </conditionalFormatting>
  <conditionalFormatting sqref="AV15">
    <cfRule type="expression" dxfId="1420" priority="7920">
      <formula>AU15&lt;0</formula>
    </cfRule>
    <cfRule type="colorScale" priority="7918">
      <colorScale>
        <cfvo type="min"/>
        <cfvo type="max"/>
        <color theme="0"/>
        <color theme="0"/>
      </colorScale>
    </cfRule>
  </conditionalFormatting>
  <conditionalFormatting sqref="AV16">
    <cfRule type="expression" dxfId="1419" priority="7950">
      <formula>AU16&lt;0</formula>
    </cfRule>
    <cfRule type="colorScale" priority="7949">
      <colorScale>
        <cfvo type="min"/>
        <cfvo type="max"/>
        <color theme="0"/>
        <color theme="0"/>
      </colorScale>
    </cfRule>
  </conditionalFormatting>
  <conditionalFormatting sqref="AV18">
    <cfRule type="colorScale" priority="7914">
      <colorScale>
        <cfvo type="min"/>
        <cfvo type="max"/>
        <color theme="0"/>
        <color theme="0"/>
      </colorScale>
    </cfRule>
    <cfRule type="expression" dxfId="1418" priority="7916">
      <formula>AU18&lt;0</formula>
    </cfRule>
  </conditionalFormatting>
  <conditionalFormatting sqref="AV18:AV19">
    <cfRule type="expression" dxfId="1417" priority="7913">
      <formula>IF(AV18="Validar","Rojo","Verde")</formula>
    </cfRule>
    <cfRule type="expression" priority="7915">
      <formula>#REF!</formula>
    </cfRule>
  </conditionalFormatting>
  <conditionalFormatting sqref="AV19">
    <cfRule type="expression" dxfId="1416" priority="7948">
      <formula>AU19&lt;0</formula>
    </cfRule>
    <cfRule type="colorScale" priority="7947">
      <colorScale>
        <cfvo type="min"/>
        <cfvo type="max"/>
        <color theme="0"/>
        <color theme="0"/>
      </colorScale>
    </cfRule>
  </conditionalFormatting>
  <conditionalFormatting sqref="AV23">
    <cfRule type="colorScale" priority="7910">
      <colorScale>
        <cfvo type="min"/>
        <cfvo type="max"/>
        <color theme="0"/>
        <color theme="0"/>
      </colorScale>
    </cfRule>
    <cfRule type="expression" dxfId="1415" priority="7912">
      <formula>AU23&lt;0</formula>
    </cfRule>
  </conditionalFormatting>
  <conditionalFormatting sqref="AV23:AV24">
    <cfRule type="expression" dxfId="1414" priority="7909">
      <formula>IF(AV23="Validar","Rojo","Verde")</formula>
    </cfRule>
    <cfRule type="expression" priority="7911">
      <formula>#REF!</formula>
    </cfRule>
  </conditionalFormatting>
  <conditionalFormatting sqref="AV24">
    <cfRule type="expression" dxfId="1413" priority="7944">
      <formula>AU24&lt;0</formula>
    </cfRule>
    <cfRule type="colorScale" priority="7943">
      <colorScale>
        <cfvo type="min"/>
        <cfvo type="max"/>
        <color theme="0"/>
        <color theme="0"/>
      </colorScale>
    </cfRule>
  </conditionalFormatting>
  <conditionalFormatting sqref="AV26">
    <cfRule type="colorScale" priority="7906">
      <colorScale>
        <cfvo type="min"/>
        <cfvo type="max"/>
        <color theme="0"/>
        <color theme="0"/>
      </colorScale>
    </cfRule>
    <cfRule type="expression" dxfId="1412" priority="7908">
      <formula>AU26&lt;0</formula>
    </cfRule>
  </conditionalFormatting>
  <conditionalFormatting sqref="AV26:AV27">
    <cfRule type="expression" dxfId="1411" priority="7905">
      <formula>IF(AV26="Validar","Rojo","Verde")</formula>
    </cfRule>
    <cfRule type="expression" priority="7907">
      <formula>#REF!</formula>
    </cfRule>
  </conditionalFormatting>
  <conditionalFormatting sqref="AV27">
    <cfRule type="expression" dxfId="1410" priority="7942">
      <formula>AU27&lt;0</formula>
    </cfRule>
    <cfRule type="colorScale" priority="7941">
      <colorScale>
        <cfvo type="min"/>
        <cfvo type="max"/>
        <color theme="0"/>
        <color theme="0"/>
      </colorScale>
    </cfRule>
  </conditionalFormatting>
  <conditionalFormatting sqref="AV29">
    <cfRule type="expression" dxfId="1409" priority="7904">
      <formula>AU29&lt;0</formula>
    </cfRule>
    <cfRule type="colorScale" priority="7902">
      <colorScale>
        <cfvo type="min"/>
        <cfvo type="max"/>
        <color theme="0"/>
        <color theme="0"/>
      </colorScale>
    </cfRule>
  </conditionalFormatting>
  <conditionalFormatting sqref="AV29:AV30">
    <cfRule type="expression" priority="7903">
      <formula>#REF!</formula>
    </cfRule>
    <cfRule type="expression" dxfId="1408" priority="7901">
      <formula>IF(AV29="Validar","Rojo","Verde")</formula>
    </cfRule>
  </conditionalFormatting>
  <conditionalFormatting sqref="AV30">
    <cfRule type="colorScale" priority="7939">
      <colorScale>
        <cfvo type="min"/>
        <cfvo type="max"/>
        <color theme="0"/>
        <color theme="0"/>
      </colorScale>
    </cfRule>
    <cfRule type="expression" dxfId="1407" priority="7940">
      <formula>AU30&lt;0</formula>
    </cfRule>
  </conditionalFormatting>
  <conditionalFormatting sqref="AV39">
    <cfRule type="colorScale" priority="7898">
      <colorScale>
        <cfvo type="min"/>
        <cfvo type="max"/>
        <color theme="0"/>
        <color theme="0"/>
      </colorScale>
    </cfRule>
    <cfRule type="expression" dxfId="1406" priority="7900">
      <formula>AU39&lt;0</formula>
    </cfRule>
  </conditionalFormatting>
  <conditionalFormatting sqref="AV39:AV66">
    <cfRule type="expression" dxfId="1405" priority="7897">
      <formula>IF(AV39="Validar","Rojo","Verde")</formula>
    </cfRule>
    <cfRule type="expression" priority="7899">
      <formula>#REF!</formula>
    </cfRule>
  </conditionalFormatting>
  <conditionalFormatting sqref="AV40:AV66">
    <cfRule type="colorScale" priority="7937">
      <colorScale>
        <cfvo type="min"/>
        <cfvo type="max"/>
        <color theme="0"/>
        <color theme="0"/>
      </colorScale>
    </cfRule>
    <cfRule type="expression" dxfId="1404" priority="7938">
      <formula>AU40&lt;0</formula>
    </cfRule>
  </conditionalFormatting>
  <conditionalFormatting sqref="AV68">
    <cfRule type="expression" dxfId="1403" priority="7896">
      <formula>AU68&lt;0</formula>
    </cfRule>
    <cfRule type="colorScale" priority="7894">
      <colorScale>
        <cfvo type="min"/>
        <cfvo type="max"/>
        <color theme="0"/>
        <color theme="0"/>
      </colorScale>
    </cfRule>
  </conditionalFormatting>
  <conditionalFormatting sqref="AV68:AV81">
    <cfRule type="expression" dxfId="1402" priority="7893">
      <formula>IF(AV68="Validar","Rojo","Verde")</formula>
    </cfRule>
    <cfRule type="expression" priority="7895">
      <formula>#REF!</formula>
    </cfRule>
  </conditionalFormatting>
  <conditionalFormatting sqref="AV69:AV81">
    <cfRule type="expression" dxfId="1401" priority="7956">
      <formula>AU69&lt;0</formula>
    </cfRule>
    <cfRule type="colorScale" priority="7955">
      <colorScale>
        <cfvo type="min"/>
        <cfvo type="max"/>
        <color theme="0"/>
        <color theme="0"/>
      </colorScale>
    </cfRule>
  </conditionalFormatting>
  <conditionalFormatting sqref="AV83">
    <cfRule type="colorScale" priority="7877">
      <colorScale>
        <cfvo type="min"/>
        <cfvo type="max"/>
        <color theme="0"/>
        <color theme="0"/>
      </colorScale>
    </cfRule>
    <cfRule type="expression" dxfId="1400" priority="7879">
      <formula>AU83&lt;0</formula>
    </cfRule>
  </conditionalFormatting>
  <conditionalFormatting sqref="AV83:AV91">
    <cfRule type="expression" priority="7878">
      <formula>#REF!</formula>
    </cfRule>
    <cfRule type="expression" dxfId="1399" priority="7876">
      <formula>IF(AV83="Validar","Rojo","Verde")</formula>
    </cfRule>
  </conditionalFormatting>
  <conditionalFormatting sqref="AV84:AV91">
    <cfRule type="colorScale" priority="7935">
      <colorScale>
        <cfvo type="min"/>
        <cfvo type="max"/>
        <color theme="0"/>
        <color theme="0"/>
      </colorScale>
    </cfRule>
    <cfRule type="expression" dxfId="1398" priority="7936">
      <formula>AU84&lt;0</formula>
    </cfRule>
  </conditionalFormatting>
  <conditionalFormatting sqref="AV93">
    <cfRule type="expression" dxfId="1397" priority="7892">
      <formula>AU93&lt;0</formula>
    </cfRule>
    <cfRule type="colorScale" priority="7890">
      <colorScale>
        <cfvo type="min"/>
        <cfvo type="max"/>
        <color theme="0"/>
        <color theme="0"/>
      </colorScale>
    </cfRule>
  </conditionalFormatting>
  <conditionalFormatting sqref="AV93:AV102">
    <cfRule type="expression" priority="7891">
      <formula>#REF!</formula>
    </cfRule>
    <cfRule type="expression" dxfId="1396" priority="7889">
      <formula>IF(AV93="Validar","Rojo","Verde")</formula>
    </cfRule>
  </conditionalFormatting>
  <conditionalFormatting sqref="AV94:AV102">
    <cfRule type="expression" dxfId="1395" priority="7934">
      <formula>AU94&lt;0</formula>
    </cfRule>
    <cfRule type="colorScale" priority="7933">
      <colorScale>
        <cfvo type="min"/>
        <cfvo type="max"/>
        <color theme="0"/>
        <color theme="0"/>
      </colorScale>
    </cfRule>
  </conditionalFormatting>
  <conditionalFormatting sqref="AV104">
    <cfRule type="colorScale" priority="7886">
      <colorScale>
        <cfvo type="min"/>
        <cfvo type="max"/>
        <color theme="0"/>
        <color theme="0"/>
      </colorScale>
    </cfRule>
    <cfRule type="expression" dxfId="1394" priority="7888">
      <formula>AU104&lt;0</formula>
    </cfRule>
  </conditionalFormatting>
  <conditionalFormatting sqref="AV104:AV106">
    <cfRule type="expression" priority="7887">
      <formula>#REF!</formula>
    </cfRule>
    <cfRule type="expression" dxfId="1393" priority="7885">
      <formula>IF(AV104="Validar","Rojo","Verde")</formula>
    </cfRule>
  </conditionalFormatting>
  <conditionalFormatting sqref="AV105:AV106">
    <cfRule type="expression" dxfId="1392" priority="7932">
      <formula>AU105&lt;0</formula>
    </cfRule>
    <cfRule type="colorScale" priority="7931">
      <colorScale>
        <cfvo type="min"/>
        <cfvo type="max"/>
        <color theme="0"/>
        <color theme="0"/>
      </colorScale>
    </cfRule>
  </conditionalFormatting>
  <conditionalFormatting sqref="AV110">
    <cfRule type="colorScale" priority="7929">
      <colorScale>
        <cfvo type="min"/>
        <cfvo type="max"/>
        <color theme="0"/>
        <color theme="0"/>
      </colorScale>
    </cfRule>
    <cfRule type="expression" dxfId="1391" priority="7930">
      <formula>AU110&lt;0</formula>
    </cfRule>
  </conditionalFormatting>
  <conditionalFormatting sqref="AV110:AV111">
    <cfRule type="expression" priority="7871">
      <formula>#REF!</formula>
    </cfRule>
  </conditionalFormatting>
  <conditionalFormatting sqref="AV111">
    <cfRule type="colorScale" priority="7870">
      <colorScale>
        <cfvo type="min"/>
        <cfvo type="max"/>
        <color theme="0"/>
        <color theme="0"/>
      </colorScale>
    </cfRule>
    <cfRule type="expression" dxfId="1390" priority="7872">
      <formula>AU111&lt;0</formula>
    </cfRule>
  </conditionalFormatting>
  <conditionalFormatting sqref="AV117:AV123">
    <cfRule type="expression" dxfId="1389" priority="7928">
      <formula>AU117&lt;0</formula>
    </cfRule>
    <cfRule type="expression" priority="7927">
      <formula>#REF!</formula>
    </cfRule>
    <cfRule type="colorScale" priority="7926">
      <colorScale>
        <cfvo type="min"/>
        <cfvo type="max"/>
        <color theme="0"/>
        <color theme="0"/>
      </colorScale>
    </cfRule>
  </conditionalFormatting>
  <conditionalFormatting sqref="AV125">
    <cfRule type="colorScale" priority="7882">
      <colorScale>
        <cfvo type="min"/>
        <cfvo type="max"/>
        <color theme="0"/>
        <color theme="0"/>
      </colorScale>
    </cfRule>
    <cfRule type="expression" dxfId="1388" priority="7884">
      <formula>AU125&lt;0</formula>
    </cfRule>
  </conditionalFormatting>
  <conditionalFormatting sqref="AV125:AV134">
    <cfRule type="expression" dxfId="1387" priority="7881">
      <formula>IF(AV125="Validar","Rojo","Verde")</formula>
    </cfRule>
    <cfRule type="expression" priority="7883">
      <formula>#REF!</formula>
    </cfRule>
  </conditionalFormatting>
  <conditionalFormatting sqref="AV126:AV134">
    <cfRule type="expression" dxfId="1386" priority="7924">
      <formula>AU126&lt;0</formula>
    </cfRule>
    <cfRule type="colorScale" priority="7923">
      <colorScale>
        <cfvo type="min"/>
        <cfvo type="max"/>
        <color theme="0"/>
        <color theme="0"/>
      </colorScale>
    </cfRule>
  </conditionalFormatting>
  <conditionalFormatting sqref="AX5">
    <cfRule type="colorScale" priority="67">
      <colorScale>
        <cfvo type="min"/>
        <cfvo type="max"/>
        <color theme="0"/>
        <color theme="0"/>
      </colorScale>
    </cfRule>
    <cfRule type="expression" dxfId="1385" priority="68">
      <formula>AW5&lt;0</formula>
    </cfRule>
  </conditionalFormatting>
  <conditionalFormatting sqref="AX5:AX20">
    <cfRule type="expression" dxfId="1384" priority="65">
      <formula>IF(AX5="Validar","Rojo","Verde")</formula>
    </cfRule>
    <cfRule type="expression" priority="66">
      <formula>#REF!</formula>
    </cfRule>
  </conditionalFormatting>
  <conditionalFormatting sqref="AX6">
    <cfRule type="colorScale" priority="2599">
      <colorScale>
        <cfvo type="min"/>
        <cfvo type="max"/>
        <color theme="0"/>
        <color theme="0"/>
      </colorScale>
    </cfRule>
    <cfRule type="expression" dxfId="1383" priority="2600">
      <formula>AW6&lt;0</formula>
    </cfRule>
  </conditionalFormatting>
  <conditionalFormatting sqref="AX7:AX8">
    <cfRule type="colorScale" priority="2595">
      <colorScale>
        <cfvo type="min"/>
        <cfvo type="max"/>
        <color theme="0"/>
        <color theme="0"/>
      </colorScale>
    </cfRule>
    <cfRule type="expression" dxfId="1382" priority="2596">
      <formula>AW7&lt;0</formula>
    </cfRule>
  </conditionalFormatting>
  <conditionalFormatting sqref="AX9">
    <cfRule type="expression" dxfId="1381" priority="2711">
      <formula>AW9&lt;0</formula>
    </cfRule>
    <cfRule type="colorScale" priority="2710">
      <colorScale>
        <cfvo type="min"/>
        <cfvo type="max"/>
        <color theme="0"/>
        <color theme="0"/>
      </colorScale>
    </cfRule>
  </conditionalFormatting>
  <conditionalFormatting sqref="AX10">
    <cfRule type="expression" dxfId="1380" priority="2688">
      <formula>AW10&lt;0</formula>
    </cfRule>
    <cfRule type="colorScale" priority="2687">
      <colorScale>
        <cfvo type="min"/>
        <cfvo type="max"/>
        <color theme="0"/>
        <color theme="0"/>
      </colorScale>
    </cfRule>
  </conditionalFormatting>
  <conditionalFormatting sqref="AX11:AX13">
    <cfRule type="expression" dxfId="1379" priority="2709">
      <formula>AW11&lt;0</formula>
    </cfRule>
    <cfRule type="colorScale" priority="2708">
      <colorScale>
        <cfvo type="min"/>
        <cfvo type="max"/>
        <color theme="0"/>
        <color theme="0"/>
      </colorScale>
    </cfRule>
  </conditionalFormatting>
  <conditionalFormatting sqref="AX14">
    <cfRule type="colorScale" priority="243">
      <colorScale>
        <cfvo type="min"/>
        <cfvo type="max"/>
        <color theme="0"/>
        <color theme="0"/>
      </colorScale>
    </cfRule>
    <cfRule type="expression" dxfId="1378" priority="244">
      <formula>AW14&lt;0</formula>
    </cfRule>
  </conditionalFormatting>
  <conditionalFormatting sqref="AX15">
    <cfRule type="expression" dxfId="1377" priority="2686">
      <formula>AW15&lt;0</formula>
    </cfRule>
    <cfRule type="colorScale" priority="2685">
      <colorScale>
        <cfvo type="min"/>
        <cfvo type="max"/>
        <color theme="0"/>
        <color theme="0"/>
      </colorScale>
    </cfRule>
  </conditionalFormatting>
  <conditionalFormatting sqref="AX16:AX17">
    <cfRule type="colorScale" priority="2706">
      <colorScale>
        <cfvo type="min"/>
        <cfvo type="max"/>
        <color theme="0"/>
        <color theme="0"/>
      </colorScale>
    </cfRule>
    <cfRule type="expression" dxfId="1376" priority="2707">
      <formula>AW16&lt;0</formula>
    </cfRule>
  </conditionalFormatting>
  <conditionalFormatting sqref="AX18">
    <cfRule type="colorScale" priority="2682">
      <colorScale>
        <cfvo type="min"/>
        <cfvo type="max"/>
        <color theme="0"/>
        <color theme="0"/>
      </colorScale>
    </cfRule>
    <cfRule type="expression" dxfId="1375" priority="2684">
      <formula>AW18&lt;0</formula>
    </cfRule>
  </conditionalFormatting>
  <conditionalFormatting sqref="AX19:AX20">
    <cfRule type="colorScale" priority="2704">
      <colorScale>
        <cfvo type="min"/>
        <cfvo type="max"/>
        <color theme="0"/>
        <color theme="0"/>
      </colorScale>
    </cfRule>
    <cfRule type="expression" dxfId="1374" priority="2705">
      <formula>AW19&lt;0</formula>
    </cfRule>
  </conditionalFormatting>
  <conditionalFormatting sqref="AX23">
    <cfRule type="expression" dxfId="1373" priority="2680">
      <formula>AW23&lt;0</formula>
    </cfRule>
    <cfRule type="colorScale" priority="2679">
      <colorScale>
        <cfvo type="min"/>
        <cfvo type="max"/>
        <color theme="0"/>
        <color theme="0"/>
      </colorScale>
    </cfRule>
  </conditionalFormatting>
  <conditionalFormatting sqref="AX23:AX31">
    <cfRule type="expression" priority="2675">
      <formula>#REF!</formula>
    </cfRule>
    <cfRule type="expression" dxfId="1372" priority="2673">
      <formula>IF(AX23="Validar","Rojo","Verde")</formula>
    </cfRule>
  </conditionalFormatting>
  <conditionalFormatting sqref="AX24">
    <cfRule type="colorScale" priority="2702">
      <colorScale>
        <cfvo type="min"/>
        <cfvo type="max"/>
        <color theme="0"/>
        <color theme="0"/>
      </colorScale>
    </cfRule>
    <cfRule type="expression" dxfId="1371" priority="2703">
      <formula>AW24&lt;0</formula>
    </cfRule>
  </conditionalFormatting>
  <conditionalFormatting sqref="AX25">
    <cfRule type="expression" dxfId="1370" priority="2701">
      <formula>AW25&lt;0</formula>
    </cfRule>
    <cfRule type="colorScale" priority="2700">
      <colorScale>
        <cfvo type="min"/>
        <cfvo type="max"/>
        <color theme="0"/>
        <color theme="0"/>
      </colorScale>
    </cfRule>
  </conditionalFormatting>
  <conditionalFormatting sqref="AX26">
    <cfRule type="expression" dxfId="1369" priority="2678">
      <formula>AW26&lt;0</formula>
    </cfRule>
    <cfRule type="colorScale" priority="2677">
      <colorScale>
        <cfvo type="min"/>
        <cfvo type="max"/>
        <color theme="0"/>
        <color theme="0"/>
      </colorScale>
    </cfRule>
  </conditionalFormatting>
  <conditionalFormatting sqref="AX27">
    <cfRule type="expression" dxfId="1368" priority="2699">
      <formula>AW27&lt;0</formula>
    </cfRule>
    <cfRule type="colorScale" priority="2698">
      <colorScale>
        <cfvo type="min"/>
        <cfvo type="max"/>
        <color theme="0"/>
        <color theme="0"/>
      </colorScale>
    </cfRule>
  </conditionalFormatting>
  <conditionalFormatting sqref="AX28">
    <cfRule type="colorScale" priority="2696">
      <colorScale>
        <cfvo type="min"/>
        <cfvo type="max"/>
        <color theme="0"/>
        <color theme="0"/>
      </colorScale>
    </cfRule>
    <cfRule type="expression" dxfId="1367" priority="2697">
      <formula>AW28&lt;0</formula>
    </cfRule>
  </conditionalFormatting>
  <conditionalFormatting sqref="AX29">
    <cfRule type="colorScale" priority="2674">
      <colorScale>
        <cfvo type="min"/>
        <cfvo type="max"/>
        <color theme="0"/>
        <color theme="0"/>
      </colorScale>
    </cfRule>
    <cfRule type="expression" dxfId="1366" priority="2676">
      <formula>AW29&lt;0</formula>
    </cfRule>
  </conditionalFormatting>
  <conditionalFormatting sqref="AX30">
    <cfRule type="colorScale" priority="2694">
      <colorScale>
        <cfvo type="min"/>
        <cfvo type="max"/>
        <color theme="0"/>
        <color theme="0"/>
      </colorScale>
    </cfRule>
    <cfRule type="expression" dxfId="1365" priority="2695">
      <formula>AW30&lt;0</formula>
    </cfRule>
  </conditionalFormatting>
  <conditionalFormatting sqref="AX31">
    <cfRule type="colorScale" priority="2692">
      <colorScale>
        <cfvo type="min"/>
        <cfvo type="max"/>
        <color theme="0"/>
        <color theme="0"/>
      </colorScale>
    </cfRule>
    <cfRule type="expression" dxfId="1364" priority="2693">
      <formula>AW31&lt;0</formula>
    </cfRule>
  </conditionalFormatting>
  <conditionalFormatting sqref="AX39">
    <cfRule type="colorScale" priority="2670">
      <colorScale>
        <cfvo type="min"/>
        <cfvo type="max"/>
        <color theme="0"/>
        <color theme="0"/>
      </colorScale>
    </cfRule>
    <cfRule type="expression" dxfId="1363" priority="2672">
      <formula>AW39&lt;0</formula>
    </cfRule>
    <cfRule type="expression" priority="2671">
      <formula>#REF!</formula>
    </cfRule>
  </conditionalFormatting>
  <conditionalFormatting sqref="AX39:AX107">
    <cfRule type="expression" dxfId="1362" priority="2608">
      <formula>IF(AX39="Validar","Rojo","Verde")</formula>
    </cfRule>
  </conditionalFormatting>
  <conditionalFormatting sqref="AX40:AX67">
    <cfRule type="colorScale" priority="2689">
      <colorScale>
        <cfvo type="min"/>
        <cfvo type="max"/>
        <color theme="0"/>
        <color theme="0"/>
      </colorScale>
    </cfRule>
    <cfRule type="expression" priority="2690">
      <formula>$F$19</formula>
    </cfRule>
    <cfRule type="expression" dxfId="1361" priority="2691">
      <formula>AW40&lt;0</formula>
    </cfRule>
  </conditionalFormatting>
  <conditionalFormatting sqref="AX68">
    <cfRule type="colorScale" priority="2667">
      <colorScale>
        <cfvo type="min"/>
        <cfvo type="max"/>
        <color theme="0"/>
        <color theme="0"/>
      </colorScale>
    </cfRule>
    <cfRule type="expression" dxfId="1360" priority="2669">
      <formula>AW68&lt;0</formula>
    </cfRule>
    <cfRule type="expression" priority="2668">
      <formula>#REF!</formula>
    </cfRule>
  </conditionalFormatting>
  <conditionalFormatting sqref="AX69:AX81">
    <cfRule type="expression" dxfId="1359" priority="2716">
      <formula>AW69&lt;0</formula>
    </cfRule>
    <cfRule type="colorScale" priority="2714">
      <colorScale>
        <cfvo type="min"/>
        <cfvo type="max"/>
        <color theme="0"/>
        <color theme="0"/>
      </colorScale>
    </cfRule>
    <cfRule type="expression" priority="2715">
      <formula>$F$19</formula>
    </cfRule>
  </conditionalFormatting>
  <conditionalFormatting sqref="AX82 AX92 AX103 AX107">
    <cfRule type="expression" dxfId="1358" priority="2713">
      <formula>AW82&lt;0</formula>
    </cfRule>
    <cfRule type="colorScale" priority="2712">
      <colorScale>
        <cfvo type="min"/>
        <cfvo type="max"/>
        <color theme="0"/>
        <color theme="0"/>
      </colorScale>
    </cfRule>
  </conditionalFormatting>
  <conditionalFormatting sqref="AX83">
    <cfRule type="expression" dxfId="1357" priority="2611">
      <formula>AW83&lt;0</formula>
    </cfRule>
    <cfRule type="colorScale" priority="2609">
      <colorScale>
        <cfvo type="min"/>
        <cfvo type="max"/>
        <color theme="0"/>
        <color theme="0"/>
      </colorScale>
    </cfRule>
    <cfRule type="expression" priority="2610">
      <formula>#REF!</formula>
    </cfRule>
  </conditionalFormatting>
  <conditionalFormatting sqref="AX84:AX91">
    <cfRule type="expression" dxfId="1356" priority="2719">
      <formula>AW84&lt;0</formula>
    </cfRule>
    <cfRule type="colorScale" priority="2717">
      <colorScale>
        <cfvo type="min"/>
        <cfvo type="max"/>
        <color theme="0"/>
        <color theme="0"/>
      </colorScale>
    </cfRule>
    <cfRule type="expression" priority="2718">
      <formula>$F$19</formula>
    </cfRule>
  </conditionalFormatting>
  <conditionalFormatting sqref="AX93">
    <cfRule type="colorScale" priority="2664">
      <colorScale>
        <cfvo type="min"/>
        <cfvo type="max"/>
        <color theme="0"/>
        <color theme="0"/>
      </colorScale>
    </cfRule>
    <cfRule type="expression" priority="2665">
      <formula>#REF!</formula>
    </cfRule>
    <cfRule type="expression" dxfId="1355" priority="2666">
      <formula>AW93&lt;0</formula>
    </cfRule>
  </conditionalFormatting>
  <conditionalFormatting sqref="AX94:AX102">
    <cfRule type="colorScale" priority="2720">
      <colorScale>
        <cfvo type="min"/>
        <cfvo type="max"/>
        <color theme="0"/>
        <color theme="0"/>
      </colorScale>
    </cfRule>
    <cfRule type="expression" priority="2721">
      <formula>$F$19</formula>
    </cfRule>
    <cfRule type="expression" dxfId="1354" priority="2722">
      <formula>AW94&lt;0</formula>
    </cfRule>
  </conditionalFormatting>
  <conditionalFormatting sqref="AX104">
    <cfRule type="colorScale" priority="2661">
      <colorScale>
        <cfvo type="min"/>
        <cfvo type="max"/>
        <color theme="0"/>
        <color theme="0"/>
      </colorScale>
    </cfRule>
    <cfRule type="expression" priority="2662">
      <formula>#REF!</formula>
    </cfRule>
    <cfRule type="expression" dxfId="1353" priority="2663">
      <formula>AW104&lt;0</formula>
    </cfRule>
  </conditionalFormatting>
  <conditionalFormatting sqref="AX105:AX106">
    <cfRule type="colorScale" priority="2723">
      <colorScale>
        <cfvo type="min"/>
        <cfvo type="max"/>
        <color theme="0"/>
        <color theme="0"/>
      </colorScale>
    </cfRule>
    <cfRule type="expression" dxfId="1352" priority="2725">
      <formula>AW105&lt;0</formula>
    </cfRule>
    <cfRule type="expression" priority="2724">
      <formula>$F$19</formula>
    </cfRule>
  </conditionalFormatting>
  <conditionalFormatting sqref="AX110">
    <cfRule type="colorScale" priority="2726">
      <colorScale>
        <cfvo type="min"/>
        <cfvo type="max"/>
        <color theme="0"/>
        <color theme="0"/>
      </colorScale>
    </cfRule>
    <cfRule type="expression" dxfId="1351" priority="2727">
      <formula>AW110&lt;0</formula>
    </cfRule>
  </conditionalFormatting>
  <conditionalFormatting sqref="AX110:AX111">
    <cfRule type="expression" priority="2606">
      <formula>$F$19</formula>
    </cfRule>
  </conditionalFormatting>
  <conditionalFormatting sqref="AX111">
    <cfRule type="colorScale" priority="2605">
      <colorScale>
        <cfvo type="min"/>
        <cfvo type="max"/>
        <color theme="0"/>
        <color theme="0"/>
      </colorScale>
    </cfRule>
    <cfRule type="expression" dxfId="1350" priority="2607">
      <formula>AW111&lt;0</formula>
    </cfRule>
  </conditionalFormatting>
  <conditionalFormatting sqref="AX117:AX123">
    <cfRule type="expression" dxfId="1349" priority="2733">
      <formula>AW117&lt;0</formula>
    </cfRule>
    <cfRule type="expression" priority="2732">
      <formula>$F$19</formula>
    </cfRule>
    <cfRule type="colorScale" priority="2731">
      <colorScale>
        <cfvo type="min"/>
        <cfvo type="max"/>
        <color theme="0"/>
        <color theme="0"/>
      </colorScale>
    </cfRule>
  </conditionalFormatting>
  <conditionalFormatting sqref="AX125">
    <cfRule type="expression" priority="2659">
      <formula>#REF!</formula>
    </cfRule>
    <cfRule type="colorScale" priority="2658">
      <colorScale>
        <cfvo type="min"/>
        <cfvo type="max"/>
        <color theme="0"/>
        <color theme="0"/>
      </colorScale>
    </cfRule>
    <cfRule type="expression" dxfId="1348" priority="2660">
      <formula>AW125&lt;0</formula>
    </cfRule>
  </conditionalFormatting>
  <conditionalFormatting sqref="AX125:AX135">
    <cfRule type="expression" dxfId="1347" priority="2657">
      <formula>IF(AX125="Validar","Rojo","Verde")</formula>
    </cfRule>
  </conditionalFormatting>
  <conditionalFormatting sqref="AX126:AX132">
    <cfRule type="colorScale" priority="2734">
      <colorScale>
        <cfvo type="min"/>
        <cfvo type="max"/>
        <color theme="0"/>
        <color theme="0"/>
      </colorScale>
    </cfRule>
    <cfRule type="expression" dxfId="1346" priority="2736">
      <formula>AW126&lt;0</formula>
    </cfRule>
  </conditionalFormatting>
  <conditionalFormatting sqref="AX126:AX134">
    <cfRule type="expression" priority="2735">
      <formula>$F$19</formula>
    </cfRule>
  </conditionalFormatting>
  <conditionalFormatting sqref="AX133:AX134">
    <cfRule type="colorScale" priority="2737">
      <colorScale>
        <cfvo type="min"/>
        <cfvo type="max"/>
        <color theme="0"/>
        <color theme="0"/>
      </colorScale>
    </cfRule>
    <cfRule type="expression" dxfId="1345" priority="2738">
      <formula>AW133&lt;0</formula>
    </cfRule>
  </conditionalFormatting>
  <conditionalFormatting sqref="AX135">
    <cfRule type="expression" dxfId="1344" priority="2730">
      <formula>AW135&lt;0</formula>
    </cfRule>
    <cfRule type="expression" priority="2729">
      <formula>$F$23</formula>
    </cfRule>
    <cfRule type="colorScale" priority="2728">
      <colorScale>
        <cfvo type="min"/>
        <cfvo type="max"/>
        <color theme="0"/>
        <color theme="0"/>
      </colorScale>
    </cfRule>
  </conditionalFormatting>
  <conditionalFormatting sqref="AX110:AY111">
    <cfRule type="expression" dxfId="1343" priority="2601">
      <formula>IF(AX110="Validar","Rojo","Verde")</formula>
    </cfRule>
  </conditionalFormatting>
  <conditionalFormatting sqref="AX117:AY123">
    <cfRule type="expression" dxfId="1342" priority="2614">
      <formula>IF(AX117="Validar","Rojo","Verde")</formula>
    </cfRule>
  </conditionalFormatting>
  <conditionalFormatting sqref="AY40:AY66">
    <cfRule type="expression" dxfId="1341" priority="2651">
      <formula>AX40&lt;0</formula>
    </cfRule>
    <cfRule type="expression" priority="2650">
      <formula>#REF!</formula>
    </cfRule>
    <cfRule type="colorScale" priority="2649">
      <colorScale>
        <cfvo type="min"/>
        <cfvo type="max"/>
        <color theme="0"/>
        <color theme="0"/>
      </colorScale>
    </cfRule>
  </conditionalFormatting>
  <conditionalFormatting sqref="AY40:AY67">
    <cfRule type="expression" dxfId="1340" priority="2648">
      <formula>IF(AY40="Validar","Rojo","Verde")</formula>
    </cfRule>
  </conditionalFormatting>
  <conditionalFormatting sqref="AY67 AX82:AY82 AX92:AY92 AX103:AY103 AX107:AY107">
    <cfRule type="expression" priority="2653">
      <formula>$F$23</formula>
    </cfRule>
  </conditionalFormatting>
  <conditionalFormatting sqref="AY67 AY82 AY92 AY103 AY107">
    <cfRule type="colorScale" priority="2652">
      <colorScale>
        <cfvo type="min"/>
        <cfvo type="max"/>
        <color theme="0"/>
        <color theme="0"/>
      </colorScale>
    </cfRule>
    <cfRule type="expression" dxfId="1339" priority="2654">
      <formula>AX67&lt;0</formula>
    </cfRule>
  </conditionalFormatting>
  <conditionalFormatting sqref="AY69">
    <cfRule type="expression" dxfId="1338" priority="2647">
      <formula>AX69&lt;0</formula>
    </cfRule>
    <cfRule type="colorScale" priority="2646">
      <colorScale>
        <cfvo type="min"/>
        <cfvo type="max"/>
        <color theme="0"/>
        <color theme="0"/>
      </colorScale>
    </cfRule>
  </conditionalFormatting>
  <conditionalFormatting sqref="AY69:AY81">
    <cfRule type="expression" priority="2644">
      <formula>#REF!</formula>
    </cfRule>
  </conditionalFormatting>
  <conditionalFormatting sqref="AY69:AY82">
    <cfRule type="expression" dxfId="1337" priority="2642">
      <formula>IF(AY69="Validar","Rojo","Verde")</formula>
    </cfRule>
  </conditionalFormatting>
  <conditionalFormatting sqref="AY70:AY78">
    <cfRule type="colorScale" priority="2643">
      <colorScale>
        <cfvo type="min"/>
        <cfvo type="max"/>
        <color theme="0"/>
        <color theme="0"/>
      </colorScale>
    </cfRule>
    <cfRule type="expression" dxfId="1336" priority="2645">
      <formula>AX70&lt;0</formula>
    </cfRule>
  </conditionalFormatting>
  <conditionalFormatting sqref="AY79:AY81">
    <cfRule type="colorScale" priority="2655">
      <colorScale>
        <cfvo type="min"/>
        <cfvo type="max"/>
        <color theme="0"/>
        <color theme="0"/>
      </colorScale>
    </cfRule>
    <cfRule type="expression" dxfId="1335" priority="2656">
      <formula>AX79&lt;0</formula>
    </cfRule>
  </conditionalFormatting>
  <conditionalFormatting sqref="AY84">
    <cfRule type="colorScale" priority="2640">
      <colorScale>
        <cfvo type="min"/>
        <cfvo type="max"/>
        <color theme="0"/>
        <color theme="0"/>
      </colorScale>
    </cfRule>
    <cfRule type="expression" dxfId="1334" priority="2641">
      <formula>AX84&lt;0</formula>
    </cfRule>
  </conditionalFormatting>
  <conditionalFormatting sqref="AY84:AY91">
    <cfRule type="expression" priority="2638">
      <formula>#REF!</formula>
    </cfRule>
  </conditionalFormatting>
  <conditionalFormatting sqref="AY84:AY92">
    <cfRule type="expression" dxfId="1333" priority="2636">
      <formula>IF(AY84="Validar","Rojo","Verde")</formula>
    </cfRule>
  </conditionalFormatting>
  <conditionalFormatting sqref="AY85:AY91">
    <cfRule type="colorScale" priority="2637">
      <colorScale>
        <cfvo type="min"/>
        <cfvo type="max"/>
        <color theme="0"/>
        <color theme="0"/>
      </colorScale>
    </cfRule>
    <cfRule type="expression" dxfId="1332" priority="2639">
      <formula>AX85&lt;0</formula>
    </cfRule>
  </conditionalFormatting>
  <conditionalFormatting sqref="AY94">
    <cfRule type="expression" dxfId="1331" priority="2635">
      <formula>AX94&lt;0</formula>
    </cfRule>
    <cfRule type="colorScale" priority="2634">
      <colorScale>
        <cfvo type="min"/>
        <cfvo type="max"/>
        <color theme="0"/>
        <color theme="0"/>
      </colorScale>
    </cfRule>
  </conditionalFormatting>
  <conditionalFormatting sqref="AY94:AY102">
    <cfRule type="expression" priority="2628">
      <formula>#REF!</formula>
    </cfRule>
  </conditionalFormatting>
  <conditionalFormatting sqref="AY94:AY103">
    <cfRule type="expression" dxfId="1330" priority="2626">
      <formula>IF(AY94="Validar","Rojo","Verde")</formula>
    </cfRule>
  </conditionalFormatting>
  <conditionalFormatting sqref="AY95:AY100">
    <cfRule type="colorScale" priority="2632">
      <colorScale>
        <cfvo type="min"/>
        <cfvo type="max"/>
        <color theme="0"/>
        <color theme="0"/>
      </colorScale>
    </cfRule>
    <cfRule type="expression" dxfId="1329" priority="2633">
      <formula>AX95&lt;0</formula>
    </cfRule>
  </conditionalFormatting>
  <conditionalFormatting sqref="AY101">
    <cfRule type="colorScale" priority="2630">
      <colorScale>
        <cfvo type="min"/>
        <cfvo type="max"/>
        <color theme="0"/>
        <color theme="0"/>
      </colorScale>
    </cfRule>
    <cfRule type="expression" dxfId="1328" priority="2631">
      <formula>AX101&lt;0</formula>
    </cfRule>
  </conditionalFormatting>
  <conditionalFormatting sqref="AY102">
    <cfRule type="colorScale" priority="2627">
      <colorScale>
        <cfvo type="min"/>
        <cfvo type="max"/>
        <color theme="0"/>
        <color theme="0"/>
      </colorScale>
    </cfRule>
    <cfRule type="expression" dxfId="1327" priority="2629">
      <formula>AX102&lt;0</formula>
    </cfRule>
  </conditionalFormatting>
  <conditionalFormatting sqref="AY105">
    <cfRule type="expression" dxfId="1326" priority="2625">
      <formula>AX105&lt;0</formula>
    </cfRule>
    <cfRule type="colorScale" priority="2624">
      <colorScale>
        <cfvo type="min"/>
        <cfvo type="max"/>
        <color theme="0"/>
        <color theme="0"/>
      </colorScale>
    </cfRule>
  </conditionalFormatting>
  <conditionalFormatting sqref="AY105:AY106">
    <cfRule type="expression" priority="2622">
      <formula>#REF!</formula>
    </cfRule>
  </conditionalFormatting>
  <conditionalFormatting sqref="AY105:AY107">
    <cfRule type="expression" dxfId="1325" priority="2620">
      <formula>IF(AY105="Validar","Rojo","Verde")</formula>
    </cfRule>
  </conditionalFormatting>
  <conditionalFormatting sqref="AY106">
    <cfRule type="expression" dxfId="1324" priority="2623">
      <formula>AX106&lt;0</formula>
    </cfRule>
    <cfRule type="colorScale" priority="2621">
      <colorScale>
        <cfvo type="min"/>
        <cfvo type="max"/>
        <color theme="0"/>
        <color theme="0"/>
      </colorScale>
    </cfRule>
  </conditionalFormatting>
  <conditionalFormatting sqref="AY110">
    <cfRule type="expression" dxfId="1323" priority="2613">
      <formula>AX110&lt;0</formula>
    </cfRule>
    <cfRule type="colorScale" priority="2612">
      <colorScale>
        <cfvo type="min"/>
        <cfvo type="max"/>
        <color theme="0"/>
        <color theme="0"/>
      </colorScale>
    </cfRule>
  </conditionalFormatting>
  <conditionalFormatting sqref="AY110:AY111">
    <cfRule type="expression" priority="2603">
      <formula>#REF!</formula>
    </cfRule>
  </conditionalFormatting>
  <conditionalFormatting sqref="AY111">
    <cfRule type="expression" dxfId="1322" priority="2604">
      <formula>AX111&lt;0</formula>
    </cfRule>
    <cfRule type="colorScale" priority="2602">
      <colorScale>
        <cfvo type="min"/>
        <cfvo type="max"/>
        <color theme="0"/>
        <color theme="0"/>
      </colorScale>
    </cfRule>
  </conditionalFormatting>
  <conditionalFormatting sqref="AY117">
    <cfRule type="expression" dxfId="1321" priority="2619">
      <formula>AX117&lt;0</formula>
    </cfRule>
    <cfRule type="colorScale" priority="2618">
      <colorScale>
        <cfvo type="min"/>
        <cfvo type="max"/>
        <color theme="0"/>
        <color theme="0"/>
      </colorScale>
    </cfRule>
  </conditionalFormatting>
  <conditionalFormatting sqref="AY117:AY123">
    <cfRule type="expression" priority="2616">
      <formula>#REF!</formula>
    </cfRule>
  </conditionalFormatting>
  <conditionalFormatting sqref="AY118:AY123">
    <cfRule type="colorScale" priority="2615">
      <colorScale>
        <cfvo type="min"/>
        <cfvo type="max"/>
        <color theme="0"/>
        <color theme="0"/>
      </colorScale>
    </cfRule>
    <cfRule type="expression" dxfId="1320" priority="2617">
      <formula>AX118&lt;0</formula>
    </cfRule>
  </conditionalFormatting>
  <conditionalFormatting sqref="AY126:AY135">
    <cfRule type="expression" priority="2741">
      <formula>$F$23</formula>
    </cfRule>
    <cfRule type="expression" dxfId="1319" priority="2739">
      <formula>IF(AY126="Validar","Rojo","Verde")</formula>
    </cfRule>
    <cfRule type="colorScale" priority="2740">
      <colorScale>
        <cfvo type="min"/>
        <cfvo type="max"/>
        <color theme="0"/>
        <color theme="0"/>
      </colorScale>
    </cfRule>
    <cfRule type="expression" dxfId="1318" priority="2742">
      <formula>AX126&lt;0</formula>
    </cfRule>
  </conditionalFormatting>
  <conditionalFormatting sqref="BA5">
    <cfRule type="colorScale" priority="7">
      <colorScale>
        <cfvo type="min"/>
        <cfvo type="max"/>
        <color theme="0"/>
        <color theme="0"/>
      </colorScale>
    </cfRule>
    <cfRule type="expression" dxfId="1317" priority="8">
      <formula>AZ5&lt;0</formula>
    </cfRule>
  </conditionalFormatting>
  <conditionalFormatting sqref="BA5:BA20">
    <cfRule type="expression" dxfId="1316" priority="5">
      <formula>IF(BA5="Validar","Rojo","Verde")</formula>
    </cfRule>
    <cfRule type="expression" priority="6">
      <formula>#REF!</formula>
    </cfRule>
  </conditionalFormatting>
  <conditionalFormatting sqref="BA6">
    <cfRule type="expression" dxfId="1315" priority="500">
      <formula>AZ6&lt;0</formula>
    </cfRule>
    <cfRule type="colorScale" priority="499">
      <colorScale>
        <cfvo type="min"/>
        <cfvo type="max"/>
        <color theme="0"/>
        <color theme="0"/>
      </colorScale>
    </cfRule>
  </conditionalFormatting>
  <conditionalFormatting sqref="BA7:BA8">
    <cfRule type="expression" dxfId="1314" priority="496">
      <formula>AZ7&lt;0</formula>
    </cfRule>
    <cfRule type="colorScale" priority="495">
      <colorScale>
        <cfvo type="min"/>
        <cfvo type="max"/>
        <color theme="0"/>
        <color theme="0"/>
      </colorScale>
    </cfRule>
  </conditionalFormatting>
  <conditionalFormatting sqref="BA9">
    <cfRule type="expression" dxfId="1313" priority="565">
      <formula>AZ9&lt;0</formula>
    </cfRule>
    <cfRule type="colorScale" priority="564">
      <colorScale>
        <cfvo type="min"/>
        <cfvo type="max"/>
        <color theme="0"/>
        <color theme="0"/>
      </colorScale>
    </cfRule>
  </conditionalFormatting>
  <conditionalFormatting sqref="BA10">
    <cfRule type="expression" dxfId="1312" priority="542">
      <formula>AZ10&lt;0</formula>
    </cfRule>
    <cfRule type="colorScale" priority="541">
      <colorScale>
        <cfvo type="min"/>
        <cfvo type="max"/>
        <color theme="0"/>
        <color theme="0"/>
      </colorScale>
    </cfRule>
  </conditionalFormatting>
  <conditionalFormatting sqref="BA11:BA13">
    <cfRule type="colorScale" priority="562">
      <colorScale>
        <cfvo type="min"/>
        <cfvo type="max"/>
        <color theme="0"/>
        <color theme="0"/>
      </colorScale>
    </cfRule>
    <cfRule type="expression" dxfId="1311" priority="563">
      <formula>AZ11&lt;0</formula>
    </cfRule>
  </conditionalFormatting>
  <conditionalFormatting sqref="BA14">
    <cfRule type="colorScale" priority="235">
      <colorScale>
        <cfvo type="min"/>
        <cfvo type="max"/>
        <color theme="0"/>
        <color theme="0"/>
      </colorScale>
    </cfRule>
    <cfRule type="expression" dxfId="1310" priority="236">
      <formula>AZ14&lt;0</formula>
    </cfRule>
  </conditionalFormatting>
  <conditionalFormatting sqref="BA15">
    <cfRule type="expression" dxfId="1309" priority="540">
      <formula>AZ15&lt;0</formula>
    </cfRule>
    <cfRule type="colorScale" priority="539">
      <colorScale>
        <cfvo type="min"/>
        <cfvo type="max"/>
        <color theme="0"/>
        <color theme="0"/>
      </colorScale>
    </cfRule>
  </conditionalFormatting>
  <conditionalFormatting sqref="BA16:BA17">
    <cfRule type="colorScale" priority="560">
      <colorScale>
        <cfvo type="min"/>
        <cfvo type="max"/>
        <color theme="0"/>
        <color theme="0"/>
      </colorScale>
    </cfRule>
    <cfRule type="expression" dxfId="1308" priority="561">
      <formula>AZ16&lt;0</formula>
    </cfRule>
  </conditionalFormatting>
  <conditionalFormatting sqref="BA18">
    <cfRule type="expression" dxfId="1307" priority="538">
      <formula>AZ18&lt;0</formula>
    </cfRule>
    <cfRule type="colorScale" priority="536">
      <colorScale>
        <cfvo type="min"/>
        <cfvo type="max"/>
        <color theme="0"/>
        <color theme="0"/>
      </colorScale>
    </cfRule>
  </conditionalFormatting>
  <conditionalFormatting sqref="BA19:BA20">
    <cfRule type="colorScale" priority="558">
      <colorScale>
        <cfvo type="min"/>
        <cfvo type="max"/>
        <color theme="0"/>
        <color theme="0"/>
      </colorScale>
    </cfRule>
    <cfRule type="expression" dxfId="1306" priority="559">
      <formula>AZ19&lt;0</formula>
    </cfRule>
  </conditionalFormatting>
  <conditionalFormatting sqref="BA23">
    <cfRule type="expression" dxfId="1305" priority="534">
      <formula>AZ23&lt;0</formula>
    </cfRule>
    <cfRule type="colorScale" priority="533">
      <colorScale>
        <cfvo type="min"/>
        <cfvo type="max"/>
        <color theme="0"/>
        <color theme="0"/>
      </colorScale>
    </cfRule>
  </conditionalFormatting>
  <conditionalFormatting sqref="BA23:BA31">
    <cfRule type="expression" dxfId="1304" priority="527">
      <formula>IF(BA23="Validar","Rojo","Verde")</formula>
    </cfRule>
    <cfRule type="expression" priority="529">
      <formula>#REF!</formula>
    </cfRule>
  </conditionalFormatting>
  <conditionalFormatting sqref="BA24">
    <cfRule type="colorScale" priority="556">
      <colorScale>
        <cfvo type="min"/>
        <cfvo type="max"/>
        <color theme="0"/>
        <color theme="0"/>
      </colorScale>
    </cfRule>
    <cfRule type="expression" dxfId="1303" priority="557">
      <formula>AZ24&lt;0</formula>
    </cfRule>
  </conditionalFormatting>
  <conditionalFormatting sqref="BA25">
    <cfRule type="colorScale" priority="554">
      <colorScale>
        <cfvo type="min"/>
        <cfvo type="max"/>
        <color theme="0"/>
        <color theme="0"/>
      </colorScale>
    </cfRule>
    <cfRule type="expression" dxfId="1302" priority="555">
      <formula>AZ25&lt;0</formula>
    </cfRule>
  </conditionalFormatting>
  <conditionalFormatting sqref="BA26">
    <cfRule type="expression" dxfId="1301" priority="532">
      <formula>AZ26&lt;0</formula>
    </cfRule>
    <cfRule type="colorScale" priority="531">
      <colorScale>
        <cfvo type="min"/>
        <cfvo type="max"/>
        <color theme="0"/>
        <color theme="0"/>
      </colorScale>
    </cfRule>
  </conditionalFormatting>
  <conditionalFormatting sqref="BA27">
    <cfRule type="colorScale" priority="552">
      <colorScale>
        <cfvo type="min"/>
        <cfvo type="max"/>
        <color theme="0"/>
        <color theme="0"/>
      </colorScale>
    </cfRule>
    <cfRule type="expression" dxfId="1300" priority="553">
      <formula>AZ27&lt;0</formula>
    </cfRule>
  </conditionalFormatting>
  <conditionalFormatting sqref="BA28">
    <cfRule type="expression" dxfId="1299" priority="551">
      <formula>AZ28&lt;0</formula>
    </cfRule>
    <cfRule type="colorScale" priority="550">
      <colorScale>
        <cfvo type="min"/>
        <cfvo type="max"/>
        <color theme="0"/>
        <color theme="0"/>
      </colorScale>
    </cfRule>
  </conditionalFormatting>
  <conditionalFormatting sqref="BA29">
    <cfRule type="colorScale" priority="528">
      <colorScale>
        <cfvo type="min"/>
        <cfvo type="max"/>
        <color theme="0"/>
        <color theme="0"/>
      </colorScale>
    </cfRule>
    <cfRule type="expression" dxfId="1298" priority="530">
      <formula>AZ29&lt;0</formula>
    </cfRule>
  </conditionalFormatting>
  <conditionalFormatting sqref="BA30">
    <cfRule type="colorScale" priority="548">
      <colorScale>
        <cfvo type="min"/>
        <cfvo type="max"/>
        <color theme="0"/>
        <color theme="0"/>
      </colorScale>
    </cfRule>
    <cfRule type="expression" dxfId="1297" priority="549">
      <formula>AZ30&lt;0</formula>
    </cfRule>
  </conditionalFormatting>
  <conditionalFormatting sqref="BA31">
    <cfRule type="colorScale" priority="546">
      <colorScale>
        <cfvo type="min"/>
        <cfvo type="max"/>
        <color theme="0"/>
        <color theme="0"/>
      </colorScale>
    </cfRule>
    <cfRule type="expression" dxfId="1296" priority="547">
      <formula>AZ31&lt;0</formula>
    </cfRule>
  </conditionalFormatting>
  <conditionalFormatting sqref="BA39">
    <cfRule type="colorScale" priority="524">
      <colorScale>
        <cfvo type="min"/>
        <cfvo type="max"/>
        <color theme="0"/>
        <color theme="0"/>
      </colorScale>
    </cfRule>
    <cfRule type="expression" priority="525">
      <formula>#REF!</formula>
    </cfRule>
    <cfRule type="expression" dxfId="1295" priority="526">
      <formula>AZ39&lt;0</formula>
    </cfRule>
  </conditionalFormatting>
  <conditionalFormatting sqref="BA39:BA107">
    <cfRule type="expression" dxfId="1294" priority="505">
      <formula>IF(BA39="Validar","Rojo","Verde")</formula>
    </cfRule>
  </conditionalFormatting>
  <conditionalFormatting sqref="BA40:BA67">
    <cfRule type="colorScale" priority="543">
      <colorScale>
        <cfvo type="min"/>
        <cfvo type="max"/>
        <color theme="0"/>
        <color theme="0"/>
      </colorScale>
    </cfRule>
    <cfRule type="expression" priority="544">
      <formula>$F$19</formula>
    </cfRule>
    <cfRule type="expression" dxfId="1293" priority="545">
      <formula>AZ40&lt;0</formula>
    </cfRule>
  </conditionalFormatting>
  <conditionalFormatting sqref="BA68">
    <cfRule type="colorScale" priority="521">
      <colorScale>
        <cfvo type="min"/>
        <cfvo type="max"/>
        <color theme="0"/>
        <color theme="0"/>
      </colorScale>
    </cfRule>
    <cfRule type="expression" priority="522">
      <formula>#REF!</formula>
    </cfRule>
    <cfRule type="expression" dxfId="1292" priority="523">
      <formula>AZ68&lt;0</formula>
    </cfRule>
  </conditionalFormatting>
  <conditionalFormatting sqref="BA69:BA81">
    <cfRule type="colorScale" priority="568">
      <colorScale>
        <cfvo type="min"/>
        <cfvo type="max"/>
        <color theme="0"/>
        <color theme="0"/>
      </colorScale>
    </cfRule>
    <cfRule type="expression" priority="569">
      <formula>$F$19</formula>
    </cfRule>
    <cfRule type="expression" dxfId="1291" priority="570">
      <formula>AZ69&lt;0</formula>
    </cfRule>
  </conditionalFormatting>
  <conditionalFormatting sqref="BA82 BA92 BA103 BA107">
    <cfRule type="colorScale" priority="566">
      <colorScale>
        <cfvo type="min"/>
        <cfvo type="max"/>
        <color theme="0"/>
        <color theme="0"/>
      </colorScale>
    </cfRule>
    <cfRule type="expression" dxfId="1290" priority="567">
      <formula>AZ82&lt;0</formula>
    </cfRule>
    <cfRule type="expression" priority="510">
      <formula>$F$23</formula>
    </cfRule>
  </conditionalFormatting>
  <conditionalFormatting sqref="BA83">
    <cfRule type="colorScale" priority="506">
      <colorScale>
        <cfvo type="min"/>
        <cfvo type="max"/>
        <color theme="0"/>
        <color theme="0"/>
      </colorScale>
    </cfRule>
    <cfRule type="expression" dxfId="1289" priority="508">
      <formula>AZ83&lt;0</formula>
    </cfRule>
    <cfRule type="expression" priority="507">
      <formula>#REF!</formula>
    </cfRule>
  </conditionalFormatting>
  <conditionalFormatting sqref="BA84:BA91">
    <cfRule type="expression" dxfId="1288" priority="573">
      <formula>AZ84&lt;0</formula>
    </cfRule>
    <cfRule type="expression" priority="572">
      <formula>$F$19</formula>
    </cfRule>
    <cfRule type="colorScale" priority="571">
      <colorScale>
        <cfvo type="min"/>
        <cfvo type="max"/>
        <color theme="0"/>
        <color theme="0"/>
      </colorScale>
    </cfRule>
  </conditionalFormatting>
  <conditionalFormatting sqref="BA93">
    <cfRule type="expression" dxfId="1287" priority="520">
      <formula>AZ93&lt;0</formula>
    </cfRule>
    <cfRule type="expression" priority="519">
      <formula>#REF!</formula>
    </cfRule>
    <cfRule type="colorScale" priority="518">
      <colorScale>
        <cfvo type="min"/>
        <cfvo type="max"/>
        <color theme="0"/>
        <color theme="0"/>
      </colorScale>
    </cfRule>
  </conditionalFormatting>
  <conditionalFormatting sqref="BA94:BA102">
    <cfRule type="colorScale" priority="574">
      <colorScale>
        <cfvo type="min"/>
        <cfvo type="max"/>
        <color theme="0"/>
        <color theme="0"/>
      </colorScale>
    </cfRule>
    <cfRule type="expression" dxfId="1286" priority="576">
      <formula>AZ94&lt;0</formula>
    </cfRule>
    <cfRule type="expression" priority="575">
      <formula>$F$19</formula>
    </cfRule>
  </conditionalFormatting>
  <conditionalFormatting sqref="BA104">
    <cfRule type="expression" dxfId="1285" priority="517">
      <formula>AZ104&lt;0</formula>
    </cfRule>
    <cfRule type="expression" priority="516">
      <formula>#REF!</formula>
    </cfRule>
    <cfRule type="colorScale" priority="515">
      <colorScale>
        <cfvo type="min"/>
        <cfvo type="max"/>
        <color theme="0"/>
        <color theme="0"/>
      </colorScale>
    </cfRule>
  </conditionalFormatting>
  <conditionalFormatting sqref="BA105:BA106">
    <cfRule type="expression" priority="578">
      <formula>$F$19</formula>
    </cfRule>
    <cfRule type="colorScale" priority="577">
      <colorScale>
        <cfvo type="min"/>
        <cfvo type="max"/>
        <color theme="0"/>
        <color theme="0"/>
      </colorScale>
    </cfRule>
    <cfRule type="expression" dxfId="1284" priority="579">
      <formula>AZ105&lt;0</formula>
    </cfRule>
  </conditionalFormatting>
  <conditionalFormatting sqref="BA110">
    <cfRule type="colorScale" priority="580">
      <colorScale>
        <cfvo type="min"/>
        <cfvo type="max"/>
        <color theme="0"/>
        <color theme="0"/>
      </colorScale>
    </cfRule>
    <cfRule type="expression" dxfId="1283" priority="581">
      <formula>AZ110&lt;0</formula>
    </cfRule>
  </conditionalFormatting>
  <conditionalFormatting sqref="BA110:BA111">
    <cfRule type="expression" priority="503">
      <formula>$F$19</formula>
    </cfRule>
  </conditionalFormatting>
  <conditionalFormatting sqref="BA111">
    <cfRule type="expression" dxfId="1282" priority="504">
      <formula>AZ111&lt;0</formula>
    </cfRule>
    <cfRule type="colorScale" priority="502">
      <colorScale>
        <cfvo type="min"/>
        <cfvo type="max"/>
        <color theme="0"/>
        <color theme="0"/>
      </colorScale>
    </cfRule>
  </conditionalFormatting>
  <conditionalFormatting sqref="BA117:BA123">
    <cfRule type="expression" dxfId="1281" priority="587">
      <formula>AZ117&lt;0</formula>
    </cfRule>
    <cfRule type="expression" priority="586">
      <formula>$F$19</formula>
    </cfRule>
    <cfRule type="colorScale" priority="585">
      <colorScale>
        <cfvo type="min"/>
        <cfvo type="max"/>
        <color theme="0"/>
        <color theme="0"/>
      </colorScale>
    </cfRule>
  </conditionalFormatting>
  <conditionalFormatting sqref="BA125">
    <cfRule type="expression" dxfId="1280" priority="514">
      <formula>AZ125&lt;0</formula>
    </cfRule>
    <cfRule type="expression" priority="513">
      <formula>#REF!</formula>
    </cfRule>
    <cfRule type="colorScale" priority="512">
      <colorScale>
        <cfvo type="min"/>
        <cfvo type="max"/>
        <color theme="0"/>
        <color theme="0"/>
      </colorScale>
    </cfRule>
  </conditionalFormatting>
  <conditionalFormatting sqref="BA125:BA135">
    <cfRule type="expression" dxfId="1279" priority="511">
      <formula>IF(BA125="Validar","Rojo","Verde")</formula>
    </cfRule>
  </conditionalFormatting>
  <conditionalFormatting sqref="BA126:BA132">
    <cfRule type="colorScale" priority="588">
      <colorScale>
        <cfvo type="min"/>
        <cfvo type="max"/>
        <color theme="0"/>
        <color theme="0"/>
      </colorScale>
    </cfRule>
    <cfRule type="expression" dxfId="1278" priority="590">
      <formula>AZ126&lt;0</formula>
    </cfRule>
  </conditionalFormatting>
  <conditionalFormatting sqref="BA126:BA134">
    <cfRule type="expression" priority="589">
      <formula>$F$19</formula>
    </cfRule>
  </conditionalFormatting>
  <conditionalFormatting sqref="BA133:BA134">
    <cfRule type="colorScale" priority="591">
      <colorScale>
        <cfvo type="min"/>
        <cfvo type="max"/>
        <color theme="0"/>
        <color theme="0"/>
      </colorScale>
    </cfRule>
    <cfRule type="expression" dxfId="1277" priority="592">
      <formula>AZ133&lt;0</formula>
    </cfRule>
  </conditionalFormatting>
  <conditionalFormatting sqref="BA135">
    <cfRule type="expression" priority="583">
      <formula>$F$23</formula>
    </cfRule>
    <cfRule type="expression" dxfId="1276" priority="584">
      <formula>AZ135&lt;0</formula>
    </cfRule>
    <cfRule type="colorScale" priority="582">
      <colorScale>
        <cfvo type="min"/>
        <cfvo type="max"/>
        <color theme="0"/>
        <color theme="0"/>
      </colorScale>
    </cfRule>
  </conditionalFormatting>
  <conditionalFormatting sqref="BA110:BB111">
    <cfRule type="expression" dxfId="1275" priority="501">
      <formula>IF(BA110="Validar","Rojo","Verde")</formula>
    </cfRule>
  </conditionalFormatting>
  <conditionalFormatting sqref="BA117:BB123">
    <cfRule type="expression" dxfId="1274" priority="509">
      <formula>IF(BA117="Validar","Rojo","Verde")</formula>
    </cfRule>
  </conditionalFormatting>
  <conditionalFormatting sqref="BB5">
    <cfRule type="expression" dxfId="1273" priority="171">
      <formula>BA5&lt;0</formula>
    </cfRule>
    <cfRule type="colorScale" priority="170">
      <colorScale>
        <cfvo type="min"/>
        <cfvo type="max"/>
        <color theme="0"/>
        <color theme="0"/>
      </colorScale>
    </cfRule>
  </conditionalFormatting>
  <conditionalFormatting sqref="BB5:BB16">
    <cfRule type="expression" dxfId="1272" priority="168">
      <formula>IF(BB5="Validar","Rojo","Verde")</formula>
    </cfRule>
    <cfRule type="expression" priority="169">
      <formula>#REF!</formula>
    </cfRule>
  </conditionalFormatting>
  <conditionalFormatting sqref="BB6:BB9">
    <cfRule type="expression" dxfId="1271" priority="7633">
      <formula>BA6&lt;0</formula>
    </cfRule>
    <cfRule type="colorScale" priority="7632">
      <colorScale>
        <cfvo type="min"/>
        <cfvo type="max"/>
        <color theme="0"/>
        <color theme="0"/>
      </colorScale>
    </cfRule>
  </conditionalFormatting>
  <conditionalFormatting sqref="BB10">
    <cfRule type="colorScale" priority="7600">
      <colorScale>
        <cfvo type="min"/>
        <cfvo type="max"/>
        <color theme="0"/>
        <color theme="0"/>
      </colorScale>
    </cfRule>
    <cfRule type="expression" dxfId="1270" priority="7601">
      <formula>BA10&lt;0</formula>
    </cfRule>
  </conditionalFormatting>
  <conditionalFormatting sqref="BB11:BB13">
    <cfRule type="expression" dxfId="1269" priority="7631">
      <formula>BA11&lt;0</formula>
    </cfRule>
    <cfRule type="colorScale" priority="7630">
      <colorScale>
        <cfvo type="min"/>
        <cfvo type="max"/>
        <color theme="0"/>
        <color theme="0"/>
      </colorScale>
    </cfRule>
  </conditionalFormatting>
  <conditionalFormatting sqref="BB14">
    <cfRule type="expression" dxfId="1268" priority="331">
      <formula>BA14&lt;0</formula>
    </cfRule>
    <cfRule type="colorScale" priority="330">
      <colorScale>
        <cfvo type="min"/>
        <cfvo type="max"/>
        <color theme="0"/>
        <color theme="0"/>
      </colorScale>
    </cfRule>
  </conditionalFormatting>
  <conditionalFormatting sqref="BB15">
    <cfRule type="expression" dxfId="1267" priority="7599">
      <formula>BA15&lt;0</formula>
    </cfRule>
    <cfRule type="colorScale" priority="7597">
      <colorScale>
        <cfvo type="min"/>
        <cfvo type="max"/>
        <color theme="0"/>
        <color theme="0"/>
      </colorScale>
    </cfRule>
  </conditionalFormatting>
  <conditionalFormatting sqref="BB16">
    <cfRule type="colorScale" priority="7628">
      <colorScale>
        <cfvo type="min"/>
        <cfvo type="max"/>
        <color theme="0"/>
        <color theme="0"/>
      </colorScale>
    </cfRule>
    <cfRule type="expression" dxfId="1266" priority="7629">
      <formula>BA16&lt;0</formula>
    </cfRule>
  </conditionalFormatting>
  <conditionalFormatting sqref="BB18">
    <cfRule type="colorScale" priority="7593">
      <colorScale>
        <cfvo type="min"/>
        <cfvo type="max"/>
        <color theme="0"/>
        <color theme="0"/>
      </colorScale>
    </cfRule>
    <cfRule type="expression" dxfId="1265" priority="7595">
      <formula>BA18&lt;0</formula>
    </cfRule>
  </conditionalFormatting>
  <conditionalFormatting sqref="BB18:BB19">
    <cfRule type="expression" priority="7594">
      <formula>#REF!</formula>
    </cfRule>
    <cfRule type="expression" dxfId="1264" priority="7592">
      <formula>IF(BB18="Validar","Rojo","Verde")</formula>
    </cfRule>
  </conditionalFormatting>
  <conditionalFormatting sqref="BB19">
    <cfRule type="colorScale" priority="7626">
      <colorScale>
        <cfvo type="min"/>
        <cfvo type="max"/>
        <color theme="0"/>
        <color theme="0"/>
      </colorScale>
    </cfRule>
    <cfRule type="expression" dxfId="1263" priority="7627">
      <formula>BA19&lt;0</formula>
    </cfRule>
  </conditionalFormatting>
  <conditionalFormatting sqref="BB23">
    <cfRule type="colorScale" priority="7589">
      <colorScale>
        <cfvo type="min"/>
        <cfvo type="max"/>
        <color theme="0"/>
        <color theme="0"/>
      </colorScale>
    </cfRule>
    <cfRule type="expression" dxfId="1262" priority="7591">
      <formula>BA23&lt;0</formula>
    </cfRule>
  </conditionalFormatting>
  <conditionalFormatting sqref="BB23:BB24">
    <cfRule type="expression" dxfId="1261" priority="7588">
      <formula>IF(BB23="Validar","Rojo","Verde")</formula>
    </cfRule>
    <cfRule type="expression" priority="7590">
      <formula>#REF!</formula>
    </cfRule>
  </conditionalFormatting>
  <conditionalFormatting sqref="BB24">
    <cfRule type="expression" dxfId="1260" priority="7623">
      <formula>BA24&lt;0</formula>
    </cfRule>
    <cfRule type="colorScale" priority="7622">
      <colorScale>
        <cfvo type="min"/>
        <cfvo type="max"/>
        <color theme="0"/>
        <color theme="0"/>
      </colorScale>
    </cfRule>
  </conditionalFormatting>
  <conditionalFormatting sqref="BB26">
    <cfRule type="colorScale" priority="7585">
      <colorScale>
        <cfvo type="min"/>
        <cfvo type="max"/>
        <color theme="0"/>
        <color theme="0"/>
      </colorScale>
    </cfRule>
    <cfRule type="expression" dxfId="1259" priority="7587">
      <formula>BA26&lt;0</formula>
    </cfRule>
  </conditionalFormatting>
  <conditionalFormatting sqref="BB26:BB27">
    <cfRule type="expression" dxfId="1258" priority="7584">
      <formula>IF(BB26="Validar","Rojo","Verde")</formula>
    </cfRule>
    <cfRule type="expression" priority="7586">
      <formula>#REF!</formula>
    </cfRule>
  </conditionalFormatting>
  <conditionalFormatting sqref="BB27">
    <cfRule type="expression" dxfId="1257" priority="7621">
      <formula>BA27&lt;0</formula>
    </cfRule>
    <cfRule type="colorScale" priority="7620">
      <colorScale>
        <cfvo type="min"/>
        <cfvo type="max"/>
        <color theme="0"/>
        <color theme="0"/>
      </colorScale>
    </cfRule>
  </conditionalFormatting>
  <conditionalFormatting sqref="BB29">
    <cfRule type="expression" dxfId="1256" priority="7583">
      <formula>BA29&lt;0</formula>
    </cfRule>
    <cfRule type="colorScale" priority="7581">
      <colorScale>
        <cfvo type="min"/>
        <cfvo type="max"/>
        <color theme="0"/>
        <color theme="0"/>
      </colorScale>
    </cfRule>
  </conditionalFormatting>
  <conditionalFormatting sqref="BB29:BB30">
    <cfRule type="expression" dxfId="1255" priority="7580">
      <formula>IF(BB29="Validar","Rojo","Verde")</formula>
    </cfRule>
    <cfRule type="expression" priority="7582">
      <formula>#REF!</formula>
    </cfRule>
  </conditionalFormatting>
  <conditionalFormatting sqref="BB30">
    <cfRule type="expression" dxfId="1254" priority="7619">
      <formula>BA30&lt;0</formula>
    </cfRule>
    <cfRule type="colorScale" priority="7618">
      <colorScale>
        <cfvo type="min"/>
        <cfvo type="max"/>
        <color theme="0"/>
        <color theme="0"/>
      </colorScale>
    </cfRule>
  </conditionalFormatting>
  <conditionalFormatting sqref="BB39">
    <cfRule type="colorScale" priority="7577">
      <colorScale>
        <cfvo type="min"/>
        <cfvo type="max"/>
        <color theme="0"/>
        <color theme="0"/>
      </colorScale>
    </cfRule>
    <cfRule type="expression" dxfId="1253" priority="7579">
      <formula>BA39&lt;0</formula>
    </cfRule>
  </conditionalFormatting>
  <conditionalFormatting sqref="BB39:BB66">
    <cfRule type="expression" dxfId="1252" priority="7576">
      <formula>IF(BB39="Validar","Rojo","Verde")</formula>
    </cfRule>
    <cfRule type="expression" priority="7578">
      <formula>#REF!</formula>
    </cfRule>
  </conditionalFormatting>
  <conditionalFormatting sqref="BB40:BB66">
    <cfRule type="expression" dxfId="1251" priority="7617">
      <formula>BA40&lt;0</formula>
    </cfRule>
    <cfRule type="colorScale" priority="7616">
      <colorScale>
        <cfvo type="min"/>
        <cfvo type="max"/>
        <color theme="0"/>
        <color theme="0"/>
      </colorScale>
    </cfRule>
  </conditionalFormatting>
  <conditionalFormatting sqref="BB68">
    <cfRule type="colorScale" priority="7573">
      <colorScale>
        <cfvo type="min"/>
        <cfvo type="max"/>
        <color theme="0"/>
        <color theme="0"/>
      </colorScale>
    </cfRule>
    <cfRule type="expression" dxfId="1250" priority="7575">
      <formula>BA68&lt;0</formula>
    </cfRule>
  </conditionalFormatting>
  <conditionalFormatting sqref="BB68:BB81">
    <cfRule type="expression" dxfId="1249" priority="7572">
      <formula>IF(BB68="Validar","Rojo","Verde")</formula>
    </cfRule>
    <cfRule type="expression" priority="7574">
      <formula>#REF!</formula>
    </cfRule>
  </conditionalFormatting>
  <conditionalFormatting sqref="BB69:BB81">
    <cfRule type="expression" dxfId="1248" priority="7635">
      <formula>BA69&lt;0</formula>
    </cfRule>
    <cfRule type="colorScale" priority="7634">
      <colorScale>
        <cfvo type="min"/>
        <cfvo type="max"/>
        <color theme="0"/>
        <color theme="0"/>
      </colorScale>
    </cfRule>
  </conditionalFormatting>
  <conditionalFormatting sqref="BB83">
    <cfRule type="colorScale" priority="7556">
      <colorScale>
        <cfvo type="min"/>
        <cfvo type="max"/>
        <color theme="0"/>
        <color theme="0"/>
      </colorScale>
    </cfRule>
    <cfRule type="expression" dxfId="1247" priority="7558">
      <formula>BA83&lt;0</formula>
    </cfRule>
  </conditionalFormatting>
  <conditionalFormatting sqref="BB83:BB91">
    <cfRule type="expression" priority="7557">
      <formula>#REF!</formula>
    </cfRule>
    <cfRule type="expression" dxfId="1246" priority="7555">
      <formula>IF(BB83="Validar","Rojo","Verde")</formula>
    </cfRule>
  </conditionalFormatting>
  <conditionalFormatting sqref="BB84:BB91">
    <cfRule type="colorScale" priority="7614">
      <colorScale>
        <cfvo type="min"/>
        <cfvo type="max"/>
        <color theme="0"/>
        <color theme="0"/>
      </colorScale>
    </cfRule>
    <cfRule type="expression" dxfId="1245" priority="7615">
      <formula>BA84&lt;0</formula>
    </cfRule>
  </conditionalFormatting>
  <conditionalFormatting sqref="BB93">
    <cfRule type="expression" dxfId="1244" priority="7571">
      <formula>BA93&lt;0</formula>
    </cfRule>
    <cfRule type="colorScale" priority="7569">
      <colorScale>
        <cfvo type="min"/>
        <cfvo type="max"/>
        <color theme="0"/>
        <color theme="0"/>
      </colorScale>
    </cfRule>
  </conditionalFormatting>
  <conditionalFormatting sqref="BB93:BB102">
    <cfRule type="expression" dxfId="1243" priority="7568">
      <formula>IF(BB93="Validar","Rojo","Verde")</formula>
    </cfRule>
    <cfRule type="expression" priority="7570">
      <formula>#REF!</formula>
    </cfRule>
  </conditionalFormatting>
  <conditionalFormatting sqref="BB94:BB102">
    <cfRule type="expression" dxfId="1242" priority="7613">
      <formula>BA94&lt;0</formula>
    </cfRule>
    <cfRule type="colorScale" priority="7612">
      <colorScale>
        <cfvo type="min"/>
        <cfvo type="max"/>
        <color theme="0"/>
        <color theme="0"/>
      </colorScale>
    </cfRule>
  </conditionalFormatting>
  <conditionalFormatting sqref="BB104">
    <cfRule type="colorScale" priority="7565">
      <colorScale>
        <cfvo type="min"/>
        <cfvo type="max"/>
        <color theme="0"/>
        <color theme="0"/>
      </colorScale>
    </cfRule>
    <cfRule type="expression" dxfId="1241" priority="7567">
      <formula>BA104&lt;0</formula>
    </cfRule>
  </conditionalFormatting>
  <conditionalFormatting sqref="BB104:BB106">
    <cfRule type="expression" dxfId="1240" priority="7564">
      <formula>IF(BB104="Validar","Rojo","Verde")</formula>
    </cfRule>
    <cfRule type="expression" priority="7566">
      <formula>#REF!</formula>
    </cfRule>
  </conditionalFormatting>
  <conditionalFormatting sqref="BB105:BB106">
    <cfRule type="colorScale" priority="7610">
      <colorScale>
        <cfvo type="min"/>
        <cfvo type="max"/>
        <color theme="0"/>
        <color theme="0"/>
      </colorScale>
    </cfRule>
    <cfRule type="expression" dxfId="1239" priority="7611">
      <formula>BA105&lt;0</formula>
    </cfRule>
  </conditionalFormatting>
  <conditionalFormatting sqref="BB110">
    <cfRule type="expression" dxfId="1238" priority="7609">
      <formula>BA110&lt;0</formula>
    </cfRule>
    <cfRule type="colorScale" priority="7608">
      <colorScale>
        <cfvo type="min"/>
        <cfvo type="max"/>
        <color theme="0"/>
        <color theme="0"/>
      </colorScale>
    </cfRule>
  </conditionalFormatting>
  <conditionalFormatting sqref="BB110:BB111">
    <cfRule type="expression" priority="7550">
      <formula>#REF!</formula>
    </cfRule>
  </conditionalFormatting>
  <conditionalFormatting sqref="BB111">
    <cfRule type="colorScale" priority="7549">
      <colorScale>
        <cfvo type="min"/>
        <cfvo type="max"/>
        <color theme="0"/>
        <color theme="0"/>
      </colorScale>
    </cfRule>
    <cfRule type="expression" dxfId="1237" priority="7551">
      <formula>BA111&lt;0</formula>
    </cfRule>
  </conditionalFormatting>
  <conditionalFormatting sqref="BB117:BB123">
    <cfRule type="colorScale" priority="7605">
      <colorScale>
        <cfvo type="min"/>
        <cfvo type="max"/>
        <color theme="0"/>
        <color theme="0"/>
      </colorScale>
    </cfRule>
    <cfRule type="expression" priority="7606">
      <formula>#REF!</formula>
    </cfRule>
    <cfRule type="expression" dxfId="1236" priority="7607">
      <formula>BA117&lt;0</formula>
    </cfRule>
  </conditionalFormatting>
  <conditionalFormatting sqref="BB125">
    <cfRule type="expression" dxfId="1235" priority="7563">
      <formula>BA125&lt;0</formula>
    </cfRule>
    <cfRule type="colorScale" priority="7561">
      <colorScale>
        <cfvo type="min"/>
        <cfvo type="max"/>
        <color theme="0"/>
        <color theme="0"/>
      </colorScale>
    </cfRule>
  </conditionalFormatting>
  <conditionalFormatting sqref="BB125:BB134">
    <cfRule type="expression" priority="7562">
      <formula>#REF!</formula>
    </cfRule>
    <cfRule type="expression" dxfId="1234" priority="7560">
      <formula>IF(BB125="Validar","Rojo","Verde")</formula>
    </cfRule>
  </conditionalFormatting>
  <conditionalFormatting sqref="BB126:BB134">
    <cfRule type="expression" dxfId="1233" priority="7603">
      <formula>BA126&lt;0</formula>
    </cfRule>
    <cfRule type="colorScale" priority="7602">
      <colorScale>
        <cfvo type="min"/>
        <cfvo type="max"/>
        <color theme="0"/>
        <color theme="0"/>
      </colorScale>
    </cfRule>
  </conditionalFormatting>
  <conditionalFormatting sqref="BD5">
    <cfRule type="expression" dxfId="1232" priority="64">
      <formula>BC5&lt;0</formula>
    </cfRule>
    <cfRule type="colorScale" priority="63">
      <colorScale>
        <cfvo type="min"/>
        <cfvo type="max"/>
        <color theme="0"/>
        <color theme="0"/>
      </colorScale>
    </cfRule>
  </conditionalFormatting>
  <conditionalFormatting sqref="BD5:BD20">
    <cfRule type="expression" priority="62">
      <formula>#REF!</formula>
    </cfRule>
    <cfRule type="expression" dxfId="1231" priority="61">
      <formula>IF(BD5="Validar","Rojo","Verde")</formula>
    </cfRule>
  </conditionalFormatting>
  <conditionalFormatting sqref="BD6">
    <cfRule type="expression" dxfId="1230" priority="2450">
      <formula>BC6&lt;0</formula>
    </cfRule>
    <cfRule type="colorScale" priority="2449">
      <colorScale>
        <cfvo type="min"/>
        <cfvo type="max"/>
        <color theme="0"/>
        <color theme="0"/>
      </colorScale>
    </cfRule>
  </conditionalFormatting>
  <conditionalFormatting sqref="BD7:BD8">
    <cfRule type="expression" dxfId="1229" priority="2446">
      <formula>BC7&lt;0</formula>
    </cfRule>
    <cfRule type="colorScale" priority="2445">
      <colorScale>
        <cfvo type="min"/>
        <cfvo type="max"/>
        <color theme="0"/>
        <color theme="0"/>
      </colorScale>
    </cfRule>
  </conditionalFormatting>
  <conditionalFormatting sqref="BD9">
    <cfRule type="expression" dxfId="1228" priority="2561">
      <formula>BC9&lt;0</formula>
    </cfRule>
    <cfRule type="colorScale" priority="2560">
      <colorScale>
        <cfvo type="min"/>
        <cfvo type="max"/>
        <color theme="0"/>
        <color theme="0"/>
      </colorScale>
    </cfRule>
  </conditionalFormatting>
  <conditionalFormatting sqref="BD10">
    <cfRule type="expression" dxfId="1227" priority="2538">
      <formula>BC10&lt;0</formula>
    </cfRule>
    <cfRule type="colorScale" priority="2537">
      <colorScale>
        <cfvo type="min"/>
        <cfvo type="max"/>
        <color theme="0"/>
        <color theme="0"/>
      </colorScale>
    </cfRule>
  </conditionalFormatting>
  <conditionalFormatting sqref="BD11:BD13">
    <cfRule type="expression" dxfId="1226" priority="2559">
      <formula>BC11&lt;0</formula>
    </cfRule>
    <cfRule type="colorScale" priority="2558">
      <colorScale>
        <cfvo type="min"/>
        <cfvo type="max"/>
        <color theme="0"/>
        <color theme="0"/>
      </colorScale>
    </cfRule>
  </conditionalFormatting>
  <conditionalFormatting sqref="BD14">
    <cfRule type="colorScale" priority="231">
      <colorScale>
        <cfvo type="min"/>
        <cfvo type="max"/>
        <color theme="0"/>
        <color theme="0"/>
      </colorScale>
    </cfRule>
    <cfRule type="expression" dxfId="1225" priority="232">
      <formula>BC14&lt;0</formula>
    </cfRule>
  </conditionalFormatting>
  <conditionalFormatting sqref="BD15">
    <cfRule type="expression" dxfId="1224" priority="2536">
      <formula>BC15&lt;0</formula>
    </cfRule>
    <cfRule type="colorScale" priority="2535">
      <colorScale>
        <cfvo type="min"/>
        <cfvo type="max"/>
        <color theme="0"/>
        <color theme="0"/>
      </colorScale>
    </cfRule>
  </conditionalFormatting>
  <conditionalFormatting sqref="BD16:BD17">
    <cfRule type="colorScale" priority="2556">
      <colorScale>
        <cfvo type="min"/>
        <cfvo type="max"/>
        <color theme="0"/>
        <color theme="0"/>
      </colorScale>
    </cfRule>
    <cfRule type="expression" dxfId="1223" priority="2557">
      <formula>BC16&lt;0</formula>
    </cfRule>
  </conditionalFormatting>
  <conditionalFormatting sqref="BD18">
    <cfRule type="expression" dxfId="1222" priority="2534">
      <formula>BC18&lt;0</formula>
    </cfRule>
    <cfRule type="colorScale" priority="2532">
      <colorScale>
        <cfvo type="min"/>
        <cfvo type="max"/>
        <color theme="0"/>
        <color theme="0"/>
      </colorScale>
    </cfRule>
  </conditionalFormatting>
  <conditionalFormatting sqref="BD19:BD20">
    <cfRule type="colorScale" priority="2554">
      <colorScale>
        <cfvo type="min"/>
        <cfvo type="max"/>
        <color theme="0"/>
        <color theme="0"/>
      </colorScale>
    </cfRule>
    <cfRule type="expression" dxfId="1221" priority="2555">
      <formula>BC19&lt;0</formula>
    </cfRule>
  </conditionalFormatting>
  <conditionalFormatting sqref="BD23">
    <cfRule type="expression" dxfId="1220" priority="2530">
      <formula>BC23&lt;0</formula>
    </cfRule>
    <cfRule type="colorScale" priority="2529">
      <colorScale>
        <cfvo type="min"/>
        <cfvo type="max"/>
        <color theme="0"/>
        <color theme="0"/>
      </colorScale>
    </cfRule>
  </conditionalFormatting>
  <conditionalFormatting sqref="BD23:BD31">
    <cfRule type="expression" priority="2525">
      <formula>#REF!</formula>
    </cfRule>
    <cfRule type="expression" dxfId="1219" priority="2523">
      <formula>IF(BD23="Validar","Rojo","Verde")</formula>
    </cfRule>
  </conditionalFormatting>
  <conditionalFormatting sqref="BD24">
    <cfRule type="expression" dxfId="1218" priority="2553">
      <formula>BC24&lt;0</formula>
    </cfRule>
    <cfRule type="colorScale" priority="2552">
      <colorScale>
        <cfvo type="min"/>
        <cfvo type="max"/>
        <color theme="0"/>
        <color theme="0"/>
      </colorScale>
    </cfRule>
  </conditionalFormatting>
  <conditionalFormatting sqref="BD25">
    <cfRule type="expression" dxfId="1217" priority="2551">
      <formula>BC25&lt;0</formula>
    </cfRule>
    <cfRule type="colorScale" priority="2550">
      <colorScale>
        <cfvo type="min"/>
        <cfvo type="max"/>
        <color theme="0"/>
        <color theme="0"/>
      </colorScale>
    </cfRule>
  </conditionalFormatting>
  <conditionalFormatting sqref="BD26">
    <cfRule type="expression" dxfId="1216" priority="2528">
      <formula>BC26&lt;0</formula>
    </cfRule>
    <cfRule type="colorScale" priority="2527">
      <colorScale>
        <cfvo type="min"/>
        <cfvo type="max"/>
        <color theme="0"/>
        <color theme="0"/>
      </colorScale>
    </cfRule>
  </conditionalFormatting>
  <conditionalFormatting sqref="BD27">
    <cfRule type="expression" dxfId="1215" priority="2549">
      <formula>BC27&lt;0</formula>
    </cfRule>
    <cfRule type="colorScale" priority="2548">
      <colorScale>
        <cfvo type="min"/>
        <cfvo type="max"/>
        <color theme="0"/>
        <color theme="0"/>
      </colorScale>
    </cfRule>
  </conditionalFormatting>
  <conditionalFormatting sqref="BD28">
    <cfRule type="expression" dxfId="1214" priority="2547">
      <formula>BC28&lt;0</formula>
    </cfRule>
    <cfRule type="colorScale" priority="2546">
      <colorScale>
        <cfvo type="min"/>
        <cfvo type="max"/>
        <color theme="0"/>
        <color theme="0"/>
      </colorScale>
    </cfRule>
  </conditionalFormatting>
  <conditionalFormatting sqref="BD29">
    <cfRule type="expression" dxfId="1213" priority="2526">
      <formula>BC29&lt;0</formula>
    </cfRule>
    <cfRule type="colorScale" priority="2524">
      <colorScale>
        <cfvo type="min"/>
        <cfvo type="max"/>
        <color theme="0"/>
        <color theme="0"/>
      </colorScale>
    </cfRule>
  </conditionalFormatting>
  <conditionalFormatting sqref="BD30">
    <cfRule type="expression" dxfId="1212" priority="2545">
      <formula>BC30&lt;0</formula>
    </cfRule>
    <cfRule type="colorScale" priority="2544">
      <colorScale>
        <cfvo type="min"/>
        <cfvo type="max"/>
        <color theme="0"/>
        <color theme="0"/>
      </colorScale>
    </cfRule>
  </conditionalFormatting>
  <conditionalFormatting sqref="BD31">
    <cfRule type="expression" dxfId="1211" priority="2543">
      <formula>BC31&lt;0</formula>
    </cfRule>
    <cfRule type="colorScale" priority="2542">
      <colorScale>
        <cfvo type="min"/>
        <cfvo type="max"/>
        <color theme="0"/>
        <color theme="0"/>
      </colorScale>
    </cfRule>
  </conditionalFormatting>
  <conditionalFormatting sqref="BD39">
    <cfRule type="colorScale" priority="2520">
      <colorScale>
        <cfvo type="min"/>
        <cfvo type="max"/>
        <color theme="0"/>
        <color theme="0"/>
      </colorScale>
    </cfRule>
    <cfRule type="expression" priority="2521">
      <formula>#REF!</formula>
    </cfRule>
    <cfRule type="expression" dxfId="1210" priority="2522">
      <formula>BC39&lt;0</formula>
    </cfRule>
  </conditionalFormatting>
  <conditionalFormatting sqref="BD39:BD107">
    <cfRule type="expression" dxfId="1209" priority="2458">
      <formula>IF(BD39="Validar","Rojo","Verde")</formula>
    </cfRule>
  </conditionalFormatting>
  <conditionalFormatting sqref="BD40:BD67">
    <cfRule type="expression" dxfId="1208" priority="2541">
      <formula>BC40&lt;0</formula>
    </cfRule>
    <cfRule type="colorScale" priority="2539">
      <colorScale>
        <cfvo type="min"/>
        <cfvo type="max"/>
        <color theme="0"/>
        <color theme="0"/>
      </colorScale>
    </cfRule>
    <cfRule type="expression" priority="2540">
      <formula>$F$19</formula>
    </cfRule>
  </conditionalFormatting>
  <conditionalFormatting sqref="BD68">
    <cfRule type="colorScale" priority="2517">
      <colorScale>
        <cfvo type="min"/>
        <cfvo type="max"/>
        <color theme="0"/>
        <color theme="0"/>
      </colorScale>
    </cfRule>
    <cfRule type="expression" priority="2518">
      <formula>#REF!</formula>
    </cfRule>
    <cfRule type="expression" dxfId="1207" priority="2519">
      <formula>BC68&lt;0</formula>
    </cfRule>
  </conditionalFormatting>
  <conditionalFormatting sqref="BD69:BD81">
    <cfRule type="colorScale" priority="2564">
      <colorScale>
        <cfvo type="min"/>
        <cfvo type="max"/>
        <color theme="0"/>
        <color theme="0"/>
      </colorScale>
    </cfRule>
    <cfRule type="expression" priority="2565">
      <formula>$F$19</formula>
    </cfRule>
    <cfRule type="expression" dxfId="1206" priority="2566">
      <formula>BC69&lt;0</formula>
    </cfRule>
  </conditionalFormatting>
  <conditionalFormatting sqref="BD82 BD92 BD103 BD107">
    <cfRule type="expression" dxfId="1205" priority="2563">
      <formula>BC82&lt;0</formula>
    </cfRule>
  </conditionalFormatting>
  <conditionalFormatting sqref="BD83">
    <cfRule type="colorScale" priority="2459">
      <colorScale>
        <cfvo type="min"/>
        <cfvo type="max"/>
        <color theme="0"/>
        <color theme="0"/>
      </colorScale>
    </cfRule>
    <cfRule type="expression" dxfId="1204" priority="2461">
      <formula>BC83&lt;0</formula>
    </cfRule>
    <cfRule type="expression" priority="2460">
      <formula>#REF!</formula>
    </cfRule>
  </conditionalFormatting>
  <conditionalFormatting sqref="BD84:BD91">
    <cfRule type="expression" dxfId="1203" priority="2569">
      <formula>BC84&lt;0</formula>
    </cfRule>
    <cfRule type="colorScale" priority="2567">
      <colorScale>
        <cfvo type="min"/>
        <cfvo type="max"/>
        <color theme="0"/>
        <color theme="0"/>
      </colorScale>
    </cfRule>
    <cfRule type="expression" priority="2568">
      <formula>$F$19</formula>
    </cfRule>
  </conditionalFormatting>
  <conditionalFormatting sqref="BD92 BD82 BD103 BD107">
    <cfRule type="colorScale" priority="2562">
      <colorScale>
        <cfvo type="min"/>
        <cfvo type="max"/>
        <color theme="0"/>
        <color theme="0"/>
      </colorScale>
    </cfRule>
  </conditionalFormatting>
  <conditionalFormatting sqref="BD93">
    <cfRule type="expression" priority="2515">
      <formula>#REF!</formula>
    </cfRule>
    <cfRule type="expression" dxfId="1202" priority="2516">
      <formula>BC93&lt;0</formula>
    </cfRule>
    <cfRule type="colorScale" priority="2514">
      <colorScale>
        <cfvo type="min"/>
        <cfvo type="max"/>
        <color theme="0"/>
        <color theme="0"/>
      </colorScale>
    </cfRule>
  </conditionalFormatting>
  <conditionalFormatting sqref="BD94:BD102">
    <cfRule type="colorScale" priority="2570">
      <colorScale>
        <cfvo type="min"/>
        <cfvo type="max"/>
        <color theme="0"/>
        <color theme="0"/>
      </colorScale>
    </cfRule>
    <cfRule type="expression" priority="2571">
      <formula>$F$19</formula>
    </cfRule>
    <cfRule type="expression" dxfId="1201" priority="2572">
      <formula>BC94&lt;0</formula>
    </cfRule>
  </conditionalFormatting>
  <conditionalFormatting sqref="BD104">
    <cfRule type="expression" dxfId="1200" priority="2513">
      <formula>BC104&lt;0</formula>
    </cfRule>
    <cfRule type="colorScale" priority="2511">
      <colorScale>
        <cfvo type="min"/>
        <cfvo type="max"/>
        <color theme="0"/>
        <color theme="0"/>
      </colorScale>
    </cfRule>
    <cfRule type="expression" priority="2512">
      <formula>#REF!</formula>
    </cfRule>
  </conditionalFormatting>
  <conditionalFormatting sqref="BD105:BD106">
    <cfRule type="colorScale" priority="2573">
      <colorScale>
        <cfvo type="min"/>
        <cfvo type="max"/>
        <color theme="0"/>
        <color theme="0"/>
      </colorScale>
    </cfRule>
    <cfRule type="expression" priority="2574">
      <formula>$F$19</formula>
    </cfRule>
    <cfRule type="expression" dxfId="1199" priority="2575">
      <formula>BC105&lt;0</formula>
    </cfRule>
  </conditionalFormatting>
  <conditionalFormatting sqref="BD110">
    <cfRule type="expression" dxfId="1198" priority="2577">
      <formula>BC110&lt;0</formula>
    </cfRule>
    <cfRule type="colorScale" priority="2576">
      <colorScale>
        <cfvo type="min"/>
        <cfvo type="max"/>
        <color theme="0"/>
        <color theme="0"/>
      </colorScale>
    </cfRule>
  </conditionalFormatting>
  <conditionalFormatting sqref="BD110:BD111">
    <cfRule type="expression" priority="2456">
      <formula>$F$19</formula>
    </cfRule>
  </conditionalFormatting>
  <conditionalFormatting sqref="BD111">
    <cfRule type="expression" dxfId="1197" priority="2457">
      <formula>BC111&lt;0</formula>
    </cfRule>
    <cfRule type="colorScale" priority="2455">
      <colorScale>
        <cfvo type="min"/>
        <cfvo type="max"/>
        <color theme="0"/>
        <color theme="0"/>
      </colorScale>
    </cfRule>
  </conditionalFormatting>
  <conditionalFormatting sqref="BD117:BD123">
    <cfRule type="colorScale" priority="2581">
      <colorScale>
        <cfvo type="min"/>
        <cfvo type="max"/>
        <color theme="0"/>
        <color theme="0"/>
      </colorScale>
    </cfRule>
    <cfRule type="expression" dxfId="1196" priority="2583">
      <formula>BC117&lt;0</formula>
    </cfRule>
    <cfRule type="expression" priority="2582">
      <formula>$F$19</formula>
    </cfRule>
  </conditionalFormatting>
  <conditionalFormatting sqref="BD125">
    <cfRule type="colorScale" priority="2508">
      <colorScale>
        <cfvo type="min"/>
        <cfvo type="max"/>
        <color theme="0"/>
        <color theme="0"/>
      </colorScale>
    </cfRule>
    <cfRule type="expression" priority="2509">
      <formula>#REF!</formula>
    </cfRule>
    <cfRule type="expression" dxfId="1195" priority="2510">
      <formula>BC125&lt;0</formula>
    </cfRule>
  </conditionalFormatting>
  <conditionalFormatting sqref="BD125:BD135">
    <cfRule type="expression" dxfId="1194" priority="2507">
      <formula>IF(BD125="Validar","Rojo","Verde")</formula>
    </cfRule>
  </conditionalFormatting>
  <conditionalFormatting sqref="BD126:BD132">
    <cfRule type="expression" dxfId="1193" priority="2586">
      <formula>BC126&lt;0</formula>
    </cfRule>
    <cfRule type="colorScale" priority="2584">
      <colorScale>
        <cfvo type="min"/>
        <cfvo type="max"/>
        <color theme="0"/>
        <color theme="0"/>
      </colorScale>
    </cfRule>
  </conditionalFormatting>
  <conditionalFormatting sqref="BD126:BD134">
    <cfRule type="expression" priority="2585">
      <formula>$F$19</formula>
    </cfRule>
  </conditionalFormatting>
  <conditionalFormatting sqref="BD133:BD134">
    <cfRule type="expression" dxfId="1192" priority="2588">
      <formula>BC133&lt;0</formula>
    </cfRule>
    <cfRule type="colorScale" priority="2587">
      <colorScale>
        <cfvo type="min"/>
        <cfvo type="max"/>
        <color theme="0"/>
        <color theme="0"/>
      </colorScale>
    </cfRule>
  </conditionalFormatting>
  <conditionalFormatting sqref="BD135">
    <cfRule type="expression" priority="2579">
      <formula>$F$23</formula>
    </cfRule>
    <cfRule type="expression" dxfId="1191" priority="2580">
      <formula>BC135&lt;0</formula>
    </cfRule>
    <cfRule type="colorScale" priority="2578">
      <colorScale>
        <cfvo type="min"/>
        <cfvo type="max"/>
        <color theme="0"/>
        <color theme="0"/>
      </colorScale>
    </cfRule>
  </conditionalFormatting>
  <conditionalFormatting sqref="BD110:BF111">
    <cfRule type="expression" dxfId="1190" priority="2451">
      <formula>IF(BD110="Validar","Rojo","Verde")</formula>
    </cfRule>
  </conditionalFormatting>
  <conditionalFormatting sqref="BD117:BF123">
    <cfRule type="expression" dxfId="1189" priority="2464">
      <formula>IF(BD117="Validar","Rojo","Verde")</formula>
    </cfRule>
  </conditionalFormatting>
  <conditionalFormatting sqref="BE40:BE66">
    <cfRule type="expression" dxfId="1188" priority="2501">
      <formula>BD40&lt;0</formula>
    </cfRule>
    <cfRule type="expression" priority="2500">
      <formula>#REF!</formula>
    </cfRule>
    <cfRule type="colorScale" priority="2499">
      <colorScale>
        <cfvo type="min"/>
        <cfvo type="max"/>
        <color theme="0"/>
        <color theme="0"/>
      </colorScale>
    </cfRule>
  </conditionalFormatting>
  <conditionalFormatting sqref="BE40:BE67">
    <cfRule type="expression" dxfId="1187" priority="2498">
      <formula>IF(BE40="Validar","Rojo","Verde")</formula>
    </cfRule>
  </conditionalFormatting>
  <conditionalFormatting sqref="BE67 BD82:BE82 BD92:BE92 BD103:BE103 BD107:BE107">
    <cfRule type="expression" priority="2503">
      <formula>$F$23</formula>
    </cfRule>
  </conditionalFormatting>
  <conditionalFormatting sqref="BE67 BE82 BE92 BE103 BE107">
    <cfRule type="expression" dxfId="1186" priority="2504">
      <formula>BD67&lt;0</formula>
    </cfRule>
  </conditionalFormatting>
  <conditionalFormatting sqref="BE69">
    <cfRule type="expression" dxfId="1185" priority="2497">
      <formula>BD69&lt;0</formula>
    </cfRule>
    <cfRule type="colorScale" priority="2496">
      <colorScale>
        <cfvo type="min"/>
        <cfvo type="max"/>
        <color theme="0"/>
        <color theme="0"/>
      </colorScale>
    </cfRule>
  </conditionalFormatting>
  <conditionalFormatting sqref="BE69:BE81">
    <cfRule type="expression" priority="2494">
      <formula>#REF!</formula>
    </cfRule>
  </conditionalFormatting>
  <conditionalFormatting sqref="BE69:BE82">
    <cfRule type="expression" dxfId="1184" priority="2492">
      <formula>IF(BE69="Validar","Rojo","Verde")</formula>
    </cfRule>
  </conditionalFormatting>
  <conditionalFormatting sqref="BE70:BE78">
    <cfRule type="expression" dxfId="1183" priority="2495">
      <formula>BD70&lt;0</formula>
    </cfRule>
    <cfRule type="colorScale" priority="2493">
      <colorScale>
        <cfvo type="min"/>
        <cfvo type="max"/>
        <color theme="0"/>
        <color theme="0"/>
      </colorScale>
    </cfRule>
  </conditionalFormatting>
  <conditionalFormatting sqref="BE79:BE81">
    <cfRule type="colorScale" priority="2505">
      <colorScale>
        <cfvo type="min"/>
        <cfvo type="max"/>
        <color theme="0"/>
        <color theme="0"/>
      </colorScale>
    </cfRule>
    <cfRule type="expression" dxfId="1182" priority="2506">
      <formula>BD79&lt;0</formula>
    </cfRule>
  </conditionalFormatting>
  <conditionalFormatting sqref="BE82 BE67 BE92 BE103 BE107">
    <cfRule type="colorScale" priority="2502">
      <colorScale>
        <cfvo type="min"/>
        <cfvo type="max"/>
        <color theme="0"/>
        <color theme="0"/>
      </colorScale>
    </cfRule>
  </conditionalFormatting>
  <conditionalFormatting sqref="BE84">
    <cfRule type="expression" dxfId="1181" priority="2491">
      <formula>BD84&lt;0</formula>
    </cfRule>
    <cfRule type="colorScale" priority="2490">
      <colorScale>
        <cfvo type="min"/>
        <cfvo type="max"/>
        <color theme="0"/>
        <color theme="0"/>
      </colorScale>
    </cfRule>
  </conditionalFormatting>
  <conditionalFormatting sqref="BE84:BE91">
    <cfRule type="expression" priority="2488">
      <formula>#REF!</formula>
    </cfRule>
  </conditionalFormatting>
  <conditionalFormatting sqref="BE84:BE92">
    <cfRule type="expression" dxfId="1180" priority="2486">
      <formula>IF(BE84="Validar","Rojo","Verde")</formula>
    </cfRule>
  </conditionalFormatting>
  <conditionalFormatting sqref="BE85:BE91">
    <cfRule type="colorScale" priority="2487">
      <colorScale>
        <cfvo type="min"/>
        <cfvo type="max"/>
        <color theme="0"/>
        <color theme="0"/>
      </colorScale>
    </cfRule>
    <cfRule type="expression" dxfId="1179" priority="2489">
      <formula>BD85&lt;0</formula>
    </cfRule>
  </conditionalFormatting>
  <conditionalFormatting sqref="BE94">
    <cfRule type="colorScale" priority="2484">
      <colorScale>
        <cfvo type="min"/>
        <cfvo type="max"/>
        <color theme="0"/>
        <color theme="0"/>
      </colorScale>
    </cfRule>
    <cfRule type="expression" dxfId="1178" priority="2485">
      <formula>BD94&lt;0</formula>
    </cfRule>
  </conditionalFormatting>
  <conditionalFormatting sqref="BE94:BE102">
    <cfRule type="expression" priority="2478">
      <formula>#REF!</formula>
    </cfRule>
  </conditionalFormatting>
  <conditionalFormatting sqref="BE94:BE103">
    <cfRule type="expression" dxfId="1177" priority="2476">
      <formula>IF(BE94="Validar","Rojo","Verde")</formula>
    </cfRule>
  </conditionalFormatting>
  <conditionalFormatting sqref="BE95:BE100">
    <cfRule type="expression" dxfId="1176" priority="2483">
      <formula>BD95&lt;0</formula>
    </cfRule>
    <cfRule type="colorScale" priority="2482">
      <colorScale>
        <cfvo type="min"/>
        <cfvo type="max"/>
        <color theme="0"/>
        <color theme="0"/>
      </colorScale>
    </cfRule>
  </conditionalFormatting>
  <conditionalFormatting sqref="BE101">
    <cfRule type="expression" dxfId="1175" priority="2481">
      <formula>BD101&lt;0</formula>
    </cfRule>
    <cfRule type="colorScale" priority="2480">
      <colorScale>
        <cfvo type="min"/>
        <cfvo type="max"/>
        <color theme="0"/>
        <color theme="0"/>
      </colorScale>
    </cfRule>
  </conditionalFormatting>
  <conditionalFormatting sqref="BE102">
    <cfRule type="expression" dxfId="1174" priority="2479">
      <formula>BD102&lt;0</formula>
    </cfRule>
    <cfRule type="colorScale" priority="2477">
      <colorScale>
        <cfvo type="min"/>
        <cfvo type="max"/>
        <color theme="0"/>
        <color theme="0"/>
      </colorScale>
    </cfRule>
  </conditionalFormatting>
  <conditionalFormatting sqref="BE105">
    <cfRule type="expression" dxfId="1173" priority="2475">
      <formula>BD105&lt;0</formula>
    </cfRule>
    <cfRule type="colorScale" priority="2474">
      <colorScale>
        <cfvo type="min"/>
        <cfvo type="max"/>
        <color theme="0"/>
        <color theme="0"/>
      </colorScale>
    </cfRule>
  </conditionalFormatting>
  <conditionalFormatting sqref="BE105:BE106">
    <cfRule type="expression" priority="2472">
      <formula>#REF!</formula>
    </cfRule>
  </conditionalFormatting>
  <conditionalFormatting sqref="BE105:BE107">
    <cfRule type="expression" dxfId="1172" priority="2470">
      <formula>IF(BE105="Validar","Rojo","Verde")</formula>
    </cfRule>
  </conditionalFormatting>
  <conditionalFormatting sqref="BE106">
    <cfRule type="expression" dxfId="1171" priority="2473">
      <formula>BD106&lt;0</formula>
    </cfRule>
    <cfRule type="colorScale" priority="2471">
      <colorScale>
        <cfvo type="min"/>
        <cfvo type="max"/>
        <color theme="0"/>
        <color theme="0"/>
      </colorScale>
    </cfRule>
  </conditionalFormatting>
  <conditionalFormatting sqref="BE110">
    <cfRule type="expression" dxfId="1170" priority="2463">
      <formula>BD110&lt;0</formula>
    </cfRule>
    <cfRule type="colorScale" priority="2462">
      <colorScale>
        <cfvo type="min"/>
        <cfvo type="max"/>
        <color theme="0"/>
        <color theme="0"/>
      </colorScale>
    </cfRule>
  </conditionalFormatting>
  <conditionalFormatting sqref="BE111">
    <cfRule type="expression" dxfId="1169" priority="2454">
      <formula>BD111&lt;0</formula>
    </cfRule>
    <cfRule type="colorScale" priority="2452">
      <colorScale>
        <cfvo type="min"/>
        <cfvo type="max"/>
        <color theme="0"/>
        <color theme="0"/>
      </colorScale>
    </cfRule>
  </conditionalFormatting>
  <conditionalFormatting sqref="BE117">
    <cfRule type="expression" dxfId="1168" priority="2469">
      <formula>BD117&lt;0</formula>
    </cfRule>
    <cfRule type="colorScale" priority="2468">
      <colorScale>
        <cfvo type="min"/>
        <cfvo type="max"/>
        <color theme="0"/>
        <color theme="0"/>
      </colorScale>
    </cfRule>
  </conditionalFormatting>
  <conditionalFormatting sqref="BE118:BE123">
    <cfRule type="expression" dxfId="1167" priority="2467">
      <formula>BD118&lt;0</formula>
    </cfRule>
    <cfRule type="colorScale" priority="2465">
      <colorScale>
        <cfvo type="min"/>
        <cfvo type="max"/>
        <color theme="0"/>
        <color theme="0"/>
      </colorScale>
    </cfRule>
  </conditionalFormatting>
  <conditionalFormatting sqref="BE126:BE135">
    <cfRule type="expression" dxfId="1166" priority="2592">
      <formula>BD126&lt;0</formula>
    </cfRule>
    <cfRule type="expression" priority="2591">
      <formula>$F$23</formula>
    </cfRule>
    <cfRule type="colorScale" priority="2590">
      <colorScale>
        <cfvo type="min"/>
        <cfvo type="max"/>
        <color theme="0"/>
        <color theme="0"/>
      </colorScale>
    </cfRule>
    <cfRule type="expression" dxfId="1165" priority="2589">
      <formula>IF(BE126="Validar","Rojo","Verde")</formula>
    </cfRule>
  </conditionalFormatting>
  <conditionalFormatting sqref="BE110:BF111">
    <cfRule type="expression" priority="2453">
      <formula>#REF!</formula>
    </cfRule>
  </conditionalFormatting>
  <conditionalFormatting sqref="BE117:BF123">
    <cfRule type="expression" priority="2466">
      <formula>#REF!</formula>
    </cfRule>
  </conditionalFormatting>
  <conditionalFormatting sqref="BF5">
    <cfRule type="colorScale" priority="165">
      <colorScale>
        <cfvo type="min"/>
        <cfvo type="max"/>
        <color theme="0"/>
        <color theme="0"/>
      </colorScale>
    </cfRule>
    <cfRule type="expression" dxfId="1164" priority="166">
      <formula>BE5&lt;0</formula>
    </cfRule>
  </conditionalFormatting>
  <conditionalFormatting sqref="BF5:BF16">
    <cfRule type="expression" priority="164">
      <formula>#REF!</formula>
    </cfRule>
    <cfRule type="expression" dxfId="1163" priority="163">
      <formula>IF(BF5="Validar","Rojo","Verde")</formula>
    </cfRule>
  </conditionalFormatting>
  <conditionalFormatting sqref="BF6:BF9">
    <cfRule type="colorScale" priority="7257">
      <colorScale>
        <cfvo type="min"/>
        <cfvo type="max"/>
        <color theme="0"/>
        <color theme="0"/>
      </colorScale>
    </cfRule>
    <cfRule type="expression" dxfId="1162" priority="7258">
      <formula>BE6&lt;0</formula>
    </cfRule>
  </conditionalFormatting>
  <conditionalFormatting sqref="BF10">
    <cfRule type="expression" dxfId="1161" priority="7226">
      <formula>BE10&lt;0</formula>
    </cfRule>
    <cfRule type="colorScale" priority="7225">
      <colorScale>
        <cfvo type="min"/>
        <cfvo type="max"/>
        <color theme="0"/>
        <color theme="0"/>
      </colorScale>
    </cfRule>
  </conditionalFormatting>
  <conditionalFormatting sqref="BF11:BF13">
    <cfRule type="colorScale" priority="7255">
      <colorScale>
        <cfvo type="min"/>
        <cfvo type="max"/>
        <color theme="0"/>
        <color theme="0"/>
      </colorScale>
    </cfRule>
    <cfRule type="expression" dxfId="1160" priority="7256">
      <formula>BE11&lt;0</formula>
    </cfRule>
  </conditionalFormatting>
  <conditionalFormatting sqref="BF14">
    <cfRule type="expression" dxfId="1159" priority="326">
      <formula>BE14&lt;0</formula>
    </cfRule>
    <cfRule type="colorScale" priority="325">
      <colorScale>
        <cfvo type="min"/>
        <cfvo type="max"/>
        <color theme="0"/>
        <color theme="0"/>
      </colorScale>
    </cfRule>
  </conditionalFormatting>
  <conditionalFormatting sqref="BF15">
    <cfRule type="expression" dxfId="1158" priority="7224">
      <formula>BE15&lt;0</formula>
    </cfRule>
    <cfRule type="colorScale" priority="7222">
      <colorScale>
        <cfvo type="min"/>
        <cfvo type="max"/>
        <color theme="0"/>
        <color theme="0"/>
      </colorScale>
    </cfRule>
  </conditionalFormatting>
  <conditionalFormatting sqref="BF16">
    <cfRule type="colorScale" priority="7253">
      <colorScale>
        <cfvo type="min"/>
        <cfvo type="max"/>
        <color theme="0"/>
        <color theme="0"/>
      </colorScale>
    </cfRule>
    <cfRule type="expression" dxfId="1157" priority="7254">
      <formula>BE16&lt;0</formula>
    </cfRule>
  </conditionalFormatting>
  <conditionalFormatting sqref="BF18">
    <cfRule type="expression" dxfId="1156" priority="7220">
      <formula>BE18&lt;0</formula>
    </cfRule>
    <cfRule type="colorScale" priority="7218">
      <colorScale>
        <cfvo type="min"/>
        <cfvo type="max"/>
        <color theme="0"/>
        <color theme="0"/>
      </colorScale>
    </cfRule>
  </conditionalFormatting>
  <conditionalFormatting sqref="BF18:BF19">
    <cfRule type="expression" priority="7219">
      <formula>#REF!</formula>
    </cfRule>
    <cfRule type="expression" dxfId="1155" priority="7217">
      <formula>IF(BF18="Validar","Rojo","Verde")</formula>
    </cfRule>
  </conditionalFormatting>
  <conditionalFormatting sqref="BF19">
    <cfRule type="expression" dxfId="1154" priority="7252">
      <formula>BE19&lt;0</formula>
    </cfRule>
    <cfRule type="colorScale" priority="7251">
      <colorScale>
        <cfvo type="min"/>
        <cfvo type="max"/>
        <color theme="0"/>
        <color theme="0"/>
      </colorScale>
    </cfRule>
  </conditionalFormatting>
  <conditionalFormatting sqref="BF23">
    <cfRule type="expression" dxfId="1153" priority="7216">
      <formula>BE23&lt;0</formula>
    </cfRule>
    <cfRule type="colorScale" priority="7214">
      <colorScale>
        <cfvo type="min"/>
        <cfvo type="max"/>
        <color theme="0"/>
        <color theme="0"/>
      </colorScale>
    </cfRule>
  </conditionalFormatting>
  <conditionalFormatting sqref="BF23:BF24">
    <cfRule type="expression" priority="7215">
      <formula>#REF!</formula>
    </cfRule>
    <cfRule type="expression" dxfId="1152" priority="7213">
      <formula>IF(BF23="Validar","Rojo","Verde")</formula>
    </cfRule>
  </conditionalFormatting>
  <conditionalFormatting sqref="BF24">
    <cfRule type="expression" dxfId="1151" priority="7248">
      <formula>BE24&lt;0</formula>
    </cfRule>
    <cfRule type="colorScale" priority="7247">
      <colorScale>
        <cfvo type="min"/>
        <cfvo type="max"/>
        <color theme="0"/>
        <color theme="0"/>
      </colorScale>
    </cfRule>
  </conditionalFormatting>
  <conditionalFormatting sqref="BF26">
    <cfRule type="colorScale" priority="7210">
      <colorScale>
        <cfvo type="min"/>
        <cfvo type="max"/>
        <color theme="0"/>
        <color theme="0"/>
      </colorScale>
    </cfRule>
    <cfRule type="expression" dxfId="1150" priority="7212">
      <formula>BE26&lt;0</formula>
    </cfRule>
  </conditionalFormatting>
  <conditionalFormatting sqref="BF26:BF27">
    <cfRule type="expression" priority="7211">
      <formula>#REF!</formula>
    </cfRule>
    <cfRule type="expression" dxfId="1149" priority="7209">
      <formula>IF(BF26="Validar","Rojo","Verde")</formula>
    </cfRule>
  </conditionalFormatting>
  <conditionalFormatting sqref="BF27">
    <cfRule type="expression" dxfId="1148" priority="7246">
      <formula>BE27&lt;0</formula>
    </cfRule>
    <cfRule type="colorScale" priority="7245">
      <colorScale>
        <cfvo type="min"/>
        <cfvo type="max"/>
        <color theme="0"/>
        <color theme="0"/>
      </colorScale>
    </cfRule>
  </conditionalFormatting>
  <conditionalFormatting sqref="BF29">
    <cfRule type="colorScale" priority="7206">
      <colorScale>
        <cfvo type="min"/>
        <cfvo type="max"/>
        <color theme="0"/>
        <color theme="0"/>
      </colorScale>
    </cfRule>
    <cfRule type="expression" dxfId="1147" priority="7208">
      <formula>BE29&lt;0</formula>
    </cfRule>
  </conditionalFormatting>
  <conditionalFormatting sqref="BF29:BF30">
    <cfRule type="expression" dxfId="1146" priority="7205">
      <formula>IF(BF29="Validar","Rojo","Verde")</formula>
    </cfRule>
    <cfRule type="expression" priority="7207">
      <formula>#REF!</formula>
    </cfRule>
  </conditionalFormatting>
  <conditionalFormatting sqref="BF30">
    <cfRule type="expression" dxfId="1145" priority="7244">
      <formula>BE30&lt;0</formula>
    </cfRule>
    <cfRule type="colorScale" priority="7243">
      <colorScale>
        <cfvo type="min"/>
        <cfvo type="max"/>
        <color theme="0"/>
        <color theme="0"/>
      </colorScale>
    </cfRule>
  </conditionalFormatting>
  <conditionalFormatting sqref="BF39">
    <cfRule type="colorScale" priority="7202">
      <colorScale>
        <cfvo type="min"/>
        <cfvo type="max"/>
        <color theme="0"/>
        <color theme="0"/>
      </colorScale>
    </cfRule>
    <cfRule type="expression" dxfId="1144" priority="7204">
      <formula>BE39&lt;0</formula>
    </cfRule>
  </conditionalFormatting>
  <conditionalFormatting sqref="BF39:BF66">
    <cfRule type="expression" priority="7203">
      <formula>#REF!</formula>
    </cfRule>
    <cfRule type="expression" dxfId="1143" priority="7201">
      <formula>IF(BF39="Validar","Rojo","Verde")</formula>
    </cfRule>
  </conditionalFormatting>
  <conditionalFormatting sqref="BF40:BF66">
    <cfRule type="colorScale" priority="7241">
      <colorScale>
        <cfvo type="min"/>
        <cfvo type="max"/>
        <color theme="0"/>
        <color theme="0"/>
      </colorScale>
    </cfRule>
    <cfRule type="expression" dxfId="1142" priority="7242">
      <formula>BE40&lt;0</formula>
    </cfRule>
  </conditionalFormatting>
  <conditionalFormatting sqref="BF68">
    <cfRule type="expression" dxfId="1141" priority="7200">
      <formula>BE68&lt;0</formula>
    </cfRule>
    <cfRule type="colorScale" priority="7198">
      <colorScale>
        <cfvo type="min"/>
        <cfvo type="max"/>
        <color theme="0"/>
        <color theme="0"/>
      </colorScale>
    </cfRule>
  </conditionalFormatting>
  <conditionalFormatting sqref="BF68:BF81">
    <cfRule type="expression" dxfId="1140" priority="7197">
      <formula>IF(BF68="Validar","Rojo","Verde")</formula>
    </cfRule>
    <cfRule type="expression" priority="7199">
      <formula>#REF!</formula>
    </cfRule>
  </conditionalFormatting>
  <conditionalFormatting sqref="BF69:BF81">
    <cfRule type="expression" dxfId="1139" priority="7260">
      <formula>BE69&lt;0</formula>
    </cfRule>
    <cfRule type="colorScale" priority="7259">
      <colorScale>
        <cfvo type="min"/>
        <cfvo type="max"/>
        <color theme="0"/>
        <color theme="0"/>
      </colorScale>
    </cfRule>
  </conditionalFormatting>
  <conditionalFormatting sqref="BF83">
    <cfRule type="expression" dxfId="1138" priority="7183">
      <formula>BE83&lt;0</formula>
    </cfRule>
    <cfRule type="colorScale" priority="7181">
      <colorScale>
        <cfvo type="min"/>
        <cfvo type="max"/>
        <color theme="0"/>
        <color theme="0"/>
      </colorScale>
    </cfRule>
  </conditionalFormatting>
  <conditionalFormatting sqref="BF83:BF91">
    <cfRule type="expression" dxfId="1137" priority="7180">
      <formula>IF(BF83="Validar","Rojo","Verde")</formula>
    </cfRule>
    <cfRule type="expression" priority="7182">
      <formula>#REF!</formula>
    </cfRule>
  </conditionalFormatting>
  <conditionalFormatting sqref="BF84:BF91">
    <cfRule type="colorScale" priority="7239">
      <colorScale>
        <cfvo type="min"/>
        <cfvo type="max"/>
        <color theme="0"/>
        <color theme="0"/>
      </colorScale>
    </cfRule>
    <cfRule type="expression" dxfId="1136" priority="7240">
      <formula>BE84&lt;0</formula>
    </cfRule>
  </conditionalFormatting>
  <conditionalFormatting sqref="BF93">
    <cfRule type="expression" dxfId="1135" priority="7196">
      <formula>BE93&lt;0</formula>
    </cfRule>
    <cfRule type="colorScale" priority="7194">
      <colorScale>
        <cfvo type="min"/>
        <cfvo type="max"/>
        <color theme="0"/>
        <color theme="0"/>
      </colorScale>
    </cfRule>
  </conditionalFormatting>
  <conditionalFormatting sqref="BF93:BF102">
    <cfRule type="expression" priority="7195">
      <formula>#REF!</formula>
    </cfRule>
    <cfRule type="expression" dxfId="1134" priority="7193">
      <formula>IF(BF93="Validar","Rojo","Verde")</formula>
    </cfRule>
  </conditionalFormatting>
  <conditionalFormatting sqref="BF94:BF102">
    <cfRule type="expression" dxfId="1133" priority="7238">
      <formula>BE94&lt;0</formula>
    </cfRule>
    <cfRule type="colorScale" priority="7237">
      <colorScale>
        <cfvo type="min"/>
        <cfvo type="max"/>
        <color theme="0"/>
        <color theme="0"/>
      </colorScale>
    </cfRule>
  </conditionalFormatting>
  <conditionalFormatting sqref="BF104">
    <cfRule type="expression" dxfId="1132" priority="7192">
      <formula>BE104&lt;0</formula>
    </cfRule>
    <cfRule type="colorScale" priority="7190">
      <colorScale>
        <cfvo type="min"/>
        <cfvo type="max"/>
        <color theme="0"/>
        <color theme="0"/>
      </colorScale>
    </cfRule>
  </conditionalFormatting>
  <conditionalFormatting sqref="BF104:BF106">
    <cfRule type="expression" priority="7191">
      <formula>#REF!</formula>
    </cfRule>
    <cfRule type="expression" dxfId="1131" priority="7189">
      <formula>IF(BF104="Validar","Rojo","Verde")</formula>
    </cfRule>
  </conditionalFormatting>
  <conditionalFormatting sqref="BF105:BF106">
    <cfRule type="expression" dxfId="1130" priority="7236">
      <formula>BE105&lt;0</formula>
    </cfRule>
    <cfRule type="colorScale" priority="7235">
      <colorScale>
        <cfvo type="min"/>
        <cfvo type="max"/>
        <color theme="0"/>
        <color theme="0"/>
      </colorScale>
    </cfRule>
  </conditionalFormatting>
  <conditionalFormatting sqref="BF110">
    <cfRule type="expression" dxfId="1129" priority="7234">
      <formula>BE110&lt;0</formula>
    </cfRule>
    <cfRule type="colorScale" priority="7233">
      <colorScale>
        <cfvo type="min"/>
        <cfvo type="max"/>
        <color theme="0"/>
        <color theme="0"/>
      </colorScale>
    </cfRule>
  </conditionalFormatting>
  <conditionalFormatting sqref="BF111">
    <cfRule type="colorScale" priority="7174">
      <colorScale>
        <cfvo type="min"/>
        <cfvo type="max"/>
        <color theme="0"/>
        <color theme="0"/>
      </colorScale>
    </cfRule>
    <cfRule type="expression" dxfId="1128" priority="7176">
      <formula>BE111&lt;0</formula>
    </cfRule>
  </conditionalFormatting>
  <conditionalFormatting sqref="BF117:BF123">
    <cfRule type="colorScale" priority="7230">
      <colorScale>
        <cfvo type="min"/>
        <cfvo type="max"/>
        <color theme="0"/>
        <color theme="0"/>
      </colorScale>
    </cfRule>
    <cfRule type="expression" dxfId="1127" priority="7232">
      <formula>BE117&lt;0</formula>
    </cfRule>
  </conditionalFormatting>
  <conditionalFormatting sqref="BF125">
    <cfRule type="colorScale" priority="7186">
      <colorScale>
        <cfvo type="min"/>
        <cfvo type="max"/>
        <color theme="0"/>
        <color theme="0"/>
      </colorScale>
    </cfRule>
    <cfRule type="expression" dxfId="1126" priority="7188">
      <formula>BE125&lt;0</formula>
    </cfRule>
  </conditionalFormatting>
  <conditionalFormatting sqref="BF125:BF134">
    <cfRule type="expression" dxfId="1125" priority="7185">
      <formula>IF(BF125="Validar","Rojo","Verde")</formula>
    </cfRule>
    <cfRule type="expression" priority="7187">
      <formula>#REF!</formula>
    </cfRule>
  </conditionalFormatting>
  <conditionalFormatting sqref="BF126:BF134">
    <cfRule type="colorScale" priority="7227">
      <colorScale>
        <cfvo type="min"/>
        <cfvo type="max"/>
        <color theme="0"/>
        <color theme="0"/>
      </colorScale>
    </cfRule>
    <cfRule type="expression" dxfId="1124" priority="7228">
      <formula>BE126&lt;0</formula>
    </cfRule>
  </conditionalFormatting>
  <conditionalFormatting sqref="BH5">
    <cfRule type="colorScale" priority="59">
      <colorScale>
        <cfvo type="min"/>
        <cfvo type="max"/>
        <color theme="0"/>
        <color theme="0"/>
      </colorScale>
    </cfRule>
    <cfRule type="expression" dxfId="1123" priority="60">
      <formula>BG5&lt;0</formula>
    </cfRule>
  </conditionalFormatting>
  <conditionalFormatting sqref="BH5:BH20">
    <cfRule type="expression" dxfId="1122" priority="57">
      <formula>IF(BH5="Validar","Rojo","Verde")</formula>
    </cfRule>
    <cfRule type="expression" priority="58">
      <formula>#REF!</formula>
    </cfRule>
  </conditionalFormatting>
  <conditionalFormatting sqref="BH6">
    <cfRule type="expression" dxfId="1121" priority="2300">
      <formula>BG6&lt;0</formula>
    </cfRule>
    <cfRule type="colorScale" priority="2299">
      <colorScale>
        <cfvo type="min"/>
        <cfvo type="max"/>
        <color theme="0"/>
        <color theme="0"/>
      </colorScale>
    </cfRule>
  </conditionalFormatting>
  <conditionalFormatting sqref="BH7:BH8">
    <cfRule type="colorScale" priority="2295">
      <colorScale>
        <cfvo type="min"/>
        <cfvo type="max"/>
        <color theme="0"/>
        <color theme="0"/>
      </colorScale>
    </cfRule>
    <cfRule type="expression" dxfId="1120" priority="2296">
      <formula>BG7&lt;0</formula>
    </cfRule>
  </conditionalFormatting>
  <conditionalFormatting sqref="BH9">
    <cfRule type="colorScale" priority="2410">
      <colorScale>
        <cfvo type="min"/>
        <cfvo type="max"/>
        <color theme="0"/>
        <color theme="0"/>
      </colorScale>
    </cfRule>
    <cfRule type="expression" dxfId="1119" priority="2411">
      <formula>BG9&lt;0</formula>
    </cfRule>
  </conditionalFormatting>
  <conditionalFormatting sqref="BH10">
    <cfRule type="colorScale" priority="2387">
      <colorScale>
        <cfvo type="min"/>
        <cfvo type="max"/>
        <color theme="0"/>
        <color theme="0"/>
      </colorScale>
    </cfRule>
    <cfRule type="expression" dxfId="1118" priority="2388">
      <formula>BG10&lt;0</formula>
    </cfRule>
  </conditionalFormatting>
  <conditionalFormatting sqref="BH11:BH13">
    <cfRule type="colorScale" priority="2408">
      <colorScale>
        <cfvo type="min"/>
        <cfvo type="max"/>
        <color theme="0"/>
        <color theme="0"/>
      </colorScale>
    </cfRule>
    <cfRule type="expression" dxfId="1117" priority="2409">
      <formula>BG11&lt;0</formula>
    </cfRule>
  </conditionalFormatting>
  <conditionalFormatting sqref="BH14">
    <cfRule type="expression" dxfId="1116" priority="228">
      <formula>BG14&lt;0</formula>
    </cfRule>
    <cfRule type="colorScale" priority="227">
      <colorScale>
        <cfvo type="min"/>
        <cfvo type="max"/>
        <color theme="0"/>
        <color theme="0"/>
      </colorScale>
    </cfRule>
  </conditionalFormatting>
  <conditionalFormatting sqref="BH15">
    <cfRule type="colorScale" priority="2385">
      <colorScale>
        <cfvo type="min"/>
        <cfvo type="max"/>
        <color theme="0"/>
        <color theme="0"/>
      </colorScale>
    </cfRule>
    <cfRule type="expression" dxfId="1115" priority="2386">
      <formula>BG15&lt;0</formula>
    </cfRule>
  </conditionalFormatting>
  <conditionalFormatting sqref="BH16:BH17">
    <cfRule type="expression" dxfId="1114" priority="2407">
      <formula>BG16&lt;0</formula>
    </cfRule>
    <cfRule type="colorScale" priority="2406">
      <colorScale>
        <cfvo type="min"/>
        <cfvo type="max"/>
        <color theme="0"/>
        <color theme="0"/>
      </colorScale>
    </cfRule>
  </conditionalFormatting>
  <conditionalFormatting sqref="BH18">
    <cfRule type="colorScale" priority="2382">
      <colorScale>
        <cfvo type="min"/>
        <cfvo type="max"/>
        <color theme="0"/>
        <color theme="0"/>
      </colorScale>
    </cfRule>
    <cfRule type="expression" dxfId="1113" priority="2384">
      <formula>BG18&lt;0</formula>
    </cfRule>
  </conditionalFormatting>
  <conditionalFormatting sqref="BH19:BH20">
    <cfRule type="colorScale" priority="2404">
      <colorScale>
        <cfvo type="min"/>
        <cfvo type="max"/>
        <color theme="0"/>
        <color theme="0"/>
      </colorScale>
    </cfRule>
    <cfRule type="expression" dxfId="1112" priority="2405">
      <formula>BG19&lt;0</formula>
    </cfRule>
  </conditionalFormatting>
  <conditionalFormatting sqref="BH23">
    <cfRule type="expression" dxfId="1111" priority="2380">
      <formula>BG23&lt;0</formula>
    </cfRule>
    <cfRule type="colorScale" priority="2379">
      <colorScale>
        <cfvo type="min"/>
        <cfvo type="max"/>
        <color theme="0"/>
        <color theme="0"/>
      </colorScale>
    </cfRule>
  </conditionalFormatting>
  <conditionalFormatting sqref="BH23:BH31">
    <cfRule type="expression" dxfId="1110" priority="2373">
      <formula>IF(BH23="Validar","Rojo","Verde")</formula>
    </cfRule>
    <cfRule type="expression" priority="2375">
      <formula>#REF!</formula>
    </cfRule>
  </conditionalFormatting>
  <conditionalFormatting sqref="BH24">
    <cfRule type="colorScale" priority="2402">
      <colorScale>
        <cfvo type="min"/>
        <cfvo type="max"/>
        <color theme="0"/>
        <color theme="0"/>
      </colorScale>
    </cfRule>
    <cfRule type="expression" dxfId="1109" priority="2403">
      <formula>BG24&lt;0</formula>
    </cfRule>
  </conditionalFormatting>
  <conditionalFormatting sqref="BH25">
    <cfRule type="expression" dxfId="1108" priority="2401">
      <formula>BG25&lt;0</formula>
    </cfRule>
    <cfRule type="colorScale" priority="2400">
      <colorScale>
        <cfvo type="min"/>
        <cfvo type="max"/>
        <color theme="0"/>
        <color theme="0"/>
      </colorScale>
    </cfRule>
  </conditionalFormatting>
  <conditionalFormatting sqref="BH26">
    <cfRule type="colorScale" priority="2377">
      <colorScale>
        <cfvo type="min"/>
        <cfvo type="max"/>
        <color theme="0"/>
        <color theme="0"/>
      </colorScale>
    </cfRule>
    <cfRule type="expression" dxfId="1107" priority="2378">
      <formula>BG26&lt;0</formula>
    </cfRule>
  </conditionalFormatting>
  <conditionalFormatting sqref="BH27">
    <cfRule type="colorScale" priority="2398">
      <colorScale>
        <cfvo type="min"/>
        <cfvo type="max"/>
        <color theme="0"/>
        <color theme="0"/>
      </colorScale>
    </cfRule>
    <cfRule type="expression" dxfId="1106" priority="2399">
      <formula>BG27&lt;0</formula>
    </cfRule>
  </conditionalFormatting>
  <conditionalFormatting sqref="BH28">
    <cfRule type="colorScale" priority="2396">
      <colorScale>
        <cfvo type="min"/>
        <cfvo type="max"/>
        <color theme="0"/>
        <color theme="0"/>
      </colorScale>
    </cfRule>
    <cfRule type="expression" dxfId="1105" priority="2397">
      <formula>BG28&lt;0</formula>
    </cfRule>
  </conditionalFormatting>
  <conditionalFormatting sqref="BH29">
    <cfRule type="expression" dxfId="1104" priority="2376">
      <formula>BG29&lt;0</formula>
    </cfRule>
    <cfRule type="colorScale" priority="2374">
      <colorScale>
        <cfvo type="min"/>
        <cfvo type="max"/>
        <color theme="0"/>
        <color theme="0"/>
      </colorScale>
    </cfRule>
  </conditionalFormatting>
  <conditionalFormatting sqref="BH30">
    <cfRule type="colorScale" priority="2394">
      <colorScale>
        <cfvo type="min"/>
        <cfvo type="max"/>
        <color theme="0"/>
        <color theme="0"/>
      </colorScale>
    </cfRule>
    <cfRule type="expression" dxfId="1103" priority="2395">
      <formula>BG30&lt;0</formula>
    </cfRule>
  </conditionalFormatting>
  <conditionalFormatting sqref="BH31">
    <cfRule type="expression" dxfId="1102" priority="2393">
      <formula>BG31&lt;0</formula>
    </cfRule>
    <cfRule type="colorScale" priority="2392">
      <colorScale>
        <cfvo type="min"/>
        <cfvo type="max"/>
        <color theme="0"/>
        <color theme="0"/>
      </colorScale>
    </cfRule>
  </conditionalFormatting>
  <conditionalFormatting sqref="BH39">
    <cfRule type="expression" dxfId="1101" priority="2372">
      <formula>BG39&lt;0</formula>
    </cfRule>
    <cfRule type="colorScale" priority="2370">
      <colorScale>
        <cfvo type="min"/>
        <cfvo type="max"/>
        <color theme="0"/>
        <color theme="0"/>
      </colorScale>
    </cfRule>
    <cfRule type="expression" priority="2371">
      <formula>#REF!</formula>
    </cfRule>
  </conditionalFormatting>
  <conditionalFormatting sqref="BH39:BH107">
    <cfRule type="expression" dxfId="1100" priority="2308">
      <formula>IF(BH39="Validar","Rojo","Verde")</formula>
    </cfRule>
  </conditionalFormatting>
  <conditionalFormatting sqref="BH40:BH67">
    <cfRule type="colorScale" priority="2389">
      <colorScale>
        <cfvo type="min"/>
        <cfvo type="max"/>
        <color theme="0"/>
        <color theme="0"/>
      </colorScale>
    </cfRule>
    <cfRule type="expression" priority="2390">
      <formula>$F$19</formula>
    </cfRule>
    <cfRule type="expression" dxfId="1099" priority="2391">
      <formula>BG40&lt;0</formula>
    </cfRule>
  </conditionalFormatting>
  <conditionalFormatting sqref="BH68">
    <cfRule type="expression" dxfId="1098" priority="2369">
      <formula>BG68&lt;0</formula>
    </cfRule>
    <cfRule type="colorScale" priority="2367">
      <colorScale>
        <cfvo type="min"/>
        <cfvo type="max"/>
        <color theme="0"/>
        <color theme="0"/>
      </colorScale>
    </cfRule>
    <cfRule type="expression" priority="2368">
      <formula>#REF!</formula>
    </cfRule>
  </conditionalFormatting>
  <conditionalFormatting sqref="BH69:BH81">
    <cfRule type="expression" dxfId="1097" priority="2416">
      <formula>BG69&lt;0</formula>
    </cfRule>
    <cfRule type="expression" priority="2415">
      <formula>$F$19</formula>
    </cfRule>
    <cfRule type="colorScale" priority="2414">
      <colorScale>
        <cfvo type="min"/>
        <cfvo type="max"/>
        <color theme="0"/>
        <color theme="0"/>
      </colorScale>
    </cfRule>
  </conditionalFormatting>
  <conditionalFormatting sqref="BH82 BH92 BH103 BH107">
    <cfRule type="expression" dxfId="1096" priority="2413">
      <formula>BG82&lt;0</formula>
    </cfRule>
  </conditionalFormatting>
  <conditionalFormatting sqref="BH83">
    <cfRule type="colorScale" priority="2309">
      <colorScale>
        <cfvo type="min"/>
        <cfvo type="max"/>
        <color theme="0"/>
        <color theme="0"/>
      </colorScale>
    </cfRule>
    <cfRule type="expression" priority="2310">
      <formula>#REF!</formula>
    </cfRule>
    <cfRule type="expression" dxfId="1095" priority="2311">
      <formula>BG83&lt;0</formula>
    </cfRule>
  </conditionalFormatting>
  <conditionalFormatting sqref="BH84:BH91">
    <cfRule type="expression" priority="2418">
      <formula>$F$19</formula>
    </cfRule>
    <cfRule type="colorScale" priority="2417">
      <colorScale>
        <cfvo type="min"/>
        <cfvo type="max"/>
        <color theme="0"/>
        <color theme="0"/>
      </colorScale>
    </cfRule>
    <cfRule type="expression" dxfId="1094" priority="2419">
      <formula>BG84&lt;0</formula>
    </cfRule>
  </conditionalFormatting>
  <conditionalFormatting sqref="BH92 BH82 BH103 BH107">
    <cfRule type="colorScale" priority="2412">
      <colorScale>
        <cfvo type="min"/>
        <cfvo type="max"/>
        <color theme="0"/>
        <color theme="0"/>
      </colorScale>
    </cfRule>
  </conditionalFormatting>
  <conditionalFormatting sqref="BH93">
    <cfRule type="expression" dxfId="1093" priority="2366">
      <formula>BG93&lt;0</formula>
    </cfRule>
    <cfRule type="expression" priority="2365">
      <formula>#REF!</formula>
    </cfRule>
    <cfRule type="colorScale" priority="2364">
      <colorScale>
        <cfvo type="min"/>
        <cfvo type="max"/>
        <color theme="0"/>
        <color theme="0"/>
      </colorScale>
    </cfRule>
  </conditionalFormatting>
  <conditionalFormatting sqref="BH94:BH102">
    <cfRule type="expression" dxfId="1092" priority="2422">
      <formula>BG94&lt;0</formula>
    </cfRule>
    <cfRule type="expression" priority="2421">
      <formula>$F$19</formula>
    </cfRule>
    <cfRule type="colorScale" priority="2420">
      <colorScale>
        <cfvo type="min"/>
        <cfvo type="max"/>
        <color theme="0"/>
        <color theme="0"/>
      </colorScale>
    </cfRule>
  </conditionalFormatting>
  <conditionalFormatting sqref="BH104">
    <cfRule type="expression" priority="2362">
      <formula>#REF!</formula>
    </cfRule>
    <cfRule type="expression" dxfId="1091" priority="2363">
      <formula>BG104&lt;0</formula>
    </cfRule>
    <cfRule type="colorScale" priority="2361">
      <colorScale>
        <cfvo type="min"/>
        <cfvo type="max"/>
        <color theme="0"/>
        <color theme="0"/>
      </colorScale>
    </cfRule>
  </conditionalFormatting>
  <conditionalFormatting sqref="BH105:BH106">
    <cfRule type="expression" dxfId="1090" priority="2425">
      <formula>BG105&lt;0</formula>
    </cfRule>
    <cfRule type="expression" priority="2424">
      <formula>$F$19</formula>
    </cfRule>
    <cfRule type="colorScale" priority="2423">
      <colorScale>
        <cfvo type="min"/>
        <cfvo type="max"/>
        <color theme="0"/>
        <color theme="0"/>
      </colorScale>
    </cfRule>
  </conditionalFormatting>
  <conditionalFormatting sqref="BH110">
    <cfRule type="colorScale" priority="2426">
      <colorScale>
        <cfvo type="min"/>
        <cfvo type="max"/>
        <color theme="0"/>
        <color theme="0"/>
      </colorScale>
    </cfRule>
    <cfRule type="expression" dxfId="1089" priority="2427">
      <formula>BG110&lt;0</formula>
    </cfRule>
  </conditionalFormatting>
  <conditionalFormatting sqref="BH110:BH111">
    <cfRule type="expression" priority="2306">
      <formula>$F$19</formula>
    </cfRule>
  </conditionalFormatting>
  <conditionalFormatting sqref="BH111">
    <cfRule type="expression" dxfId="1088" priority="2307">
      <formula>BG111&lt;0</formula>
    </cfRule>
    <cfRule type="colorScale" priority="2305">
      <colorScale>
        <cfvo type="min"/>
        <cfvo type="max"/>
        <color theme="0"/>
        <color theme="0"/>
      </colorScale>
    </cfRule>
  </conditionalFormatting>
  <conditionalFormatting sqref="BH117:BH123">
    <cfRule type="expression" dxfId="1087" priority="2433">
      <formula>BG117&lt;0</formula>
    </cfRule>
    <cfRule type="expression" priority="2432">
      <formula>$F$19</formula>
    </cfRule>
    <cfRule type="colorScale" priority="2431">
      <colorScale>
        <cfvo type="min"/>
        <cfvo type="max"/>
        <color theme="0"/>
        <color theme="0"/>
      </colorScale>
    </cfRule>
  </conditionalFormatting>
  <conditionalFormatting sqref="BH125">
    <cfRule type="expression" dxfId="1086" priority="2360">
      <formula>BG125&lt;0</formula>
    </cfRule>
    <cfRule type="expression" priority="2359">
      <formula>#REF!</formula>
    </cfRule>
    <cfRule type="colorScale" priority="2358">
      <colorScale>
        <cfvo type="min"/>
        <cfvo type="max"/>
        <color theme="0"/>
        <color theme="0"/>
      </colorScale>
    </cfRule>
  </conditionalFormatting>
  <conditionalFormatting sqref="BH125:BH135">
    <cfRule type="expression" dxfId="1085" priority="2357">
      <formula>IF(BH125="Validar","Rojo","Verde")</formula>
    </cfRule>
  </conditionalFormatting>
  <conditionalFormatting sqref="BH126:BH132">
    <cfRule type="expression" dxfId="1084" priority="2436">
      <formula>BG126&lt;0</formula>
    </cfRule>
    <cfRule type="colorScale" priority="2434">
      <colorScale>
        <cfvo type="min"/>
        <cfvo type="max"/>
        <color theme="0"/>
        <color theme="0"/>
      </colorScale>
    </cfRule>
  </conditionalFormatting>
  <conditionalFormatting sqref="BH126:BH134">
    <cfRule type="expression" priority="2435">
      <formula>$F$19</formula>
    </cfRule>
  </conditionalFormatting>
  <conditionalFormatting sqref="BH133:BH134">
    <cfRule type="expression" dxfId="1083" priority="2438">
      <formula>BG133&lt;0</formula>
    </cfRule>
    <cfRule type="colorScale" priority="2437">
      <colorScale>
        <cfvo type="min"/>
        <cfvo type="max"/>
        <color theme="0"/>
        <color theme="0"/>
      </colorScale>
    </cfRule>
  </conditionalFormatting>
  <conditionalFormatting sqref="BH135">
    <cfRule type="colorScale" priority="2428">
      <colorScale>
        <cfvo type="min"/>
        <cfvo type="max"/>
        <color theme="0"/>
        <color theme="0"/>
      </colorScale>
    </cfRule>
    <cfRule type="expression" priority="2429">
      <formula>$F$23</formula>
    </cfRule>
    <cfRule type="expression" dxfId="1082" priority="2430">
      <formula>BG135&lt;0</formula>
    </cfRule>
  </conditionalFormatting>
  <conditionalFormatting sqref="BH110:BI111">
    <cfRule type="expression" dxfId="1081" priority="2301">
      <formula>IF(BH110="Validar","Rojo","Verde")</formula>
    </cfRule>
  </conditionalFormatting>
  <conditionalFormatting sqref="BH117:BI123">
    <cfRule type="expression" dxfId="1080" priority="2314">
      <formula>IF(BH117="Validar","Rojo","Verde")</formula>
    </cfRule>
  </conditionalFormatting>
  <conditionalFormatting sqref="BI40:BI66">
    <cfRule type="expression" dxfId="1079" priority="2351">
      <formula>BH40&lt;0</formula>
    </cfRule>
    <cfRule type="colorScale" priority="2349">
      <colorScale>
        <cfvo type="min"/>
        <cfvo type="max"/>
        <color theme="0"/>
        <color theme="0"/>
      </colorScale>
    </cfRule>
    <cfRule type="expression" priority="2350">
      <formula>#REF!</formula>
    </cfRule>
  </conditionalFormatting>
  <conditionalFormatting sqref="BI40:BI67">
    <cfRule type="expression" dxfId="1078" priority="2348">
      <formula>IF(BI40="Validar","Rojo","Verde")</formula>
    </cfRule>
  </conditionalFormatting>
  <conditionalFormatting sqref="BI67 BH82:BI82 BH92:BI92 BH103:BI103 BH107:BI107">
    <cfRule type="expression" priority="2353">
      <formula>$F$23</formula>
    </cfRule>
  </conditionalFormatting>
  <conditionalFormatting sqref="BI67 BI82 BI92 BI103 BI107">
    <cfRule type="expression" dxfId="1077" priority="2354">
      <formula>BH67&lt;0</formula>
    </cfRule>
    <cfRule type="colorScale" priority="2352">
      <colorScale>
        <cfvo type="min"/>
        <cfvo type="max"/>
        <color theme="0"/>
        <color theme="0"/>
      </colorScale>
    </cfRule>
  </conditionalFormatting>
  <conditionalFormatting sqref="BI69">
    <cfRule type="colorScale" priority="2346">
      <colorScale>
        <cfvo type="min"/>
        <cfvo type="max"/>
        <color theme="0"/>
        <color theme="0"/>
      </colorScale>
    </cfRule>
    <cfRule type="expression" dxfId="1076" priority="2347">
      <formula>BH69&lt;0</formula>
    </cfRule>
  </conditionalFormatting>
  <conditionalFormatting sqref="BI69:BI81">
    <cfRule type="expression" priority="2344">
      <formula>#REF!</formula>
    </cfRule>
  </conditionalFormatting>
  <conditionalFormatting sqref="BI69:BI82">
    <cfRule type="expression" dxfId="1075" priority="2342">
      <formula>IF(BI69="Validar","Rojo","Verde")</formula>
    </cfRule>
  </conditionalFormatting>
  <conditionalFormatting sqref="BI70:BI78">
    <cfRule type="expression" dxfId="1074" priority="2345">
      <formula>BH70&lt;0</formula>
    </cfRule>
    <cfRule type="colorScale" priority="2343">
      <colorScale>
        <cfvo type="min"/>
        <cfvo type="max"/>
        <color theme="0"/>
        <color theme="0"/>
      </colorScale>
    </cfRule>
  </conditionalFormatting>
  <conditionalFormatting sqref="BI79:BI81">
    <cfRule type="colorScale" priority="2355">
      <colorScale>
        <cfvo type="min"/>
        <cfvo type="max"/>
        <color theme="0"/>
        <color theme="0"/>
      </colorScale>
    </cfRule>
    <cfRule type="expression" dxfId="1073" priority="2356">
      <formula>BH79&lt;0</formula>
    </cfRule>
  </conditionalFormatting>
  <conditionalFormatting sqref="BI84">
    <cfRule type="expression" dxfId="1072" priority="2341">
      <formula>BH84&lt;0</formula>
    </cfRule>
    <cfRule type="colorScale" priority="2340">
      <colorScale>
        <cfvo type="min"/>
        <cfvo type="max"/>
        <color theme="0"/>
        <color theme="0"/>
      </colorScale>
    </cfRule>
  </conditionalFormatting>
  <conditionalFormatting sqref="BI84:BI91">
    <cfRule type="expression" priority="2338">
      <formula>#REF!</formula>
    </cfRule>
  </conditionalFormatting>
  <conditionalFormatting sqref="BI84:BI92">
    <cfRule type="expression" dxfId="1071" priority="2336">
      <formula>IF(BI84="Validar","Rojo","Verde")</formula>
    </cfRule>
  </conditionalFormatting>
  <conditionalFormatting sqref="BI85:BI91">
    <cfRule type="expression" dxfId="1070" priority="2339">
      <formula>BH85&lt;0</formula>
    </cfRule>
    <cfRule type="colorScale" priority="2337">
      <colorScale>
        <cfvo type="min"/>
        <cfvo type="max"/>
        <color theme="0"/>
        <color theme="0"/>
      </colorScale>
    </cfRule>
  </conditionalFormatting>
  <conditionalFormatting sqref="BI94">
    <cfRule type="colorScale" priority="2334">
      <colorScale>
        <cfvo type="min"/>
        <cfvo type="max"/>
        <color theme="0"/>
        <color theme="0"/>
      </colorScale>
    </cfRule>
    <cfRule type="expression" dxfId="1069" priority="2335">
      <formula>BH94&lt;0</formula>
    </cfRule>
  </conditionalFormatting>
  <conditionalFormatting sqref="BI94:BI102">
    <cfRule type="expression" priority="2328">
      <formula>#REF!</formula>
    </cfRule>
  </conditionalFormatting>
  <conditionalFormatting sqref="BI94:BI103">
    <cfRule type="expression" dxfId="1068" priority="2326">
      <formula>IF(BI94="Validar","Rojo","Verde")</formula>
    </cfRule>
  </conditionalFormatting>
  <conditionalFormatting sqref="BI95:BI100">
    <cfRule type="expression" dxfId="1067" priority="2333">
      <formula>BH95&lt;0</formula>
    </cfRule>
    <cfRule type="colorScale" priority="2332">
      <colorScale>
        <cfvo type="min"/>
        <cfvo type="max"/>
        <color theme="0"/>
        <color theme="0"/>
      </colorScale>
    </cfRule>
  </conditionalFormatting>
  <conditionalFormatting sqref="BI101">
    <cfRule type="colorScale" priority="2330">
      <colorScale>
        <cfvo type="min"/>
        <cfvo type="max"/>
        <color theme="0"/>
        <color theme="0"/>
      </colorScale>
    </cfRule>
    <cfRule type="expression" dxfId="1066" priority="2331">
      <formula>BH101&lt;0</formula>
    </cfRule>
  </conditionalFormatting>
  <conditionalFormatting sqref="BI102">
    <cfRule type="colorScale" priority="2327">
      <colorScale>
        <cfvo type="min"/>
        <cfvo type="max"/>
        <color theme="0"/>
        <color theme="0"/>
      </colorScale>
    </cfRule>
    <cfRule type="expression" dxfId="1065" priority="2329">
      <formula>BH102&lt;0</formula>
    </cfRule>
  </conditionalFormatting>
  <conditionalFormatting sqref="BI105">
    <cfRule type="expression" dxfId="1064" priority="2325">
      <formula>BH105&lt;0</formula>
    </cfRule>
    <cfRule type="colorScale" priority="2324">
      <colorScale>
        <cfvo type="min"/>
        <cfvo type="max"/>
        <color theme="0"/>
        <color theme="0"/>
      </colorScale>
    </cfRule>
  </conditionalFormatting>
  <conditionalFormatting sqref="BI105:BI106">
    <cfRule type="expression" priority="2322">
      <formula>#REF!</formula>
    </cfRule>
  </conditionalFormatting>
  <conditionalFormatting sqref="BI105:BI107">
    <cfRule type="expression" dxfId="1063" priority="2320">
      <formula>IF(BI105="Validar","Rojo","Verde")</formula>
    </cfRule>
  </conditionalFormatting>
  <conditionalFormatting sqref="BI106">
    <cfRule type="expression" dxfId="1062" priority="2323">
      <formula>BH106&lt;0</formula>
    </cfRule>
    <cfRule type="colorScale" priority="2321">
      <colorScale>
        <cfvo type="min"/>
        <cfvo type="max"/>
        <color theme="0"/>
        <color theme="0"/>
      </colorScale>
    </cfRule>
  </conditionalFormatting>
  <conditionalFormatting sqref="BI110">
    <cfRule type="expression" dxfId="1061" priority="2313">
      <formula>BH110&lt;0</formula>
    </cfRule>
    <cfRule type="colorScale" priority="2312">
      <colorScale>
        <cfvo type="min"/>
        <cfvo type="max"/>
        <color theme="0"/>
        <color theme="0"/>
      </colorScale>
    </cfRule>
  </conditionalFormatting>
  <conditionalFormatting sqref="BI110:BI111">
    <cfRule type="expression" priority="2303">
      <formula>#REF!</formula>
    </cfRule>
  </conditionalFormatting>
  <conditionalFormatting sqref="BI111">
    <cfRule type="expression" dxfId="1060" priority="2304">
      <formula>BH111&lt;0</formula>
    </cfRule>
    <cfRule type="colorScale" priority="2302">
      <colorScale>
        <cfvo type="min"/>
        <cfvo type="max"/>
        <color theme="0"/>
        <color theme="0"/>
      </colorScale>
    </cfRule>
  </conditionalFormatting>
  <conditionalFormatting sqref="BI117">
    <cfRule type="expression" dxfId="1059" priority="2319">
      <formula>BH117&lt;0</formula>
    </cfRule>
    <cfRule type="colorScale" priority="2318">
      <colorScale>
        <cfvo type="min"/>
        <cfvo type="max"/>
        <color theme="0"/>
        <color theme="0"/>
      </colorScale>
    </cfRule>
  </conditionalFormatting>
  <conditionalFormatting sqref="BI117:BI123">
    <cfRule type="expression" priority="2316">
      <formula>#REF!</formula>
    </cfRule>
  </conditionalFormatting>
  <conditionalFormatting sqref="BI118:BI123">
    <cfRule type="expression" dxfId="1058" priority="2317">
      <formula>BH118&lt;0</formula>
    </cfRule>
    <cfRule type="colorScale" priority="2315">
      <colorScale>
        <cfvo type="min"/>
        <cfvo type="max"/>
        <color theme="0"/>
        <color theme="0"/>
      </colorScale>
    </cfRule>
  </conditionalFormatting>
  <conditionalFormatting sqref="BI126:BI135">
    <cfRule type="expression" dxfId="1057" priority="2442">
      <formula>BH126&lt;0</formula>
    </cfRule>
    <cfRule type="expression" priority="2441">
      <formula>$F$23</formula>
    </cfRule>
    <cfRule type="expression" dxfId="1056" priority="2439">
      <formula>IF(BI126="Validar","Rojo","Verde")</formula>
    </cfRule>
    <cfRule type="colorScale" priority="2440">
      <colorScale>
        <cfvo type="min"/>
        <cfvo type="max"/>
        <color theme="0"/>
        <color theme="0"/>
      </colorScale>
    </cfRule>
  </conditionalFormatting>
  <conditionalFormatting sqref="BK5">
    <cfRule type="expression" dxfId="1055" priority="56">
      <formula>BJ5&lt;0</formula>
    </cfRule>
    <cfRule type="colorScale" priority="55">
      <colorScale>
        <cfvo type="min"/>
        <cfvo type="max"/>
        <color theme="0"/>
        <color theme="0"/>
      </colorScale>
    </cfRule>
  </conditionalFormatting>
  <conditionalFormatting sqref="BK5:BK20">
    <cfRule type="expression" priority="54">
      <formula>#REF!</formula>
    </cfRule>
    <cfRule type="expression" dxfId="1054" priority="53">
      <formula>IF(BK5="Validar","Rojo","Verde")</formula>
    </cfRule>
  </conditionalFormatting>
  <conditionalFormatting sqref="BK6">
    <cfRule type="colorScale" priority="2149">
      <colorScale>
        <cfvo type="min"/>
        <cfvo type="max"/>
        <color theme="0"/>
        <color theme="0"/>
      </colorScale>
    </cfRule>
    <cfRule type="expression" dxfId="1053" priority="2150">
      <formula>BJ6&lt;0</formula>
    </cfRule>
  </conditionalFormatting>
  <conditionalFormatting sqref="BK7:BK8">
    <cfRule type="expression" dxfId="1052" priority="2146">
      <formula>BJ7&lt;0</formula>
    </cfRule>
    <cfRule type="colorScale" priority="2145">
      <colorScale>
        <cfvo type="min"/>
        <cfvo type="max"/>
        <color theme="0"/>
        <color theme="0"/>
      </colorScale>
    </cfRule>
  </conditionalFormatting>
  <conditionalFormatting sqref="BK9">
    <cfRule type="colorScale" priority="2260">
      <colorScale>
        <cfvo type="min"/>
        <cfvo type="max"/>
        <color theme="0"/>
        <color theme="0"/>
      </colorScale>
    </cfRule>
    <cfRule type="expression" dxfId="1051" priority="2261">
      <formula>BJ9&lt;0</formula>
    </cfRule>
  </conditionalFormatting>
  <conditionalFormatting sqref="BK10">
    <cfRule type="expression" dxfId="1050" priority="2238">
      <formula>BJ10&lt;0</formula>
    </cfRule>
    <cfRule type="colorScale" priority="2237">
      <colorScale>
        <cfvo type="min"/>
        <cfvo type="max"/>
        <color theme="0"/>
        <color theme="0"/>
      </colorScale>
    </cfRule>
  </conditionalFormatting>
  <conditionalFormatting sqref="BK11:BK13">
    <cfRule type="colorScale" priority="2258">
      <colorScale>
        <cfvo type="min"/>
        <cfvo type="max"/>
        <color theme="0"/>
        <color theme="0"/>
      </colorScale>
    </cfRule>
    <cfRule type="expression" dxfId="1049" priority="2259">
      <formula>BJ11&lt;0</formula>
    </cfRule>
  </conditionalFormatting>
  <conditionalFormatting sqref="BK14">
    <cfRule type="colorScale" priority="223">
      <colorScale>
        <cfvo type="min"/>
        <cfvo type="max"/>
        <color theme="0"/>
        <color theme="0"/>
      </colorScale>
    </cfRule>
    <cfRule type="expression" dxfId="1048" priority="224">
      <formula>BJ14&lt;0</formula>
    </cfRule>
  </conditionalFormatting>
  <conditionalFormatting sqref="BK15">
    <cfRule type="colorScale" priority="2235">
      <colorScale>
        <cfvo type="min"/>
        <cfvo type="max"/>
        <color theme="0"/>
        <color theme="0"/>
      </colorScale>
    </cfRule>
    <cfRule type="expression" dxfId="1047" priority="2236">
      <formula>BJ15&lt;0</formula>
    </cfRule>
  </conditionalFormatting>
  <conditionalFormatting sqref="BK16:BK17">
    <cfRule type="colorScale" priority="2256">
      <colorScale>
        <cfvo type="min"/>
        <cfvo type="max"/>
        <color theme="0"/>
        <color theme="0"/>
      </colorScale>
    </cfRule>
    <cfRule type="expression" dxfId="1046" priority="2257">
      <formula>BJ16&lt;0</formula>
    </cfRule>
  </conditionalFormatting>
  <conditionalFormatting sqref="BK18">
    <cfRule type="colorScale" priority="2232">
      <colorScale>
        <cfvo type="min"/>
        <cfvo type="max"/>
        <color theme="0"/>
        <color theme="0"/>
      </colorScale>
    </cfRule>
    <cfRule type="expression" dxfId="1045" priority="2234">
      <formula>BJ18&lt;0</formula>
    </cfRule>
  </conditionalFormatting>
  <conditionalFormatting sqref="BK19:BK20">
    <cfRule type="expression" dxfId="1044" priority="2255">
      <formula>BJ19&lt;0</formula>
    </cfRule>
    <cfRule type="colorScale" priority="2254">
      <colorScale>
        <cfvo type="min"/>
        <cfvo type="max"/>
        <color theme="0"/>
        <color theme="0"/>
      </colorScale>
    </cfRule>
  </conditionalFormatting>
  <conditionalFormatting sqref="BK23">
    <cfRule type="colorScale" priority="2229">
      <colorScale>
        <cfvo type="min"/>
        <cfvo type="max"/>
        <color theme="0"/>
        <color theme="0"/>
      </colorScale>
    </cfRule>
    <cfRule type="expression" dxfId="1043" priority="2230">
      <formula>BJ23&lt;0</formula>
    </cfRule>
  </conditionalFormatting>
  <conditionalFormatting sqref="BK23:BK31">
    <cfRule type="expression" dxfId="1042" priority="2223">
      <formula>IF(BK23="Validar","Rojo","Verde")</formula>
    </cfRule>
    <cfRule type="expression" priority="2225">
      <formula>#REF!</formula>
    </cfRule>
  </conditionalFormatting>
  <conditionalFormatting sqref="BK24">
    <cfRule type="expression" dxfId="1041" priority="2253">
      <formula>BJ24&lt;0</formula>
    </cfRule>
    <cfRule type="colorScale" priority="2252">
      <colorScale>
        <cfvo type="min"/>
        <cfvo type="max"/>
        <color theme="0"/>
        <color theme="0"/>
      </colorScale>
    </cfRule>
  </conditionalFormatting>
  <conditionalFormatting sqref="BK25">
    <cfRule type="expression" dxfId="1040" priority="2251">
      <formula>BJ25&lt;0</formula>
    </cfRule>
    <cfRule type="colorScale" priority="2250">
      <colorScale>
        <cfvo type="min"/>
        <cfvo type="max"/>
        <color theme="0"/>
        <color theme="0"/>
      </colorScale>
    </cfRule>
  </conditionalFormatting>
  <conditionalFormatting sqref="BK26">
    <cfRule type="colorScale" priority="2227">
      <colorScale>
        <cfvo type="min"/>
        <cfvo type="max"/>
        <color theme="0"/>
        <color theme="0"/>
      </colorScale>
    </cfRule>
    <cfRule type="expression" dxfId="1039" priority="2228">
      <formula>BJ26&lt;0</formula>
    </cfRule>
  </conditionalFormatting>
  <conditionalFormatting sqref="BK27">
    <cfRule type="colorScale" priority="2248">
      <colorScale>
        <cfvo type="min"/>
        <cfvo type="max"/>
        <color theme="0"/>
        <color theme="0"/>
      </colorScale>
    </cfRule>
    <cfRule type="expression" dxfId="1038" priority="2249">
      <formula>BJ27&lt;0</formula>
    </cfRule>
  </conditionalFormatting>
  <conditionalFormatting sqref="BK28">
    <cfRule type="colorScale" priority="2246">
      <colorScale>
        <cfvo type="min"/>
        <cfvo type="max"/>
        <color theme="0"/>
        <color theme="0"/>
      </colorScale>
    </cfRule>
    <cfRule type="expression" dxfId="1037" priority="2247">
      <formula>BJ28&lt;0</formula>
    </cfRule>
  </conditionalFormatting>
  <conditionalFormatting sqref="BK29">
    <cfRule type="colorScale" priority="2224">
      <colorScale>
        <cfvo type="min"/>
        <cfvo type="max"/>
        <color theme="0"/>
        <color theme="0"/>
      </colorScale>
    </cfRule>
    <cfRule type="expression" dxfId="1036" priority="2226">
      <formula>BJ29&lt;0</formula>
    </cfRule>
  </conditionalFormatting>
  <conditionalFormatting sqref="BK30">
    <cfRule type="colorScale" priority="2244">
      <colorScale>
        <cfvo type="min"/>
        <cfvo type="max"/>
        <color theme="0"/>
        <color theme="0"/>
      </colorScale>
    </cfRule>
    <cfRule type="expression" dxfId="1035" priority="2245">
      <formula>BJ30&lt;0</formula>
    </cfRule>
  </conditionalFormatting>
  <conditionalFormatting sqref="BK31">
    <cfRule type="colorScale" priority="2242">
      <colorScale>
        <cfvo type="min"/>
        <cfvo type="max"/>
        <color theme="0"/>
        <color theme="0"/>
      </colorScale>
    </cfRule>
    <cfRule type="expression" dxfId="1034" priority="2243">
      <formula>BJ31&lt;0</formula>
    </cfRule>
  </conditionalFormatting>
  <conditionalFormatting sqref="BK39">
    <cfRule type="expression" priority="2221">
      <formula>#REF!</formula>
    </cfRule>
    <cfRule type="expression" dxfId="1033" priority="2222">
      <formula>BJ39&lt;0</formula>
    </cfRule>
    <cfRule type="colorScale" priority="2220">
      <colorScale>
        <cfvo type="min"/>
        <cfvo type="max"/>
        <color theme="0"/>
        <color theme="0"/>
      </colorScale>
    </cfRule>
  </conditionalFormatting>
  <conditionalFormatting sqref="BK39:BK107">
    <cfRule type="expression" dxfId="1032" priority="2158">
      <formula>IF(BK39="Validar","Rojo","Verde")</formula>
    </cfRule>
  </conditionalFormatting>
  <conditionalFormatting sqref="BK40:BK67">
    <cfRule type="expression" priority="2240">
      <formula>$F$19</formula>
    </cfRule>
    <cfRule type="colorScale" priority="2239">
      <colorScale>
        <cfvo type="min"/>
        <cfvo type="max"/>
        <color theme="0"/>
        <color theme="0"/>
      </colorScale>
    </cfRule>
    <cfRule type="expression" dxfId="1031" priority="2241">
      <formula>BJ40&lt;0</formula>
    </cfRule>
  </conditionalFormatting>
  <conditionalFormatting sqref="BK68">
    <cfRule type="colorScale" priority="2217">
      <colorScale>
        <cfvo type="min"/>
        <cfvo type="max"/>
        <color theme="0"/>
        <color theme="0"/>
      </colorScale>
    </cfRule>
    <cfRule type="expression" priority="2218">
      <formula>#REF!</formula>
    </cfRule>
    <cfRule type="expression" dxfId="1030" priority="2219">
      <formula>BJ68&lt;0</formula>
    </cfRule>
  </conditionalFormatting>
  <conditionalFormatting sqref="BK69:BK81">
    <cfRule type="colorScale" priority="2264">
      <colorScale>
        <cfvo type="min"/>
        <cfvo type="max"/>
        <color theme="0"/>
        <color theme="0"/>
      </colorScale>
    </cfRule>
    <cfRule type="expression" priority="2265">
      <formula>$F$19</formula>
    </cfRule>
    <cfRule type="expression" dxfId="1029" priority="2266">
      <formula>BJ69&lt;0</formula>
    </cfRule>
  </conditionalFormatting>
  <conditionalFormatting sqref="BK82 BK92 BK103 BK107">
    <cfRule type="colorScale" priority="2262">
      <colorScale>
        <cfvo type="min"/>
        <cfvo type="max"/>
        <color theme="0"/>
        <color theme="0"/>
      </colorScale>
    </cfRule>
    <cfRule type="expression" dxfId="1028" priority="2263">
      <formula>BJ82&lt;0</formula>
    </cfRule>
  </conditionalFormatting>
  <conditionalFormatting sqref="BK83">
    <cfRule type="expression" dxfId="1027" priority="2161">
      <formula>BJ83&lt;0</formula>
    </cfRule>
    <cfRule type="expression" priority="2160">
      <formula>#REF!</formula>
    </cfRule>
    <cfRule type="colorScale" priority="2159">
      <colorScale>
        <cfvo type="min"/>
        <cfvo type="max"/>
        <color theme="0"/>
        <color theme="0"/>
      </colorScale>
    </cfRule>
  </conditionalFormatting>
  <conditionalFormatting sqref="BK84:BK91">
    <cfRule type="colorScale" priority="2267">
      <colorScale>
        <cfvo type="min"/>
        <cfvo type="max"/>
        <color theme="0"/>
        <color theme="0"/>
      </colorScale>
    </cfRule>
    <cfRule type="expression" priority="2268">
      <formula>$F$19</formula>
    </cfRule>
    <cfRule type="expression" dxfId="1026" priority="2269">
      <formula>BJ84&lt;0</formula>
    </cfRule>
  </conditionalFormatting>
  <conditionalFormatting sqref="BK93">
    <cfRule type="expression" priority="2215">
      <formula>#REF!</formula>
    </cfRule>
    <cfRule type="colorScale" priority="2214">
      <colorScale>
        <cfvo type="min"/>
        <cfvo type="max"/>
        <color theme="0"/>
        <color theme="0"/>
      </colorScale>
    </cfRule>
    <cfRule type="expression" dxfId="1025" priority="2216">
      <formula>BJ93&lt;0</formula>
    </cfRule>
  </conditionalFormatting>
  <conditionalFormatting sqref="BK94:BK102">
    <cfRule type="expression" priority="2271">
      <formula>$F$19</formula>
    </cfRule>
    <cfRule type="colorScale" priority="2270">
      <colorScale>
        <cfvo type="min"/>
        <cfvo type="max"/>
        <color theme="0"/>
        <color theme="0"/>
      </colorScale>
    </cfRule>
    <cfRule type="expression" dxfId="1024" priority="2272">
      <formula>BJ94&lt;0</formula>
    </cfRule>
  </conditionalFormatting>
  <conditionalFormatting sqref="BK104">
    <cfRule type="expression" dxfId="1023" priority="2213">
      <formula>BJ104&lt;0</formula>
    </cfRule>
    <cfRule type="expression" priority="2212">
      <formula>#REF!</formula>
    </cfRule>
    <cfRule type="colorScale" priority="2211">
      <colorScale>
        <cfvo type="min"/>
        <cfvo type="max"/>
        <color theme="0"/>
        <color theme="0"/>
      </colorScale>
    </cfRule>
  </conditionalFormatting>
  <conditionalFormatting sqref="BK105:BK106">
    <cfRule type="colorScale" priority="2273">
      <colorScale>
        <cfvo type="min"/>
        <cfvo type="max"/>
        <color theme="0"/>
        <color theme="0"/>
      </colorScale>
    </cfRule>
    <cfRule type="expression" priority="2274">
      <formula>$F$19</formula>
    </cfRule>
    <cfRule type="expression" dxfId="1022" priority="2275">
      <formula>BJ105&lt;0</formula>
    </cfRule>
  </conditionalFormatting>
  <conditionalFormatting sqref="BK110">
    <cfRule type="colorScale" priority="2276">
      <colorScale>
        <cfvo type="min"/>
        <cfvo type="max"/>
        <color theme="0"/>
        <color theme="0"/>
      </colorScale>
    </cfRule>
    <cfRule type="expression" dxfId="1021" priority="2277">
      <formula>BJ110&lt;0</formula>
    </cfRule>
  </conditionalFormatting>
  <conditionalFormatting sqref="BK110:BK111">
    <cfRule type="expression" priority="2156">
      <formula>$F$19</formula>
    </cfRule>
  </conditionalFormatting>
  <conditionalFormatting sqref="BK111">
    <cfRule type="colorScale" priority="2155">
      <colorScale>
        <cfvo type="min"/>
        <cfvo type="max"/>
        <color theme="0"/>
        <color theme="0"/>
      </colorScale>
    </cfRule>
    <cfRule type="expression" dxfId="1020" priority="2157">
      <formula>BJ111&lt;0</formula>
    </cfRule>
  </conditionalFormatting>
  <conditionalFormatting sqref="BK117:BK123">
    <cfRule type="expression" priority="2282">
      <formula>$F$19</formula>
    </cfRule>
    <cfRule type="colorScale" priority="2281">
      <colorScale>
        <cfvo type="min"/>
        <cfvo type="max"/>
        <color theme="0"/>
        <color theme="0"/>
      </colorScale>
    </cfRule>
    <cfRule type="expression" dxfId="1019" priority="2283">
      <formula>BJ117&lt;0</formula>
    </cfRule>
  </conditionalFormatting>
  <conditionalFormatting sqref="BK125">
    <cfRule type="expression" dxfId="1018" priority="2210">
      <formula>BJ125&lt;0</formula>
    </cfRule>
    <cfRule type="expression" priority="2209">
      <formula>#REF!</formula>
    </cfRule>
    <cfRule type="colorScale" priority="2208">
      <colorScale>
        <cfvo type="min"/>
        <cfvo type="max"/>
        <color theme="0"/>
        <color theme="0"/>
      </colorScale>
    </cfRule>
  </conditionalFormatting>
  <conditionalFormatting sqref="BK125:BK135">
    <cfRule type="expression" dxfId="1017" priority="2207">
      <formula>IF(BK125="Validar","Rojo","Verde")</formula>
    </cfRule>
  </conditionalFormatting>
  <conditionalFormatting sqref="BK126:BK132">
    <cfRule type="colorScale" priority="2284">
      <colorScale>
        <cfvo type="min"/>
        <cfvo type="max"/>
        <color theme="0"/>
        <color theme="0"/>
      </colorScale>
    </cfRule>
    <cfRule type="expression" dxfId="1016" priority="2286">
      <formula>BJ126&lt;0</formula>
    </cfRule>
  </conditionalFormatting>
  <conditionalFormatting sqref="BK126:BK134">
    <cfRule type="expression" priority="2285">
      <formula>$F$19</formula>
    </cfRule>
  </conditionalFormatting>
  <conditionalFormatting sqref="BK133:BK134">
    <cfRule type="colorScale" priority="2287">
      <colorScale>
        <cfvo type="min"/>
        <cfvo type="max"/>
        <color theme="0"/>
        <color theme="0"/>
      </colorScale>
    </cfRule>
    <cfRule type="expression" dxfId="1015" priority="2288">
      <formula>BJ133&lt;0</formula>
    </cfRule>
  </conditionalFormatting>
  <conditionalFormatting sqref="BK135">
    <cfRule type="expression" dxfId="1014" priority="2280">
      <formula>BJ135&lt;0</formula>
    </cfRule>
    <cfRule type="colorScale" priority="2278">
      <colorScale>
        <cfvo type="min"/>
        <cfvo type="max"/>
        <color theme="0"/>
        <color theme="0"/>
      </colorScale>
    </cfRule>
    <cfRule type="expression" priority="2279">
      <formula>$F$23</formula>
    </cfRule>
  </conditionalFormatting>
  <conditionalFormatting sqref="BK110:BM111">
    <cfRule type="expression" dxfId="1013" priority="2151">
      <formula>IF(BK110="Validar","Rojo","Verde")</formula>
    </cfRule>
  </conditionalFormatting>
  <conditionalFormatting sqref="BK117:BM123">
    <cfRule type="expression" dxfId="1012" priority="2164">
      <formula>IF(BK117="Validar","Rojo","Verde")</formula>
    </cfRule>
  </conditionalFormatting>
  <conditionalFormatting sqref="BL40:BL66">
    <cfRule type="expression" dxfId="1011" priority="2201">
      <formula>BK40&lt;0</formula>
    </cfRule>
    <cfRule type="expression" priority="2200">
      <formula>#REF!</formula>
    </cfRule>
    <cfRule type="colorScale" priority="2199">
      <colorScale>
        <cfvo type="min"/>
        <cfvo type="max"/>
        <color theme="0"/>
        <color theme="0"/>
      </colorScale>
    </cfRule>
  </conditionalFormatting>
  <conditionalFormatting sqref="BL40:BL67">
    <cfRule type="expression" dxfId="1010" priority="2198">
      <formula>IF(BL40="Validar","Rojo","Verde")</formula>
    </cfRule>
  </conditionalFormatting>
  <conditionalFormatting sqref="BL67 BK82:BL82 BK92:BL92 BK103:BL103 BK107:BL107">
    <cfRule type="expression" priority="2203">
      <formula>$F$23</formula>
    </cfRule>
  </conditionalFormatting>
  <conditionalFormatting sqref="BL67 BL82 BL92 BL103 BL107">
    <cfRule type="expression" dxfId="1009" priority="2204">
      <formula>BK67&lt;0</formula>
    </cfRule>
    <cfRule type="colorScale" priority="2202">
      <colorScale>
        <cfvo type="min"/>
        <cfvo type="max"/>
        <color theme="0"/>
        <color theme="0"/>
      </colorScale>
    </cfRule>
  </conditionalFormatting>
  <conditionalFormatting sqref="BL69">
    <cfRule type="expression" dxfId="1008" priority="2197">
      <formula>BK69&lt;0</formula>
    </cfRule>
    <cfRule type="colorScale" priority="2196">
      <colorScale>
        <cfvo type="min"/>
        <cfvo type="max"/>
        <color theme="0"/>
        <color theme="0"/>
      </colorScale>
    </cfRule>
  </conditionalFormatting>
  <conditionalFormatting sqref="BL69:BL81">
    <cfRule type="expression" priority="2194">
      <formula>#REF!</formula>
    </cfRule>
  </conditionalFormatting>
  <conditionalFormatting sqref="BL69:BL82">
    <cfRule type="expression" dxfId="1007" priority="2192">
      <formula>IF(BL69="Validar","Rojo","Verde")</formula>
    </cfRule>
  </conditionalFormatting>
  <conditionalFormatting sqref="BL70:BL78">
    <cfRule type="expression" dxfId="1006" priority="2195">
      <formula>BK70&lt;0</formula>
    </cfRule>
    <cfRule type="colorScale" priority="2193">
      <colorScale>
        <cfvo type="min"/>
        <cfvo type="max"/>
        <color theme="0"/>
        <color theme="0"/>
      </colorScale>
    </cfRule>
  </conditionalFormatting>
  <conditionalFormatting sqref="BL79:BL81">
    <cfRule type="expression" dxfId="1005" priority="2206">
      <formula>BK79&lt;0</formula>
    </cfRule>
    <cfRule type="colorScale" priority="2205">
      <colorScale>
        <cfvo type="min"/>
        <cfvo type="max"/>
        <color theme="0"/>
        <color theme="0"/>
      </colorScale>
    </cfRule>
  </conditionalFormatting>
  <conditionalFormatting sqref="BL84">
    <cfRule type="colorScale" priority="2190">
      <colorScale>
        <cfvo type="min"/>
        <cfvo type="max"/>
        <color theme="0"/>
        <color theme="0"/>
      </colorScale>
    </cfRule>
    <cfRule type="expression" dxfId="1004" priority="2191">
      <formula>BK84&lt;0</formula>
    </cfRule>
  </conditionalFormatting>
  <conditionalFormatting sqref="BL84:BL91">
    <cfRule type="expression" priority="2188">
      <formula>#REF!</formula>
    </cfRule>
  </conditionalFormatting>
  <conditionalFormatting sqref="BL84:BL92">
    <cfRule type="expression" dxfId="1003" priority="2186">
      <formula>IF(BL84="Validar","Rojo","Verde")</formula>
    </cfRule>
  </conditionalFormatting>
  <conditionalFormatting sqref="BL85:BL91">
    <cfRule type="colorScale" priority="2187">
      <colorScale>
        <cfvo type="min"/>
        <cfvo type="max"/>
        <color theme="0"/>
        <color theme="0"/>
      </colorScale>
    </cfRule>
    <cfRule type="expression" dxfId="1002" priority="2189">
      <formula>BK85&lt;0</formula>
    </cfRule>
  </conditionalFormatting>
  <conditionalFormatting sqref="BL94">
    <cfRule type="expression" dxfId="1001" priority="2185">
      <formula>BK94&lt;0</formula>
    </cfRule>
    <cfRule type="colorScale" priority="2184">
      <colorScale>
        <cfvo type="min"/>
        <cfvo type="max"/>
        <color theme="0"/>
        <color theme="0"/>
      </colorScale>
    </cfRule>
  </conditionalFormatting>
  <conditionalFormatting sqref="BL94:BL102">
    <cfRule type="expression" priority="2178">
      <formula>#REF!</formula>
    </cfRule>
  </conditionalFormatting>
  <conditionalFormatting sqref="BL94:BL103">
    <cfRule type="expression" dxfId="1000" priority="2176">
      <formula>IF(BL94="Validar","Rojo","Verde")</formula>
    </cfRule>
  </conditionalFormatting>
  <conditionalFormatting sqref="BL95:BL100">
    <cfRule type="expression" dxfId="999" priority="2183">
      <formula>BK95&lt;0</formula>
    </cfRule>
    <cfRule type="colorScale" priority="2182">
      <colorScale>
        <cfvo type="min"/>
        <cfvo type="max"/>
        <color theme="0"/>
        <color theme="0"/>
      </colorScale>
    </cfRule>
  </conditionalFormatting>
  <conditionalFormatting sqref="BL101">
    <cfRule type="colorScale" priority="2180">
      <colorScale>
        <cfvo type="min"/>
        <cfvo type="max"/>
        <color theme="0"/>
        <color theme="0"/>
      </colorScale>
    </cfRule>
    <cfRule type="expression" dxfId="998" priority="2181">
      <formula>BK101&lt;0</formula>
    </cfRule>
  </conditionalFormatting>
  <conditionalFormatting sqref="BL102">
    <cfRule type="colorScale" priority="2177">
      <colorScale>
        <cfvo type="min"/>
        <cfvo type="max"/>
        <color theme="0"/>
        <color theme="0"/>
      </colorScale>
    </cfRule>
    <cfRule type="expression" dxfId="997" priority="2179">
      <formula>BK102&lt;0</formula>
    </cfRule>
  </conditionalFormatting>
  <conditionalFormatting sqref="BL105">
    <cfRule type="colorScale" priority="2174">
      <colorScale>
        <cfvo type="min"/>
        <cfvo type="max"/>
        <color theme="0"/>
        <color theme="0"/>
      </colorScale>
    </cfRule>
    <cfRule type="expression" dxfId="996" priority="2175">
      <formula>BK105&lt;0</formula>
    </cfRule>
  </conditionalFormatting>
  <conditionalFormatting sqref="BL105:BL106">
    <cfRule type="expression" priority="2172">
      <formula>#REF!</formula>
    </cfRule>
  </conditionalFormatting>
  <conditionalFormatting sqref="BL105:BL107">
    <cfRule type="expression" dxfId="995" priority="2170">
      <formula>IF(BL105="Validar","Rojo","Verde")</formula>
    </cfRule>
  </conditionalFormatting>
  <conditionalFormatting sqref="BL106">
    <cfRule type="colorScale" priority="2171">
      <colorScale>
        <cfvo type="min"/>
        <cfvo type="max"/>
        <color theme="0"/>
        <color theme="0"/>
      </colorScale>
    </cfRule>
    <cfRule type="expression" dxfId="994" priority="2173">
      <formula>BK106&lt;0</formula>
    </cfRule>
  </conditionalFormatting>
  <conditionalFormatting sqref="BL110">
    <cfRule type="expression" dxfId="993" priority="2163">
      <formula>BK110&lt;0</formula>
    </cfRule>
    <cfRule type="colorScale" priority="2162">
      <colorScale>
        <cfvo type="min"/>
        <cfvo type="max"/>
        <color theme="0"/>
        <color theme="0"/>
      </colorScale>
    </cfRule>
  </conditionalFormatting>
  <conditionalFormatting sqref="BL111">
    <cfRule type="colorScale" priority="2152">
      <colorScale>
        <cfvo type="min"/>
        <cfvo type="max"/>
        <color theme="0"/>
        <color theme="0"/>
      </colorScale>
    </cfRule>
    <cfRule type="expression" dxfId="992" priority="2154">
      <formula>BK111&lt;0</formula>
    </cfRule>
  </conditionalFormatting>
  <conditionalFormatting sqref="BL117">
    <cfRule type="expression" dxfId="991" priority="2169">
      <formula>BK117&lt;0</formula>
    </cfRule>
    <cfRule type="colorScale" priority="2168">
      <colorScale>
        <cfvo type="min"/>
        <cfvo type="max"/>
        <color theme="0"/>
        <color theme="0"/>
      </colorScale>
    </cfRule>
  </conditionalFormatting>
  <conditionalFormatting sqref="BL118:BL123">
    <cfRule type="colorScale" priority="2165">
      <colorScale>
        <cfvo type="min"/>
        <cfvo type="max"/>
        <color theme="0"/>
        <color theme="0"/>
      </colorScale>
    </cfRule>
    <cfRule type="expression" dxfId="990" priority="2167">
      <formula>BK118&lt;0</formula>
    </cfRule>
  </conditionalFormatting>
  <conditionalFormatting sqref="BL126:BL135">
    <cfRule type="expression" dxfId="989" priority="2292">
      <formula>BK126&lt;0</formula>
    </cfRule>
    <cfRule type="expression" dxfId="988" priority="2289">
      <formula>IF(BL126="Validar","Rojo","Verde")</formula>
    </cfRule>
    <cfRule type="colorScale" priority="2290">
      <colorScale>
        <cfvo type="min"/>
        <cfvo type="max"/>
        <color theme="0"/>
        <color theme="0"/>
      </colorScale>
    </cfRule>
    <cfRule type="expression" priority="2291">
      <formula>$F$23</formula>
    </cfRule>
  </conditionalFormatting>
  <conditionalFormatting sqref="BL110:BM111">
    <cfRule type="expression" priority="2153">
      <formula>#REF!</formula>
    </cfRule>
  </conditionalFormatting>
  <conditionalFormatting sqref="BL117:BM123">
    <cfRule type="expression" priority="2166">
      <formula>#REF!</formula>
    </cfRule>
  </conditionalFormatting>
  <conditionalFormatting sqref="BM5">
    <cfRule type="expression" dxfId="987" priority="136">
      <formula>BL5&lt;0</formula>
    </cfRule>
    <cfRule type="colorScale" priority="135">
      <colorScale>
        <cfvo type="min"/>
        <cfvo type="max"/>
        <color theme="0"/>
        <color theme="0"/>
      </colorScale>
    </cfRule>
  </conditionalFormatting>
  <conditionalFormatting sqref="BM5:BM16">
    <cfRule type="expression" dxfId="986" priority="133">
      <formula>IF(BM5="Validar","Rojo","Verde")</formula>
    </cfRule>
    <cfRule type="expression" priority="134">
      <formula>#REF!</formula>
    </cfRule>
  </conditionalFormatting>
  <conditionalFormatting sqref="BM6:BM9">
    <cfRule type="colorScale" priority="5098">
      <colorScale>
        <cfvo type="min"/>
        <cfvo type="max"/>
        <color theme="0"/>
        <color theme="0"/>
      </colorScale>
    </cfRule>
    <cfRule type="expression" dxfId="985" priority="5099">
      <formula>BL6&lt;0</formula>
    </cfRule>
  </conditionalFormatting>
  <conditionalFormatting sqref="BM10">
    <cfRule type="expression" dxfId="984" priority="5067">
      <formula>BL10&lt;0</formula>
    </cfRule>
    <cfRule type="colorScale" priority="5066">
      <colorScale>
        <cfvo type="min"/>
        <cfvo type="max"/>
        <color theme="0"/>
        <color theme="0"/>
      </colorScale>
    </cfRule>
  </conditionalFormatting>
  <conditionalFormatting sqref="BM11:BM13">
    <cfRule type="expression" dxfId="983" priority="5097">
      <formula>BL11&lt;0</formula>
    </cfRule>
    <cfRule type="colorScale" priority="5096">
      <colorScale>
        <cfvo type="min"/>
        <cfvo type="max"/>
        <color theme="0"/>
        <color theme="0"/>
      </colorScale>
    </cfRule>
  </conditionalFormatting>
  <conditionalFormatting sqref="BM14">
    <cfRule type="expression" dxfId="982" priority="296">
      <formula>BL14&lt;0</formula>
    </cfRule>
    <cfRule type="colorScale" priority="295">
      <colorScale>
        <cfvo type="min"/>
        <cfvo type="max"/>
        <color theme="0"/>
        <color theme="0"/>
      </colorScale>
    </cfRule>
  </conditionalFormatting>
  <conditionalFormatting sqref="BM15">
    <cfRule type="expression" dxfId="981" priority="5065">
      <formula>BL15&lt;0</formula>
    </cfRule>
    <cfRule type="colorScale" priority="5063">
      <colorScale>
        <cfvo type="min"/>
        <cfvo type="max"/>
        <color theme="0"/>
        <color theme="0"/>
      </colorScale>
    </cfRule>
  </conditionalFormatting>
  <conditionalFormatting sqref="BM16">
    <cfRule type="expression" dxfId="980" priority="5095">
      <formula>BL16&lt;0</formula>
    </cfRule>
    <cfRule type="colorScale" priority="5094">
      <colorScale>
        <cfvo type="min"/>
        <cfvo type="max"/>
        <color theme="0"/>
        <color theme="0"/>
      </colorScale>
    </cfRule>
  </conditionalFormatting>
  <conditionalFormatting sqref="BM18">
    <cfRule type="expression" dxfId="979" priority="5061">
      <formula>BL18&lt;0</formula>
    </cfRule>
    <cfRule type="colorScale" priority="5059">
      <colorScale>
        <cfvo type="min"/>
        <cfvo type="max"/>
        <color theme="0"/>
        <color theme="0"/>
      </colorScale>
    </cfRule>
  </conditionalFormatting>
  <conditionalFormatting sqref="BM18:BM19">
    <cfRule type="expression" priority="5060">
      <formula>#REF!</formula>
    </cfRule>
    <cfRule type="expression" dxfId="978" priority="5058">
      <formula>IF(BM18="Validar","Rojo","Verde")</formula>
    </cfRule>
  </conditionalFormatting>
  <conditionalFormatting sqref="BM19">
    <cfRule type="colorScale" priority="5092">
      <colorScale>
        <cfvo type="min"/>
        <cfvo type="max"/>
        <color theme="0"/>
        <color theme="0"/>
      </colorScale>
    </cfRule>
    <cfRule type="expression" dxfId="977" priority="5093">
      <formula>BL19&lt;0</formula>
    </cfRule>
  </conditionalFormatting>
  <conditionalFormatting sqref="BM23">
    <cfRule type="colorScale" priority="5055">
      <colorScale>
        <cfvo type="min"/>
        <cfvo type="max"/>
        <color theme="0"/>
        <color theme="0"/>
      </colorScale>
    </cfRule>
    <cfRule type="expression" dxfId="976" priority="5057">
      <formula>BL23&lt;0</formula>
    </cfRule>
  </conditionalFormatting>
  <conditionalFormatting sqref="BM23:BM24">
    <cfRule type="expression" priority="5056">
      <formula>#REF!</formula>
    </cfRule>
    <cfRule type="expression" dxfId="975" priority="5054">
      <formula>IF(BM23="Validar","Rojo","Verde")</formula>
    </cfRule>
  </conditionalFormatting>
  <conditionalFormatting sqref="BM24">
    <cfRule type="colorScale" priority="5088">
      <colorScale>
        <cfvo type="min"/>
        <cfvo type="max"/>
        <color theme="0"/>
        <color theme="0"/>
      </colorScale>
    </cfRule>
    <cfRule type="expression" dxfId="974" priority="5089">
      <formula>BL24&lt;0</formula>
    </cfRule>
  </conditionalFormatting>
  <conditionalFormatting sqref="BM26">
    <cfRule type="expression" dxfId="973" priority="5053">
      <formula>BL26&lt;0</formula>
    </cfRule>
    <cfRule type="colorScale" priority="5051">
      <colorScale>
        <cfvo type="min"/>
        <cfvo type="max"/>
        <color theme="0"/>
        <color theme="0"/>
      </colorScale>
    </cfRule>
  </conditionalFormatting>
  <conditionalFormatting sqref="BM26:BM27">
    <cfRule type="expression" dxfId="972" priority="5050">
      <formula>IF(BM26="Validar","Rojo","Verde")</formula>
    </cfRule>
    <cfRule type="expression" priority="5052">
      <formula>#REF!</formula>
    </cfRule>
  </conditionalFormatting>
  <conditionalFormatting sqref="BM27">
    <cfRule type="expression" dxfId="971" priority="5087">
      <formula>BL27&lt;0</formula>
    </cfRule>
    <cfRule type="colorScale" priority="5086">
      <colorScale>
        <cfvo type="min"/>
        <cfvo type="max"/>
        <color theme="0"/>
        <color theme="0"/>
      </colorScale>
    </cfRule>
  </conditionalFormatting>
  <conditionalFormatting sqref="BM29">
    <cfRule type="expression" dxfId="970" priority="5049">
      <formula>BL29&lt;0</formula>
    </cfRule>
    <cfRule type="colorScale" priority="5047">
      <colorScale>
        <cfvo type="min"/>
        <cfvo type="max"/>
        <color theme="0"/>
        <color theme="0"/>
      </colorScale>
    </cfRule>
  </conditionalFormatting>
  <conditionalFormatting sqref="BM29:BM30">
    <cfRule type="expression" dxfId="969" priority="5046">
      <formula>IF(BM29="Validar","Rojo","Verde")</formula>
    </cfRule>
    <cfRule type="expression" priority="5048">
      <formula>#REF!</formula>
    </cfRule>
  </conditionalFormatting>
  <conditionalFormatting sqref="BM30">
    <cfRule type="expression" dxfId="968" priority="5085">
      <formula>BL30&lt;0</formula>
    </cfRule>
    <cfRule type="colorScale" priority="5084">
      <colorScale>
        <cfvo type="min"/>
        <cfvo type="max"/>
        <color theme="0"/>
        <color theme="0"/>
      </colorScale>
    </cfRule>
  </conditionalFormatting>
  <conditionalFormatting sqref="BM39">
    <cfRule type="expression" dxfId="967" priority="5045">
      <formula>BL39&lt;0</formula>
    </cfRule>
    <cfRule type="colorScale" priority="5043">
      <colorScale>
        <cfvo type="min"/>
        <cfvo type="max"/>
        <color theme="0"/>
        <color theme="0"/>
      </colorScale>
    </cfRule>
  </conditionalFormatting>
  <conditionalFormatting sqref="BM39:BM66">
    <cfRule type="expression" dxfId="966" priority="5042">
      <formula>IF(BM39="Validar","Rojo","Verde")</formula>
    </cfRule>
    <cfRule type="expression" priority="5044">
      <formula>#REF!</formula>
    </cfRule>
  </conditionalFormatting>
  <conditionalFormatting sqref="BM40:BM66">
    <cfRule type="expression" dxfId="965" priority="5083">
      <formula>BL40&lt;0</formula>
    </cfRule>
    <cfRule type="colorScale" priority="5082">
      <colorScale>
        <cfvo type="min"/>
        <cfvo type="max"/>
        <color theme="0"/>
        <color theme="0"/>
      </colorScale>
    </cfRule>
  </conditionalFormatting>
  <conditionalFormatting sqref="BM68">
    <cfRule type="colorScale" priority="5039">
      <colorScale>
        <cfvo type="min"/>
        <cfvo type="max"/>
        <color theme="0"/>
        <color theme="0"/>
      </colorScale>
    </cfRule>
    <cfRule type="expression" dxfId="964" priority="5041">
      <formula>BL68&lt;0</formula>
    </cfRule>
  </conditionalFormatting>
  <conditionalFormatting sqref="BM68:BM81">
    <cfRule type="expression" priority="5040">
      <formula>#REF!</formula>
    </cfRule>
    <cfRule type="expression" dxfId="963" priority="5038">
      <formula>IF(BM68="Validar","Rojo","Verde")</formula>
    </cfRule>
  </conditionalFormatting>
  <conditionalFormatting sqref="BM69:BM81">
    <cfRule type="expression" dxfId="962" priority="5101">
      <formula>BL69&lt;0</formula>
    </cfRule>
    <cfRule type="colorScale" priority="5100">
      <colorScale>
        <cfvo type="min"/>
        <cfvo type="max"/>
        <color theme="0"/>
        <color theme="0"/>
      </colorScale>
    </cfRule>
  </conditionalFormatting>
  <conditionalFormatting sqref="BM83">
    <cfRule type="expression" dxfId="961" priority="5024">
      <formula>BL83&lt;0</formula>
    </cfRule>
    <cfRule type="colorScale" priority="5022">
      <colorScale>
        <cfvo type="min"/>
        <cfvo type="max"/>
        <color theme="0"/>
        <color theme="0"/>
      </colorScale>
    </cfRule>
  </conditionalFormatting>
  <conditionalFormatting sqref="BM83:BM91">
    <cfRule type="expression" dxfId="960" priority="5021">
      <formula>IF(BM83="Validar","Rojo","Verde")</formula>
    </cfRule>
    <cfRule type="expression" priority="5023">
      <formula>#REF!</formula>
    </cfRule>
  </conditionalFormatting>
  <conditionalFormatting sqref="BM84:BM91">
    <cfRule type="colorScale" priority="5080">
      <colorScale>
        <cfvo type="min"/>
        <cfvo type="max"/>
        <color theme="0"/>
        <color theme="0"/>
      </colorScale>
    </cfRule>
    <cfRule type="expression" dxfId="959" priority="5081">
      <formula>BL84&lt;0</formula>
    </cfRule>
  </conditionalFormatting>
  <conditionalFormatting sqref="BM93">
    <cfRule type="expression" dxfId="958" priority="5037">
      <formula>BL93&lt;0</formula>
    </cfRule>
    <cfRule type="colorScale" priority="5035">
      <colorScale>
        <cfvo type="min"/>
        <cfvo type="max"/>
        <color theme="0"/>
        <color theme="0"/>
      </colorScale>
    </cfRule>
  </conditionalFormatting>
  <conditionalFormatting sqref="BM93:BM102">
    <cfRule type="expression" dxfId="957" priority="5034">
      <formula>IF(BM93="Validar","Rojo","Verde")</formula>
    </cfRule>
    <cfRule type="expression" priority="5036">
      <formula>#REF!</formula>
    </cfRule>
  </conditionalFormatting>
  <conditionalFormatting sqref="BM94:BM102">
    <cfRule type="colorScale" priority="5078">
      <colorScale>
        <cfvo type="min"/>
        <cfvo type="max"/>
        <color theme="0"/>
        <color theme="0"/>
      </colorScale>
    </cfRule>
    <cfRule type="expression" dxfId="956" priority="5079">
      <formula>BL94&lt;0</formula>
    </cfRule>
  </conditionalFormatting>
  <conditionalFormatting sqref="BM104">
    <cfRule type="expression" dxfId="955" priority="5033">
      <formula>BL104&lt;0</formula>
    </cfRule>
    <cfRule type="colorScale" priority="5031">
      <colorScale>
        <cfvo type="min"/>
        <cfvo type="max"/>
        <color theme="0"/>
        <color theme="0"/>
      </colorScale>
    </cfRule>
  </conditionalFormatting>
  <conditionalFormatting sqref="BM104:BM106">
    <cfRule type="expression" priority="5032">
      <formula>#REF!</formula>
    </cfRule>
    <cfRule type="expression" dxfId="954" priority="5030">
      <formula>IF(BM104="Validar","Rojo","Verde")</formula>
    </cfRule>
  </conditionalFormatting>
  <conditionalFormatting sqref="BM105:BM106">
    <cfRule type="colorScale" priority="5076">
      <colorScale>
        <cfvo type="min"/>
        <cfvo type="max"/>
        <color theme="0"/>
        <color theme="0"/>
      </colorScale>
    </cfRule>
    <cfRule type="expression" dxfId="953" priority="5077">
      <formula>BL105&lt;0</formula>
    </cfRule>
  </conditionalFormatting>
  <conditionalFormatting sqref="BM110">
    <cfRule type="colorScale" priority="5074">
      <colorScale>
        <cfvo type="min"/>
        <cfvo type="max"/>
        <color theme="0"/>
        <color theme="0"/>
      </colorScale>
    </cfRule>
    <cfRule type="expression" dxfId="952" priority="5075">
      <formula>BL110&lt;0</formula>
    </cfRule>
  </conditionalFormatting>
  <conditionalFormatting sqref="BM111">
    <cfRule type="expression" dxfId="951" priority="5017">
      <formula>BL111&lt;0</formula>
    </cfRule>
    <cfRule type="colorScale" priority="5015">
      <colorScale>
        <cfvo type="min"/>
        <cfvo type="max"/>
        <color theme="0"/>
        <color theme="0"/>
      </colorScale>
    </cfRule>
  </conditionalFormatting>
  <conditionalFormatting sqref="BM117:BM123">
    <cfRule type="expression" dxfId="950" priority="5073">
      <formula>BL117&lt;0</formula>
    </cfRule>
    <cfRule type="colorScale" priority="5071">
      <colorScale>
        <cfvo type="min"/>
        <cfvo type="max"/>
        <color theme="0"/>
        <color theme="0"/>
      </colorScale>
    </cfRule>
  </conditionalFormatting>
  <conditionalFormatting sqref="BM125">
    <cfRule type="expression" dxfId="949" priority="5029">
      <formula>BL125&lt;0</formula>
    </cfRule>
    <cfRule type="colorScale" priority="5027">
      <colorScale>
        <cfvo type="min"/>
        <cfvo type="max"/>
        <color theme="0"/>
        <color theme="0"/>
      </colorScale>
    </cfRule>
  </conditionalFormatting>
  <conditionalFormatting sqref="BM125:BM134">
    <cfRule type="expression" priority="5028">
      <formula>#REF!</formula>
    </cfRule>
    <cfRule type="expression" dxfId="948" priority="5026">
      <formula>IF(BM125="Validar","Rojo","Verde")</formula>
    </cfRule>
  </conditionalFormatting>
  <conditionalFormatting sqref="BM126:BM134">
    <cfRule type="colorScale" priority="5068">
      <colorScale>
        <cfvo type="min"/>
        <cfvo type="max"/>
        <color theme="0"/>
        <color theme="0"/>
      </colorScale>
    </cfRule>
    <cfRule type="expression" dxfId="947" priority="5069">
      <formula>BL126&lt;0</formula>
    </cfRule>
  </conditionalFormatting>
  <conditionalFormatting sqref="BO5">
    <cfRule type="expression" dxfId="946" priority="52">
      <formula>BN5&lt;0</formula>
    </cfRule>
    <cfRule type="colorScale" priority="51">
      <colorScale>
        <cfvo type="min"/>
        <cfvo type="max"/>
        <color theme="0"/>
        <color theme="0"/>
      </colorScale>
    </cfRule>
  </conditionalFormatting>
  <conditionalFormatting sqref="BO5:BO20">
    <cfRule type="expression" priority="50">
      <formula>#REF!</formula>
    </cfRule>
    <cfRule type="expression" dxfId="945" priority="49">
      <formula>IF(BO5="Validar","Rojo","Verde")</formula>
    </cfRule>
  </conditionalFormatting>
  <conditionalFormatting sqref="BO6">
    <cfRule type="expression" dxfId="944" priority="2000">
      <formula>BN6&lt;0</formula>
    </cfRule>
    <cfRule type="colorScale" priority="1999">
      <colorScale>
        <cfvo type="min"/>
        <cfvo type="max"/>
        <color theme="0"/>
        <color theme="0"/>
      </colorScale>
    </cfRule>
  </conditionalFormatting>
  <conditionalFormatting sqref="BO7:BO8">
    <cfRule type="expression" dxfId="943" priority="1996">
      <formula>BN7&lt;0</formula>
    </cfRule>
    <cfRule type="colorScale" priority="1995">
      <colorScale>
        <cfvo type="min"/>
        <cfvo type="max"/>
        <color theme="0"/>
        <color theme="0"/>
      </colorScale>
    </cfRule>
  </conditionalFormatting>
  <conditionalFormatting sqref="BO9">
    <cfRule type="colorScale" priority="2110">
      <colorScale>
        <cfvo type="min"/>
        <cfvo type="max"/>
        <color theme="0"/>
        <color theme="0"/>
      </colorScale>
    </cfRule>
    <cfRule type="expression" dxfId="942" priority="2111">
      <formula>BN9&lt;0</formula>
    </cfRule>
  </conditionalFormatting>
  <conditionalFormatting sqref="BO10">
    <cfRule type="colorScale" priority="2087">
      <colorScale>
        <cfvo type="min"/>
        <cfvo type="max"/>
        <color theme="0"/>
        <color theme="0"/>
      </colorScale>
    </cfRule>
    <cfRule type="expression" dxfId="941" priority="2088">
      <formula>BN10&lt;0</formula>
    </cfRule>
  </conditionalFormatting>
  <conditionalFormatting sqref="BO11:BO13">
    <cfRule type="expression" dxfId="940" priority="2109">
      <formula>BN11&lt;0</formula>
    </cfRule>
    <cfRule type="colorScale" priority="2108">
      <colorScale>
        <cfvo type="min"/>
        <cfvo type="max"/>
        <color theme="0"/>
        <color theme="0"/>
      </colorScale>
    </cfRule>
  </conditionalFormatting>
  <conditionalFormatting sqref="BO14">
    <cfRule type="colorScale" priority="219">
      <colorScale>
        <cfvo type="min"/>
        <cfvo type="max"/>
        <color theme="0"/>
        <color theme="0"/>
      </colorScale>
    </cfRule>
    <cfRule type="expression" dxfId="939" priority="220">
      <formula>BN14&lt;0</formula>
    </cfRule>
  </conditionalFormatting>
  <conditionalFormatting sqref="BO15">
    <cfRule type="colorScale" priority="2085">
      <colorScale>
        <cfvo type="min"/>
        <cfvo type="max"/>
        <color theme="0"/>
        <color theme="0"/>
      </colorScale>
    </cfRule>
    <cfRule type="expression" dxfId="938" priority="2086">
      <formula>BN15&lt;0</formula>
    </cfRule>
  </conditionalFormatting>
  <conditionalFormatting sqref="BO16:BO17">
    <cfRule type="expression" dxfId="937" priority="2107">
      <formula>BN16&lt;0</formula>
    </cfRule>
    <cfRule type="colorScale" priority="2106">
      <colorScale>
        <cfvo type="min"/>
        <cfvo type="max"/>
        <color theme="0"/>
        <color theme="0"/>
      </colorScale>
    </cfRule>
  </conditionalFormatting>
  <conditionalFormatting sqref="BO18">
    <cfRule type="colorScale" priority="2082">
      <colorScale>
        <cfvo type="min"/>
        <cfvo type="max"/>
        <color theme="0"/>
        <color theme="0"/>
      </colorScale>
    </cfRule>
    <cfRule type="expression" dxfId="936" priority="2084">
      <formula>BN18&lt;0</formula>
    </cfRule>
  </conditionalFormatting>
  <conditionalFormatting sqref="BO19:BO20">
    <cfRule type="expression" dxfId="935" priority="2105">
      <formula>BN19&lt;0</formula>
    </cfRule>
    <cfRule type="colorScale" priority="2104">
      <colorScale>
        <cfvo type="min"/>
        <cfvo type="max"/>
        <color theme="0"/>
        <color theme="0"/>
      </colorScale>
    </cfRule>
  </conditionalFormatting>
  <conditionalFormatting sqref="BO23">
    <cfRule type="expression" dxfId="934" priority="2080">
      <formula>BN23&lt;0</formula>
    </cfRule>
    <cfRule type="colorScale" priority="2079">
      <colorScale>
        <cfvo type="min"/>
        <cfvo type="max"/>
        <color theme="0"/>
        <color theme="0"/>
      </colorScale>
    </cfRule>
  </conditionalFormatting>
  <conditionalFormatting sqref="BO23:BO31">
    <cfRule type="expression" priority="2075">
      <formula>#REF!</formula>
    </cfRule>
    <cfRule type="expression" dxfId="933" priority="2073">
      <formula>IF(BO23="Validar","Rojo","Verde")</formula>
    </cfRule>
  </conditionalFormatting>
  <conditionalFormatting sqref="BO24">
    <cfRule type="expression" dxfId="932" priority="2103">
      <formula>BN24&lt;0</formula>
    </cfRule>
    <cfRule type="colorScale" priority="2102">
      <colorScale>
        <cfvo type="min"/>
        <cfvo type="max"/>
        <color theme="0"/>
        <color theme="0"/>
      </colorScale>
    </cfRule>
  </conditionalFormatting>
  <conditionalFormatting sqref="BO25">
    <cfRule type="expression" dxfId="931" priority="2101">
      <formula>BN25&lt;0</formula>
    </cfRule>
    <cfRule type="colorScale" priority="2100">
      <colorScale>
        <cfvo type="min"/>
        <cfvo type="max"/>
        <color theme="0"/>
        <color theme="0"/>
      </colorScale>
    </cfRule>
  </conditionalFormatting>
  <conditionalFormatting sqref="BO26">
    <cfRule type="colorScale" priority="2077">
      <colorScale>
        <cfvo type="min"/>
        <cfvo type="max"/>
        <color theme="0"/>
        <color theme="0"/>
      </colorScale>
    </cfRule>
    <cfRule type="expression" dxfId="930" priority="2078">
      <formula>BN26&lt;0</formula>
    </cfRule>
  </conditionalFormatting>
  <conditionalFormatting sqref="BO27">
    <cfRule type="expression" dxfId="929" priority="2099">
      <formula>BN27&lt;0</formula>
    </cfRule>
    <cfRule type="colorScale" priority="2098">
      <colorScale>
        <cfvo type="min"/>
        <cfvo type="max"/>
        <color theme="0"/>
        <color theme="0"/>
      </colorScale>
    </cfRule>
  </conditionalFormatting>
  <conditionalFormatting sqref="BO28">
    <cfRule type="colorScale" priority="2096">
      <colorScale>
        <cfvo type="min"/>
        <cfvo type="max"/>
        <color theme="0"/>
        <color theme="0"/>
      </colorScale>
    </cfRule>
    <cfRule type="expression" dxfId="928" priority="2097">
      <formula>BN28&lt;0</formula>
    </cfRule>
  </conditionalFormatting>
  <conditionalFormatting sqref="BO29">
    <cfRule type="expression" dxfId="927" priority="2076">
      <formula>BN29&lt;0</formula>
    </cfRule>
    <cfRule type="colorScale" priority="2074">
      <colorScale>
        <cfvo type="min"/>
        <cfvo type="max"/>
        <color theme="0"/>
        <color theme="0"/>
      </colorScale>
    </cfRule>
  </conditionalFormatting>
  <conditionalFormatting sqref="BO30">
    <cfRule type="colorScale" priority="2094">
      <colorScale>
        <cfvo type="min"/>
        <cfvo type="max"/>
        <color theme="0"/>
        <color theme="0"/>
      </colorScale>
    </cfRule>
    <cfRule type="expression" dxfId="926" priority="2095">
      <formula>BN30&lt;0</formula>
    </cfRule>
  </conditionalFormatting>
  <conditionalFormatting sqref="BO31">
    <cfRule type="expression" dxfId="925" priority="2093">
      <formula>BN31&lt;0</formula>
    </cfRule>
    <cfRule type="colorScale" priority="2092">
      <colorScale>
        <cfvo type="min"/>
        <cfvo type="max"/>
        <color theme="0"/>
        <color theme="0"/>
      </colorScale>
    </cfRule>
  </conditionalFormatting>
  <conditionalFormatting sqref="BO39">
    <cfRule type="expression" priority="2071">
      <formula>#REF!</formula>
    </cfRule>
    <cfRule type="expression" dxfId="924" priority="2072">
      <formula>BN39&lt;0</formula>
    </cfRule>
    <cfRule type="colorScale" priority="2070">
      <colorScale>
        <cfvo type="min"/>
        <cfvo type="max"/>
        <color theme="0"/>
        <color theme="0"/>
      </colorScale>
    </cfRule>
  </conditionalFormatting>
  <conditionalFormatting sqref="BO39:BO107">
    <cfRule type="expression" dxfId="923" priority="2008">
      <formula>IF(BO39="Validar","Rojo","Verde")</formula>
    </cfRule>
  </conditionalFormatting>
  <conditionalFormatting sqref="BO40:BO67">
    <cfRule type="expression" dxfId="922" priority="2091">
      <formula>BN40&lt;0</formula>
    </cfRule>
    <cfRule type="colorScale" priority="2089">
      <colorScale>
        <cfvo type="min"/>
        <cfvo type="max"/>
        <color theme="0"/>
        <color theme="0"/>
      </colorScale>
    </cfRule>
    <cfRule type="expression" priority="2090">
      <formula>$F$19</formula>
    </cfRule>
  </conditionalFormatting>
  <conditionalFormatting sqref="BO68">
    <cfRule type="colorScale" priority="2067">
      <colorScale>
        <cfvo type="min"/>
        <cfvo type="max"/>
        <color theme="0"/>
        <color theme="0"/>
      </colorScale>
    </cfRule>
    <cfRule type="expression" priority="2068">
      <formula>#REF!</formula>
    </cfRule>
    <cfRule type="expression" dxfId="921" priority="2069">
      <formula>BN68&lt;0</formula>
    </cfRule>
  </conditionalFormatting>
  <conditionalFormatting sqref="BO69:BO81">
    <cfRule type="colorScale" priority="2114">
      <colorScale>
        <cfvo type="min"/>
        <cfvo type="max"/>
        <color theme="0"/>
        <color theme="0"/>
      </colorScale>
    </cfRule>
    <cfRule type="expression" dxfId="920" priority="2116">
      <formula>BN69&lt;0</formula>
    </cfRule>
    <cfRule type="expression" priority="2115">
      <formula>$F$19</formula>
    </cfRule>
  </conditionalFormatting>
  <conditionalFormatting sqref="BO82 BO92 BO103 BO107">
    <cfRule type="expression" dxfId="919" priority="2113">
      <formula>BN82&lt;0</formula>
    </cfRule>
    <cfRule type="colorScale" priority="2112">
      <colorScale>
        <cfvo type="min"/>
        <cfvo type="max"/>
        <color theme="0"/>
        <color theme="0"/>
      </colorScale>
    </cfRule>
  </conditionalFormatting>
  <conditionalFormatting sqref="BO83">
    <cfRule type="colorScale" priority="2009">
      <colorScale>
        <cfvo type="min"/>
        <cfvo type="max"/>
        <color theme="0"/>
        <color theme="0"/>
      </colorScale>
    </cfRule>
    <cfRule type="expression" dxfId="918" priority="2011">
      <formula>BN83&lt;0</formula>
    </cfRule>
    <cfRule type="expression" priority="2010">
      <formula>#REF!</formula>
    </cfRule>
  </conditionalFormatting>
  <conditionalFormatting sqref="BO84:BO91">
    <cfRule type="colorScale" priority="2117">
      <colorScale>
        <cfvo type="min"/>
        <cfvo type="max"/>
        <color theme="0"/>
        <color theme="0"/>
      </colorScale>
    </cfRule>
    <cfRule type="expression" dxfId="917" priority="2119">
      <formula>BN84&lt;0</formula>
    </cfRule>
    <cfRule type="expression" priority="2118">
      <formula>$F$19</formula>
    </cfRule>
  </conditionalFormatting>
  <conditionalFormatting sqref="BO93">
    <cfRule type="expression" priority="2065">
      <formula>#REF!</formula>
    </cfRule>
    <cfRule type="expression" dxfId="916" priority="2066">
      <formula>BN93&lt;0</formula>
    </cfRule>
    <cfRule type="colorScale" priority="2064">
      <colorScale>
        <cfvo type="min"/>
        <cfvo type="max"/>
        <color theme="0"/>
        <color theme="0"/>
      </colorScale>
    </cfRule>
  </conditionalFormatting>
  <conditionalFormatting sqref="BO94:BO102">
    <cfRule type="expression" dxfId="915" priority="2122">
      <formula>BN94&lt;0</formula>
    </cfRule>
    <cfRule type="expression" priority="2121">
      <formula>$F$19</formula>
    </cfRule>
    <cfRule type="colorScale" priority="2120">
      <colorScale>
        <cfvo type="min"/>
        <cfvo type="max"/>
        <color theme="0"/>
        <color theme="0"/>
      </colorScale>
    </cfRule>
  </conditionalFormatting>
  <conditionalFormatting sqref="BO104">
    <cfRule type="colorScale" priority="2061">
      <colorScale>
        <cfvo type="min"/>
        <cfvo type="max"/>
        <color theme="0"/>
        <color theme="0"/>
      </colorScale>
    </cfRule>
    <cfRule type="expression" priority="2062">
      <formula>#REF!</formula>
    </cfRule>
    <cfRule type="expression" dxfId="914" priority="2063">
      <formula>BN104&lt;0</formula>
    </cfRule>
  </conditionalFormatting>
  <conditionalFormatting sqref="BO105:BO106">
    <cfRule type="expression" priority="2124">
      <formula>$F$19</formula>
    </cfRule>
    <cfRule type="colorScale" priority="2123">
      <colorScale>
        <cfvo type="min"/>
        <cfvo type="max"/>
        <color theme="0"/>
        <color theme="0"/>
      </colorScale>
    </cfRule>
    <cfRule type="expression" dxfId="913" priority="2125">
      <formula>BN105&lt;0</formula>
    </cfRule>
  </conditionalFormatting>
  <conditionalFormatting sqref="BO110">
    <cfRule type="colorScale" priority="2126">
      <colorScale>
        <cfvo type="min"/>
        <cfvo type="max"/>
        <color theme="0"/>
        <color theme="0"/>
      </colorScale>
    </cfRule>
    <cfRule type="expression" dxfId="912" priority="2127">
      <formula>BN110&lt;0</formula>
    </cfRule>
  </conditionalFormatting>
  <conditionalFormatting sqref="BO110:BO111">
    <cfRule type="expression" priority="2006">
      <formula>$F$19</formula>
    </cfRule>
  </conditionalFormatting>
  <conditionalFormatting sqref="BO111">
    <cfRule type="colorScale" priority="2005">
      <colorScale>
        <cfvo type="min"/>
        <cfvo type="max"/>
        <color theme="0"/>
        <color theme="0"/>
      </colorScale>
    </cfRule>
    <cfRule type="expression" dxfId="911" priority="2007">
      <formula>BN111&lt;0</formula>
    </cfRule>
  </conditionalFormatting>
  <conditionalFormatting sqref="BO117:BO123">
    <cfRule type="expression" dxfId="910" priority="2133">
      <formula>BN117&lt;0</formula>
    </cfRule>
    <cfRule type="colorScale" priority="2131">
      <colorScale>
        <cfvo type="min"/>
        <cfvo type="max"/>
        <color theme="0"/>
        <color theme="0"/>
      </colorScale>
    </cfRule>
    <cfRule type="expression" priority="2132">
      <formula>$F$19</formula>
    </cfRule>
  </conditionalFormatting>
  <conditionalFormatting sqref="BO125">
    <cfRule type="expression" dxfId="909" priority="2060">
      <formula>BN125&lt;0</formula>
    </cfRule>
    <cfRule type="expression" priority="2059">
      <formula>#REF!</formula>
    </cfRule>
    <cfRule type="colorScale" priority="2058">
      <colorScale>
        <cfvo type="min"/>
        <cfvo type="max"/>
        <color theme="0"/>
        <color theme="0"/>
      </colorScale>
    </cfRule>
  </conditionalFormatting>
  <conditionalFormatting sqref="BO125:BO135">
    <cfRule type="expression" dxfId="908" priority="2057">
      <formula>IF(BO125="Validar","Rojo","Verde")</formula>
    </cfRule>
  </conditionalFormatting>
  <conditionalFormatting sqref="BO126:BO132">
    <cfRule type="expression" dxfId="907" priority="2136">
      <formula>BN126&lt;0</formula>
    </cfRule>
    <cfRule type="colorScale" priority="2134">
      <colorScale>
        <cfvo type="min"/>
        <cfvo type="max"/>
        <color theme="0"/>
        <color theme="0"/>
      </colorScale>
    </cfRule>
  </conditionalFormatting>
  <conditionalFormatting sqref="BO126:BO134">
    <cfRule type="expression" priority="2135">
      <formula>$F$19</formula>
    </cfRule>
  </conditionalFormatting>
  <conditionalFormatting sqref="BO133:BO134">
    <cfRule type="colorScale" priority="2137">
      <colorScale>
        <cfvo type="min"/>
        <cfvo type="max"/>
        <color theme="0"/>
        <color theme="0"/>
      </colorScale>
    </cfRule>
    <cfRule type="expression" dxfId="906" priority="2138">
      <formula>BN133&lt;0</formula>
    </cfRule>
  </conditionalFormatting>
  <conditionalFormatting sqref="BO135">
    <cfRule type="colorScale" priority="2128">
      <colorScale>
        <cfvo type="min"/>
        <cfvo type="max"/>
        <color theme="0"/>
        <color theme="0"/>
      </colorScale>
    </cfRule>
    <cfRule type="expression" dxfId="905" priority="2130">
      <formula>BN135&lt;0</formula>
    </cfRule>
    <cfRule type="expression" priority="2129">
      <formula>$F$23</formula>
    </cfRule>
  </conditionalFormatting>
  <conditionalFormatting sqref="BO110:BP111">
    <cfRule type="expression" dxfId="904" priority="2001">
      <formula>IF(BO110="Validar","Rojo","Verde")</formula>
    </cfRule>
  </conditionalFormatting>
  <conditionalFormatting sqref="BO117:BP123">
    <cfRule type="expression" dxfId="903" priority="2014">
      <formula>IF(BO117="Validar","Rojo","Verde")</formula>
    </cfRule>
  </conditionalFormatting>
  <conditionalFormatting sqref="BP40:BP66">
    <cfRule type="expression" priority="2050">
      <formula>#REF!</formula>
    </cfRule>
    <cfRule type="colorScale" priority="2049">
      <colorScale>
        <cfvo type="min"/>
        <cfvo type="max"/>
        <color theme="0"/>
        <color theme="0"/>
      </colorScale>
    </cfRule>
    <cfRule type="expression" dxfId="902" priority="2051">
      <formula>BO40&lt;0</formula>
    </cfRule>
  </conditionalFormatting>
  <conditionalFormatting sqref="BP40:BP67">
    <cfRule type="expression" dxfId="901" priority="2048">
      <formula>IF(BP40="Validar","Rojo","Verde")</formula>
    </cfRule>
  </conditionalFormatting>
  <conditionalFormatting sqref="BP67 BO82:BP82 BO92:BP92 BO103:BP103 BO107:BP107">
    <cfRule type="expression" priority="2053">
      <formula>$F$23</formula>
    </cfRule>
  </conditionalFormatting>
  <conditionalFormatting sqref="BP67 BP82 BP92 BP103 BP107">
    <cfRule type="expression" dxfId="900" priority="2054">
      <formula>BO67&lt;0</formula>
    </cfRule>
  </conditionalFormatting>
  <conditionalFormatting sqref="BP69">
    <cfRule type="expression" dxfId="899" priority="2047">
      <formula>BO69&lt;0</formula>
    </cfRule>
    <cfRule type="colorScale" priority="2046">
      <colorScale>
        <cfvo type="min"/>
        <cfvo type="max"/>
        <color theme="0"/>
        <color theme="0"/>
      </colorScale>
    </cfRule>
  </conditionalFormatting>
  <conditionalFormatting sqref="BP69:BP81">
    <cfRule type="expression" priority="2044">
      <formula>#REF!</formula>
    </cfRule>
  </conditionalFormatting>
  <conditionalFormatting sqref="BP69:BP82">
    <cfRule type="expression" dxfId="898" priority="2042">
      <formula>IF(BP69="Validar","Rojo","Verde")</formula>
    </cfRule>
  </conditionalFormatting>
  <conditionalFormatting sqref="BP70:BP78">
    <cfRule type="expression" dxfId="897" priority="2045">
      <formula>BO70&lt;0</formula>
    </cfRule>
    <cfRule type="colorScale" priority="2043">
      <colorScale>
        <cfvo type="min"/>
        <cfvo type="max"/>
        <color theme="0"/>
        <color theme="0"/>
      </colorScale>
    </cfRule>
  </conditionalFormatting>
  <conditionalFormatting sqref="BP79:BP81">
    <cfRule type="expression" dxfId="896" priority="2056">
      <formula>BO79&lt;0</formula>
    </cfRule>
    <cfRule type="colorScale" priority="2055">
      <colorScale>
        <cfvo type="min"/>
        <cfvo type="max"/>
        <color theme="0"/>
        <color theme="0"/>
      </colorScale>
    </cfRule>
  </conditionalFormatting>
  <conditionalFormatting sqref="BP82 BP67 BP92 BP103 BP107">
    <cfRule type="colorScale" priority="2052">
      <colorScale>
        <cfvo type="min"/>
        <cfvo type="max"/>
        <color theme="0"/>
        <color theme="0"/>
      </colorScale>
    </cfRule>
  </conditionalFormatting>
  <conditionalFormatting sqref="BP84">
    <cfRule type="expression" dxfId="895" priority="2041">
      <formula>BO84&lt;0</formula>
    </cfRule>
    <cfRule type="colorScale" priority="2040">
      <colorScale>
        <cfvo type="min"/>
        <cfvo type="max"/>
        <color theme="0"/>
        <color theme="0"/>
      </colorScale>
    </cfRule>
  </conditionalFormatting>
  <conditionalFormatting sqref="BP84:BP91">
    <cfRule type="expression" priority="2038">
      <formula>#REF!</formula>
    </cfRule>
  </conditionalFormatting>
  <conditionalFormatting sqref="BP84:BP92">
    <cfRule type="expression" dxfId="894" priority="2036">
      <formula>IF(BP84="Validar","Rojo","Verde")</formula>
    </cfRule>
  </conditionalFormatting>
  <conditionalFormatting sqref="BP85:BP91">
    <cfRule type="colorScale" priority="2037">
      <colorScale>
        <cfvo type="min"/>
        <cfvo type="max"/>
        <color theme="0"/>
        <color theme="0"/>
      </colorScale>
    </cfRule>
    <cfRule type="expression" dxfId="893" priority="2039">
      <formula>BO85&lt;0</formula>
    </cfRule>
  </conditionalFormatting>
  <conditionalFormatting sqref="BP94">
    <cfRule type="colorScale" priority="2034">
      <colorScale>
        <cfvo type="min"/>
        <cfvo type="max"/>
        <color theme="0"/>
        <color theme="0"/>
      </colorScale>
    </cfRule>
    <cfRule type="expression" dxfId="892" priority="2035">
      <formula>BO94&lt;0</formula>
    </cfRule>
  </conditionalFormatting>
  <conditionalFormatting sqref="BP94:BP102">
    <cfRule type="expression" priority="2028">
      <formula>#REF!</formula>
    </cfRule>
  </conditionalFormatting>
  <conditionalFormatting sqref="BP94:BP103">
    <cfRule type="expression" dxfId="891" priority="2026">
      <formula>IF(BP94="Validar","Rojo","Verde")</formula>
    </cfRule>
  </conditionalFormatting>
  <conditionalFormatting sqref="BP95:BP100">
    <cfRule type="expression" dxfId="890" priority="2033">
      <formula>BO95&lt;0</formula>
    </cfRule>
    <cfRule type="colorScale" priority="2032">
      <colorScale>
        <cfvo type="min"/>
        <cfvo type="max"/>
        <color theme="0"/>
        <color theme="0"/>
      </colorScale>
    </cfRule>
  </conditionalFormatting>
  <conditionalFormatting sqref="BP101">
    <cfRule type="colorScale" priority="2030">
      <colorScale>
        <cfvo type="min"/>
        <cfvo type="max"/>
        <color theme="0"/>
        <color theme="0"/>
      </colorScale>
    </cfRule>
    <cfRule type="expression" dxfId="889" priority="2031">
      <formula>BO101&lt;0</formula>
    </cfRule>
  </conditionalFormatting>
  <conditionalFormatting sqref="BP102">
    <cfRule type="colorScale" priority="2027">
      <colorScale>
        <cfvo type="min"/>
        <cfvo type="max"/>
        <color theme="0"/>
        <color theme="0"/>
      </colorScale>
    </cfRule>
    <cfRule type="expression" dxfId="888" priority="2029">
      <formula>BO102&lt;0</formula>
    </cfRule>
  </conditionalFormatting>
  <conditionalFormatting sqref="BP105">
    <cfRule type="expression" dxfId="887" priority="2025">
      <formula>BO105&lt;0</formula>
    </cfRule>
    <cfRule type="colorScale" priority="2024">
      <colorScale>
        <cfvo type="min"/>
        <cfvo type="max"/>
        <color theme="0"/>
        <color theme="0"/>
      </colorScale>
    </cfRule>
  </conditionalFormatting>
  <conditionalFormatting sqref="BP105:BP106">
    <cfRule type="expression" priority="2022">
      <formula>#REF!</formula>
    </cfRule>
  </conditionalFormatting>
  <conditionalFormatting sqref="BP105:BP107">
    <cfRule type="expression" dxfId="886" priority="2020">
      <formula>IF(BP105="Validar","Rojo","Verde")</formula>
    </cfRule>
  </conditionalFormatting>
  <conditionalFormatting sqref="BP106">
    <cfRule type="colorScale" priority="2021">
      <colorScale>
        <cfvo type="min"/>
        <cfvo type="max"/>
        <color theme="0"/>
        <color theme="0"/>
      </colorScale>
    </cfRule>
    <cfRule type="expression" dxfId="885" priority="2023">
      <formula>BO106&lt;0</formula>
    </cfRule>
  </conditionalFormatting>
  <conditionalFormatting sqref="BP110">
    <cfRule type="colorScale" priority="2012">
      <colorScale>
        <cfvo type="min"/>
        <cfvo type="max"/>
        <color theme="0"/>
        <color theme="0"/>
      </colorScale>
    </cfRule>
    <cfRule type="expression" dxfId="884" priority="2013">
      <formula>BO110&lt;0</formula>
    </cfRule>
  </conditionalFormatting>
  <conditionalFormatting sqref="BP110:BP111">
    <cfRule type="expression" priority="2003">
      <formula>#REF!</formula>
    </cfRule>
  </conditionalFormatting>
  <conditionalFormatting sqref="BP111">
    <cfRule type="expression" dxfId="883" priority="2004">
      <formula>BO111&lt;0</formula>
    </cfRule>
    <cfRule type="colorScale" priority="2002">
      <colorScale>
        <cfvo type="min"/>
        <cfvo type="max"/>
        <color theme="0"/>
        <color theme="0"/>
      </colorScale>
    </cfRule>
  </conditionalFormatting>
  <conditionalFormatting sqref="BP117">
    <cfRule type="expression" dxfId="882" priority="2019">
      <formula>BO117&lt;0</formula>
    </cfRule>
    <cfRule type="colorScale" priority="2018">
      <colorScale>
        <cfvo type="min"/>
        <cfvo type="max"/>
        <color theme="0"/>
        <color theme="0"/>
      </colorScale>
    </cfRule>
  </conditionalFormatting>
  <conditionalFormatting sqref="BP117:BP123">
    <cfRule type="expression" priority="2016">
      <formula>#REF!</formula>
    </cfRule>
  </conditionalFormatting>
  <conditionalFormatting sqref="BP118:BP123">
    <cfRule type="expression" dxfId="881" priority="2017">
      <formula>BO118&lt;0</formula>
    </cfRule>
    <cfRule type="colorScale" priority="2015">
      <colorScale>
        <cfvo type="min"/>
        <cfvo type="max"/>
        <color theme="0"/>
        <color theme="0"/>
      </colorScale>
    </cfRule>
  </conditionalFormatting>
  <conditionalFormatting sqref="BP126:BP135">
    <cfRule type="expression" dxfId="880" priority="2139">
      <formula>IF(BP126="Validar","Rojo","Verde")</formula>
    </cfRule>
    <cfRule type="colorScale" priority="2140">
      <colorScale>
        <cfvo type="min"/>
        <cfvo type="max"/>
        <color theme="0"/>
        <color theme="0"/>
      </colorScale>
    </cfRule>
    <cfRule type="expression" dxfId="879" priority="2142">
      <formula>BO126&lt;0</formula>
    </cfRule>
    <cfRule type="expression" priority="2141">
      <formula>$F$23</formula>
    </cfRule>
  </conditionalFormatting>
  <conditionalFormatting sqref="BR5">
    <cfRule type="expression" dxfId="878" priority="48">
      <formula>BQ5&lt;0</formula>
    </cfRule>
    <cfRule type="colorScale" priority="47">
      <colorScale>
        <cfvo type="min"/>
        <cfvo type="max"/>
        <color theme="0"/>
        <color theme="0"/>
      </colorScale>
    </cfRule>
  </conditionalFormatting>
  <conditionalFormatting sqref="BR5:BR20">
    <cfRule type="expression" priority="46">
      <formula>#REF!</formula>
    </cfRule>
    <cfRule type="expression" dxfId="877" priority="45">
      <formula>IF(BR5="Validar","Rojo","Verde")</formula>
    </cfRule>
  </conditionalFormatting>
  <conditionalFormatting sqref="BR6">
    <cfRule type="expression" dxfId="876" priority="1850">
      <formula>BQ6&lt;0</formula>
    </cfRule>
    <cfRule type="colorScale" priority="1849">
      <colorScale>
        <cfvo type="min"/>
        <cfvo type="max"/>
        <color theme="0"/>
        <color theme="0"/>
      </colorScale>
    </cfRule>
  </conditionalFormatting>
  <conditionalFormatting sqref="BR7:BR8">
    <cfRule type="expression" dxfId="875" priority="1846">
      <formula>BQ7&lt;0</formula>
    </cfRule>
    <cfRule type="colorScale" priority="1845">
      <colorScale>
        <cfvo type="min"/>
        <cfvo type="max"/>
        <color theme="0"/>
        <color theme="0"/>
      </colorScale>
    </cfRule>
  </conditionalFormatting>
  <conditionalFormatting sqref="BR9">
    <cfRule type="colorScale" priority="1960">
      <colorScale>
        <cfvo type="min"/>
        <cfvo type="max"/>
        <color theme="0"/>
        <color theme="0"/>
      </colorScale>
    </cfRule>
    <cfRule type="expression" dxfId="874" priority="1961">
      <formula>BQ9&lt;0</formula>
    </cfRule>
  </conditionalFormatting>
  <conditionalFormatting sqref="BR10">
    <cfRule type="expression" dxfId="873" priority="1938">
      <formula>BQ10&lt;0</formula>
    </cfRule>
    <cfRule type="colorScale" priority="1937">
      <colorScale>
        <cfvo type="min"/>
        <cfvo type="max"/>
        <color theme="0"/>
        <color theme="0"/>
      </colorScale>
    </cfRule>
  </conditionalFormatting>
  <conditionalFormatting sqref="BR11:BR13">
    <cfRule type="expression" dxfId="872" priority="1959">
      <formula>BQ11&lt;0</formula>
    </cfRule>
    <cfRule type="colorScale" priority="1958">
      <colorScale>
        <cfvo type="min"/>
        <cfvo type="max"/>
        <color theme="0"/>
        <color theme="0"/>
      </colorScale>
    </cfRule>
  </conditionalFormatting>
  <conditionalFormatting sqref="BR14">
    <cfRule type="colorScale" priority="215">
      <colorScale>
        <cfvo type="min"/>
        <cfvo type="max"/>
        <color theme="0"/>
        <color theme="0"/>
      </colorScale>
    </cfRule>
    <cfRule type="expression" dxfId="871" priority="216">
      <formula>BQ14&lt;0</formula>
    </cfRule>
  </conditionalFormatting>
  <conditionalFormatting sqref="BR15">
    <cfRule type="expression" dxfId="870" priority="1936">
      <formula>BQ15&lt;0</formula>
    </cfRule>
    <cfRule type="colorScale" priority="1935">
      <colorScale>
        <cfvo type="min"/>
        <cfvo type="max"/>
        <color theme="0"/>
        <color theme="0"/>
      </colorScale>
    </cfRule>
  </conditionalFormatting>
  <conditionalFormatting sqref="BR16:BR17">
    <cfRule type="colorScale" priority="1956">
      <colorScale>
        <cfvo type="min"/>
        <cfvo type="max"/>
        <color theme="0"/>
        <color theme="0"/>
      </colorScale>
    </cfRule>
    <cfRule type="expression" dxfId="869" priority="1957">
      <formula>BQ16&lt;0</formula>
    </cfRule>
  </conditionalFormatting>
  <conditionalFormatting sqref="BR18">
    <cfRule type="expression" dxfId="868" priority="1934">
      <formula>BQ18&lt;0</formula>
    </cfRule>
    <cfRule type="colorScale" priority="1932">
      <colorScale>
        <cfvo type="min"/>
        <cfvo type="max"/>
        <color theme="0"/>
        <color theme="0"/>
      </colorScale>
    </cfRule>
  </conditionalFormatting>
  <conditionalFormatting sqref="BR19:BR20">
    <cfRule type="expression" dxfId="867" priority="1955">
      <formula>BQ19&lt;0</formula>
    </cfRule>
    <cfRule type="colorScale" priority="1954">
      <colorScale>
        <cfvo type="min"/>
        <cfvo type="max"/>
        <color theme="0"/>
        <color theme="0"/>
      </colorScale>
    </cfRule>
  </conditionalFormatting>
  <conditionalFormatting sqref="BR23">
    <cfRule type="expression" dxfId="866" priority="1930">
      <formula>BQ23&lt;0</formula>
    </cfRule>
    <cfRule type="colorScale" priority="1929">
      <colorScale>
        <cfvo type="min"/>
        <cfvo type="max"/>
        <color theme="0"/>
        <color theme="0"/>
      </colorScale>
    </cfRule>
  </conditionalFormatting>
  <conditionalFormatting sqref="BR23:BR31">
    <cfRule type="expression" priority="1925">
      <formula>#REF!</formula>
    </cfRule>
    <cfRule type="expression" dxfId="865" priority="1923">
      <formula>IF(BR23="Validar","Rojo","Verde")</formula>
    </cfRule>
  </conditionalFormatting>
  <conditionalFormatting sqref="BR24">
    <cfRule type="expression" dxfId="864" priority="1953">
      <formula>BQ24&lt;0</formula>
    </cfRule>
    <cfRule type="colorScale" priority="1952">
      <colorScale>
        <cfvo type="min"/>
        <cfvo type="max"/>
        <color theme="0"/>
        <color theme="0"/>
      </colorScale>
    </cfRule>
  </conditionalFormatting>
  <conditionalFormatting sqref="BR25">
    <cfRule type="expression" dxfId="863" priority="1951">
      <formula>BQ25&lt;0</formula>
    </cfRule>
    <cfRule type="colorScale" priority="1950">
      <colorScale>
        <cfvo type="min"/>
        <cfvo type="max"/>
        <color theme="0"/>
        <color theme="0"/>
      </colorScale>
    </cfRule>
  </conditionalFormatting>
  <conditionalFormatting sqref="BR26">
    <cfRule type="expression" dxfId="862" priority="1928">
      <formula>BQ26&lt;0</formula>
    </cfRule>
    <cfRule type="colorScale" priority="1927">
      <colorScale>
        <cfvo type="min"/>
        <cfvo type="max"/>
        <color theme="0"/>
        <color theme="0"/>
      </colorScale>
    </cfRule>
  </conditionalFormatting>
  <conditionalFormatting sqref="BR27">
    <cfRule type="colorScale" priority="1948">
      <colorScale>
        <cfvo type="min"/>
        <cfvo type="max"/>
        <color theme="0"/>
        <color theme="0"/>
      </colorScale>
    </cfRule>
    <cfRule type="expression" dxfId="861" priority="1949">
      <formula>BQ27&lt;0</formula>
    </cfRule>
  </conditionalFormatting>
  <conditionalFormatting sqref="BR28">
    <cfRule type="expression" dxfId="860" priority="1947">
      <formula>BQ28&lt;0</formula>
    </cfRule>
    <cfRule type="colorScale" priority="1946">
      <colorScale>
        <cfvo type="min"/>
        <cfvo type="max"/>
        <color theme="0"/>
        <color theme="0"/>
      </colorScale>
    </cfRule>
  </conditionalFormatting>
  <conditionalFormatting sqref="BR29">
    <cfRule type="colorScale" priority="1924">
      <colorScale>
        <cfvo type="min"/>
        <cfvo type="max"/>
        <color theme="0"/>
        <color theme="0"/>
      </colorScale>
    </cfRule>
    <cfRule type="expression" dxfId="859" priority="1926">
      <formula>BQ29&lt;0</formula>
    </cfRule>
  </conditionalFormatting>
  <conditionalFormatting sqref="BR30">
    <cfRule type="colorScale" priority="1944">
      <colorScale>
        <cfvo type="min"/>
        <cfvo type="max"/>
        <color theme="0"/>
        <color theme="0"/>
      </colorScale>
    </cfRule>
    <cfRule type="expression" dxfId="858" priority="1945">
      <formula>BQ30&lt;0</formula>
    </cfRule>
  </conditionalFormatting>
  <conditionalFormatting sqref="BR31">
    <cfRule type="expression" dxfId="857" priority="1943">
      <formula>BQ31&lt;0</formula>
    </cfRule>
    <cfRule type="colorScale" priority="1942">
      <colorScale>
        <cfvo type="min"/>
        <cfvo type="max"/>
        <color theme="0"/>
        <color theme="0"/>
      </colorScale>
    </cfRule>
  </conditionalFormatting>
  <conditionalFormatting sqref="BR39">
    <cfRule type="expression" priority="1921">
      <formula>#REF!</formula>
    </cfRule>
    <cfRule type="expression" dxfId="856" priority="1922">
      <formula>BQ39&lt;0</formula>
    </cfRule>
    <cfRule type="colorScale" priority="1920">
      <colorScale>
        <cfvo type="min"/>
        <cfvo type="max"/>
        <color theme="0"/>
        <color theme="0"/>
      </colorScale>
    </cfRule>
  </conditionalFormatting>
  <conditionalFormatting sqref="BR39:BR107">
    <cfRule type="expression" dxfId="855" priority="1858">
      <formula>IF(BR39="Validar","Rojo","Verde")</formula>
    </cfRule>
  </conditionalFormatting>
  <conditionalFormatting sqref="BR40:BR67">
    <cfRule type="expression" priority="1940">
      <formula>$F$19</formula>
    </cfRule>
    <cfRule type="colorScale" priority="1939">
      <colorScale>
        <cfvo type="min"/>
        <cfvo type="max"/>
        <color theme="0"/>
        <color theme="0"/>
      </colorScale>
    </cfRule>
    <cfRule type="expression" dxfId="854" priority="1941">
      <formula>BQ40&lt;0</formula>
    </cfRule>
  </conditionalFormatting>
  <conditionalFormatting sqref="BR68">
    <cfRule type="expression" dxfId="853" priority="1919">
      <formula>BQ68&lt;0</formula>
    </cfRule>
    <cfRule type="colorScale" priority="1917">
      <colorScale>
        <cfvo type="min"/>
        <cfvo type="max"/>
        <color theme="0"/>
        <color theme="0"/>
      </colorScale>
    </cfRule>
    <cfRule type="expression" priority="1918">
      <formula>#REF!</formula>
    </cfRule>
  </conditionalFormatting>
  <conditionalFormatting sqref="BR69:BR81">
    <cfRule type="expression" dxfId="852" priority="1966">
      <formula>BQ69&lt;0</formula>
    </cfRule>
    <cfRule type="expression" priority="1965">
      <formula>$F$19</formula>
    </cfRule>
    <cfRule type="colorScale" priority="1964">
      <colorScale>
        <cfvo type="min"/>
        <cfvo type="max"/>
        <color theme="0"/>
        <color theme="0"/>
      </colorScale>
    </cfRule>
  </conditionalFormatting>
  <conditionalFormatting sqref="BR82 BR92 BR103 BR107">
    <cfRule type="expression" dxfId="851" priority="1963">
      <formula>BQ82&lt;0</formula>
    </cfRule>
  </conditionalFormatting>
  <conditionalFormatting sqref="BR83">
    <cfRule type="colorScale" priority="1859">
      <colorScale>
        <cfvo type="min"/>
        <cfvo type="max"/>
        <color theme="0"/>
        <color theme="0"/>
      </colorScale>
    </cfRule>
    <cfRule type="expression" priority="1860">
      <formula>#REF!</formula>
    </cfRule>
    <cfRule type="expression" dxfId="850" priority="1861">
      <formula>BQ83&lt;0</formula>
    </cfRule>
  </conditionalFormatting>
  <conditionalFormatting sqref="BR84:BR91">
    <cfRule type="colorScale" priority="1967">
      <colorScale>
        <cfvo type="min"/>
        <cfvo type="max"/>
        <color theme="0"/>
        <color theme="0"/>
      </colorScale>
    </cfRule>
    <cfRule type="expression" dxfId="849" priority="1969">
      <formula>BQ84&lt;0</formula>
    </cfRule>
    <cfRule type="expression" priority="1968">
      <formula>$F$19</formula>
    </cfRule>
  </conditionalFormatting>
  <conditionalFormatting sqref="BR92 BR82 BR103 BR107">
    <cfRule type="colorScale" priority="1962">
      <colorScale>
        <cfvo type="min"/>
        <cfvo type="max"/>
        <color theme="0"/>
        <color theme="0"/>
      </colorScale>
    </cfRule>
  </conditionalFormatting>
  <conditionalFormatting sqref="BR93">
    <cfRule type="expression" priority="1915">
      <formula>#REF!</formula>
    </cfRule>
    <cfRule type="expression" dxfId="848" priority="1916">
      <formula>BQ93&lt;0</formula>
    </cfRule>
    <cfRule type="colorScale" priority="1914">
      <colorScale>
        <cfvo type="min"/>
        <cfvo type="max"/>
        <color theme="0"/>
        <color theme="0"/>
      </colorScale>
    </cfRule>
  </conditionalFormatting>
  <conditionalFormatting sqref="BR94:BR102">
    <cfRule type="colorScale" priority="1970">
      <colorScale>
        <cfvo type="min"/>
        <cfvo type="max"/>
        <color theme="0"/>
        <color theme="0"/>
      </colorScale>
    </cfRule>
    <cfRule type="expression" dxfId="847" priority="1972">
      <formula>BQ94&lt;0</formula>
    </cfRule>
    <cfRule type="expression" priority="1971">
      <formula>$F$19</formula>
    </cfRule>
  </conditionalFormatting>
  <conditionalFormatting sqref="BR104">
    <cfRule type="expression" dxfId="846" priority="1913">
      <formula>BQ104&lt;0</formula>
    </cfRule>
    <cfRule type="expression" priority="1912">
      <formula>#REF!</formula>
    </cfRule>
    <cfRule type="colorScale" priority="1911">
      <colorScale>
        <cfvo type="min"/>
        <cfvo type="max"/>
        <color theme="0"/>
        <color theme="0"/>
      </colorScale>
    </cfRule>
  </conditionalFormatting>
  <conditionalFormatting sqref="BR105:BR106">
    <cfRule type="expression" priority="1974">
      <formula>$F$19</formula>
    </cfRule>
    <cfRule type="colorScale" priority="1973">
      <colorScale>
        <cfvo type="min"/>
        <cfvo type="max"/>
        <color theme="0"/>
        <color theme="0"/>
      </colorScale>
    </cfRule>
    <cfRule type="expression" dxfId="845" priority="1975">
      <formula>BQ105&lt;0</formula>
    </cfRule>
  </conditionalFormatting>
  <conditionalFormatting sqref="BR110">
    <cfRule type="expression" dxfId="844" priority="1977">
      <formula>BQ110&lt;0</formula>
    </cfRule>
    <cfRule type="colorScale" priority="1976">
      <colorScale>
        <cfvo type="min"/>
        <cfvo type="max"/>
        <color theme="0"/>
        <color theme="0"/>
      </colorScale>
    </cfRule>
  </conditionalFormatting>
  <conditionalFormatting sqref="BR110:BR111">
    <cfRule type="expression" priority="1856">
      <formula>$F$19</formula>
    </cfRule>
  </conditionalFormatting>
  <conditionalFormatting sqref="BR111">
    <cfRule type="colorScale" priority="1855">
      <colorScale>
        <cfvo type="min"/>
        <cfvo type="max"/>
        <color theme="0"/>
        <color theme="0"/>
      </colorScale>
    </cfRule>
    <cfRule type="expression" dxfId="843" priority="1857">
      <formula>BQ111&lt;0</formula>
    </cfRule>
  </conditionalFormatting>
  <conditionalFormatting sqref="BR117:BR123">
    <cfRule type="colorScale" priority="1981">
      <colorScale>
        <cfvo type="min"/>
        <cfvo type="max"/>
        <color theme="0"/>
        <color theme="0"/>
      </colorScale>
    </cfRule>
    <cfRule type="expression" priority="1982">
      <formula>$F$19</formula>
    </cfRule>
    <cfRule type="expression" dxfId="842" priority="1983">
      <formula>BQ117&lt;0</formula>
    </cfRule>
  </conditionalFormatting>
  <conditionalFormatting sqref="BR125">
    <cfRule type="colorScale" priority="1908">
      <colorScale>
        <cfvo type="min"/>
        <cfvo type="max"/>
        <color theme="0"/>
        <color theme="0"/>
      </colorScale>
    </cfRule>
    <cfRule type="expression" priority="1909">
      <formula>#REF!</formula>
    </cfRule>
    <cfRule type="expression" dxfId="841" priority="1910">
      <formula>BQ125&lt;0</formula>
    </cfRule>
  </conditionalFormatting>
  <conditionalFormatting sqref="BR125:BR135">
    <cfRule type="expression" dxfId="840" priority="1907">
      <formula>IF(BR125="Validar","Rojo","Verde")</formula>
    </cfRule>
  </conditionalFormatting>
  <conditionalFormatting sqref="BR126:BR132">
    <cfRule type="colorScale" priority="1984">
      <colorScale>
        <cfvo type="min"/>
        <cfvo type="max"/>
        <color theme="0"/>
        <color theme="0"/>
      </colorScale>
    </cfRule>
    <cfRule type="expression" dxfId="839" priority="1986">
      <formula>BQ126&lt;0</formula>
    </cfRule>
  </conditionalFormatting>
  <conditionalFormatting sqref="BR126:BR134">
    <cfRule type="expression" priority="1985">
      <formula>$F$19</formula>
    </cfRule>
  </conditionalFormatting>
  <conditionalFormatting sqref="BR133:BR134">
    <cfRule type="expression" dxfId="838" priority="1988">
      <formula>BQ133&lt;0</formula>
    </cfRule>
    <cfRule type="colorScale" priority="1987">
      <colorScale>
        <cfvo type="min"/>
        <cfvo type="max"/>
        <color theme="0"/>
        <color theme="0"/>
      </colorScale>
    </cfRule>
  </conditionalFormatting>
  <conditionalFormatting sqref="BR135">
    <cfRule type="expression" priority="1979">
      <formula>$F$23</formula>
    </cfRule>
    <cfRule type="colorScale" priority="1978">
      <colorScale>
        <cfvo type="min"/>
        <cfvo type="max"/>
        <color theme="0"/>
        <color theme="0"/>
      </colorScale>
    </cfRule>
    <cfRule type="expression" dxfId="837" priority="1980">
      <formula>BQ135&lt;0</formula>
    </cfRule>
  </conditionalFormatting>
  <conditionalFormatting sqref="BR110:BT111">
    <cfRule type="expression" dxfId="836" priority="1851">
      <formula>IF(BR110="Validar","Rojo","Verde")</formula>
    </cfRule>
  </conditionalFormatting>
  <conditionalFormatting sqref="BR117:BT123">
    <cfRule type="expression" dxfId="835" priority="1864">
      <formula>IF(BR117="Validar","Rojo","Verde")</formula>
    </cfRule>
  </conditionalFormatting>
  <conditionalFormatting sqref="BS40:BS66">
    <cfRule type="expression" priority="1900">
      <formula>#REF!</formula>
    </cfRule>
    <cfRule type="expression" dxfId="834" priority="1901">
      <formula>BR40&lt;0</formula>
    </cfRule>
    <cfRule type="colorScale" priority="1899">
      <colorScale>
        <cfvo type="min"/>
        <cfvo type="max"/>
        <color theme="0"/>
        <color theme="0"/>
      </colorScale>
    </cfRule>
  </conditionalFormatting>
  <conditionalFormatting sqref="BS40:BS67">
    <cfRule type="expression" dxfId="833" priority="1898">
      <formula>IF(BS40="Validar","Rojo","Verde")</formula>
    </cfRule>
  </conditionalFormatting>
  <conditionalFormatting sqref="BS67 BR82:BS82 BR92:BS92 BR103:BS103 BR107:BS107">
    <cfRule type="expression" priority="1903">
      <formula>$F$23</formula>
    </cfRule>
  </conditionalFormatting>
  <conditionalFormatting sqref="BS67 BS82 BS92 BS103 BS107">
    <cfRule type="colorScale" priority="1902">
      <colorScale>
        <cfvo type="min"/>
        <cfvo type="max"/>
        <color theme="0"/>
        <color theme="0"/>
      </colorScale>
    </cfRule>
    <cfRule type="expression" dxfId="832" priority="1904">
      <formula>BR67&lt;0</formula>
    </cfRule>
  </conditionalFormatting>
  <conditionalFormatting sqref="BS69">
    <cfRule type="expression" dxfId="831" priority="1897">
      <formula>BR69&lt;0</formula>
    </cfRule>
    <cfRule type="colorScale" priority="1896">
      <colorScale>
        <cfvo type="min"/>
        <cfvo type="max"/>
        <color theme="0"/>
        <color theme="0"/>
      </colorScale>
    </cfRule>
  </conditionalFormatting>
  <conditionalFormatting sqref="BS69:BS81">
    <cfRule type="expression" priority="1894">
      <formula>#REF!</formula>
    </cfRule>
  </conditionalFormatting>
  <conditionalFormatting sqref="BS69:BS82">
    <cfRule type="expression" dxfId="830" priority="1892">
      <formula>IF(BS69="Validar","Rojo","Verde")</formula>
    </cfRule>
  </conditionalFormatting>
  <conditionalFormatting sqref="BS70:BS78">
    <cfRule type="expression" dxfId="829" priority="1895">
      <formula>BR70&lt;0</formula>
    </cfRule>
    <cfRule type="colorScale" priority="1893">
      <colorScale>
        <cfvo type="min"/>
        <cfvo type="max"/>
        <color theme="0"/>
        <color theme="0"/>
      </colorScale>
    </cfRule>
  </conditionalFormatting>
  <conditionalFormatting sqref="BS79:BS81">
    <cfRule type="colorScale" priority="1905">
      <colorScale>
        <cfvo type="min"/>
        <cfvo type="max"/>
        <color theme="0"/>
        <color theme="0"/>
      </colorScale>
    </cfRule>
    <cfRule type="expression" dxfId="828" priority="1906">
      <formula>BR79&lt;0</formula>
    </cfRule>
  </conditionalFormatting>
  <conditionalFormatting sqref="BS84">
    <cfRule type="colorScale" priority="1890">
      <colorScale>
        <cfvo type="min"/>
        <cfvo type="max"/>
        <color theme="0"/>
        <color theme="0"/>
      </colorScale>
    </cfRule>
    <cfRule type="expression" dxfId="827" priority="1891">
      <formula>BR84&lt;0</formula>
    </cfRule>
  </conditionalFormatting>
  <conditionalFormatting sqref="BS84:BS91">
    <cfRule type="expression" priority="1888">
      <formula>#REF!</formula>
    </cfRule>
  </conditionalFormatting>
  <conditionalFormatting sqref="BS84:BS92">
    <cfRule type="expression" dxfId="826" priority="1886">
      <formula>IF(BS84="Validar","Rojo","Verde")</formula>
    </cfRule>
  </conditionalFormatting>
  <conditionalFormatting sqref="BS85:BS91">
    <cfRule type="colorScale" priority="1887">
      <colorScale>
        <cfvo type="min"/>
        <cfvo type="max"/>
        <color theme="0"/>
        <color theme="0"/>
      </colorScale>
    </cfRule>
    <cfRule type="expression" dxfId="825" priority="1889">
      <formula>BR85&lt;0</formula>
    </cfRule>
  </conditionalFormatting>
  <conditionalFormatting sqref="BS94">
    <cfRule type="colorScale" priority="1884">
      <colorScale>
        <cfvo type="min"/>
        <cfvo type="max"/>
        <color theme="0"/>
        <color theme="0"/>
      </colorScale>
    </cfRule>
    <cfRule type="expression" dxfId="824" priority="1885">
      <formula>BR94&lt;0</formula>
    </cfRule>
  </conditionalFormatting>
  <conditionalFormatting sqref="BS94:BS102">
    <cfRule type="expression" priority="1878">
      <formula>#REF!</formula>
    </cfRule>
  </conditionalFormatting>
  <conditionalFormatting sqref="BS94:BS103">
    <cfRule type="expression" dxfId="823" priority="1876">
      <formula>IF(BS94="Validar","Rojo","Verde")</formula>
    </cfRule>
  </conditionalFormatting>
  <conditionalFormatting sqref="BS95:BS100">
    <cfRule type="colorScale" priority="1882">
      <colorScale>
        <cfvo type="min"/>
        <cfvo type="max"/>
        <color theme="0"/>
        <color theme="0"/>
      </colorScale>
    </cfRule>
    <cfRule type="expression" dxfId="822" priority="1883">
      <formula>BR95&lt;0</formula>
    </cfRule>
  </conditionalFormatting>
  <conditionalFormatting sqref="BS101">
    <cfRule type="colorScale" priority="1880">
      <colorScale>
        <cfvo type="min"/>
        <cfvo type="max"/>
        <color theme="0"/>
        <color theme="0"/>
      </colorScale>
    </cfRule>
    <cfRule type="expression" dxfId="821" priority="1881">
      <formula>BR101&lt;0</formula>
    </cfRule>
  </conditionalFormatting>
  <conditionalFormatting sqref="BS102">
    <cfRule type="expression" dxfId="820" priority="1879">
      <formula>BR102&lt;0</formula>
    </cfRule>
    <cfRule type="colorScale" priority="1877">
      <colorScale>
        <cfvo type="min"/>
        <cfvo type="max"/>
        <color theme="0"/>
        <color theme="0"/>
      </colorScale>
    </cfRule>
  </conditionalFormatting>
  <conditionalFormatting sqref="BS105">
    <cfRule type="colorScale" priority="1874">
      <colorScale>
        <cfvo type="min"/>
        <cfvo type="max"/>
        <color theme="0"/>
        <color theme="0"/>
      </colorScale>
    </cfRule>
    <cfRule type="expression" dxfId="819" priority="1875">
      <formula>BR105&lt;0</formula>
    </cfRule>
  </conditionalFormatting>
  <conditionalFormatting sqref="BS105:BS106">
    <cfRule type="expression" priority="1872">
      <formula>#REF!</formula>
    </cfRule>
  </conditionalFormatting>
  <conditionalFormatting sqref="BS105:BS107">
    <cfRule type="expression" dxfId="818" priority="1870">
      <formula>IF(BS105="Validar","Rojo","Verde")</formula>
    </cfRule>
  </conditionalFormatting>
  <conditionalFormatting sqref="BS106">
    <cfRule type="expression" dxfId="817" priority="1873">
      <formula>BR106&lt;0</formula>
    </cfRule>
    <cfRule type="colorScale" priority="1871">
      <colorScale>
        <cfvo type="min"/>
        <cfvo type="max"/>
        <color theme="0"/>
        <color theme="0"/>
      </colorScale>
    </cfRule>
  </conditionalFormatting>
  <conditionalFormatting sqref="BS110">
    <cfRule type="colorScale" priority="1862">
      <colorScale>
        <cfvo type="min"/>
        <cfvo type="max"/>
        <color theme="0"/>
        <color theme="0"/>
      </colorScale>
    </cfRule>
    <cfRule type="expression" dxfId="816" priority="1863">
      <formula>BR110&lt;0</formula>
    </cfRule>
  </conditionalFormatting>
  <conditionalFormatting sqref="BS111">
    <cfRule type="expression" dxfId="815" priority="1854">
      <formula>BR111&lt;0</formula>
    </cfRule>
    <cfRule type="colorScale" priority="1852">
      <colorScale>
        <cfvo type="min"/>
        <cfvo type="max"/>
        <color theme="0"/>
        <color theme="0"/>
      </colorScale>
    </cfRule>
  </conditionalFormatting>
  <conditionalFormatting sqref="BS117">
    <cfRule type="colorScale" priority="1868">
      <colorScale>
        <cfvo type="min"/>
        <cfvo type="max"/>
        <color theme="0"/>
        <color theme="0"/>
      </colorScale>
    </cfRule>
    <cfRule type="expression" dxfId="814" priority="1869">
      <formula>BR117&lt;0</formula>
    </cfRule>
  </conditionalFormatting>
  <conditionalFormatting sqref="BS118:BS123">
    <cfRule type="expression" dxfId="813" priority="1867">
      <formula>BR118&lt;0</formula>
    </cfRule>
    <cfRule type="colorScale" priority="1865">
      <colorScale>
        <cfvo type="min"/>
        <cfvo type="max"/>
        <color theme="0"/>
        <color theme="0"/>
      </colorScale>
    </cfRule>
  </conditionalFormatting>
  <conditionalFormatting sqref="BS126:BS135">
    <cfRule type="expression" dxfId="812" priority="1992">
      <formula>BR126&lt;0</formula>
    </cfRule>
    <cfRule type="expression" priority="1991">
      <formula>$F$23</formula>
    </cfRule>
    <cfRule type="colorScale" priority="1990">
      <colorScale>
        <cfvo type="min"/>
        <cfvo type="max"/>
        <color theme="0"/>
        <color theme="0"/>
      </colorScale>
    </cfRule>
    <cfRule type="expression" dxfId="811" priority="1989">
      <formula>IF(BS126="Validar","Rojo","Verde")</formula>
    </cfRule>
  </conditionalFormatting>
  <conditionalFormatting sqref="BS110:BT111">
    <cfRule type="expression" priority="1853">
      <formula>#REF!</formula>
    </cfRule>
  </conditionalFormatting>
  <conditionalFormatting sqref="BS117:BT123">
    <cfRule type="expression" priority="1866">
      <formula>#REF!</formula>
    </cfRule>
  </conditionalFormatting>
  <conditionalFormatting sqref="BT5">
    <cfRule type="expression" dxfId="810" priority="131">
      <formula>BS5&lt;0</formula>
    </cfRule>
    <cfRule type="colorScale" priority="130">
      <colorScale>
        <cfvo type="min"/>
        <cfvo type="max"/>
        <color theme="0"/>
        <color theme="0"/>
      </colorScale>
    </cfRule>
  </conditionalFormatting>
  <conditionalFormatting sqref="BT5:BT16">
    <cfRule type="expression" dxfId="809" priority="128">
      <formula>IF(BT5="Validar","Rojo","Verde")</formula>
    </cfRule>
    <cfRule type="expression" priority="129">
      <formula>#REF!</formula>
    </cfRule>
  </conditionalFormatting>
  <conditionalFormatting sqref="BT6:BT9">
    <cfRule type="colorScale" priority="5009">
      <colorScale>
        <cfvo type="min"/>
        <cfvo type="max"/>
        <color theme="0"/>
        <color theme="0"/>
      </colorScale>
    </cfRule>
    <cfRule type="expression" dxfId="808" priority="5010">
      <formula>BS6&lt;0</formula>
    </cfRule>
  </conditionalFormatting>
  <conditionalFormatting sqref="BT10">
    <cfRule type="colorScale" priority="4977">
      <colorScale>
        <cfvo type="min"/>
        <cfvo type="max"/>
        <color theme="0"/>
        <color theme="0"/>
      </colorScale>
    </cfRule>
    <cfRule type="expression" dxfId="807" priority="4978">
      <formula>BS10&lt;0</formula>
    </cfRule>
  </conditionalFormatting>
  <conditionalFormatting sqref="BT11:BT13">
    <cfRule type="colorScale" priority="5007">
      <colorScale>
        <cfvo type="min"/>
        <cfvo type="max"/>
        <color theme="0"/>
        <color theme="0"/>
      </colorScale>
    </cfRule>
    <cfRule type="expression" dxfId="806" priority="5008">
      <formula>BS11&lt;0</formula>
    </cfRule>
  </conditionalFormatting>
  <conditionalFormatting sqref="BT14">
    <cfRule type="colorScale" priority="290">
      <colorScale>
        <cfvo type="min"/>
        <cfvo type="max"/>
        <color theme="0"/>
        <color theme="0"/>
      </colorScale>
    </cfRule>
    <cfRule type="expression" dxfId="805" priority="291">
      <formula>BS14&lt;0</formula>
    </cfRule>
  </conditionalFormatting>
  <conditionalFormatting sqref="BT15">
    <cfRule type="expression" dxfId="804" priority="4976">
      <formula>BS15&lt;0</formula>
    </cfRule>
    <cfRule type="colorScale" priority="4974">
      <colorScale>
        <cfvo type="min"/>
        <cfvo type="max"/>
        <color theme="0"/>
        <color theme="0"/>
      </colorScale>
    </cfRule>
  </conditionalFormatting>
  <conditionalFormatting sqref="BT16">
    <cfRule type="colorScale" priority="5005">
      <colorScale>
        <cfvo type="min"/>
        <cfvo type="max"/>
        <color theme="0"/>
        <color theme="0"/>
      </colorScale>
    </cfRule>
    <cfRule type="expression" dxfId="803" priority="5006">
      <formula>BS16&lt;0</formula>
    </cfRule>
  </conditionalFormatting>
  <conditionalFormatting sqref="BT18">
    <cfRule type="colorScale" priority="4970">
      <colorScale>
        <cfvo type="min"/>
        <cfvo type="max"/>
        <color theme="0"/>
        <color theme="0"/>
      </colorScale>
    </cfRule>
    <cfRule type="expression" dxfId="802" priority="4972">
      <formula>BS18&lt;0</formula>
    </cfRule>
  </conditionalFormatting>
  <conditionalFormatting sqref="BT18:BT19">
    <cfRule type="expression" dxfId="801" priority="4969">
      <formula>IF(BT18="Validar","Rojo","Verde")</formula>
    </cfRule>
    <cfRule type="expression" priority="4971">
      <formula>#REF!</formula>
    </cfRule>
  </conditionalFormatting>
  <conditionalFormatting sqref="BT19">
    <cfRule type="colorScale" priority="5003">
      <colorScale>
        <cfvo type="min"/>
        <cfvo type="max"/>
        <color theme="0"/>
        <color theme="0"/>
      </colorScale>
    </cfRule>
    <cfRule type="expression" dxfId="800" priority="5004">
      <formula>BS19&lt;0</formula>
    </cfRule>
  </conditionalFormatting>
  <conditionalFormatting sqref="BT23">
    <cfRule type="expression" dxfId="799" priority="4968">
      <formula>BS23&lt;0</formula>
    </cfRule>
    <cfRule type="colorScale" priority="4966">
      <colorScale>
        <cfvo type="min"/>
        <cfvo type="max"/>
        <color theme="0"/>
        <color theme="0"/>
      </colorScale>
    </cfRule>
  </conditionalFormatting>
  <conditionalFormatting sqref="BT23:BT24">
    <cfRule type="expression" priority="4967">
      <formula>#REF!</formula>
    </cfRule>
    <cfRule type="expression" dxfId="798" priority="4965">
      <formula>IF(BT23="Validar","Rojo","Verde")</formula>
    </cfRule>
  </conditionalFormatting>
  <conditionalFormatting sqref="BT24">
    <cfRule type="expression" dxfId="797" priority="5000">
      <formula>BS24&lt;0</formula>
    </cfRule>
    <cfRule type="colorScale" priority="4999">
      <colorScale>
        <cfvo type="min"/>
        <cfvo type="max"/>
        <color theme="0"/>
        <color theme="0"/>
      </colorScale>
    </cfRule>
  </conditionalFormatting>
  <conditionalFormatting sqref="BT26">
    <cfRule type="colorScale" priority="4962">
      <colorScale>
        <cfvo type="min"/>
        <cfvo type="max"/>
        <color theme="0"/>
        <color theme="0"/>
      </colorScale>
    </cfRule>
    <cfRule type="expression" dxfId="796" priority="4964">
      <formula>BS26&lt;0</formula>
    </cfRule>
  </conditionalFormatting>
  <conditionalFormatting sqref="BT26:BT27">
    <cfRule type="expression" dxfId="795" priority="4961">
      <formula>IF(BT26="Validar","Rojo","Verde")</formula>
    </cfRule>
    <cfRule type="expression" priority="4963">
      <formula>#REF!</formula>
    </cfRule>
  </conditionalFormatting>
  <conditionalFormatting sqref="BT27">
    <cfRule type="colorScale" priority="4997">
      <colorScale>
        <cfvo type="min"/>
        <cfvo type="max"/>
        <color theme="0"/>
        <color theme="0"/>
      </colorScale>
    </cfRule>
    <cfRule type="expression" dxfId="794" priority="4998">
      <formula>BS27&lt;0</formula>
    </cfRule>
  </conditionalFormatting>
  <conditionalFormatting sqref="BT29">
    <cfRule type="colorScale" priority="4958">
      <colorScale>
        <cfvo type="min"/>
        <cfvo type="max"/>
        <color theme="0"/>
        <color theme="0"/>
      </colorScale>
    </cfRule>
    <cfRule type="expression" dxfId="793" priority="4960">
      <formula>BS29&lt;0</formula>
    </cfRule>
  </conditionalFormatting>
  <conditionalFormatting sqref="BT29:BT30">
    <cfRule type="expression" dxfId="792" priority="4957">
      <formula>IF(BT29="Validar","Rojo","Verde")</formula>
    </cfRule>
    <cfRule type="expression" priority="4959">
      <formula>#REF!</formula>
    </cfRule>
  </conditionalFormatting>
  <conditionalFormatting sqref="BT30">
    <cfRule type="expression" dxfId="791" priority="4996">
      <formula>BS30&lt;0</formula>
    </cfRule>
    <cfRule type="colorScale" priority="4995">
      <colorScale>
        <cfvo type="min"/>
        <cfvo type="max"/>
        <color theme="0"/>
        <color theme="0"/>
      </colorScale>
    </cfRule>
  </conditionalFormatting>
  <conditionalFormatting sqref="BT39">
    <cfRule type="colorScale" priority="4954">
      <colorScale>
        <cfvo type="min"/>
        <cfvo type="max"/>
        <color theme="0"/>
        <color theme="0"/>
      </colorScale>
    </cfRule>
    <cfRule type="expression" dxfId="790" priority="4956">
      <formula>BS39&lt;0</formula>
    </cfRule>
  </conditionalFormatting>
  <conditionalFormatting sqref="BT39:BT66">
    <cfRule type="expression" dxfId="789" priority="4953">
      <formula>IF(BT39="Validar","Rojo","Verde")</formula>
    </cfRule>
    <cfRule type="expression" priority="4955">
      <formula>#REF!</formula>
    </cfRule>
  </conditionalFormatting>
  <conditionalFormatting sqref="BT40:BT66">
    <cfRule type="colorScale" priority="4993">
      <colorScale>
        <cfvo type="min"/>
        <cfvo type="max"/>
        <color theme="0"/>
        <color theme="0"/>
      </colorScale>
    </cfRule>
    <cfRule type="expression" dxfId="788" priority="4994">
      <formula>BS40&lt;0</formula>
    </cfRule>
  </conditionalFormatting>
  <conditionalFormatting sqref="BT68">
    <cfRule type="expression" dxfId="787" priority="4952">
      <formula>BS68&lt;0</formula>
    </cfRule>
    <cfRule type="colorScale" priority="4950">
      <colorScale>
        <cfvo type="min"/>
        <cfvo type="max"/>
        <color theme="0"/>
        <color theme="0"/>
      </colorScale>
    </cfRule>
  </conditionalFormatting>
  <conditionalFormatting sqref="BT68:BT81">
    <cfRule type="expression" priority="4951">
      <formula>#REF!</formula>
    </cfRule>
    <cfRule type="expression" dxfId="786" priority="4949">
      <formula>IF(BT68="Validar","Rojo","Verde")</formula>
    </cfRule>
  </conditionalFormatting>
  <conditionalFormatting sqref="BT69:BT81">
    <cfRule type="expression" dxfId="785" priority="5012">
      <formula>BS69&lt;0</formula>
    </cfRule>
    <cfRule type="colorScale" priority="5011">
      <colorScale>
        <cfvo type="min"/>
        <cfvo type="max"/>
        <color theme="0"/>
        <color theme="0"/>
      </colorScale>
    </cfRule>
  </conditionalFormatting>
  <conditionalFormatting sqref="BT83">
    <cfRule type="colorScale" priority="4933">
      <colorScale>
        <cfvo type="min"/>
        <cfvo type="max"/>
        <color theme="0"/>
        <color theme="0"/>
      </colorScale>
    </cfRule>
    <cfRule type="expression" dxfId="784" priority="4935">
      <formula>BS83&lt;0</formula>
    </cfRule>
  </conditionalFormatting>
  <conditionalFormatting sqref="BT83:BT91">
    <cfRule type="expression" dxfId="783" priority="4932">
      <formula>IF(BT83="Validar","Rojo","Verde")</formula>
    </cfRule>
    <cfRule type="expression" priority="4934">
      <formula>#REF!</formula>
    </cfRule>
  </conditionalFormatting>
  <conditionalFormatting sqref="BT84:BT91">
    <cfRule type="expression" dxfId="782" priority="4992">
      <formula>BS84&lt;0</formula>
    </cfRule>
    <cfRule type="colorScale" priority="4991">
      <colorScale>
        <cfvo type="min"/>
        <cfvo type="max"/>
        <color theme="0"/>
        <color theme="0"/>
      </colorScale>
    </cfRule>
  </conditionalFormatting>
  <conditionalFormatting sqref="BT93">
    <cfRule type="colorScale" priority="4946">
      <colorScale>
        <cfvo type="min"/>
        <cfvo type="max"/>
        <color theme="0"/>
        <color theme="0"/>
      </colorScale>
    </cfRule>
    <cfRule type="expression" dxfId="781" priority="4948">
      <formula>BS93&lt;0</formula>
    </cfRule>
  </conditionalFormatting>
  <conditionalFormatting sqref="BT93:BT102">
    <cfRule type="expression" dxfId="780" priority="4945">
      <formula>IF(BT93="Validar","Rojo","Verde")</formula>
    </cfRule>
    <cfRule type="expression" priority="4947">
      <formula>#REF!</formula>
    </cfRule>
  </conditionalFormatting>
  <conditionalFormatting sqref="BT94:BT102">
    <cfRule type="colorScale" priority="4989">
      <colorScale>
        <cfvo type="min"/>
        <cfvo type="max"/>
        <color theme="0"/>
        <color theme="0"/>
      </colorScale>
    </cfRule>
    <cfRule type="expression" dxfId="779" priority="4990">
      <formula>BS94&lt;0</formula>
    </cfRule>
  </conditionalFormatting>
  <conditionalFormatting sqref="BT104">
    <cfRule type="colorScale" priority="4942">
      <colorScale>
        <cfvo type="min"/>
        <cfvo type="max"/>
        <color theme="0"/>
        <color theme="0"/>
      </colorScale>
    </cfRule>
    <cfRule type="expression" dxfId="778" priority="4944">
      <formula>BS104&lt;0</formula>
    </cfRule>
  </conditionalFormatting>
  <conditionalFormatting sqref="BT104:BT106">
    <cfRule type="expression" priority="4943">
      <formula>#REF!</formula>
    </cfRule>
    <cfRule type="expression" dxfId="777" priority="4941">
      <formula>IF(BT104="Validar","Rojo","Verde")</formula>
    </cfRule>
  </conditionalFormatting>
  <conditionalFormatting sqref="BT105:BT106">
    <cfRule type="colorScale" priority="4987">
      <colorScale>
        <cfvo type="min"/>
        <cfvo type="max"/>
        <color theme="0"/>
        <color theme="0"/>
      </colorScale>
    </cfRule>
    <cfRule type="expression" dxfId="776" priority="4988">
      <formula>BS105&lt;0</formula>
    </cfRule>
  </conditionalFormatting>
  <conditionalFormatting sqref="BT110">
    <cfRule type="expression" dxfId="775" priority="4986">
      <formula>BS110&lt;0</formula>
    </cfRule>
    <cfRule type="colorScale" priority="4985">
      <colorScale>
        <cfvo type="min"/>
        <cfvo type="max"/>
        <color theme="0"/>
        <color theme="0"/>
      </colorScale>
    </cfRule>
  </conditionalFormatting>
  <conditionalFormatting sqref="BT111">
    <cfRule type="expression" dxfId="774" priority="4928">
      <formula>BS111&lt;0</formula>
    </cfRule>
    <cfRule type="colorScale" priority="4926">
      <colorScale>
        <cfvo type="min"/>
        <cfvo type="max"/>
        <color theme="0"/>
        <color theme="0"/>
      </colorScale>
    </cfRule>
  </conditionalFormatting>
  <conditionalFormatting sqref="BT117:BT123">
    <cfRule type="expression" dxfId="773" priority="4984">
      <formula>BS117&lt;0</formula>
    </cfRule>
    <cfRule type="colorScale" priority="4982">
      <colorScale>
        <cfvo type="min"/>
        <cfvo type="max"/>
        <color theme="0"/>
        <color theme="0"/>
      </colorScale>
    </cfRule>
  </conditionalFormatting>
  <conditionalFormatting sqref="BT125">
    <cfRule type="colorScale" priority="4938">
      <colorScale>
        <cfvo type="min"/>
        <cfvo type="max"/>
        <color theme="0"/>
        <color theme="0"/>
      </colorScale>
    </cfRule>
    <cfRule type="expression" dxfId="772" priority="4940">
      <formula>BS125&lt;0</formula>
    </cfRule>
  </conditionalFormatting>
  <conditionalFormatting sqref="BT125:BT134">
    <cfRule type="expression" dxfId="771" priority="4937">
      <formula>IF(BT125="Validar","Rojo","Verde")</formula>
    </cfRule>
    <cfRule type="expression" priority="4939">
      <formula>#REF!</formula>
    </cfRule>
  </conditionalFormatting>
  <conditionalFormatting sqref="BT126:BT134">
    <cfRule type="expression" dxfId="770" priority="4980">
      <formula>BS126&lt;0</formula>
    </cfRule>
    <cfRule type="colorScale" priority="4979">
      <colorScale>
        <cfvo type="min"/>
        <cfvo type="max"/>
        <color theme="0"/>
        <color theme="0"/>
      </colorScale>
    </cfRule>
  </conditionalFormatting>
  <conditionalFormatting sqref="BV5">
    <cfRule type="expression" dxfId="769" priority="44">
      <formula>BU5&lt;0</formula>
    </cfRule>
    <cfRule type="colorScale" priority="43">
      <colorScale>
        <cfvo type="min"/>
        <cfvo type="max"/>
        <color theme="0"/>
        <color theme="0"/>
      </colorScale>
    </cfRule>
  </conditionalFormatting>
  <conditionalFormatting sqref="BV5:BV20">
    <cfRule type="expression" priority="42">
      <formula>#REF!</formula>
    </cfRule>
    <cfRule type="expression" dxfId="768" priority="41">
      <formula>IF(BV5="Validar","Rojo","Verde")</formula>
    </cfRule>
  </conditionalFormatting>
  <conditionalFormatting sqref="BV6">
    <cfRule type="expression" dxfId="767" priority="1700">
      <formula>BU6&lt;0</formula>
    </cfRule>
    <cfRule type="colorScale" priority="1699">
      <colorScale>
        <cfvo type="min"/>
        <cfvo type="max"/>
        <color theme="0"/>
        <color theme="0"/>
      </colorScale>
    </cfRule>
  </conditionalFormatting>
  <conditionalFormatting sqref="BV7:BV8">
    <cfRule type="expression" dxfId="766" priority="1696">
      <formula>BU7&lt;0</formula>
    </cfRule>
    <cfRule type="colorScale" priority="1695">
      <colorScale>
        <cfvo type="min"/>
        <cfvo type="max"/>
        <color theme="0"/>
        <color theme="0"/>
      </colorScale>
    </cfRule>
  </conditionalFormatting>
  <conditionalFormatting sqref="BV9">
    <cfRule type="colorScale" priority="1810">
      <colorScale>
        <cfvo type="min"/>
        <cfvo type="max"/>
        <color theme="0"/>
        <color theme="0"/>
      </colorScale>
    </cfRule>
    <cfRule type="expression" dxfId="765" priority="1811">
      <formula>BU9&lt;0</formula>
    </cfRule>
  </conditionalFormatting>
  <conditionalFormatting sqref="BV10">
    <cfRule type="expression" dxfId="764" priority="1788">
      <formula>BU10&lt;0</formula>
    </cfRule>
    <cfRule type="colorScale" priority="1787">
      <colorScale>
        <cfvo type="min"/>
        <cfvo type="max"/>
        <color theme="0"/>
        <color theme="0"/>
      </colorScale>
    </cfRule>
  </conditionalFormatting>
  <conditionalFormatting sqref="BV11:BV13">
    <cfRule type="colorScale" priority="1808">
      <colorScale>
        <cfvo type="min"/>
        <cfvo type="max"/>
        <color theme="0"/>
        <color theme="0"/>
      </colorScale>
    </cfRule>
    <cfRule type="expression" dxfId="763" priority="1809">
      <formula>BU11&lt;0</formula>
    </cfRule>
  </conditionalFormatting>
  <conditionalFormatting sqref="BV14">
    <cfRule type="expression" dxfId="762" priority="268">
      <formula>BU14&lt;0</formula>
    </cfRule>
    <cfRule type="colorScale" priority="267">
      <colorScale>
        <cfvo type="min"/>
        <cfvo type="max"/>
        <color theme="0"/>
        <color theme="0"/>
      </colorScale>
    </cfRule>
  </conditionalFormatting>
  <conditionalFormatting sqref="BV15">
    <cfRule type="colorScale" priority="1785">
      <colorScale>
        <cfvo type="min"/>
        <cfvo type="max"/>
        <color theme="0"/>
        <color theme="0"/>
      </colorScale>
    </cfRule>
    <cfRule type="expression" dxfId="761" priority="1786">
      <formula>BU15&lt;0</formula>
    </cfRule>
  </conditionalFormatting>
  <conditionalFormatting sqref="BV16:BV17">
    <cfRule type="colorScale" priority="1806">
      <colorScale>
        <cfvo type="min"/>
        <cfvo type="max"/>
        <color theme="0"/>
        <color theme="0"/>
      </colorScale>
    </cfRule>
    <cfRule type="expression" dxfId="760" priority="1807">
      <formula>BU16&lt;0</formula>
    </cfRule>
  </conditionalFormatting>
  <conditionalFormatting sqref="BV18">
    <cfRule type="expression" dxfId="759" priority="1784">
      <formula>BU18&lt;0</formula>
    </cfRule>
    <cfRule type="colorScale" priority="1782">
      <colorScale>
        <cfvo type="min"/>
        <cfvo type="max"/>
        <color theme="0"/>
        <color theme="0"/>
      </colorScale>
    </cfRule>
  </conditionalFormatting>
  <conditionalFormatting sqref="BV19:BV20">
    <cfRule type="colorScale" priority="1804">
      <colorScale>
        <cfvo type="min"/>
        <cfvo type="max"/>
        <color theme="0"/>
        <color theme="0"/>
      </colorScale>
    </cfRule>
    <cfRule type="expression" dxfId="758" priority="1805">
      <formula>BU19&lt;0</formula>
    </cfRule>
  </conditionalFormatting>
  <conditionalFormatting sqref="BV23">
    <cfRule type="expression" dxfId="757" priority="1780">
      <formula>BU23&lt;0</formula>
    </cfRule>
    <cfRule type="colorScale" priority="1779">
      <colorScale>
        <cfvo type="min"/>
        <cfvo type="max"/>
        <color theme="0"/>
        <color theme="0"/>
      </colorScale>
    </cfRule>
  </conditionalFormatting>
  <conditionalFormatting sqref="BV23:BV31">
    <cfRule type="expression" dxfId="756" priority="1773">
      <formula>IF(BV23="Validar","Rojo","Verde")</formula>
    </cfRule>
    <cfRule type="expression" priority="1775">
      <formula>#REF!</formula>
    </cfRule>
  </conditionalFormatting>
  <conditionalFormatting sqref="BV24">
    <cfRule type="expression" dxfId="755" priority="1803">
      <formula>BU24&lt;0</formula>
    </cfRule>
    <cfRule type="colorScale" priority="1802">
      <colorScale>
        <cfvo type="min"/>
        <cfvo type="max"/>
        <color theme="0"/>
        <color theme="0"/>
      </colorScale>
    </cfRule>
  </conditionalFormatting>
  <conditionalFormatting sqref="BV25">
    <cfRule type="expression" dxfId="754" priority="1801">
      <formula>BU25&lt;0</formula>
    </cfRule>
    <cfRule type="colorScale" priority="1800">
      <colorScale>
        <cfvo type="min"/>
        <cfvo type="max"/>
        <color theme="0"/>
        <color theme="0"/>
      </colorScale>
    </cfRule>
  </conditionalFormatting>
  <conditionalFormatting sqref="BV26">
    <cfRule type="expression" dxfId="753" priority="1778">
      <formula>BU26&lt;0</formula>
    </cfRule>
    <cfRule type="colorScale" priority="1777">
      <colorScale>
        <cfvo type="min"/>
        <cfvo type="max"/>
        <color theme="0"/>
        <color theme="0"/>
      </colorScale>
    </cfRule>
  </conditionalFormatting>
  <conditionalFormatting sqref="BV27">
    <cfRule type="colorScale" priority="1798">
      <colorScale>
        <cfvo type="min"/>
        <cfvo type="max"/>
        <color theme="0"/>
        <color theme="0"/>
      </colorScale>
    </cfRule>
    <cfRule type="expression" dxfId="752" priority="1799">
      <formula>BU27&lt;0</formula>
    </cfRule>
  </conditionalFormatting>
  <conditionalFormatting sqref="BV28">
    <cfRule type="colorScale" priority="1796">
      <colorScale>
        <cfvo type="min"/>
        <cfvo type="max"/>
        <color theme="0"/>
        <color theme="0"/>
      </colorScale>
    </cfRule>
    <cfRule type="expression" dxfId="751" priority="1797">
      <formula>BU28&lt;0</formula>
    </cfRule>
  </conditionalFormatting>
  <conditionalFormatting sqref="BV29">
    <cfRule type="expression" dxfId="750" priority="1776">
      <formula>BU29&lt;0</formula>
    </cfRule>
    <cfRule type="colorScale" priority="1774">
      <colorScale>
        <cfvo type="min"/>
        <cfvo type="max"/>
        <color theme="0"/>
        <color theme="0"/>
      </colorScale>
    </cfRule>
  </conditionalFormatting>
  <conditionalFormatting sqref="BV30">
    <cfRule type="colorScale" priority="1794">
      <colorScale>
        <cfvo type="min"/>
        <cfvo type="max"/>
        <color theme="0"/>
        <color theme="0"/>
      </colorScale>
    </cfRule>
    <cfRule type="expression" dxfId="749" priority="1795">
      <formula>BU30&lt;0</formula>
    </cfRule>
  </conditionalFormatting>
  <conditionalFormatting sqref="BV31">
    <cfRule type="colorScale" priority="1792">
      <colorScale>
        <cfvo type="min"/>
        <cfvo type="max"/>
        <color theme="0"/>
        <color theme="0"/>
      </colorScale>
    </cfRule>
    <cfRule type="expression" dxfId="748" priority="1793">
      <formula>BU31&lt;0</formula>
    </cfRule>
  </conditionalFormatting>
  <conditionalFormatting sqref="BV39">
    <cfRule type="expression" dxfId="747" priority="1772">
      <formula>BU39&lt;0</formula>
    </cfRule>
    <cfRule type="expression" priority="1771">
      <formula>#REF!</formula>
    </cfRule>
    <cfRule type="colorScale" priority="1770">
      <colorScale>
        <cfvo type="min"/>
        <cfvo type="max"/>
        <color theme="0"/>
        <color theme="0"/>
      </colorScale>
    </cfRule>
  </conditionalFormatting>
  <conditionalFormatting sqref="BV39:BV107">
    <cfRule type="expression" dxfId="746" priority="1708">
      <formula>IF(BV39="Validar","Rojo","Verde")</formula>
    </cfRule>
  </conditionalFormatting>
  <conditionalFormatting sqref="BV40:BV67">
    <cfRule type="expression" dxfId="745" priority="1791">
      <formula>BU40&lt;0</formula>
    </cfRule>
    <cfRule type="expression" priority="1790">
      <formula>$F$19</formula>
    </cfRule>
    <cfRule type="colorScale" priority="1789">
      <colorScale>
        <cfvo type="min"/>
        <cfvo type="max"/>
        <color theme="0"/>
        <color theme="0"/>
      </colorScale>
    </cfRule>
  </conditionalFormatting>
  <conditionalFormatting sqref="BV68">
    <cfRule type="colorScale" priority="1767">
      <colorScale>
        <cfvo type="min"/>
        <cfvo type="max"/>
        <color theme="0"/>
        <color theme="0"/>
      </colorScale>
    </cfRule>
    <cfRule type="expression" priority="1768">
      <formula>#REF!</formula>
    </cfRule>
    <cfRule type="expression" dxfId="744" priority="1769">
      <formula>BU68&lt;0</formula>
    </cfRule>
  </conditionalFormatting>
  <conditionalFormatting sqref="BV69:BV81">
    <cfRule type="expression" dxfId="743" priority="1816">
      <formula>BU69&lt;0</formula>
    </cfRule>
    <cfRule type="colorScale" priority="1814">
      <colorScale>
        <cfvo type="min"/>
        <cfvo type="max"/>
        <color theme="0"/>
        <color theme="0"/>
      </colorScale>
    </cfRule>
    <cfRule type="expression" priority="1815">
      <formula>$F$19</formula>
    </cfRule>
  </conditionalFormatting>
  <conditionalFormatting sqref="BV82 BV92 BV103 BV107">
    <cfRule type="expression" dxfId="742" priority="1813">
      <formula>BU82&lt;0</formula>
    </cfRule>
    <cfRule type="colorScale" priority="1812">
      <colorScale>
        <cfvo type="min"/>
        <cfvo type="max"/>
        <color theme="0"/>
        <color theme="0"/>
      </colorScale>
    </cfRule>
  </conditionalFormatting>
  <conditionalFormatting sqref="BV83">
    <cfRule type="colorScale" priority="1709">
      <colorScale>
        <cfvo type="min"/>
        <cfvo type="max"/>
        <color theme="0"/>
        <color theme="0"/>
      </colorScale>
    </cfRule>
    <cfRule type="expression" priority="1710">
      <formula>#REF!</formula>
    </cfRule>
    <cfRule type="expression" dxfId="741" priority="1711">
      <formula>BU83&lt;0</formula>
    </cfRule>
  </conditionalFormatting>
  <conditionalFormatting sqref="BV84:BV91">
    <cfRule type="expression" dxfId="740" priority="1819">
      <formula>BU84&lt;0</formula>
    </cfRule>
    <cfRule type="expression" priority="1818">
      <formula>$F$19</formula>
    </cfRule>
    <cfRule type="colorScale" priority="1817">
      <colorScale>
        <cfvo type="min"/>
        <cfvo type="max"/>
        <color theme="0"/>
        <color theme="0"/>
      </colorScale>
    </cfRule>
  </conditionalFormatting>
  <conditionalFormatting sqref="BV93">
    <cfRule type="colorScale" priority="1764">
      <colorScale>
        <cfvo type="min"/>
        <cfvo type="max"/>
        <color theme="0"/>
        <color theme="0"/>
      </colorScale>
    </cfRule>
    <cfRule type="expression" priority="1765">
      <formula>#REF!</formula>
    </cfRule>
    <cfRule type="expression" dxfId="739" priority="1766">
      <formula>BU93&lt;0</formula>
    </cfRule>
  </conditionalFormatting>
  <conditionalFormatting sqref="BV94:BV102">
    <cfRule type="expression" dxfId="738" priority="1822">
      <formula>BU94&lt;0</formula>
    </cfRule>
    <cfRule type="expression" priority="1821">
      <formula>$F$19</formula>
    </cfRule>
    <cfRule type="colorScale" priority="1820">
      <colorScale>
        <cfvo type="min"/>
        <cfvo type="max"/>
        <color theme="0"/>
        <color theme="0"/>
      </colorScale>
    </cfRule>
  </conditionalFormatting>
  <conditionalFormatting sqref="BV104">
    <cfRule type="expression" priority="1762">
      <formula>#REF!</formula>
    </cfRule>
    <cfRule type="colorScale" priority="1761">
      <colorScale>
        <cfvo type="min"/>
        <cfvo type="max"/>
        <color theme="0"/>
        <color theme="0"/>
      </colorScale>
    </cfRule>
    <cfRule type="expression" dxfId="737" priority="1763">
      <formula>BU104&lt;0</formula>
    </cfRule>
  </conditionalFormatting>
  <conditionalFormatting sqref="BV105:BV106">
    <cfRule type="colorScale" priority="1823">
      <colorScale>
        <cfvo type="min"/>
        <cfvo type="max"/>
        <color theme="0"/>
        <color theme="0"/>
      </colorScale>
    </cfRule>
    <cfRule type="expression" priority="1824">
      <formula>$F$19</formula>
    </cfRule>
    <cfRule type="expression" dxfId="736" priority="1825">
      <formula>BU105&lt;0</formula>
    </cfRule>
  </conditionalFormatting>
  <conditionalFormatting sqref="BV110">
    <cfRule type="colorScale" priority="1826">
      <colorScale>
        <cfvo type="min"/>
        <cfvo type="max"/>
        <color theme="0"/>
        <color theme="0"/>
      </colorScale>
    </cfRule>
    <cfRule type="expression" dxfId="735" priority="1827">
      <formula>BU110&lt;0</formula>
    </cfRule>
  </conditionalFormatting>
  <conditionalFormatting sqref="BV110:BV111">
    <cfRule type="expression" priority="1706">
      <formula>$F$19</formula>
    </cfRule>
  </conditionalFormatting>
  <conditionalFormatting sqref="BV111">
    <cfRule type="expression" dxfId="734" priority="1707">
      <formula>BU111&lt;0</formula>
    </cfRule>
    <cfRule type="colorScale" priority="1705">
      <colorScale>
        <cfvo type="min"/>
        <cfvo type="max"/>
        <color theme="0"/>
        <color theme="0"/>
      </colorScale>
    </cfRule>
  </conditionalFormatting>
  <conditionalFormatting sqref="BV117:BV123">
    <cfRule type="expression" dxfId="733" priority="1833">
      <formula>BU117&lt;0</formula>
    </cfRule>
    <cfRule type="expression" priority="1832">
      <formula>$F$19</formula>
    </cfRule>
    <cfRule type="colorScale" priority="1831">
      <colorScale>
        <cfvo type="min"/>
        <cfvo type="max"/>
        <color theme="0"/>
        <color theme="0"/>
      </colorScale>
    </cfRule>
  </conditionalFormatting>
  <conditionalFormatting sqref="BV125">
    <cfRule type="expression" dxfId="732" priority="1760">
      <formula>BU125&lt;0</formula>
    </cfRule>
    <cfRule type="expression" priority="1759">
      <formula>#REF!</formula>
    </cfRule>
    <cfRule type="colorScale" priority="1758">
      <colorScale>
        <cfvo type="min"/>
        <cfvo type="max"/>
        <color theme="0"/>
        <color theme="0"/>
      </colorScale>
    </cfRule>
  </conditionalFormatting>
  <conditionalFormatting sqref="BV125:BV135">
    <cfRule type="expression" dxfId="731" priority="1757">
      <formula>IF(BV125="Validar","Rojo","Verde")</formula>
    </cfRule>
  </conditionalFormatting>
  <conditionalFormatting sqref="BV126:BV132">
    <cfRule type="expression" dxfId="730" priority="1836">
      <formula>BU126&lt;0</formula>
    </cfRule>
    <cfRule type="colorScale" priority="1834">
      <colorScale>
        <cfvo type="min"/>
        <cfvo type="max"/>
        <color theme="0"/>
        <color theme="0"/>
      </colorScale>
    </cfRule>
  </conditionalFormatting>
  <conditionalFormatting sqref="BV126:BV134">
    <cfRule type="expression" priority="1835">
      <formula>$F$19</formula>
    </cfRule>
  </conditionalFormatting>
  <conditionalFormatting sqref="BV133:BV134">
    <cfRule type="expression" dxfId="729" priority="1838">
      <formula>BU133&lt;0</formula>
    </cfRule>
    <cfRule type="colorScale" priority="1837">
      <colorScale>
        <cfvo type="min"/>
        <cfvo type="max"/>
        <color theme="0"/>
        <color theme="0"/>
      </colorScale>
    </cfRule>
  </conditionalFormatting>
  <conditionalFormatting sqref="BV135">
    <cfRule type="expression" dxfId="728" priority="1830">
      <formula>BU135&lt;0</formula>
    </cfRule>
    <cfRule type="expression" priority="1829">
      <formula>$F$23</formula>
    </cfRule>
    <cfRule type="colorScale" priority="1828">
      <colorScale>
        <cfvo type="min"/>
        <cfvo type="max"/>
        <color theme="0"/>
        <color theme="0"/>
      </colorScale>
    </cfRule>
  </conditionalFormatting>
  <conditionalFormatting sqref="BV110:BW111">
    <cfRule type="expression" dxfId="727" priority="1701">
      <formula>IF(BV110="Validar","Rojo","Verde")</formula>
    </cfRule>
  </conditionalFormatting>
  <conditionalFormatting sqref="BV117:BW123">
    <cfRule type="expression" dxfId="726" priority="1714">
      <formula>IF(BV117="Validar","Rojo","Verde")</formula>
    </cfRule>
  </conditionalFormatting>
  <conditionalFormatting sqref="BW40:BW66">
    <cfRule type="colorScale" priority="1749">
      <colorScale>
        <cfvo type="min"/>
        <cfvo type="max"/>
        <color theme="0"/>
        <color theme="0"/>
      </colorScale>
    </cfRule>
    <cfRule type="expression" dxfId="725" priority="1751">
      <formula>BV40&lt;0</formula>
    </cfRule>
    <cfRule type="expression" priority="1750">
      <formula>#REF!</formula>
    </cfRule>
  </conditionalFormatting>
  <conditionalFormatting sqref="BW40:BW67">
    <cfRule type="expression" dxfId="724" priority="1748">
      <formula>IF(BW40="Validar","Rojo","Verde")</formula>
    </cfRule>
  </conditionalFormatting>
  <conditionalFormatting sqref="BW67 BV82:BW82 BV92:BW92 BV103:BW103 BV107:BW107">
    <cfRule type="expression" priority="1753">
      <formula>$F$23</formula>
    </cfRule>
  </conditionalFormatting>
  <conditionalFormatting sqref="BW67 BW82 BW92 BW103 BW107">
    <cfRule type="expression" dxfId="723" priority="1754">
      <formula>BV67&lt;0</formula>
    </cfRule>
  </conditionalFormatting>
  <conditionalFormatting sqref="BW69">
    <cfRule type="expression" dxfId="722" priority="1747">
      <formula>BV69&lt;0</formula>
    </cfRule>
    <cfRule type="colorScale" priority="1746">
      <colorScale>
        <cfvo type="min"/>
        <cfvo type="max"/>
        <color theme="0"/>
        <color theme="0"/>
      </colorScale>
    </cfRule>
  </conditionalFormatting>
  <conditionalFormatting sqref="BW69:BW81">
    <cfRule type="expression" priority="1744">
      <formula>#REF!</formula>
    </cfRule>
  </conditionalFormatting>
  <conditionalFormatting sqref="BW69:BW82">
    <cfRule type="expression" dxfId="721" priority="1742">
      <formula>IF(BW69="Validar","Rojo","Verde")</formula>
    </cfRule>
  </conditionalFormatting>
  <conditionalFormatting sqref="BW70:BW78">
    <cfRule type="expression" dxfId="720" priority="1745">
      <formula>BV70&lt;0</formula>
    </cfRule>
    <cfRule type="colorScale" priority="1743">
      <colorScale>
        <cfvo type="min"/>
        <cfvo type="max"/>
        <color theme="0"/>
        <color theme="0"/>
      </colorScale>
    </cfRule>
  </conditionalFormatting>
  <conditionalFormatting sqref="BW79:BW81">
    <cfRule type="colorScale" priority="1755">
      <colorScale>
        <cfvo type="min"/>
        <cfvo type="max"/>
        <color theme="0"/>
        <color theme="0"/>
      </colorScale>
    </cfRule>
    <cfRule type="expression" dxfId="719" priority="1756">
      <formula>BV79&lt;0</formula>
    </cfRule>
  </conditionalFormatting>
  <conditionalFormatting sqref="BW82 BW67 BW92 BW103 BW107">
    <cfRule type="colorScale" priority="1752">
      <colorScale>
        <cfvo type="min"/>
        <cfvo type="max"/>
        <color theme="0"/>
        <color theme="0"/>
      </colorScale>
    </cfRule>
  </conditionalFormatting>
  <conditionalFormatting sqref="BW84">
    <cfRule type="colorScale" priority="1740">
      <colorScale>
        <cfvo type="min"/>
        <cfvo type="max"/>
        <color theme="0"/>
        <color theme="0"/>
      </colorScale>
    </cfRule>
    <cfRule type="expression" dxfId="718" priority="1741">
      <formula>BV84&lt;0</formula>
    </cfRule>
  </conditionalFormatting>
  <conditionalFormatting sqref="BW84:BW91">
    <cfRule type="expression" priority="1738">
      <formula>#REF!</formula>
    </cfRule>
  </conditionalFormatting>
  <conditionalFormatting sqref="BW84:BW92">
    <cfRule type="expression" dxfId="717" priority="1736">
      <formula>IF(BW84="Validar","Rojo","Verde")</formula>
    </cfRule>
  </conditionalFormatting>
  <conditionalFormatting sqref="BW85:BW91">
    <cfRule type="colorScale" priority="1737">
      <colorScale>
        <cfvo type="min"/>
        <cfvo type="max"/>
        <color theme="0"/>
        <color theme="0"/>
      </colorScale>
    </cfRule>
    <cfRule type="expression" dxfId="716" priority="1739">
      <formula>BV85&lt;0</formula>
    </cfRule>
  </conditionalFormatting>
  <conditionalFormatting sqref="BW94">
    <cfRule type="expression" dxfId="715" priority="1735">
      <formula>BV94&lt;0</formula>
    </cfRule>
    <cfRule type="colorScale" priority="1734">
      <colorScale>
        <cfvo type="min"/>
        <cfvo type="max"/>
        <color theme="0"/>
        <color theme="0"/>
      </colorScale>
    </cfRule>
  </conditionalFormatting>
  <conditionalFormatting sqref="BW94:BW102">
    <cfRule type="expression" priority="1728">
      <formula>#REF!</formula>
    </cfRule>
  </conditionalFormatting>
  <conditionalFormatting sqref="BW94:BW103">
    <cfRule type="expression" dxfId="714" priority="1726">
      <formula>IF(BW94="Validar","Rojo","Verde")</formula>
    </cfRule>
  </conditionalFormatting>
  <conditionalFormatting sqref="BW95:BW100">
    <cfRule type="expression" dxfId="713" priority="1733">
      <formula>BV95&lt;0</formula>
    </cfRule>
    <cfRule type="colorScale" priority="1732">
      <colorScale>
        <cfvo type="min"/>
        <cfvo type="max"/>
        <color theme="0"/>
        <color theme="0"/>
      </colorScale>
    </cfRule>
  </conditionalFormatting>
  <conditionalFormatting sqref="BW101">
    <cfRule type="expression" dxfId="712" priority="1731">
      <formula>BV101&lt;0</formula>
    </cfRule>
    <cfRule type="colorScale" priority="1730">
      <colorScale>
        <cfvo type="min"/>
        <cfvo type="max"/>
        <color theme="0"/>
        <color theme="0"/>
      </colorScale>
    </cfRule>
  </conditionalFormatting>
  <conditionalFormatting sqref="BW102">
    <cfRule type="colorScale" priority="1727">
      <colorScale>
        <cfvo type="min"/>
        <cfvo type="max"/>
        <color theme="0"/>
        <color theme="0"/>
      </colorScale>
    </cfRule>
    <cfRule type="expression" dxfId="711" priority="1729">
      <formula>BV102&lt;0</formula>
    </cfRule>
  </conditionalFormatting>
  <conditionalFormatting sqref="BW105">
    <cfRule type="colorScale" priority="1724">
      <colorScale>
        <cfvo type="min"/>
        <cfvo type="max"/>
        <color theme="0"/>
        <color theme="0"/>
      </colorScale>
    </cfRule>
    <cfRule type="expression" dxfId="710" priority="1725">
      <formula>BV105&lt;0</formula>
    </cfRule>
  </conditionalFormatting>
  <conditionalFormatting sqref="BW105:BW106">
    <cfRule type="expression" priority="1722">
      <formula>#REF!</formula>
    </cfRule>
  </conditionalFormatting>
  <conditionalFormatting sqref="BW105:BW107">
    <cfRule type="expression" dxfId="709" priority="1720">
      <formula>IF(BW105="Validar","Rojo","Verde")</formula>
    </cfRule>
  </conditionalFormatting>
  <conditionalFormatting sqref="BW106">
    <cfRule type="expression" dxfId="708" priority="1723">
      <formula>BV106&lt;0</formula>
    </cfRule>
    <cfRule type="colorScale" priority="1721">
      <colorScale>
        <cfvo type="min"/>
        <cfvo type="max"/>
        <color theme="0"/>
        <color theme="0"/>
      </colorScale>
    </cfRule>
  </conditionalFormatting>
  <conditionalFormatting sqref="BW110">
    <cfRule type="colorScale" priority="1712">
      <colorScale>
        <cfvo type="min"/>
        <cfvo type="max"/>
        <color theme="0"/>
        <color theme="0"/>
      </colorScale>
    </cfRule>
    <cfRule type="expression" dxfId="707" priority="1713">
      <formula>BV110&lt;0</formula>
    </cfRule>
  </conditionalFormatting>
  <conditionalFormatting sqref="BW110:BW111">
    <cfRule type="expression" priority="1703">
      <formula>#REF!</formula>
    </cfRule>
  </conditionalFormatting>
  <conditionalFormatting sqref="BW111">
    <cfRule type="colorScale" priority="1702">
      <colorScale>
        <cfvo type="min"/>
        <cfvo type="max"/>
        <color theme="0"/>
        <color theme="0"/>
      </colorScale>
    </cfRule>
    <cfRule type="expression" dxfId="706" priority="1704">
      <formula>BV111&lt;0</formula>
    </cfRule>
  </conditionalFormatting>
  <conditionalFormatting sqref="BW117">
    <cfRule type="expression" dxfId="705" priority="1719">
      <formula>BV117&lt;0</formula>
    </cfRule>
    <cfRule type="colorScale" priority="1718">
      <colorScale>
        <cfvo type="min"/>
        <cfvo type="max"/>
        <color theme="0"/>
        <color theme="0"/>
      </colorScale>
    </cfRule>
  </conditionalFormatting>
  <conditionalFormatting sqref="BW117:BW123">
    <cfRule type="expression" priority="1716">
      <formula>#REF!</formula>
    </cfRule>
  </conditionalFormatting>
  <conditionalFormatting sqref="BW118:BW123">
    <cfRule type="colorScale" priority="1715">
      <colorScale>
        <cfvo type="min"/>
        <cfvo type="max"/>
        <color theme="0"/>
        <color theme="0"/>
      </colorScale>
    </cfRule>
    <cfRule type="expression" dxfId="704" priority="1717">
      <formula>BV118&lt;0</formula>
    </cfRule>
  </conditionalFormatting>
  <conditionalFormatting sqref="BW126:BW135">
    <cfRule type="expression" dxfId="703" priority="1842">
      <formula>BV126&lt;0</formula>
    </cfRule>
    <cfRule type="expression" dxfId="702" priority="1839">
      <formula>IF(BW126="Validar","Rojo","Verde")</formula>
    </cfRule>
    <cfRule type="expression" priority="1841">
      <formula>$F$23</formula>
    </cfRule>
    <cfRule type="colorScale" priority="1840">
      <colorScale>
        <cfvo type="min"/>
        <cfvo type="max"/>
        <color theme="0"/>
        <color theme="0"/>
      </colorScale>
    </cfRule>
  </conditionalFormatting>
  <conditionalFormatting sqref="BY5">
    <cfRule type="expression" dxfId="701" priority="4">
      <formula>BX5&lt;0</formula>
    </cfRule>
    <cfRule type="colorScale" priority="3">
      <colorScale>
        <cfvo type="min"/>
        <cfvo type="max"/>
        <color theme="0"/>
        <color theme="0"/>
      </colorScale>
    </cfRule>
  </conditionalFormatting>
  <conditionalFormatting sqref="BY5:BY20">
    <cfRule type="expression" priority="2">
      <formula>#REF!</formula>
    </cfRule>
    <cfRule type="expression" dxfId="700" priority="1">
      <formula>IF(BY5="Validar","Rojo","Verde")</formula>
    </cfRule>
  </conditionalFormatting>
  <conditionalFormatting sqref="BY6">
    <cfRule type="expression" dxfId="699" priority="400">
      <formula>BX6&lt;0</formula>
    </cfRule>
    <cfRule type="colorScale" priority="399">
      <colorScale>
        <cfvo type="min"/>
        <cfvo type="max"/>
        <color theme="0"/>
        <color theme="0"/>
      </colorScale>
    </cfRule>
  </conditionalFormatting>
  <conditionalFormatting sqref="BY7:BY8">
    <cfRule type="colorScale" priority="395">
      <colorScale>
        <cfvo type="min"/>
        <cfvo type="max"/>
        <color theme="0"/>
        <color theme="0"/>
      </colorScale>
    </cfRule>
    <cfRule type="expression" dxfId="698" priority="396">
      <formula>BX7&lt;0</formula>
    </cfRule>
  </conditionalFormatting>
  <conditionalFormatting sqref="BY9">
    <cfRule type="colorScale" priority="464">
      <colorScale>
        <cfvo type="min"/>
        <cfvo type="max"/>
        <color theme="0"/>
        <color theme="0"/>
      </colorScale>
    </cfRule>
    <cfRule type="expression" dxfId="697" priority="465">
      <formula>BX9&lt;0</formula>
    </cfRule>
  </conditionalFormatting>
  <conditionalFormatting sqref="BY10">
    <cfRule type="expression" dxfId="696" priority="442">
      <formula>BX10&lt;0</formula>
    </cfRule>
    <cfRule type="colorScale" priority="441">
      <colorScale>
        <cfvo type="min"/>
        <cfvo type="max"/>
        <color theme="0"/>
        <color theme="0"/>
      </colorScale>
    </cfRule>
  </conditionalFormatting>
  <conditionalFormatting sqref="BY11:BY13">
    <cfRule type="colorScale" priority="462">
      <colorScale>
        <cfvo type="min"/>
        <cfvo type="max"/>
        <color theme="0"/>
        <color theme="0"/>
      </colorScale>
    </cfRule>
    <cfRule type="expression" dxfId="695" priority="463">
      <formula>BX11&lt;0</formula>
    </cfRule>
  </conditionalFormatting>
  <conditionalFormatting sqref="BY14">
    <cfRule type="expression" dxfId="694" priority="272">
      <formula>BX14&lt;0</formula>
    </cfRule>
    <cfRule type="colorScale" priority="271">
      <colorScale>
        <cfvo type="min"/>
        <cfvo type="max"/>
        <color theme="0"/>
        <color theme="0"/>
      </colorScale>
    </cfRule>
  </conditionalFormatting>
  <conditionalFormatting sqref="BY15">
    <cfRule type="expression" dxfId="693" priority="440">
      <formula>BX15&lt;0</formula>
    </cfRule>
    <cfRule type="colorScale" priority="439">
      <colorScale>
        <cfvo type="min"/>
        <cfvo type="max"/>
        <color theme="0"/>
        <color theme="0"/>
      </colorScale>
    </cfRule>
  </conditionalFormatting>
  <conditionalFormatting sqref="BY16:BY17">
    <cfRule type="colorScale" priority="460">
      <colorScale>
        <cfvo type="min"/>
        <cfvo type="max"/>
        <color theme="0"/>
        <color theme="0"/>
      </colorScale>
    </cfRule>
    <cfRule type="expression" dxfId="692" priority="461">
      <formula>BX16&lt;0</formula>
    </cfRule>
  </conditionalFormatting>
  <conditionalFormatting sqref="BY18">
    <cfRule type="expression" dxfId="691" priority="438">
      <formula>BX18&lt;0</formula>
    </cfRule>
    <cfRule type="colorScale" priority="436">
      <colorScale>
        <cfvo type="min"/>
        <cfvo type="max"/>
        <color theme="0"/>
        <color theme="0"/>
      </colorScale>
    </cfRule>
  </conditionalFormatting>
  <conditionalFormatting sqref="BY19:BY20">
    <cfRule type="colorScale" priority="458">
      <colorScale>
        <cfvo type="min"/>
        <cfvo type="max"/>
        <color theme="0"/>
        <color theme="0"/>
      </colorScale>
    </cfRule>
    <cfRule type="expression" dxfId="690" priority="459">
      <formula>BX19&lt;0</formula>
    </cfRule>
  </conditionalFormatting>
  <conditionalFormatting sqref="BY23">
    <cfRule type="expression" dxfId="689" priority="434">
      <formula>BX23&lt;0</formula>
    </cfRule>
    <cfRule type="colorScale" priority="433">
      <colorScale>
        <cfvo type="min"/>
        <cfvo type="max"/>
        <color theme="0"/>
        <color theme="0"/>
      </colorScale>
    </cfRule>
  </conditionalFormatting>
  <conditionalFormatting sqref="BY23:BY31">
    <cfRule type="expression" priority="429">
      <formula>#REF!</formula>
    </cfRule>
    <cfRule type="expression" dxfId="688" priority="427">
      <formula>IF(BY23="Validar","Rojo","Verde")</formula>
    </cfRule>
  </conditionalFormatting>
  <conditionalFormatting sqref="BY24">
    <cfRule type="colorScale" priority="456">
      <colorScale>
        <cfvo type="min"/>
        <cfvo type="max"/>
        <color theme="0"/>
        <color theme="0"/>
      </colorScale>
    </cfRule>
    <cfRule type="expression" dxfId="687" priority="457">
      <formula>BX24&lt;0</formula>
    </cfRule>
  </conditionalFormatting>
  <conditionalFormatting sqref="BY25">
    <cfRule type="expression" dxfId="686" priority="455">
      <formula>BX25&lt;0</formula>
    </cfRule>
    <cfRule type="colorScale" priority="454">
      <colorScale>
        <cfvo type="min"/>
        <cfvo type="max"/>
        <color theme="0"/>
        <color theme="0"/>
      </colorScale>
    </cfRule>
  </conditionalFormatting>
  <conditionalFormatting sqref="BY26">
    <cfRule type="expression" dxfId="685" priority="432">
      <formula>BX26&lt;0</formula>
    </cfRule>
    <cfRule type="colorScale" priority="431">
      <colorScale>
        <cfvo type="min"/>
        <cfvo type="max"/>
        <color theme="0"/>
        <color theme="0"/>
      </colorScale>
    </cfRule>
  </conditionalFormatting>
  <conditionalFormatting sqref="BY27">
    <cfRule type="expression" dxfId="684" priority="453">
      <formula>BX27&lt;0</formula>
    </cfRule>
    <cfRule type="colorScale" priority="452">
      <colorScale>
        <cfvo type="min"/>
        <cfvo type="max"/>
        <color theme="0"/>
        <color theme="0"/>
      </colorScale>
    </cfRule>
  </conditionalFormatting>
  <conditionalFormatting sqref="BY28">
    <cfRule type="expression" dxfId="683" priority="451">
      <formula>BX28&lt;0</formula>
    </cfRule>
    <cfRule type="colorScale" priority="450">
      <colorScale>
        <cfvo type="min"/>
        <cfvo type="max"/>
        <color theme="0"/>
        <color theme="0"/>
      </colorScale>
    </cfRule>
  </conditionalFormatting>
  <conditionalFormatting sqref="BY29">
    <cfRule type="expression" dxfId="682" priority="430">
      <formula>BX29&lt;0</formula>
    </cfRule>
    <cfRule type="colorScale" priority="428">
      <colorScale>
        <cfvo type="min"/>
        <cfvo type="max"/>
        <color theme="0"/>
        <color theme="0"/>
      </colorScale>
    </cfRule>
  </conditionalFormatting>
  <conditionalFormatting sqref="BY30">
    <cfRule type="expression" dxfId="681" priority="449">
      <formula>BX30&lt;0</formula>
    </cfRule>
    <cfRule type="colorScale" priority="448">
      <colorScale>
        <cfvo type="min"/>
        <cfvo type="max"/>
        <color theme="0"/>
        <color theme="0"/>
      </colorScale>
    </cfRule>
  </conditionalFormatting>
  <conditionalFormatting sqref="BY31">
    <cfRule type="colorScale" priority="446">
      <colorScale>
        <cfvo type="min"/>
        <cfvo type="max"/>
        <color theme="0"/>
        <color theme="0"/>
      </colorScale>
    </cfRule>
    <cfRule type="expression" dxfId="680" priority="447">
      <formula>BX31&lt;0</formula>
    </cfRule>
  </conditionalFormatting>
  <conditionalFormatting sqref="BY39">
    <cfRule type="expression" dxfId="679" priority="426">
      <formula>BX39&lt;0</formula>
    </cfRule>
    <cfRule type="expression" priority="425">
      <formula>#REF!</formula>
    </cfRule>
    <cfRule type="colorScale" priority="424">
      <colorScale>
        <cfvo type="min"/>
        <cfvo type="max"/>
        <color theme="0"/>
        <color theme="0"/>
      </colorScale>
    </cfRule>
  </conditionalFormatting>
  <conditionalFormatting sqref="BY39:BY107">
    <cfRule type="expression" dxfId="678" priority="405">
      <formula>IF(BY39="Validar","Rojo","Verde")</formula>
    </cfRule>
  </conditionalFormatting>
  <conditionalFormatting sqref="BY40:BY67">
    <cfRule type="expression" dxfId="677" priority="445">
      <formula>BX40&lt;0</formula>
    </cfRule>
    <cfRule type="colorScale" priority="443">
      <colorScale>
        <cfvo type="min"/>
        <cfvo type="max"/>
        <color theme="0"/>
        <color theme="0"/>
      </colorScale>
    </cfRule>
    <cfRule type="expression" priority="444">
      <formula>$F$19</formula>
    </cfRule>
  </conditionalFormatting>
  <conditionalFormatting sqref="BY68">
    <cfRule type="expression" priority="422">
      <formula>#REF!</formula>
    </cfRule>
    <cfRule type="colorScale" priority="421">
      <colorScale>
        <cfvo type="min"/>
        <cfvo type="max"/>
        <color theme="0"/>
        <color theme="0"/>
      </colorScale>
    </cfRule>
    <cfRule type="expression" dxfId="676" priority="423">
      <formula>BX68&lt;0</formula>
    </cfRule>
  </conditionalFormatting>
  <conditionalFormatting sqref="BY69:BY81">
    <cfRule type="expression" dxfId="675" priority="470">
      <formula>BX69&lt;0</formula>
    </cfRule>
    <cfRule type="colorScale" priority="468">
      <colorScale>
        <cfvo type="min"/>
        <cfvo type="max"/>
        <color theme="0"/>
        <color theme="0"/>
      </colorScale>
    </cfRule>
    <cfRule type="expression" priority="469">
      <formula>$F$19</formula>
    </cfRule>
  </conditionalFormatting>
  <conditionalFormatting sqref="BY82 BY92 BY103 BY107">
    <cfRule type="expression" priority="410">
      <formula>$F$23</formula>
    </cfRule>
    <cfRule type="expression" dxfId="674" priority="467">
      <formula>BX82&lt;0</formula>
    </cfRule>
    <cfRule type="colorScale" priority="466">
      <colorScale>
        <cfvo type="min"/>
        <cfvo type="max"/>
        <color theme="0"/>
        <color theme="0"/>
      </colorScale>
    </cfRule>
  </conditionalFormatting>
  <conditionalFormatting sqref="BY83">
    <cfRule type="expression" dxfId="673" priority="408">
      <formula>BX83&lt;0</formula>
    </cfRule>
    <cfRule type="colorScale" priority="406">
      <colorScale>
        <cfvo type="min"/>
        <cfvo type="max"/>
        <color theme="0"/>
        <color theme="0"/>
      </colorScale>
    </cfRule>
    <cfRule type="expression" priority="407">
      <formula>#REF!</formula>
    </cfRule>
  </conditionalFormatting>
  <conditionalFormatting sqref="BY84:BY91">
    <cfRule type="colorScale" priority="471">
      <colorScale>
        <cfvo type="min"/>
        <cfvo type="max"/>
        <color theme="0"/>
        <color theme="0"/>
      </colorScale>
    </cfRule>
    <cfRule type="expression" priority="472">
      <formula>$F$19</formula>
    </cfRule>
    <cfRule type="expression" dxfId="672" priority="473">
      <formula>BX84&lt;0</formula>
    </cfRule>
  </conditionalFormatting>
  <conditionalFormatting sqref="BY93">
    <cfRule type="expression" priority="419">
      <formula>#REF!</formula>
    </cfRule>
    <cfRule type="colorScale" priority="418">
      <colorScale>
        <cfvo type="min"/>
        <cfvo type="max"/>
        <color theme="0"/>
        <color theme="0"/>
      </colorScale>
    </cfRule>
    <cfRule type="expression" dxfId="671" priority="420">
      <formula>BX93&lt;0</formula>
    </cfRule>
  </conditionalFormatting>
  <conditionalFormatting sqref="BY94:BY102">
    <cfRule type="expression" dxfId="670" priority="476">
      <formula>BX94&lt;0</formula>
    </cfRule>
    <cfRule type="expression" priority="475">
      <formula>$F$19</formula>
    </cfRule>
    <cfRule type="colorScale" priority="474">
      <colorScale>
        <cfvo type="min"/>
        <cfvo type="max"/>
        <color theme="0"/>
        <color theme="0"/>
      </colorScale>
    </cfRule>
  </conditionalFormatting>
  <conditionalFormatting sqref="BY104">
    <cfRule type="expression" dxfId="669" priority="417">
      <formula>BX104&lt;0</formula>
    </cfRule>
    <cfRule type="expression" priority="416">
      <formula>#REF!</formula>
    </cfRule>
    <cfRule type="colorScale" priority="415">
      <colorScale>
        <cfvo type="min"/>
        <cfvo type="max"/>
        <color theme="0"/>
        <color theme="0"/>
      </colorScale>
    </cfRule>
  </conditionalFormatting>
  <conditionalFormatting sqref="BY105:BY106">
    <cfRule type="colorScale" priority="477">
      <colorScale>
        <cfvo type="min"/>
        <cfvo type="max"/>
        <color theme="0"/>
        <color theme="0"/>
      </colorScale>
    </cfRule>
    <cfRule type="expression" priority="478">
      <formula>$F$19</formula>
    </cfRule>
    <cfRule type="expression" dxfId="668" priority="479">
      <formula>BX105&lt;0</formula>
    </cfRule>
  </conditionalFormatting>
  <conditionalFormatting sqref="BY110">
    <cfRule type="colorScale" priority="480">
      <colorScale>
        <cfvo type="min"/>
        <cfvo type="max"/>
        <color theme="0"/>
        <color theme="0"/>
      </colorScale>
    </cfRule>
    <cfRule type="expression" dxfId="667" priority="481">
      <formula>BX110&lt;0</formula>
    </cfRule>
  </conditionalFormatting>
  <conditionalFormatting sqref="BY110:BY111">
    <cfRule type="expression" priority="403">
      <formula>$F$19</formula>
    </cfRule>
  </conditionalFormatting>
  <conditionalFormatting sqref="BY111">
    <cfRule type="colorScale" priority="402">
      <colorScale>
        <cfvo type="min"/>
        <cfvo type="max"/>
        <color theme="0"/>
        <color theme="0"/>
      </colorScale>
    </cfRule>
    <cfRule type="expression" dxfId="666" priority="404">
      <formula>BX111&lt;0</formula>
    </cfRule>
  </conditionalFormatting>
  <conditionalFormatting sqref="BY117:BY123">
    <cfRule type="colorScale" priority="485">
      <colorScale>
        <cfvo type="min"/>
        <cfvo type="max"/>
        <color theme="0"/>
        <color theme="0"/>
      </colorScale>
    </cfRule>
    <cfRule type="expression" priority="486">
      <formula>$F$19</formula>
    </cfRule>
    <cfRule type="expression" dxfId="665" priority="487">
      <formula>BX117&lt;0</formula>
    </cfRule>
  </conditionalFormatting>
  <conditionalFormatting sqref="BY125">
    <cfRule type="colorScale" priority="412">
      <colorScale>
        <cfvo type="min"/>
        <cfvo type="max"/>
        <color theme="0"/>
        <color theme="0"/>
      </colorScale>
    </cfRule>
    <cfRule type="expression" priority="413">
      <formula>#REF!</formula>
    </cfRule>
    <cfRule type="expression" dxfId="664" priority="414">
      <formula>BX125&lt;0</formula>
    </cfRule>
  </conditionalFormatting>
  <conditionalFormatting sqref="BY125:BY135">
    <cfRule type="expression" dxfId="663" priority="411">
      <formula>IF(BY125="Validar","Rojo","Verde")</formula>
    </cfRule>
  </conditionalFormatting>
  <conditionalFormatting sqref="BY126:BY132">
    <cfRule type="colorScale" priority="488">
      <colorScale>
        <cfvo type="min"/>
        <cfvo type="max"/>
        <color theme="0"/>
        <color theme="0"/>
      </colorScale>
    </cfRule>
    <cfRule type="expression" dxfId="662" priority="490">
      <formula>BX126&lt;0</formula>
    </cfRule>
  </conditionalFormatting>
  <conditionalFormatting sqref="BY126:BY134">
    <cfRule type="expression" priority="489">
      <formula>$F$19</formula>
    </cfRule>
  </conditionalFormatting>
  <conditionalFormatting sqref="BY133:BY134">
    <cfRule type="colorScale" priority="491">
      <colorScale>
        <cfvo type="min"/>
        <cfvo type="max"/>
        <color theme="0"/>
        <color theme="0"/>
      </colorScale>
    </cfRule>
    <cfRule type="expression" dxfId="661" priority="492">
      <formula>BX133&lt;0</formula>
    </cfRule>
  </conditionalFormatting>
  <conditionalFormatting sqref="BY135">
    <cfRule type="colorScale" priority="482">
      <colorScale>
        <cfvo type="min"/>
        <cfvo type="max"/>
        <color theme="0"/>
        <color theme="0"/>
      </colorScale>
    </cfRule>
    <cfRule type="expression" dxfId="660" priority="484">
      <formula>BX135&lt;0</formula>
    </cfRule>
    <cfRule type="expression" priority="483">
      <formula>$F$23</formula>
    </cfRule>
  </conditionalFormatting>
  <conditionalFormatting sqref="BY110:BZ111">
    <cfRule type="expression" dxfId="659" priority="401">
      <formula>IF(BY110="Validar","Rojo","Verde")</formula>
    </cfRule>
  </conditionalFormatting>
  <conditionalFormatting sqref="BY117:BZ123">
    <cfRule type="expression" dxfId="658" priority="409">
      <formula>IF(BY117="Validar","Rojo","Verde")</formula>
    </cfRule>
  </conditionalFormatting>
  <conditionalFormatting sqref="BZ5">
    <cfRule type="colorScale" priority="160">
      <colorScale>
        <cfvo type="min"/>
        <cfvo type="max"/>
        <color theme="0"/>
        <color theme="0"/>
      </colorScale>
    </cfRule>
    <cfRule type="expression" dxfId="657" priority="161">
      <formula>BY5&lt;0</formula>
    </cfRule>
  </conditionalFormatting>
  <conditionalFormatting sqref="BZ5:BZ16">
    <cfRule type="expression" dxfId="656" priority="158">
      <formula>IF(BZ5="Validar","Rojo","Verde")</formula>
    </cfRule>
    <cfRule type="expression" priority="159">
      <formula>#REF!</formula>
    </cfRule>
  </conditionalFormatting>
  <conditionalFormatting sqref="BZ6:BZ9">
    <cfRule type="colorScale" priority="6500">
      <colorScale>
        <cfvo type="min"/>
        <cfvo type="max"/>
        <color theme="0"/>
        <color theme="0"/>
      </colorScale>
    </cfRule>
    <cfRule type="expression" dxfId="655" priority="6501">
      <formula>BY6&lt;0</formula>
    </cfRule>
  </conditionalFormatting>
  <conditionalFormatting sqref="BZ10">
    <cfRule type="colorScale" priority="6468">
      <colorScale>
        <cfvo type="min"/>
        <cfvo type="max"/>
        <color theme="0"/>
        <color theme="0"/>
      </colorScale>
    </cfRule>
    <cfRule type="expression" dxfId="654" priority="6469">
      <formula>BY10&lt;0</formula>
    </cfRule>
  </conditionalFormatting>
  <conditionalFormatting sqref="BZ11:BZ13">
    <cfRule type="colorScale" priority="6498">
      <colorScale>
        <cfvo type="min"/>
        <cfvo type="max"/>
        <color theme="0"/>
        <color theme="0"/>
      </colorScale>
    </cfRule>
    <cfRule type="expression" dxfId="653" priority="6499">
      <formula>BY11&lt;0</formula>
    </cfRule>
  </conditionalFormatting>
  <conditionalFormatting sqref="BZ14">
    <cfRule type="expression" dxfId="652" priority="321">
      <formula>BY14&lt;0</formula>
    </cfRule>
    <cfRule type="colorScale" priority="320">
      <colorScale>
        <cfvo type="min"/>
        <cfvo type="max"/>
        <color theme="0"/>
        <color theme="0"/>
      </colorScale>
    </cfRule>
  </conditionalFormatting>
  <conditionalFormatting sqref="BZ15">
    <cfRule type="colorScale" priority="6465">
      <colorScale>
        <cfvo type="min"/>
        <cfvo type="max"/>
        <color theme="0"/>
        <color theme="0"/>
      </colorScale>
    </cfRule>
    <cfRule type="expression" dxfId="651" priority="6467">
      <formula>BY15&lt;0</formula>
    </cfRule>
  </conditionalFormatting>
  <conditionalFormatting sqref="BZ16">
    <cfRule type="colorScale" priority="6496">
      <colorScale>
        <cfvo type="min"/>
        <cfvo type="max"/>
        <color theme="0"/>
        <color theme="0"/>
      </colorScale>
    </cfRule>
    <cfRule type="expression" dxfId="650" priority="6497">
      <formula>BY16&lt;0</formula>
    </cfRule>
  </conditionalFormatting>
  <conditionalFormatting sqref="BZ18">
    <cfRule type="colorScale" priority="6461">
      <colorScale>
        <cfvo type="min"/>
        <cfvo type="max"/>
        <color theme="0"/>
        <color theme="0"/>
      </colorScale>
    </cfRule>
    <cfRule type="expression" dxfId="649" priority="6463">
      <formula>BY18&lt;0</formula>
    </cfRule>
  </conditionalFormatting>
  <conditionalFormatting sqref="BZ18:BZ19">
    <cfRule type="expression" priority="6462">
      <formula>#REF!</formula>
    </cfRule>
    <cfRule type="expression" dxfId="648" priority="6460">
      <formula>IF(BZ18="Validar","Rojo","Verde")</formula>
    </cfRule>
  </conditionalFormatting>
  <conditionalFormatting sqref="BZ19">
    <cfRule type="expression" dxfId="647" priority="6495">
      <formula>BY19&lt;0</formula>
    </cfRule>
    <cfRule type="colorScale" priority="6494">
      <colorScale>
        <cfvo type="min"/>
        <cfvo type="max"/>
        <color theme="0"/>
        <color theme="0"/>
      </colorScale>
    </cfRule>
  </conditionalFormatting>
  <conditionalFormatting sqref="BZ23">
    <cfRule type="expression" dxfId="646" priority="6459">
      <formula>BY23&lt;0</formula>
    </cfRule>
    <cfRule type="colorScale" priority="6457">
      <colorScale>
        <cfvo type="min"/>
        <cfvo type="max"/>
        <color theme="0"/>
        <color theme="0"/>
      </colorScale>
    </cfRule>
  </conditionalFormatting>
  <conditionalFormatting sqref="BZ23:BZ24">
    <cfRule type="expression" priority="6458">
      <formula>#REF!</formula>
    </cfRule>
    <cfRule type="expression" dxfId="645" priority="6456">
      <formula>IF(BZ23="Validar","Rojo","Verde")</formula>
    </cfRule>
  </conditionalFormatting>
  <conditionalFormatting sqref="BZ24">
    <cfRule type="expression" dxfId="644" priority="6491">
      <formula>BY24&lt;0</formula>
    </cfRule>
    <cfRule type="colorScale" priority="6490">
      <colorScale>
        <cfvo type="min"/>
        <cfvo type="max"/>
        <color theme="0"/>
        <color theme="0"/>
      </colorScale>
    </cfRule>
  </conditionalFormatting>
  <conditionalFormatting sqref="BZ26">
    <cfRule type="colorScale" priority="6453">
      <colorScale>
        <cfvo type="min"/>
        <cfvo type="max"/>
        <color theme="0"/>
        <color theme="0"/>
      </colorScale>
    </cfRule>
    <cfRule type="expression" dxfId="643" priority="6455">
      <formula>BY26&lt;0</formula>
    </cfRule>
  </conditionalFormatting>
  <conditionalFormatting sqref="BZ26:BZ27">
    <cfRule type="expression" dxfId="642" priority="6452">
      <formula>IF(BZ26="Validar","Rojo","Verde")</formula>
    </cfRule>
    <cfRule type="expression" priority="6454">
      <formula>#REF!</formula>
    </cfRule>
  </conditionalFormatting>
  <conditionalFormatting sqref="BZ27">
    <cfRule type="colorScale" priority="6488">
      <colorScale>
        <cfvo type="min"/>
        <cfvo type="max"/>
        <color theme="0"/>
        <color theme="0"/>
      </colorScale>
    </cfRule>
    <cfRule type="expression" dxfId="641" priority="6489">
      <formula>BY27&lt;0</formula>
    </cfRule>
  </conditionalFormatting>
  <conditionalFormatting sqref="BZ29">
    <cfRule type="expression" dxfId="640" priority="6451">
      <formula>BY29&lt;0</formula>
    </cfRule>
    <cfRule type="colorScale" priority="6449">
      <colorScale>
        <cfvo type="min"/>
        <cfvo type="max"/>
        <color theme="0"/>
        <color theme="0"/>
      </colorScale>
    </cfRule>
  </conditionalFormatting>
  <conditionalFormatting sqref="BZ29:BZ30">
    <cfRule type="expression" dxfId="639" priority="6448">
      <formula>IF(BZ29="Validar","Rojo","Verde")</formula>
    </cfRule>
    <cfRule type="expression" priority="6450">
      <formula>#REF!</formula>
    </cfRule>
  </conditionalFormatting>
  <conditionalFormatting sqref="BZ30">
    <cfRule type="expression" dxfId="638" priority="6487">
      <formula>BY30&lt;0</formula>
    </cfRule>
    <cfRule type="colorScale" priority="6486">
      <colorScale>
        <cfvo type="min"/>
        <cfvo type="max"/>
        <color theme="0"/>
        <color theme="0"/>
      </colorScale>
    </cfRule>
  </conditionalFormatting>
  <conditionalFormatting sqref="BZ39">
    <cfRule type="expression" dxfId="637" priority="6447">
      <formula>BY39&lt;0</formula>
    </cfRule>
    <cfRule type="colorScale" priority="6445">
      <colorScale>
        <cfvo type="min"/>
        <cfvo type="max"/>
        <color theme="0"/>
        <color theme="0"/>
      </colorScale>
    </cfRule>
  </conditionalFormatting>
  <conditionalFormatting sqref="BZ39:BZ66">
    <cfRule type="expression" dxfId="636" priority="6444">
      <formula>IF(BZ39="Validar","Rojo","Verde")</formula>
    </cfRule>
    <cfRule type="expression" priority="6446">
      <formula>#REF!</formula>
    </cfRule>
  </conditionalFormatting>
  <conditionalFormatting sqref="BZ40:BZ66">
    <cfRule type="colorScale" priority="6484">
      <colorScale>
        <cfvo type="min"/>
        <cfvo type="max"/>
        <color theme="0"/>
        <color theme="0"/>
      </colorScale>
    </cfRule>
    <cfRule type="expression" dxfId="635" priority="6485">
      <formula>BY40&lt;0</formula>
    </cfRule>
  </conditionalFormatting>
  <conditionalFormatting sqref="BZ68">
    <cfRule type="colorScale" priority="6441">
      <colorScale>
        <cfvo type="min"/>
        <cfvo type="max"/>
        <color theme="0"/>
        <color theme="0"/>
      </colorScale>
    </cfRule>
    <cfRule type="expression" dxfId="634" priority="6443">
      <formula>BY68&lt;0</formula>
    </cfRule>
  </conditionalFormatting>
  <conditionalFormatting sqref="BZ68:BZ81">
    <cfRule type="expression" dxfId="633" priority="6440">
      <formula>IF(BZ68="Validar","Rojo","Verde")</formula>
    </cfRule>
    <cfRule type="expression" priority="6442">
      <formula>#REF!</formula>
    </cfRule>
  </conditionalFormatting>
  <conditionalFormatting sqref="BZ69:BZ81">
    <cfRule type="expression" dxfId="632" priority="6503">
      <formula>BY69&lt;0</formula>
    </cfRule>
    <cfRule type="colorScale" priority="6502">
      <colorScale>
        <cfvo type="min"/>
        <cfvo type="max"/>
        <color theme="0"/>
        <color theme="0"/>
      </colorScale>
    </cfRule>
  </conditionalFormatting>
  <conditionalFormatting sqref="BZ83">
    <cfRule type="expression" dxfId="631" priority="6426">
      <formula>BY83&lt;0</formula>
    </cfRule>
    <cfRule type="colorScale" priority="6424">
      <colorScale>
        <cfvo type="min"/>
        <cfvo type="max"/>
        <color theme="0"/>
        <color theme="0"/>
      </colorScale>
    </cfRule>
  </conditionalFormatting>
  <conditionalFormatting sqref="BZ83:BZ91">
    <cfRule type="expression" dxfId="630" priority="6423">
      <formula>IF(BZ83="Validar","Rojo","Verde")</formula>
    </cfRule>
    <cfRule type="expression" priority="6425">
      <formula>#REF!</formula>
    </cfRule>
  </conditionalFormatting>
  <conditionalFormatting sqref="BZ84:BZ91">
    <cfRule type="expression" dxfId="629" priority="6483">
      <formula>BY84&lt;0</formula>
    </cfRule>
    <cfRule type="colorScale" priority="6482">
      <colorScale>
        <cfvo type="min"/>
        <cfvo type="max"/>
        <color theme="0"/>
        <color theme="0"/>
      </colorScale>
    </cfRule>
  </conditionalFormatting>
  <conditionalFormatting sqref="BZ93">
    <cfRule type="colorScale" priority="6437">
      <colorScale>
        <cfvo type="min"/>
        <cfvo type="max"/>
        <color theme="0"/>
        <color theme="0"/>
      </colorScale>
    </cfRule>
    <cfRule type="expression" dxfId="628" priority="6439">
      <formula>BY93&lt;0</formula>
    </cfRule>
  </conditionalFormatting>
  <conditionalFormatting sqref="BZ93:BZ102">
    <cfRule type="expression" dxfId="627" priority="6436">
      <formula>IF(BZ93="Validar","Rojo","Verde")</formula>
    </cfRule>
    <cfRule type="expression" priority="6438">
      <formula>#REF!</formula>
    </cfRule>
  </conditionalFormatting>
  <conditionalFormatting sqref="BZ94:BZ102">
    <cfRule type="expression" dxfId="626" priority="6481">
      <formula>BY94&lt;0</formula>
    </cfRule>
    <cfRule type="colorScale" priority="6480">
      <colorScale>
        <cfvo type="min"/>
        <cfvo type="max"/>
        <color theme="0"/>
        <color theme="0"/>
      </colorScale>
    </cfRule>
  </conditionalFormatting>
  <conditionalFormatting sqref="BZ104">
    <cfRule type="colorScale" priority="6433">
      <colorScale>
        <cfvo type="min"/>
        <cfvo type="max"/>
        <color theme="0"/>
        <color theme="0"/>
      </colorScale>
    </cfRule>
    <cfRule type="expression" dxfId="625" priority="6435">
      <formula>BY104&lt;0</formula>
    </cfRule>
  </conditionalFormatting>
  <conditionalFormatting sqref="BZ104:BZ106">
    <cfRule type="expression" dxfId="624" priority="6432">
      <formula>IF(BZ104="Validar","Rojo","Verde")</formula>
    </cfRule>
    <cfRule type="expression" priority="6434">
      <formula>#REF!</formula>
    </cfRule>
  </conditionalFormatting>
  <conditionalFormatting sqref="BZ105:BZ106">
    <cfRule type="expression" dxfId="623" priority="6479">
      <formula>BY105&lt;0</formula>
    </cfRule>
    <cfRule type="colorScale" priority="6478">
      <colorScale>
        <cfvo type="min"/>
        <cfvo type="max"/>
        <color theme="0"/>
        <color theme="0"/>
      </colorScale>
    </cfRule>
  </conditionalFormatting>
  <conditionalFormatting sqref="BZ110">
    <cfRule type="expression" dxfId="622" priority="6477">
      <formula>BY110&lt;0</formula>
    </cfRule>
    <cfRule type="colorScale" priority="6476">
      <colorScale>
        <cfvo type="min"/>
        <cfvo type="max"/>
        <color theme="0"/>
        <color theme="0"/>
      </colorScale>
    </cfRule>
  </conditionalFormatting>
  <conditionalFormatting sqref="BZ110:BZ111">
    <cfRule type="expression" priority="6418">
      <formula>#REF!</formula>
    </cfRule>
  </conditionalFormatting>
  <conditionalFormatting sqref="BZ111">
    <cfRule type="expression" dxfId="621" priority="6419">
      <formula>BY111&lt;0</formula>
    </cfRule>
    <cfRule type="colorScale" priority="6417">
      <colorScale>
        <cfvo type="min"/>
        <cfvo type="max"/>
        <color theme="0"/>
        <color theme="0"/>
      </colorScale>
    </cfRule>
  </conditionalFormatting>
  <conditionalFormatting sqref="BZ117:BZ123">
    <cfRule type="expression" priority="6474">
      <formula>#REF!</formula>
    </cfRule>
    <cfRule type="expression" dxfId="620" priority="6475">
      <formula>BY117&lt;0</formula>
    </cfRule>
    <cfRule type="colorScale" priority="6473">
      <colorScale>
        <cfvo type="min"/>
        <cfvo type="max"/>
        <color theme="0"/>
        <color theme="0"/>
      </colorScale>
    </cfRule>
  </conditionalFormatting>
  <conditionalFormatting sqref="BZ125">
    <cfRule type="expression" dxfId="619" priority="6431">
      <formula>BY125&lt;0</formula>
    </cfRule>
    <cfRule type="colorScale" priority="6429">
      <colorScale>
        <cfvo type="min"/>
        <cfvo type="max"/>
        <color theme="0"/>
        <color theme="0"/>
      </colorScale>
    </cfRule>
  </conditionalFormatting>
  <conditionalFormatting sqref="BZ125:BZ134">
    <cfRule type="expression" dxfId="618" priority="6428">
      <formula>IF(BZ125="Validar","Rojo","Verde")</formula>
    </cfRule>
    <cfRule type="expression" priority="6430">
      <formula>#REF!</formula>
    </cfRule>
  </conditionalFormatting>
  <conditionalFormatting sqref="BZ126:BZ134">
    <cfRule type="colorScale" priority="6470">
      <colorScale>
        <cfvo type="min"/>
        <cfvo type="max"/>
        <color theme="0"/>
        <color theme="0"/>
      </colorScale>
    </cfRule>
    <cfRule type="expression" dxfId="617" priority="6471">
      <formula>BY126&lt;0</formula>
    </cfRule>
  </conditionalFormatting>
  <conditionalFormatting sqref="CB5">
    <cfRule type="expression" dxfId="616" priority="40">
      <formula>CA5&lt;0</formula>
    </cfRule>
    <cfRule type="colorScale" priority="39">
      <colorScale>
        <cfvo type="min"/>
        <cfvo type="max"/>
        <color theme="0"/>
        <color theme="0"/>
      </colorScale>
    </cfRule>
  </conditionalFormatting>
  <conditionalFormatting sqref="CB5:CB20">
    <cfRule type="expression" priority="38">
      <formula>#REF!</formula>
    </cfRule>
    <cfRule type="expression" dxfId="615" priority="37">
      <formula>IF(CB5="Validar","Rojo","Verde")</formula>
    </cfRule>
  </conditionalFormatting>
  <conditionalFormatting sqref="CB6">
    <cfRule type="colorScale" priority="1549">
      <colorScale>
        <cfvo type="min"/>
        <cfvo type="max"/>
        <color theme="0"/>
        <color theme="0"/>
      </colorScale>
    </cfRule>
    <cfRule type="expression" dxfId="614" priority="1550">
      <formula>CA6&lt;0</formula>
    </cfRule>
  </conditionalFormatting>
  <conditionalFormatting sqref="CB7:CB8">
    <cfRule type="colorScale" priority="1545">
      <colorScale>
        <cfvo type="min"/>
        <cfvo type="max"/>
        <color theme="0"/>
        <color theme="0"/>
      </colorScale>
    </cfRule>
    <cfRule type="expression" dxfId="613" priority="1546">
      <formula>CA7&lt;0</formula>
    </cfRule>
  </conditionalFormatting>
  <conditionalFormatting sqref="CB9">
    <cfRule type="expression" dxfId="612" priority="1661">
      <formula>CA9&lt;0</formula>
    </cfRule>
    <cfRule type="colorScale" priority="1660">
      <colorScale>
        <cfvo type="min"/>
        <cfvo type="max"/>
        <color theme="0"/>
        <color theme="0"/>
      </colorScale>
    </cfRule>
  </conditionalFormatting>
  <conditionalFormatting sqref="CB10">
    <cfRule type="expression" dxfId="611" priority="1638">
      <formula>CA10&lt;0</formula>
    </cfRule>
    <cfRule type="colorScale" priority="1637">
      <colorScale>
        <cfvo type="min"/>
        <cfvo type="max"/>
        <color theme="0"/>
        <color theme="0"/>
      </colorScale>
    </cfRule>
  </conditionalFormatting>
  <conditionalFormatting sqref="CB11:CB13">
    <cfRule type="colorScale" priority="1658">
      <colorScale>
        <cfvo type="min"/>
        <cfvo type="max"/>
        <color theme="0"/>
        <color theme="0"/>
      </colorScale>
    </cfRule>
    <cfRule type="expression" dxfId="610" priority="1659">
      <formula>CA11&lt;0</formula>
    </cfRule>
  </conditionalFormatting>
  <conditionalFormatting sqref="CB14">
    <cfRule type="colorScale" priority="211">
      <colorScale>
        <cfvo type="min"/>
        <cfvo type="max"/>
        <color theme="0"/>
        <color theme="0"/>
      </colorScale>
    </cfRule>
    <cfRule type="expression" dxfId="609" priority="212">
      <formula>CA14&lt;0</formula>
    </cfRule>
  </conditionalFormatting>
  <conditionalFormatting sqref="CB15">
    <cfRule type="expression" dxfId="608" priority="1636">
      <formula>CA15&lt;0</formula>
    </cfRule>
    <cfRule type="colorScale" priority="1635">
      <colorScale>
        <cfvo type="min"/>
        <cfvo type="max"/>
        <color theme="0"/>
        <color theme="0"/>
      </colorScale>
    </cfRule>
  </conditionalFormatting>
  <conditionalFormatting sqref="CB16:CB17">
    <cfRule type="colorScale" priority="1656">
      <colorScale>
        <cfvo type="min"/>
        <cfvo type="max"/>
        <color theme="0"/>
        <color theme="0"/>
      </colorScale>
    </cfRule>
    <cfRule type="expression" dxfId="607" priority="1657">
      <formula>CA16&lt;0</formula>
    </cfRule>
  </conditionalFormatting>
  <conditionalFormatting sqref="CB18">
    <cfRule type="expression" dxfId="606" priority="1634">
      <formula>CA18&lt;0</formula>
    </cfRule>
    <cfRule type="colorScale" priority="1632">
      <colorScale>
        <cfvo type="min"/>
        <cfvo type="max"/>
        <color theme="0"/>
        <color theme="0"/>
      </colorScale>
    </cfRule>
  </conditionalFormatting>
  <conditionalFormatting sqref="CB19:CB20">
    <cfRule type="expression" dxfId="605" priority="1655">
      <formula>CA19&lt;0</formula>
    </cfRule>
    <cfRule type="colorScale" priority="1654">
      <colorScale>
        <cfvo type="min"/>
        <cfvo type="max"/>
        <color theme="0"/>
        <color theme="0"/>
      </colorScale>
    </cfRule>
  </conditionalFormatting>
  <conditionalFormatting sqref="CB23">
    <cfRule type="colorScale" priority="1629">
      <colorScale>
        <cfvo type="min"/>
        <cfvo type="max"/>
        <color theme="0"/>
        <color theme="0"/>
      </colorScale>
    </cfRule>
    <cfRule type="expression" dxfId="604" priority="1630">
      <formula>CA23&lt;0</formula>
    </cfRule>
  </conditionalFormatting>
  <conditionalFormatting sqref="CB23:CB31">
    <cfRule type="expression" priority="1625">
      <formula>#REF!</formula>
    </cfRule>
    <cfRule type="expression" dxfId="603" priority="1623">
      <formula>IF(CB23="Validar","Rojo","Verde")</formula>
    </cfRule>
  </conditionalFormatting>
  <conditionalFormatting sqref="CB24">
    <cfRule type="expression" dxfId="602" priority="1653">
      <formula>CA24&lt;0</formula>
    </cfRule>
    <cfRule type="colorScale" priority="1652">
      <colorScale>
        <cfvo type="min"/>
        <cfvo type="max"/>
        <color theme="0"/>
        <color theme="0"/>
      </colorScale>
    </cfRule>
  </conditionalFormatting>
  <conditionalFormatting sqref="CB25">
    <cfRule type="expression" dxfId="601" priority="1651">
      <formula>CA25&lt;0</formula>
    </cfRule>
    <cfRule type="colorScale" priority="1650">
      <colorScale>
        <cfvo type="min"/>
        <cfvo type="max"/>
        <color theme="0"/>
        <color theme="0"/>
      </colorScale>
    </cfRule>
  </conditionalFormatting>
  <conditionalFormatting sqref="CB26">
    <cfRule type="expression" dxfId="600" priority="1628">
      <formula>CA26&lt;0</formula>
    </cfRule>
    <cfRule type="colorScale" priority="1627">
      <colorScale>
        <cfvo type="min"/>
        <cfvo type="max"/>
        <color theme="0"/>
        <color theme="0"/>
      </colorScale>
    </cfRule>
  </conditionalFormatting>
  <conditionalFormatting sqref="CB27">
    <cfRule type="expression" dxfId="599" priority="1649">
      <formula>CA27&lt;0</formula>
    </cfRule>
    <cfRule type="colorScale" priority="1648">
      <colorScale>
        <cfvo type="min"/>
        <cfvo type="max"/>
        <color theme="0"/>
        <color theme="0"/>
      </colorScale>
    </cfRule>
  </conditionalFormatting>
  <conditionalFormatting sqref="CB28">
    <cfRule type="expression" dxfId="598" priority="1647">
      <formula>CA28&lt;0</formula>
    </cfRule>
    <cfRule type="colorScale" priority="1646">
      <colorScale>
        <cfvo type="min"/>
        <cfvo type="max"/>
        <color theme="0"/>
        <color theme="0"/>
      </colorScale>
    </cfRule>
  </conditionalFormatting>
  <conditionalFormatting sqref="CB29">
    <cfRule type="expression" dxfId="597" priority="1626">
      <formula>CA29&lt;0</formula>
    </cfRule>
    <cfRule type="colorScale" priority="1624">
      <colorScale>
        <cfvo type="min"/>
        <cfvo type="max"/>
        <color theme="0"/>
        <color theme="0"/>
      </colorScale>
    </cfRule>
  </conditionalFormatting>
  <conditionalFormatting sqref="CB30">
    <cfRule type="colorScale" priority="1644">
      <colorScale>
        <cfvo type="min"/>
        <cfvo type="max"/>
        <color theme="0"/>
        <color theme="0"/>
      </colorScale>
    </cfRule>
    <cfRule type="expression" dxfId="596" priority="1645">
      <formula>CA30&lt;0</formula>
    </cfRule>
  </conditionalFormatting>
  <conditionalFormatting sqref="CB31">
    <cfRule type="colorScale" priority="1642">
      <colorScale>
        <cfvo type="min"/>
        <cfvo type="max"/>
        <color theme="0"/>
        <color theme="0"/>
      </colorScale>
    </cfRule>
    <cfRule type="expression" dxfId="595" priority="1643">
      <formula>CA31&lt;0</formula>
    </cfRule>
  </conditionalFormatting>
  <conditionalFormatting sqref="CB39">
    <cfRule type="expression" dxfId="594" priority="1622">
      <formula>CA39&lt;0</formula>
    </cfRule>
    <cfRule type="expression" priority="1621">
      <formula>#REF!</formula>
    </cfRule>
    <cfRule type="colorScale" priority="1620">
      <colorScale>
        <cfvo type="min"/>
        <cfvo type="max"/>
        <color theme="0"/>
        <color theme="0"/>
      </colorScale>
    </cfRule>
  </conditionalFormatting>
  <conditionalFormatting sqref="CB39:CB107">
    <cfRule type="expression" dxfId="593" priority="1558">
      <formula>IF(CB39="Validar","Rojo","Verde")</formula>
    </cfRule>
  </conditionalFormatting>
  <conditionalFormatting sqref="CB40:CB67">
    <cfRule type="expression" priority="1640">
      <formula>$F$19</formula>
    </cfRule>
    <cfRule type="colorScale" priority="1639">
      <colorScale>
        <cfvo type="min"/>
        <cfvo type="max"/>
        <color theme="0"/>
        <color theme="0"/>
      </colorScale>
    </cfRule>
    <cfRule type="expression" dxfId="592" priority="1641">
      <formula>CA40&lt;0</formula>
    </cfRule>
  </conditionalFormatting>
  <conditionalFormatting sqref="CB68">
    <cfRule type="colorScale" priority="1617">
      <colorScale>
        <cfvo type="min"/>
        <cfvo type="max"/>
        <color theme="0"/>
        <color theme="0"/>
      </colorScale>
    </cfRule>
    <cfRule type="expression" priority="1618">
      <formula>#REF!</formula>
    </cfRule>
    <cfRule type="expression" dxfId="591" priority="1619">
      <formula>CA68&lt;0</formula>
    </cfRule>
  </conditionalFormatting>
  <conditionalFormatting sqref="CB69:CB81">
    <cfRule type="colorScale" priority="1664">
      <colorScale>
        <cfvo type="min"/>
        <cfvo type="max"/>
        <color theme="0"/>
        <color theme="0"/>
      </colorScale>
    </cfRule>
    <cfRule type="expression" priority="1665">
      <formula>$F$19</formula>
    </cfRule>
    <cfRule type="expression" dxfId="590" priority="1666">
      <formula>CA69&lt;0</formula>
    </cfRule>
  </conditionalFormatting>
  <conditionalFormatting sqref="CB82 CB92 CB103 CB107">
    <cfRule type="colorScale" priority="1662">
      <colorScale>
        <cfvo type="min"/>
        <cfvo type="max"/>
        <color theme="0"/>
        <color theme="0"/>
      </colorScale>
    </cfRule>
    <cfRule type="expression" dxfId="589" priority="1663">
      <formula>CA82&lt;0</formula>
    </cfRule>
  </conditionalFormatting>
  <conditionalFormatting sqref="CB83">
    <cfRule type="colorScale" priority="1559">
      <colorScale>
        <cfvo type="min"/>
        <cfvo type="max"/>
        <color theme="0"/>
        <color theme="0"/>
      </colorScale>
    </cfRule>
    <cfRule type="expression" dxfId="588" priority="1561">
      <formula>CA83&lt;0</formula>
    </cfRule>
    <cfRule type="expression" priority="1560">
      <formula>#REF!</formula>
    </cfRule>
  </conditionalFormatting>
  <conditionalFormatting sqref="CB84:CB91">
    <cfRule type="colorScale" priority="1667">
      <colorScale>
        <cfvo type="min"/>
        <cfvo type="max"/>
        <color theme="0"/>
        <color theme="0"/>
      </colorScale>
    </cfRule>
    <cfRule type="expression" priority="1668">
      <formula>$F$19</formula>
    </cfRule>
    <cfRule type="expression" dxfId="587" priority="1669">
      <formula>CA84&lt;0</formula>
    </cfRule>
  </conditionalFormatting>
  <conditionalFormatting sqref="CB93">
    <cfRule type="expression" priority="1615">
      <formula>#REF!</formula>
    </cfRule>
    <cfRule type="expression" dxfId="586" priority="1616">
      <formula>CA93&lt;0</formula>
    </cfRule>
    <cfRule type="colorScale" priority="1614">
      <colorScale>
        <cfvo type="min"/>
        <cfvo type="max"/>
        <color theme="0"/>
        <color theme="0"/>
      </colorScale>
    </cfRule>
  </conditionalFormatting>
  <conditionalFormatting sqref="CB94:CB102">
    <cfRule type="expression" dxfId="585" priority="1672">
      <formula>CA94&lt;0</formula>
    </cfRule>
    <cfRule type="expression" priority="1671">
      <formula>$F$19</formula>
    </cfRule>
    <cfRule type="colorScale" priority="1670">
      <colorScale>
        <cfvo type="min"/>
        <cfvo type="max"/>
        <color theme="0"/>
        <color theme="0"/>
      </colorScale>
    </cfRule>
  </conditionalFormatting>
  <conditionalFormatting sqref="CB104">
    <cfRule type="colorScale" priority="1611">
      <colorScale>
        <cfvo type="min"/>
        <cfvo type="max"/>
        <color theme="0"/>
        <color theme="0"/>
      </colorScale>
    </cfRule>
    <cfRule type="expression" dxfId="584" priority="1613">
      <formula>CA104&lt;0</formula>
    </cfRule>
    <cfRule type="expression" priority="1612">
      <formula>#REF!</formula>
    </cfRule>
  </conditionalFormatting>
  <conditionalFormatting sqref="CB105:CB106">
    <cfRule type="expression" dxfId="583" priority="1675">
      <formula>CA105&lt;0</formula>
    </cfRule>
    <cfRule type="expression" priority="1674">
      <formula>$F$19</formula>
    </cfRule>
    <cfRule type="colorScale" priority="1673">
      <colorScale>
        <cfvo type="min"/>
        <cfvo type="max"/>
        <color theme="0"/>
        <color theme="0"/>
      </colorScale>
    </cfRule>
  </conditionalFormatting>
  <conditionalFormatting sqref="CB110">
    <cfRule type="expression" dxfId="582" priority="1677">
      <formula>CA110&lt;0</formula>
    </cfRule>
    <cfRule type="colorScale" priority="1676">
      <colorScale>
        <cfvo type="min"/>
        <cfvo type="max"/>
        <color theme="0"/>
        <color theme="0"/>
      </colorScale>
    </cfRule>
  </conditionalFormatting>
  <conditionalFormatting sqref="CB110:CB111">
    <cfRule type="expression" priority="1556">
      <formula>$F$19</formula>
    </cfRule>
  </conditionalFormatting>
  <conditionalFormatting sqref="CB111">
    <cfRule type="colorScale" priority="1555">
      <colorScale>
        <cfvo type="min"/>
        <cfvo type="max"/>
        <color theme="0"/>
        <color theme="0"/>
      </colorScale>
    </cfRule>
    <cfRule type="expression" dxfId="581" priority="1557">
      <formula>CA111&lt;0</formula>
    </cfRule>
  </conditionalFormatting>
  <conditionalFormatting sqref="CB117:CB123">
    <cfRule type="expression" dxfId="580" priority="1683">
      <formula>CA117&lt;0</formula>
    </cfRule>
    <cfRule type="colorScale" priority="1681">
      <colorScale>
        <cfvo type="min"/>
        <cfvo type="max"/>
        <color theme="0"/>
        <color theme="0"/>
      </colorScale>
    </cfRule>
    <cfRule type="expression" priority="1682">
      <formula>$F$19</formula>
    </cfRule>
  </conditionalFormatting>
  <conditionalFormatting sqref="CB125">
    <cfRule type="expression" dxfId="579" priority="1610">
      <formula>CA125&lt;0</formula>
    </cfRule>
    <cfRule type="expression" priority="1609">
      <formula>#REF!</formula>
    </cfRule>
    <cfRule type="colorScale" priority="1608">
      <colorScale>
        <cfvo type="min"/>
        <cfvo type="max"/>
        <color theme="0"/>
        <color theme="0"/>
      </colorScale>
    </cfRule>
  </conditionalFormatting>
  <conditionalFormatting sqref="CB125:CB135">
    <cfRule type="expression" dxfId="578" priority="1607">
      <formula>IF(CB125="Validar","Rojo","Verde")</formula>
    </cfRule>
  </conditionalFormatting>
  <conditionalFormatting sqref="CB126:CB132">
    <cfRule type="expression" dxfId="577" priority="1686">
      <formula>CA126&lt;0</formula>
    </cfRule>
    <cfRule type="colorScale" priority="1684">
      <colorScale>
        <cfvo type="min"/>
        <cfvo type="max"/>
        <color theme="0"/>
        <color theme="0"/>
      </colorScale>
    </cfRule>
  </conditionalFormatting>
  <conditionalFormatting sqref="CB126:CB134">
    <cfRule type="expression" priority="1685">
      <formula>$F$19</formula>
    </cfRule>
  </conditionalFormatting>
  <conditionalFormatting sqref="CB133:CB134">
    <cfRule type="colorScale" priority="1687">
      <colorScale>
        <cfvo type="min"/>
        <cfvo type="max"/>
        <color theme="0"/>
        <color theme="0"/>
      </colorScale>
    </cfRule>
    <cfRule type="expression" dxfId="576" priority="1688">
      <formula>CA133&lt;0</formula>
    </cfRule>
  </conditionalFormatting>
  <conditionalFormatting sqref="CB135">
    <cfRule type="colorScale" priority="1678">
      <colorScale>
        <cfvo type="min"/>
        <cfvo type="max"/>
        <color theme="0"/>
        <color theme="0"/>
      </colorScale>
    </cfRule>
    <cfRule type="expression" priority="1679">
      <formula>$F$23</formula>
    </cfRule>
    <cfRule type="expression" dxfId="575" priority="1680">
      <formula>CA135&lt;0</formula>
    </cfRule>
  </conditionalFormatting>
  <conditionalFormatting sqref="CB110:CD111">
    <cfRule type="expression" dxfId="574" priority="1551">
      <formula>IF(CB110="Validar","Rojo","Verde")</formula>
    </cfRule>
  </conditionalFormatting>
  <conditionalFormatting sqref="CB117:CD123">
    <cfRule type="expression" dxfId="573" priority="1564">
      <formula>IF(CB117="Validar","Rojo","Verde")</formula>
    </cfRule>
  </conditionalFormatting>
  <conditionalFormatting sqref="CC40:CC66">
    <cfRule type="expression" priority="1600">
      <formula>#REF!</formula>
    </cfRule>
    <cfRule type="expression" dxfId="572" priority="1601">
      <formula>CB40&lt;0</formula>
    </cfRule>
    <cfRule type="colorScale" priority="1599">
      <colorScale>
        <cfvo type="min"/>
        <cfvo type="max"/>
        <color theme="0"/>
        <color theme="0"/>
      </colorScale>
    </cfRule>
  </conditionalFormatting>
  <conditionalFormatting sqref="CC40:CC67">
    <cfRule type="expression" dxfId="571" priority="1598">
      <formula>IF(CC40="Validar","Rojo","Verde")</formula>
    </cfRule>
  </conditionalFormatting>
  <conditionalFormatting sqref="CC67 CB82:CC82 CB92:CC92 CB103:CC103 CB107:CC107">
    <cfRule type="expression" priority="1603">
      <formula>$F$23</formula>
    </cfRule>
  </conditionalFormatting>
  <conditionalFormatting sqref="CC67 CC82 CC92 CC103 CC107">
    <cfRule type="expression" dxfId="570" priority="1604">
      <formula>CB67&lt;0</formula>
    </cfRule>
    <cfRule type="colorScale" priority="1602">
      <colorScale>
        <cfvo type="min"/>
        <cfvo type="max"/>
        <color theme="0"/>
        <color theme="0"/>
      </colorScale>
    </cfRule>
  </conditionalFormatting>
  <conditionalFormatting sqref="CC69">
    <cfRule type="expression" dxfId="569" priority="1597">
      <formula>CB69&lt;0</formula>
    </cfRule>
    <cfRule type="colorScale" priority="1596">
      <colorScale>
        <cfvo type="min"/>
        <cfvo type="max"/>
        <color theme="0"/>
        <color theme="0"/>
      </colorScale>
    </cfRule>
  </conditionalFormatting>
  <conditionalFormatting sqref="CC69:CC81">
    <cfRule type="expression" priority="1594">
      <formula>#REF!</formula>
    </cfRule>
  </conditionalFormatting>
  <conditionalFormatting sqref="CC69:CC82">
    <cfRule type="expression" dxfId="568" priority="1592">
      <formula>IF(CC69="Validar","Rojo","Verde")</formula>
    </cfRule>
  </conditionalFormatting>
  <conditionalFormatting sqref="CC70:CC78">
    <cfRule type="expression" dxfId="567" priority="1595">
      <formula>CB70&lt;0</formula>
    </cfRule>
    <cfRule type="colorScale" priority="1593">
      <colorScale>
        <cfvo type="min"/>
        <cfvo type="max"/>
        <color theme="0"/>
        <color theme="0"/>
      </colorScale>
    </cfRule>
  </conditionalFormatting>
  <conditionalFormatting sqref="CC79:CC81">
    <cfRule type="expression" dxfId="566" priority="1606">
      <formula>CB79&lt;0</formula>
    </cfRule>
    <cfRule type="colorScale" priority="1605">
      <colorScale>
        <cfvo type="min"/>
        <cfvo type="max"/>
        <color theme="0"/>
        <color theme="0"/>
      </colorScale>
    </cfRule>
  </conditionalFormatting>
  <conditionalFormatting sqref="CC84">
    <cfRule type="expression" dxfId="565" priority="1591">
      <formula>CB84&lt;0</formula>
    </cfRule>
    <cfRule type="colorScale" priority="1590">
      <colorScale>
        <cfvo type="min"/>
        <cfvo type="max"/>
        <color theme="0"/>
        <color theme="0"/>
      </colorScale>
    </cfRule>
  </conditionalFormatting>
  <conditionalFormatting sqref="CC84:CC91">
    <cfRule type="expression" priority="1588">
      <formula>#REF!</formula>
    </cfRule>
  </conditionalFormatting>
  <conditionalFormatting sqref="CC84:CC92">
    <cfRule type="expression" dxfId="564" priority="1586">
      <formula>IF(CC84="Validar","Rojo","Verde")</formula>
    </cfRule>
  </conditionalFormatting>
  <conditionalFormatting sqref="CC85:CC91">
    <cfRule type="expression" dxfId="563" priority="1589">
      <formula>CB85&lt;0</formula>
    </cfRule>
    <cfRule type="colorScale" priority="1587">
      <colorScale>
        <cfvo type="min"/>
        <cfvo type="max"/>
        <color theme="0"/>
        <color theme="0"/>
      </colorScale>
    </cfRule>
  </conditionalFormatting>
  <conditionalFormatting sqref="CC94">
    <cfRule type="expression" dxfId="562" priority="1585">
      <formula>CB94&lt;0</formula>
    </cfRule>
    <cfRule type="colorScale" priority="1584">
      <colorScale>
        <cfvo type="min"/>
        <cfvo type="max"/>
        <color theme="0"/>
        <color theme="0"/>
      </colorScale>
    </cfRule>
  </conditionalFormatting>
  <conditionalFormatting sqref="CC94:CC102">
    <cfRule type="expression" priority="1578">
      <formula>#REF!</formula>
    </cfRule>
  </conditionalFormatting>
  <conditionalFormatting sqref="CC94:CC103">
    <cfRule type="expression" dxfId="561" priority="1576">
      <formula>IF(CC94="Validar","Rojo","Verde")</formula>
    </cfRule>
  </conditionalFormatting>
  <conditionalFormatting sqref="CC95:CC100">
    <cfRule type="colorScale" priority="1582">
      <colorScale>
        <cfvo type="min"/>
        <cfvo type="max"/>
        <color theme="0"/>
        <color theme="0"/>
      </colorScale>
    </cfRule>
    <cfRule type="expression" dxfId="560" priority="1583">
      <formula>CB95&lt;0</formula>
    </cfRule>
  </conditionalFormatting>
  <conditionalFormatting sqref="CC101">
    <cfRule type="colorScale" priority="1580">
      <colorScale>
        <cfvo type="min"/>
        <cfvo type="max"/>
        <color theme="0"/>
        <color theme="0"/>
      </colorScale>
    </cfRule>
    <cfRule type="expression" dxfId="559" priority="1581">
      <formula>CB101&lt;0</formula>
    </cfRule>
  </conditionalFormatting>
  <conditionalFormatting sqref="CC102">
    <cfRule type="expression" dxfId="558" priority="1579">
      <formula>CB102&lt;0</formula>
    </cfRule>
    <cfRule type="colorScale" priority="1577">
      <colorScale>
        <cfvo type="min"/>
        <cfvo type="max"/>
        <color theme="0"/>
        <color theme="0"/>
      </colorScale>
    </cfRule>
  </conditionalFormatting>
  <conditionalFormatting sqref="CC105">
    <cfRule type="expression" dxfId="557" priority="1575">
      <formula>CB105&lt;0</formula>
    </cfRule>
    <cfRule type="colorScale" priority="1574">
      <colorScale>
        <cfvo type="min"/>
        <cfvo type="max"/>
        <color theme="0"/>
        <color theme="0"/>
      </colorScale>
    </cfRule>
  </conditionalFormatting>
  <conditionalFormatting sqref="CC105:CC106">
    <cfRule type="expression" priority="1572">
      <formula>#REF!</formula>
    </cfRule>
  </conditionalFormatting>
  <conditionalFormatting sqref="CC105:CC107">
    <cfRule type="expression" dxfId="556" priority="1570">
      <formula>IF(CC105="Validar","Rojo","Verde")</formula>
    </cfRule>
  </conditionalFormatting>
  <conditionalFormatting sqref="CC106">
    <cfRule type="colorScale" priority="1571">
      <colorScale>
        <cfvo type="min"/>
        <cfvo type="max"/>
        <color theme="0"/>
        <color theme="0"/>
      </colorScale>
    </cfRule>
    <cfRule type="expression" dxfId="555" priority="1573">
      <formula>CB106&lt;0</formula>
    </cfRule>
  </conditionalFormatting>
  <conditionalFormatting sqref="CC110">
    <cfRule type="expression" dxfId="554" priority="1563">
      <formula>CB110&lt;0</formula>
    </cfRule>
    <cfRule type="colorScale" priority="1562">
      <colorScale>
        <cfvo type="min"/>
        <cfvo type="max"/>
        <color theme="0"/>
        <color theme="0"/>
      </colorScale>
    </cfRule>
  </conditionalFormatting>
  <conditionalFormatting sqref="CC111">
    <cfRule type="colorScale" priority="1552">
      <colorScale>
        <cfvo type="min"/>
        <cfvo type="max"/>
        <color theme="0"/>
        <color theme="0"/>
      </colorScale>
    </cfRule>
    <cfRule type="expression" dxfId="553" priority="1554">
      <formula>CB111&lt;0</formula>
    </cfRule>
  </conditionalFormatting>
  <conditionalFormatting sqref="CC117">
    <cfRule type="expression" dxfId="552" priority="1569">
      <formula>CB117&lt;0</formula>
    </cfRule>
    <cfRule type="colorScale" priority="1568">
      <colorScale>
        <cfvo type="min"/>
        <cfvo type="max"/>
        <color theme="0"/>
        <color theme="0"/>
      </colorScale>
    </cfRule>
  </conditionalFormatting>
  <conditionalFormatting sqref="CC118:CC123">
    <cfRule type="colorScale" priority="1565">
      <colorScale>
        <cfvo type="min"/>
        <cfvo type="max"/>
        <color theme="0"/>
        <color theme="0"/>
      </colorScale>
    </cfRule>
    <cfRule type="expression" dxfId="551" priority="1567">
      <formula>CB118&lt;0</formula>
    </cfRule>
  </conditionalFormatting>
  <conditionalFormatting sqref="CC126:CC135">
    <cfRule type="expression" dxfId="550" priority="1689">
      <formula>IF(CC126="Validar","Rojo","Verde")</formula>
    </cfRule>
    <cfRule type="colorScale" priority="1690">
      <colorScale>
        <cfvo type="min"/>
        <cfvo type="max"/>
        <color theme="0"/>
        <color theme="0"/>
      </colorScale>
    </cfRule>
    <cfRule type="expression" priority="1691">
      <formula>$F$23</formula>
    </cfRule>
    <cfRule type="expression" dxfId="549" priority="1692">
      <formula>CB126&lt;0</formula>
    </cfRule>
  </conditionalFormatting>
  <conditionalFormatting sqref="CC110:CD111">
    <cfRule type="expression" priority="1553">
      <formula>#REF!</formula>
    </cfRule>
  </conditionalFormatting>
  <conditionalFormatting sqref="CC117:CD123">
    <cfRule type="expression" priority="1566">
      <formula>#REF!</formula>
    </cfRule>
  </conditionalFormatting>
  <conditionalFormatting sqref="CD5">
    <cfRule type="colorScale" priority="150">
      <colorScale>
        <cfvo type="min"/>
        <cfvo type="max"/>
        <color theme="0"/>
        <color theme="0"/>
      </colorScale>
    </cfRule>
    <cfRule type="expression" dxfId="548" priority="151">
      <formula>CC5&lt;0</formula>
    </cfRule>
  </conditionalFormatting>
  <conditionalFormatting sqref="CD5:CD16">
    <cfRule type="expression" priority="149">
      <formula>#REF!</formula>
    </cfRule>
    <cfRule type="expression" dxfId="547" priority="148">
      <formula>IF(CD5="Validar","Rojo","Verde")</formula>
    </cfRule>
  </conditionalFormatting>
  <conditionalFormatting sqref="CD6:CD9">
    <cfRule type="colorScale" priority="5365">
      <colorScale>
        <cfvo type="min"/>
        <cfvo type="max"/>
        <color theme="0"/>
        <color theme="0"/>
      </colorScale>
    </cfRule>
    <cfRule type="expression" dxfId="546" priority="5366">
      <formula>CC6&lt;0</formula>
    </cfRule>
  </conditionalFormatting>
  <conditionalFormatting sqref="CD10">
    <cfRule type="colorScale" priority="5333">
      <colorScale>
        <cfvo type="min"/>
        <cfvo type="max"/>
        <color theme="0"/>
        <color theme="0"/>
      </colorScale>
    </cfRule>
    <cfRule type="expression" dxfId="545" priority="5334">
      <formula>CC10&lt;0</formula>
    </cfRule>
  </conditionalFormatting>
  <conditionalFormatting sqref="CD11:CD13">
    <cfRule type="expression" dxfId="544" priority="5364">
      <formula>CC11&lt;0</formula>
    </cfRule>
    <cfRule type="colorScale" priority="5363">
      <colorScale>
        <cfvo type="min"/>
        <cfvo type="max"/>
        <color theme="0"/>
        <color theme="0"/>
      </colorScale>
    </cfRule>
  </conditionalFormatting>
  <conditionalFormatting sqref="CD14">
    <cfRule type="expression" dxfId="543" priority="311">
      <formula>CC14&lt;0</formula>
    </cfRule>
    <cfRule type="colorScale" priority="310">
      <colorScale>
        <cfvo type="min"/>
        <cfvo type="max"/>
        <color theme="0"/>
        <color theme="0"/>
      </colorScale>
    </cfRule>
  </conditionalFormatting>
  <conditionalFormatting sqref="CD15">
    <cfRule type="expression" dxfId="542" priority="5332">
      <formula>CC15&lt;0</formula>
    </cfRule>
    <cfRule type="colorScale" priority="5330">
      <colorScale>
        <cfvo type="min"/>
        <cfvo type="max"/>
        <color theme="0"/>
        <color theme="0"/>
      </colorScale>
    </cfRule>
  </conditionalFormatting>
  <conditionalFormatting sqref="CD16">
    <cfRule type="expression" dxfId="541" priority="5362">
      <formula>CC16&lt;0</formula>
    </cfRule>
    <cfRule type="colorScale" priority="5361">
      <colorScale>
        <cfvo type="min"/>
        <cfvo type="max"/>
        <color theme="0"/>
        <color theme="0"/>
      </colorScale>
    </cfRule>
  </conditionalFormatting>
  <conditionalFormatting sqref="CD18">
    <cfRule type="expression" dxfId="540" priority="5328">
      <formula>CC18&lt;0</formula>
    </cfRule>
    <cfRule type="colorScale" priority="5326">
      <colorScale>
        <cfvo type="min"/>
        <cfvo type="max"/>
        <color theme="0"/>
        <color theme="0"/>
      </colorScale>
    </cfRule>
  </conditionalFormatting>
  <conditionalFormatting sqref="CD18:CD19">
    <cfRule type="expression" priority="5327">
      <formula>#REF!</formula>
    </cfRule>
    <cfRule type="expression" dxfId="539" priority="5325">
      <formula>IF(CD18="Validar","Rojo","Verde")</formula>
    </cfRule>
  </conditionalFormatting>
  <conditionalFormatting sqref="CD19">
    <cfRule type="expression" dxfId="538" priority="5360">
      <formula>CC19&lt;0</formula>
    </cfRule>
    <cfRule type="colorScale" priority="5359">
      <colorScale>
        <cfvo type="min"/>
        <cfvo type="max"/>
        <color theme="0"/>
        <color theme="0"/>
      </colorScale>
    </cfRule>
  </conditionalFormatting>
  <conditionalFormatting sqref="CD23">
    <cfRule type="expression" dxfId="537" priority="5324">
      <formula>CC23&lt;0</formula>
    </cfRule>
    <cfRule type="colorScale" priority="5322">
      <colorScale>
        <cfvo type="min"/>
        <cfvo type="max"/>
        <color theme="0"/>
        <color theme="0"/>
      </colorScale>
    </cfRule>
  </conditionalFormatting>
  <conditionalFormatting sqref="CD23:CD24">
    <cfRule type="expression" dxfId="536" priority="5321">
      <formula>IF(CD23="Validar","Rojo","Verde")</formula>
    </cfRule>
    <cfRule type="expression" priority="5323">
      <formula>#REF!</formula>
    </cfRule>
  </conditionalFormatting>
  <conditionalFormatting sqref="CD24">
    <cfRule type="expression" dxfId="535" priority="5356">
      <formula>CC24&lt;0</formula>
    </cfRule>
    <cfRule type="colorScale" priority="5355">
      <colorScale>
        <cfvo type="min"/>
        <cfvo type="max"/>
        <color theme="0"/>
        <color theme="0"/>
      </colorScale>
    </cfRule>
  </conditionalFormatting>
  <conditionalFormatting sqref="CD26">
    <cfRule type="expression" dxfId="534" priority="5320">
      <formula>CC26&lt;0</formula>
    </cfRule>
    <cfRule type="colorScale" priority="5318">
      <colorScale>
        <cfvo type="min"/>
        <cfvo type="max"/>
        <color theme="0"/>
        <color theme="0"/>
      </colorScale>
    </cfRule>
  </conditionalFormatting>
  <conditionalFormatting sqref="CD26:CD27">
    <cfRule type="expression" dxfId="533" priority="5317">
      <formula>IF(CD26="Validar","Rojo","Verde")</formula>
    </cfRule>
    <cfRule type="expression" priority="5319">
      <formula>#REF!</formula>
    </cfRule>
  </conditionalFormatting>
  <conditionalFormatting sqref="CD27">
    <cfRule type="colorScale" priority="5353">
      <colorScale>
        <cfvo type="min"/>
        <cfvo type="max"/>
        <color theme="0"/>
        <color theme="0"/>
      </colorScale>
    </cfRule>
    <cfRule type="expression" dxfId="532" priority="5354">
      <formula>CC27&lt;0</formula>
    </cfRule>
  </conditionalFormatting>
  <conditionalFormatting sqref="CD29">
    <cfRule type="colorScale" priority="5314">
      <colorScale>
        <cfvo type="min"/>
        <cfvo type="max"/>
        <color theme="0"/>
        <color theme="0"/>
      </colorScale>
    </cfRule>
    <cfRule type="expression" dxfId="531" priority="5316">
      <formula>CC29&lt;0</formula>
    </cfRule>
  </conditionalFormatting>
  <conditionalFormatting sqref="CD29:CD30">
    <cfRule type="expression" dxfId="530" priority="5313">
      <formula>IF(CD29="Validar","Rojo","Verde")</formula>
    </cfRule>
    <cfRule type="expression" priority="5315">
      <formula>#REF!</formula>
    </cfRule>
  </conditionalFormatting>
  <conditionalFormatting sqref="CD30">
    <cfRule type="expression" dxfId="529" priority="5352">
      <formula>CC30&lt;0</formula>
    </cfRule>
    <cfRule type="colorScale" priority="5351">
      <colorScale>
        <cfvo type="min"/>
        <cfvo type="max"/>
        <color theme="0"/>
        <color theme="0"/>
      </colorScale>
    </cfRule>
  </conditionalFormatting>
  <conditionalFormatting sqref="CD39">
    <cfRule type="expression" dxfId="528" priority="5312">
      <formula>CC39&lt;0</formula>
    </cfRule>
    <cfRule type="colorScale" priority="5310">
      <colorScale>
        <cfvo type="min"/>
        <cfvo type="max"/>
        <color theme="0"/>
        <color theme="0"/>
      </colorScale>
    </cfRule>
  </conditionalFormatting>
  <conditionalFormatting sqref="CD39:CD66">
    <cfRule type="expression" dxfId="527" priority="5309">
      <formula>IF(CD39="Validar","Rojo","Verde")</formula>
    </cfRule>
    <cfRule type="expression" priority="5311">
      <formula>#REF!</formula>
    </cfRule>
  </conditionalFormatting>
  <conditionalFormatting sqref="CD40:CD66">
    <cfRule type="expression" dxfId="526" priority="5350">
      <formula>CC40&lt;0</formula>
    </cfRule>
    <cfRule type="colorScale" priority="5349">
      <colorScale>
        <cfvo type="min"/>
        <cfvo type="max"/>
        <color theme="0"/>
        <color theme="0"/>
      </colorScale>
    </cfRule>
  </conditionalFormatting>
  <conditionalFormatting sqref="CD68">
    <cfRule type="colorScale" priority="5306">
      <colorScale>
        <cfvo type="min"/>
        <cfvo type="max"/>
        <color theme="0"/>
        <color theme="0"/>
      </colorScale>
    </cfRule>
    <cfRule type="expression" dxfId="525" priority="5308">
      <formula>CC68&lt;0</formula>
    </cfRule>
  </conditionalFormatting>
  <conditionalFormatting sqref="CD68:CD81">
    <cfRule type="expression" dxfId="524" priority="5305">
      <formula>IF(CD68="Validar","Rojo","Verde")</formula>
    </cfRule>
    <cfRule type="expression" priority="5307">
      <formula>#REF!</formula>
    </cfRule>
  </conditionalFormatting>
  <conditionalFormatting sqref="CD69:CD81">
    <cfRule type="expression" dxfId="523" priority="5368">
      <formula>CC69&lt;0</formula>
    </cfRule>
    <cfRule type="colorScale" priority="5367">
      <colorScale>
        <cfvo type="min"/>
        <cfvo type="max"/>
        <color theme="0"/>
        <color theme="0"/>
      </colorScale>
    </cfRule>
  </conditionalFormatting>
  <conditionalFormatting sqref="CD83">
    <cfRule type="expression" dxfId="522" priority="5291">
      <formula>CC83&lt;0</formula>
    </cfRule>
    <cfRule type="colorScale" priority="5289">
      <colorScale>
        <cfvo type="min"/>
        <cfvo type="max"/>
        <color theme="0"/>
        <color theme="0"/>
      </colorScale>
    </cfRule>
  </conditionalFormatting>
  <conditionalFormatting sqref="CD83:CD91">
    <cfRule type="expression" dxfId="521" priority="5288">
      <formula>IF(CD83="Validar","Rojo","Verde")</formula>
    </cfRule>
    <cfRule type="expression" priority="5290">
      <formula>#REF!</formula>
    </cfRule>
  </conditionalFormatting>
  <conditionalFormatting sqref="CD84:CD91">
    <cfRule type="colorScale" priority="5347">
      <colorScale>
        <cfvo type="min"/>
        <cfvo type="max"/>
        <color theme="0"/>
        <color theme="0"/>
      </colorScale>
    </cfRule>
    <cfRule type="expression" dxfId="520" priority="5348">
      <formula>CC84&lt;0</formula>
    </cfRule>
  </conditionalFormatting>
  <conditionalFormatting sqref="CD93">
    <cfRule type="colorScale" priority="5302">
      <colorScale>
        <cfvo type="min"/>
        <cfvo type="max"/>
        <color theme="0"/>
        <color theme="0"/>
      </colorScale>
    </cfRule>
    <cfRule type="expression" dxfId="519" priority="5304">
      <formula>CC93&lt;0</formula>
    </cfRule>
  </conditionalFormatting>
  <conditionalFormatting sqref="CD93:CD102">
    <cfRule type="expression" priority="5303">
      <formula>#REF!</formula>
    </cfRule>
    <cfRule type="expression" dxfId="518" priority="5301">
      <formula>IF(CD93="Validar","Rojo","Verde")</formula>
    </cfRule>
  </conditionalFormatting>
  <conditionalFormatting sqref="CD94:CD102">
    <cfRule type="colorScale" priority="5345">
      <colorScale>
        <cfvo type="min"/>
        <cfvo type="max"/>
        <color theme="0"/>
        <color theme="0"/>
      </colorScale>
    </cfRule>
    <cfRule type="expression" dxfId="517" priority="5346">
      <formula>CC94&lt;0</formula>
    </cfRule>
  </conditionalFormatting>
  <conditionalFormatting sqref="CD104">
    <cfRule type="colorScale" priority="5298">
      <colorScale>
        <cfvo type="min"/>
        <cfvo type="max"/>
        <color theme="0"/>
        <color theme="0"/>
      </colorScale>
    </cfRule>
    <cfRule type="expression" dxfId="516" priority="5300">
      <formula>CC104&lt;0</formula>
    </cfRule>
  </conditionalFormatting>
  <conditionalFormatting sqref="CD104:CD106">
    <cfRule type="expression" priority="5299">
      <formula>#REF!</formula>
    </cfRule>
    <cfRule type="expression" dxfId="515" priority="5297">
      <formula>IF(CD104="Validar","Rojo","Verde")</formula>
    </cfRule>
  </conditionalFormatting>
  <conditionalFormatting sqref="CD105:CD106">
    <cfRule type="colorScale" priority="5343">
      <colorScale>
        <cfvo type="min"/>
        <cfvo type="max"/>
        <color theme="0"/>
        <color theme="0"/>
      </colorScale>
    </cfRule>
    <cfRule type="expression" dxfId="514" priority="5344">
      <formula>CC105&lt;0</formula>
    </cfRule>
  </conditionalFormatting>
  <conditionalFormatting sqref="CD110">
    <cfRule type="colorScale" priority="5341">
      <colorScale>
        <cfvo type="min"/>
        <cfvo type="max"/>
        <color theme="0"/>
        <color theme="0"/>
      </colorScale>
    </cfRule>
    <cfRule type="expression" dxfId="513" priority="5342">
      <formula>CC110&lt;0</formula>
    </cfRule>
  </conditionalFormatting>
  <conditionalFormatting sqref="CD111">
    <cfRule type="colorScale" priority="5282">
      <colorScale>
        <cfvo type="min"/>
        <cfvo type="max"/>
        <color theme="0"/>
        <color theme="0"/>
      </colorScale>
    </cfRule>
    <cfRule type="expression" dxfId="512" priority="5284">
      <formula>CC111&lt;0</formula>
    </cfRule>
  </conditionalFormatting>
  <conditionalFormatting sqref="CD117:CD123">
    <cfRule type="colorScale" priority="5338">
      <colorScale>
        <cfvo type="min"/>
        <cfvo type="max"/>
        <color theme="0"/>
        <color theme="0"/>
      </colorScale>
    </cfRule>
    <cfRule type="expression" dxfId="511" priority="5340">
      <formula>CC117&lt;0</formula>
    </cfRule>
  </conditionalFormatting>
  <conditionalFormatting sqref="CD125">
    <cfRule type="colorScale" priority="5294">
      <colorScale>
        <cfvo type="min"/>
        <cfvo type="max"/>
        <color theme="0"/>
        <color theme="0"/>
      </colorScale>
    </cfRule>
    <cfRule type="expression" dxfId="510" priority="5296">
      <formula>CC125&lt;0</formula>
    </cfRule>
  </conditionalFormatting>
  <conditionalFormatting sqref="CD125:CD134">
    <cfRule type="expression" dxfId="509" priority="5293">
      <formula>IF(CD125="Validar","Rojo","Verde")</formula>
    </cfRule>
    <cfRule type="expression" priority="5295">
      <formula>#REF!</formula>
    </cfRule>
  </conditionalFormatting>
  <conditionalFormatting sqref="CD126:CD134">
    <cfRule type="colorScale" priority="5335">
      <colorScale>
        <cfvo type="min"/>
        <cfvo type="max"/>
        <color theme="0"/>
        <color theme="0"/>
      </colorScale>
    </cfRule>
    <cfRule type="expression" dxfId="508" priority="5336">
      <formula>CC126&lt;0</formula>
    </cfRule>
  </conditionalFormatting>
  <conditionalFormatting sqref="CF5">
    <cfRule type="expression" dxfId="507" priority="36">
      <formula>CE5&lt;0</formula>
    </cfRule>
    <cfRule type="colorScale" priority="35">
      <colorScale>
        <cfvo type="min"/>
        <cfvo type="max"/>
        <color theme="0"/>
        <color theme="0"/>
      </colorScale>
    </cfRule>
  </conditionalFormatting>
  <conditionalFormatting sqref="CF5:CF20">
    <cfRule type="expression" priority="34">
      <formula>#REF!</formula>
    </cfRule>
    <cfRule type="expression" dxfId="506" priority="33">
      <formula>IF(CF5="Validar","Rojo","Verde")</formula>
    </cfRule>
  </conditionalFormatting>
  <conditionalFormatting sqref="CF6">
    <cfRule type="expression" dxfId="505" priority="1400">
      <formula>CE6&lt;0</formula>
    </cfRule>
    <cfRule type="colorScale" priority="1399">
      <colorScale>
        <cfvo type="min"/>
        <cfvo type="max"/>
        <color theme="0"/>
        <color theme="0"/>
      </colorScale>
    </cfRule>
  </conditionalFormatting>
  <conditionalFormatting sqref="CF7:CF8">
    <cfRule type="expression" dxfId="504" priority="1396">
      <formula>CE7&lt;0</formula>
    </cfRule>
    <cfRule type="colorScale" priority="1395">
      <colorScale>
        <cfvo type="min"/>
        <cfvo type="max"/>
        <color theme="0"/>
        <color theme="0"/>
      </colorScale>
    </cfRule>
  </conditionalFormatting>
  <conditionalFormatting sqref="CF9">
    <cfRule type="colorScale" priority="1510">
      <colorScale>
        <cfvo type="min"/>
        <cfvo type="max"/>
        <color theme="0"/>
        <color theme="0"/>
      </colorScale>
    </cfRule>
    <cfRule type="expression" dxfId="503" priority="1511">
      <formula>CE9&lt;0</formula>
    </cfRule>
  </conditionalFormatting>
  <conditionalFormatting sqref="CF10">
    <cfRule type="expression" dxfId="502" priority="1488">
      <formula>CE10&lt;0</formula>
    </cfRule>
    <cfRule type="colorScale" priority="1487">
      <colorScale>
        <cfvo type="min"/>
        <cfvo type="max"/>
        <color theme="0"/>
        <color theme="0"/>
      </colorScale>
    </cfRule>
  </conditionalFormatting>
  <conditionalFormatting sqref="CF11:CF13">
    <cfRule type="colorScale" priority="1508">
      <colorScale>
        <cfvo type="min"/>
        <cfvo type="max"/>
        <color theme="0"/>
        <color theme="0"/>
      </colorScale>
    </cfRule>
    <cfRule type="expression" dxfId="501" priority="1509">
      <formula>CE11&lt;0</formula>
    </cfRule>
  </conditionalFormatting>
  <conditionalFormatting sqref="CF14">
    <cfRule type="expression" dxfId="500" priority="276">
      <formula>CE14&lt;0</formula>
    </cfRule>
    <cfRule type="colorScale" priority="275">
      <colorScale>
        <cfvo type="min"/>
        <cfvo type="max"/>
        <color theme="0"/>
        <color theme="0"/>
      </colorScale>
    </cfRule>
  </conditionalFormatting>
  <conditionalFormatting sqref="CF15">
    <cfRule type="expression" dxfId="499" priority="1486">
      <formula>CE15&lt;0</formula>
    </cfRule>
    <cfRule type="colorScale" priority="1485">
      <colorScale>
        <cfvo type="min"/>
        <cfvo type="max"/>
        <color theme="0"/>
        <color theme="0"/>
      </colorScale>
    </cfRule>
  </conditionalFormatting>
  <conditionalFormatting sqref="CF16:CF17">
    <cfRule type="colorScale" priority="1506">
      <colorScale>
        <cfvo type="min"/>
        <cfvo type="max"/>
        <color theme="0"/>
        <color theme="0"/>
      </colorScale>
    </cfRule>
    <cfRule type="expression" dxfId="498" priority="1507">
      <formula>CE16&lt;0</formula>
    </cfRule>
  </conditionalFormatting>
  <conditionalFormatting sqref="CF18">
    <cfRule type="colorScale" priority="1482">
      <colorScale>
        <cfvo type="min"/>
        <cfvo type="max"/>
        <color theme="0"/>
        <color theme="0"/>
      </colorScale>
    </cfRule>
    <cfRule type="expression" dxfId="497" priority="1484">
      <formula>CE18&lt;0</formula>
    </cfRule>
  </conditionalFormatting>
  <conditionalFormatting sqref="CF19:CF20">
    <cfRule type="expression" dxfId="496" priority="1505">
      <formula>CE19&lt;0</formula>
    </cfRule>
    <cfRule type="colorScale" priority="1504">
      <colorScale>
        <cfvo type="min"/>
        <cfvo type="max"/>
        <color theme="0"/>
        <color theme="0"/>
      </colorScale>
    </cfRule>
  </conditionalFormatting>
  <conditionalFormatting sqref="CF23">
    <cfRule type="expression" dxfId="495" priority="1480">
      <formula>CE23&lt;0</formula>
    </cfRule>
    <cfRule type="colorScale" priority="1479">
      <colorScale>
        <cfvo type="min"/>
        <cfvo type="max"/>
        <color theme="0"/>
        <color theme="0"/>
      </colorScale>
    </cfRule>
  </conditionalFormatting>
  <conditionalFormatting sqref="CF23:CF31">
    <cfRule type="expression" priority="1475">
      <formula>#REF!</formula>
    </cfRule>
    <cfRule type="expression" dxfId="494" priority="1473">
      <formula>IF(CF23="Validar","Rojo","Verde")</formula>
    </cfRule>
  </conditionalFormatting>
  <conditionalFormatting sqref="CF24">
    <cfRule type="colorScale" priority="1502">
      <colorScale>
        <cfvo type="min"/>
        <cfvo type="max"/>
        <color theme="0"/>
        <color theme="0"/>
      </colorScale>
    </cfRule>
    <cfRule type="expression" dxfId="493" priority="1503">
      <formula>CE24&lt;0</formula>
    </cfRule>
  </conditionalFormatting>
  <conditionalFormatting sqref="CF25">
    <cfRule type="colorScale" priority="1500">
      <colorScale>
        <cfvo type="min"/>
        <cfvo type="max"/>
        <color theme="0"/>
        <color theme="0"/>
      </colorScale>
    </cfRule>
    <cfRule type="expression" dxfId="492" priority="1501">
      <formula>CE25&lt;0</formula>
    </cfRule>
  </conditionalFormatting>
  <conditionalFormatting sqref="CF26">
    <cfRule type="colorScale" priority="1477">
      <colorScale>
        <cfvo type="min"/>
        <cfvo type="max"/>
        <color theme="0"/>
        <color theme="0"/>
      </colorScale>
    </cfRule>
    <cfRule type="expression" dxfId="491" priority="1478">
      <formula>CE26&lt;0</formula>
    </cfRule>
  </conditionalFormatting>
  <conditionalFormatting sqref="CF27">
    <cfRule type="expression" dxfId="490" priority="1499">
      <formula>CE27&lt;0</formula>
    </cfRule>
    <cfRule type="colorScale" priority="1498">
      <colorScale>
        <cfvo type="min"/>
        <cfvo type="max"/>
        <color theme="0"/>
        <color theme="0"/>
      </colorScale>
    </cfRule>
  </conditionalFormatting>
  <conditionalFormatting sqref="CF28">
    <cfRule type="expression" dxfId="489" priority="1497">
      <formula>CE28&lt;0</formula>
    </cfRule>
    <cfRule type="colorScale" priority="1496">
      <colorScale>
        <cfvo type="min"/>
        <cfvo type="max"/>
        <color theme="0"/>
        <color theme="0"/>
      </colorScale>
    </cfRule>
  </conditionalFormatting>
  <conditionalFormatting sqref="CF29">
    <cfRule type="expression" dxfId="488" priority="1476">
      <formula>CE29&lt;0</formula>
    </cfRule>
    <cfRule type="colorScale" priority="1474">
      <colorScale>
        <cfvo type="min"/>
        <cfvo type="max"/>
        <color theme="0"/>
        <color theme="0"/>
      </colorScale>
    </cfRule>
  </conditionalFormatting>
  <conditionalFormatting sqref="CF30">
    <cfRule type="expression" dxfId="487" priority="1495">
      <formula>CE30&lt;0</formula>
    </cfRule>
    <cfRule type="colorScale" priority="1494">
      <colorScale>
        <cfvo type="min"/>
        <cfvo type="max"/>
        <color theme="0"/>
        <color theme="0"/>
      </colorScale>
    </cfRule>
  </conditionalFormatting>
  <conditionalFormatting sqref="CF31">
    <cfRule type="expression" dxfId="486" priority="1493">
      <formula>CE31&lt;0</formula>
    </cfRule>
    <cfRule type="colorScale" priority="1492">
      <colorScale>
        <cfvo type="min"/>
        <cfvo type="max"/>
        <color theme="0"/>
        <color theme="0"/>
      </colorScale>
    </cfRule>
  </conditionalFormatting>
  <conditionalFormatting sqref="CF39">
    <cfRule type="expression" priority="1471">
      <formula>#REF!</formula>
    </cfRule>
    <cfRule type="colorScale" priority="1470">
      <colorScale>
        <cfvo type="min"/>
        <cfvo type="max"/>
        <color theme="0"/>
        <color theme="0"/>
      </colorScale>
    </cfRule>
    <cfRule type="expression" dxfId="485" priority="1472">
      <formula>CE39&lt;0</formula>
    </cfRule>
  </conditionalFormatting>
  <conditionalFormatting sqref="CF39:CF107">
    <cfRule type="expression" dxfId="484" priority="1408">
      <formula>IF(CF39="Validar","Rojo","Verde")</formula>
    </cfRule>
  </conditionalFormatting>
  <conditionalFormatting sqref="CF40:CF67">
    <cfRule type="expression" priority="1490">
      <formula>$F$19</formula>
    </cfRule>
    <cfRule type="colorScale" priority="1489">
      <colorScale>
        <cfvo type="min"/>
        <cfvo type="max"/>
        <color theme="0"/>
        <color theme="0"/>
      </colorScale>
    </cfRule>
    <cfRule type="expression" dxfId="483" priority="1491">
      <formula>CE40&lt;0</formula>
    </cfRule>
  </conditionalFormatting>
  <conditionalFormatting sqref="CF68">
    <cfRule type="colorScale" priority="1467">
      <colorScale>
        <cfvo type="min"/>
        <cfvo type="max"/>
        <color theme="0"/>
        <color theme="0"/>
      </colorScale>
    </cfRule>
    <cfRule type="expression" dxfId="482" priority="1469">
      <formula>CE68&lt;0</formula>
    </cfRule>
    <cfRule type="expression" priority="1468">
      <formula>#REF!</formula>
    </cfRule>
  </conditionalFormatting>
  <conditionalFormatting sqref="CF69:CF81">
    <cfRule type="colorScale" priority="1514">
      <colorScale>
        <cfvo type="min"/>
        <cfvo type="max"/>
        <color theme="0"/>
        <color theme="0"/>
      </colorScale>
    </cfRule>
    <cfRule type="expression" priority="1515">
      <formula>$F$19</formula>
    </cfRule>
    <cfRule type="expression" dxfId="481" priority="1516">
      <formula>CE69&lt;0</formula>
    </cfRule>
  </conditionalFormatting>
  <conditionalFormatting sqref="CF82 CF92 CF103 CF107">
    <cfRule type="expression" dxfId="480" priority="1513">
      <formula>CE82&lt;0</formula>
    </cfRule>
    <cfRule type="colorScale" priority="1512">
      <colorScale>
        <cfvo type="min"/>
        <cfvo type="max"/>
        <color theme="0"/>
        <color theme="0"/>
      </colorScale>
    </cfRule>
  </conditionalFormatting>
  <conditionalFormatting sqref="CF83">
    <cfRule type="colorScale" priority="1409">
      <colorScale>
        <cfvo type="min"/>
        <cfvo type="max"/>
        <color theme="0"/>
        <color theme="0"/>
      </colorScale>
    </cfRule>
    <cfRule type="expression" priority="1410">
      <formula>#REF!</formula>
    </cfRule>
    <cfRule type="expression" dxfId="479" priority="1411">
      <formula>CE83&lt;0</formula>
    </cfRule>
  </conditionalFormatting>
  <conditionalFormatting sqref="CF84:CF91">
    <cfRule type="colorScale" priority="1517">
      <colorScale>
        <cfvo type="min"/>
        <cfvo type="max"/>
        <color theme="0"/>
        <color theme="0"/>
      </colorScale>
    </cfRule>
    <cfRule type="expression" dxfId="478" priority="1519">
      <formula>CE84&lt;0</formula>
    </cfRule>
    <cfRule type="expression" priority="1518">
      <formula>$F$19</formula>
    </cfRule>
  </conditionalFormatting>
  <conditionalFormatting sqref="CF93">
    <cfRule type="expression" dxfId="477" priority="1466">
      <formula>CE93&lt;0</formula>
    </cfRule>
    <cfRule type="expression" priority="1465">
      <formula>#REF!</formula>
    </cfRule>
    <cfRule type="colorScale" priority="1464">
      <colorScale>
        <cfvo type="min"/>
        <cfvo type="max"/>
        <color theme="0"/>
        <color theme="0"/>
      </colorScale>
    </cfRule>
  </conditionalFormatting>
  <conditionalFormatting sqref="CF94:CF102">
    <cfRule type="colorScale" priority="1520">
      <colorScale>
        <cfvo type="min"/>
        <cfvo type="max"/>
        <color theme="0"/>
        <color theme="0"/>
      </colorScale>
    </cfRule>
    <cfRule type="expression" priority="1521">
      <formula>$F$19</formula>
    </cfRule>
    <cfRule type="expression" dxfId="476" priority="1522">
      <formula>CE94&lt;0</formula>
    </cfRule>
  </conditionalFormatting>
  <conditionalFormatting sqref="CF104">
    <cfRule type="expression" dxfId="475" priority="1463">
      <formula>CE104&lt;0</formula>
    </cfRule>
    <cfRule type="expression" priority="1462">
      <formula>#REF!</formula>
    </cfRule>
    <cfRule type="colorScale" priority="1461">
      <colorScale>
        <cfvo type="min"/>
        <cfvo type="max"/>
        <color theme="0"/>
        <color theme="0"/>
      </colorScale>
    </cfRule>
  </conditionalFormatting>
  <conditionalFormatting sqref="CF105:CF106">
    <cfRule type="expression" priority="1524">
      <formula>$F$19</formula>
    </cfRule>
    <cfRule type="colorScale" priority="1523">
      <colorScale>
        <cfvo type="min"/>
        <cfvo type="max"/>
        <color theme="0"/>
        <color theme="0"/>
      </colorScale>
    </cfRule>
    <cfRule type="expression" dxfId="474" priority="1525">
      <formula>CE105&lt;0</formula>
    </cfRule>
  </conditionalFormatting>
  <conditionalFormatting sqref="CF110">
    <cfRule type="colorScale" priority="1526">
      <colorScale>
        <cfvo type="min"/>
        <cfvo type="max"/>
        <color theme="0"/>
        <color theme="0"/>
      </colorScale>
    </cfRule>
    <cfRule type="expression" dxfId="473" priority="1527">
      <formula>CE110&lt;0</formula>
    </cfRule>
  </conditionalFormatting>
  <conditionalFormatting sqref="CF110:CF111">
    <cfRule type="expression" priority="1406">
      <formula>$F$19</formula>
    </cfRule>
  </conditionalFormatting>
  <conditionalFormatting sqref="CF111">
    <cfRule type="expression" dxfId="472" priority="1407">
      <formula>CE111&lt;0</formula>
    </cfRule>
    <cfRule type="colorScale" priority="1405">
      <colorScale>
        <cfvo type="min"/>
        <cfvo type="max"/>
        <color theme="0"/>
        <color theme="0"/>
      </colorScale>
    </cfRule>
  </conditionalFormatting>
  <conditionalFormatting sqref="CF117:CF123">
    <cfRule type="expression" priority="1532">
      <formula>$F$19</formula>
    </cfRule>
    <cfRule type="expression" dxfId="471" priority="1533">
      <formula>CE117&lt;0</formula>
    </cfRule>
    <cfRule type="colorScale" priority="1531">
      <colorScale>
        <cfvo type="min"/>
        <cfvo type="max"/>
        <color theme="0"/>
        <color theme="0"/>
      </colorScale>
    </cfRule>
  </conditionalFormatting>
  <conditionalFormatting sqref="CF125">
    <cfRule type="expression" dxfId="470" priority="1460">
      <formula>CE125&lt;0</formula>
    </cfRule>
    <cfRule type="colorScale" priority="1458">
      <colorScale>
        <cfvo type="min"/>
        <cfvo type="max"/>
        <color theme="0"/>
        <color theme="0"/>
      </colorScale>
    </cfRule>
    <cfRule type="expression" priority="1459">
      <formula>#REF!</formula>
    </cfRule>
  </conditionalFormatting>
  <conditionalFormatting sqref="CF125:CF135">
    <cfRule type="expression" dxfId="469" priority="1457">
      <formula>IF(CF125="Validar","Rojo","Verde")</formula>
    </cfRule>
  </conditionalFormatting>
  <conditionalFormatting sqref="CF126:CF132">
    <cfRule type="colorScale" priority="1534">
      <colorScale>
        <cfvo type="min"/>
        <cfvo type="max"/>
        <color theme="0"/>
        <color theme="0"/>
      </colorScale>
    </cfRule>
    <cfRule type="expression" dxfId="468" priority="1536">
      <formula>CE126&lt;0</formula>
    </cfRule>
  </conditionalFormatting>
  <conditionalFormatting sqref="CF126:CF134">
    <cfRule type="expression" priority="1535">
      <formula>$F$19</formula>
    </cfRule>
  </conditionalFormatting>
  <conditionalFormatting sqref="CF133:CF134">
    <cfRule type="expression" dxfId="467" priority="1538">
      <formula>CE133&lt;0</formula>
    </cfRule>
    <cfRule type="colorScale" priority="1537">
      <colorScale>
        <cfvo type="min"/>
        <cfvo type="max"/>
        <color theme="0"/>
        <color theme="0"/>
      </colorScale>
    </cfRule>
  </conditionalFormatting>
  <conditionalFormatting sqref="CF135">
    <cfRule type="colorScale" priority="1528">
      <colorScale>
        <cfvo type="min"/>
        <cfvo type="max"/>
        <color theme="0"/>
        <color theme="0"/>
      </colorScale>
    </cfRule>
    <cfRule type="expression" priority="1529">
      <formula>$F$23</formula>
    </cfRule>
    <cfRule type="expression" dxfId="466" priority="1530">
      <formula>CE135&lt;0</formula>
    </cfRule>
  </conditionalFormatting>
  <conditionalFormatting sqref="CF110:CG111">
    <cfRule type="expression" dxfId="465" priority="1401">
      <formula>IF(CF110="Validar","Rojo","Verde")</formula>
    </cfRule>
  </conditionalFormatting>
  <conditionalFormatting sqref="CF117:CG123">
    <cfRule type="expression" dxfId="464" priority="1414">
      <formula>IF(CF117="Validar","Rojo","Verde")</formula>
    </cfRule>
  </conditionalFormatting>
  <conditionalFormatting sqref="CG40:CG66">
    <cfRule type="colorScale" priority="1449">
      <colorScale>
        <cfvo type="min"/>
        <cfvo type="max"/>
        <color theme="0"/>
        <color theme="0"/>
      </colorScale>
    </cfRule>
    <cfRule type="expression" priority="1450">
      <formula>#REF!</formula>
    </cfRule>
    <cfRule type="expression" dxfId="463" priority="1451">
      <formula>CF40&lt;0</formula>
    </cfRule>
  </conditionalFormatting>
  <conditionalFormatting sqref="CG40:CG67">
    <cfRule type="expression" dxfId="462" priority="1448">
      <formula>IF(CG40="Validar","Rojo","Verde")</formula>
    </cfRule>
  </conditionalFormatting>
  <conditionalFormatting sqref="CG67 CF82:CG82 CF92:CG92 CF103:CG103 CF107:CG107">
    <cfRule type="expression" priority="1453">
      <formula>$F$23</formula>
    </cfRule>
  </conditionalFormatting>
  <conditionalFormatting sqref="CG67 CG82 CG92 CG103 CG107">
    <cfRule type="colorScale" priority="1452">
      <colorScale>
        <cfvo type="min"/>
        <cfvo type="max"/>
        <color theme="0"/>
        <color theme="0"/>
      </colorScale>
    </cfRule>
    <cfRule type="expression" dxfId="461" priority="1454">
      <formula>CF67&lt;0</formula>
    </cfRule>
  </conditionalFormatting>
  <conditionalFormatting sqref="CG69">
    <cfRule type="expression" dxfId="460" priority="1447">
      <formula>CF69&lt;0</formula>
    </cfRule>
    <cfRule type="colorScale" priority="1446">
      <colorScale>
        <cfvo type="min"/>
        <cfvo type="max"/>
        <color theme="0"/>
        <color theme="0"/>
      </colorScale>
    </cfRule>
  </conditionalFormatting>
  <conditionalFormatting sqref="CG69:CG81">
    <cfRule type="expression" priority="1444">
      <formula>#REF!</formula>
    </cfRule>
  </conditionalFormatting>
  <conditionalFormatting sqref="CG69:CG82">
    <cfRule type="expression" dxfId="459" priority="1442">
      <formula>IF(CG69="Validar","Rojo","Verde")</formula>
    </cfRule>
  </conditionalFormatting>
  <conditionalFormatting sqref="CG70:CG78">
    <cfRule type="expression" dxfId="458" priority="1445">
      <formula>CF70&lt;0</formula>
    </cfRule>
    <cfRule type="colorScale" priority="1443">
      <colorScale>
        <cfvo type="min"/>
        <cfvo type="max"/>
        <color theme="0"/>
        <color theme="0"/>
      </colorScale>
    </cfRule>
  </conditionalFormatting>
  <conditionalFormatting sqref="CG79:CG81">
    <cfRule type="colorScale" priority="1455">
      <colorScale>
        <cfvo type="min"/>
        <cfvo type="max"/>
        <color theme="0"/>
        <color theme="0"/>
      </colorScale>
    </cfRule>
    <cfRule type="expression" dxfId="457" priority="1456">
      <formula>CF79&lt;0</formula>
    </cfRule>
  </conditionalFormatting>
  <conditionalFormatting sqref="CG84">
    <cfRule type="expression" dxfId="456" priority="1441">
      <formula>CF84&lt;0</formula>
    </cfRule>
    <cfRule type="colorScale" priority="1440">
      <colorScale>
        <cfvo type="min"/>
        <cfvo type="max"/>
        <color theme="0"/>
        <color theme="0"/>
      </colorScale>
    </cfRule>
  </conditionalFormatting>
  <conditionalFormatting sqref="CG84:CG91">
    <cfRule type="expression" priority="1438">
      <formula>#REF!</formula>
    </cfRule>
  </conditionalFormatting>
  <conditionalFormatting sqref="CG84:CG92">
    <cfRule type="expression" dxfId="455" priority="1436">
      <formula>IF(CG84="Validar","Rojo","Verde")</formula>
    </cfRule>
  </conditionalFormatting>
  <conditionalFormatting sqref="CG85:CG91">
    <cfRule type="expression" dxfId="454" priority="1439">
      <formula>CF85&lt;0</formula>
    </cfRule>
    <cfRule type="colorScale" priority="1437">
      <colorScale>
        <cfvo type="min"/>
        <cfvo type="max"/>
        <color theme="0"/>
        <color theme="0"/>
      </colorScale>
    </cfRule>
  </conditionalFormatting>
  <conditionalFormatting sqref="CG94">
    <cfRule type="expression" dxfId="453" priority="1435">
      <formula>CF94&lt;0</formula>
    </cfRule>
    <cfRule type="colorScale" priority="1434">
      <colorScale>
        <cfvo type="min"/>
        <cfvo type="max"/>
        <color theme="0"/>
        <color theme="0"/>
      </colorScale>
    </cfRule>
  </conditionalFormatting>
  <conditionalFormatting sqref="CG94:CG102">
    <cfRule type="expression" priority="1428">
      <formula>#REF!</formula>
    </cfRule>
  </conditionalFormatting>
  <conditionalFormatting sqref="CG94:CG103">
    <cfRule type="expression" dxfId="452" priority="1426">
      <formula>IF(CG94="Validar","Rojo","Verde")</formula>
    </cfRule>
  </conditionalFormatting>
  <conditionalFormatting sqref="CG95:CG100">
    <cfRule type="expression" dxfId="451" priority="1433">
      <formula>CF95&lt;0</formula>
    </cfRule>
    <cfRule type="colorScale" priority="1432">
      <colorScale>
        <cfvo type="min"/>
        <cfvo type="max"/>
        <color theme="0"/>
        <color theme="0"/>
      </colorScale>
    </cfRule>
  </conditionalFormatting>
  <conditionalFormatting sqref="CG101">
    <cfRule type="colorScale" priority="1430">
      <colorScale>
        <cfvo type="min"/>
        <cfvo type="max"/>
        <color theme="0"/>
        <color theme="0"/>
      </colorScale>
    </cfRule>
    <cfRule type="expression" dxfId="450" priority="1431">
      <formula>CF101&lt;0</formula>
    </cfRule>
  </conditionalFormatting>
  <conditionalFormatting sqref="CG102">
    <cfRule type="expression" dxfId="449" priority="1429">
      <formula>CF102&lt;0</formula>
    </cfRule>
    <cfRule type="colorScale" priority="1427">
      <colorScale>
        <cfvo type="min"/>
        <cfvo type="max"/>
        <color theme="0"/>
        <color theme="0"/>
      </colorScale>
    </cfRule>
  </conditionalFormatting>
  <conditionalFormatting sqref="CG105">
    <cfRule type="expression" dxfId="448" priority="1425">
      <formula>CF105&lt;0</formula>
    </cfRule>
    <cfRule type="colorScale" priority="1424">
      <colorScale>
        <cfvo type="min"/>
        <cfvo type="max"/>
        <color theme="0"/>
        <color theme="0"/>
      </colorScale>
    </cfRule>
  </conditionalFormatting>
  <conditionalFormatting sqref="CG105:CG106">
    <cfRule type="expression" priority="1422">
      <formula>#REF!</formula>
    </cfRule>
  </conditionalFormatting>
  <conditionalFormatting sqref="CG105:CG107">
    <cfRule type="expression" dxfId="447" priority="1420">
      <formula>IF(CG105="Validar","Rojo","Verde")</formula>
    </cfRule>
  </conditionalFormatting>
  <conditionalFormatting sqref="CG106">
    <cfRule type="colorScale" priority="1421">
      <colorScale>
        <cfvo type="min"/>
        <cfvo type="max"/>
        <color theme="0"/>
        <color theme="0"/>
      </colorScale>
    </cfRule>
    <cfRule type="expression" dxfId="446" priority="1423">
      <formula>CF106&lt;0</formula>
    </cfRule>
  </conditionalFormatting>
  <conditionalFormatting sqref="CG110">
    <cfRule type="colorScale" priority="1412">
      <colorScale>
        <cfvo type="min"/>
        <cfvo type="max"/>
        <color theme="0"/>
        <color theme="0"/>
      </colorScale>
    </cfRule>
    <cfRule type="expression" dxfId="445" priority="1413">
      <formula>CF110&lt;0</formula>
    </cfRule>
  </conditionalFormatting>
  <conditionalFormatting sqref="CG110:CG111">
    <cfRule type="expression" priority="1403">
      <formula>#REF!</formula>
    </cfRule>
  </conditionalFormatting>
  <conditionalFormatting sqref="CG111">
    <cfRule type="expression" dxfId="444" priority="1404">
      <formula>CF111&lt;0</formula>
    </cfRule>
    <cfRule type="colorScale" priority="1402">
      <colorScale>
        <cfvo type="min"/>
        <cfvo type="max"/>
        <color theme="0"/>
        <color theme="0"/>
      </colorScale>
    </cfRule>
  </conditionalFormatting>
  <conditionalFormatting sqref="CG117">
    <cfRule type="expression" dxfId="443" priority="1419">
      <formula>CF117&lt;0</formula>
    </cfRule>
    <cfRule type="colorScale" priority="1418">
      <colorScale>
        <cfvo type="min"/>
        <cfvo type="max"/>
        <color theme="0"/>
        <color theme="0"/>
      </colorScale>
    </cfRule>
  </conditionalFormatting>
  <conditionalFormatting sqref="CG117:CG123">
    <cfRule type="expression" priority="1416">
      <formula>#REF!</formula>
    </cfRule>
  </conditionalFormatting>
  <conditionalFormatting sqref="CG118:CG123">
    <cfRule type="expression" dxfId="442" priority="1417">
      <formula>CF118&lt;0</formula>
    </cfRule>
    <cfRule type="colorScale" priority="1415">
      <colorScale>
        <cfvo type="min"/>
        <cfvo type="max"/>
        <color theme="0"/>
        <color theme="0"/>
      </colorScale>
    </cfRule>
  </conditionalFormatting>
  <conditionalFormatting sqref="CG126:CG135">
    <cfRule type="expression" dxfId="441" priority="1539">
      <formula>IF(CG126="Validar","Rojo","Verde")</formula>
    </cfRule>
    <cfRule type="colorScale" priority="1540">
      <colorScale>
        <cfvo type="min"/>
        <cfvo type="max"/>
        <color theme="0"/>
        <color theme="0"/>
      </colorScale>
    </cfRule>
    <cfRule type="expression" priority="1541">
      <formula>$F$23</formula>
    </cfRule>
    <cfRule type="expression" dxfId="440" priority="1542">
      <formula>CF126&lt;0</formula>
    </cfRule>
  </conditionalFormatting>
  <conditionalFormatting sqref="CI5">
    <cfRule type="colorScale" priority="31">
      <colorScale>
        <cfvo type="min"/>
        <cfvo type="max"/>
        <color theme="0"/>
        <color theme="0"/>
      </colorScale>
    </cfRule>
    <cfRule type="expression" dxfId="439" priority="32">
      <formula>CH5&lt;0</formula>
    </cfRule>
  </conditionalFormatting>
  <conditionalFormatting sqref="CI5:CI20">
    <cfRule type="expression" dxfId="438" priority="29">
      <formula>IF(CI5="Validar","Rojo","Verde")</formula>
    </cfRule>
    <cfRule type="expression" priority="30">
      <formula>#REF!</formula>
    </cfRule>
  </conditionalFormatting>
  <conditionalFormatting sqref="CI6">
    <cfRule type="expression" dxfId="437" priority="1250">
      <formula>CH6&lt;0</formula>
    </cfRule>
    <cfRule type="colorScale" priority="1249">
      <colorScale>
        <cfvo type="min"/>
        <cfvo type="max"/>
        <color theme="0"/>
        <color theme="0"/>
      </colorScale>
    </cfRule>
  </conditionalFormatting>
  <conditionalFormatting sqref="CI7:CI8">
    <cfRule type="colorScale" priority="1245">
      <colorScale>
        <cfvo type="min"/>
        <cfvo type="max"/>
        <color theme="0"/>
        <color theme="0"/>
      </colorScale>
    </cfRule>
    <cfRule type="expression" dxfId="436" priority="1246">
      <formula>CH7&lt;0</formula>
    </cfRule>
  </conditionalFormatting>
  <conditionalFormatting sqref="CI9">
    <cfRule type="colorScale" priority="1360">
      <colorScale>
        <cfvo type="min"/>
        <cfvo type="max"/>
        <color theme="0"/>
        <color theme="0"/>
      </colorScale>
    </cfRule>
    <cfRule type="expression" dxfId="435" priority="1361">
      <formula>CH9&lt;0</formula>
    </cfRule>
  </conditionalFormatting>
  <conditionalFormatting sqref="CI10">
    <cfRule type="colorScale" priority="1337">
      <colorScale>
        <cfvo type="min"/>
        <cfvo type="max"/>
        <color theme="0"/>
        <color theme="0"/>
      </colorScale>
    </cfRule>
    <cfRule type="expression" dxfId="434" priority="1338">
      <formula>CH10&lt;0</formula>
    </cfRule>
  </conditionalFormatting>
  <conditionalFormatting sqref="CI11:CI13">
    <cfRule type="expression" dxfId="433" priority="1359">
      <formula>CH11&lt;0</formula>
    </cfRule>
    <cfRule type="colorScale" priority="1358">
      <colorScale>
        <cfvo type="min"/>
        <cfvo type="max"/>
        <color theme="0"/>
        <color theme="0"/>
      </colorScale>
    </cfRule>
  </conditionalFormatting>
  <conditionalFormatting sqref="CI14">
    <cfRule type="colorScale" priority="207">
      <colorScale>
        <cfvo type="min"/>
        <cfvo type="max"/>
        <color theme="0"/>
        <color theme="0"/>
      </colorScale>
    </cfRule>
    <cfRule type="expression" dxfId="432" priority="208">
      <formula>CH14&lt;0</formula>
    </cfRule>
  </conditionalFormatting>
  <conditionalFormatting sqref="CI15">
    <cfRule type="colorScale" priority="1335">
      <colorScale>
        <cfvo type="min"/>
        <cfvo type="max"/>
        <color theme="0"/>
        <color theme="0"/>
      </colorScale>
    </cfRule>
    <cfRule type="expression" dxfId="431" priority="1336">
      <formula>CH15&lt;0</formula>
    </cfRule>
  </conditionalFormatting>
  <conditionalFormatting sqref="CI16:CI17">
    <cfRule type="colorScale" priority="1356">
      <colorScale>
        <cfvo type="min"/>
        <cfvo type="max"/>
        <color theme="0"/>
        <color theme="0"/>
      </colorScale>
    </cfRule>
    <cfRule type="expression" dxfId="430" priority="1357">
      <formula>CH16&lt;0</formula>
    </cfRule>
  </conditionalFormatting>
  <conditionalFormatting sqref="CI18">
    <cfRule type="colorScale" priority="1332">
      <colorScale>
        <cfvo type="min"/>
        <cfvo type="max"/>
        <color theme="0"/>
        <color theme="0"/>
      </colorScale>
    </cfRule>
    <cfRule type="expression" dxfId="429" priority="1334">
      <formula>CH18&lt;0</formula>
    </cfRule>
  </conditionalFormatting>
  <conditionalFormatting sqref="CI19:CI20">
    <cfRule type="colorScale" priority="1354">
      <colorScale>
        <cfvo type="min"/>
        <cfvo type="max"/>
        <color theme="0"/>
        <color theme="0"/>
      </colorScale>
    </cfRule>
    <cfRule type="expression" dxfId="428" priority="1355">
      <formula>CH19&lt;0</formula>
    </cfRule>
  </conditionalFormatting>
  <conditionalFormatting sqref="CI23">
    <cfRule type="colorScale" priority="1329">
      <colorScale>
        <cfvo type="min"/>
        <cfvo type="max"/>
        <color theme="0"/>
        <color theme="0"/>
      </colorScale>
    </cfRule>
    <cfRule type="expression" dxfId="427" priority="1330">
      <formula>CH23&lt;0</formula>
    </cfRule>
  </conditionalFormatting>
  <conditionalFormatting sqref="CI23:CI31">
    <cfRule type="expression" dxfId="426" priority="1323">
      <formula>IF(CI23="Validar","Rojo","Verde")</formula>
    </cfRule>
    <cfRule type="expression" priority="1325">
      <formula>#REF!</formula>
    </cfRule>
  </conditionalFormatting>
  <conditionalFormatting sqref="CI24">
    <cfRule type="expression" dxfId="425" priority="1353">
      <formula>CH24&lt;0</formula>
    </cfRule>
    <cfRule type="colorScale" priority="1352">
      <colorScale>
        <cfvo type="min"/>
        <cfvo type="max"/>
        <color theme="0"/>
        <color theme="0"/>
      </colorScale>
    </cfRule>
  </conditionalFormatting>
  <conditionalFormatting sqref="CI25">
    <cfRule type="expression" dxfId="424" priority="1351">
      <formula>CH25&lt;0</formula>
    </cfRule>
    <cfRule type="colorScale" priority="1350">
      <colorScale>
        <cfvo type="min"/>
        <cfvo type="max"/>
        <color theme="0"/>
        <color theme="0"/>
      </colorScale>
    </cfRule>
  </conditionalFormatting>
  <conditionalFormatting sqref="CI26">
    <cfRule type="colorScale" priority="1327">
      <colorScale>
        <cfvo type="min"/>
        <cfvo type="max"/>
        <color theme="0"/>
        <color theme="0"/>
      </colorScale>
    </cfRule>
    <cfRule type="expression" dxfId="423" priority="1328">
      <formula>CH26&lt;0</formula>
    </cfRule>
  </conditionalFormatting>
  <conditionalFormatting sqref="CI27">
    <cfRule type="colorScale" priority="1348">
      <colorScale>
        <cfvo type="min"/>
        <cfvo type="max"/>
        <color theme="0"/>
        <color theme="0"/>
      </colorScale>
    </cfRule>
    <cfRule type="expression" dxfId="422" priority="1349">
      <formula>CH27&lt;0</formula>
    </cfRule>
  </conditionalFormatting>
  <conditionalFormatting sqref="CI28">
    <cfRule type="colorScale" priority="1346">
      <colorScale>
        <cfvo type="min"/>
        <cfvo type="max"/>
        <color theme="0"/>
        <color theme="0"/>
      </colorScale>
    </cfRule>
    <cfRule type="expression" dxfId="421" priority="1347">
      <formula>CH28&lt;0</formula>
    </cfRule>
  </conditionalFormatting>
  <conditionalFormatting sqref="CI29">
    <cfRule type="colorScale" priority="1324">
      <colorScale>
        <cfvo type="min"/>
        <cfvo type="max"/>
        <color theme="0"/>
        <color theme="0"/>
      </colorScale>
    </cfRule>
    <cfRule type="expression" dxfId="420" priority="1326">
      <formula>CH29&lt;0</formula>
    </cfRule>
  </conditionalFormatting>
  <conditionalFormatting sqref="CI30">
    <cfRule type="expression" dxfId="419" priority="1345">
      <formula>CH30&lt;0</formula>
    </cfRule>
    <cfRule type="colorScale" priority="1344">
      <colorScale>
        <cfvo type="min"/>
        <cfvo type="max"/>
        <color theme="0"/>
        <color theme="0"/>
      </colorScale>
    </cfRule>
  </conditionalFormatting>
  <conditionalFormatting sqref="CI31">
    <cfRule type="expression" dxfId="418" priority="1343">
      <formula>CH31&lt;0</formula>
    </cfRule>
    <cfRule type="colorScale" priority="1342">
      <colorScale>
        <cfvo type="min"/>
        <cfvo type="max"/>
        <color theme="0"/>
        <color theme="0"/>
      </colorScale>
    </cfRule>
  </conditionalFormatting>
  <conditionalFormatting sqref="CI39">
    <cfRule type="expression" priority="1321">
      <formula>#REF!</formula>
    </cfRule>
    <cfRule type="expression" dxfId="417" priority="1322">
      <formula>CH39&lt;0</formula>
    </cfRule>
    <cfRule type="colorScale" priority="1320">
      <colorScale>
        <cfvo type="min"/>
        <cfvo type="max"/>
        <color theme="0"/>
        <color theme="0"/>
      </colorScale>
    </cfRule>
  </conditionalFormatting>
  <conditionalFormatting sqref="CI39:CI107">
    <cfRule type="expression" dxfId="416" priority="1258">
      <formula>IF(CI39="Validar","Rojo","Verde")</formula>
    </cfRule>
  </conditionalFormatting>
  <conditionalFormatting sqref="CI40:CI67">
    <cfRule type="expression" dxfId="415" priority="1341">
      <formula>CH40&lt;0</formula>
    </cfRule>
    <cfRule type="colorScale" priority="1339">
      <colorScale>
        <cfvo type="min"/>
        <cfvo type="max"/>
        <color theme="0"/>
        <color theme="0"/>
      </colorScale>
    </cfRule>
    <cfRule type="expression" priority="1340">
      <formula>$F$19</formula>
    </cfRule>
  </conditionalFormatting>
  <conditionalFormatting sqref="CI68">
    <cfRule type="expression" dxfId="414" priority="1319">
      <formula>CH68&lt;0</formula>
    </cfRule>
    <cfRule type="expression" priority="1318">
      <formula>#REF!</formula>
    </cfRule>
    <cfRule type="colorScale" priority="1317">
      <colorScale>
        <cfvo type="min"/>
        <cfvo type="max"/>
        <color theme="0"/>
        <color theme="0"/>
      </colorScale>
    </cfRule>
  </conditionalFormatting>
  <conditionalFormatting sqref="CI69:CI81">
    <cfRule type="expression" priority="1365">
      <formula>$F$19</formula>
    </cfRule>
    <cfRule type="colorScale" priority="1364">
      <colorScale>
        <cfvo type="min"/>
        <cfvo type="max"/>
        <color theme="0"/>
        <color theme="0"/>
      </colorScale>
    </cfRule>
    <cfRule type="expression" dxfId="413" priority="1366">
      <formula>CH69&lt;0</formula>
    </cfRule>
  </conditionalFormatting>
  <conditionalFormatting sqref="CI82 CI92 CI103 CI107">
    <cfRule type="expression" dxfId="412" priority="1363">
      <formula>CH82&lt;0</formula>
    </cfRule>
    <cfRule type="colorScale" priority="1362">
      <colorScale>
        <cfvo type="min"/>
        <cfvo type="max"/>
        <color theme="0"/>
        <color theme="0"/>
      </colorScale>
    </cfRule>
  </conditionalFormatting>
  <conditionalFormatting sqref="CI83">
    <cfRule type="expression" dxfId="411" priority="1261">
      <formula>CH83&lt;0</formula>
    </cfRule>
    <cfRule type="expression" priority="1260">
      <formula>#REF!</formula>
    </cfRule>
    <cfRule type="colorScale" priority="1259">
      <colorScale>
        <cfvo type="min"/>
        <cfvo type="max"/>
        <color theme="0"/>
        <color theme="0"/>
      </colorScale>
    </cfRule>
  </conditionalFormatting>
  <conditionalFormatting sqref="CI84:CI91">
    <cfRule type="colorScale" priority="1367">
      <colorScale>
        <cfvo type="min"/>
        <cfvo type="max"/>
        <color theme="0"/>
        <color theme="0"/>
      </colorScale>
    </cfRule>
    <cfRule type="expression" priority="1368">
      <formula>$F$19</formula>
    </cfRule>
    <cfRule type="expression" dxfId="410" priority="1369">
      <formula>CH84&lt;0</formula>
    </cfRule>
  </conditionalFormatting>
  <conditionalFormatting sqref="CI93">
    <cfRule type="colorScale" priority="1314">
      <colorScale>
        <cfvo type="min"/>
        <cfvo type="max"/>
        <color theme="0"/>
        <color theme="0"/>
      </colorScale>
    </cfRule>
    <cfRule type="expression" priority="1315">
      <formula>#REF!</formula>
    </cfRule>
    <cfRule type="expression" dxfId="409" priority="1316">
      <formula>CH93&lt;0</formula>
    </cfRule>
  </conditionalFormatting>
  <conditionalFormatting sqref="CI94:CI102">
    <cfRule type="expression" priority="1371">
      <formula>$F$19</formula>
    </cfRule>
    <cfRule type="expression" dxfId="408" priority="1372">
      <formula>CH94&lt;0</formula>
    </cfRule>
    <cfRule type="colorScale" priority="1370">
      <colorScale>
        <cfvo type="min"/>
        <cfvo type="max"/>
        <color theme="0"/>
        <color theme="0"/>
      </colorScale>
    </cfRule>
  </conditionalFormatting>
  <conditionalFormatting sqref="CI104">
    <cfRule type="colorScale" priority="1311">
      <colorScale>
        <cfvo type="min"/>
        <cfvo type="max"/>
        <color theme="0"/>
        <color theme="0"/>
      </colorScale>
    </cfRule>
    <cfRule type="expression" priority="1312">
      <formula>#REF!</formula>
    </cfRule>
    <cfRule type="expression" dxfId="407" priority="1313">
      <formula>CH104&lt;0</formula>
    </cfRule>
  </conditionalFormatting>
  <conditionalFormatting sqref="CI105:CI106">
    <cfRule type="expression" priority="1374">
      <formula>$F$19</formula>
    </cfRule>
    <cfRule type="colorScale" priority="1373">
      <colorScale>
        <cfvo type="min"/>
        <cfvo type="max"/>
        <color theme="0"/>
        <color theme="0"/>
      </colorScale>
    </cfRule>
    <cfRule type="expression" dxfId="406" priority="1375">
      <formula>CH105&lt;0</formula>
    </cfRule>
  </conditionalFormatting>
  <conditionalFormatting sqref="CI110">
    <cfRule type="colorScale" priority="1376">
      <colorScale>
        <cfvo type="min"/>
        <cfvo type="max"/>
        <color theme="0"/>
        <color theme="0"/>
      </colorScale>
    </cfRule>
    <cfRule type="expression" dxfId="405" priority="1377">
      <formula>CH110&lt;0</formula>
    </cfRule>
  </conditionalFormatting>
  <conditionalFormatting sqref="CI110:CI111">
    <cfRule type="expression" priority="1256">
      <formula>$F$19</formula>
    </cfRule>
  </conditionalFormatting>
  <conditionalFormatting sqref="CI111">
    <cfRule type="expression" dxfId="404" priority="1257">
      <formula>CH111&lt;0</formula>
    </cfRule>
    <cfRule type="colorScale" priority="1255">
      <colorScale>
        <cfvo type="min"/>
        <cfvo type="max"/>
        <color theme="0"/>
        <color theme="0"/>
      </colorScale>
    </cfRule>
  </conditionalFormatting>
  <conditionalFormatting sqref="CI117:CI123">
    <cfRule type="expression" dxfId="403" priority="1383">
      <formula>CH117&lt;0</formula>
    </cfRule>
    <cfRule type="expression" priority="1382">
      <formula>$F$19</formula>
    </cfRule>
    <cfRule type="colorScale" priority="1381">
      <colorScale>
        <cfvo type="min"/>
        <cfvo type="max"/>
        <color theme="0"/>
        <color theme="0"/>
      </colorScale>
    </cfRule>
  </conditionalFormatting>
  <conditionalFormatting sqref="CI125">
    <cfRule type="expression" priority="1309">
      <formula>#REF!</formula>
    </cfRule>
    <cfRule type="colorScale" priority="1308">
      <colorScale>
        <cfvo type="min"/>
        <cfvo type="max"/>
        <color theme="0"/>
        <color theme="0"/>
      </colorScale>
    </cfRule>
    <cfRule type="expression" dxfId="402" priority="1310">
      <formula>CH125&lt;0</formula>
    </cfRule>
  </conditionalFormatting>
  <conditionalFormatting sqref="CI125:CI135">
    <cfRule type="expression" dxfId="401" priority="1307">
      <formula>IF(CI125="Validar","Rojo","Verde")</formula>
    </cfRule>
  </conditionalFormatting>
  <conditionalFormatting sqref="CI126:CI132">
    <cfRule type="expression" dxfId="400" priority="1386">
      <formula>CH126&lt;0</formula>
    </cfRule>
    <cfRule type="colorScale" priority="1384">
      <colorScale>
        <cfvo type="min"/>
        <cfvo type="max"/>
        <color theme="0"/>
        <color theme="0"/>
      </colorScale>
    </cfRule>
  </conditionalFormatting>
  <conditionalFormatting sqref="CI126:CI134">
    <cfRule type="expression" priority="1385">
      <formula>$F$19</formula>
    </cfRule>
  </conditionalFormatting>
  <conditionalFormatting sqref="CI133:CI134">
    <cfRule type="expression" dxfId="399" priority="1388">
      <formula>CH133&lt;0</formula>
    </cfRule>
    <cfRule type="colorScale" priority="1387">
      <colorScale>
        <cfvo type="min"/>
        <cfvo type="max"/>
        <color theme="0"/>
        <color theme="0"/>
      </colorScale>
    </cfRule>
  </conditionalFormatting>
  <conditionalFormatting sqref="CI135">
    <cfRule type="expression" dxfId="398" priority="1380">
      <formula>CH135&lt;0</formula>
    </cfRule>
    <cfRule type="expression" priority="1379">
      <formula>$F$23</formula>
    </cfRule>
    <cfRule type="colorScale" priority="1378">
      <colorScale>
        <cfvo type="min"/>
        <cfvo type="max"/>
        <color theme="0"/>
        <color theme="0"/>
      </colorScale>
    </cfRule>
  </conditionalFormatting>
  <conditionalFormatting sqref="CI110:CK111">
    <cfRule type="expression" dxfId="397" priority="1251">
      <formula>IF(CI110="Validar","Rojo","Verde")</formula>
    </cfRule>
  </conditionalFormatting>
  <conditionalFormatting sqref="CI117:CK123">
    <cfRule type="expression" dxfId="396" priority="1264">
      <formula>IF(CI117="Validar","Rojo","Verde")</formula>
    </cfRule>
  </conditionalFormatting>
  <conditionalFormatting sqref="CJ40:CJ66">
    <cfRule type="expression" dxfId="395" priority="1301">
      <formula>CI40&lt;0</formula>
    </cfRule>
    <cfRule type="expression" priority="1300">
      <formula>#REF!</formula>
    </cfRule>
    <cfRule type="colorScale" priority="1299">
      <colorScale>
        <cfvo type="min"/>
        <cfvo type="max"/>
        <color theme="0"/>
        <color theme="0"/>
      </colorScale>
    </cfRule>
  </conditionalFormatting>
  <conditionalFormatting sqref="CJ40:CJ67">
    <cfRule type="expression" dxfId="394" priority="1298">
      <formula>IF(CJ40="Validar","Rojo","Verde")</formula>
    </cfRule>
  </conditionalFormatting>
  <conditionalFormatting sqref="CJ67 CI82:CJ82 CI92:CJ92 CI103:CJ103 CI107:CJ107">
    <cfRule type="expression" priority="1303">
      <formula>$F$23</formula>
    </cfRule>
  </conditionalFormatting>
  <conditionalFormatting sqref="CJ67 CJ82 CJ92 CJ103 CJ107">
    <cfRule type="expression" dxfId="393" priority="1304">
      <formula>CI67&lt;0</formula>
    </cfRule>
    <cfRule type="colorScale" priority="1302">
      <colorScale>
        <cfvo type="min"/>
        <cfvo type="max"/>
        <color theme="0"/>
        <color theme="0"/>
      </colorScale>
    </cfRule>
  </conditionalFormatting>
  <conditionalFormatting sqref="CJ69">
    <cfRule type="colorScale" priority="1296">
      <colorScale>
        <cfvo type="min"/>
        <cfvo type="max"/>
        <color theme="0"/>
        <color theme="0"/>
      </colorScale>
    </cfRule>
    <cfRule type="expression" dxfId="392" priority="1297">
      <formula>CI69&lt;0</formula>
    </cfRule>
  </conditionalFormatting>
  <conditionalFormatting sqref="CJ69:CJ81">
    <cfRule type="expression" priority="1294">
      <formula>#REF!</formula>
    </cfRule>
  </conditionalFormatting>
  <conditionalFormatting sqref="CJ69:CJ82">
    <cfRule type="expression" dxfId="391" priority="1292">
      <formula>IF(CJ69="Validar","Rojo","Verde")</formula>
    </cfRule>
  </conditionalFormatting>
  <conditionalFormatting sqref="CJ70:CJ78">
    <cfRule type="colorScale" priority="1293">
      <colorScale>
        <cfvo type="min"/>
        <cfvo type="max"/>
        <color theme="0"/>
        <color theme="0"/>
      </colorScale>
    </cfRule>
    <cfRule type="expression" dxfId="390" priority="1295">
      <formula>CI70&lt;0</formula>
    </cfRule>
  </conditionalFormatting>
  <conditionalFormatting sqref="CJ79:CJ81">
    <cfRule type="expression" dxfId="389" priority="1306">
      <formula>CI79&lt;0</formula>
    </cfRule>
    <cfRule type="colorScale" priority="1305">
      <colorScale>
        <cfvo type="min"/>
        <cfvo type="max"/>
        <color theme="0"/>
        <color theme="0"/>
      </colorScale>
    </cfRule>
  </conditionalFormatting>
  <conditionalFormatting sqref="CJ84">
    <cfRule type="colorScale" priority="1290">
      <colorScale>
        <cfvo type="min"/>
        <cfvo type="max"/>
        <color theme="0"/>
        <color theme="0"/>
      </colorScale>
    </cfRule>
    <cfRule type="expression" dxfId="388" priority="1291">
      <formula>CI84&lt;0</formula>
    </cfRule>
  </conditionalFormatting>
  <conditionalFormatting sqref="CJ84:CJ91">
    <cfRule type="expression" priority="1288">
      <formula>#REF!</formula>
    </cfRule>
  </conditionalFormatting>
  <conditionalFormatting sqref="CJ84:CJ92">
    <cfRule type="expression" dxfId="387" priority="1286">
      <formula>IF(CJ84="Validar","Rojo","Verde")</formula>
    </cfRule>
  </conditionalFormatting>
  <conditionalFormatting sqref="CJ85:CJ91">
    <cfRule type="colorScale" priority="1287">
      <colorScale>
        <cfvo type="min"/>
        <cfvo type="max"/>
        <color theme="0"/>
        <color theme="0"/>
      </colorScale>
    </cfRule>
    <cfRule type="expression" dxfId="386" priority="1289">
      <formula>CI85&lt;0</formula>
    </cfRule>
  </conditionalFormatting>
  <conditionalFormatting sqref="CJ94">
    <cfRule type="colorScale" priority="1284">
      <colorScale>
        <cfvo type="min"/>
        <cfvo type="max"/>
        <color theme="0"/>
        <color theme="0"/>
      </colorScale>
    </cfRule>
    <cfRule type="expression" dxfId="385" priority="1285">
      <formula>CI94&lt;0</formula>
    </cfRule>
  </conditionalFormatting>
  <conditionalFormatting sqref="CJ94:CJ102">
    <cfRule type="expression" priority="1278">
      <formula>#REF!</formula>
    </cfRule>
  </conditionalFormatting>
  <conditionalFormatting sqref="CJ94:CJ103">
    <cfRule type="expression" dxfId="384" priority="1276">
      <formula>IF(CJ94="Validar","Rojo","Verde")</formula>
    </cfRule>
  </conditionalFormatting>
  <conditionalFormatting sqref="CJ95:CJ100">
    <cfRule type="expression" dxfId="383" priority="1283">
      <formula>CI95&lt;0</formula>
    </cfRule>
    <cfRule type="colorScale" priority="1282">
      <colorScale>
        <cfvo type="min"/>
        <cfvo type="max"/>
        <color theme="0"/>
        <color theme="0"/>
      </colorScale>
    </cfRule>
  </conditionalFormatting>
  <conditionalFormatting sqref="CJ101">
    <cfRule type="colorScale" priority="1280">
      <colorScale>
        <cfvo type="min"/>
        <cfvo type="max"/>
        <color theme="0"/>
        <color theme="0"/>
      </colorScale>
    </cfRule>
    <cfRule type="expression" dxfId="382" priority="1281">
      <formula>CI101&lt;0</formula>
    </cfRule>
  </conditionalFormatting>
  <conditionalFormatting sqref="CJ102">
    <cfRule type="colorScale" priority="1277">
      <colorScale>
        <cfvo type="min"/>
        <cfvo type="max"/>
        <color theme="0"/>
        <color theme="0"/>
      </colorScale>
    </cfRule>
    <cfRule type="expression" dxfId="381" priority="1279">
      <formula>CI102&lt;0</formula>
    </cfRule>
  </conditionalFormatting>
  <conditionalFormatting sqref="CJ105">
    <cfRule type="expression" dxfId="380" priority="1275">
      <formula>CI105&lt;0</formula>
    </cfRule>
    <cfRule type="colorScale" priority="1274">
      <colorScale>
        <cfvo type="min"/>
        <cfvo type="max"/>
        <color theme="0"/>
        <color theme="0"/>
      </colorScale>
    </cfRule>
  </conditionalFormatting>
  <conditionalFormatting sqref="CJ105:CJ106">
    <cfRule type="expression" priority="1272">
      <formula>#REF!</formula>
    </cfRule>
  </conditionalFormatting>
  <conditionalFormatting sqref="CJ105:CJ107">
    <cfRule type="expression" dxfId="379" priority="1270">
      <formula>IF(CJ105="Validar","Rojo","Verde")</formula>
    </cfRule>
  </conditionalFormatting>
  <conditionalFormatting sqref="CJ106">
    <cfRule type="expression" dxfId="378" priority="1273">
      <formula>CI106&lt;0</formula>
    </cfRule>
    <cfRule type="colorScale" priority="1271">
      <colorScale>
        <cfvo type="min"/>
        <cfvo type="max"/>
        <color theme="0"/>
        <color theme="0"/>
      </colorScale>
    </cfRule>
  </conditionalFormatting>
  <conditionalFormatting sqref="CJ110">
    <cfRule type="colorScale" priority="1262">
      <colorScale>
        <cfvo type="min"/>
        <cfvo type="max"/>
        <color theme="0"/>
        <color theme="0"/>
      </colorScale>
    </cfRule>
    <cfRule type="expression" dxfId="377" priority="1263">
      <formula>CI110&lt;0</formula>
    </cfRule>
  </conditionalFormatting>
  <conditionalFormatting sqref="CJ111">
    <cfRule type="expression" dxfId="376" priority="1254">
      <formula>CI111&lt;0</formula>
    </cfRule>
    <cfRule type="colorScale" priority="1252">
      <colorScale>
        <cfvo type="min"/>
        <cfvo type="max"/>
        <color theme="0"/>
        <color theme="0"/>
      </colorScale>
    </cfRule>
  </conditionalFormatting>
  <conditionalFormatting sqref="CJ117">
    <cfRule type="colorScale" priority="1268">
      <colorScale>
        <cfvo type="min"/>
        <cfvo type="max"/>
        <color theme="0"/>
        <color theme="0"/>
      </colorScale>
    </cfRule>
    <cfRule type="expression" dxfId="375" priority="1269">
      <formula>CI117&lt;0</formula>
    </cfRule>
  </conditionalFormatting>
  <conditionalFormatting sqref="CJ118:CJ123">
    <cfRule type="expression" dxfId="374" priority="1267">
      <formula>CI118&lt;0</formula>
    </cfRule>
    <cfRule type="colorScale" priority="1265">
      <colorScale>
        <cfvo type="min"/>
        <cfvo type="max"/>
        <color theme="0"/>
        <color theme="0"/>
      </colorScale>
    </cfRule>
  </conditionalFormatting>
  <conditionalFormatting sqref="CJ126:CJ135">
    <cfRule type="expression" dxfId="373" priority="1389">
      <formula>IF(CJ126="Validar","Rojo","Verde")</formula>
    </cfRule>
    <cfRule type="expression" dxfId="372" priority="1392">
      <formula>CI126&lt;0</formula>
    </cfRule>
    <cfRule type="expression" priority="1391">
      <formula>$F$23</formula>
    </cfRule>
    <cfRule type="colorScale" priority="1390">
      <colorScale>
        <cfvo type="min"/>
        <cfvo type="max"/>
        <color theme="0"/>
        <color theme="0"/>
      </colorScale>
    </cfRule>
  </conditionalFormatting>
  <conditionalFormatting sqref="CJ110:CK111">
    <cfRule type="expression" priority="1253">
      <formula>#REF!</formula>
    </cfRule>
  </conditionalFormatting>
  <conditionalFormatting sqref="CJ117:CK123">
    <cfRule type="expression" priority="1266">
      <formula>#REF!</formula>
    </cfRule>
  </conditionalFormatting>
  <conditionalFormatting sqref="CK5">
    <cfRule type="expression" dxfId="371" priority="126">
      <formula>CJ5&lt;0</formula>
    </cfRule>
    <cfRule type="colorScale" priority="125">
      <colorScale>
        <cfvo type="min"/>
        <cfvo type="max"/>
        <color theme="0"/>
        <color theme="0"/>
      </colorScale>
    </cfRule>
  </conditionalFormatting>
  <conditionalFormatting sqref="CK5:CK16">
    <cfRule type="expression" dxfId="370" priority="123">
      <formula>IF(CK5="Validar","Rojo","Verde")</formula>
    </cfRule>
    <cfRule type="expression" priority="124">
      <formula>#REF!</formula>
    </cfRule>
  </conditionalFormatting>
  <conditionalFormatting sqref="CK6:CK9">
    <cfRule type="colorScale" priority="4920">
      <colorScale>
        <cfvo type="min"/>
        <cfvo type="max"/>
        <color theme="0"/>
        <color theme="0"/>
      </colorScale>
    </cfRule>
    <cfRule type="expression" dxfId="369" priority="4921">
      <formula>CJ6&lt;0</formula>
    </cfRule>
  </conditionalFormatting>
  <conditionalFormatting sqref="CK10">
    <cfRule type="colorScale" priority="4888">
      <colorScale>
        <cfvo type="min"/>
        <cfvo type="max"/>
        <color theme="0"/>
        <color theme="0"/>
      </colorScale>
    </cfRule>
    <cfRule type="expression" dxfId="368" priority="4889">
      <formula>CJ10&lt;0</formula>
    </cfRule>
  </conditionalFormatting>
  <conditionalFormatting sqref="CK11:CK13">
    <cfRule type="colorScale" priority="4918">
      <colorScale>
        <cfvo type="min"/>
        <cfvo type="max"/>
        <color theme="0"/>
        <color theme="0"/>
      </colorScale>
    </cfRule>
    <cfRule type="expression" dxfId="367" priority="4919">
      <formula>CJ11&lt;0</formula>
    </cfRule>
  </conditionalFormatting>
  <conditionalFormatting sqref="CK14">
    <cfRule type="colorScale" priority="285">
      <colorScale>
        <cfvo type="min"/>
        <cfvo type="max"/>
        <color theme="0"/>
        <color theme="0"/>
      </colorScale>
    </cfRule>
    <cfRule type="expression" dxfId="366" priority="286">
      <formula>CJ14&lt;0</formula>
    </cfRule>
  </conditionalFormatting>
  <conditionalFormatting sqref="CK15">
    <cfRule type="expression" dxfId="365" priority="4887">
      <formula>CJ15&lt;0</formula>
    </cfRule>
    <cfRule type="colorScale" priority="4885">
      <colorScale>
        <cfvo type="min"/>
        <cfvo type="max"/>
        <color theme="0"/>
        <color theme="0"/>
      </colorScale>
    </cfRule>
  </conditionalFormatting>
  <conditionalFormatting sqref="CK16">
    <cfRule type="colorScale" priority="4916">
      <colorScale>
        <cfvo type="min"/>
        <cfvo type="max"/>
        <color theme="0"/>
        <color theme="0"/>
      </colorScale>
    </cfRule>
    <cfRule type="expression" dxfId="364" priority="4917">
      <formula>CJ16&lt;0</formula>
    </cfRule>
  </conditionalFormatting>
  <conditionalFormatting sqref="CK18">
    <cfRule type="colorScale" priority="4881">
      <colorScale>
        <cfvo type="min"/>
        <cfvo type="max"/>
        <color theme="0"/>
        <color theme="0"/>
      </colorScale>
    </cfRule>
    <cfRule type="expression" dxfId="363" priority="4883">
      <formula>CJ18&lt;0</formula>
    </cfRule>
  </conditionalFormatting>
  <conditionalFormatting sqref="CK18:CK19">
    <cfRule type="expression" priority="4882">
      <formula>#REF!</formula>
    </cfRule>
    <cfRule type="expression" dxfId="362" priority="4880">
      <formula>IF(CK18="Validar","Rojo","Verde")</formula>
    </cfRule>
  </conditionalFormatting>
  <conditionalFormatting sqref="CK19">
    <cfRule type="colorScale" priority="4914">
      <colorScale>
        <cfvo type="min"/>
        <cfvo type="max"/>
        <color theme="0"/>
        <color theme="0"/>
      </colorScale>
    </cfRule>
    <cfRule type="expression" dxfId="361" priority="4915">
      <formula>CJ19&lt;0</formula>
    </cfRule>
  </conditionalFormatting>
  <conditionalFormatting sqref="CK23">
    <cfRule type="expression" dxfId="360" priority="4879">
      <formula>CJ23&lt;0</formula>
    </cfRule>
    <cfRule type="colorScale" priority="4877">
      <colorScale>
        <cfvo type="min"/>
        <cfvo type="max"/>
        <color theme="0"/>
        <color theme="0"/>
      </colorScale>
    </cfRule>
  </conditionalFormatting>
  <conditionalFormatting sqref="CK23:CK24">
    <cfRule type="expression" priority="4878">
      <formula>#REF!</formula>
    </cfRule>
    <cfRule type="expression" dxfId="359" priority="4876">
      <formula>IF(CK23="Validar","Rojo","Verde")</formula>
    </cfRule>
  </conditionalFormatting>
  <conditionalFormatting sqref="CK24">
    <cfRule type="colorScale" priority="4910">
      <colorScale>
        <cfvo type="min"/>
        <cfvo type="max"/>
        <color theme="0"/>
        <color theme="0"/>
      </colorScale>
    </cfRule>
    <cfRule type="expression" dxfId="358" priority="4911">
      <formula>CJ24&lt;0</formula>
    </cfRule>
  </conditionalFormatting>
  <conditionalFormatting sqref="CK26">
    <cfRule type="colorScale" priority="4873">
      <colorScale>
        <cfvo type="min"/>
        <cfvo type="max"/>
        <color theme="0"/>
        <color theme="0"/>
      </colorScale>
    </cfRule>
    <cfRule type="expression" dxfId="357" priority="4875">
      <formula>CJ26&lt;0</formula>
    </cfRule>
  </conditionalFormatting>
  <conditionalFormatting sqref="CK26:CK27">
    <cfRule type="expression" dxfId="356" priority="4872">
      <formula>IF(CK26="Validar","Rojo","Verde")</formula>
    </cfRule>
    <cfRule type="expression" priority="4874">
      <formula>#REF!</formula>
    </cfRule>
  </conditionalFormatting>
  <conditionalFormatting sqref="CK27">
    <cfRule type="colorScale" priority="4908">
      <colorScale>
        <cfvo type="min"/>
        <cfvo type="max"/>
        <color theme="0"/>
        <color theme="0"/>
      </colorScale>
    </cfRule>
    <cfRule type="expression" dxfId="355" priority="4909">
      <formula>CJ27&lt;0</formula>
    </cfRule>
  </conditionalFormatting>
  <conditionalFormatting sqref="CK29">
    <cfRule type="expression" dxfId="354" priority="4871">
      <formula>CJ29&lt;0</formula>
    </cfRule>
    <cfRule type="colorScale" priority="4869">
      <colorScale>
        <cfvo type="min"/>
        <cfvo type="max"/>
        <color theme="0"/>
        <color theme="0"/>
      </colorScale>
    </cfRule>
  </conditionalFormatting>
  <conditionalFormatting sqref="CK29:CK30">
    <cfRule type="expression" priority="4870">
      <formula>#REF!</formula>
    </cfRule>
    <cfRule type="expression" dxfId="353" priority="4868">
      <formula>IF(CK29="Validar","Rojo","Verde")</formula>
    </cfRule>
  </conditionalFormatting>
  <conditionalFormatting sqref="CK30">
    <cfRule type="colorScale" priority="4906">
      <colorScale>
        <cfvo type="min"/>
        <cfvo type="max"/>
        <color theme="0"/>
        <color theme="0"/>
      </colorScale>
    </cfRule>
    <cfRule type="expression" dxfId="352" priority="4907">
      <formula>CJ30&lt;0</formula>
    </cfRule>
  </conditionalFormatting>
  <conditionalFormatting sqref="CK39">
    <cfRule type="expression" dxfId="351" priority="4867">
      <formula>CJ39&lt;0</formula>
    </cfRule>
    <cfRule type="colorScale" priority="4865">
      <colorScale>
        <cfvo type="min"/>
        <cfvo type="max"/>
        <color theme="0"/>
        <color theme="0"/>
      </colorScale>
    </cfRule>
  </conditionalFormatting>
  <conditionalFormatting sqref="CK39:CK66">
    <cfRule type="expression" dxfId="350" priority="4864">
      <formula>IF(CK39="Validar","Rojo","Verde")</formula>
    </cfRule>
    <cfRule type="expression" priority="4866">
      <formula>#REF!</formula>
    </cfRule>
  </conditionalFormatting>
  <conditionalFormatting sqref="CK40:CK66">
    <cfRule type="colorScale" priority="4904">
      <colorScale>
        <cfvo type="min"/>
        <cfvo type="max"/>
        <color theme="0"/>
        <color theme="0"/>
      </colorScale>
    </cfRule>
    <cfRule type="expression" dxfId="349" priority="4905">
      <formula>CJ40&lt;0</formula>
    </cfRule>
  </conditionalFormatting>
  <conditionalFormatting sqref="CK68">
    <cfRule type="expression" dxfId="348" priority="4863">
      <formula>CJ68&lt;0</formula>
    </cfRule>
    <cfRule type="colorScale" priority="4861">
      <colorScale>
        <cfvo type="min"/>
        <cfvo type="max"/>
        <color theme="0"/>
        <color theme="0"/>
      </colorScale>
    </cfRule>
  </conditionalFormatting>
  <conditionalFormatting sqref="CK68:CK81">
    <cfRule type="expression" priority="4862">
      <formula>#REF!</formula>
    </cfRule>
    <cfRule type="expression" dxfId="347" priority="4860">
      <formula>IF(CK68="Validar","Rojo","Verde")</formula>
    </cfRule>
  </conditionalFormatting>
  <conditionalFormatting sqref="CK69:CK81">
    <cfRule type="colorScale" priority="4922">
      <colorScale>
        <cfvo type="min"/>
        <cfvo type="max"/>
        <color theme="0"/>
        <color theme="0"/>
      </colorScale>
    </cfRule>
    <cfRule type="expression" dxfId="346" priority="4923">
      <formula>CJ69&lt;0</formula>
    </cfRule>
  </conditionalFormatting>
  <conditionalFormatting sqref="CK83">
    <cfRule type="colorScale" priority="4844">
      <colorScale>
        <cfvo type="min"/>
        <cfvo type="max"/>
        <color theme="0"/>
        <color theme="0"/>
      </colorScale>
    </cfRule>
    <cfRule type="expression" dxfId="345" priority="4846">
      <formula>CJ83&lt;0</formula>
    </cfRule>
  </conditionalFormatting>
  <conditionalFormatting sqref="CK83:CK91">
    <cfRule type="expression" priority="4845">
      <formula>#REF!</formula>
    </cfRule>
    <cfRule type="expression" dxfId="344" priority="4843">
      <formula>IF(CK83="Validar","Rojo","Verde")</formula>
    </cfRule>
  </conditionalFormatting>
  <conditionalFormatting sqref="CK84:CK91">
    <cfRule type="colorScale" priority="4902">
      <colorScale>
        <cfvo type="min"/>
        <cfvo type="max"/>
        <color theme="0"/>
        <color theme="0"/>
      </colorScale>
    </cfRule>
    <cfRule type="expression" dxfId="343" priority="4903">
      <formula>CJ84&lt;0</formula>
    </cfRule>
  </conditionalFormatting>
  <conditionalFormatting sqref="CK93">
    <cfRule type="colorScale" priority="4857">
      <colorScale>
        <cfvo type="min"/>
        <cfvo type="max"/>
        <color theme="0"/>
        <color theme="0"/>
      </colorScale>
    </cfRule>
    <cfRule type="expression" dxfId="342" priority="4859">
      <formula>CJ93&lt;0</formula>
    </cfRule>
  </conditionalFormatting>
  <conditionalFormatting sqref="CK93:CK102">
    <cfRule type="expression" priority="4858">
      <formula>#REF!</formula>
    </cfRule>
    <cfRule type="expression" dxfId="341" priority="4856">
      <formula>IF(CK93="Validar","Rojo","Verde")</formula>
    </cfRule>
  </conditionalFormatting>
  <conditionalFormatting sqref="CK94:CK102">
    <cfRule type="expression" dxfId="340" priority="4901">
      <formula>CJ94&lt;0</formula>
    </cfRule>
    <cfRule type="colorScale" priority="4900">
      <colorScale>
        <cfvo type="min"/>
        <cfvo type="max"/>
        <color theme="0"/>
        <color theme="0"/>
      </colorScale>
    </cfRule>
  </conditionalFormatting>
  <conditionalFormatting sqref="CK104">
    <cfRule type="colorScale" priority="4853">
      <colorScale>
        <cfvo type="min"/>
        <cfvo type="max"/>
        <color theme="0"/>
        <color theme="0"/>
      </colorScale>
    </cfRule>
    <cfRule type="expression" dxfId="339" priority="4855">
      <formula>CJ104&lt;0</formula>
    </cfRule>
  </conditionalFormatting>
  <conditionalFormatting sqref="CK104:CK106">
    <cfRule type="expression" priority="4854">
      <formula>#REF!</formula>
    </cfRule>
    <cfRule type="expression" dxfId="338" priority="4852">
      <formula>IF(CK104="Validar","Rojo","Verde")</formula>
    </cfRule>
  </conditionalFormatting>
  <conditionalFormatting sqref="CK105:CK106">
    <cfRule type="colorScale" priority="4898">
      <colorScale>
        <cfvo type="min"/>
        <cfvo type="max"/>
        <color theme="0"/>
        <color theme="0"/>
      </colorScale>
    </cfRule>
    <cfRule type="expression" dxfId="337" priority="4899">
      <formula>CJ105&lt;0</formula>
    </cfRule>
  </conditionalFormatting>
  <conditionalFormatting sqref="CK110">
    <cfRule type="expression" dxfId="336" priority="4897">
      <formula>CJ110&lt;0</formula>
    </cfRule>
    <cfRule type="colorScale" priority="4896">
      <colorScale>
        <cfvo type="min"/>
        <cfvo type="max"/>
        <color theme="0"/>
        <color theme="0"/>
      </colorScale>
    </cfRule>
  </conditionalFormatting>
  <conditionalFormatting sqref="CK111">
    <cfRule type="colorScale" priority="4837">
      <colorScale>
        <cfvo type="min"/>
        <cfvo type="max"/>
        <color theme="0"/>
        <color theme="0"/>
      </colorScale>
    </cfRule>
    <cfRule type="expression" dxfId="335" priority="4839">
      <formula>CJ111&lt;0</formula>
    </cfRule>
  </conditionalFormatting>
  <conditionalFormatting sqref="CK117:CK123">
    <cfRule type="expression" dxfId="334" priority="4895">
      <formula>CJ117&lt;0</formula>
    </cfRule>
    <cfRule type="colorScale" priority="4893">
      <colorScale>
        <cfvo type="min"/>
        <cfvo type="max"/>
        <color theme="0"/>
        <color theme="0"/>
      </colorScale>
    </cfRule>
  </conditionalFormatting>
  <conditionalFormatting sqref="CK125">
    <cfRule type="colorScale" priority="4849">
      <colorScale>
        <cfvo type="min"/>
        <cfvo type="max"/>
        <color theme="0"/>
        <color theme="0"/>
      </colorScale>
    </cfRule>
    <cfRule type="expression" dxfId="333" priority="4851">
      <formula>CJ125&lt;0</formula>
    </cfRule>
  </conditionalFormatting>
  <conditionalFormatting sqref="CK125:CK134">
    <cfRule type="expression" dxfId="332" priority="4848">
      <formula>IF(CK125="Validar","Rojo","Verde")</formula>
    </cfRule>
    <cfRule type="expression" priority="4850">
      <formula>#REF!</formula>
    </cfRule>
  </conditionalFormatting>
  <conditionalFormatting sqref="CK126:CK134">
    <cfRule type="expression" dxfId="331" priority="4891">
      <formula>CJ126&lt;0</formula>
    </cfRule>
    <cfRule type="colorScale" priority="4890">
      <colorScale>
        <cfvo type="min"/>
        <cfvo type="max"/>
        <color theme="0"/>
        <color theme="0"/>
      </colorScale>
    </cfRule>
  </conditionalFormatting>
  <conditionalFormatting sqref="CM5">
    <cfRule type="expression" dxfId="330" priority="28">
      <formula>CL5&lt;0</formula>
    </cfRule>
    <cfRule type="colorScale" priority="27">
      <colorScale>
        <cfvo type="min"/>
        <cfvo type="max"/>
        <color theme="0"/>
        <color theme="0"/>
      </colorScale>
    </cfRule>
  </conditionalFormatting>
  <conditionalFormatting sqref="CM5:CM20">
    <cfRule type="expression" dxfId="329" priority="25">
      <formula>IF(CM5="Validar","Rojo","Verde")</formula>
    </cfRule>
    <cfRule type="expression" priority="26">
      <formula>#REF!</formula>
    </cfRule>
  </conditionalFormatting>
  <conditionalFormatting sqref="CM6">
    <cfRule type="expression" dxfId="328" priority="1100">
      <formula>CL6&lt;0</formula>
    </cfRule>
    <cfRule type="colorScale" priority="1099">
      <colorScale>
        <cfvo type="min"/>
        <cfvo type="max"/>
        <color theme="0"/>
        <color theme="0"/>
      </colorScale>
    </cfRule>
  </conditionalFormatting>
  <conditionalFormatting sqref="CM7:CM8">
    <cfRule type="colorScale" priority="1095">
      <colorScale>
        <cfvo type="min"/>
        <cfvo type="max"/>
        <color theme="0"/>
        <color theme="0"/>
      </colorScale>
    </cfRule>
    <cfRule type="expression" dxfId="327" priority="1096">
      <formula>CL7&lt;0</formula>
    </cfRule>
  </conditionalFormatting>
  <conditionalFormatting sqref="CM9">
    <cfRule type="expression" dxfId="326" priority="1211">
      <formula>CL9&lt;0</formula>
    </cfRule>
    <cfRule type="colorScale" priority="1210">
      <colorScale>
        <cfvo type="min"/>
        <cfvo type="max"/>
        <color theme="0"/>
        <color theme="0"/>
      </colorScale>
    </cfRule>
  </conditionalFormatting>
  <conditionalFormatting sqref="CM10">
    <cfRule type="expression" dxfId="325" priority="1188">
      <formula>CL10&lt;0</formula>
    </cfRule>
    <cfRule type="colorScale" priority="1187">
      <colorScale>
        <cfvo type="min"/>
        <cfvo type="max"/>
        <color theme="0"/>
        <color theme="0"/>
      </colorScale>
    </cfRule>
  </conditionalFormatting>
  <conditionalFormatting sqref="CM11:CM13">
    <cfRule type="expression" dxfId="324" priority="1209">
      <formula>CL11&lt;0</formula>
    </cfRule>
    <cfRule type="colorScale" priority="1208">
      <colorScale>
        <cfvo type="min"/>
        <cfvo type="max"/>
        <color theme="0"/>
        <color theme="0"/>
      </colorScale>
    </cfRule>
  </conditionalFormatting>
  <conditionalFormatting sqref="CM14">
    <cfRule type="expression" dxfId="323" priority="264">
      <formula>CL14&lt;0</formula>
    </cfRule>
    <cfRule type="colorScale" priority="263">
      <colorScale>
        <cfvo type="min"/>
        <cfvo type="max"/>
        <color theme="0"/>
        <color theme="0"/>
      </colorScale>
    </cfRule>
  </conditionalFormatting>
  <conditionalFormatting sqref="CM15">
    <cfRule type="expression" dxfId="322" priority="1186">
      <formula>CL15&lt;0</formula>
    </cfRule>
    <cfRule type="colorScale" priority="1185">
      <colorScale>
        <cfvo type="min"/>
        <cfvo type="max"/>
        <color theme="0"/>
        <color theme="0"/>
      </colorScale>
    </cfRule>
  </conditionalFormatting>
  <conditionalFormatting sqref="CM16:CM17">
    <cfRule type="expression" dxfId="321" priority="1207">
      <formula>CL16&lt;0</formula>
    </cfRule>
    <cfRule type="colorScale" priority="1206">
      <colorScale>
        <cfvo type="min"/>
        <cfvo type="max"/>
        <color theme="0"/>
        <color theme="0"/>
      </colorScale>
    </cfRule>
  </conditionalFormatting>
  <conditionalFormatting sqref="CM18">
    <cfRule type="expression" dxfId="320" priority="1184">
      <formula>CL18&lt;0</formula>
    </cfRule>
    <cfRule type="colorScale" priority="1182">
      <colorScale>
        <cfvo type="min"/>
        <cfvo type="max"/>
        <color theme="0"/>
        <color theme="0"/>
      </colorScale>
    </cfRule>
  </conditionalFormatting>
  <conditionalFormatting sqref="CM19:CM20">
    <cfRule type="expression" dxfId="319" priority="1205">
      <formula>CL19&lt;0</formula>
    </cfRule>
    <cfRule type="colorScale" priority="1204">
      <colorScale>
        <cfvo type="min"/>
        <cfvo type="max"/>
        <color theme="0"/>
        <color theme="0"/>
      </colorScale>
    </cfRule>
  </conditionalFormatting>
  <conditionalFormatting sqref="CM23">
    <cfRule type="colorScale" priority="1179">
      <colorScale>
        <cfvo type="min"/>
        <cfvo type="max"/>
        <color theme="0"/>
        <color theme="0"/>
      </colorScale>
    </cfRule>
    <cfRule type="expression" dxfId="318" priority="1180">
      <formula>CL23&lt;0</formula>
    </cfRule>
  </conditionalFormatting>
  <conditionalFormatting sqref="CM23:CM31">
    <cfRule type="expression" priority="1175">
      <formula>#REF!</formula>
    </cfRule>
    <cfRule type="expression" dxfId="317" priority="1173">
      <formula>IF(CM23="Validar","Rojo","Verde")</formula>
    </cfRule>
  </conditionalFormatting>
  <conditionalFormatting sqref="CM24">
    <cfRule type="colorScale" priority="1202">
      <colorScale>
        <cfvo type="min"/>
        <cfvo type="max"/>
        <color theme="0"/>
        <color theme="0"/>
      </colorScale>
    </cfRule>
    <cfRule type="expression" dxfId="316" priority="1203">
      <formula>CL24&lt;0</formula>
    </cfRule>
  </conditionalFormatting>
  <conditionalFormatting sqref="CM25">
    <cfRule type="colorScale" priority="1200">
      <colorScale>
        <cfvo type="min"/>
        <cfvo type="max"/>
        <color theme="0"/>
        <color theme="0"/>
      </colorScale>
    </cfRule>
    <cfRule type="expression" dxfId="315" priority="1201">
      <formula>CL25&lt;0</formula>
    </cfRule>
  </conditionalFormatting>
  <conditionalFormatting sqref="CM26">
    <cfRule type="expression" dxfId="314" priority="1178">
      <formula>CL26&lt;0</formula>
    </cfRule>
    <cfRule type="colorScale" priority="1177">
      <colorScale>
        <cfvo type="min"/>
        <cfvo type="max"/>
        <color theme="0"/>
        <color theme="0"/>
      </colorScale>
    </cfRule>
  </conditionalFormatting>
  <conditionalFormatting sqref="CM27">
    <cfRule type="expression" dxfId="313" priority="1199">
      <formula>CL27&lt;0</formula>
    </cfRule>
    <cfRule type="colorScale" priority="1198">
      <colorScale>
        <cfvo type="min"/>
        <cfvo type="max"/>
        <color theme="0"/>
        <color theme="0"/>
      </colorScale>
    </cfRule>
  </conditionalFormatting>
  <conditionalFormatting sqref="CM28">
    <cfRule type="expression" dxfId="312" priority="1197">
      <formula>CL28&lt;0</formula>
    </cfRule>
    <cfRule type="colorScale" priority="1196">
      <colorScale>
        <cfvo type="min"/>
        <cfvo type="max"/>
        <color theme="0"/>
        <color theme="0"/>
      </colorScale>
    </cfRule>
  </conditionalFormatting>
  <conditionalFormatting sqref="CM29">
    <cfRule type="expression" dxfId="311" priority="1176">
      <formula>CL29&lt;0</formula>
    </cfRule>
    <cfRule type="colorScale" priority="1174">
      <colorScale>
        <cfvo type="min"/>
        <cfvo type="max"/>
        <color theme="0"/>
        <color theme="0"/>
      </colorScale>
    </cfRule>
  </conditionalFormatting>
  <conditionalFormatting sqref="CM30">
    <cfRule type="colorScale" priority="1194">
      <colorScale>
        <cfvo type="min"/>
        <cfvo type="max"/>
        <color theme="0"/>
        <color theme="0"/>
      </colorScale>
    </cfRule>
    <cfRule type="expression" dxfId="310" priority="1195">
      <formula>CL30&lt;0</formula>
    </cfRule>
  </conditionalFormatting>
  <conditionalFormatting sqref="CM31">
    <cfRule type="expression" dxfId="309" priority="1193">
      <formula>CL31&lt;0</formula>
    </cfRule>
    <cfRule type="colorScale" priority="1192">
      <colorScale>
        <cfvo type="min"/>
        <cfvo type="max"/>
        <color theme="0"/>
        <color theme="0"/>
      </colorScale>
    </cfRule>
  </conditionalFormatting>
  <conditionalFormatting sqref="CM39">
    <cfRule type="expression" priority="1171">
      <formula>#REF!</formula>
    </cfRule>
    <cfRule type="colorScale" priority="1170">
      <colorScale>
        <cfvo type="min"/>
        <cfvo type="max"/>
        <color theme="0"/>
        <color theme="0"/>
      </colorScale>
    </cfRule>
    <cfRule type="expression" dxfId="308" priority="1172">
      <formula>CL39&lt;0</formula>
    </cfRule>
  </conditionalFormatting>
  <conditionalFormatting sqref="CM39:CM107">
    <cfRule type="expression" dxfId="307" priority="1108">
      <formula>IF(CM39="Validar","Rojo","Verde")</formula>
    </cfRule>
  </conditionalFormatting>
  <conditionalFormatting sqref="CM40:CM67">
    <cfRule type="expression" dxfId="306" priority="1191">
      <formula>CL40&lt;0</formula>
    </cfRule>
    <cfRule type="expression" priority="1190">
      <formula>$F$19</formula>
    </cfRule>
    <cfRule type="colorScale" priority="1189">
      <colorScale>
        <cfvo type="min"/>
        <cfvo type="max"/>
        <color theme="0"/>
        <color theme="0"/>
      </colorScale>
    </cfRule>
  </conditionalFormatting>
  <conditionalFormatting sqref="CM68">
    <cfRule type="expression" dxfId="305" priority="1169">
      <formula>CL68&lt;0</formula>
    </cfRule>
    <cfRule type="expression" priority="1168">
      <formula>#REF!</formula>
    </cfRule>
    <cfRule type="colorScale" priority="1167">
      <colorScale>
        <cfvo type="min"/>
        <cfvo type="max"/>
        <color theme="0"/>
        <color theme="0"/>
      </colorScale>
    </cfRule>
  </conditionalFormatting>
  <conditionalFormatting sqref="CM69:CM81">
    <cfRule type="colorScale" priority="1214">
      <colorScale>
        <cfvo type="min"/>
        <cfvo type="max"/>
        <color theme="0"/>
        <color theme="0"/>
      </colorScale>
    </cfRule>
    <cfRule type="expression" dxfId="304" priority="1216">
      <formula>CL69&lt;0</formula>
    </cfRule>
    <cfRule type="expression" priority="1215">
      <formula>$F$19</formula>
    </cfRule>
  </conditionalFormatting>
  <conditionalFormatting sqref="CM82 CM92 CM103 CM107">
    <cfRule type="expression" dxfId="303" priority="1213">
      <formula>CL82&lt;0</formula>
    </cfRule>
  </conditionalFormatting>
  <conditionalFormatting sqref="CM83">
    <cfRule type="expression" dxfId="302" priority="1111">
      <formula>CL83&lt;0</formula>
    </cfRule>
    <cfRule type="expression" priority="1110">
      <formula>#REF!</formula>
    </cfRule>
    <cfRule type="colorScale" priority="1109">
      <colorScale>
        <cfvo type="min"/>
        <cfvo type="max"/>
        <color theme="0"/>
        <color theme="0"/>
      </colorScale>
    </cfRule>
  </conditionalFormatting>
  <conditionalFormatting sqref="CM84:CM91">
    <cfRule type="expression" dxfId="301" priority="1219">
      <formula>CL84&lt;0</formula>
    </cfRule>
    <cfRule type="expression" priority="1218">
      <formula>$F$19</formula>
    </cfRule>
    <cfRule type="colorScale" priority="1217">
      <colorScale>
        <cfvo type="min"/>
        <cfvo type="max"/>
        <color theme="0"/>
        <color theme="0"/>
      </colorScale>
    </cfRule>
  </conditionalFormatting>
  <conditionalFormatting sqref="CM92 CM82 CM103 CM107">
    <cfRule type="colorScale" priority="1212">
      <colorScale>
        <cfvo type="min"/>
        <cfvo type="max"/>
        <color theme="0"/>
        <color theme="0"/>
      </colorScale>
    </cfRule>
  </conditionalFormatting>
  <conditionalFormatting sqref="CM93">
    <cfRule type="colorScale" priority="1164">
      <colorScale>
        <cfvo type="min"/>
        <cfvo type="max"/>
        <color theme="0"/>
        <color theme="0"/>
      </colorScale>
    </cfRule>
    <cfRule type="expression" dxfId="300" priority="1166">
      <formula>CL93&lt;0</formula>
    </cfRule>
    <cfRule type="expression" priority="1165">
      <formula>#REF!</formula>
    </cfRule>
  </conditionalFormatting>
  <conditionalFormatting sqref="CM94:CM102">
    <cfRule type="colorScale" priority="1220">
      <colorScale>
        <cfvo type="min"/>
        <cfvo type="max"/>
        <color theme="0"/>
        <color theme="0"/>
      </colorScale>
    </cfRule>
    <cfRule type="expression" priority="1221">
      <formula>$F$19</formula>
    </cfRule>
    <cfRule type="expression" dxfId="299" priority="1222">
      <formula>CL94&lt;0</formula>
    </cfRule>
  </conditionalFormatting>
  <conditionalFormatting sqref="CM104">
    <cfRule type="colorScale" priority="1161">
      <colorScale>
        <cfvo type="min"/>
        <cfvo type="max"/>
        <color theme="0"/>
        <color theme="0"/>
      </colorScale>
    </cfRule>
    <cfRule type="expression" priority="1162">
      <formula>#REF!</formula>
    </cfRule>
    <cfRule type="expression" dxfId="298" priority="1163">
      <formula>CL104&lt;0</formula>
    </cfRule>
  </conditionalFormatting>
  <conditionalFormatting sqref="CM105:CM106">
    <cfRule type="expression" dxfId="297" priority="1225">
      <formula>CL105&lt;0</formula>
    </cfRule>
    <cfRule type="expression" priority="1224">
      <formula>$F$19</formula>
    </cfRule>
    <cfRule type="colorScale" priority="1223">
      <colorScale>
        <cfvo type="min"/>
        <cfvo type="max"/>
        <color theme="0"/>
        <color theme="0"/>
      </colorScale>
    </cfRule>
  </conditionalFormatting>
  <conditionalFormatting sqref="CM110">
    <cfRule type="expression" dxfId="296" priority="1227">
      <formula>CL110&lt;0</formula>
    </cfRule>
    <cfRule type="colorScale" priority="1226">
      <colorScale>
        <cfvo type="min"/>
        <cfvo type="max"/>
        <color theme="0"/>
        <color theme="0"/>
      </colorScale>
    </cfRule>
  </conditionalFormatting>
  <conditionalFormatting sqref="CM110:CM111">
    <cfRule type="expression" priority="1106">
      <formula>$F$19</formula>
    </cfRule>
  </conditionalFormatting>
  <conditionalFormatting sqref="CM111">
    <cfRule type="expression" dxfId="295" priority="1107">
      <formula>CL111&lt;0</formula>
    </cfRule>
    <cfRule type="colorScale" priority="1105">
      <colorScale>
        <cfvo type="min"/>
        <cfvo type="max"/>
        <color theme="0"/>
        <color theme="0"/>
      </colorScale>
    </cfRule>
  </conditionalFormatting>
  <conditionalFormatting sqref="CM117:CM123">
    <cfRule type="colorScale" priority="1231">
      <colorScale>
        <cfvo type="min"/>
        <cfvo type="max"/>
        <color theme="0"/>
        <color theme="0"/>
      </colorScale>
    </cfRule>
    <cfRule type="expression" priority="1232">
      <formula>$F$19</formula>
    </cfRule>
    <cfRule type="expression" dxfId="294" priority="1233">
      <formula>CL117&lt;0</formula>
    </cfRule>
  </conditionalFormatting>
  <conditionalFormatting sqref="CM125">
    <cfRule type="expression" dxfId="293" priority="1160">
      <formula>CL125&lt;0</formula>
    </cfRule>
    <cfRule type="expression" priority="1159">
      <formula>#REF!</formula>
    </cfRule>
    <cfRule type="colorScale" priority="1158">
      <colorScale>
        <cfvo type="min"/>
        <cfvo type="max"/>
        <color theme="0"/>
        <color theme="0"/>
      </colorScale>
    </cfRule>
  </conditionalFormatting>
  <conditionalFormatting sqref="CM125:CM135">
    <cfRule type="expression" dxfId="292" priority="1157">
      <formula>IF(CM125="Validar","Rojo","Verde")</formula>
    </cfRule>
  </conditionalFormatting>
  <conditionalFormatting sqref="CM126:CM132">
    <cfRule type="colorScale" priority="1234">
      <colorScale>
        <cfvo type="min"/>
        <cfvo type="max"/>
        <color theme="0"/>
        <color theme="0"/>
      </colorScale>
    </cfRule>
    <cfRule type="expression" dxfId="291" priority="1236">
      <formula>CL126&lt;0</formula>
    </cfRule>
  </conditionalFormatting>
  <conditionalFormatting sqref="CM126:CM134">
    <cfRule type="expression" priority="1235">
      <formula>$F$19</formula>
    </cfRule>
  </conditionalFormatting>
  <conditionalFormatting sqref="CM133:CM134">
    <cfRule type="expression" dxfId="290" priority="1238">
      <formula>CL133&lt;0</formula>
    </cfRule>
    <cfRule type="colorScale" priority="1237">
      <colorScale>
        <cfvo type="min"/>
        <cfvo type="max"/>
        <color theme="0"/>
        <color theme="0"/>
      </colorScale>
    </cfRule>
  </conditionalFormatting>
  <conditionalFormatting sqref="CM135">
    <cfRule type="expression" dxfId="289" priority="1230">
      <formula>CL135&lt;0</formula>
    </cfRule>
    <cfRule type="expression" priority="1229">
      <formula>$F$23</formula>
    </cfRule>
    <cfRule type="colorScale" priority="1228">
      <colorScale>
        <cfvo type="min"/>
        <cfvo type="max"/>
        <color theme="0"/>
        <color theme="0"/>
      </colorScale>
    </cfRule>
  </conditionalFormatting>
  <conditionalFormatting sqref="CM110:CN111">
    <cfRule type="expression" dxfId="288" priority="1101">
      <formula>IF(CM110="Validar","Rojo","Verde")</formula>
    </cfRule>
  </conditionalFormatting>
  <conditionalFormatting sqref="CM117:CN123">
    <cfRule type="expression" dxfId="287" priority="1114">
      <formula>IF(CM117="Validar","Rojo","Verde")</formula>
    </cfRule>
  </conditionalFormatting>
  <conditionalFormatting sqref="CN40:CN66">
    <cfRule type="colorScale" priority="1149">
      <colorScale>
        <cfvo type="min"/>
        <cfvo type="max"/>
        <color theme="0"/>
        <color theme="0"/>
      </colorScale>
    </cfRule>
    <cfRule type="expression" priority="1150">
      <formula>#REF!</formula>
    </cfRule>
    <cfRule type="expression" dxfId="286" priority="1151">
      <formula>CM40&lt;0</formula>
    </cfRule>
  </conditionalFormatting>
  <conditionalFormatting sqref="CN40:CN67">
    <cfRule type="expression" dxfId="285" priority="1148">
      <formula>IF(CN40="Validar","Rojo","Verde")</formula>
    </cfRule>
  </conditionalFormatting>
  <conditionalFormatting sqref="CN67 CM82:CN82 CM92:CN92 CM103:CN103 CM107:CN107">
    <cfRule type="expression" priority="1153">
      <formula>$F$23</formula>
    </cfRule>
  </conditionalFormatting>
  <conditionalFormatting sqref="CN67 CN82 CN92 CN103 CN107">
    <cfRule type="expression" dxfId="284" priority="1154">
      <formula>CM67&lt;0</formula>
    </cfRule>
    <cfRule type="colorScale" priority="1152">
      <colorScale>
        <cfvo type="min"/>
        <cfvo type="max"/>
        <color theme="0"/>
        <color theme="0"/>
      </colorScale>
    </cfRule>
  </conditionalFormatting>
  <conditionalFormatting sqref="CN69">
    <cfRule type="expression" dxfId="283" priority="1147">
      <formula>CM69&lt;0</formula>
    </cfRule>
    <cfRule type="colorScale" priority="1146">
      <colorScale>
        <cfvo type="min"/>
        <cfvo type="max"/>
        <color theme="0"/>
        <color theme="0"/>
      </colorScale>
    </cfRule>
  </conditionalFormatting>
  <conditionalFormatting sqref="CN69:CN81">
    <cfRule type="expression" priority="1144">
      <formula>#REF!</formula>
    </cfRule>
  </conditionalFormatting>
  <conditionalFormatting sqref="CN69:CN82">
    <cfRule type="expression" dxfId="282" priority="1142">
      <formula>IF(CN69="Validar","Rojo","Verde")</formula>
    </cfRule>
  </conditionalFormatting>
  <conditionalFormatting sqref="CN70:CN78">
    <cfRule type="colorScale" priority="1143">
      <colorScale>
        <cfvo type="min"/>
        <cfvo type="max"/>
        <color theme="0"/>
        <color theme="0"/>
      </colorScale>
    </cfRule>
    <cfRule type="expression" dxfId="281" priority="1145">
      <formula>CM70&lt;0</formula>
    </cfRule>
  </conditionalFormatting>
  <conditionalFormatting sqref="CN79:CN81">
    <cfRule type="expression" dxfId="280" priority="1156">
      <formula>CM79&lt;0</formula>
    </cfRule>
    <cfRule type="colorScale" priority="1155">
      <colorScale>
        <cfvo type="min"/>
        <cfvo type="max"/>
        <color theme="0"/>
        <color theme="0"/>
      </colorScale>
    </cfRule>
  </conditionalFormatting>
  <conditionalFormatting sqref="CN84">
    <cfRule type="colorScale" priority="1140">
      <colorScale>
        <cfvo type="min"/>
        <cfvo type="max"/>
        <color theme="0"/>
        <color theme="0"/>
      </colorScale>
    </cfRule>
    <cfRule type="expression" dxfId="279" priority="1141">
      <formula>CM84&lt;0</formula>
    </cfRule>
  </conditionalFormatting>
  <conditionalFormatting sqref="CN84:CN91">
    <cfRule type="expression" priority="1138">
      <formula>#REF!</formula>
    </cfRule>
  </conditionalFormatting>
  <conditionalFormatting sqref="CN84:CN92">
    <cfRule type="expression" dxfId="278" priority="1136">
      <formula>IF(CN84="Validar","Rojo","Verde")</formula>
    </cfRule>
  </conditionalFormatting>
  <conditionalFormatting sqref="CN85:CN91">
    <cfRule type="colorScale" priority="1137">
      <colorScale>
        <cfvo type="min"/>
        <cfvo type="max"/>
        <color theme="0"/>
        <color theme="0"/>
      </colorScale>
    </cfRule>
    <cfRule type="expression" dxfId="277" priority="1139">
      <formula>CM85&lt;0</formula>
    </cfRule>
  </conditionalFormatting>
  <conditionalFormatting sqref="CN94">
    <cfRule type="colorScale" priority="1134">
      <colorScale>
        <cfvo type="min"/>
        <cfvo type="max"/>
        <color theme="0"/>
        <color theme="0"/>
      </colorScale>
    </cfRule>
    <cfRule type="expression" dxfId="276" priority="1135">
      <formula>CM94&lt;0</formula>
    </cfRule>
  </conditionalFormatting>
  <conditionalFormatting sqref="CN94:CN102">
    <cfRule type="expression" priority="1128">
      <formula>#REF!</formula>
    </cfRule>
  </conditionalFormatting>
  <conditionalFormatting sqref="CN94:CN103">
    <cfRule type="expression" dxfId="275" priority="1126">
      <formula>IF(CN94="Validar","Rojo","Verde")</formula>
    </cfRule>
  </conditionalFormatting>
  <conditionalFormatting sqref="CN95:CN100">
    <cfRule type="colorScale" priority="1132">
      <colorScale>
        <cfvo type="min"/>
        <cfvo type="max"/>
        <color theme="0"/>
        <color theme="0"/>
      </colorScale>
    </cfRule>
    <cfRule type="expression" dxfId="274" priority="1133">
      <formula>CM95&lt;0</formula>
    </cfRule>
  </conditionalFormatting>
  <conditionalFormatting sqref="CN101">
    <cfRule type="colorScale" priority="1130">
      <colorScale>
        <cfvo type="min"/>
        <cfvo type="max"/>
        <color theme="0"/>
        <color theme="0"/>
      </colorScale>
    </cfRule>
    <cfRule type="expression" dxfId="273" priority="1131">
      <formula>CM101&lt;0</formula>
    </cfRule>
  </conditionalFormatting>
  <conditionalFormatting sqref="CN102">
    <cfRule type="expression" dxfId="272" priority="1129">
      <formula>CM102&lt;0</formula>
    </cfRule>
    <cfRule type="colorScale" priority="1127">
      <colorScale>
        <cfvo type="min"/>
        <cfvo type="max"/>
        <color theme="0"/>
        <color theme="0"/>
      </colorScale>
    </cfRule>
  </conditionalFormatting>
  <conditionalFormatting sqref="CN105">
    <cfRule type="expression" dxfId="271" priority="1125">
      <formula>CM105&lt;0</formula>
    </cfRule>
    <cfRule type="colorScale" priority="1124">
      <colorScale>
        <cfvo type="min"/>
        <cfvo type="max"/>
        <color theme="0"/>
        <color theme="0"/>
      </colorScale>
    </cfRule>
  </conditionalFormatting>
  <conditionalFormatting sqref="CN105:CN106">
    <cfRule type="expression" priority="1122">
      <formula>#REF!</formula>
    </cfRule>
  </conditionalFormatting>
  <conditionalFormatting sqref="CN105:CN107">
    <cfRule type="expression" dxfId="270" priority="1120">
      <formula>IF(CN105="Validar","Rojo","Verde")</formula>
    </cfRule>
  </conditionalFormatting>
  <conditionalFormatting sqref="CN106">
    <cfRule type="colorScale" priority="1121">
      <colorScale>
        <cfvo type="min"/>
        <cfvo type="max"/>
        <color theme="0"/>
        <color theme="0"/>
      </colorScale>
    </cfRule>
    <cfRule type="expression" dxfId="269" priority="1123">
      <formula>CM106&lt;0</formula>
    </cfRule>
  </conditionalFormatting>
  <conditionalFormatting sqref="CN110">
    <cfRule type="expression" dxfId="268" priority="1113">
      <formula>CM110&lt;0</formula>
    </cfRule>
    <cfRule type="colorScale" priority="1112">
      <colorScale>
        <cfvo type="min"/>
        <cfvo type="max"/>
        <color theme="0"/>
        <color theme="0"/>
      </colorScale>
    </cfRule>
  </conditionalFormatting>
  <conditionalFormatting sqref="CN110:CN111">
    <cfRule type="expression" priority="1103">
      <formula>#REF!</formula>
    </cfRule>
  </conditionalFormatting>
  <conditionalFormatting sqref="CN111">
    <cfRule type="expression" dxfId="267" priority="1104">
      <formula>CM111&lt;0</formula>
    </cfRule>
    <cfRule type="colorScale" priority="1102">
      <colorScale>
        <cfvo type="min"/>
        <cfvo type="max"/>
        <color theme="0"/>
        <color theme="0"/>
      </colorScale>
    </cfRule>
  </conditionalFormatting>
  <conditionalFormatting sqref="CN117">
    <cfRule type="colorScale" priority="1118">
      <colorScale>
        <cfvo type="min"/>
        <cfvo type="max"/>
        <color theme="0"/>
        <color theme="0"/>
      </colorScale>
    </cfRule>
    <cfRule type="expression" dxfId="266" priority="1119">
      <formula>CM117&lt;0</formula>
    </cfRule>
  </conditionalFormatting>
  <conditionalFormatting sqref="CN117:CN123">
    <cfRule type="expression" priority="1116">
      <formula>#REF!</formula>
    </cfRule>
  </conditionalFormatting>
  <conditionalFormatting sqref="CN118:CN123">
    <cfRule type="colorScale" priority="1115">
      <colorScale>
        <cfvo type="min"/>
        <cfvo type="max"/>
        <color theme="0"/>
        <color theme="0"/>
      </colorScale>
    </cfRule>
    <cfRule type="expression" dxfId="265" priority="1117">
      <formula>CM118&lt;0</formula>
    </cfRule>
  </conditionalFormatting>
  <conditionalFormatting sqref="CN126:CN135">
    <cfRule type="expression" dxfId="264" priority="1242">
      <formula>CM126&lt;0</formula>
    </cfRule>
    <cfRule type="colorScale" priority="1240">
      <colorScale>
        <cfvo type="min"/>
        <cfvo type="max"/>
        <color theme="0"/>
        <color theme="0"/>
      </colorScale>
    </cfRule>
    <cfRule type="expression" dxfId="263" priority="1239">
      <formula>IF(CN126="Validar","Rojo","Verde")</formula>
    </cfRule>
    <cfRule type="expression" priority="1241">
      <formula>$F$23</formula>
    </cfRule>
  </conditionalFormatting>
  <conditionalFormatting sqref="CP5">
    <cfRule type="expression" dxfId="262" priority="24">
      <formula>CO5&lt;0</formula>
    </cfRule>
    <cfRule type="colorScale" priority="23">
      <colorScale>
        <cfvo type="min"/>
        <cfvo type="max"/>
        <color theme="0"/>
        <color theme="0"/>
      </colorScale>
    </cfRule>
  </conditionalFormatting>
  <conditionalFormatting sqref="CP5:CP20">
    <cfRule type="expression" priority="22">
      <formula>#REF!</formula>
    </cfRule>
    <cfRule type="expression" dxfId="261" priority="21">
      <formula>IF(CP5="Validar","Rojo","Verde")</formula>
    </cfRule>
  </conditionalFormatting>
  <conditionalFormatting sqref="CP6">
    <cfRule type="expression" dxfId="260" priority="950">
      <formula>CO6&lt;0</formula>
    </cfRule>
    <cfRule type="colorScale" priority="949">
      <colorScale>
        <cfvo type="min"/>
        <cfvo type="max"/>
        <color theme="0"/>
        <color theme="0"/>
      </colorScale>
    </cfRule>
  </conditionalFormatting>
  <conditionalFormatting sqref="CP7:CP8">
    <cfRule type="colorScale" priority="945">
      <colorScale>
        <cfvo type="min"/>
        <cfvo type="max"/>
        <color theme="0"/>
        <color theme="0"/>
      </colorScale>
    </cfRule>
    <cfRule type="expression" dxfId="259" priority="946">
      <formula>CO7&lt;0</formula>
    </cfRule>
  </conditionalFormatting>
  <conditionalFormatting sqref="CP9">
    <cfRule type="colorScale" priority="1060">
      <colorScale>
        <cfvo type="min"/>
        <cfvo type="max"/>
        <color theme="0"/>
        <color theme="0"/>
      </colorScale>
    </cfRule>
    <cfRule type="expression" dxfId="258" priority="1061">
      <formula>CO9&lt;0</formula>
    </cfRule>
  </conditionalFormatting>
  <conditionalFormatting sqref="CP10">
    <cfRule type="expression" dxfId="257" priority="1038">
      <formula>CO10&lt;0</formula>
    </cfRule>
    <cfRule type="colorScale" priority="1037">
      <colorScale>
        <cfvo type="min"/>
        <cfvo type="max"/>
        <color theme="0"/>
        <color theme="0"/>
      </colorScale>
    </cfRule>
  </conditionalFormatting>
  <conditionalFormatting sqref="CP11:CP13">
    <cfRule type="colorScale" priority="1058">
      <colorScale>
        <cfvo type="min"/>
        <cfvo type="max"/>
        <color theme="0"/>
        <color theme="0"/>
      </colorScale>
    </cfRule>
    <cfRule type="expression" dxfId="256" priority="1059">
      <formula>CO11&lt;0</formula>
    </cfRule>
  </conditionalFormatting>
  <conditionalFormatting sqref="CP14">
    <cfRule type="expression" dxfId="255" priority="204">
      <formula>CO14&lt;0</formula>
    </cfRule>
    <cfRule type="colorScale" priority="203">
      <colorScale>
        <cfvo type="min"/>
        <cfvo type="max"/>
        <color theme="0"/>
        <color theme="0"/>
      </colorScale>
    </cfRule>
  </conditionalFormatting>
  <conditionalFormatting sqref="CP15">
    <cfRule type="expression" dxfId="254" priority="1036">
      <formula>CO15&lt;0</formula>
    </cfRule>
    <cfRule type="colorScale" priority="1035">
      <colorScale>
        <cfvo type="min"/>
        <cfvo type="max"/>
        <color theme="0"/>
        <color theme="0"/>
      </colorScale>
    </cfRule>
  </conditionalFormatting>
  <conditionalFormatting sqref="CP16:CP17">
    <cfRule type="colorScale" priority="1056">
      <colorScale>
        <cfvo type="min"/>
        <cfvo type="max"/>
        <color theme="0"/>
        <color theme="0"/>
      </colorScale>
    </cfRule>
    <cfRule type="expression" dxfId="253" priority="1057">
      <formula>CO16&lt;0</formula>
    </cfRule>
  </conditionalFormatting>
  <conditionalFormatting sqref="CP18">
    <cfRule type="colorScale" priority="1032">
      <colorScale>
        <cfvo type="min"/>
        <cfvo type="max"/>
        <color theme="0"/>
        <color theme="0"/>
      </colorScale>
    </cfRule>
    <cfRule type="expression" dxfId="252" priority="1034">
      <formula>CO18&lt;0</formula>
    </cfRule>
  </conditionalFormatting>
  <conditionalFormatting sqref="CP19:CP20">
    <cfRule type="expression" dxfId="251" priority="1055">
      <formula>CO19&lt;0</formula>
    </cfRule>
    <cfRule type="colorScale" priority="1054">
      <colorScale>
        <cfvo type="min"/>
        <cfvo type="max"/>
        <color theme="0"/>
        <color theme="0"/>
      </colorScale>
    </cfRule>
  </conditionalFormatting>
  <conditionalFormatting sqref="CP23">
    <cfRule type="colorScale" priority="1029">
      <colorScale>
        <cfvo type="min"/>
        <cfvo type="max"/>
        <color theme="0"/>
        <color theme="0"/>
      </colorScale>
    </cfRule>
    <cfRule type="expression" dxfId="250" priority="1030">
      <formula>CO23&lt;0</formula>
    </cfRule>
  </conditionalFormatting>
  <conditionalFormatting sqref="CP23:CP31">
    <cfRule type="expression" priority="1025">
      <formula>#REF!</formula>
    </cfRule>
    <cfRule type="expression" dxfId="249" priority="1023">
      <formula>IF(CP23="Validar","Rojo","Verde")</formula>
    </cfRule>
  </conditionalFormatting>
  <conditionalFormatting sqref="CP24">
    <cfRule type="colorScale" priority="1052">
      <colorScale>
        <cfvo type="min"/>
        <cfvo type="max"/>
        <color theme="0"/>
        <color theme="0"/>
      </colorScale>
    </cfRule>
    <cfRule type="expression" dxfId="248" priority="1053">
      <formula>CO24&lt;0</formula>
    </cfRule>
  </conditionalFormatting>
  <conditionalFormatting sqref="CP25">
    <cfRule type="expression" dxfId="247" priority="1051">
      <formula>CO25&lt;0</formula>
    </cfRule>
    <cfRule type="colorScale" priority="1050">
      <colorScale>
        <cfvo type="min"/>
        <cfvo type="max"/>
        <color theme="0"/>
        <color theme="0"/>
      </colorScale>
    </cfRule>
  </conditionalFormatting>
  <conditionalFormatting sqref="CP26">
    <cfRule type="expression" dxfId="246" priority="1028">
      <formula>CO26&lt;0</formula>
    </cfRule>
    <cfRule type="colorScale" priority="1027">
      <colorScale>
        <cfvo type="min"/>
        <cfvo type="max"/>
        <color theme="0"/>
        <color theme="0"/>
      </colorScale>
    </cfRule>
  </conditionalFormatting>
  <conditionalFormatting sqref="CP27">
    <cfRule type="expression" dxfId="245" priority="1049">
      <formula>CO27&lt;0</formula>
    </cfRule>
    <cfRule type="colorScale" priority="1048">
      <colorScale>
        <cfvo type="min"/>
        <cfvo type="max"/>
        <color theme="0"/>
        <color theme="0"/>
      </colorScale>
    </cfRule>
  </conditionalFormatting>
  <conditionalFormatting sqref="CP28">
    <cfRule type="expression" dxfId="244" priority="1047">
      <formula>CO28&lt;0</formula>
    </cfRule>
    <cfRule type="colorScale" priority="1046">
      <colorScale>
        <cfvo type="min"/>
        <cfvo type="max"/>
        <color theme="0"/>
        <color theme="0"/>
      </colorScale>
    </cfRule>
  </conditionalFormatting>
  <conditionalFormatting sqref="CP29">
    <cfRule type="expression" dxfId="243" priority="1026">
      <formula>CO29&lt;0</formula>
    </cfRule>
    <cfRule type="colorScale" priority="1024">
      <colorScale>
        <cfvo type="min"/>
        <cfvo type="max"/>
        <color theme="0"/>
        <color theme="0"/>
      </colorScale>
    </cfRule>
  </conditionalFormatting>
  <conditionalFormatting sqref="CP30">
    <cfRule type="expression" dxfId="242" priority="1045">
      <formula>CO30&lt;0</formula>
    </cfRule>
    <cfRule type="colorScale" priority="1044">
      <colorScale>
        <cfvo type="min"/>
        <cfvo type="max"/>
        <color theme="0"/>
        <color theme="0"/>
      </colorScale>
    </cfRule>
  </conditionalFormatting>
  <conditionalFormatting sqref="CP31">
    <cfRule type="expression" dxfId="241" priority="1043">
      <formula>CO31&lt;0</formula>
    </cfRule>
    <cfRule type="colorScale" priority="1042">
      <colorScale>
        <cfvo type="min"/>
        <cfvo type="max"/>
        <color theme="0"/>
        <color theme="0"/>
      </colorScale>
    </cfRule>
  </conditionalFormatting>
  <conditionalFormatting sqref="CP39">
    <cfRule type="colorScale" priority="1020">
      <colorScale>
        <cfvo type="min"/>
        <cfvo type="max"/>
        <color theme="0"/>
        <color theme="0"/>
      </colorScale>
    </cfRule>
    <cfRule type="expression" priority="1021">
      <formula>#REF!</formula>
    </cfRule>
    <cfRule type="expression" dxfId="240" priority="1022">
      <formula>CO39&lt;0</formula>
    </cfRule>
  </conditionalFormatting>
  <conditionalFormatting sqref="CP39:CP107">
    <cfRule type="expression" dxfId="239" priority="958">
      <formula>IF(CP39="Validar","Rojo","Verde")</formula>
    </cfRule>
  </conditionalFormatting>
  <conditionalFormatting sqref="CP40:CP67">
    <cfRule type="colorScale" priority="1039">
      <colorScale>
        <cfvo type="min"/>
        <cfvo type="max"/>
        <color theme="0"/>
        <color theme="0"/>
      </colorScale>
    </cfRule>
    <cfRule type="expression" dxfId="238" priority="1041">
      <formula>CO40&lt;0</formula>
    </cfRule>
    <cfRule type="expression" priority="1040">
      <formula>$F$19</formula>
    </cfRule>
  </conditionalFormatting>
  <conditionalFormatting sqref="CP68">
    <cfRule type="expression" dxfId="237" priority="1019">
      <formula>CO68&lt;0</formula>
    </cfRule>
    <cfRule type="expression" priority="1018">
      <formula>#REF!</formula>
    </cfRule>
    <cfRule type="colorScale" priority="1017">
      <colorScale>
        <cfvo type="min"/>
        <cfvo type="max"/>
        <color theme="0"/>
        <color theme="0"/>
      </colorScale>
    </cfRule>
  </conditionalFormatting>
  <conditionalFormatting sqref="CP69:CP81">
    <cfRule type="expression" priority="1065">
      <formula>$F$19</formula>
    </cfRule>
    <cfRule type="expression" dxfId="236" priority="1066">
      <formula>CO69&lt;0</formula>
    </cfRule>
    <cfRule type="colorScale" priority="1064">
      <colorScale>
        <cfvo type="min"/>
        <cfvo type="max"/>
        <color theme="0"/>
        <color theme="0"/>
      </colorScale>
    </cfRule>
  </conditionalFormatting>
  <conditionalFormatting sqref="CP82 CP92 CP103 CP107">
    <cfRule type="expression" dxfId="235" priority="1063">
      <formula>CO82&lt;0</formula>
    </cfRule>
    <cfRule type="colorScale" priority="1062">
      <colorScale>
        <cfvo type="min"/>
        <cfvo type="max"/>
        <color theme="0"/>
        <color theme="0"/>
      </colorScale>
    </cfRule>
  </conditionalFormatting>
  <conditionalFormatting sqref="CP83">
    <cfRule type="colorScale" priority="959">
      <colorScale>
        <cfvo type="min"/>
        <cfvo type="max"/>
        <color theme="0"/>
        <color theme="0"/>
      </colorScale>
    </cfRule>
    <cfRule type="expression" dxfId="234" priority="961">
      <formula>CO83&lt;0</formula>
    </cfRule>
    <cfRule type="expression" priority="960">
      <formula>#REF!</formula>
    </cfRule>
  </conditionalFormatting>
  <conditionalFormatting sqref="CP84:CP91">
    <cfRule type="expression" priority="1068">
      <formula>$F$19</formula>
    </cfRule>
    <cfRule type="expression" dxfId="233" priority="1069">
      <formula>CO84&lt;0</formula>
    </cfRule>
    <cfRule type="colorScale" priority="1067">
      <colorScale>
        <cfvo type="min"/>
        <cfvo type="max"/>
        <color theme="0"/>
        <color theme="0"/>
      </colorScale>
    </cfRule>
  </conditionalFormatting>
  <conditionalFormatting sqref="CP93">
    <cfRule type="expression" priority="1015">
      <formula>#REF!</formula>
    </cfRule>
    <cfRule type="expression" dxfId="232" priority="1016">
      <formula>CO93&lt;0</formula>
    </cfRule>
    <cfRule type="colorScale" priority="1014">
      <colorScale>
        <cfvo type="min"/>
        <cfvo type="max"/>
        <color theme="0"/>
        <color theme="0"/>
      </colorScale>
    </cfRule>
  </conditionalFormatting>
  <conditionalFormatting sqref="CP94:CP102">
    <cfRule type="expression" priority="1071">
      <formula>$F$19</formula>
    </cfRule>
    <cfRule type="colorScale" priority="1070">
      <colorScale>
        <cfvo type="min"/>
        <cfvo type="max"/>
        <color theme="0"/>
        <color theme="0"/>
      </colorScale>
    </cfRule>
    <cfRule type="expression" dxfId="231" priority="1072">
      <formula>CO94&lt;0</formula>
    </cfRule>
  </conditionalFormatting>
  <conditionalFormatting sqref="CP104">
    <cfRule type="colorScale" priority="1011">
      <colorScale>
        <cfvo type="min"/>
        <cfvo type="max"/>
        <color theme="0"/>
        <color theme="0"/>
      </colorScale>
    </cfRule>
    <cfRule type="expression" priority="1012">
      <formula>#REF!</formula>
    </cfRule>
    <cfRule type="expression" dxfId="230" priority="1013">
      <formula>CO104&lt;0</formula>
    </cfRule>
  </conditionalFormatting>
  <conditionalFormatting sqref="CP105:CP106">
    <cfRule type="expression" dxfId="229" priority="1075">
      <formula>CO105&lt;0</formula>
    </cfRule>
    <cfRule type="colorScale" priority="1073">
      <colorScale>
        <cfvo type="min"/>
        <cfvo type="max"/>
        <color theme="0"/>
        <color theme="0"/>
      </colorScale>
    </cfRule>
    <cfRule type="expression" priority="1074">
      <formula>$F$19</formula>
    </cfRule>
  </conditionalFormatting>
  <conditionalFormatting sqref="CP110">
    <cfRule type="expression" dxfId="228" priority="1077">
      <formula>CO110&lt;0</formula>
    </cfRule>
    <cfRule type="colorScale" priority="1076">
      <colorScale>
        <cfvo type="min"/>
        <cfvo type="max"/>
        <color theme="0"/>
        <color theme="0"/>
      </colorScale>
    </cfRule>
  </conditionalFormatting>
  <conditionalFormatting sqref="CP110:CP111">
    <cfRule type="expression" priority="956">
      <formula>$F$19</formula>
    </cfRule>
  </conditionalFormatting>
  <conditionalFormatting sqref="CP111">
    <cfRule type="expression" dxfId="227" priority="957">
      <formula>CO111&lt;0</formula>
    </cfRule>
    <cfRule type="colorScale" priority="955">
      <colorScale>
        <cfvo type="min"/>
        <cfvo type="max"/>
        <color theme="0"/>
        <color theme="0"/>
      </colorScale>
    </cfRule>
  </conditionalFormatting>
  <conditionalFormatting sqref="CP117:CP123">
    <cfRule type="colorScale" priority="1081">
      <colorScale>
        <cfvo type="min"/>
        <cfvo type="max"/>
        <color theme="0"/>
        <color theme="0"/>
      </colorScale>
    </cfRule>
    <cfRule type="expression" priority="1082">
      <formula>$F$19</formula>
    </cfRule>
    <cfRule type="expression" dxfId="226" priority="1083">
      <formula>CO117&lt;0</formula>
    </cfRule>
  </conditionalFormatting>
  <conditionalFormatting sqref="CP125">
    <cfRule type="expression" dxfId="225" priority="1010">
      <formula>CO125&lt;0</formula>
    </cfRule>
    <cfRule type="expression" priority="1009">
      <formula>#REF!</formula>
    </cfRule>
    <cfRule type="colorScale" priority="1008">
      <colorScale>
        <cfvo type="min"/>
        <cfvo type="max"/>
        <color theme="0"/>
        <color theme="0"/>
      </colorScale>
    </cfRule>
  </conditionalFormatting>
  <conditionalFormatting sqref="CP125:CP135">
    <cfRule type="expression" dxfId="224" priority="1007">
      <formula>IF(CP125="Validar","Rojo","Verde")</formula>
    </cfRule>
  </conditionalFormatting>
  <conditionalFormatting sqref="CP126:CP132">
    <cfRule type="expression" dxfId="223" priority="1086">
      <formula>CO126&lt;0</formula>
    </cfRule>
    <cfRule type="colorScale" priority="1084">
      <colorScale>
        <cfvo type="min"/>
        <cfvo type="max"/>
        <color theme="0"/>
        <color theme="0"/>
      </colorScale>
    </cfRule>
  </conditionalFormatting>
  <conditionalFormatting sqref="CP126:CP134">
    <cfRule type="expression" priority="1085">
      <formula>$F$19</formula>
    </cfRule>
  </conditionalFormatting>
  <conditionalFormatting sqref="CP133:CP134">
    <cfRule type="expression" dxfId="222" priority="1088">
      <formula>CO133&lt;0</formula>
    </cfRule>
    <cfRule type="colorScale" priority="1087">
      <colorScale>
        <cfvo type="min"/>
        <cfvo type="max"/>
        <color theme="0"/>
        <color theme="0"/>
      </colorScale>
    </cfRule>
  </conditionalFormatting>
  <conditionalFormatting sqref="CP135">
    <cfRule type="expression" priority="1079">
      <formula>$F$23</formula>
    </cfRule>
    <cfRule type="expression" dxfId="221" priority="1080">
      <formula>CO135&lt;0</formula>
    </cfRule>
    <cfRule type="colorScale" priority="1078">
      <colorScale>
        <cfvo type="min"/>
        <cfvo type="max"/>
        <color theme="0"/>
        <color theme="0"/>
      </colorScale>
    </cfRule>
  </conditionalFormatting>
  <conditionalFormatting sqref="CP110:CR111">
    <cfRule type="expression" dxfId="220" priority="951">
      <formula>IF(CP110="Validar","Rojo","Verde")</formula>
    </cfRule>
  </conditionalFormatting>
  <conditionalFormatting sqref="CP117:CR123">
    <cfRule type="expression" dxfId="219" priority="964">
      <formula>IF(CP117="Validar","Rojo","Verde")</formula>
    </cfRule>
  </conditionalFormatting>
  <conditionalFormatting sqref="CQ40:CQ66">
    <cfRule type="colorScale" priority="999">
      <colorScale>
        <cfvo type="min"/>
        <cfvo type="max"/>
        <color theme="0"/>
        <color theme="0"/>
      </colorScale>
    </cfRule>
    <cfRule type="expression" dxfId="218" priority="1001">
      <formula>CP40&lt;0</formula>
    </cfRule>
    <cfRule type="expression" priority="1000">
      <formula>#REF!</formula>
    </cfRule>
  </conditionalFormatting>
  <conditionalFormatting sqref="CQ40:CQ67">
    <cfRule type="expression" dxfId="217" priority="998">
      <formula>IF(CQ40="Validar","Rojo","Verde")</formula>
    </cfRule>
  </conditionalFormatting>
  <conditionalFormatting sqref="CQ67 CP82:CQ82 CP92:CQ92 CP103:CQ103 CP107:CQ107">
    <cfRule type="expression" priority="1003">
      <formula>$F$23</formula>
    </cfRule>
  </conditionalFormatting>
  <conditionalFormatting sqref="CQ67 CQ82 CQ92 CQ103 CQ107">
    <cfRule type="colorScale" priority="1002">
      <colorScale>
        <cfvo type="min"/>
        <cfvo type="max"/>
        <color theme="0"/>
        <color theme="0"/>
      </colorScale>
    </cfRule>
    <cfRule type="expression" dxfId="216" priority="1004">
      <formula>CP67&lt;0</formula>
    </cfRule>
  </conditionalFormatting>
  <conditionalFormatting sqref="CQ69">
    <cfRule type="colorScale" priority="996">
      <colorScale>
        <cfvo type="min"/>
        <cfvo type="max"/>
        <color theme="0"/>
        <color theme="0"/>
      </colorScale>
    </cfRule>
    <cfRule type="expression" dxfId="215" priority="997">
      <formula>CP69&lt;0</formula>
    </cfRule>
  </conditionalFormatting>
  <conditionalFormatting sqref="CQ69:CQ81">
    <cfRule type="expression" priority="994">
      <formula>#REF!</formula>
    </cfRule>
  </conditionalFormatting>
  <conditionalFormatting sqref="CQ69:CQ82">
    <cfRule type="expression" dxfId="214" priority="992">
      <formula>IF(CQ69="Validar","Rojo","Verde")</formula>
    </cfRule>
  </conditionalFormatting>
  <conditionalFormatting sqref="CQ70:CQ78">
    <cfRule type="colorScale" priority="993">
      <colorScale>
        <cfvo type="min"/>
        <cfvo type="max"/>
        <color theme="0"/>
        <color theme="0"/>
      </colorScale>
    </cfRule>
    <cfRule type="expression" dxfId="213" priority="995">
      <formula>CP70&lt;0</formula>
    </cfRule>
  </conditionalFormatting>
  <conditionalFormatting sqref="CQ79:CQ81">
    <cfRule type="expression" dxfId="212" priority="1006">
      <formula>CP79&lt;0</formula>
    </cfRule>
    <cfRule type="colorScale" priority="1005">
      <colorScale>
        <cfvo type="min"/>
        <cfvo type="max"/>
        <color theme="0"/>
        <color theme="0"/>
      </colorScale>
    </cfRule>
  </conditionalFormatting>
  <conditionalFormatting sqref="CQ84">
    <cfRule type="expression" dxfId="211" priority="991">
      <formula>CP84&lt;0</formula>
    </cfRule>
    <cfRule type="colorScale" priority="990">
      <colorScale>
        <cfvo type="min"/>
        <cfvo type="max"/>
        <color theme="0"/>
        <color theme="0"/>
      </colorScale>
    </cfRule>
  </conditionalFormatting>
  <conditionalFormatting sqref="CQ84:CQ91">
    <cfRule type="expression" priority="988">
      <formula>#REF!</formula>
    </cfRule>
  </conditionalFormatting>
  <conditionalFormatting sqref="CQ84:CQ92">
    <cfRule type="expression" dxfId="210" priority="986">
      <formula>IF(CQ84="Validar","Rojo","Verde")</formula>
    </cfRule>
  </conditionalFormatting>
  <conditionalFormatting sqref="CQ85:CQ91">
    <cfRule type="expression" dxfId="209" priority="989">
      <formula>CP85&lt;0</formula>
    </cfRule>
    <cfRule type="colorScale" priority="987">
      <colorScale>
        <cfvo type="min"/>
        <cfvo type="max"/>
        <color theme="0"/>
        <color theme="0"/>
      </colorScale>
    </cfRule>
  </conditionalFormatting>
  <conditionalFormatting sqref="CQ94">
    <cfRule type="expression" dxfId="208" priority="985">
      <formula>CP94&lt;0</formula>
    </cfRule>
    <cfRule type="colorScale" priority="984">
      <colorScale>
        <cfvo type="min"/>
        <cfvo type="max"/>
        <color theme="0"/>
        <color theme="0"/>
      </colorScale>
    </cfRule>
  </conditionalFormatting>
  <conditionalFormatting sqref="CQ94:CQ102">
    <cfRule type="expression" priority="978">
      <formula>#REF!</formula>
    </cfRule>
  </conditionalFormatting>
  <conditionalFormatting sqref="CQ94:CQ103">
    <cfRule type="expression" dxfId="207" priority="976">
      <formula>IF(CQ94="Validar","Rojo","Verde")</formula>
    </cfRule>
  </conditionalFormatting>
  <conditionalFormatting sqref="CQ95:CQ100">
    <cfRule type="expression" dxfId="206" priority="983">
      <formula>CP95&lt;0</formula>
    </cfRule>
    <cfRule type="colorScale" priority="982">
      <colorScale>
        <cfvo type="min"/>
        <cfvo type="max"/>
        <color theme="0"/>
        <color theme="0"/>
      </colorScale>
    </cfRule>
  </conditionalFormatting>
  <conditionalFormatting sqref="CQ101">
    <cfRule type="colorScale" priority="980">
      <colorScale>
        <cfvo type="min"/>
        <cfvo type="max"/>
        <color theme="0"/>
        <color theme="0"/>
      </colorScale>
    </cfRule>
    <cfRule type="expression" dxfId="205" priority="981">
      <formula>CP101&lt;0</formula>
    </cfRule>
  </conditionalFormatting>
  <conditionalFormatting sqref="CQ102">
    <cfRule type="expression" dxfId="204" priority="979">
      <formula>CP102&lt;0</formula>
    </cfRule>
    <cfRule type="colorScale" priority="977">
      <colorScale>
        <cfvo type="min"/>
        <cfvo type="max"/>
        <color theme="0"/>
        <color theme="0"/>
      </colorScale>
    </cfRule>
  </conditionalFormatting>
  <conditionalFormatting sqref="CQ105">
    <cfRule type="expression" dxfId="203" priority="975">
      <formula>CP105&lt;0</formula>
    </cfRule>
    <cfRule type="colorScale" priority="974">
      <colorScale>
        <cfvo type="min"/>
        <cfvo type="max"/>
        <color theme="0"/>
        <color theme="0"/>
      </colorScale>
    </cfRule>
  </conditionalFormatting>
  <conditionalFormatting sqref="CQ105:CQ106">
    <cfRule type="expression" priority="972">
      <formula>#REF!</formula>
    </cfRule>
  </conditionalFormatting>
  <conditionalFormatting sqref="CQ105:CQ107">
    <cfRule type="expression" dxfId="202" priority="970">
      <formula>IF(CQ105="Validar","Rojo","Verde")</formula>
    </cfRule>
  </conditionalFormatting>
  <conditionalFormatting sqref="CQ106">
    <cfRule type="expression" dxfId="201" priority="973">
      <formula>CP106&lt;0</formula>
    </cfRule>
    <cfRule type="colorScale" priority="971">
      <colorScale>
        <cfvo type="min"/>
        <cfvo type="max"/>
        <color theme="0"/>
        <color theme="0"/>
      </colorScale>
    </cfRule>
  </conditionalFormatting>
  <conditionalFormatting sqref="CQ110">
    <cfRule type="colorScale" priority="962">
      <colorScale>
        <cfvo type="min"/>
        <cfvo type="max"/>
        <color theme="0"/>
        <color theme="0"/>
      </colorScale>
    </cfRule>
    <cfRule type="expression" dxfId="200" priority="963">
      <formula>CP110&lt;0</formula>
    </cfRule>
  </conditionalFormatting>
  <conditionalFormatting sqref="CQ111">
    <cfRule type="colorScale" priority="952">
      <colorScale>
        <cfvo type="min"/>
        <cfvo type="max"/>
        <color theme="0"/>
        <color theme="0"/>
      </colorScale>
    </cfRule>
    <cfRule type="expression" dxfId="199" priority="954">
      <formula>CP111&lt;0</formula>
    </cfRule>
  </conditionalFormatting>
  <conditionalFormatting sqref="CQ117">
    <cfRule type="colorScale" priority="968">
      <colorScale>
        <cfvo type="min"/>
        <cfvo type="max"/>
        <color theme="0"/>
        <color theme="0"/>
      </colorScale>
    </cfRule>
    <cfRule type="expression" dxfId="198" priority="969">
      <formula>CP117&lt;0</formula>
    </cfRule>
  </conditionalFormatting>
  <conditionalFormatting sqref="CQ118:CQ123">
    <cfRule type="colorScale" priority="965">
      <colorScale>
        <cfvo type="min"/>
        <cfvo type="max"/>
        <color theme="0"/>
        <color theme="0"/>
      </colorScale>
    </cfRule>
    <cfRule type="expression" dxfId="197" priority="967">
      <formula>CP118&lt;0</formula>
    </cfRule>
  </conditionalFormatting>
  <conditionalFormatting sqref="CQ126:CQ135">
    <cfRule type="expression" dxfId="196" priority="1092">
      <formula>CP126&lt;0</formula>
    </cfRule>
    <cfRule type="expression" priority="1091">
      <formula>$F$23</formula>
    </cfRule>
    <cfRule type="colorScale" priority="1090">
      <colorScale>
        <cfvo type="min"/>
        <cfvo type="max"/>
        <color theme="0"/>
        <color theme="0"/>
      </colorScale>
    </cfRule>
    <cfRule type="expression" dxfId="195" priority="1089">
      <formula>IF(CQ126="Validar","Rojo","Verde")</formula>
    </cfRule>
  </conditionalFormatting>
  <conditionalFormatting sqref="CQ110:CR111">
    <cfRule type="expression" priority="953">
      <formula>#REF!</formula>
    </cfRule>
  </conditionalFormatting>
  <conditionalFormatting sqref="CQ117:CR123">
    <cfRule type="expression" priority="966">
      <formula>#REF!</formula>
    </cfRule>
  </conditionalFormatting>
  <conditionalFormatting sqref="CR5">
    <cfRule type="colorScale" priority="120">
      <colorScale>
        <cfvo type="min"/>
        <cfvo type="max"/>
        <color theme="0"/>
        <color theme="0"/>
      </colorScale>
    </cfRule>
    <cfRule type="expression" dxfId="194" priority="121">
      <formula>CQ5&lt;0</formula>
    </cfRule>
  </conditionalFormatting>
  <conditionalFormatting sqref="CR5:CR16">
    <cfRule type="expression" priority="119">
      <formula>#REF!</formula>
    </cfRule>
    <cfRule type="expression" dxfId="193" priority="118">
      <formula>IF(CR5="Validar","Rojo","Verde")</formula>
    </cfRule>
  </conditionalFormatting>
  <conditionalFormatting sqref="CR6:CR9">
    <cfRule type="expression" dxfId="192" priority="4832">
      <formula>CQ6&lt;0</formula>
    </cfRule>
    <cfRule type="colorScale" priority="4831">
      <colorScale>
        <cfvo type="min"/>
        <cfvo type="max"/>
        <color theme="0"/>
        <color theme="0"/>
      </colorScale>
    </cfRule>
  </conditionalFormatting>
  <conditionalFormatting sqref="CR10">
    <cfRule type="expression" dxfId="191" priority="4800">
      <formula>CQ10&lt;0</formula>
    </cfRule>
    <cfRule type="colorScale" priority="4799">
      <colorScale>
        <cfvo type="min"/>
        <cfvo type="max"/>
        <color theme="0"/>
        <color theme="0"/>
      </colorScale>
    </cfRule>
  </conditionalFormatting>
  <conditionalFormatting sqref="CR11:CR13">
    <cfRule type="colorScale" priority="4829">
      <colorScale>
        <cfvo type="min"/>
        <cfvo type="max"/>
        <color theme="0"/>
        <color theme="0"/>
      </colorScale>
    </cfRule>
    <cfRule type="expression" dxfId="190" priority="4830">
      <formula>CQ11&lt;0</formula>
    </cfRule>
  </conditionalFormatting>
  <conditionalFormatting sqref="CR14">
    <cfRule type="expression" dxfId="189" priority="281">
      <formula>CQ14&lt;0</formula>
    </cfRule>
    <cfRule type="colorScale" priority="280">
      <colorScale>
        <cfvo type="min"/>
        <cfvo type="max"/>
        <color theme="0"/>
        <color theme="0"/>
      </colorScale>
    </cfRule>
  </conditionalFormatting>
  <conditionalFormatting sqref="CR15">
    <cfRule type="expression" dxfId="188" priority="4798">
      <formula>CQ15&lt;0</formula>
    </cfRule>
    <cfRule type="colorScale" priority="4796">
      <colorScale>
        <cfvo type="min"/>
        <cfvo type="max"/>
        <color theme="0"/>
        <color theme="0"/>
      </colorScale>
    </cfRule>
  </conditionalFormatting>
  <conditionalFormatting sqref="CR16">
    <cfRule type="colorScale" priority="4827">
      <colorScale>
        <cfvo type="min"/>
        <cfvo type="max"/>
        <color theme="0"/>
        <color theme="0"/>
      </colorScale>
    </cfRule>
    <cfRule type="expression" dxfId="187" priority="4828">
      <formula>CQ16&lt;0</formula>
    </cfRule>
  </conditionalFormatting>
  <conditionalFormatting sqref="CR18">
    <cfRule type="colorScale" priority="4792">
      <colorScale>
        <cfvo type="min"/>
        <cfvo type="max"/>
        <color theme="0"/>
        <color theme="0"/>
      </colorScale>
    </cfRule>
    <cfRule type="expression" dxfId="186" priority="4794">
      <formula>CQ18&lt;0</formula>
    </cfRule>
  </conditionalFormatting>
  <conditionalFormatting sqref="CR18:CR19">
    <cfRule type="expression" dxfId="185" priority="4791">
      <formula>IF(CR18="Validar","Rojo","Verde")</formula>
    </cfRule>
    <cfRule type="expression" priority="4793">
      <formula>#REF!</formula>
    </cfRule>
  </conditionalFormatting>
  <conditionalFormatting sqref="CR19">
    <cfRule type="colorScale" priority="4825">
      <colorScale>
        <cfvo type="min"/>
        <cfvo type="max"/>
        <color theme="0"/>
        <color theme="0"/>
      </colorScale>
    </cfRule>
    <cfRule type="expression" dxfId="184" priority="4826">
      <formula>CQ19&lt;0</formula>
    </cfRule>
  </conditionalFormatting>
  <conditionalFormatting sqref="CR23">
    <cfRule type="colorScale" priority="4788">
      <colorScale>
        <cfvo type="min"/>
        <cfvo type="max"/>
        <color theme="0"/>
        <color theme="0"/>
      </colorScale>
    </cfRule>
    <cfRule type="expression" dxfId="183" priority="4790">
      <formula>CQ23&lt;0</formula>
    </cfRule>
  </conditionalFormatting>
  <conditionalFormatting sqref="CR23:CR24">
    <cfRule type="expression" dxfId="182" priority="4787">
      <formula>IF(CR23="Validar","Rojo","Verde")</formula>
    </cfRule>
    <cfRule type="expression" priority="4789">
      <formula>#REF!</formula>
    </cfRule>
  </conditionalFormatting>
  <conditionalFormatting sqref="CR24">
    <cfRule type="colorScale" priority="4821">
      <colorScale>
        <cfvo type="min"/>
        <cfvo type="max"/>
        <color theme="0"/>
        <color theme="0"/>
      </colorScale>
    </cfRule>
    <cfRule type="expression" dxfId="181" priority="4822">
      <formula>CQ24&lt;0</formula>
    </cfRule>
  </conditionalFormatting>
  <conditionalFormatting sqref="CR26">
    <cfRule type="expression" dxfId="180" priority="4786">
      <formula>CQ26&lt;0</formula>
    </cfRule>
    <cfRule type="colorScale" priority="4784">
      <colorScale>
        <cfvo type="min"/>
        <cfvo type="max"/>
        <color theme="0"/>
        <color theme="0"/>
      </colorScale>
    </cfRule>
  </conditionalFormatting>
  <conditionalFormatting sqref="CR26:CR27">
    <cfRule type="expression" priority="4785">
      <formula>#REF!</formula>
    </cfRule>
    <cfRule type="expression" dxfId="179" priority="4783">
      <formula>IF(CR26="Validar","Rojo","Verde")</formula>
    </cfRule>
  </conditionalFormatting>
  <conditionalFormatting sqref="CR27">
    <cfRule type="expression" dxfId="178" priority="4820">
      <formula>CQ27&lt;0</formula>
    </cfRule>
    <cfRule type="colorScale" priority="4819">
      <colorScale>
        <cfvo type="min"/>
        <cfvo type="max"/>
        <color theme="0"/>
        <color theme="0"/>
      </colorScale>
    </cfRule>
  </conditionalFormatting>
  <conditionalFormatting sqref="CR29">
    <cfRule type="colorScale" priority="4780">
      <colorScale>
        <cfvo type="min"/>
        <cfvo type="max"/>
        <color theme="0"/>
        <color theme="0"/>
      </colorScale>
    </cfRule>
    <cfRule type="expression" dxfId="177" priority="4782">
      <formula>CQ29&lt;0</formula>
    </cfRule>
  </conditionalFormatting>
  <conditionalFormatting sqref="CR29:CR30">
    <cfRule type="expression" priority="4781">
      <formula>#REF!</formula>
    </cfRule>
    <cfRule type="expression" dxfId="176" priority="4779">
      <formula>IF(CR29="Validar","Rojo","Verde")</formula>
    </cfRule>
  </conditionalFormatting>
  <conditionalFormatting sqref="CR30">
    <cfRule type="expression" dxfId="175" priority="4818">
      <formula>CQ30&lt;0</formula>
    </cfRule>
    <cfRule type="colorScale" priority="4817">
      <colorScale>
        <cfvo type="min"/>
        <cfvo type="max"/>
        <color theme="0"/>
        <color theme="0"/>
      </colorScale>
    </cfRule>
  </conditionalFormatting>
  <conditionalFormatting sqref="CR39">
    <cfRule type="colorScale" priority="4776">
      <colorScale>
        <cfvo type="min"/>
        <cfvo type="max"/>
        <color theme="0"/>
        <color theme="0"/>
      </colorScale>
    </cfRule>
    <cfRule type="expression" dxfId="174" priority="4778">
      <formula>CQ39&lt;0</formula>
    </cfRule>
  </conditionalFormatting>
  <conditionalFormatting sqref="CR39:CR66">
    <cfRule type="expression" priority="4777">
      <formula>#REF!</formula>
    </cfRule>
    <cfRule type="expression" dxfId="173" priority="4775">
      <formula>IF(CR39="Validar","Rojo","Verde")</formula>
    </cfRule>
  </conditionalFormatting>
  <conditionalFormatting sqref="CR40:CR66">
    <cfRule type="expression" dxfId="172" priority="4816">
      <formula>CQ40&lt;0</formula>
    </cfRule>
    <cfRule type="colorScale" priority="4815">
      <colorScale>
        <cfvo type="min"/>
        <cfvo type="max"/>
        <color theme="0"/>
        <color theme="0"/>
      </colorScale>
    </cfRule>
  </conditionalFormatting>
  <conditionalFormatting sqref="CR68">
    <cfRule type="expression" dxfId="171" priority="4774">
      <formula>CQ68&lt;0</formula>
    </cfRule>
    <cfRule type="colorScale" priority="4772">
      <colorScale>
        <cfvo type="min"/>
        <cfvo type="max"/>
        <color theme="0"/>
        <color theme="0"/>
      </colorScale>
    </cfRule>
  </conditionalFormatting>
  <conditionalFormatting sqref="CR68:CR81">
    <cfRule type="expression" dxfId="170" priority="4771">
      <formula>IF(CR68="Validar","Rojo","Verde")</formula>
    </cfRule>
    <cfRule type="expression" priority="4773">
      <formula>#REF!</formula>
    </cfRule>
  </conditionalFormatting>
  <conditionalFormatting sqref="CR69:CR81">
    <cfRule type="expression" dxfId="169" priority="4834">
      <formula>CQ69&lt;0</formula>
    </cfRule>
    <cfRule type="colorScale" priority="4833">
      <colorScale>
        <cfvo type="min"/>
        <cfvo type="max"/>
        <color theme="0"/>
        <color theme="0"/>
      </colorScale>
    </cfRule>
  </conditionalFormatting>
  <conditionalFormatting sqref="CR83">
    <cfRule type="colorScale" priority="4755">
      <colorScale>
        <cfvo type="min"/>
        <cfvo type="max"/>
        <color theme="0"/>
        <color theme="0"/>
      </colorScale>
    </cfRule>
    <cfRule type="expression" dxfId="168" priority="4757">
      <formula>CQ83&lt;0</formula>
    </cfRule>
  </conditionalFormatting>
  <conditionalFormatting sqref="CR83:CR91">
    <cfRule type="expression" priority="4530">
      <formula>#REF!</formula>
    </cfRule>
    <cfRule type="expression" dxfId="167" priority="4529">
      <formula>IF(CR83="Validar","Rojo","Verde")</formula>
    </cfRule>
  </conditionalFormatting>
  <conditionalFormatting sqref="CR84:CR90">
    <cfRule type="colorScale" priority="4813">
      <colorScale>
        <cfvo type="min"/>
        <cfvo type="max"/>
        <color theme="0"/>
        <color theme="0"/>
      </colorScale>
    </cfRule>
    <cfRule type="expression" dxfId="166" priority="4814">
      <formula>CQ84&lt;0</formula>
    </cfRule>
  </conditionalFormatting>
  <conditionalFormatting sqref="CR91">
    <cfRule type="expression" dxfId="165" priority="4533">
      <formula>CQ91&lt;0</formula>
    </cfRule>
    <cfRule type="colorScale" priority="4532">
      <colorScale>
        <cfvo type="min"/>
        <cfvo type="max"/>
        <color theme="0"/>
        <color theme="0"/>
      </colorScale>
    </cfRule>
  </conditionalFormatting>
  <conditionalFormatting sqref="CR93">
    <cfRule type="expression" dxfId="164" priority="4770">
      <formula>CQ93&lt;0</formula>
    </cfRule>
    <cfRule type="colorScale" priority="4768">
      <colorScale>
        <cfvo type="min"/>
        <cfvo type="max"/>
        <color theme="0"/>
        <color theme="0"/>
      </colorScale>
    </cfRule>
  </conditionalFormatting>
  <conditionalFormatting sqref="CR93:CR102">
    <cfRule type="expression" dxfId="163" priority="4767">
      <formula>IF(CR93="Validar","Rojo","Verde")</formula>
    </cfRule>
    <cfRule type="expression" priority="4769">
      <formula>#REF!</formula>
    </cfRule>
  </conditionalFormatting>
  <conditionalFormatting sqref="CR94:CR102">
    <cfRule type="colorScale" priority="4811">
      <colorScale>
        <cfvo type="min"/>
        <cfvo type="max"/>
        <color theme="0"/>
        <color theme="0"/>
      </colorScale>
    </cfRule>
    <cfRule type="expression" dxfId="162" priority="4812">
      <formula>CQ94&lt;0</formula>
    </cfRule>
  </conditionalFormatting>
  <conditionalFormatting sqref="CR104">
    <cfRule type="expression" dxfId="161" priority="4766">
      <formula>CQ104&lt;0</formula>
    </cfRule>
    <cfRule type="colorScale" priority="4764">
      <colorScale>
        <cfvo type="min"/>
        <cfvo type="max"/>
        <color theme="0"/>
        <color theme="0"/>
      </colorScale>
    </cfRule>
  </conditionalFormatting>
  <conditionalFormatting sqref="CR104:CR106">
    <cfRule type="expression" priority="4765">
      <formula>#REF!</formula>
    </cfRule>
    <cfRule type="expression" dxfId="160" priority="4763">
      <formula>IF(CR104="Validar","Rojo","Verde")</formula>
    </cfRule>
  </conditionalFormatting>
  <conditionalFormatting sqref="CR105:CR106">
    <cfRule type="colorScale" priority="4809">
      <colorScale>
        <cfvo type="min"/>
        <cfvo type="max"/>
        <color theme="0"/>
        <color theme="0"/>
      </colorScale>
    </cfRule>
    <cfRule type="expression" dxfId="159" priority="4810">
      <formula>CQ105&lt;0</formula>
    </cfRule>
  </conditionalFormatting>
  <conditionalFormatting sqref="CR110">
    <cfRule type="expression" dxfId="158" priority="4808">
      <formula>CQ110&lt;0</formula>
    </cfRule>
    <cfRule type="colorScale" priority="4807">
      <colorScale>
        <cfvo type="min"/>
        <cfvo type="max"/>
        <color theme="0"/>
        <color theme="0"/>
      </colorScale>
    </cfRule>
  </conditionalFormatting>
  <conditionalFormatting sqref="CR111">
    <cfRule type="colorScale" priority="4748">
      <colorScale>
        <cfvo type="min"/>
        <cfvo type="max"/>
        <color theme="0"/>
        <color theme="0"/>
      </colorScale>
    </cfRule>
    <cfRule type="expression" dxfId="157" priority="4750">
      <formula>CQ111&lt;0</formula>
    </cfRule>
  </conditionalFormatting>
  <conditionalFormatting sqref="CR117:CR123">
    <cfRule type="colorScale" priority="4804">
      <colorScale>
        <cfvo type="min"/>
        <cfvo type="max"/>
        <color theme="0"/>
        <color theme="0"/>
      </colorScale>
    </cfRule>
    <cfRule type="expression" dxfId="156" priority="4806">
      <formula>CQ117&lt;0</formula>
    </cfRule>
  </conditionalFormatting>
  <conditionalFormatting sqref="CR125">
    <cfRule type="expression" dxfId="155" priority="4762">
      <formula>CQ125&lt;0</formula>
    </cfRule>
    <cfRule type="colorScale" priority="4760">
      <colorScale>
        <cfvo type="min"/>
        <cfvo type="max"/>
        <color theme="0"/>
        <color theme="0"/>
      </colorScale>
    </cfRule>
  </conditionalFormatting>
  <conditionalFormatting sqref="CR125:CR134">
    <cfRule type="expression" priority="4761">
      <formula>#REF!</formula>
    </cfRule>
    <cfRule type="expression" dxfId="154" priority="4759">
      <formula>IF(CR125="Validar","Rojo","Verde")</formula>
    </cfRule>
  </conditionalFormatting>
  <conditionalFormatting sqref="CR126:CR134">
    <cfRule type="colorScale" priority="4801">
      <colorScale>
        <cfvo type="min"/>
        <cfvo type="max"/>
        <color theme="0"/>
        <color theme="0"/>
      </colorScale>
    </cfRule>
    <cfRule type="expression" dxfId="153" priority="4802">
      <formula>CQ126&lt;0</formula>
    </cfRule>
  </conditionalFormatting>
  <conditionalFormatting sqref="CT5">
    <cfRule type="colorScale" priority="19">
      <colorScale>
        <cfvo type="min"/>
        <cfvo type="max"/>
        <color theme="0"/>
        <color theme="0"/>
      </colorScale>
    </cfRule>
    <cfRule type="expression" dxfId="152" priority="20">
      <formula>CS5&lt;0</formula>
    </cfRule>
  </conditionalFormatting>
  <conditionalFormatting sqref="CT5:CT20">
    <cfRule type="expression" priority="18">
      <formula>#REF!</formula>
    </cfRule>
    <cfRule type="expression" dxfId="151" priority="17">
      <formula>IF(CT5="Validar","Rojo","Verde")</formula>
    </cfRule>
  </conditionalFormatting>
  <conditionalFormatting sqref="CT6">
    <cfRule type="expression" dxfId="150" priority="800">
      <formula>CS6&lt;0</formula>
    </cfRule>
    <cfRule type="colorScale" priority="799">
      <colorScale>
        <cfvo type="min"/>
        <cfvo type="max"/>
        <color theme="0"/>
        <color theme="0"/>
      </colorScale>
    </cfRule>
  </conditionalFormatting>
  <conditionalFormatting sqref="CT7:CT8">
    <cfRule type="expression" dxfId="149" priority="796">
      <formula>CS7&lt;0</formula>
    </cfRule>
    <cfRule type="colorScale" priority="795">
      <colorScale>
        <cfvo type="min"/>
        <cfvo type="max"/>
        <color theme="0"/>
        <color theme="0"/>
      </colorScale>
    </cfRule>
  </conditionalFormatting>
  <conditionalFormatting sqref="CT9">
    <cfRule type="colorScale" priority="910">
      <colorScale>
        <cfvo type="min"/>
        <cfvo type="max"/>
        <color theme="0"/>
        <color theme="0"/>
      </colorScale>
    </cfRule>
    <cfRule type="expression" dxfId="148" priority="911">
      <formula>CS9&lt;0</formula>
    </cfRule>
  </conditionalFormatting>
  <conditionalFormatting sqref="CT10">
    <cfRule type="expression" dxfId="147" priority="888">
      <formula>CS10&lt;0</formula>
    </cfRule>
    <cfRule type="colorScale" priority="887">
      <colorScale>
        <cfvo type="min"/>
        <cfvo type="max"/>
        <color theme="0"/>
        <color theme="0"/>
      </colorScale>
    </cfRule>
  </conditionalFormatting>
  <conditionalFormatting sqref="CT11:CT13">
    <cfRule type="expression" dxfId="146" priority="909">
      <formula>CS11&lt;0</formula>
    </cfRule>
    <cfRule type="colorScale" priority="908">
      <colorScale>
        <cfvo type="min"/>
        <cfvo type="max"/>
        <color theme="0"/>
        <color theme="0"/>
      </colorScale>
    </cfRule>
  </conditionalFormatting>
  <conditionalFormatting sqref="CT14">
    <cfRule type="colorScale" priority="259">
      <colorScale>
        <cfvo type="min"/>
        <cfvo type="max"/>
        <color theme="0"/>
        <color theme="0"/>
      </colorScale>
    </cfRule>
    <cfRule type="expression" dxfId="145" priority="260">
      <formula>CS14&lt;0</formula>
    </cfRule>
  </conditionalFormatting>
  <conditionalFormatting sqref="CT15">
    <cfRule type="expression" dxfId="144" priority="886">
      <formula>CS15&lt;0</formula>
    </cfRule>
    <cfRule type="colorScale" priority="885">
      <colorScale>
        <cfvo type="min"/>
        <cfvo type="max"/>
        <color theme="0"/>
        <color theme="0"/>
      </colorScale>
    </cfRule>
  </conditionalFormatting>
  <conditionalFormatting sqref="CT16:CT17">
    <cfRule type="expression" dxfId="143" priority="907">
      <formula>CS16&lt;0</formula>
    </cfRule>
    <cfRule type="colorScale" priority="906">
      <colorScale>
        <cfvo type="min"/>
        <cfvo type="max"/>
        <color theme="0"/>
        <color theme="0"/>
      </colorScale>
    </cfRule>
  </conditionalFormatting>
  <conditionalFormatting sqref="CT18">
    <cfRule type="expression" dxfId="142" priority="884">
      <formula>CS18&lt;0</formula>
    </cfRule>
    <cfRule type="colorScale" priority="882">
      <colorScale>
        <cfvo type="min"/>
        <cfvo type="max"/>
        <color theme="0"/>
        <color theme="0"/>
      </colorScale>
    </cfRule>
  </conditionalFormatting>
  <conditionalFormatting sqref="CT19:CT20">
    <cfRule type="expression" dxfId="141" priority="905">
      <formula>CS19&lt;0</formula>
    </cfRule>
    <cfRule type="colorScale" priority="904">
      <colorScale>
        <cfvo type="min"/>
        <cfvo type="max"/>
        <color theme="0"/>
        <color theme="0"/>
      </colorScale>
    </cfRule>
  </conditionalFormatting>
  <conditionalFormatting sqref="CT23">
    <cfRule type="colorScale" priority="879">
      <colorScale>
        <cfvo type="min"/>
        <cfvo type="max"/>
        <color theme="0"/>
        <color theme="0"/>
      </colorScale>
    </cfRule>
    <cfRule type="expression" dxfId="140" priority="880">
      <formula>CS23&lt;0</formula>
    </cfRule>
  </conditionalFormatting>
  <conditionalFormatting sqref="CT23:CT31">
    <cfRule type="expression" priority="875">
      <formula>#REF!</formula>
    </cfRule>
    <cfRule type="expression" dxfId="139" priority="873">
      <formula>IF(CT23="Validar","Rojo","Verde")</formula>
    </cfRule>
  </conditionalFormatting>
  <conditionalFormatting sqref="CT24">
    <cfRule type="expression" dxfId="138" priority="903">
      <formula>CS24&lt;0</formula>
    </cfRule>
    <cfRule type="colorScale" priority="902">
      <colorScale>
        <cfvo type="min"/>
        <cfvo type="max"/>
        <color theme="0"/>
        <color theme="0"/>
      </colorScale>
    </cfRule>
  </conditionalFormatting>
  <conditionalFormatting sqref="CT25">
    <cfRule type="expression" dxfId="137" priority="901">
      <formula>CS25&lt;0</formula>
    </cfRule>
    <cfRule type="colorScale" priority="900">
      <colorScale>
        <cfvo type="min"/>
        <cfvo type="max"/>
        <color theme="0"/>
        <color theme="0"/>
      </colorScale>
    </cfRule>
  </conditionalFormatting>
  <conditionalFormatting sqref="CT26">
    <cfRule type="expression" dxfId="136" priority="878">
      <formula>CS26&lt;0</formula>
    </cfRule>
    <cfRule type="colorScale" priority="877">
      <colorScale>
        <cfvo type="min"/>
        <cfvo type="max"/>
        <color theme="0"/>
        <color theme="0"/>
      </colorScale>
    </cfRule>
  </conditionalFormatting>
  <conditionalFormatting sqref="CT27">
    <cfRule type="colorScale" priority="898">
      <colorScale>
        <cfvo type="min"/>
        <cfvo type="max"/>
        <color theme="0"/>
        <color theme="0"/>
      </colorScale>
    </cfRule>
    <cfRule type="expression" dxfId="135" priority="899">
      <formula>CS27&lt;0</formula>
    </cfRule>
  </conditionalFormatting>
  <conditionalFormatting sqref="CT28">
    <cfRule type="colorScale" priority="896">
      <colorScale>
        <cfvo type="min"/>
        <cfvo type="max"/>
        <color theme="0"/>
        <color theme="0"/>
      </colorScale>
    </cfRule>
    <cfRule type="expression" dxfId="134" priority="897">
      <formula>CS28&lt;0</formula>
    </cfRule>
  </conditionalFormatting>
  <conditionalFormatting sqref="CT29">
    <cfRule type="colorScale" priority="874">
      <colorScale>
        <cfvo type="min"/>
        <cfvo type="max"/>
        <color theme="0"/>
        <color theme="0"/>
      </colorScale>
    </cfRule>
    <cfRule type="expression" dxfId="133" priority="876">
      <formula>CS29&lt;0</formula>
    </cfRule>
  </conditionalFormatting>
  <conditionalFormatting sqref="CT30">
    <cfRule type="expression" dxfId="132" priority="895">
      <formula>CS30&lt;0</formula>
    </cfRule>
    <cfRule type="colorScale" priority="894">
      <colorScale>
        <cfvo type="min"/>
        <cfvo type="max"/>
        <color theme="0"/>
        <color theme="0"/>
      </colorScale>
    </cfRule>
  </conditionalFormatting>
  <conditionalFormatting sqref="CT31">
    <cfRule type="expression" dxfId="131" priority="893">
      <formula>CS31&lt;0</formula>
    </cfRule>
    <cfRule type="colorScale" priority="892">
      <colorScale>
        <cfvo type="min"/>
        <cfvo type="max"/>
        <color theme="0"/>
        <color theme="0"/>
      </colorScale>
    </cfRule>
  </conditionalFormatting>
  <conditionalFormatting sqref="CT39">
    <cfRule type="expression" dxfId="130" priority="872">
      <formula>CS39&lt;0</formula>
    </cfRule>
    <cfRule type="colorScale" priority="870">
      <colorScale>
        <cfvo type="min"/>
        <cfvo type="max"/>
        <color theme="0"/>
        <color theme="0"/>
      </colorScale>
    </cfRule>
    <cfRule type="expression" priority="871">
      <formula>#REF!</formula>
    </cfRule>
  </conditionalFormatting>
  <conditionalFormatting sqref="CT39:CT107">
    <cfRule type="expression" dxfId="129" priority="808">
      <formula>IF(CT39="Validar","Rojo","Verde")</formula>
    </cfRule>
  </conditionalFormatting>
  <conditionalFormatting sqref="CT40:CT67">
    <cfRule type="expression" dxfId="128" priority="891">
      <formula>CS40&lt;0</formula>
    </cfRule>
    <cfRule type="expression" priority="890">
      <formula>$F$19</formula>
    </cfRule>
    <cfRule type="colorScale" priority="889">
      <colorScale>
        <cfvo type="min"/>
        <cfvo type="max"/>
        <color theme="0"/>
        <color theme="0"/>
      </colorScale>
    </cfRule>
  </conditionalFormatting>
  <conditionalFormatting sqref="CT68">
    <cfRule type="colorScale" priority="867">
      <colorScale>
        <cfvo type="min"/>
        <cfvo type="max"/>
        <color theme="0"/>
        <color theme="0"/>
      </colorScale>
    </cfRule>
    <cfRule type="expression" priority="868">
      <formula>#REF!</formula>
    </cfRule>
    <cfRule type="expression" dxfId="127" priority="869">
      <formula>CS68&lt;0</formula>
    </cfRule>
  </conditionalFormatting>
  <conditionalFormatting sqref="CT69:CT81">
    <cfRule type="expression" dxfId="126" priority="916">
      <formula>CS69&lt;0</formula>
    </cfRule>
    <cfRule type="expression" priority="915">
      <formula>$F$19</formula>
    </cfRule>
    <cfRule type="colorScale" priority="914">
      <colorScale>
        <cfvo type="min"/>
        <cfvo type="max"/>
        <color theme="0"/>
        <color theme="0"/>
      </colorScale>
    </cfRule>
  </conditionalFormatting>
  <conditionalFormatting sqref="CT82 CT92 CT103 CT107">
    <cfRule type="expression" dxfId="125" priority="913">
      <formula>CS82&lt;0</formula>
    </cfRule>
    <cfRule type="colorScale" priority="912">
      <colorScale>
        <cfvo type="min"/>
        <cfvo type="max"/>
        <color theme="0"/>
        <color theme="0"/>
      </colorScale>
    </cfRule>
  </conditionalFormatting>
  <conditionalFormatting sqref="CT83">
    <cfRule type="colorScale" priority="809">
      <colorScale>
        <cfvo type="min"/>
        <cfvo type="max"/>
        <color theme="0"/>
        <color theme="0"/>
      </colorScale>
    </cfRule>
    <cfRule type="expression" priority="810">
      <formula>#REF!</formula>
    </cfRule>
    <cfRule type="expression" dxfId="124" priority="811">
      <formula>CS83&lt;0</formula>
    </cfRule>
  </conditionalFormatting>
  <conditionalFormatting sqref="CT84:CT91">
    <cfRule type="expression" priority="918">
      <formula>$F$19</formula>
    </cfRule>
    <cfRule type="colorScale" priority="917">
      <colorScale>
        <cfvo type="min"/>
        <cfvo type="max"/>
        <color theme="0"/>
        <color theme="0"/>
      </colorScale>
    </cfRule>
    <cfRule type="expression" dxfId="123" priority="919">
      <formula>CS84&lt;0</formula>
    </cfRule>
  </conditionalFormatting>
  <conditionalFormatting sqref="CT93">
    <cfRule type="expression" priority="865">
      <formula>#REF!</formula>
    </cfRule>
    <cfRule type="colorScale" priority="864">
      <colorScale>
        <cfvo type="min"/>
        <cfvo type="max"/>
        <color theme="0"/>
        <color theme="0"/>
      </colorScale>
    </cfRule>
    <cfRule type="expression" dxfId="122" priority="866">
      <formula>CS93&lt;0</formula>
    </cfRule>
  </conditionalFormatting>
  <conditionalFormatting sqref="CT94:CT102">
    <cfRule type="expression" dxfId="121" priority="922">
      <formula>CS94&lt;0</formula>
    </cfRule>
    <cfRule type="expression" priority="921">
      <formula>$F$19</formula>
    </cfRule>
    <cfRule type="colorScale" priority="920">
      <colorScale>
        <cfvo type="min"/>
        <cfvo type="max"/>
        <color theme="0"/>
        <color theme="0"/>
      </colorScale>
    </cfRule>
  </conditionalFormatting>
  <conditionalFormatting sqref="CT104">
    <cfRule type="expression" dxfId="120" priority="863">
      <formula>CS104&lt;0</formula>
    </cfRule>
    <cfRule type="expression" priority="862">
      <formula>#REF!</formula>
    </cfRule>
    <cfRule type="colorScale" priority="861">
      <colorScale>
        <cfvo type="min"/>
        <cfvo type="max"/>
        <color theme="0"/>
        <color theme="0"/>
      </colorScale>
    </cfRule>
  </conditionalFormatting>
  <conditionalFormatting sqref="CT105:CT106">
    <cfRule type="expression" priority="924">
      <formula>$F$19</formula>
    </cfRule>
    <cfRule type="expression" dxfId="119" priority="925">
      <formula>CS105&lt;0</formula>
    </cfRule>
    <cfRule type="colorScale" priority="923">
      <colorScale>
        <cfvo type="min"/>
        <cfvo type="max"/>
        <color theme="0"/>
        <color theme="0"/>
      </colorScale>
    </cfRule>
  </conditionalFormatting>
  <conditionalFormatting sqref="CT110">
    <cfRule type="colorScale" priority="926">
      <colorScale>
        <cfvo type="min"/>
        <cfvo type="max"/>
        <color theme="0"/>
        <color theme="0"/>
      </colorScale>
    </cfRule>
    <cfRule type="expression" dxfId="118" priority="927">
      <formula>CS110&lt;0</formula>
    </cfRule>
  </conditionalFormatting>
  <conditionalFormatting sqref="CT110:CT111">
    <cfRule type="expression" priority="806">
      <formula>$F$19</formula>
    </cfRule>
  </conditionalFormatting>
  <conditionalFormatting sqref="CT111">
    <cfRule type="colorScale" priority="805">
      <colorScale>
        <cfvo type="min"/>
        <cfvo type="max"/>
        <color theme="0"/>
        <color theme="0"/>
      </colorScale>
    </cfRule>
    <cfRule type="expression" dxfId="117" priority="807">
      <formula>CS111&lt;0</formula>
    </cfRule>
  </conditionalFormatting>
  <conditionalFormatting sqref="CT117:CT123">
    <cfRule type="colorScale" priority="931">
      <colorScale>
        <cfvo type="min"/>
        <cfvo type="max"/>
        <color theme="0"/>
        <color theme="0"/>
      </colorScale>
    </cfRule>
    <cfRule type="expression" dxfId="116" priority="933">
      <formula>CS117&lt;0</formula>
    </cfRule>
    <cfRule type="expression" priority="932">
      <formula>$F$19</formula>
    </cfRule>
  </conditionalFormatting>
  <conditionalFormatting sqref="CT125">
    <cfRule type="expression" priority="859">
      <formula>#REF!</formula>
    </cfRule>
    <cfRule type="expression" dxfId="115" priority="860">
      <formula>CS125&lt;0</formula>
    </cfRule>
    <cfRule type="colorScale" priority="858">
      <colorScale>
        <cfvo type="min"/>
        <cfvo type="max"/>
        <color theme="0"/>
        <color theme="0"/>
      </colorScale>
    </cfRule>
  </conditionalFormatting>
  <conditionalFormatting sqref="CT125:CT135">
    <cfRule type="expression" dxfId="114" priority="857">
      <formula>IF(CT125="Validar","Rojo","Verde")</formula>
    </cfRule>
  </conditionalFormatting>
  <conditionalFormatting sqref="CT126:CT132">
    <cfRule type="expression" dxfId="113" priority="936">
      <formula>CS126&lt;0</formula>
    </cfRule>
    <cfRule type="colorScale" priority="934">
      <colorScale>
        <cfvo type="min"/>
        <cfvo type="max"/>
        <color theme="0"/>
        <color theme="0"/>
      </colorScale>
    </cfRule>
  </conditionalFormatting>
  <conditionalFormatting sqref="CT126:CT134">
    <cfRule type="expression" priority="935">
      <formula>$F$19</formula>
    </cfRule>
  </conditionalFormatting>
  <conditionalFormatting sqref="CT133:CT134">
    <cfRule type="colorScale" priority="937">
      <colorScale>
        <cfvo type="min"/>
        <cfvo type="max"/>
        <color theme="0"/>
        <color theme="0"/>
      </colorScale>
    </cfRule>
    <cfRule type="expression" dxfId="112" priority="938">
      <formula>CS133&lt;0</formula>
    </cfRule>
  </conditionalFormatting>
  <conditionalFormatting sqref="CT135">
    <cfRule type="colorScale" priority="928">
      <colorScale>
        <cfvo type="min"/>
        <cfvo type="max"/>
        <color theme="0"/>
        <color theme="0"/>
      </colorScale>
    </cfRule>
    <cfRule type="expression" priority="929">
      <formula>$F$23</formula>
    </cfRule>
    <cfRule type="expression" dxfId="111" priority="930">
      <formula>CS135&lt;0</formula>
    </cfRule>
  </conditionalFormatting>
  <conditionalFormatting sqref="CT110:CU111">
    <cfRule type="expression" dxfId="110" priority="801">
      <formula>IF(CT110="Validar","Rojo","Verde")</formula>
    </cfRule>
  </conditionalFormatting>
  <conditionalFormatting sqref="CT117:CU123">
    <cfRule type="expression" dxfId="109" priority="814">
      <formula>IF(CT117="Validar","Rojo","Verde")</formula>
    </cfRule>
  </conditionalFormatting>
  <conditionalFormatting sqref="CU40:CU66">
    <cfRule type="colorScale" priority="849">
      <colorScale>
        <cfvo type="min"/>
        <cfvo type="max"/>
        <color theme="0"/>
        <color theme="0"/>
      </colorScale>
    </cfRule>
    <cfRule type="expression" priority="850">
      <formula>#REF!</formula>
    </cfRule>
    <cfRule type="expression" dxfId="108" priority="851">
      <formula>CT40&lt;0</formula>
    </cfRule>
  </conditionalFormatting>
  <conditionalFormatting sqref="CU40:CU67">
    <cfRule type="expression" dxfId="107" priority="848">
      <formula>IF(CU40="Validar","Rojo","Verde")</formula>
    </cfRule>
  </conditionalFormatting>
  <conditionalFormatting sqref="CU67 CT82:CU82 CT92:CU92 CT103:CU103 CT107:CU107">
    <cfRule type="expression" priority="853">
      <formula>$F$23</formula>
    </cfRule>
  </conditionalFormatting>
  <conditionalFormatting sqref="CU67 CU82 CU92 CU103 CU107">
    <cfRule type="colorScale" priority="852">
      <colorScale>
        <cfvo type="min"/>
        <cfvo type="max"/>
        <color theme="0"/>
        <color theme="0"/>
      </colorScale>
    </cfRule>
    <cfRule type="expression" dxfId="106" priority="854">
      <formula>CT67&lt;0</formula>
    </cfRule>
  </conditionalFormatting>
  <conditionalFormatting sqref="CU69">
    <cfRule type="colorScale" priority="846">
      <colorScale>
        <cfvo type="min"/>
        <cfvo type="max"/>
        <color theme="0"/>
        <color theme="0"/>
      </colorScale>
    </cfRule>
    <cfRule type="expression" dxfId="105" priority="847">
      <formula>CT69&lt;0</formula>
    </cfRule>
  </conditionalFormatting>
  <conditionalFormatting sqref="CU69:CU81">
    <cfRule type="expression" priority="844">
      <formula>#REF!</formula>
    </cfRule>
  </conditionalFormatting>
  <conditionalFormatting sqref="CU69:CU82">
    <cfRule type="expression" dxfId="104" priority="842">
      <formula>IF(CU69="Validar","Rojo","Verde")</formula>
    </cfRule>
  </conditionalFormatting>
  <conditionalFormatting sqref="CU70:CU78">
    <cfRule type="colorScale" priority="843">
      <colorScale>
        <cfvo type="min"/>
        <cfvo type="max"/>
        <color theme="0"/>
        <color theme="0"/>
      </colorScale>
    </cfRule>
    <cfRule type="expression" dxfId="103" priority="845">
      <formula>CT70&lt;0</formula>
    </cfRule>
  </conditionalFormatting>
  <conditionalFormatting sqref="CU79:CU81">
    <cfRule type="colorScale" priority="855">
      <colorScale>
        <cfvo type="min"/>
        <cfvo type="max"/>
        <color theme="0"/>
        <color theme="0"/>
      </colorScale>
    </cfRule>
    <cfRule type="expression" dxfId="102" priority="856">
      <formula>CT79&lt;0</formula>
    </cfRule>
  </conditionalFormatting>
  <conditionalFormatting sqref="CU84">
    <cfRule type="colorScale" priority="840">
      <colorScale>
        <cfvo type="min"/>
        <cfvo type="max"/>
        <color theme="0"/>
        <color theme="0"/>
      </colorScale>
    </cfRule>
    <cfRule type="expression" dxfId="101" priority="841">
      <formula>CT84&lt;0</formula>
    </cfRule>
  </conditionalFormatting>
  <conditionalFormatting sqref="CU84:CU91">
    <cfRule type="expression" priority="838">
      <formula>#REF!</formula>
    </cfRule>
  </conditionalFormatting>
  <conditionalFormatting sqref="CU84:CU92">
    <cfRule type="expression" dxfId="100" priority="836">
      <formula>IF(CU84="Validar","Rojo","Verde")</formula>
    </cfRule>
  </conditionalFormatting>
  <conditionalFormatting sqref="CU85:CU91">
    <cfRule type="colorScale" priority="837">
      <colorScale>
        <cfvo type="min"/>
        <cfvo type="max"/>
        <color theme="0"/>
        <color theme="0"/>
      </colorScale>
    </cfRule>
    <cfRule type="expression" dxfId="99" priority="839">
      <formula>CT85&lt;0</formula>
    </cfRule>
  </conditionalFormatting>
  <conditionalFormatting sqref="CU94">
    <cfRule type="expression" dxfId="98" priority="835">
      <formula>CT94&lt;0</formula>
    </cfRule>
    <cfRule type="colorScale" priority="834">
      <colorScale>
        <cfvo type="min"/>
        <cfvo type="max"/>
        <color theme="0"/>
        <color theme="0"/>
      </colorScale>
    </cfRule>
  </conditionalFormatting>
  <conditionalFormatting sqref="CU94:CU102">
    <cfRule type="expression" priority="828">
      <formula>#REF!</formula>
    </cfRule>
  </conditionalFormatting>
  <conditionalFormatting sqref="CU94:CU103">
    <cfRule type="expression" dxfId="97" priority="826">
      <formula>IF(CU94="Validar","Rojo","Verde")</formula>
    </cfRule>
  </conditionalFormatting>
  <conditionalFormatting sqref="CU95:CU100">
    <cfRule type="colorScale" priority="832">
      <colorScale>
        <cfvo type="min"/>
        <cfvo type="max"/>
        <color theme="0"/>
        <color theme="0"/>
      </colorScale>
    </cfRule>
    <cfRule type="expression" dxfId="96" priority="833">
      <formula>CT95&lt;0</formula>
    </cfRule>
  </conditionalFormatting>
  <conditionalFormatting sqref="CU101">
    <cfRule type="colorScale" priority="830">
      <colorScale>
        <cfvo type="min"/>
        <cfvo type="max"/>
        <color theme="0"/>
        <color theme="0"/>
      </colorScale>
    </cfRule>
    <cfRule type="expression" dxfId="95" priority="831">
      <formula>CT101&lt;0</formula>
    </cfRule>
  </conditionalFormatting>
  <conditionalFormatting sqref="CU102">
    <cfRule type="expression" dxfId="94" priority="829">
      <formula>CT102&lt;0</formula>
    </cfRule>
    <cfRule type="colorScale" priority="827">
      <colorScale>
        <cfvo type="min"/>
        <cfvo type="max"/>
        <color theme="0"/>
        <color theme="0"/>
      </colorScale>
    </cfRule>
  </conditionalFormatting>
  <conditionalFormatting sqref="CU105">
    <cfRule type="colorScale" priority="824">
      <colorScale>
        <cfvo type="min"/>
        <cfvo type="max"/>
        <color theme="0"/>
        <color theme="0"/>
      </colorScale>
    </cfRule>
    <cfRule type="expression" dxfId="93" priority="825">
      <formula>CT105&lt;0</formula>
    </cfRule>
  </conditionalFormatting>
  <conditionalFormatting sqref="CU105:CU106">
    <cfRule type="expression" priority="822">
      <formula>#REF!</formula>
    </cfRule>
  </conditionalFormatting>
  <conditionalFormatting sqref="CU105:CU107">
    <cfRule type="expression" dxfId="92" priority="820">
      <formula>IF(CU105="Validar","Rojo","Verde")</formula>
    </cfRule>
  </conditionalFormatting>
  <conditionalFormatting sqref="CU106">
    <cfRule type="expression" dxfId="91" priority="823">
      <formula>CT106&lt;0</formula>
    </cfRule>
    <cfRule type="colorScale" priority="821">
      <colorScale>
        <cfvo type="min"/>
        <cfvo type="max"/>
        <color theme="0"/>
        <color theme="0"/>
      </colorScale>
    </cfRule>
  </conditionalFormatting>
  <conditionalFormatting sqref="CU110">
    <cfRule type="colorScale" priority="812">
      <colorScale>
        <cfvo type="min"/>
        <cfvo type="max"/>
        <color theme="0"/>
        <color theme="0"/>
      </colorScale>
    </cfRule>
    <cfRule type="expression" dxfId="90" priority="813">
      <formula>CT110&lt;0</formula>
    </cfRule>
  </conditionalFormatting>
  <conditionalFormatting sqref="CU110:CU111">
    <cfRule type="expression" priority="803">
      <formula>#REF!</formula>
    </cfRule>
  </conditionalFormatting>
  <conditionalFormatting sqref="CU111">
    <cfRule type="colorScale" priority="802">
      <colorScale>
        <cfvo type="min"/>
        <cfvo type="max"/>
        <color theme="0"/>
        <color theme="0"/>
      </colorScale>
    </cfRule>
    <cfRule type="expression" dxfId="89" priority="804">
      <formula>CT111&lt;0</formula>
    </cfRule>
  </conditionalFormatting>
  <conditionalFormatting sqref="CU117">
    <cfRule type="expression" dxfId="88" priority="819">
      <formula>CT117&lt;0</formula>
    </cfRule>
    <cfRule type="colorScale" priority="818">
      <colorScale>
        <cfvo type="min"/>
        <cfvo type="max"/>
        <color theme="0"/>
        <color theme="0"/>
      </colorScale>
    </cfRule>
  </conditionalFormatting>
  <conditionalFormatting sqref="CU117:CU123">
    <cfRule type="expression" priority="816">
      <formula>#REF!</formula>
    </cfRule>
  </conditionalFormatting>
  <conditionalFormatting sqref="CU118:CU123">
    <cfRule type="expression" dxfId="87" priority="817">
      <formula>CT118&lt;0</formula>
    </cfRule>
    <cfRule type="colorScale" priority="815">
      <colorScale>
        <cfvo type="min"/>
        <cfvo type="max"/>
        <color theme="0"/>
        <color theme="0"/>
      </colorScale>
    </cfRule>
  </conditionalFormatting>
  <conditionalFormatting sqref="CU126:CU135">
    <cfRule type="expression" dxfId="86" priority="939">
      <formula>IF(CU126="Validar","Rojo","Verde")</formula>
    </cfRule>
    <cfRule type="expression" dxfId="85" priority="942">
      <formula>CT126&lt;0</formula>
    </cfRule>
    <cfRule type="expression" priority="941">
      <formula>$F$23</formula>
    </cfRule>
    <cfRule type="colorScale" priority="940">
      <colorScale>
        <cfvo type="min"/>
        <cfvo type="max"/>
        <color theme="0"/>
        <color theme="0"/>
      </colorScale>
    </cfRule>
  </conditionalFormatting>
  <conditionalFormatting sqref="CW5">
    <cfRule type="expression" dxfId="84" priority="16">
      <formula>CV5&lt;0</formula>
    </cfRule>
    <cfRule type="colorScale" priority="15">
      <colorScale>
        <cfvo type="min"/>
        <cfvo type="max"/>
        <color theme="0"/>
        <color theme="0"/>
      </colorScale>
    </cfRule>
  </conditionalFormatting>
  <conditionalFormatting sqref="CW5:CW20">
    <cfRule type="expression" dxfId="83" priority="13">
      <formula>IF(CW5="Validar","Rojo","Verde")</formula>
    </cfRule>
    <cfRule type="expression" priority="14">
      <formula>#REF!</formula>
    </cfRule>
  </conditionalFormatting>
  <conditionalFormatting sqref="CW6">
    <cfRule type="colorScale" priority="699">
      <colorScale>
        <cfvo type="min"/>
        <cfvo type="max"/>
        <color theme="0"/>
        <color theme="0"/>
      </colorScale>
    </cfRule>
    <cfRule type="expression" dxfId="82" priority="700">
      <formula>CV6&lt;0</formula>
    </cfRule>
  </conditionalFormatting>
  <conditionalFormatting sqref="CW7:CW8">
    <cfRule type="expression" dxfId="81" priority="696">
      <formula>CV7&lt;0</formula>
    </cfRule>
    <cfRule type="colorScale" priority="695">
      <colorScale>
        <cfvo type="min"/>
        <cfvo type="max"/>
        <color theme="0"/>
        <color theme="0"/>
      </colorScale>
    </cfRule>
  </conditionalFormatting>
  <conditionalFormatting sqref="CW9">
    <cfRule type="colorScale" priority="764">
      <colorScale>
        <cfvo type="min"/>
        <cfvo type="max"/>
        <color theme="0"/>
        <color theme="0"/>
      </colorScale>
    </cfRule>
    <cfRule type="expression" dxfId="80" priority="765">
      <formula>CV9&lt;0</formula>
    </cfRule>
  </conditionalFormatting>
  <conditionalFormatting sqref="CW10">
    <cfRule type="expression" dxfId="79" priority="742">
      <formula>CV10&lt;0</formula>
    </cfRule>
    <cfRule type="colorScale" priority="741">
      <colorScale>
        <cfvo type="min"/>
        <cfvo type="max"/>
        <color theme="0"/>
        <color theme="0"/>
      </colorScale>
    </cfRule>
  </conditionalFormatting>
  <conditionalFormatting sqref="CW11:CW13">
    <cfRule type="colorScale" priority="762">
      <colorScale>
        <cfvo type="min"/>
        <cfvo type="max"/>
        <color theme="0"/>
        <color theme="0"/>
      </colorScale>
    </cfRule>
    <cfRule type="expression" dxfId="78" priority="763">
      <formula>CV11&lt;0</formula>
    </cfRule>
  </conditionalFormatting>
  <conditionalFormatting sqref="CW14">
    <cfRule type="colorScale" priority="199">
      <colorScale>
        <cfvo type="min"/>
        <cfvo type="max"/>
        <color theme="0"/>
        <color theme="0"/>
      </colorScale>
    </cfRule>
    <cfRule type="expression" dxfId="77" priority="200">
      <formula>CV14&lt;0</formula>
    </cfRule>
  </conditionalFormatting>
  <conditionalFormatting sqref="CW15">
    <cfRule type="colorScale" priority="739">
      <colorScale>
        <cfvo type="min"/>
        <cfvo type="max"/>
        <color theme="0"/>
        <color theme="0"/>
      </colorScale>
    </cfRule>
    <cfRule type="expression" dxfId="76" priority="740">
      <formula>CV15&lt;0</formula>
    </cfRule>
  </conditionalFormatting>
  <conditionalFormatting sqref="CW16:CW17">
    <cfRule type="colorScale" priority="760">
      <colorScale>
        <cfvo type="min"/>
        <cfvo type="max"/>
        <color theme="0"/>
        <color theme="0"/>
      </colorScale>
    </cfRule>
    <cfRule type="expression" dxfId="75" priority="761">
      <formula>CV16&lt;0</formula>
    </cfRule>
  </conditionalFormatting>
  <conditionalFormatting sqref="CW18">
    <cfRule type="expression" dxfId="74" priority="738">
      <formula>CV18&lt;0</formula>
    </cfRule>
    <cfRule type="colorScale" priority="736">
      <colorScale>
        <cfvo type="min"/>
        <cfvo type="max"/>
        <color theme="0"/>
        <color theme="0"/>
      </colorScale>
    </cfRule>
  </conditionalFormatting>
  <conditionalFormatting sqref="CW19:CW20">
    <cfRule type="expression" dxfId="73" priority="759">
      <formula>CV19&lt;0</formula>
    </cfRule>
    <cfRule type="colorScale" priority="758">
      <colorScale>
        <cfvo type="min"/>
        <cfvo type="max"/>
        <color theme="0"/>
        <color theme="0"/>
      </colorScale>
    </cfRule>
  </conditionalFormatting>
  <conditionalFormatting sqref="CW23">
    <cfRule type="colorScale" priority="733">
      <colorScale>
        <cfvo type="min"/>
        <cfvo type="max"/>
        <color theme="0"/>
        <color theme="0"/>
      </colorScale>
    </cfRule>
    <cfRule type="expression" dxfId="72" priority="734">
      <formula>CV23&lt;0</formula>
    </cfRule>
  </conditionalFormatting>
  <conditionalFormatting sqref="CW23:CW31">
    <cfRule type="expression" dxfId="71" priority="727">
      <formula>IF(CW23="Validar","Rojo","Verde")</formula>
    </cfRule>
    <cfRule type="expression" priority="729">
      <formula>#REF!</formula>
    </cfRule>
  </conditionalFormatting>
  <conditionalFormatting sqref="CW24">
    <cfRule type="expression" dxfId="70" priority="757">
      <formula>CV24&lt;0</formula>
    </cfRule>
    <cfRule type="colorScale" priority="756">
      <colorScale>
        <cfvo type="min"/>
        <cfvo type="max"/>
        <color theme="0"/>
        <color theme="0"/>
      </colorScale>
    </cfRule>
  </conditionalFormatting>
  <conditionalFormatting sqref="CW25">
    <cfRule type="expression" dxfId="69" priority="755">
      <formula>CV25&lt;0</formula>
    </cfRule>
    <cfRule type="colorScale" priority="754">
      <colorScale>
        <cfvo type="min"/>
        <cfvo type="max"/>
        <color theme="0"/>
        <color theme="0"/>
      </colorScale>
    </cfRule>
  </conditionalFormatting>
  <conditionalFormatting sqref="CW26">
    <cfRule type="colorScale" priority="731">
      <colorScale>
        <cfvo type="min"/>
        <cfvo type="max"/>
        <color theme="0"/>
        <color theme="0"/>
      </colorScale>
    </cfRule>
    <cfRule type="expression" dxfId="68" priority="732">
      <formula>CV26&lt;0</formula>
    </cfRule>
  </conditionalFormatting>
  <conditionalFormatting sqref="CW27">
    <cfRule type="colorScale" priority="752">
      <colorScale>
        <cfvo type="min"/>
        <cfvo type="max"/>
        <color theme="0"/>
        <color theme="0"/>
      </colorScale>
    </cfRule>
    <cfRule type="expression" dxfId="67" priority="753">
      <formula>CV27&lt;0</formula>
    </cfRule>
  </conditionalFormatting>
  <conditionalFormatting sqref="CW28">
    <cfRule type="expression" dxfId="66" priority="751">
      <formula>CV28&lt;0</formula>
    </cfRule>
    <cfRule type="colorScale" priority="750">
      <colorScale>
        <cfvo type="min"/>
        <cfvo type="max"/>
        <color theme="0"/>
        <color theme="0"/>
      </colorScale>
    </cfRule>
  </conditionalFormatting>
  <conditionalFormatting sqref="CW29">
    <cfRule type="colorScale" priority="728">
      <colorScale>
        <cfvo type="min"/>
        <cfvo type="max"/>
        <color theme="0"/>
        <color theme="0"/>
      </colorScale>
    </cfRule>
    <cfRule type="expression" dxfId="65" priority="730">
      <formula>CV29&lt;0</formula>
    </cfRule>
  </conditionalFormatting>
  <conditionalFormatting sqref="CW30">
    <cfRule type="colorScale" priority="748">
      <colorScale>
        <cfvo type="min"/>
        <cfvo type="max"/>
        <color theme="0"/>
        <color theme="0"/>
      </colorScale>
    </cfRule>
    <cfRule type="expression" dxfId="64" priority="749">
      <formula>CV30&lt;0</formula>
    </cfRule>
  </conditionalFormatting>
  <conditionalFormatting sqref="CW31">
    <cfRule type="colorScale" priority="746">
      <colorScale>
        <cfvo type="min"/>
        <cfvo type="max"/>
        <color theme="0"/>
        <color theme="0"/>
      </colorScale>
    </cfRule>
    <cfRule type="expression" dxfId="63" priority="747">
      <formula>CV31&lt;0</formula>
    </cfRule>
  </conditionalFormatting>
  <conditionalFormatting sqref="CW39">
    <cfRule type="expression" priority="725">
      <formula>#REF!</formula>
    </cfRule>
    <cfRule type="colorScale" priority="724">
      <colorScale>
        <cfvo type="min"/>
        <cfvo type="max"/>
        <color theme="0"/>
        <color theme="0"/>
      </colorScale>
    </cfRule>
    <cfRule type="expression" dxfId="62" priority="726">
      <formula>CV39&lt;0</formula>
    </cfRule>
  </conditionalFormatting>
  <conditionalFormatting sqref="CW39:CW107">
    <cfRule type="expression" dxfId="61" priority="705">
      <formula>IF(CW39="Validar","Rojo","Verde")</formula>
    </cfRule>
  </conditionalFormatting>
  <conditionalFormatting sqref="CW40:CW67">
    <cfRule type="expression" dxfId="60" priority="745">
      <formula>CV40&lt;0</formula>
    </cfRule>
    <cfRule type="colorScale" priority="743">
      <colorScale>
        <cfvo type="min"/>
        <cfvo type="max"/>
        <color theme="0"/>
        <color theme="0"/>
      </colorScale>
    </cfRule>
    <cfRule type="expression" priority="744">
      <formula>$F$19</formula>
    </cfRule>
  </conditionalFormatting>
  <conditionalFormatting sqref="CW68">
    <cfRule type="expression" priority="722">
      <formula>#REF!</formula>
    </cfRule>
    <cfRule type="colorScale" priority="721">
      <colorScale>
        <cfvo type="min"/>
        <cfvo type="max"/>
        <color theme="0"/>
        <color theme="0"/>
      </colorScale>
    </cfRule>
    <cfRule type="expression" dxfId="59" priority="723">
      <formula>CV68&lt;0</formula>
    </cfRule>
  </conditionalFormatting>
  <conditionalFormatting sqref="CW69:CW81">
    <cfRule type="expression" dxfId="58" priority="770">
      <formula>CV69&lt;0</formula>
    </cfRule>
    <cfRule type="expression" priority="769">
      <formula>$F$19</formula>
    </cfRule>
    <cfRule type="colorScale" priority="768">
      <colorScale>
        <cfvo type="min"/>
        <cfvo type="max"/>
        <color theme="0"/>
        <color theme="0"/>
      </colorScale>
    </cfRule>
  </conditionalFormatting>
  <conditionalFormatting sqref="CW82 CW92 CW103 CW107">
    <cfRule type="expression" priority="710">
      <formula>$F$23</formula>
    </cfRule>
    <cfRule type="expression" dxfId="57" priority="767">
      <formula>CV82&lt;0</formula>
    </cfRule>
    <cfRule type="colorScale" priority="766">
      <colorScale>
        <cfvo type="min"/>
        <cfvo type="max"/>
        <color theme="0"/>
        <color theme="0"/>
      </colorScale>
    </cfRule>
  </conditionalFormatting>
  <conditionalFormatting sqref="CW83">
    <cfRule type="colorScale" priority="706">
      <colorScale>
        <cfvo type="min"/>
        <cfvo type="max"/>
        <color theme="0"/>
        <color theme="0"/>
      </colorScale>
    </cfRule>
    <cfRule type="expression" dxfId="56" priority="708">
      <formula>CV83&lt;0</formula>
    </cfRule>
    <cfRule type="expression" priority="707">
      <formula>#REF!</formula>
    </cfRule>
  </conditionalFormatting>
  <conditionalFormatting sqref="CW84:CW91">
    <cfRule type="expression" dxfId="55" priority="773">
      <formula>CV84&lt;0</formula>
    </cfRule>
    <cfRule type="expression" priority="772">
      <formula>$F$19</formula>
    </cfRule>
    <cfRule type="colorScale" priority="771">
      <colorScale>
        <cfvo type="min"/>
        <cfvo type="max"/>
        <color theme="0"/>
        <color theme="0"/>
      </colorScale>
    </cfRule>
  </conditionalFormatting>
  <conditionalFormatting sqref="CW93">
    <cfRule type="colorScale" priority="718">
      <colorScale>
        <cfvo type="min"/>
        <cfvo type="max"/>
        <color theme="0"/>
        <color theme="0"/>
      </colorScale>
    </cfRule>
    <cfRule type="expression" priority="719">
      <formula>#REF!</formula>
    </cfRule>
    <cfRule type="expression" dxfId="54" priority="720">
      <formula>CV93&lt;0</formula>
    </cfRule>
  </conditionalFormatting>
  <conditionalFormatting sqref="CW94:CW102">
    <cfRule type="expression" dxfId="53" priority="776">
      <formula>CV94&lt;0</formula>
    </cfRule>
    <cfRule type="expression" priority="775">
      <formula>$F$19</formula>
    </cfRule>
    <cfRule type="colorScale" priority="774">
      <colorScale>
        <cfvo type="min"/>
        <cfvo type="max"/>
        <color theme="0"/>
        <color theme="0"/>
      </colorScale>
    </cfRule>
  </conditionalFormatting>
  <conditionalFormatting sqref="CW104">
    <cfRule type="expression" dxfId="52" priority="717">
      <formula>CV104&lt;0</formula>
    </cfRule>
    <cfRule type="expression" priority="716">
      <formula>#REF!</formula>
    </cfRule>
    <cfRule type="colorScale" priority="715">
      <colorScale>
        <cfvo type="min"/>
        <cfvo type="max"/>
        <color theme="0"/>
        <color theme="0"/>
      </colorScale>
    </cfRule>
  </conditionalFormatting>
  <conditionalFormatting sqref="CW105:CW106">
    <cfRule type="colorScale" priority="777">
      <colorScale>
        <cfvo type="min"/>
        <cfvo type="max"/>
        <color theme="0"/>
        <color theme="0"/>
      </colorScale>
    </cfRule>
    <cfRule type="expression" priority="778">
      <formula>$F$19</formula>
    </cfRule>
    <cfRule type="expression" dxfId="51" priority="779">
      <formula>CV105&lt;0</formula>
    </cfRule>
  </conditionalFormatting>
  <conditionalFormatting sqref="CW110">
    <cfRule type="colorScale" priority="780">
      <colorScale>
        <cfvo type="min"/>
        <cfvo type="max"/>
        <color theme="0"/>
        <color theme="0"/>
      </colorScale>
    </cfRule>
    <cfRule type="expression" dxfId="50" priority="781">
      <formula>CV110&lt;0</formula>
    </cfRule>
  </conditionalFormatting>
  <conditionalFormatting sqref="CW110:CW111">
    <cfRule type="expression" priority="703">
      <formula>$F$19</formula>
    </cfRule>
  </conditionalFormatting>
  <conditionalFormatting sqref="CW111">
    <cfRule type="colorScale" priority="702">
      <colorScale>
        <cfvo type="min"/>
        <cfvo type="max"/>
        <color theme="0"/>
        <color theme="0"/>
      </colorScale>
    </cfRule>
    <cfRule type="expression" dxfId="49" priority="704">
      <formula>CV111&lt;0</formula>
    </cfRule>
  </conditionalFormatting>
  <conditionalFormatting sqref="CW117:CW123">
    <cfRule type="expression" priority="786">
      <formula>$F$19</formula>
    </cfRule>
    <cfRule type="expression" dxfId="48" priority="787">
      <formula>CV117&lt;0</formula>
    </cfRule>
    <cfRule type="colorScale" priority="785">
      <colorScale>
        <cfvo type="min"/>
        <cfvo type="max"/>
        <color theme="0"/>
        <color theme="0"/>
      </colorScale>
    </cfRule>
  </conditionalFormatting>
  <conditionalFormatting sqref="CW125">
    <cfRule type="expression" priority="713">
      <formula>#REF!</formula>
    </cfRule>
    <cfRule type="expression" dxfId="47" priority="714">
      <formula>CV125&lt;0</formula>
    </cfRule>
    <cfRule type="colorScale" priority="712">
      <colorScale>
        <cfvo type="min"/>
        <cfvo type="max"/>
        <color theme="0"/>
        <color theme="0"/>
      </colorScale>
    </cfRule>
  </conditionalFormatting>
  <conditionalFormatting sqref="CW125:CW135">
    <cfRule type="expression" dxfId="46" priority="711">
      <formula>IF(CW125="Validar","Rojo","Verde")</formula>
    </cfRule>
  </conditionalFormatting>
  <conditionalFormatting sqref="CW126:CW132">
    <cfRule type="expression" dxfId="45" priority="790">
      <formula>CV126&lt;0</formula>
    </cfRule>
    <cfRule type="colorScale" priority="788">
      <colorScale>
        <cfvo type="min"/>
        <cfvo type="max"/>
        <color theme="0"/>
        <color theme="0"/>
      </colorScale>
    </cfRule>
  </conditionalFormatting>
  <conditionalFormatting sqref="CW126:CW134">
    <cfRule type="expression" priority="789">
      <formula>$F$19</formula>
    </cfRule>
  </conditionalFormatting>
  <conditionalFormatting sqref="CW133:CW134">
    <cfRule type="expression" dxfId="44" priority="792">
      <formula>CV133&lt;0</formula>
    </cfRule>
    <cfRule type="colorScale" priority="791">
      <colorScale>
        <cfvo type="min"/>
        <cfvo type="max"/>
        <color theme="0"/>
        <color theme="0"/>
      </colorScale>
    </cfRule>
  </conditionalFormatting>
  <conditionalFormatting sqref="CW135">
    <cfRule type="expression" priority="783">
      <formula>$F$23</formula>
    </cfRule>
    <cfRule type="expression" dxfId="43" priority="784">
      <formula>CV135&lt;0</formula>
    </cfRule>
    <cfRule type="colorScale" priority="782">
      <colorScale>
        <cfvo type="min"/>
        <cfvo type="max"/>
        <color theme="0"/>
        <color theme="0"/>
      </colorScale>
    </cfRule>
  </conditionalFormatting>
  <conditionalFormatting sqref="CW110:CX111">
    <cfRule type="expression" dxfId="42" priority="701">
      <formula>IF(CW110="Validar","Rojo","Verde")</formula>
    </cfRule>
  </conditionalFormatting>
  <conditionalFormatting sqref="CW117:CX123">
    <cfRule type="expression" dxfId="41" priority="709">
      <formula>IF(CW117="Validar","Rojo","Verde")</formula>
    </cfRule>
  </conditionalFormatting>
  <conditionalFormatting sqref="CX5">
    <cfRule type="expression" dxfId="40" priority="156">
      <formula>CW5&lt;0</formula>
    </cfRule>
    <cfRule type="colorScale" priority="155">
      <colorScale>
        <cfvo type="min"/>
        <cfvo type="max"/>
        <color theme="0"/>
        <color theme="0"/>
      </colorScale>
    </cfRule>
  </conditionalFormatting>
  <conditionalFormatting sqref="CX5:CX16">
    <cfRule type="expression" dxfId="39" priority="153">
      <formula>IF(CX5="Validar","Rojo","Verde")</formula>
    </cfRule>
    <cfRule type="expression" priority="154">
      <formula>#REF!</formula>
    </cfRule>
  </conditionalFormatting>
  <conditionalFormatting sqref="CX6:CX9">
    <cfRule type="expression" dxfId="38" priority="5598">
      <formula>CW6&lt;0</formula>
    </cfRule>
    <cfRule type="colorScale" priority="5597">
      <colorScale>
        <cfvo type="min"/>
        <cfvo type="max"/>
        <color theme="0"/>
        <color theme="0"/>
      </colorScale>
    </cfRule>
  </conditionalFormatting>
  <conditionalFormatting sqref="CX10">
    <cfRule type="expression" dxfId="37" priority="5566">
      <formula>CW10&lt;0</formula>
    </cfRule>
    <cfRule type="colorScale" priority="5565">
      <colorScale>
        <cfvo type="min"/>
        <cfvo type="max"/>
        <color theme="0"/>
        <color theme="0"/>
      </colorScale>
    </cfRule>
  </conditionalFormatting>
  <conditionalFormatting sqref="CX11:CX13">
    <cfRule type="colorScale" priority="5595">
      <colorScale>
        <cfvo type="min"/>
        <cfvo type="max"/>
        <color theme="0"/>
        <color theme="0"/>
      </colorScale>
    </cfRule>
    <cfRule type="expression" dxfId="36" priority="5596">
      <formula>CW11&lt;0</formula>
    </cfRule>
  </conditionalFormatting>
  <conditionalFormatting sqref="CX14">
    <cfRule type="expression" dxfId="35" priority="316">
      <formula>CW14&lt;0</formula>
    </cfRule>
    <cfRule type="colorScale" priority="315">
      <colorScale>
        <cfvo type="min"/>
        <cfvo type="max"/>
        <color theme="0"/>
        <color theme="0"/>
      </colorScale>
    </cfRule>
  </conditionalFormatting>
  <conditionalFormatting sqref="CX15">
    <cfRule type="expression" dxfId="34" priority="5564">
      <formula>CW15&lt;0</formula>
    </cfRule>
    <cfRule type="colorScale" priority="5562">
      <colorScale>
        <cfvo type="min"/>
        <cfvo type="max"/>
        <color theme="0"/>
        <color theme="0"/>
      </colorScale>
    </cfRule>
  </conditionalFormatting>
  <conditionalFormatting sqref="CX16">
    <cfRule type="expression" dxfId="33" priority="5594">
      <formula>CW16&lt;0</formula>
    </cfRule>
    <cfRule type="colorScale" priority="5593">
      <colorScale>
        <cfvo type="min"/>
        <cfvo type="max"/>
        <color theme="0"/>
        <color theme="0"/>
      </colorScale>
    </cfRule>
  </conditionalFormatting>
  <conditionalFormatting sqref="CX18">
    <cfRule type="expression" dxfId="32" priority="5560">
      <formula>CW18&lt;0</formula>
    </cfRule>
    <cfRule type="colorScale" priority="5558">
      <colorScale>
        <cfvo type="min"/>
        <cfvo type="max"/>
        <color theme="0"/>
        <color theme="0"/>
      </colorScale>
    </cfRule>
  </conditionalFormatting>
  <conditionalFormatting sqref="CX18:CX19">
    <cfRule type="expression" priority="5559">
      <formula>#REF!</formula>
    </cfRule>
    <cfRule type="expression" dxfId="31" priority="5557">
      <formula>IF(CX18="Validar","Rojo","Verde")</formula>
    </cfRule>
  </conditionalFormatting>
  <conditionalFormatting sqref="CX19">
    <cfRule type="colorScale" priority="5591">
      <colorScale>
        <cfvo type="min"/>
        <cfvo type="max"/>
        <color theme="0"/>
        <color theme="0"/>
      </colorScale>
    </cfRule>
    <cfRule type="expression" dxfId="30" priority="5592">
      <formula>CW19&lt;0</formula>
    </cfRule>
  </conditionalFormatting>
  <conditionalFormatting sqref="CX23">
    <cfRule type="colorScale" priority="5554">
      <colorScale>
        <cfvo type="min"/>
        <cfvo type="max"/>
        <color theme="0"/>
        <color theme="0"/>
      </colorScale>
    </cfRule>
    <cfRule type="expression" dxfId="29" priority="5556">
      <formula>CW23&lt;0</formula>
    </cfRule>
  </conditionalFormatting>
  <conditionalFormatting sqref="CX23:CX24">
    <cfRule type="expression" dxfId="28" priority="5553">
      <formula>IF(CX23="Validar","Rojo","Verde")</formula>
    </cfRule>
    <cfRule type="expression" priority="5555">
      <formula>#REF!</formula>
    </cfRule>
  </conditionalFormatting>
  <conditionalFormatting sqref="CX24">
    <cfRule type="expression" dxfId="27" priority="5588">
      <formula>CW24&lt;0</formula>
    </cfRule>
    <cfRule type="colorScale" priority="5587">
      <colorScale>
        <cfvo type="min"/>
        <cfvo type="max"/>
        <color theme="0"/>
        <color theme="0"/>
      </colorScale>
    </cfRule>
  </conditionalFormatting>
  <conditionalFormatting sqref="CX26">
    <cfRule type="colorScale" priority="5550">
      <colorScale>
        <cfvo type="min"/>
        <cfvo type="max"/>
        <color theme="0"/>
        <color theme="0"/>
      </colorScale>
    </cfRule>
    <cfRule type="expression" dxfId="26" priority="5552">
      <formula>CW26&lt;0</formula>
    </cfRule>
  </conditionalFormatting>
  <conditionalFormatting sqref="CX26:CX27">
    <cfRule type="expression" priority="5551">
      <formula>#REF!</formula>
    </cfRule>
    <cfRule type="expression" dxfId="25" priority="5549">
      <formula>IF(CX26="Validar","Rojo","Verde")</formula>
    </cfRule>
  </conditionalFormatting>
  <conditionalFormatting sqref="CX27">
    <cfRule type="expression" dxfId="24" priority="5586">
      <formula>CW27&lt;0</formula>
    </cfRule>
    <cfRule type="colorScale" priority="5585">
      <colorScale>
        <cfvo type="min"/>
        <cfvo type="max"/>
        <color theme="0"/>
        <color theme="0"/>
      </colorScale>
    </cfRule>
  </conditionalFormatting>
  <conditionalFormatting sqref="CX29">
    <cfRule type="colorScale" priority="5546">
      <colorScale>
        <cfvo type="min"/>
        <cfvo type="max"/>
        <color theme="0"/>
        <color theme="0"/>
      </colorScale>
    </cfRule>
    <cfRule type="expression" dxfId="23" priority="5548">
      <formula>CW29&lt;0</formula>
    </cfRule>
  </conditionalFormatting>
  <conditionalFormatting sqref="CX29:CX30">
    <cfRule type="expression" priority="5547">
      <formula>#REF!</formula>
    </cfRule>
    <cfRule type="expression" dxfId="22" priority="5545">
      <formula>IF(CX29="Validar","Rojo","Verde")</formula>
    </cfRule>
  </conditionalFormatting>
  <conditionalFormatting sqref="CX30">
    <cfRule type="colorScale" priority="5583">
      <colorScale>
        <cfvo type="min"/>
        <cfvo type="max"/>
        <color theme="0"/>
        <color theme="0"/>
      </colorScale>
    </cfRule>
    <cfRule type="expression" dxfId="21" priority="5584">
      <formula>CW30&lt;0</formula>
    </cfRule>
  </conditionalFormatting>
  <conditionalFormatting sqref="CX39">
    <cfRule type="colorScale" priority="5542">
      <colorScale>
        <cfvo type="min"/>
        <cfvo type="max"/>
        <color theme="0"/>
        <color theme="0"/>
      </colorScale>
    </cfRule>
    <cfRule type="expression" dxfId="20" priority="5544">
      <formula>CW39&lt;0</formula>
    </cfRule>
  </conditionalFormatting>
  <conditionalFormatting sqref="CX39:CX66">
    <cfRule type="expression" priority="5543">
      <formula>#REF!</formula>
    </cfRule>
    <cfRule type="expression" dxfId="19" priority="5541">
      <formula>IF(CX39="Validar","Rojo","Verde")</formula>
    </cfRule>
  </conditionalFormatting>
  <conditionalFormatting sqref="CX40:CX66">
    <cfRule type="expression" dxfId="18" priority="5582">
      <formula>CW40&lt;0</formula>
    </cfRule>
    <cfRule type="colorScale" priority="5581">
      <colorScale>
        <cfvo type="min"/>
        <cfvo type="max"/>
        <color theme="0"/>
        <color theme="0"/>
      </colorScale>
    </cfRule>
  </conditionalFormatting>
  <conditionalFormatting sqref="CX68">
    <cfRule type="expression" dxfId="17" priority="5540">
      <formula>CW68&lt;0</formula>
    </cfRule>
    <cfRule type="colorScale" priority="5538">
      <colorScale>
        <cfvo type="min"/>
        <cfvo type="max"/>
        <color theme="0"/>
        <color theme="0"/>
      </colorScale>
    </cfRule>
  </conditionalFormatting>
  <conditionalFormatting sqref="CX68:CX81">
    <cfRule type="expression" priority="5539">
      <formula>#REF!</formula>
    </cfRule>
    <cfRule type="expression" dxfId="16" priority="5537">
      <formula>IF(CX68="Validar","Rojo","Verde")</formula>
    </cfRule>
  </conditionalFormatting>
  <conditionalFormatting sqref="CX69:CX81">
    <cfRule type="colorScale" priority="5599">
      <colorScale>
        <cfvo type="min"/>
        <cfvo type="max"/>
        <color theme="0"/>
        <color theme="0"/>
      </colorScale>
    </cfRule>
    <cfRule type="expression" dxfId="15" priority="5600">
      <formula>CW69&lt;0</formula>
    </cfRule>
  </conditionalFormatting>
  <conditionalFormatting sqref="CX83">
    <cfRule type="expression" dxfId="14" priority="5523">
      <formula>CW83&lt;0</formula>
    </cfRule>
    <cfRule type="colorScale" priority="5521">
      <colorScale>
        <cfvo type="min"/>
        <cfvo type="max"/>
        <color theme="0"/>
        <color theme="0"/>
      </colorScale>
    </cfRule>
  </conditionalFormatting>
  <conditionalFormatting sqref="CX83:CX91">
    <cfRule type="expression" dxfId="13" priority="5520">
      <formula>IF(CX83="Validar","Rojo","Verde")</formula>
    </cfRule>
    <cfRule type="expression" priority="5522">
      <formula>#REF!</formula>
    </cfRule>
  </conditionalFormatting>
  <conditionalFormatting sqref="CX84:CX91">
    <cfRule type="expression" dxfId="12" priority="5580">
      <formula>CW84&lt;0</formula>
    </cfRule>
    <cfRule type="colorScale" priority="5579">
      <colorScale>
        <cfvo type="min"/>
        <cfvo type="max"/>
        <color theme="0"/>
        <color theme="0"/>
      </colorScale>
    </cfRule>
  </conditionalFormatting>
  <conditionalFormatting sqref="CX93">
    <cfRule type="colorScale" priority="5534">
      <colorScale>
        <cfvo type="min"/>
        <cfvo type="max"/>
        <color theme="0"/>
        <color theme="0"/>
      </colorScale>
    </cfRule>
    <cfRule type="expression" dxfId="11" priority="5536">
      <formula>CW93&lt;0</formula>
    </cfRule>
  </conditionalFormatting>
  <conditionalFormatting sqref="CX93:CX102">
    <cfRule type="expression" priority="5535">
      <formula>#REF!</formula>
    </cfRule>
    <cfRule type="expression" dxfId="10" priority="5533">
      <formula>IF(CX93="Validar","Rojo","Verde")</formula>
    </cfRule>
  </conditionalFormatting>
  <conditionalFormatting sqref="CX94:CX102">
    <cfRule type="colorScale" priority="5577">
      <colorScale>
        <cfvo type="min"/>
        <cfvo type="max"/>
        <color theme="0"/>
        <color theme="0"/>
      </colorScale>
    </cfRule>
    <cfRule type="expression" dxfId="9" priority="5578">
      <formula>CW94&lt;0</formula>
    </cfRule>
  </conditionalFormatting>
  <conditionalFormatting sqref="CX104">
    <cfRule type="colorScale" priority="5530">
      <colorScale>
        <cfvo type="min"/>
        <cfvo type="max"/>
        <color theme="0"/>
        <color theme="0"/>
      </colorScale>
    </cfRule>
    <cfRule type="expression" dxfId="8" priority="5532">
      <formula>CW104&lt;0</formula>
    </cfRule>
  </conditionalFormatting>
  <conditionalFormatting sqref="CX104:CX106">
    <cfRule type="expression" dxfId="7" priority="5529">
      <formula>IF(CX104="Validar","Rojo","Verde")</formula>
    </cfRule>
    <cfRule type="expression" priority="5531">
      <formula>#REF!</formula>
    </cfRule>
  </conditionalFormatting>
  <conditionalFormatting sqref="CX105:CX106">
    <cfRule type="colorScale" priority="5575">
      <colorScale>
        <cfvo type="min"/>
        <cfvo type="max"/>
        <color theme="0"/>
        <color theme="0"/>
      </colorScale>
    </cfRule>
    <cfRule type="expression" dxfId="6" priority="5576">
      <formula>CW105&lt;0</formula>
    </cfRule>
  </conditionalFormatting>
  <conditionalFormatting sqref="CX110">
    <cfRule type="colorScale" priority="5573">
      <colorScale>
        <cfvo type="min"/>
        <cfvo type="max"/>
        <color theme="0"/>
        <color theme="0"/>
      </colorScale>
    </cfRule>
    <cfRule type="expression" dxfId="5" priority="5574">
      <formula>CW110&lt;0</formula>
    </cfRule>
  </conditionalFormatting>
  <conditionalFormatting sqref="CX110:CX111">
    <cfRule type="expression" priority="5515">
      <formula>#REF!</formula>
    </cfRule>
  </conditionalFormatting>
  <conditionalFormatting sqref="CX111">
    <cfRule type="expression" dxfId="4" priority="5516">
      <formula>CW111&lt;0</formula>
    </cfRule>
    <cfRule type="colorScale" priority="5514">
      <colorScale>
        <cfvo type="min"/>
        <cfvo type="max"/>
        <color theme="0"/>
        <color theme="0"/>
      </colorScale>
    </cfRule>
  </conditionalFormatting>
  <conditionalFormatting sqref="CX117:CX123">
    <cfRule type="colorScale" priority="5570">
      <colorScale>
        <cfvo type="min"/>
        <cfvo type="max"/>
        <color theme="0"/>
        <color theme="0"/>
      </colorScale>
    </cfRule>
    <cfRule type="expression" priority="5571">
      <formula>#REF!</formula>
    </cfRule>
    <cfRule type="expression" dxfId="3" priority="5572">
      <formula>CW117&lt;0</formula>
    </cfRule>
  </conditionalFormatting>
  <conditionalFormatting sqref="CX125">
    <cfRule type="expression" dxfId="2" priority="5528">
      <formula>CW125&lt;0</formula>
    </cfRule>
    <cfRule type="colorScale" priority="5526">
      <colorScale>
        <cfvo type="min"/>
        <cfvo type="max"/>
        <color theme="0"/>
        <color theme="0"/>
      </colorScale>
    </cfRule>
  </conditionalFormatting>
  <conditionalFormatting sqref="CX125:CX134">
    <cfRule type="expression" priority="5527">
      <formula>#REF!</formula>
    </cfRule>
    <cfRule type="expression" dxfId="1" priority="5525">
      <formula>IF(CX125="Validar","Rojo","Verde")</formula>
    </cfRule>
  </conditionalFormatting>
  <conditionalFormatting sqref="CX126:CX134">
    <cfRule type="expression" dxfId="0" priority="5568">
      <formula>CW126&lt;0</formula>
    </cfRule>
    <cfRule type="colorScale" priority="5567">
      <colorScale>
        <cfvo type="min"/>
        <cfvo type="max"/>
        <color theme="0"/>
        <color theme="0"/>
      </colorScale>
    </cfRule>
  </conditionalFormatting>
  <pageMargins left="0.7" right="0.7" top="0.75" bottom="0.75" header="0.3" footer="0.3"/>
  <pageSetup paperSize="9" orientation="portrait" r:id="rId1"/>
  <headerFooter>
    <oddHeader>&amp;LElaborado por:&amp;CCarmen Eugenia Quintero Q.</oddHeader>
  </headerFooter>
  <legacyDrawing r:id="rId2"/>
  <extLst>
    <ext xmlns:x14="http://schemas.microsoft.com/office/spreadsheetml/2009/9/main" uri="{78C0D931-6437-407d-A8EE-F0AAD7539E65}">
      <x14:conditionalFormattings>
        <x14:conditionalFormatting xmlns:xm="http://schemas.microsoft.com/office/excel/2006/main">
          <x14:cfRule type="iconSet" priority="9187" id="{5120BFDC-57B3-4E6F-B41C-FB228A016580}">
            <x14:iconSet iconSet="3Triangles">
              <x14:cfvo type="percent">
                <xm:f>0</xm:f>
              </x14:cfvo>
              <x14:cfvo type="percent">
                <xm:f>0</xm:f>
              </x14:cfvo>
              <x14:cfvo type="percent">
                <xm:f>1</xm:f>
              </x14:cfvo>
            </x14:iconSet>
          </x14:cfRule>
          <xm:sqref>K3</xm:sqref>
        </x14:conditionalFormatting>
        <x14:conditionalFormatting xmlns:xm="http://schemas.microsoft.com/office/excel/2006/main">
          <x14:cfRule type="iconSet" priority="9186" id="{1BAD0543-04DE-47BF-B5A7-4EC0B464E136}">
            <x14:iconSet iconSet="3Triangles">
              <x14:cfvo type="percent">
                <xm:f>0</xm:f>
              </x14:cfvo>
              <x14:cfvo type="num">
                <xm:f>0</xm:f>
              </x14:cfvo>
              <x14:cfvo type="num" gte="0">
                <xm:f>0</xm:f>
              </x14:cfvo>
            </x14:iconSet>
          </x14:cfRule>
          <xm:sqref>K4 K110 K113:K139 K84:K108 K15:K82 K6:K13</xm:sqref>
        </x14:conditionalFormatting>
        <x14:conditionalFormatting xmlns:xm="http://schemas.microsoft.com/office/excel/2006/main">
          <x14:cfRule type="iconSet" priority="188" id="{700056AD-AAB0-4ED0-9156-82ADEAE5152B}">
            <x14:iconSet iconSet="3Triangles">
              <x14:cfvo type="percent">
                <xm:f>0</xm:f>
              </x14:cfvo>
              <x14:cfvo type="num">
                <xm:f>0</xm:f>
              </x14:cfvo>
              <x14:cfvo type="num" gte="0">
                <xm:f>0</xm:f>
              </x14:cfvo>
            </x14:iconSet>
          </x14:cfRule>
          <xm:sqref>K5</xm:sqref>
        </x14:conditionalFormatting>
        <x14:conditionalFormatting xmlns:xm="http://schemas.microsoft.com/office/excel/2006/main">
          <x14:cfRule type="iconSet" priority="360" id="{70776254-30F4-44B4-9520-21B951A6C3B1}">
            <x14:iconSet iconSet="3Triangles">
              <x14:cfvo type="percent">
                <xm:f>0</xm:f>
              </x14:cfvo>
              <x14:cfvo type="num">
                <xm:f>0</xm:f>
              </x14:cfvo>
              <x14:cfvo type="num" gte="0">
                <xm:f>0</xm:f>
              </x14:cfvo>
            </x14:iconSet>
          </x14:cfRule>
          <xm:sqref>K14</xm:sqref>
        </x14:conditionalFormatting>
        <x14:conditionalFormatting xmlns:xm="http://schemas.microsoft.com/office/excel/2006/main">
          <x14:cfRule type="iconSet" priority="9152" id="{AF6813AA-1983-475F-91E9-86E12D9BCDCD}">
            <x14:iconSet iconSet="3Triangles">
              <x14:cfvo type="percent">
                <xm:f>0</xm:f>
              </x14:cfvo>
              <x14:cfvo type="num">
                <xm:f>0</xm:f>
              </x14:cfvo>
              <x14:cfvo type="num" gte="0">
                <xm:f>0</xm:f>
              </x14:cfvo>
            </x14:iconSet>
          </x14:cfRule>
          <xm:sqref>K83</xm:sqref>
        </x14:conditionalFormatting>
        <x14:conditionalFormatting xmlns:xm="http://schemas.microsoft.com/office/excel/2006/main">
          <x14:cfRule type="iconSet" priority="9146" id="{741B019B-123E-43F0-AB7C-DE541C531455}">
            <x14:iconSet iconSet="3Triangles">
              <x14:cfvo type="percent">
                <xm:f>0</xm:f>
              </x14:cfvo>
              <x14:cfvo type="num">
                <xm:f>0</xm:f>
              </x14:cfvo>
              <x14:cfvo type="num" gte="0">
                <xm:f>0</xm:f>
              </x14:cfvo>
            </x14:iconSet>
          </x14:cfRule>
          <xm:sqref>K109</xm:sqref>
        </x14:conditionalFormatting>
        <x14:conditionalFormatting xmlns:xm="http://schemas.microsoft.com/office/excel/2006/main">
          <x14:cfRule type="iconSet" priority="9094" id="{72BEDAE2-9290-4446-BEFC-435A300379DE}">
            <x14:iconSet iconSet="3Triangles">
              <x14:cfvo type="percent">
                <xm:f>0</xm:f>
              </x14:cfvo>
              <x14:cfvo type="num">
                <xm:f>0</xm:f>
              </x14:cfvo>
              <x14:cfvo type="num" gte="0">
                <xm:f>0</xm:f>
              </x14:cfvo>
            </x14:iconSet>
          </x14:cfRule>
          <xm:sqref>K111</xm:sqref>
        </x14:conditionalFormatting>
        <x14:conditionalFormatting xmlns:xm="http://schemas.microsoft.com/office/excel/2006/main">
          <x14:cfRule type="iconSet" priority="9144" id="{6196C4B0-6C78-4AE7-976D-E85E820C714A}">
            <x14:iconSet iconSet="3Triangles">
              <x14:cfvo type="percent">
                <xm:f>0</xm:f>
              </x14:cfvo>
              <x14:cfvo type="num">
                <xm:f>0</xm:f>
              </x14:cfvo>
              <x14:cfvo type="num" gte="0">
                <xm:f>0</xm:f>
              </x14:cfvo>
            </x14:iconSet>
          </x14:cfRule>
          <xm:sqref>K112</xm:sqref>
        </x14:conditionalFormatting>
        <x14:conditionalFormatting xmlns:xm="http://schemas.microsoft.com/office/excel/2006/main">
          <x14:cfRule type="iconSet" priority="9185" id="{64FA377E-450F-46A0-BC06-15EE5AB098BD}">
            <x14:iconSet iconSet="3Triangles">
              <x14:cfvo type="percent">
                <xm:f>0</xm:f>
              </x14:cfvo>
              <x14:cfvo type="num">
                <xm:f>0</xm:f>
              </x14:cfvo>
              <x14:cfvo type="num" gte="0">
                <xm:f>0</xm:f>
              </x14:cfvo>
            </x14:iconSet>
          </x14:cfRule>
          <xm:sqref>R4 R110 R113:R139 R84:R108 R15:R82 R6:R13</xm:sqref>
        </x14:conditionalFormatting>
        <x14:conditionalFormatting xmlns:xm="http://schemas.microsoft.com/office/excel/2006/main">
          <x14:cfRule type="iconSet" priority="187" id="{37F99A76-55CB-4C54-8D8B-6A7EFB07D433}">
            <x14:iconSet iconSet="3Triangles">
              <x14:cfvo type="percent">
                <xm:f>0</xm:f>
              </x14:cfvo>
              <x14:cfvo type="num">
                <xm:f>0</xm:f>
              </x14:cfvo>
              <x14:cfvo type="num" gte="0">
                <xm:f>0</xm:f>
              </x14:cfvo>
            </x14:iconSet>
          </x14:cfRule>
          <xm:sqref>R5</xm:sqref>
        </x14:conditionalFormatting>
        <x14:conditionalFormatting xmlns:xm="http://schemas.microsoft.com/office/excel/2006/main">
          <x14:cfRule type="iconSet" priority="359" id="{260CD960-B14C-4507-8C18-79CF131D6FDA}">
            <x14:iconSet iconSet="3Triangles">
              <x14:cfvo type="percent">
                <xm:f>0</xm:f>
              </x14:cfvo>
              <x14:cfvo type="num">
                <xm:f>0</xm:f>
              </x14:cfvo>
              <x14:cfvo type="num" gte="0">
                <xm:f>0</xm:f>
              </x14:cfvo>
            </x14:iconSet>
          </x14:cfRule>
          <xm:sqref>R14</xm:sqref>
        </x14:conditionalFormatting>
        <x14:conditionalFormatting xmlns:xm="http://schemas.microsoft.com/office/excel/2006/main">
          <x14:cfRule type="iconSet" priority="9147" id="{C17A57C7-2766-49AD-B700-4EF40435F3AD}">
            <x14:iconSet iconSet="3Triangles">
              <x14:cfvo type="percent">
                <xm:f>0</xm:f>
              </x14:cfvo>
              <x14:cfvo type="num">
                <xm:f>0</xm:f>
              </x14:cfvo>
              <x14:cfvo type="num" gte="0">
                <xm:f>0</xm:f>
              </x14:cfvo>
            </x14:iconSet>
          </x14:cfRule>
          <xm:sqref>R83</xm:sqref>
        </x14:conditionalFormatting>
        <x14:conditionalFormatting xmlns:xm="http://schemas.microsoft.com/office/excel/2006/main">
          <x14:cfRule type="iconSet" priority="9145" id="{D1189EC5-B2B2-4E9B-8643-6DB9B7BC3AD2}">
            <x14:iconSet iconSet="3Triangles">
              <x14:cfvo type="percent">
                <xm:f>0</xm:f>
              </x14:cfvo>
              <x14:cfvo type="num">
                <xm:f>0</xm:f>
              </x14:cfvo>
              <x14:cfvo type="num" gte="0">
                <xm:f>0</xm:f>
              </x14:cfvo>
            </x14:iconSet>
          </x14:cfRule>
          <xm:sqref>R109</xm:sqref>
        </x14:conditionalFormatting>
        <x14:conditionalFormatting xmlns:xm="http://schemas.microsoft.com/office/excel/2006/main">
          <x14:cfRule type="iconSet" priority="9089" id="{A9685DD1-3D98-4098-B44B-76A465102172}">
            <x14:iconSet iconSet="3Triangles">
              <x14:cfvo type="percent">
                <xm:f>0</xm:f>
              </x14:cfvo>
              <x14:cfvo type="num">
                <xm:f>0</xm:f>
              </x14:cfvo>
              <x14:cfvo type="num" gte="0">
                <xm:f>0</xm:f>
              </x14:cfvo>
            </x14:iconSet>
          </x14:cfRule>
          <xm:sqref>R111</xm:sqref>
        </x14:conditionalFormatting>
        <x14:conditionalFormatting xmlns:xm="http://schemas.microsoft.com/office/excel/2006/main">
          <x14:cfRule type="iconSet" priority="9143" id="{A3FB94EA-7458-4F94-B886-3A33A65B83EB}">
            <x14:iconSet iconSet="3Triangles">
              <x14:cfvo type="percent">
                <xm:f>0</xm:f>
              </x14:cfvo>
              <x14:cfvo type="num">
                <xm:f>0</xm:f>
              </x14:cfvo>
              <x14:cfvo type="num" gte="0">
                <xm:f>0</xm:f>
              </x14:cfvo>
            </x14:iconSet>
          </x14:cfRule>
          <xm:sqref>R112</xm:sqref>
        </x14:conditionalFormatting>
        <x14:conditionalFormatting xmlns:xm="http://schemas.microsoft.com/office/excel/2006/main">
          <x14:cfRule type="iconSet" priority="7969" id="{21358A0F-9F8F-4145-877E-1FA0C990B362}">
            <x14:iconSet iconSet="3Triangles">
              <x14:cfvo type="percent">
                <xm:f>0</xm:f>
              </x14:cfvo>
              <x14:cfvo type="num">
                <xm:f>0</xm:f>
              </x14:cfvo>
              <x14:cfvo type="num" gte="0">
                <xm:f>0</xm:f>
              </x14:cfvo>
            </x14:iconSet>
          </x14:cfRule>
          <xm:sqref>X4 X110 X113:X139 X84:X108 X15:X82 X6:X13</xm:sqref>
        </x14:conditionalFormatting>
        <x14:conditionalFormatting xmlns:xm="http://schemas.microsoft.com/office/excel/2006/main">
          <x14:cfRule type="iconSet" priority="177" id="{07C3C53A-148C-4B98-A0C6-95566336C4E0}">
            <x14:iconSet iconSet="3Triangles">
              <x14:cfvo type="percent">
                <xm:f>0</xm:f>
              </x14:cfvo>
              <x14:cfvo type="num">
                <xm:f>0</xm:f>
              </x14:cfvo>
              <x14:cfvo type="num" gte="0">
                <xm:f>0</xm:f>
              </x14:cfvo>
            </x14:iconSet>
          </x14:cfRule>
          <xm:sqref>X5</xm:sqref>
        </x14:conditionalFormatting>
        <x14:conditionalFormatting xmlns:xm="http://schemas.microsoft.com/office/excel/2006/main">
          <x14:cfRule type="iconSet" priority="337" id="{4B1C450B-F714-4501-8169-D64B23A312FB}">
            <x14:iconSet iconSet="3Triangles">
              <x14:cfvo type="percent">
                <xm:f>0</xm:f>
              </x14:cfvo>
              <x14:cfvo type="num">
                <xm:f>0</xm:f>
              </x14:cfvo>
              <x14:cfvo type="num" gte="0">
                <xm:f>0</xm:f>
              </x14:cfvo>
            </x14:iconSet>
          </x14:cfRule>
          <xm:sqref>X14</xm:sqref>
        </x14:conditionalFormatting>
        <x14:conditionalFormatting xmlns:xm="http://schemas.microsoft.com/office/excel/2006/main">
          <x14:cfRule type="iconSet" priority="7964" id="{B8F99706-034C-4CE3-AA95-00B4DEBD54F7}">
            <x14:iconSet iconSet="3Triangles">
              <x14:cfvo type="percent">
                <xm:f>0</xm:f>
              </x14:cfvo>
              <x14:cfvo type="num">
                <xm:f>0</xm:f>
              </x14:cfvo>
              <x14:cfvo type="num" gte="0">
                <xm:f>0</xm:f>
              </x14:cfvo>
            </x14:iconSet>
          </x14:cfRule>
          <xm:sqref>X83</xm:sqref>
        </x14:conditionalFormatting>
        <x14:conditionalFormatting xmlns:xm="http://schemas.microsoft.com/office/excel/2006/main">
          <x14:cfRule type="iconSet" priority="7963" id="{F15AB1A5-7A6D-4430-8515-211F75B121CB}">
            <x14:iconSet iconSet="3Triangles">
              <x14:cfvo type="percent">
                <xm:f>0</xm:f>
              </x14:cfvo>
              <x14:cfvo type="num">
                <xm:f>0</xm:f>
              </x14:cfvo>
              <x14:cfvo type="num" gte="0">
                <xm:f>0</xm:f>
              </x14:cfvo>
            </x14:iconSet>
          </x14:cfRule>
          <xm:sqref>X109</xm:sqref>
        </x14:conditionalFormatting>
        <x14:conditionalFormatting xmlns:xm="http://schemas.microsoft.com/office/excel/2006/main">
          <x14:cfRule type="iconSet" priority="7957" id="{1326174A-7D63-4669-8E8E-9F1A1B7D4A71}">
            <x14:iconSet iconSet="3Triangles">
              <x14:cfvo type="percent">
                <xm:f>0</xm:f>
              </x14:cfvo>
              <x14:cfvo type="num">
                <xm:f>0</xm:f>
              </x14:cfvo>
              <x14:cfvo type="num" gte="0">
                <xm:f>0</xm:f>
              </x14:cfvo>
            </x14:iconSet>
          </x14:cfRule>
          <xm:sqref>X111</xm:sqref>
        </x14:conditionalFormatting>
        <x14:conditionalFormatting xmlns:xm="http://schemas.microsoft.com/office/excel/2006/main">
          <x14:cfRule type="iconSet" priority="7962" id="{9429D0DC-D356-4888-9B23-70C4A05D5D15}">
            <x14:iconSet iconSet="3Triangles">
              <x14:cfvo type="percent">
                <xm:f>0</xm:f>
              </x14:cfvo>
              <x14:cfvo type="num">
                <xm:f>0</xm:f>
              </x14:cfvo>
              <x14:cfvo type="num" gte="0">
                <xm:f>0</xm:f>
              </x14:cfvo>
            </x14:iconSet>
          </x14:cfRule>
          <xm:sqref>X112</xm:sqref>
        </x14:conditionalFormatting>
        <x14:conditionalFormatting xmlns:xm="http://schemas.microsoft.com/office/excel/2006/main">
          <x14:cfRule type="iconSet" priority="8726" id="{95DC504C-8156-4EC4-A08A-F6D30A6E5263}">
            <x14:iconSet iconSet="3Triangles">
              <x14:cfvo type="percent">
                <xm:f>0</xm:f>
              </x14:cfvo>
              <x14:cfvo type="num">
                <xm:f>0</xm:f>
              </x14:cfvo>
              <x14:cfvo type="num" gte="0">
                <xm:f>0</xm:f>
              </x14:cfvo>
            </x14:iconSet>
          </x14:cfRule>
          <xm:sqref>AB4 AB110 AB113:AB139 AB84:AB108 AB15:AB82 AB6:AB13</xm:sqref>
        </x14:conditionalFormatting>
        <x14:conditionalFormatting xmlns:xm="http://schemas.microsoft.com/office/excel/2006/main">
          <x14:cfRule type="iconSet" priority="182" id="{19F33C30-6ED1-40DD-BA2B-72558CA54855}">
            <x14:iconSet iconSet="3Triangles">
              <x14:cfvo type="percent">
                <xm:f>0</xm:f>
              </x14:cfvo>
              <x14:cfvo type="num">
                <xm:f>0</xm:f>
              </x14:cfvo>
              <x14:cfvo type="num" gte="0">
                <xm:f>0</xm:f>
              </x14:cfvo>
            </x14:iconSet>
          </x14:cfRule>
          <xm:sqref>AB5</xm:sqref>
        </x14:conditionalFormatting>
        <x14:conditionalFormatting xmlns:xm="http://schemas.microsoft.com/office/excel/2006/main">
          <x14:cfRule type="iconSet" priority="346" id="{ADA6930C-6EF7-4C52-883E-3F0574D0D652}">
            <x14:iconSet iconSet="3Triangles">
              <x14:cfvo type="percent">
                <xm:f>0</xm:f>
              </x14:cfvo>
              <x14:cfvo type="num">
                <xm:f>0</xm:f>
              </x14:cfvo>
              <x14:cfvo type="num" gte="0">
                <xm:f>0</xm:f>
              </x14:cfvo>
            </x14:iconSet>
          </x14:cfRule>
          <xm:sqref>AB14</xm:sqref>
        </x14:conditionalFormatting>
        <x14:conditionalFormatting xmlns:xm="http://schemas.microsoft.com/office/excel/2006/main">
          <x14:cfRule type="iconSet" priority="8721" id="{EFFA8E92-2205-4208-BF86-9C72FD60788D}">
            <x14:iconSet iconSet="3Triangles">
              <x14:cfvo type="percent">
                <xm:f>0</xm:f>
              </x14:cfvo>
              <x14:cfvo type="num">
                <xm:f>0</xm:f>
              </x14:cfvo>
              <x14:cfvo type="num" gte="0">
                <xm:f>0</xm:f>
              </x14:cfvo>
            </x14:iconSet>
          </x14:cfRule>
          <xm:sqref>AB83</xm:sqref>
        </x14:conditionalFormatting>
        <x14:conditionalFormatting xmlns:xm="http://schemas.microsoft.com/office/excel/2006/main">
          <x14:cfRule type="iconSet" priority="8720" id="{FFF9CC07-F3D4-4B6C-985E-D1320F5E8519}">
            <x14:iconSet iconSet="3Triangles">
              <x14:cfvo type="percent">
                <xm:f>0</xm:f>
              </x14:cfvo>
              <x14:cfvo type="num">
                <xm:f>0</xm:f>
              </x14:cfvo>
              <x14:cfvo type="num" gte="0">
                <xm:f>0</xm:f>
              </x14:cfvo>
            </x14:iconSet>
          </x14:cfRule>
          <xm:sqref>AB109</xm:sqref>
        </x14:conditionalFormatting>
        <x14:conditionalFormatting xmlns:xm="http://schemas.microsoft.com/office/excel/2006/main">
          <x14:cfRule type="iconSet" priority="8714" id="{C874C6D4-2247-4016-BA35-372D42CDC43E}">
            <x14:iconSet iconSet="3Triangles">
              <x14:cfvo type="percent">
                <xm:f>0</xm:f>
              </x14:cfvo>
              <x14:cfvo type="num">
                <xm:f>0</xm:f>
              </x14:cfvo>
              <x14:cfvo type="num" gte="0">
                <xm:f>0</xm:f>
              </x14:cfvo>
            </x14:iconSet>
          </x14:cfRule>
          <xm:sqref>AB111</xm:sqref>
        </x14:conditionalFormatting>
        <x14:conditionalFormatting xmlns:xm="http://schemas.microsoft.com/office/excel/2006/main">
          <x14:cfRule type="iconSet" priority="8719" id="{8B5D08A6-4CD7-47DC-AA4D-4753C0F965BD}">
            <x14:iconSet iconSet="3Triangles">
              <x14:cfvo type="percent">
                <xm:f>0</xm:f>
              </x14:cfvo>
              <x14:cfvo type="num">
                <xm:f>0</xm:f>
              </x14:cfvo>
              <x14:cfvo type="num" gte="0">
                <xm:f>0</xm:f>
              </x14:cfvo>
            </x14:iconSet>
          </x14:cfRule>
          <xm:sqref>AB112</xm:sqref>
        </x14:conditionalFormatting>
        <x14:conditionalFormatting xmlns:xm="http://schemas.microsoft.com/office/excel/2006/main">
          <x14:cfRule type="iconSet" priority="5203" id="{4AA101D0-466B-44ED-9736-D0D91C649315}">
            <x14:iconSet iconSet="3Triangles">
              <x14:cfvo type="percent">
                <xm:f>0</xm:f>
              </x14:cfvo>
              <x14:cfvo type="num">
                <xm:f>0</xm:f>
              </x14:cfvo>
              <x14:cfvo type="num" gte="0">
                <xm:f>0</xm:f>
              </x14:cfvo>
            </x14:iconSet>
          </x14:cfRule>
          <xm:sqref>AI4 AI110 AI113:AI139 AI84:AI108 AI15:AI82 AI6:AI13</xm:sqref>
        </x14:conditionalFormatting>
        <x14:conditionalFormatting xmlns:xm="http://schemas.microsoft.com/office/excel/2006/main">
          <x14:cfRule type="iconSet" priority="142" id="{476DACEF-FFEB-4B27-AD1F-D2C0A318A3E9}">
            <x14:iconSet iconSet="3Triangles">
              <x14:cfvo type="percent">
                <xm:f>0</xm:f>
              </x14:cfvo>
              <x14:cfvo type="num">
                <xm:f>0</xm:f>
              </x14:cfvo>
              <x14:cfvo type="num" gte="0">
                <xm:f>0</xm:f>
              </x14:cfvo>
            </x14:iconSet>
          </x14:cfRule>
          <xm:sqref>AI5</xm:sqref>
        </x14:conditionalFormatting>
        <x14:conditionalFormatting xmlns:xm="http://schemas.microsoft.com/office/excel/2006/main">
          <x14:cfRule type="iconSet" priority="302" id="{F086D6CD-DAAC-4874-B7CB-D66245AD8C6B}">
            <x14:iconSet iconSet="3Triangles">
              <x14:cfvo type="percent">
                <xm:f>0</xm:f>
              </x14:cfvo>
              <x14:cfvo type="num">
                <xm:f>0</xm:f>
              </x14:cfvo>
              <x14:cfvo type="num" gte="0">
                <xm:f>0</xm:f>
              </x14:cfvo>
            </x14:iconSet>
          </x14:cfRule>
          <xm:sqref>AI14</xm:sqref>
        </x14:conditionalFormatting>
        <x14:conditionalFormatting xmlns:xm="http://schemas.microsoft.com/office/excel/2006/main">
          <x14:cfRule type="iconSet" priority="5198" id="{70CBDC98-35F5-41F6-BAC3-30219CB11602}">
            <x14:iconSet iconSet="3Triangles">
              <x14:cfvo type="percent">
                <xm:f>0</xm:f>
              </x14:cfvo>
              <x14:cfvo type="num">
                <xm:f>0</xm:f>
              </x14:cfvo>
              <x14:cfvo type="num" gte="0">
                <xm:f>0</xm:f>
              </x14:cfvo>
            </x14:iconSet>
          </x14:cfRule>
          <xm:sqref>AI83</xm:sqref>
        </x14:conditionalFormatting>
        <x14:conditionalFormatting xmlns:xm="http://schemas.microsoft.com/office/excel/2006/main">
          <x14:cfRule type="iconSet" priority="5197" id="{FAD7716F-7BE8-46B1-A852-1CC3B835F4A2}">
            <x14:iconSet iconSet="3Triangles">
              <x14:cfvo type="percent">
                <xm:f>0</xm:f>
              </x14:cfvo>
              <x14:cfvo type="num">
                <xm:f>0</xm:f>
              </x14:cfvo>
              <x14:cfvo type="num" gte="0">
                <xm:f>0</xm:f>
              </x14:cfvo>
            </x14:iconSet>
          </x14:cfRule>
          <xm:sqref>AI109</xm:sqref>
        </x14:conditionalFormatting>
        <x14:conditionalFormatting xmlns:xm="http://schemas.microsoft.com/office/excel/2006/main">
          <x14:cfRule type="iconSet" priority="5191" id="{BB7C4464-E027-4B52-B285-D203D84C50F6}">
            <x14:iconSet iconSet="3Triangles">
              <x14:cfvo type="percent">
                <xm:f>0</xm:f>
              </x14:cfvo>
              <x14:cfvo type="num">
                <xm:f>0</xm:f>
              </x14:cfvo>
              <x14:cfvo type="num" gte="0">
                <xm:f>0</xm:f>
              </x14:cfvo>
            </x14:iconSet>
          </x14:cfRule>
          <xm:sqref>AI111</xm:sqref>
        </x14:conditionalFormatting>
        <x14:conditionalFormatting xmlns:xm="http://schemas.microsoft.com/office/excel/2006/main">
          <x14:cfRule type="iconSet" priority="5196" id="{554CF8EA-C574-46D5-8A18-C7F4F2EEF394}">
            <x14:iconSet iconSet="3Triangles">
              <x14:cfvo type="percent">
                <xm:f>0</xm:f>
              </x14:cfvo>
              <x14:cfvo type="num">
                <xm:f>0</xm:f>
              </x14:cfvo>
              <x14:cfvo type="num" gte="0">
                <xm:f>0</xm:f>
              </x14:cfvo>
            </x14:iconSet>
          </x14:cfRule>
          <xm:sqref>AI112</xm:sqref>
        </x14:conditionalFormatting>
        <x14:conditionalFormatting xmlns:xm="http://schemas.microsoft.com/office/excel/2006/main">
          <x14:cfRule type="iconSet" priority="5114" id="{9F2F0C24-2F16-473C-A478-DE636DBBB2E8}">
            <x14:iconSet iconSet="3Triangles">
              <x14:cfvo type="percent">
                <xm:f>0</xm:f>
              </x14:cfvo>
              <x14:cfvo type="num">
                <xm:f>0</xm:f>
              </x14:cfvo>
              <x14:cfvo type="num" gte="0">
                <xm:f>0</xm:f>
              </x14:cfvo>
            </x14:iconSet>
          </x14:cfRule>
          <xm:sqref>AP4 AP110 AP113:AP139 AP84:AP108 AP15:AP82 AP6:AP13</xm:sqref>
        </x14:conditionalFormatting>
        <x14:conditionalFormatting xmlns:xm="http://schemas.microsoft.com/office/excel/2006/main">
          <x14:cfRule type="iconSet" priority="137" id="{626E8C25-0371-437F-BC44-4F700EC7C954}">
            <x14:iconSet iconSet="3Triangles">
              <x14:cfvo type="percent">
                <xm:f>0</xm:f>
              </x14:cfvo>
              <x14:cfvo type="num">
                <xm:f>0</xm:f>
              </x14:cfvo>
              <x14:cfvo type="num" gte="0">
                <xm:f>0</xm:f>
              </x14:cfvo>
            </x14:iconSet>
          </x14:cfRule>
          <xm:sqref>AP5</xm:sqref>
        </x14:conditionalFormatting>
        <x14:conditionalFormatting xmlns:xm="http://schemas.microsoft.com/office/excel/2006/main">
          <x14:cfRule type="iconSet" priority="297" id="{788CF0A6-B6D3-4B12-ABA6-AD2EB2DB08FE}">
            <x14:iconSet iconSet="3Triangles">
              <x14:cfvo type="percent">
                <xm:f>0</xm:f>
              </x14:cfvo>
              <x14:cfvo type="num">
                <xm:f>0</xm:f>
              </x14:cfvo>
              <x14:cfvo type="num" gte="0">
                <xm:f>0</xm:f>
              </x14:cfvo>
            </x14:iconSet>
          </x14:cfRule>
          <xm:sqref>AP14</xm:sqref>
        </x14:conditionalFormatting>
        <x14:conditionalFormatting xmlns:xm="http://schemas.microsoft.com/office/excel/2006/main">
          <x14:cfRule type="iconSet" priority="5109" id="{ED6DCF47-1318-4F0D-A84E-C0BB52CCE642}">
            <x14:iconSet iconSet="3Triangles">
              <x14:cfvo type="percent">
                <xm:f>0</xm:f>
              </x14:cfvo>
              <x14:cfvo type="num">
                <xm:f>0</xm:f>
              </x14:cfvo>
              <x14:cfvo type="num" gte="0">
                <xm:f>0</xm:f>
              </x14:cfvo>
            </x14:iconSet>
          </x14:cfRule>
          <xm:sqref>AP83</xm:sqref>
        </x14:conditionalFormatting>
        <x14:conditionalFormatting xmlns:xm="http://schemas.microsoft.com/office/excel/2006/main">
          <x14:cfRule type="iconSet" priority="5108" id="{C6C49AA6-29C3-4B6A-A697-B8E36789B4E4}">
            <x14:iconSet iconSet="3Triangles">
              <x14:cfvo type="percent">
                <xm:f>0</xm:f>
              </x14:cfvo>
              <x14:cfvo type="num">
                <xm:f>0</xm:f>
              </x14:cfvo>
              <x14:cfvo type="num" gte="0">
                <xm:f>0</xm:f>
              </x14:cfvo>
            </x14:iconSet>
          </x14:cfRule>
          <xm:sqref>AP109</xm:sqref>
        </x14:conditionalFormatting>
        <x14:conditionalFormatting xmlns:xm="http://schemas.microsoft.com/office/excel/2006/main">
          <x14:cfRule type="iconSet" priority="5102" id="{CA1C0A8A-B570-4F39-AE26-CCC81A669812}">
            <x14:iconSet iconSet="3Triangles">
              <x14:cfvo type="percent">
                <xm:f>0</xm:f>
              </x14:cfvo>
              <x14:cfvo type="num">
                <xm:f>0</xm:f>
              </x14:cfvo>
              <x14:cfvo type="num" gte="0">
                <xm:f>0</xm:f>
              </x14:cfvo>
            </x14:iconSet>
          </x14:cfRule>
          <xm:sqref>AP111</xm:sqref>
        </x14:conditionalFormatting>
        <x14:conditionalFormatting xmlns:xm="http://schemas.microsoft.com/office/excel/2006/main">
          <x14:cfRule type="iconSet" priority="5107" id="{F79903E1-8E10-4C04-A33A-D5FF9DBB7B37}">
            <x14:iconSet iconSet="3Triangles">
              <x14:cfvo type="percent">
                <xm:f>0</xm:f>
              </x14:cfvo>
              <x14:cfvo type="num">
                <xm:f>0</xm:f>
              </x14:cfvo>
              <x14:cfvo type="num" gte="0">
                <xm:f>0</xm:f>
              </x14:cfvo>
            </x14:iconSet>
          </x14:cfRule>
          <xm:sqref>AP112</xm:sqref>
        </x14:conditionalFormatting>
        <x14:conditionalFormatting xmlns:xm="http://schemas.microsoft.com/office/excel/2006/main">
          <x14:cfRule type="iconSet" priority="7880" id="{44868496-36DF-4AFD-947B-CDF3D5F46D05}">
            <x14:iconSet iconSet="3Triangles">
              <x14:cfvo type="percent">
                <xm:f>0</xm:f>
              </x14:cfvo>
              <x14:cfvo type="num">
                <xm:f>0</xm:f>
              </x14:cfvo>
              <x14:cfvo type="num" gte="0">
                <xm:f>0</xm:f>
              </x14:cfvo>
            </x14:iconSet>
          </x14:cfRule>
          <xm:sqref>AV4 AV110 AV113:AV139 AV84:AV108 AV15:AV82 AV6:AV13</xm:sqref>
        </x14:conditionalFormatting>
        <x14:conditionalFormatting xmlns:xm="http://schemas.microsoft.com/office/excel/2006/main">
          <x14:cfRule type="iconSet" priority="172" id="{08445E7F-0C9F-447D-A226-5D2AEDE82FCA}">
            <x14:iconSet iconSet="3Triangles">
              <x14:cfvo type="percent">
                <xm:f>0</xm:f>
              </x14:cfvo>
              <x14:cfvo type="num">
                <xm:f>0</xm:f>
              </x14:cfvo>
              <x14:cfvo type="num" gte="0">
                <xm:f>0</xm:f>
              </x14:cfvo>
            </x14:iconSet>
          </x14:cfRule>
          <xm:sqref>AV5</xm:sqref>
        </x14:conditionalFormatting>
        <x14:conditionalFormatting xmlns:xm="http://schemas.microsoft.com/office/excel/2006/main">
          <x14:cfRule type="iconSet" priority="332" id="{8A906E6D-CC67-4452-96FE-777F4273C168}">
            <x14:iconSet iconSet="3Triangles">
              <x14:cfvo type="percent">
                <xm:f>0</xm:f>
              </x14:cfvo>
              <x14:cfvo type="num">
                <xm:f>0</xm:f>
              </x14:cfvo>
              <x14:cfvo type="num" gte="0">
                <xm:f>0</xm:f>
              </x14:cfvo>
            </x14:iconSet>
          </x14:cfRule>
          <xm:sqref>AV14</xm:sqref>
        </x14:conditionalFormatting>
        <x14:conditionalFormatting xmlns:xm="http://schemas.microsoft.com/office/excel/2006/main">
          <x14:cfRule type="iconSet" priority="7875" id="{2BB19669-C34C-4197-98E1-E1136F3AFAE5}">
            <x14:iconSet iconSet="3Triangles">
              <x14:cfvo type="percent">
                <xm:f>0</xm:f>
              </x14:cfvo>
              <x14:cfvo type="num">
                <xm:f>0</xm:f>
              </x14:cfvo>
              <x14:cfvo type="num" gte="0">
                <xm:f>0</xm:f>
              </x14:cfvo>
            </x14:iconSet>
          </x14:cfRule>
          <xm:sqref>AV83</xm:sqref>
        </x14:conditionalFormatting>
        <x14:conditionalFormatting xmlns:xm="http://schemas.microsoft.com/office/excel/2006/main">
          <x14:cfRule type="iconSet" priority="7874" id="{D70D5F29-2503-4909-862E-0EC1574F8B2C}">
            <x14:iconSet iconSet="3Triangles">
              <x14:cfvo type="percent">
                <xm:f>0</xm:f>
              </x14:cfvo>
              <x14:cfvo type="num">
                <xm:f>0</xm:f>
              </x14:cfvo>
              <x14:cfvo type="num" gte="0">
                <xm:f>0</xm:f>
              </x14:cfvo>
            </x14:iconSet>
          </x14:cfRule>
          <xm:sqref>AV109</xm:sqref>
        </x14:conditionalFormatting>
        <x14:conditionalFormatting xmlns:xm="http://schemas.microsoft.com/office/excel/2006/main">
          <x14:cfRule type="iconSet" priority="7868" id="{E1E4D9FA-CE47-4E0F-BD83-CBB033167262}">
            <x14:iconSet iconSet="3Triangles">
              <x14:cfvo type="percent">
                <xm:f>0</xm:f>
              </x14:cfvo>
              <x14:cfvo type="num">
                <xm:f>0</xm:f>
              </x14:cfvo>
              <x14:cfvo type="num" gte="0">
                <xm:f>0</xm:f>
              </x14:cfvo>
            </x14:iconSet>
          </x14:cfRule>
          <xm:sqref>AV111</xm:sqref>
        </x14:conditionalFormatting>
        <x14:conditionalFormatting xmlns:xm="http://schemas.microsoft.com/office/excel/2006/main">
          <x14:cfRule type="iconSet" priority="7873" id="{DFFF6374-809B-4FB3-AE26-F16D84441028}">
            <x14:iconSet iconSet="3Triangles">
              <x14:cfvo type="percent">
                <xm:f>0</xm:f>
              </x14:cfvo>
              <x14:cfvo type="num">
                <xm:f>0</xm:f>
              </x14:cfvo>
              <x14:cfvo type="num" gte="0">
                <xm:f>0</xm:f>
              </x14:cfvo>
            </x14:iconSet>
          </x14:cfRule>
          <xm:sqref>AV112</xm:sqref>
        </x14:conditionalFormatting>
        <x14:conditionalFormatting xmlns:xm="http://schemas.microsoft.com/office/excel/2006/main">
          <x14:cfRule type="iconSet" priority="7559" id="{A21ED811-E87D-4E75-83C6-9478E5F48FE8}">
            <x14:iconSet iconSet="3Triangles">
              <x14:cfvo type="percent">
                <xm:f>0</xm:f>
              </x14:cfvo>
              <x14:cfvo type="num">
                <xm:f>0</xm:f>
              </x14:cfvo>
              <x14:cfvo type="num" gte="0">
                <xm:f>0</xm:f>
              </x14:cfvo>
            </x14:iconSet>
          </x14:cfRule>
          <xm:sqref>BB4 BB110 BB113:BB139 BB84:BB108 BB15:BB82 BB6:BB13</xm:sqref>
        </x14:conditionalFormatting>
        <x14:conditionalFormatting xmlns:xm="http://schemas.microsoft.com/office/excel/2006/main">
          <x14:cfRule type="iconSet" priority="167" id="{236743C4-7F0E-42CD-80A3-9B22B2AEC1C2}">
            <x14:iconSet iconSet="3Triangles">
              <x14:cfvo type="percent">
                <xm:f>0</xm:f>
              </x14:cfvo>
              <x14:cfvo type="num">
                <xm:f>0</xm:f>
              </x14:cfvo>
              <x14:cfvo type="num" gte="0">
                <xm:f>0</xm:f>
              </x14:cfvo>
            </x14:iconSet>
          </x14:cfRule>
          <xm:sqref>BB5</xm:sqref>
        </x14:conditionalFormatting>
        <x14:conditionalFormatting xmlns:xm="http://schemas.microsoft.com/office/excel/2006/main">
          <x14:cfRule type="iconSet" priority="327" id="{67DA578A-5742-41D2-9661-D8017B337664}">
            <x14:iconSet iconSet="3Triangles">
              <x14:cfvo type="percent">
                <xm:f>0</xm:f>
              </x14:cfvo>
              <x14:cfvo type="num">
                <xm:f>0</xm:f>
              </x14:cfvo>
              <x14:cfvo type="num" gte="0">
                <xm:f>0</xm:f>
              </x14:cfvo>
            </x14:iconSet>
          </x14:cfRule>
          <xm:sqref>BB14</xm:sqref>
        </x14:conditionalFormatting>
        <x14:conditionalFormatting xmlns:xm="http://schemas.microsoft.com/office/excel/2006/main">
          <x14:cfRule type="iconSet" priority="7554" id="{907A7B90-1192-4934-AAE4-216367C5AE3D}">
            <x14:iconSet iconSet="3Triangles">
              <x14:cfvo type="percent">
                <xm:f>0</xm:f>
              </x14:cfvo>
              <x14:cfvo type="num">
                <xm:f>0</xm:f>
              </x14:cfvo>
              <x14:cfvo type="num" gte="0">
                <xm:f>0</xm:f>
              </x14:cfvo>
            </x14:iconSet>
          </x14:cfRule>
          <xm:sqref>BB83</xm:sqref>
        </x14:conditionalFormatting>
        <x14:conditionalFormatting xmlns:xm="http://schemas.microsoft.com/office/excel/2006/main">
          <x14:cfRule type="iconSet" priority="7553" id="{EB551BB4-5859-42A5-B4D1-9C5D4430165B}">
            <x14:iconSet iconSet="3Triangles">
              <x14:cfvo type="percent">
                <xm:f>0</xm:f>
              </x14:cfvo>
              <x14:cfvo type="num">
                <xm:f>0</xm:f>
              </x14:cfvo>
              <x14:cfvo type="num" gte="0">
                <xm:f>0</xm:f>
              </x14:cfvo>
            </x14:iconSet>
          </x14:cfRule>
          <xm:sqref>BB109</xm:sqref>
        </x14:conditionalFormatting>
        <x14:conditionalFormatting xmlns:xm="http://schemas.microsoft.com/office/excel/2006/main">
          <x14:cfRule type="iconSet" priority="7547" id="{8A5EC8A5-DFF4-4E2D-922B-E152AFF687A3}">
            <x14:iconSet iconSet="3Triangles">
              <x14:cfvo type="percent">
                <xm:f>0</xm:f>
              </x14:cfvo>
              <x14:cfvo type="num">
                <xm:f>0</xm:f>
              </x14:cfvo>
              <x14:cfvo type="num" gte="0">
                <xm:f>0</xm:f>
              </x14:cfvo>
            </x14:iconSet>
          </x14:cfRule>
          <xm:sqref>BB111</xm:sqref>
        </x14:conditionalFormatting>
        <x14:conditionalFormatting xmlns:xm="http://schemas.microsoft.com/office/excel/2006/main">
          <x14:cfRule type="iconSet" priority="7552" id="{9B058395-EF25-4345-BD3C-53470DA40E7A}">
            <x14:iconSet iconSet="3Triangles">
              <x14:cfvo type="percent">
                <xm:f>0</xm:f>
              </x14:cfvo>
              <x14:cfvo type="num">
                <xm:f>0</xm:f>
              </x14:cfvo>
              <x14:cfvo type="num" gte="0">
                <xm:f>0</xm:f>
              </x14:cfvo>
            </x14:iconSet>
          </x14:cfRule>
          <xm:sqref>BB112</xm:sqref>
        </x14:conditionalFormatting>
        <x14:conditionalFormatting xmlns:xm="http://schemas.microsoft.com/office/excel/2006/main">
          <x14:cfRule type="iconSet" priority="7184" id="{8EABFBBB-B1BB-4E69-A805-E938BFF440BA}">
            <x14:iconSet iconSet="3Triangles">
              <x14:cfvo type="percent">
                <xm:f>0</xm:f>
              </x14:cfvo>
              <x14:cfvo type="num">
                <xm:f>0</xm:f>
              </x14:cfvo>
              <x14:cfvo type="num" gte="0">
                <xm:f>0</xm:f>
              </x14:cfvo>
            </x14:iconSet>
          </x14:cfRule>
          <xm:sqref>BF4 BF110 BF113:BF139 BF84:BF108 BF15:BF82 BF6:BF13</xm:sqref>
        </x14:conditionalFormatting>
        <x14:conditionalFormatting xmlns:xm="http://schemas.microsoft.com/office/excel/2006/main">
          <x14:cfRule type="iconSet" priority="162" id="{1AE52246-6006-4A44-BDFD-8665D7F55AAC}">
            <x14:iconSet iconSet="3Triangles">
              <x14:cfvo type="percent">
                <xm:f>0</xm:f>
              </x14:cfvo>
              <x14:cfvo type="num">
                <xm:f>0</xm:f>
              </x14:cfvo>
              <x14:cfvo type="num" gte="0">
                <xm:f>0</xm:f>
              </x14:cfvo>
            </x14:iconSet>
          </x14:cfRule>
          <xm:sqref>BF5</xm:sqref>
        </x14:conditionalFormatting>
        <x14:conditionalFormatting xmlns:xm="http://schemas.microsoft.com/office/excel/2006/main">
          <x14:cfRule type="iconSet" priority="322" id="{E284718F-C513-40BF-8DF4-BC0DFE87F6A6}">
            <x14:iconSet iconSet="3Triangles">
              <x14:cfvo type="percent">
                <xm:f>0</xm:f>
              </x14:cfvo>
              <x14:cfvo type="num">
                <xm:f>0</xm:f>
              </x14:cfvo>
              <x14:cfvo type="num" gte="0">
                <xm:f>0</xm:f>
              </x14:cfvo>
            </x14:iconSet>
          </x14:cfRule>
          <xm:sqref>BF14</xm:sqref>
        </x14:conditionalFormatting>
        <x14:conditionalFormatting xmlns:xm="http://schemas.microsoft.com/office/excel/2006/main">
          <x14:cfRule type="iconSet" priority="7179" id="{4EEB8B80-CCC8-465B-ADEE-92DA69544BBB}">
            <x14:iconSet iconSet="3Triangles">
              <x14:cfvo type="percent">
                <xm:f>0</xm:f>
              </x14:cfvo>
              <x14:cfvo type="num">
                <xm:f>0</xm:f>
              </x14:cfvo>
              <x14:cfvo type="num" gte="0">
                <xm:f>0</xm:f>
              </x14:cfvo>
            </x14:iconSet>
          </x14:cfRule>
          <xm:sqref>BF83</xm:sqref>
        </x14:conditionalFormatting>
        <x14:conditionalFormatting xmlns:xm="http://schemas.microsoft.com/office/excel/2006/main">
          <x14:cfRule type="iconSet" priority="7178" id="{845A645B-75C0-463B-A85C-B01734DCAD8A}">
            <x14:iconSet iconSet="3Triangles">
              <x14:cfvo type="percent">
                <xm:f>0</xm:f>
              </x14:cfvo>
              <x14:cfvo type="num">
                <xm:f>0</xm:f>
              </x14:cfvo>
              <x14:cfvo type="num" gte="0">
                <xm:f>0</xm:f>
              </x14:cfvo>
            </x14:iconSet>
          </x14:cfRule>
          <xm:sqref>BF109</xm:sqref>
        </x14:conditionalFormatting>
        <x14:conditionalFormatting xmlns:xm="http://schemas.microsoft.com/office/excel/2006/main">
          <x14:cfRule type="iconSet" priority="7172" id="{0F252D18-D529-4EB6-B1D1-1110B93155E4}">
            <x14:iconSet iconSet="3Triangles">
              <x14:cfvo type="percent">
                <xm:f>0</xm:f>
              </x14:cfvo>
              <x14:cfvo type="num">
                <xm:f>0</xm:f>
              </x14:cfvo>
              <x14:cfvo type="num" gte="0">
                <xm:f>0</xm:f>
              </x14:cfvo>
            </x14:iconSet>
          </x14:cfRule>
          <xm:sqref>BF111</xm:sqref>
        </x14:conditionalFormatting>
        <x14:conditionalFormatting xmlns:xm="http://schemas.microsoft.com/office/excel/2006/main">
          <x14:cfRule type="iconSet" priority="7177" id="{5441EE25-E06D-4469-8D6C-2BF74B3E840C}">
            <x14:iconSet iconSet="3Triangles">
              <x14:cfvo type="percent">
                <xm:f>0</xm:f>
              </x14:cfvo>
              <x14:cfvo type="num">
                <xm:f>0</xm:f>
              </x14:cfvo>
              <x14:cfvo type="num" gte="0">
                <xm:f>0</xm:f>
              </x14:cfvo>
            </x14:iconSet>
          </x14:cfRule>
          <xm:sqref>BF112</xm:sqref>
        </x14:conditionalFormatting>
        <x14:conditionalFormatting xmlns:xm="http://schemas.microsoft.com/office/excel/2006/main">
          <x14:cfRule type="iconSet" priority="5025" id="{87C33F19-8BF6-4681-B855-673D63D29F22}">
            <x14:iconSet iconSet="3Triangles">
              <x14:cfvo type="percent">
                <xm:f>0</xm:f>
              </x14:cfvo>
              <x14:cfvo type="num">
                <xm:f>0</xm:f>
              </x14:cfvo>
              <x14:cfvo type="num" gte="0">
                <xm:f>0</xm:f>
              </x14:cfvo>
            </x14:iconSet>
          </x14:cfRule>
          <xm:sqref>BM4 BM110 BM113:BM139 BM84:BM108 BM15:BM82 BM6:BM13</xm:sqref>
        </x14:conditionalFormatting>
        <x14:conditionalFormatting xmlns:xm="http://schemas.microsoft.com/office/excel/2006/main">
          <x14:cfRule type="iconSet" priority="132" id="{7554FC53-2D1E-4B0F-B62B-F17D548DD5D8}">
            <x14:iconSet iconSet="3Triangles">
              <x14:cfvo type="percent">
                <xm:f>0</xm:f>
              </x14:cfvo>
              <x14:cfvo type="num">
                <xm:f>0</xm:f>
              </x14:cfvo>
              <x14:cfvo type="num" gte="0">
                <xm:f>0</xm:f>
              </x14:cfvo>
            </x14:iconSet>
          </x14:cfRule>
          <xm:sqref>BM5</xm:sqref>
        </x14:conditionalFormatting>
        <x14:conditionalFormatting xmlns:xm="http://schemas.microsoft.com/office/excel/2006/main">
          <x14:cfRule type="iconSet" priority="292" id="{EEF068F7-4ADD-4514-9F63-C544E62FFB92}">
            <x14:iconSet iconSet="3Triangles">
              <x14:cfvo type="percent">
                <xm:f>0</xm:f>
              </x14:cfvo>
              <x14:cfvo type="num">
                <xm:f>0</xm:f>
              </x14:cfvo>
              <x14:cfvo type="num" gte="0">
                <xm:f>0</xm:f>
              </x14:cfvo>
            </x14:iconSet>
          </x14:cfRule>
          <xm:sqref>BM14</xm:sqref>
        </x14:conditionalFormatting>
        <x14:conditionalFormatting xmlns:xm="http://schemas.microsoft.com/office/excel/2006/main">
          <x14:cfRule type="iconSet" priority="5020" id="{33CD450E-102B-4FA3-A169-D1434FCF4397}">
            <x14:iconSet iconSet="3Triangles">
              <x14:cfvo type="percent">
                <xm:f>0</xm:f>
              </x14:cfvo>
              <x14:cfvo type="num">
                <xm:f>0</xm:f>
              </x14:cfvo>
              <x14:cfvo type="num" gte="0">
                <xm:f>0</xm:f>
              </x14:cfvo>
            </x14:iconSet>
          </x14:cfRule>
          <xm:sqref>BM83</xm:sqref>
        </x14:conditionalFormatting>
        <x14:conditionalFormatting xmlns:xm="http://schemas.microsoft.com/office/excel/2006/main">
          <x14:cfRule type="iconSet" priority="5019" id="{B9AC4277-8F63-4520-86A2-4224294FA01E}">
            <x14:iconSet iconSet="3Triangles">
              <x14:cfvo type="percent">
                <xm:f>0</xm:f>
              </x14:cfvo>
              <x14:cfvo type="num">
                <xm:f>0</xm:f>
              </x14:cfvo>
              <x14:cfvo type="num" gte="0">
                <xm:f>0</xm:f>
              </x14:cfvo>
            </x14:iconSet>
          </x14:cfRule>
          <xm:sqref>BM109</xm:sqref>
        </x14:conditionalFormatting>
        <x14:conditionalFormatting xmlns:xm="http://schemas.microsoft.com/office/excel/2006/main">
          <x14:cfRule type="iconSet" priority="5013" id="{BEAF89A2-DA79-4136-891C-D35993BE1A59}">
            <x14:iconSet iconSet="3Triangles">
              <x14:cfvo type="percent">
                <xm:f>0</xm:f>
              </x14:cfvo>
              <x14:cfvo type="num">
                <xm:f>0</xm:f>
              </x14:cfvo>
              <x14:cfvo type="num" gte="0">
                <xm:f>0</xm:f>
              </x14:cfvo>
            </x14:iconSet>
          </x14:cfRule>
          <xm:sqref>BM111</xm:sqref>
        </x14:conditionalFormatting>
        <x14:conditionalFormatting xmlns:xm="http://schemas.microsoft.com/office/excel/2006/main">
          <x14:cfRule type="iconSet" priority="5018" id="{77BC1A29-2F95-4512-9AC1-4B5B238E5CB6}">
            <x14:iconSet iconSet="3Triangles">
              <x14:cfvo type="percent">
                <xm:f>0</xm:f>
              </x14:cfvo>
              <x14:cfvo type="num">
                <xm:f>0</xm:f>
              </x14:cfvo>
              <x14:cfvo type="num" gte="0">
                <xm:f>0</xm:f>
              </x14:cfvo>
            </x14:iconSet>
          </x14:cfRule>
          <xm:sqref>BM112</xm:sqref>
        </x14:conditionalFormatting>
        <x14:conditionalFormatting xmlns:xm="http://schemas.microsoft.com/office/excel/2006/main">
          <x14:cfRule type="iconSet" priority="4936" id="{6E3A045D-AD1F-4BAE-9D8E-DF0CF6B64FE8}">
            <x14:iconSet iconSet="3Triangles">
              <x14:cfvo type="percent">
                <xm:f>0</xm:f>
              </x14:cfvo>
              <x14:cfvo type="num">
                <xm:f>0</xm:f>
              </x14:cfvo>
              <x14:cfvo type="num" gte="0">
                <xm:f>0</xm:f>
              </x14:cfvo>
            </x14:iconSet>
          </x14:cfRule>
          <xm:sqref>BT4 BT110 BT113:BT139 BT84:BT108 BT15:BT82 BT6:BT13</xm:sqref>
        </x14:conditionalFormatting>
        <x14:conditionalFormatting xmlns:xm="http://schemas.microsoft.com/office/excel/2006/main">
          <x14:cfRule type="iconSet" priority="127" id="{A076CC11-7961-4B62-80FC-E03245CF743F}">
            <x14:iconSet iconSet="3Triangles">
              <x14:cfvo type="percent">
                <xm:f>0</xm:f>
              </x14:cfvo>
              <x14:cfvo type="num">
                <xm:f>0</xm:f>
              </x14:cfvo>
              <x14:cfvo type="num" gte="0">
                <xm:f>0</xm:f>
              </x14:cfvo>
            </x14:iconSet>
          </x14:cfRule>
          <xm:sqref>BT5</xm:sqref>
        </x14:conditionalFormatting>
        <x14:conditionalFormatting xmlns:xm="http://schemas.microsoft.com/office/excel/2006/main">
          <x14:cfRule type="iconSet" priority="287" id="{8CE0C806-029F-4735-9F43-913AAED70A43}">
            <x14:iconSet iconSet="3Triangles">
              <x14:cfvo type="percent">
                <xm:f>0</xm:f>
              </x14:cfvo>
              <x14:cfvo type="num">
                <xm:f>0</xm:f>
              </x14:cfvo>
              <x14:cfvo type="num" gte="0">
                <xm:f>0</xm:f>
              </x14:cfvo>
            </x14:iconSet>
          </x14:cfRule>
          <xm:sqref>BT14</xm:sqref>
        </x14:conditionalFormatting>
        <x14:conditionalFormatting xmlns:xm="http://schemas.microsoft.com/office/excel/2006/main">
          <x14:cfRule type="iconSet" priority="4931" id="{46469223-C8C3-493E-BF1B-5C503C03DAF4}">
            <x14:iconSet iconSet="3Triangles">
              <x14:cfvo type="percent">
                <xm:f>0</xm:f>
              </x14:cfvo>
              <x14:cfvo type="num">
                <xm:f>0</xm:f>
              </x14:cfvo>
              <x14:cfvo type="num" gte="0">
                <xm:f>0</xm:f>
              </x14:cfvo>
            </x14:iconSet>
          </x14:cfRule>
          <xm:sqref>BT83</xm:sqref>
        </x14:conditionalFormatting>
        <x14:conditionalFormatting xmlns:xm="http://schemas.microsoft.com/office/excel/2006/main">
          <x14:cfRule type="iconSet" priority="4930" id="{D7BC36A6-A223-41B7-9C08-16C0B5A79D03}">
            <x14:iconSet iconSet="3Triangles">
              <x14:cfvo type="percent">
                <xm:f>0</xm:f>
              </x14:cfvo>
              <x14:cfvo type="num">
                <xm:f>0</xm:f>
              </x14:cfvo>
              <x14:cfvo type="num" gte="0">
                <xm:f>0</xm:f>
              </x14:cfvo>
            </x14:iconSet>
          </x14:cfRule>
          <xm:sqref>BT109</xm:sqref>
        </x14:conditionalFormatting>
        <x14:conditionalFormatting xmlns:xm="http://schemas.microsoft.com/office/excel/2006/main">
          <x14:cfRule type="iconSet" priority="4924" id="{EF808908-06BC-43AE-ADDE-4741AEE9613C}">
            <x14:iconSet iconSet="3Triangles">
              <x14:cfvo type="percent">
                <xm:f>0</xm:f>
              </x14:cfvo>
              <x14:cfvo type="num">
                <xm:f>0</xm:f>
              </x14:cfvo>
              <x14:cfvo type="num" gte="0">
                <xm:f>0</xm:f>
              </x14:cfvo>
            </x14:iconSet>
          </x14:cfRule>
          <xm:sqref>BT111</xm:sqref>
        </x14:conditionalFormatting>
        <x14:conditionalFormatting xmlns:xm="http://schemas.microsoft.com/office/excel/2006/main">
          <x14:cfRule type="iconSet" priority="4929" id="{5F50CC9C-F9B1-47C3-9E25-5A42F8310BB5}">
            <x14:iconSet iconSet="3Triangles">
              <x14:cfvo type="percent">
                <xm:f>0</xm:f>
              </x14:cfvo>
              <x14:cfvo type="num">
                <xm:f>0</xm:f>
              </x14:cfvo>
              <x14:cfvo type="num" gte="0">
                <xm:f>0</xm:f>
              </x14:cfvo>
            </x14:iconSet>
          </x14:cfRule>
          <xm:sqref>BT112</xm:sqref>
        </x14:conditionalFormatting>
        <x14:conditionalFormatting xmlns:xm="http://schemas.microsoft.com/office/excel/2006/main">
          <x14:cfRule type="iconSet" priority="6427" id="{08020C52-04D8-43FF-BF9E-F8D0A992A830}">
            <x14:iconSet iconSet="3Triangles">
              <x14:cfvo type="percent">
                <xm:f>0</xm:f>
              </x14:cfvo>
              <x14:cfvo type="num">
                <xm:f>0</xm:f>
              </x14:cfvo>
              <x14:cfvo type="num" gte="0">
                <xm:f>0</xm:f>
              </x14:cfvo>
            </x14:iconSet>
          </x14:cfRule>
          <xm:sqref>BZ4 BZ110 BZ113:BZ139 BZ84:BZ108 BZ15:BZ82 BZ6:BZ13</xm:sqref>
        </x14:conditionalFormatting>
        <x14:conditionalFormatting xmlns:xm="http://schemas.microsoft.com/office/excel/2006/main">
          <x14:cfRule type="iconSet" priority="157" id="{1B755B0F-1D58-4AB3-A307-07198EACF7C0}">
            <x14:iconSet iconSet="3Triangles">
              <x14:cfvo type="percent">
                <xm:f>0</xm:f>
              </x14:cfvo>
              <x14:cfvo type="num">
                <xm:f>0</xm:f>
              </x14:cfvo>
              <x14:cfvo type="num" gte="0">
                <xm:f>0</xm:f>
              </x14:cfvo>
            </x14:iconSet>
          </x14:cfRule>
          <xm:sqref>BZ5</xm:sqref>
        </x14:conditionalFormatting>
        <x14:conditionalFormatting xmlns:xm="http://schemas.microsoft.com/office/excel/2006/main">
          <x14:cfRule type="iconSet" priority="317" id="{DCBF5C8B-DB66-43DE-B02C-8CB208BE515A}">
            <x14:iconSet iconSet="3Triangles">
              <x14:cfvo type="percent">
                <xm:f>0</xm:f>
              </x14:cfvo>
              <x14:cfvo type="num">
                <xm:f>0</xm:f>
              </x14:cfvo>
              <x14:cfvo type="num" gte="0">
                <xm:f>0</xm:f>
              </x14:cfvo>
            </x14:iconSet>
          </x14:cfRule>
          <xm:sqref>BZ14</xm:sqref>
        </x14:conditionalFormatting>
        <x14:conditionalFormatting xmlns:xm="http://schemas.microsoft.com/office/excel/2006/main">
          <x14:cfRule type="iconSet" priority="6422" id="{AED45C56-3425-45F5-A007-860C8F673F91}">
            <x14:iconSet iconSet="3Triangles">
              <x14:cfvo type="percent">
                <xm:f>0</xm:f>
              </x14:cfvo>
              <x14:cfvo type="num">
                <xm:f>0</xm:f>
              </x14:cfvo>
              <x14:cfvo type="num" gte="0">
                <xm:f>0</xm:f>
              </x14:cfvo>
            </x14:iconSet>
          </x14:cfRule>
          <xm:sqref>BZ83</xm:sqref>
        </x14:conditionalFormatting>
        <x14:conditionalFormatting xmlns:xm="http://schemas.microsoft.com/office/excel/2006/main">
          <x14:cfRule type="iconSet" priority="6421" id="{0DD8A028-33EB-4DFA-951F-3A336DF5F664}">
            <x14:iconSet iconSet="3Triangles">
              <x14:cfvo type="percent">
                <xm:f>0</xm:f>
              </x14:cfvo>
              <x14:cfvo type="num">
                <xm:f>0</xm:f>
              </x14:cfvo>
              <x14:cfvo type="num" gte="0">
                <xm:f>0</xm:f>
              </x14:cfvo>
            </x14:iconSet>
          </x14:cfRule>
          <xm:sqref>BZ109</xm:sqref>
        </x14:conditionalFormatting>
        <x14:conditionalFormatting xmlns:xm="http://schemas.microsoft.com/office/excel/2006/main">
          <x14:cfRule type="iconSet" priority="6415" id="{486B9387-4C7C-47CE-B207-CD505E1F7CF1}">
            <x14:iconSet iconSet="3Triangles">
              <x14:cfvo type="percent">
                <xm:f>0</xm:f>
              </x14:cfvo>
              <x14:cfvo type="num">
                <xm:f>0</xm:f>
              </x14:cfvo>
              <x14:cfvo type="num" gte="0">
                <xm:f>0</xm:f>
              </x14:cfvo>
            </x14:iconSet>
          </x14:cfRule>
          <xm:sqref>BZ111</xm:sqref>
        </x14:conditionalFormatting>
        <x14:conditionalFormatting xmlns:xm="http://schemas.microsoft.com/office/excel/2006/main">
          <x14:cfRule type="iconSet" priority="6420" id="{28E9B46C-5A70-4D2B-AECA-560A3D41386A}">
            <x14:iconSet iconSet="3Triangles">
              <x14:cfvo type="percent">
                <xm:f>0</xm:f>
              </x14:cfvo>
              <x14:cfvo type="num">
                <xm:f>0</xm:f>
              </x14:cfvo>
              <x14:cfvo type="num" gte="0">
                <xm:f>0</xm:f>
              </x14:cfvo>
            </x14:iconSet>
          </x14:cfRule>
          <xm:sqref>BZ112</xm:sqref>
        </x14:conditionalFormatting>
        <x14:conditionalFormatting xmlns:xm="http://schemas.microsoft.com/office/excel/2006/main">
          <x14:cfRule type="iconSet" priority="5292" id="{084FB9BC-E986-44A0-B7B8-B272551CF523}">
            <x14:iconSet iconSet="3Triangles">
              <x14:cfvo type="percent">
                <xm:f>0</xm:f>
              </x14:cfvo>
              <x14:cfvo type="num">
                <xm:f>0</xm:f>
              </x14:cfvo>
              <x14:cfvo type="num" gte="0">
                <xm:f>0</xm:f>
              </x14:cfvo>
            </x14:iconSet>
          </x14:cfRule>
          <xm:sqref>CD4 CD110 CD113:CD139 CD84:CD108 CD15:CD82 CD6:CD13</xm:sqref>
        </x14:conditionalFormatting>
        <x14:conditionalFormatting xmlns:xm="http://schemas.microsoft.com/office/excel/2006/main">
          <x14:cfRule type="iconSet" priority="147" id="{42C4260A-9795-43C8-B690-1C8CF660FCB5}">
            <x14:iconSet iconSet="3Triangles">
              <x14:cfvo type="percent">
                <xm:f>0</xm:f>
              </x14:cfvo>
              <x14:cfvo type="num">
                <xm:f>0</xm:f>
              </x14:cfvo>
              <x14:cfvo type="num" gte="0">
                <xm:f>0</xm:f>
              </x14:cfvo>
            </x14:iconSet>
          </x14:cfRule>
          <xm:sqref>CD5</xm:sqref>
        </x14:conditionalFormatting>
        <x14:conditionalFormatting xmlns:xm="http://schemas.microsoft.com/office/excel/2006/main">
          <x14:cfRule type="iconSet" priority="307" id="{F201902B-593F-4338-BE01-76CE8F8E8F7C}">
            <x14:iconSet iconSet="3Triangles">
              <x14:cfvo type="percent">
                <xm:f>0</xm:f>
              </x14:cfvo>
              <x14:cfvo type="num">
                <xm:f>0</xm:f>
              </x14:cfvo>
              <x14:cfvo type="num" gte="0">
                <xm:f>0</xm:f>
              </x14:cfvo>
            </x14:iconSet>
          </x14:cfRule>
          <xm:sqref>CD14</xm:sqref>
        </x14:conditionalFormatting>
        <x14:conditionalFormatting xmlns:xm="http://schemas.microsoft.com/office/excel/2006/main">
          <x14:cfRule type="iconSet" priority="5287" id="{B9AA875B-631D-4757-BE3B-E14997E18B8D}">
            <x14:iconSet iconSet="3Triangles">
              <x14:cfvo type="percent">
                <xm:f>0</xm:f>
              </x14:cfvo>
              <x14:cfvo type="num">
                <xm:f>0</xm:f>
              </x14:cfvo>
              <x14:cfvo type="num" gte="0">
                <xm:f>0</xm:f>
              </x14:cfvo>
            </x14:iconSet>
          </x14:cfRule>
          <xm:sqref>CD83</xm:sqref>
        </x14:conditionalFormatting>
        <x14:conditionalFormatting xmlns:xm="http://schemas.microsoft.com/office/excel/2006/main">
          <x14:cfRule type="iconSet" priority="5286" id="{2C5D2ABB-37D0-43D2-B7FE-6254FEE5BA5E}">
            <x14:iconSet iconSet="3Triangles">
              <x14:cfvo type="percent">
                <xm:f>0</xm:f>
              </x14:cfvo>
              <x14:cfvo type="num">
                <xm:f>0</xm:f>
              </x14:cfvo>
              <x14:cfvo type="num" gte="0">
                <xm:f>0</xm:f>
              </x14:cfvo>
            </x14:iconSet>
          </x14:cfRule>
          <xm:sqref>CD109</xm:sqref>
        </x14:conditionalFormatting>
        <x14:conditionalFormatting xmlns:xm="http://schemas.microsoft.com/office/excel/2006/main">
          <x14:cfRule type="iconSet" priority="5280" id="{CDB2DEC8-4498-48A7-A724-B2FAC574101A}">
            <x14:iconSet iconSet="3Triangles">
              <x14:cfvo type="percent">
                <xm:f>0</xm:f>
              </x14:cfvo>
              <x14:cfvo type="num">
                <xm:f>0</xm:f>
              </x14:cfvo>
              <x14:cfvo type="num" gte="0">
                <xm:f>0</xm:f>
              </x14:cfvo>
            </x14:iconSet>
          </x14:cfRule>
          <xm:sqref>CD111</xm:sqref>
        </x14:conditionalFormatting>
        <x14:conditionalFormatting xmlns:xm="http://schemas.microsoft.com/office/excel/2006/main">
          <x14:cfRule type="iconSet" priority="5285" id="{66B08C08-2B80-475F-B161-ADAF679371C7}">
            <x14:iconSet iconSet="3Triangles">
              <x14:cfvo type="percent">
                <xm:f>0</xm:f>
              </x14:cfvo>
              <x14:cfvo type="num">
                <xm:f>0</xm:f>
              </x14:cfvo>
              <x14:cfvo type="num" gte="0">
                <xm:f>0</xm:f>
              </x14:cfvo>
            </x14:iconSet>
          </x14:cfRule>
          <xm:sqref>CD112</xm:sqref>
        </x14:conditionalFormatting>
        <x14:conditionalFormatting xmlns:xm="http://schemas.microsoft.com/office/excel/2006/main">
          <x14:cfRule type="iconSet" priority="4847" id="{7DBA8BFB-9947-4D60-BF6C-7B93390C83EA}">
            <x14:iconSet iconSet="3Triangles">
              <x14:cfvo type="percent">
                <xm:f>0</xm:f>
              </x14:cfvo>
              <x14:cfvo type="num">
                <xm:f>0</xm:f>
              </x14:cfvo>
              <x14:cfvo type="num" gte="0">
                <xm:f>0</xm:f>
              </x14:cfvo>
            </x14:iconSet>
          </x14:cfRule>
          <xm:sqref>CK4 CK110 CK113:CK139 CK84:CK108 CK15:CK82 CK6:CK13</xm:sqref>
        </x14:conditionalFormatting>
        <x14:conditionalFormatting xmlns:xm="http://schemas.microsoft.com/office/excel/2006/main">
          <x14:cfRule type="iconSet" priority="122" id="{22F2684E-1906-492F-8889-89892A21C252}">
            <x14:iconSet iconSet="3Triangles">
              <x14:cfvo type="percent">
                <xm:f>0</xm:f>
              </x14:cfvo>
              <x14:cfvo type="num">
                <xm:f>0</xm:f>
              </x14:cfvo>
              <x14:cfvo type="num" gte="0">
                <xm:f>0</xm:f>
              </x14:cfvo>
            </x14:iconSet>
          </x14:cfRule>
          <xm:sqref>CK5</xm:sqref>
        </x14:conditionalFormatting>
        <x14:conditionalFormatting xmlns:xm="http://schemas.microsoft.com/office/excel/2006/main">
          <x14:cfRule type="iconSet" priority="282" id="{3D71DBA6-5ED5-4271-8E27-5A681625C692}">
            <x14:iconSet iconSet="3Triangles">
              <x14:cfvo type="percent">
                <xm:f>0</xm:f>
              </x14:cfvo>
              <x14:cfvo type="num">
                <xm:f>0</xm:f>
              </x14:cfvo>
              <x14:cfvo type="num" gte="0">
                <xm:f>0</xm:f>
              </x14:cfvo>
            </x14:iconSet>
          </x14:cfRule>
          <xm:sqref>CK14</xm:sqref>
        </x14:conditionalFormatting>
        <x14:conditionalFormatting xmlns:xm="http://schemas.microsoft.com/office/excel/2006/main">
          <x14:cfRule type="iconSet" priority="4842" id="{5F5E8CF9-7D62-401A-9438-A7B7DB76F6B9}">
            <x14:iconSet iconSet="3Triangles">
              <x14:cfvo type="percent">
                <xm:f>0</xm:f>
              </x14:cfvo>
              <x14:cfvo type="num">
                <xm:f>0</xm:f>
              </x14:cfvo>
              <x14:cfvo type="num" gte="0">
                <xm:f>0</xm:f>
              </x14:cfvo>
            </x14:iconSet>
          </x14:cfRule>
          <xm:sqref>CK83</xm:sqref>
        </x14:conditionalFormatting>
        <x14:conditionalFormatting xmlns:xm="http://schemas.microsoft.com/office/excel/2006/main">
          <x14:cfRule type="iconSet" priority="4841" id="{BB228ED1-2651-4937-B22B-309B83201E78}">
            <x14:iconSet iconSet="3Triangles">
              <x14:cfvo type="percent">
                <xm:f>0</xm:f>
              </x14:cfvo>
              <x14:cfvo type="num">
                <xm:f>0</xm:f>
              </x14:cfvo>
              <x14:cfvo type="num" gte="0">
                <xm:f>0</xm:f>
              </x14:cfvo>
            </x14:iconSet>
          </x14:cfRule>
          <xm:sqref>CK109</xm:sqref>
        </x14:conditionalFormatting>
        <x14:conditionalFormatting xmlns:xm="http://schemas.microsoft.com/office/excel/2006/main">
          <x14:cfRule type="iconSet" priority="4835" id="{477719F1-7E80-4ACD-9EE2-A23B7967FEF5}">
            <x14:iconSet iconSet="3Triangles">
              <x14:cfvo type="percent">
                <xm:f>0</xm:f>
              </x14:cfvo>
              <x14:cfvo type="num">
                <xm:f>0</xm:f>
              </x14:cfvo>
              <x14:cfvo type="num" gte="0">
                <xm:f>0</xm:f>
              </x14:cfvo>
            </x14:iconSet>
          </x14:cfRule>
          <xm:sqref>CK111</xm:sqref>
        </x14:conditionalFormatting>
        <x14:conditionalFormatting xmlns:xm="http://schemas.microsoft.com/office/excel/2006/main">
          <x14:cfRule type="iconSet" priority="4840" id="{5D029465-2744-45BB-8419-1FAD5F30451E}">
            <x14:iconSet iconSet="3Triangles">
              <x14:cfvo type="percent">
                <xm:f>0</xm:f>
              </x14:cfvo>
              <x14:cfvo type="num">
                <xm:f>0</xm:f>
              </x14:cfvo>
              <x14:cfvo type="num" gte="0">
                <xm:f>0</xm:f>
              </x14:cfvo>
            </x14:iconSet>
          </x14:cfRule>
          <xm:sqref>CK112</xm:sqref>
        </x14:conditionalFormatting>
        <x14:conditionalFormatting xmlns:xm="http://schemas.microsoft.com/office/excel/2006/main">
          <x14:cfRule type="iconSet" priority="4758" id="{FE218565-CB16-49F0-8F0F-2443C59D2150}">
            <x14:iconSet iconSet="3Triangles">
              <x14:cfvo type="percent">
                <xm:f>0</xm:f>
              </x14:cfvo>
              <x14:cfvo type="num">
                <xm:f>0</xm:f>
              </x14:cfvo>
              <x14:cfvo type="num" gte="0">
                <xm:f>0</xm:f>
              </x14:cfvo>
            </x14:iconSet>
          </x14:cfRule>
          <xm:sqref>CR4 CR84:CR90 CR110 CR113:CR139 CR92:CR108 CR15:CR82 CR6:CR13</xm:sqref>
        </x14:conditionalFormatting>
        <x14:conditionalFormatting xmlns:xm="http://schemas.microsoft.com/office/excel/2006/main">
          <x14:cfRule type="iconSet" priority="117" id="{9DE67D34-43E3-4A5F-807C-B4D578B197E7}">
            <x14:iconSet iconSet="3Triangles">
              <x14:cfvo type="percent">
                <xm:f>0</xm:f>
              </x14:cfvo>
              <x14:cfvo type="num">
                <xm:f>0</xm:f>
              </x14:cfvo>
              <x14:cfvo type="num" gte="0">
                <xm:f>0</xm:f>
              </x14:cfvo>
            </x14:iconSet>
          </x14:cfRule>
          <xm:sqref>CR5</xm:sqref>
        </x14:conditionalFormatting>
        <x14:conditionalFormatting xmlns:xm="http://schemas.microsoft.com/office/excel/2006/main">
          <x14:cfRule type="iconSet" priority="277" id="{D08D3119-6552-471F-9DC2-8AE330E326F6}">
            <x14:iconSet iconSet="3Triangles">
              <x14:cfvo type="percent">
                <xm:f>0</xm:f>
              </x14:cfvo>
              <x14:cfvo type="num">
                <xm:f>0</xm:f>
              </x14:cfvo>
              <x14:cfvo type="num" gte="0">
                <xm:f>0</xm:f>
              </x14:cfvo>
            </x14:iconSet>
          </x14:cfRule>
          <xm:sqref>CR14</xm:sqref>
        </x14:conditionalFormatting>
        <x14:conditionalFormatting xmlns:xm="http://schemas.microsoft.com/office/excel/2006/main">
          <x14:cfRule type="iconSet" priority="4753" id="{32E4D058-E912-4CE7-958B-CAF2173ED29A}">
            <x14:iconSet iconSet="3Triangles">
              <x14:cfvo type="percent">
                <xm:f>0</xm:f>
              </x14:cfvo>
              <x14:cfvo type="num">
                <xm:f>0</xm:f>
              </x14:cfvo>
              <x14:cfvo type="num" gte="0">
                <xm:f>0</xm:f>
              </x14:cfvo>
            </x14:iconSet>
          </x14:cfRule>
          <xm:sqref>CR83</xm:sqref>
        </x14:conditionalFormatting>
        <x14:conditionalFormatting xmlns:xm="http://schemas.microsoft.com/office/excel/2006/main">
          <x14:cfRule type="iconSet" priority="4531" id="{13D32455-DB8E-4936-BADC-3972A8AEC604}">
            <x14:iconSet iconSet="3Triangles">
              <x14:cfvo type="percent">
                <xm:f>0</xm:f>
              </x14:cfvo>
              <x14:cfvo type="num">
                <xm:f>0</xm:f>
              </x14:cfvo>
              <x14:cfvo type="num" gte="0">
                <xm:f>0</xm:f>
              </x14:cfvo>
            </x14:iconSet>
          </x14:cfRule>
          <xm:sqref>CR91</xm:sqref>
        </x14:conditionalFormatting>
        <x14:conditionalFormatting xmlns:xm="http://schemas.microsoft.com/office/excel/2006/main">
          <x14:cfRule type="iconSet" priority="4752" id="{083FA7CC-5009-4773-BF7B-3637E1CDEEE6}">
            <x14:iconSet iconSet="3Triangles">
              <x14:cfvo type="percent">
                <xm:f>0</xm:f>
              </x14:cfvo>
              <x14:cfvo type="num">
                <xm:f>0</xm:f>
              </x14:cfvo>
              <x14:cfvo type="num" gte="0">
                <xm:f>0</xm:f>
              </x14:cfvo>
            </x14:iconSet>
          </x14:cfRule>
          <xm:sqref>CR109</xm:sqref>
        </x14:conditionalFormatting>
        <x14:conditionalFormatting xmlns:xm="http://schemas.microsoft.com/office/excel/2006/main">
          <x14:cfRule type="iconSet" priority="4746" id="{A784C4EE-8E51-40D5-93C3-4B9CB3426CF0}">
            <x14:iconSet iconSet="3Triangles">
              <x14:cfvo type="percent">
                <xm:f>0</xm:f>
              </x14:cfvo>
              <x14:cfvo type="num">
                <xm:f>0</xm:f>
              </x14:cfvo>
              <x14:cfvo type="num" gte="0">
                <xm:f>0</xm:f>
              </x14:cfvo>
            </x14:iconSet>
          </x14:cfRule>
          <xm:sqref>CR111</xm:sqref>
        </x14:conditionalFormatting>
        <x14:conditionalFormatting xmlns:xm="http://schemas.microsoft.com/office/excel/2006/main">
          <x14:cfRule type="iconSet" priority="4751" id="{96E32D81-F819-4063-BD59-FC84A0D56814}">
            <x14:iconSet iconSet="3Triangles">
              <x14:cfvo type="percent">
                <xm:f>0</xm:f>
              </x14:cfvo>
              <x14:cfvo type="num">
                <xm:f>0</xm:f>
              </x14:cfvo>
              <x14:cfvo type="num" gte="0">
                <xm:f>0</xm:f>
              </x14:cfvo>
            </x14:iconSet>
          </x14:cfRule>
          <xm:sqref>CR112</xm:sqref>
        </x14:conditionalFormatting>
        <x14:conditionalFormatting xmlns:xm="http://schemas.microsoft.com/office/excel/2006/main">
          <x14:cfRule type="iconSet" priority="5524" id="{65F10D85-FBEF-484B-83D9-711F6D7E8436}">
            <x14:iconSet iconSet="3Triangles">
              <x14:cfvo type="percent">
                <xm:f>0</xm:f>
              </x14:cfvo>
              <x14:cfvo type="num">
                <xm:f>0</xm:f>
              </x14:cfvo>
              <x14:cfvo type="num" gte="0">
                <xm:f>0</xm:f>
              </x14:cfvo>
            </x14:iconSet>
          </x14:cfRule>
          <xm:sqref>CX4 CX110 CX113:CX139 CX84:CX108 CX15:CX82 CX6:CX13</xm:sqref>
        </x14:conditionalFormatting>
        <x14:conditionalFormatting xmlns:xm="http://schemas.microsoft.com/office/excel/2006/main">
          <x14:cfRule type="iconSet" priority="152" id="{87F724A7-30EE-4A69-B2CC-D969758A8568}">
            <x14:iconSet iconSet="3Triangles">
              <x14:cfvo type="percent">
                <xm:f>0</xm:f>
              </x14:cfvo>
              <x14:cfvo type="num">
                <xm:f>0</xm:f>
              </x14:cfvo>
              <x14:cfvo type="num" gte="0">
                <xm:f>0</xm:f>
              </x14:cfvo>
            </x14:iconSet>
          </x14:cfRule>
          <xm:sqref>CX5</xm:sqref>
        </x14:conditionalFormatting>
        <x14:conditionalFormatting xmlns:xm="http://schemas.microsoft.com/office/excel/2006/main">
          <x14:cfRule type="iconSet" priority="312" id="{44710220-6937-495C-8BA7-3A1DAAE293C2}">
            <x14:iconSet iconSet="3Triangles">
              <x14:cfvo type="percent">
                <xm:f>0</xm:f>
              </x14:cfvo>
              <x14:cfvo type="num">
                <xm:f>0</xm:f>
              </x14:cfvo>
              <x14:cfvo type="num" gte="0">
                <xm:f>0</xm:f>
              </x14:cfvo>
            </x14:iconSet>
          </x14:cfRule>
          <xm:sqref>CX14</xm:sqref>
        </x14:conditionalFormatting>
        <x14:conditionalFormatting xmlns:xm="http://schemas.microsoft.com/office/excel/2006/main">
          <x14:cfRule type="iconSet" priority="5519" id="{F890CC06-3CEB-4393-84FE-E1F33AE9EAD7}">
            <x14:iconSet iconSet="3Triangles">
              <x14:cfvo type="percent">
                <xm:f>0</xm:f>
              </x14:cfvo>
              <x14:cfvo type="num">
                <xm:f>0</xm:f>
              </x14:cfvo>
              <x14:cfvo type="num" gte="0">
                <xm:f>0</xm:f>
              </x14:cfvo>
            </x14:iconSet>
          </x14:cfRule>
          <xm:sqref>CX83</xm:sqref>
        </x14:conditionalFormatting>
        <x14:conditionalFormatting xmlns:xm="http://schemas.microsoft.com/office/excel/2006/main">
          <x14:cfRule type="iconSet" priority="5518" id="{52F10BC9-F6F1-4C8E-BE8A-AEA1BDAAE785}">
            <x14:iconSet iconSet="3Triangles">
              <x14:cfvo type="percent">
                <xm:f>0</xm:f>
              </x14:cfvo>
              <x14:cfvo type="num">
                <xm:f>0</xm:f>
              </x14:cfvo>
              <x14:cfvo type="num" gte="0">
                <xm:f>0</xm:f>
              </x14:cfvo>
            </x14:iconSet>
          </x14:cfRule>
          <xm:sqref>CX109</xm:sqref>
        </x14:conditionalFormatting>
        <x14:conditionalFormatting xmlns:xm="http://schemas.microsoft.com/office/excel/2006/main">
          <x14:cfRule type="iconSet" priority="5512" id="{DD8C8A50-68D1-494B-A92B-CBD016823118}">
            <x14:iconSet iconSet="3Triangles">
              <x14:cfvo type="percent">
                <xm:f>0</xm:f>
              </x14:cfvo>
              <x14:cfvo type="num">
                <xm:f>0</xm:f>
              </x14:cfvo>
              <x14:cfvo type="num" gte="0">
                <xm:f>0</xm:f>
              </x14:cfvo>
            </x14:iconSet>
          </x14:cfRule>
          <xm:sqref>CX111</xm:sqref>
        </x14:conditionalFormatting>
        <x14:conditionalFormatting xmlns:xm="http://schemas.microsoft.com/office/excel/2006/main">
          <x14:cfRule type="iconSet" priority="5517" id="{0FADE72A-148C-4834-833C-E0C65C9FDCD3}">
            <x14:iconSet iconSet="3Triangles">
              <x14:cfvo type="percent">
                <xm:f>0</xm:f>
              </x14:cfvo>
              <x14:cfvo type="num">
                <xm:f>0</xm:f>
              </x14:cfvo>
              <x14:cfvo type="num" gte="0">
                <xm:f>0</xm:f>
              </x14:cfvo>
            </x14:iconSet>
          </x14:cfRule>
          <xm:sqref>CX112</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EB314"/>
  <sheetViews>
    <sheetView showGridLines="0" tabSelected="1" zoomScale="70" zoomScaleNormal="70" workbookViewId="0">
      <pane xSplit="1" ySplit="3" topLeftCell="B193" activePane="bottomRight" state="frozen"/>
      <selection activeCell="P199" sqref="P199"/>
      <selection pane="topRight" activeCell="P199" sqref="P199"/>
      <selection pane="bottomLeft" activeCell="P199" sqref="P199"/>
      <selection pane="bottomRight" activeCell="C206" sqref="C206"/>
    </sheetView>
  </sheetViews>
  <sheetFormatPr baseColWidth="10" defaultRowHeight="15" outlineLevelRow="2" x14ac:dyDescent="0.25"/>
  <cols>
    <col min="1" max="1" width="74.5703125" style="4" bestFit="1" customWidth="1"/>
    <col min="2" max="2" width="15.7109375" style="83" customWidth="1"/>
    <col min="3" max="6" width="14.140625" style="83" bestFit="1" customWidth="1"/>
    <col min="7" max="7" width="13.42578125" style="83" customWidth="1"/>
    <col min="8" max="11" width="14.140625" style="83" bestFit="1" customWidth="1"/>
    <col min="12" max="13" width="12.7109375" style="83" bestFit="1" customWidth="1"/>
    <col min="14" max="14" width="12.28515625" style="83" bestFit="1" customWidth="1"/>
    <col min="15" max="15" width="16.28515625" style="83" bestFit="1" customWidth="1"/>
    <col min="16" max="141" width="11.5703125" style="4"/>
    <col min="142" max="142" width="39.28515625" style="4" customWidth="1"/>
    <col min="143" max="397" width="11.5703125" style="4"/>
    <col min="398" max="398" width="39.28515625" style="4" customWidth="1"/>
    <col min="399" max="653" width="11.5703125" style="4"/>
    <col min="654" max="654" width="39.28515625" style="4" customWidth="1"/>
    <col min="655" max="909" width="11.5703125" style="4"/>
    <col min="910" max="910" width="39.28515625" style="4" customWidth="1"/>
    <col min="911" max="1165" width="11.5703125" style="4"/>
    <col min="1166" max="1166" width="39.28515625" style="4" customWidth="1"/>
    <col min="1167" max="1421" width="11.5703125" style="4"/>
    <col min="1422" max="1422" width="39.28515625" style="4" customWidth="1"/>
    <col min="1423" max="1677" width="11.5703125" style="4"/>
    <col min="1678" max="1678" width="39.28515625" style="4" customWidth="1"/>
    <col min="1679" max="1933" width="11.5703125" style="4"/>
    <col min="1934" max="1934" width="39.28515625" style="4" customWidth="1"/>
    <col min="1935" max="2189" width="11.5703125" style="4"/>
    <col min="2190" max="2190" width="39.28515625" style="4" customWidth="1"/>
    <col min="2191" max="2445" width="11.5703125" style="4"/>
    <col min="2446" max="2446" width="39.28515625" style="4" customWidth="1"/>
    <col min="2447" max="2701" width="11.5703125" style="4"/>
    <col min="2702" max="2702" width="39.28515625" style="4" customWidth="1"/>
    <col min="2703" max="2957" width="11.5703125" style="4"/>
    <col min="2958" max="2958" width="39.28515625" style="4" customWidth="1"/>
    <col min="2959" max="3213" width="11.5703125" style="4"/>
    <col min="3214" max="3214" width="39.28515625" style="4" customWidth="1"/>
    <col min="3215" max="3469" width="11.5703125" style="4"/>
    <col min="3470" max="3470" width="39.28515625" style="4" customWidth="1"/>
    <col min="3471" max="3725" width="11.5703125" style="4"/>
    <col min="3726" max="3726" width="39.28515625" style="4" customWidth="1"/>
    <col min="3727" max="3981" width="11.5703125" style="4"/>
    <col min="3982" max="3982" width="39.28515625" style="4" customWidth="1"/>
    <col min="3983" max="4237" width="11.5703125" style="4"/>
    <col min="4238" max="4238" width="39.28515625" style="4" customWidth="1"/>
    <col min="4239" max="4493" width="11.5703125" style="4"/>
    <col min="4494" max="4494" width="39.28515625" style="4" customWidth="1"/>
    <col min="4495" max="4749" width="11.5703125" style="4"/>
    <col min="4750" max="4750" width="39.28515625" style="4" customWidth="1"/>
    <col min="4751" max="5005" width="11.5703125" style="4"/>
    <col min="5006" max="5006" width="39.28515625" style="4" customWidth="1"/>
    <col min="5007" max="5261" width="11.5703125" style="4"/>
    <col min="5262" max="5262" width="39.28515625" style="4" customWidth="1"/>
    <col min="5263" max="5517" width="11.5703125" style="4"/>
    <col min="5518" max="5518" width="39.28515625" style="4" customWidth="1"/>
    <col min="5519" max="5773" width="11.5703125" style="4"/>
    <col min="5774" max="5774" width="39.28515625" style="4" customWidth="1"/>
    <col min="5775" max="6029" width="11.5703125" style="4"/>
    <col min="6030" max="6030" width="39.28515625" style="4" customWidth="1"/>
    <col min="6031" max="6285" width="11.5703125" style="4"/>
    <col min="6286" max="6286" width="39.28515625" style="4" customWidth="1"/>
    <col min="6287" max="6541" width="11.5703125" style="4"/>
    <col min="6542" max="6542" width="39.28515625" style="4" customWidth="1"/>
    <col min="6543" max="6797" width="11.5703125" style="4"/>
    <col min="6798" max="6798" width="39.28515625" style="4" customWidth="1"/>
    <col min="6799" max="7053" width="11.5703125" style="4"/>
    <col min="7054" max="7054" width="39.28515625" style="4" customWidth="1"/>
    <col min="7055" max="7309" width="11.5703125" style="4"/>
    <col min="7310" max="7310" width="39.28515625" style="4" customWidth="1"/>
    <col min="7311" max="7565" width="11.5703125" style="4"/>
    <col min="7566" max="7566" width="39.28515625" style="4" customWidth="1"/>
    <col min="7567" max="7821" width="11.5703125" style="4"/>
    <col min="7822" max="7822" width="39.28515625" style="4" customWidth="1"/>
    <col min="7823" max="8077" width="11.5703125" style="4"/>
    <col min="8078" max="8078" width="39.28515625" style="4" customWidth="1"/>
    <col min="8079" max="8333" width="11.5703125" style="4"/>
    <col min="8334" max="8334" width="39.28515625" style="4" customWidth="1"/>
    <col min="8335" max="8589" width="11.5703125" style="4"/>
    <col min="8590" max="8590" width="39.28515625" style="4" customWidth="1"/>
    <col min="8591" max="8845" width="11.5703125" style="4"/>
    <col min="8846" max="8846" width="39.28515625" style="4" customWidth="1"/>
    <col min="8847" max="9101" width="11.5703125" style="4"/>
    <col min="9102" max="9102" width="39.28515625" style="4" customWidth="1"/>
    <col min="9103" max="9357" width="11.5703125" style="4"/>
    <col min="9358" max="9358" width="39.28515625" style="4" customWidth="1"/>
    <col min="9359" max="9613" width="11.5703125" style="4"/>
    <col min="9614" max="9614" width="39.28515625" style="4" customWidth="1"/>
    <col min="9615" max="9869" width="11.5703125" style="4"/>
    <col min="9870" max="9870" width="39.28515625" style="4" customWidth="1"/>
    <col min="9871" max="10125" width="11.5703125" style="4"/>
    <col min="10126" max="10126" width="39.28515625" style="4" customWidth="1"/>
    <col min="10127" max="10381" width="11.5703125" style="4"/>
    <col min="10382" max="10382" width="39.28515625" style="4" customWidth="1"/>
    <col min="10383" max="10637" width="11.5703125" style="4"/>
    <col min="10638" max="10638" width="39.28515625" style="4" customWidth="1"/>
    <col min="10639" max="10893" width="11.5703125" style="4"/>
    <col min="10894" max="10894" width="39.28515625" style="4" customWidth="1"/>
    <col min="10895" max="11149" width="11.5703125" style="4"/>
    <col min="11150" max="11150" width="39.28515625" style="4" customWidth="1"/>
    <col min="11151" max="11405" width="11.5703125" style="4"/>
    <col min="11406" max="11406" width="39.28515625" style="4" customWidth="1"/>
    <col min="11407" max="11661" width="11.5703125" style="4"/>
    <col min="11662" max="11662" width="39.28515625" style="4" customWidth="1"/>
    <col min="11663" max="11917" width="11.5703125" style="4"/>
    <col min="11918" max="11918" width="39.28515625" style="4" customWidth="1"/>
    <col min="11919" max="12173" width="11.5703125" style="4"/>
    <col min="12174" max="12174" width="39.28515625" style="4" customWidth="1"/>
    <col min="12175" max="12429" width="11.5703125" style="4"/>
    <col min="12430" max="12430" width="39.28515625" style="4" customWidth="1"/>
    <col min="12431" max="12685" width="11.5703125" style="4"/>
    <col min="12686" max="12686" width="39.28515625" style="4" customWidth="1"/>
    <col min="12687" max="12941" width="11.5703125" style="4"/>
    <col min="12942" max="12942" width="39.28515625" style="4" customWidth="1"/>
    <col min="12943" max="13197" width="11.5703125" style="4"/>
    <col min="13198" max="13198" width="39.28515625" style="4" customWidth="1"/>
    <col min="13199" max="13453" width="11.5703125" style="4"/>
    <col min="13454" max="13454" width="39.28515625" style="4" customWidth="1"/>
    <col min="13455" max="13709" width="11.5703125" style="4"/>
    <col min="13710" max="13710" width="39.28515625" style="4" customWidth="1"/>
    <col min="13711" max="13965" width="11.5703125" style="4"/>
    <col min="13966" max="13966" width="39.28515625" style="4" customWidth="1"/>
    <col min="13967" max="14221" width="11.5703125" style="4"/>
    <col min="14222" max="14222" width="39.28515625" style="4" customWidth="1"/>
    <col min="14223" max="14477" width="11.5703125" style="4"/>
    <col min="14478" max="14478" width="39.28515625" style="4" customWidth="1"/>
    <col min="14479" max="14733" width="11.5703125" style="4"/>
    <col min="14734" max="14734" width="39.28515625" style="4" customWidth="1"/>
    <col min="14735" max="14989" width="11.5703125" style="4"/>
    <col min="14990" max="14990" width="39.28515625" style="4" customWidth="1"/>
    <col min="14991" max="15245" width="11.5703125" style="4"/>
    <col min="15246" max="15246" width="39.28515625" style="4" customWidth="1"/>
    <col min="15247" max="15471" width="11.5703125" style="4"/>
    <col min="15472" max="16384" width="11.42578125" style="4" customWidth="1"/>
  </cols>
  <sheetData>
    <row r="1" spans="1:15" s="3" customFormat="1" x14ac:dyDescent="0.25">
      <c r="B1" s="71"/>
      <c r="C1" s="71"/>
      <c r="D1" s="71"/>
      <c r="E1" s="71"/>
      <c r="F1" s="71"/>
      <c r="G1" s="71"/>
      <c r="H1" s="71"/>
      <c r="I1" s="71"/>
      <c r="J1" s="71"/>
      <c r="K1" s="71"/>
      <c r="L1" s="71"/>
      <c r="M1" s="71"/>
      <c r="N1" s="71"/>
      <c r="O1" s="71"/>
    </row>
    <row r="2" spans="1:15" s="3" customFormat="1" ht="28.15" customHeight="1" x14ac:dyDescent="0.25">
      <c r="A2" s="146" t="s">
        <v>38</v>
      </c>
      <c r="B2" s="167"/>
      <c r="C2" s="223"/>
      <c r="D2" s="223"/>
      <c r="E2" s="223"/>
      <c r="F2" s="223"/>
      <c r="G2" s="223"/>
      <c r="H2" s="223"/>
      <c r="I2" s="223"/>
      <c r="J2" s="223"/>
      <c r="K2" s="223"/>
      <c r="L2" s="223"/>
      <c r="M2" s="223"/>
      <c r="N2" s="223"/>
      <c r="O2" s="226"/>
    </row>
    <row r="3" spans="1:15" s="8" customFormat="1" ht="24" customHeight="1" x14ac:dyDescent="0.25">
      <c r="A3" s="147" t="s">
        <v>33</v>
      </c>
      <c r="B3" s="168">
        <f ca="1">IF(ISBLANK(A2),"",YEAR(TODAY())-1)</f>
        <v>2025</v>
      </c>
      <c r="C3" s="74" t="s">
        <v>119</v>
      </c>
      <c r="D3" s="74" t="s">
        <v>120</v>
      </c>
      <c r="E3" s="74" t="s">
        <v>122</v>
      </c>
      <c r="F3" s="74" t="s">
        <v>211</v>
      </c>
      <c r="G3" s="74" t="s">
        <v>219</v>
      </c>
      <c r="H3" s="74" t="s">
        <v>220</v>
      </c>
      <c r="I3" s="74" t="s">
        <v>223</v>
      </c>
      <c r="J3" s="74" t="s">
        <v>224</v>
      </c>
      <c r="K3" s="74" t="s">
        <v>225</v>
      </c>
      <c r="L3" s="74" t="s">
        <v>226</v>
      </c>
      <c r="M3" s="74" t="s">
        <v>227</v>
      </c>
      <c r="N3" s="74" t="s">
        <v>228</v>
      </c>
      <c r="O3" s="219" t="s">
        <v>229</v>
      </c>
    </row>
    <row r="4" spans="1:15" s="138" customFormat="1" ht="18" customHeight="1" x14ac:dyDescent="0.3">
      <c r="A4" s="148" t="s">
        <v>37</v>
      </c>
      <c r="B4" s="137">
        <f t="shared" ref="B4" si="0">+B5+B18</f>
        <v>0</v>
      </c>
      <c r="C4" s="137">
        <f t="shared" ref="C4:N4" si="1">+C5+C18</f>
        <v>14250</v>
      </c>
      <c r="D4" s="137">
        <f t="shared" si="1"/>
        <v>0</v>
      </c>
      <c r="E4" s="137">
        <f t="shared" si="1"/>
        <v>0</v>
      </c>
      <c r="F4" s="137">
        <f t="shared" si="1"/>
        <v>0</v>
      </c>
      <c r="G4" s="137">
        <f t="shared" si="1"/>
        <v>0</v>
      </c>
      <c r="H4" s="137">
        <f t="shared" si="1"/>
        <v>0</v>
      </c>
      <c r="I4" s="137">
        <f t="shared" si="1"/>
        <v>0</v>
      </c>
      <c r="J4" s="137">
        <f t="shared" si="1"/>
        <v>0</v>
      </c>
      <c r="K4" s="137">
        <f t="shared" si="1"/>
        <v>0</v>
      </c>
      <c r="L4" s="137">
        <f t="shared" si="1"/>
        <v>0</v>
      </c>
      <c r="M4" s="137">
        <f t="shared" si="1"/>
        <v>0</v>
      </c>
      <c r="N4" s="137">
        <f t="shared" si="1"/>
        <v>0</v>
      </c>
      <c r="O4" s="149">
        <f t="shared" ref="O4" si="2">+O5+O18</f>
        <v>14250</v>
      </c>
    </row>
    <row r="5" spans="1:15" s="140" customFormat="1" ht="15.75" outlineLevel="1" x14ac:dyDescent="0.25">
      <c r="A5" s="171" t="s">
        <v>230</v>
      </c>
      <c r="B5" s="139">
        <f>+B6+B10+B11+B12+B13+B14+B15+B7+B8+B9</f>
        <v>0</v>
      </c>
      <c r="C5" s="139">
        <f t="shared" ref="C5:N5" si="3">+C6+C10+C11+C12+C13+C14+C15+C7+C8+C9</f>
        <v>13800</v>
      </c>
      <c r="D5" s="139">
        <f t="shared" si="3"/>
        <v>0</v>
      </c>
      <c r="E5" s="139">
        <f t="shared" si="3"/>
        <v>0</v>
      </c>
      <c r="F5" s="139">
        <f t="shared" si="3"/>
        <v>0</v>
      </c>
      <c r="G5" s="139">
        <f t="shared" si="3"/>
        <v>0</v>
      </c>
      <c r="H5" s="139">
        <f t="shared" si="3"/>
        <v>0</v>
      </c>
      <c r="I5" s="139">
        <f t="shared" si="3"/>
        <v>0</v>
      </c>
      <c r="J5" s="139">
        <f t="shared" si="3"/>
        <v>0</v>
      </c>
      <c r="K5" s="139">
        <f t="shared" si="3"/>
        <v>0</v>
      </c>
      <c r="L5" s="139">
        <f t="shared" si="3"/>
        <v>0</v>
      </c>
      <c r="M5" s="139">
        <f t="shared" si="3"/>
        <v>0</v>
      </c>
      <c r="N5" s="139">
        <f t="shared" si="3"/>
        <v>0</v>
      </c>
      <c r="O5" s="158">
        <f>+SUM(C5:N5)</f>
        <v>13800</v>
      </c>
    </row>
    <row r="6" spans="1:15" outlineLevel="1" x14ac:dyDescent="0.25">
      <c r="A6" s="150" t="s">
        <v>231</v>
      </c>
      <c r="B6" s="84"/>
      <c r="C6" s="84">
        <v>15000</v>
      </c>
      <c r="D6" s="84"/>
      <c r="E6" s="84"/>
      <c r="F6" s="84"/>
      <c r="G6" s="84"/>
      <c r="H6" s="84"/>
      <c r="I6" s="84"/>
      <c r="J6" s="84"/>
      <c r="K6" s="84"/>
      <c r="L6" s="84"/>
      <c r="M6" s="84"/>
      <c r="N6" s="84"/>
      <c r="O6" s="145">
        <f t="shared" ref="O6:O94" si="4">+SUM(C6:N6)</f>
        <v>15000</v>
      </c>
    </row>
    <row r="7" spans="1:15" outlineLevel="1" x14ac:dyDescent="0.25">
      <c r="A7" s="150" t="s">
        <v>232</v>
      </c>
      <c r="B7" s="84"/>
      <c r="C7" s="84">
        <v>-500</v>
      </c>
      <c r="D7" s="84"/>
      <c r="E7" s="84"/>
      <c r="F7" s="84"/>
      <c r="G7" s="84"/>
      <c r="H7" s="84"/>
      <c r="I7" s="84"/>
      <c r="J7" s="84"/>
      <c r="K7" s="84"/>
      <c r="L7" s="84"/>
      <c r="M7" s="84"/>
      <c r="N7" s="84"/>
      <c r="O7" s="145">
        <f t="shared" si="4"/>
        <v>-500</v>
      </c>
    </row>
    <row r="8" spans="1:15" outlineLevel="1" x14ac:dyDescent="0.25">
      <c r="A8" s="150" t="s">
        <v>53</v>
      </c>
      <c r="B8" s="84"/>
      <c r="C8" s="84">
        <v>-500</v>
      </c>
      <c r="D8" s="84"/>
      <c r="E8" s="84"/>
      <c r="F8" s="84"/>
      <c r="G8" s="84"/>
      <c r="H8" s="84"/>
      <c r="I8" s="84"/>
      <c r="J8" s="84"/>
      <c r="K8" s="84"/>
      <c r="L8" s="84"/>
      <c r="M8" s="84"/>
      <c r="N8" s="84"/>
      <c r="O8" s="145">
        <f t="shared" si="4"/>
        <v>-500</v>
      </c>
    </row>
    <row r="9" spans="1:15" outlineLevel="1" x14ac:dyDescent="0.25">
      <c r="A9" s="150" t="s">
        <v>233</v>
      </c>
      <c r="B9" s="84"/>
      <c r="C9" s="84">
        <v>-500</v>
      </c>
      <c r="D9" s="84"/>
      <c r="E9" s="84"/>
      <c r="F9" s="84"/>
      <c r="G9" s="84"/>
      <c r="H9" s="84"/>
      <c r="I9" s="84"/>
      <c r="J9" s="84"/>
      <c r="K9" s="84"/>
      <c r="L9" s="84"/>
      <c r="M9" s="84"/>
      <c r="N9" s="84"/>
      <c r="O9" s="145">
        <f t="shared" si="4"/>
        <v>-500</v>
      </c>
    </row>
    <row r="10" spans="1:15" outlineLevel="1" x14ac:dyDescent="0.25">
      <c r="A10" s="150" t="s">
        <v>40</v>
      </c>
      <c r="B10" s="84"/>
      <c r="C10" s="84">
        <v>50</v>
      </c>
      <c r="D10" s="84"/>
      <c r="E10" s="84"/>
      <c r="F10" s="84"/>
      <c r="G10" s="84"/>
      <c r="H10" s="84"/>
      <c r="I10" s="84"/>
      <c r="J10" s="84"/>
      <c r="K10" s="84"/>
      <c r="L10" s="84"/>
      <c r="M10" s="84"/>
      <c r="N10" s="84"/>
      <c r="O10" s="145">
        <f t="shared" si="4"/>
        <v>50</v>
      </c>
    </row>
    <row r="11" spans="1:15" outlineLevel="1" x14ac:dyDescent="0.25">
      <c r="A11" s="150" t="s">
        <v>234</v>
      </c>
      <c r="B11" s="84"/>
      <c r="C11" s="84">
        <v>50</v>
      </c>
      <c r="D11" s="84"/>
      <c r="E11" s="84"/>
      <c r="F11" s="84"/>
      <c r="G11" s="84"/>
      <c r="H11" s="84"/>
      <c r="I11" s="84"/>
      <c r="J11" s="84"/>
      <c r="K11" s="84"/>
      <c r="L11" s="84"/>
      <c r="M11" s="84"/>
      <c r="N11" s="84"/>
      <c r="O11" s="145">
        <f t="shared" si="4"/>
        <v>50</v>
      </c>
    </row>
    <row r="12" spans="1:15" outlineLevel="1" x14ac:dyDescent="0.25">
      <c r="A12" s="150" t="s">
        <v>235</v>
      </c>
      <c r="B12" s="84"/>
      <c r="C12" s="84">
        <v>50</v>
      </c>
      <c r="D12" s="84"/>
      <c r="E12" s="84"/>
      <c r="F12" s="84"/>
      <c r="G12" s="84"/>
      <c r="H12" s="84"/>
      <c r="I12" s="84"/>
      <c r="J12" s="84"/>
      <c r="K12" s="84"/>
      <c r="L12" s="84"/>
      <c r="M12" s="84"/>
      <c r="N12" s="84"/>
      <c r="O12" s="145">
        <f t="shared" si="4"/>
        <v>50</v>
      </c>
    </row>
    <row r="13" spans="1:15" outlineLevel="1" x14ac:dyDescent="0.25">
      <c r="A13" s="150" t="s">
        <v>236</v>
      </c>
      <c r="B13" s="84"/>
      <c r="C13" s="84">
        <v>50</v>
      </c>
      <c r="D13" s="84"/>
      <c r="E13" s="84"/>
      <c r="F13" s="84"/>
      <c r="G13" s="84"/>
      <c r="H13" s="84"/>
      <c r="I13" s="84"/>
      <c r="J13" s="84"/>
      <c r="K13" s="84"/>
      <c r="L13" s="84"/>
      <c r="M13" s="84"/>
      <c r="N13" s="84"/>
      <c r="O13" s="145">
        <f t="shared" si="4"/>
        <v>50</v>
      </c>
    </row>
    <row r="14" spans="1:15" outlineLevel="1" x14ac:dyDescent="0.25">
      <c r="A14" s="150" t="s">
        <v>45</v>
      </c>
      <c r="B14" s="84"/>
      <c r="C14" s="84">
        <v>50</v>
      </c>
      <c r="D14" s="84"/>
      <c r="E14" s="84"/>
      <c r="F14" s="84"/>
      <c r="G14" s="84"/>
      <c r="H14" s="84"/>
      <c r="I14" s="84"/>
      <c r="J14" s="84"/>
      <c r="K14" s="84"/>
      <c r="L14" s="84"/>
      <c r="M14" s="84"/>
      <c r="N14" s="84"/>
      <c r="O14" s="145">
        <f t="shared" si="4"/>
        <v>50</v>
      </c>
    </row>
    <row r="15" spans="1:15" s="3" customFormat="1" outlineLevel="1" x14ac:dyDescent="0.25">
      <c r="A15" s="150" t="s">
        <v>237</v>
      </c>
      <c r="B15" s="86"/>
      <c r="C15" s="86">
        <v>50</v>
      </c>
      <c r="D15" s="86"/>
      <c r="E15" s="86"/>
      <c r="F15" s="86"/>
      <c r="G15" s="86"/>
      <c r="H15" s="86"/>
      <c r="I15" s="86"/>
      <c r="J15" s="86"/>
      <c r="K15" s="86"/>
      <c r="L15" s="84"/>
      <c r="M15" s="84"/>
      <c r="N15" s="84"/>
      <c r="O15" s="145">
        <f t="shared" si="4"/>
        <v>50</v>
      </c>
    </row>
    <row r="16" spans="1:15" s="3" customFormat="1" outlineLevel="1" x14ac:dyDescent="0.25">
      <c r="A16" s="150"/>
      <c r="B16" s="86"/>
      <c r="C16" s="86"/>
      <c r="D16" s="86"/>
      <c r="E16" s="86"/>
      <c r="F16" s="86"/>
      <c r="G16" s="86"/>
      <c r="H16" s="86"/>
      <c r="I16" s="86"/>
      <c r="J16" s="86"/>
      <c r="K16" s="86"/>
      <c r="L16" s="84"/>
      <c r="M16" s="84"/>
      <c r="N16" s="84"/>
      <c r="O16" s="145">
        <f t="shared" si="4"/>
        <v>0</v>
      </c>
    </row>
    <row r="17" spans="1:15" s="3" customFormat="1" outlineLevel="1" x14ac:dyDescent="0.25">
      <c r="A17" s="150"/>
      <c r="B17" s="86"/>
      <c r="C17" s="86"/>
      <c r="D17" s="86"/>
      <c r="E17" s="86"/>
      <c r="F17" s="86"/>
      <c r="G17" s="86"/>
      <c r="H17" s="86"/>
      <c r="I17" s="86"/>
      <c r="J17" s="86"/>
      <c r="K17" s="86"/>
      <c r="L17" s="84"/>
      <c r="M17" s="84"/>
      <c r="N17" s="84"/>
      <c r="O17" s="145">
        <f t="shared" si="4"/>
        <v>0</v>
      </c>
    </row>
    <row r="18" spans="1:15" s="140" customFormat="1" ht="15.75" outlineLevel="1" x14ac:dyDescent="0.25">
      <c r="A18" s="171" t="s">
        <v>238</v>
      </c>
      <c r="B18" s="139">
        <f t="shared" ref="B18:N18" si="5">SUM(B19:B28)</f>
        <v>0</v>
      </c>
      <c r="C18" s="139">
        <v>450</v>
      </c>
      <c r="D18" s="139"/>
      <c r="E18" s="139"/>
      <c r="F18" s="139"/>
      <c r="G18" s="139"/>
      <c r="H18" s="139">
        <f t="shared" si="5"/>
        <v>0</v>
      </c>
      <c r="I18" s="139">
        <f t="shared" si="5"/>
        <v>0</v>
      </c>
      <c r="J18" s="139">
        <f t="shared" si="5"/>
        <v>0</v>
      </c>
      <c r="K18" s="139">
        <f t="shared" si="5"/>
        <v>0</v>
      </c>
      <c r="L18" s="139">
        <f t="shared" si="5"/>
        <v>0</v>
      </c>
      <c r="M18" s="139">
        <f t="shared" si="5"/>
        <v>0</v>
      </c>
      <c r="N18" s="139">
        <f t="shared" si="5"/>
        <v>0</v>
      </c>
      <c r="O18" s="158">
        <f t="shared" ref="O18" si="6">SUM(O19:O28)</f>
        <v>450</v>
      </c>
    </row>
    <row r="19" spans="1:15" s="3" customFormat="1" outlineLevel="1" x14ac:dyDescent="0.25">
      <c r="A19" s="150" t="s">
        <v>104</v>
      </c>
      <c r="B19" s="84"/>
      <c r="C19" s="84">
        <v>50</v>
      </c>
      <c r="D19" s="84"/>
      <c r="E19" s="84"/>
      <c r="F19" s="84"/>
      <c r="G19" s="84"/>
      <c r="H19" s="84"/>
      <c r="I19" s="84"/>
      <c r="J19" s="84"/>
      <c r="K19" s="84"/>
      <c r="L19" s="84"/>
      <c r="M19" s="84"/>
      <c r="N19" s="84"/>
      <c r="O19" s="145">
        <f>+SUM(C19:N19)</f>
        <v>50</v>
      </c>
    </row>
    <row r="20" spans="1:15" s="3" customFormat="1" outlineLevel="1" x14ac:dyDescent="0.25">
      <c r="A20" s="150" t="s">
        <v>105</v>
      </c>
      <c r="B20" s="84"/>
      <c r="C20" s="84">
        <v>50</v>
      </c>
      <c r="D20" s="84"/>
      <c r="E20" s="84"/>
      <c r="F20" s="84"/>
      <c r="G20" s="84"/>
      <c r="H20" s="84"/>
      <c r="I20" s="84"/>
      <c r="J20" s="84"/>
      <c r="K20" s="84"/>
      <c r="L20" s="84"/>
      <c r="M20" s="84"/>
      <c r="N20" s="84"/>
      <c r="O20" s="145">
        <f t="shared" ref="O20:O28" si="7">+SUM(C20:N20)</f>
        <v>50</v>
      </c>
    </row>
    <row r="21" spans="1:15" s="3" customFormat="1" outlineLevel="1" x14ac:dyDescent="0.25">
      <c r="A21" s="150" t="s">
        <v>106</v>
      </c>
      <c r="B21" s="84"/>
      <c r="C21" s="84">
        <v>50</v>
      </c>
      <c r="D21" s="84"/>
      <c r="E21" s="84"/>
      <c r="F21" s="84"/>
      <c r="G21" s="84"/>
      <c r="H21" s="84"/>
      <c r="I21" s="84"/>
      <c r="J21" s="84"/>
      <c r="K21" s="84"/>
      <c r="L21" s="84"/>
      <c r="M21" s="84"/>
      <c r="N21" s="84"/>
      <c r="O21" s="145">
        <f t="shared" si="7"/>
        <v>50</v>
      </c>
    </row>
    <row r="22" spans="1:15" s="3" customFormat="1" outlineLevel="1" x14ac:dyDescent="0.25">
      <c r="A22" s="150" t="s">
        <v>107</v>
      </c>
      <c r="B22" s="84"/>
      <c r="C22" s="84">
        <v>50</v>
      </c>
      <c r="D22" s="84"/>
      <c r="E22" s="84"/>
      <c r="F22" s="84"/>
      <c r="G22" s="84"/>
      <c r="H22" s="84"/>
      <c r="I22" s="84"/>
      <c r="J22" s="84"/>
      <c r="K22" s="84"/>
      <c r="L22" s="84"/>
      <c r="M22" s="84"/>
      <c r="N22" s="84"/>
      <c r="O22" s="145">
        <f t="shared" si="7"/>
        <v>50</v>
      </c>
    </row>
    <row r="23" spans="1:15" s="3" customFormat="1" outlineLevel="1" x14ac:dyDescent="0.25">
      <c r="A23" s="150" t="s">
        <v>108</v>
      </c>
      <c r="B23" s="84"/>
      <c r="C23" s="84">
        <v>50</v>
      </c>
      <c r="D23" s="84"/>
      <c r="E23" s="84"/>
      <c r="F23" s="84"/>
      <c r="G23" s="84"/>
      <c r="H23" s="84"/>
      <c r="I23" s="84"/>
      <c r="J23" s="84"/>
      <c r="K23" s="84"/>
      <c r="L23" s="84"/>
      <c r="M23" s="84"/>
      <c r="N23" s="84"/>
      <c r="O23" s="145">
        <f t="shared" si="7"/>
        <v>50</v>
      </c>
    </row>
    <row r="24" spans="1:15" s="3" customFormat="1" outlineLevel="1" x14ac:dyDescent="0.25">
      <c r="A24" s="150" t="s">
        <v>109</v>
      </c>
      <c r="B24" s="84"/>
      <c r="C24" s="84">
        <v>50</v>
      </c>
      <c r="D24" s="84"/>
      <c r="E24" s="84"/>
      <c r="F24" s="84"/>
      <c r="G24" s="84"/>
      <c r="H24" s="84"/>
      <c r="I24" s="84"/>
      <c r="J24" s="84"/>
      <c r="K24" s="84"/>
      <c r="L24" s="84"/>
      <c r="M24" s="84"/>
      <c r="N24" s="84"/>
      <c r="O24" s="145">
        <f t="shared" si="7"/>
        <v>50</v>
      </c>
    </row>
    <row r="25" spans="1:15" s="3" customFormat="1" outlineLevel="1" x14ac:dyDescent="0.25">
      <c r="A25" s="150" t="s">
        <v>110</v>
      </c>
      <c r="B25" s="84"/>
      <c r="C25" s="84">
        <v>50</v>
      </c>
      <c r="D25" s="84"/>
      <c r="E25" s="84"/>
      <c r="F25" s="84"/>
      <c r="G25" s="84"/>
      <c r="H25" s="84"/>
      <c r="I25" s="84"/>
      <c r="J25" s="84"/>
      <c r="K25" s="84"/>
      <c r="L25" s="84"/>
      <c r="M25" s="84"/>
      <c r="N25" s="84"/>
      <c r="O25" s="145">
        <f t="shared" si="7"/>
        <v>50</v>
      </c>
    </row>
    <row r="26" spans="1:15" s="3" customFormat="1" outlineLevel="1" x14ac:dyDescent="0.25">
      <c r="A26" s="150" t="s">
        <v>111</v>
      </c>
      <c r="B26" s="84"/>
      <c r="C26" s="84">
        <v>50</v>
      </c>
      <c r="D26" s="84"/>
      <c r="E26" s="84"/>
      <c r="F26" s="84"/>
      <c r="G26" s="84"/>
      <c r="H26" s="84"/>
      <c r="I26" s="84"/>
      <c r="J26" s="84"/>
      <c r="K26" s="84"/>
      <c r="L26" s="84"/>
      <c r="M26" s="84"/>
      <c r="N26" s="84"/>
      <c r="O26" s="145">
        <f t="shared" si="7"/>
        <v>50</v>
      </c>
    </row>
    <row r="27" spans="1:15" s="3" customFormat="1" outlineLevel="1" x14ac:dyDescent="0.25">
      <c r="A27" s="150" t="s">
        <v>112</v>
      </c>
      <c r="B27" s="86"/>
      <c r="C27" s="86">
        <v>50</v>
      </c>
      <c r="D27" s="86"/>
      <c r="E27" s="86"/>
      <c r="F27" s="86"/>
      <c r="G27" s="86"/>
      <c r="H27" s="86"/>
      <c r="I27" s="86"/>
      <c r="J27" s="86"/>
      <c r="K27" s="86"/>
      <c r="L27" s="84"/>
      <c r="M27" s="84"/>
      <c r="N27" s="84"/>
      <c r="O27" s="145">
        <f t="shared" si="7"/>
        <v>50</v>
      </c>
    </row>
    <row r="28" spans="1:15" ht="15.6" customHeight="1" x14ac:dyDescent="0.25">
      <c r="A28" s="151"/>
      <c r="B28" s="84"/>
      <c r="C28" s="84"/>
      <c r="D28" s="84"/>
      <c r="E28" s="84"/>
      <c r="F28" s="84"/>
      <c r="G28" s="84"/>
      <c r="H28" s="84">
        <v>0</v>
      </c>
      <c r="I28" s="84"/>
      <c r="J28" s="84"/>
      <c r="K28" s="84"/>
      <c r="L28" s="84"/>
      <c r="M28" s="84"/>
      <c r="N28" s="84"/>
      <c r="O28" s="145">
        <f t="shared" si="7"/>
        <v>0</v>
      </c>
    </row>
    <row r="29" spans="1:15" s="26" customFormat="1" ht="18" customHeight="1" x14ac:dyDescent="0.25">
      <c r="A29" s="148" t="s">
        <v>47</v>
      </c>
      <c r="B29" s="137">
        <f t="shared" ref="B29:N29" si="8">+SUM(B30:B33)</f>
        <v>0</v>
      </c>
      <c r="C29" s="137">
        <v>9050</v>
      </c>
      <c r="D29" s="137"/>
      <c r="E29" s="137"/>
      <c r="F29" s="137"/>
      <c r="G29" s="137"/>
      <c r="H29" s="137">
        <f t="shared" si="8"/>
        <v>0</v>
      </c>
      <c r="I29" s="137">
        <f t="shared" si="8"/>
        <v>0</v>
      </c>
      <c r="J29" s="137">
        <f t="shared" si="8"/>
        <v>0</v>
      </c>
      <c r="K29" s="137">
        <f t="shared" si="8"/>
        <v>0</v>
      </c>
      <c r="L29" s="137">
        <f t="shared" si="8"/>
        <v>0</v>
      </c>
      <c r="M29" s="137">
        <f t="shared" si="8"/>
        <v>0</v>
      </c>
      <c r="N29" s="137">
        <f t="shared" si="8"/>
        <v>0</v>
      </c>
      <c r="O29" s="149">
        <f t="shared" ref="O29" si="9">+SUM(O30:O33)</f>
        <v>9050</v>
      </c>
    </row>
    <row r="30" spans="1:15" outlineLevel="1" x14ac:dyDescent="0.25">
      <c r="A30" s="150" t="s">
        <v>239</v>
      </c>
      <c r="B30" s="84"/>
      <c r="C30" s="84">
        <v>9000</v>
      </c>
      <c r="D30" s="84"/>
      <c r="E30" s="84"/>
      <c r="F30" s="84"/>
      <c r="G30" s="84"/>
      <c r="H30" s="84"/>
      <c r="I30" s="84"/>
      <c r="J30" s="84"/>
      <c r="K30" s="84"/>
      <c r="L30" s="84"/>
      <c r="M30" s="84"/>
      <c r="N30" s="84"/>
      <c r="O30" s="145">
        <f t="shared" si="4"/>
        <v>9000</v>
      </c>
    </row>
    <row r="31" spans="1:15" outlineLevel="1" x14ac:dyDescent="0.25">
      <c r="A31" s="150" t="s">
        <v>240</v>
      </c>
      <c r="B31" s="84"/>
      <c r="C31" s="84">
        <v>20</v>
      </c>
      <c r="D31" s="84"/>
      <c r="E31" s="84"/>
      <c r="F31" s="84"/>
      <c r="G31" s="84"/>
      <c r="H31" s="84"/>
      <c r="I31" s="84"/>
      <c r="J31" s="84"/>
      <c r="K31" s="84"/>
      <c r="L31" s="84"/>
      <c r="M31" s="84"/>
      <c r="N31" s="84"/>
      <c r="O31" s="145">
        <f t="shared" si="4"/>
        <v>20</v>
      </c>
    </row>
    <row r="32" spans="1:15" s="3" customFormat="1" outlineLevel="1" x14ac:dyDescent="0.25">
      <c r="A32" s="150" t="s">
        <v>241</v>
      </c>
      <c r="B32" s="86"/>
      <c r="C32" s="86">
        <v>30</v>
      </c>
      <c r="D32" s="86"/>
      <c r="E32" s="86"/>
      <c r="F32" s="86"/>
      <c r="G32" s="86"/>
      <c r="H32" s="86"/>
      <c r="I32" s="86"/>
      <c r="J32" s="86"/>
      <c r="K32" s="86"/>
      <c r="L32" s="84"/>
      <c r="M32" s="84"/>
      <c r="N32" s="84"/>
      <c r="O32" s="145">
        <f t="shared" si="4"/>
        <v>30</v>
      </c>
    </row>
    <row r="33" spans="1:15" s="6" customFormat="1" ht="14.45" customHeight="1" x14ac:dyDescent="0.25">
      <c r="A33" s="152"/>
      <c r="B33" s="89"/>
      <c r="C33" s="89"/>
      <c r="D33" s="89"/>
      <c r="E33" s="89"/>
      <c r="F33" s="89"/>
      <c r="G33" s="89"/>
      <c r="H33" s="89">
        <v>0</v>
      </c>
      <c r="I33" s="89"/>
      <c r="J33" s="89"/>
      <c r="K33" s="89"/>
      <c r="L33" s="84"/>
      <c r="M33" s="84"/>
      <c r="N33" s="84"/>
      <c r="O33" s="145">
        <f t="shared" si="4"/>
        <v>0</v>
      </c>
    </row>
    <row r="34" spans="1:15" s="135" customFormat="1" ht="19.5" thickBot="1" x14ac:dyDescent="0.35">
      <c r="A34" s="165" t="s">
        <v>59</v>
      </c>
      <c r="B34" s="134">
        <f t="shared" ref="B34:N34" si="10">+B4-B29</f>
        <v>0</v>
      </c>
      <c r="C34" s="134">
        <v>5200</v>
      </c>
      <c r="D34" s="134"/>
      <c r="E34" s="134"/>
      <c r="F34" s="134"/>
      <c r="G34" s="134"/>
      <c r="H34" s="134">
        <f t="shared" si="10"/>
        <v>0</v>
      </c>
      <c r="I34" s="134">
        <f t="shared" si="10"/>
        <v>0</v>
      </c>
      <c r="J34" s="134">
        <f t="shared" si="10"/>
        <v>0</v>
      </c>
      <c r="K34" s="134">
        <f t="shared" si="10"/>
        <v>0</v>
      </c>
      <c r="L34" s="134">
        <f t="shared" si="10"/>
        <v>0</v>
      </c>
      <c r="M34" s="134">
        <f t="shared" si="10"/>
        <v>0</v>
      </c>
      <c r="N34" s="134">
        <f t="shared" si="10"/>
        <v>0</v>
      </c>
      <c r="O34" s="166">
        <f t="shared" ref="O34" si="11">+O4-O29</f>
        <v>5200</v>
      </c>
    </row>
    <row r="35" spans="1:15" s="3" customFormat="1" ht="15.75" thickTop="1" x14ac:dyDescent="0.25">
      <c r="A35" s="153"/>
      <c r="B35" s="86"/>
      <c r="C35" s="86"/>
      <c r="D35" s="86"/>
      <c r="E35" s="86"/>
      <c r="F35" s="86"/>
      <c r="G35" s="86"/>
      <c r="H35" s="86"/>
      <c r="I35" s="86"/>
      <c r="J35" s="86"/>
      <c r="K35" s="86"/>
      <c r="L35" s="86"/>
      <c r="M35" s="86"/>
      <c r="N35" s="86"/>
      <c r="O35" s="154">
        <f t="shared" si="4"/>
        <v>0</v>
      </c>
    </row>
    <row r="36" spans="1:15" s="138" customFormat="1" ht="18.75" x14ac:dyDescent="0.3">
      <c r="A36" s="148" t="s">
        <v>242</v>
      </c>
      <c r="B36" s="137">
        <f t="shared" ref="B36:N36" si="12">+B37+B193</f>
        <v>0</v>
      </c>
      <c r="C36" s="137">
        <v>1490</v>
      </c>
      <c r="D36" s="137"/>
      <c r="E36" s="137"/>
      <c r="F36" s="137"/>
      <c r="G36" s="137"/>
      <c r="H36" s="137">
        <f t="shared" si="12"/>
        <v>0</v>
      </c>
      <c r="I36" s="137">
        <f t="shared" si="12"/>
        <v>0</v>
      </c>
      <c r="J36" s="137">
        <f t="shared" si="12"/>
        <v>0</v>
      </c>
      <c r="K36" s="137">
        <f t="shared" si="12"/>
        <v>0</v>
      </c>
      <c r="L36" s="137">
        <f t="shared" si="12"/>
        <v>0</v>
      </c>
      <c r="M36" s="137">
        <f t="shared" si="12"/>
        <v>0</v>
      </c>
      <c r="N36" s="137">
        <f t="shared" si="12"/>
        <v>0</v>
      </c>
      <c r="O36" s="149">
        <f t="shared" ref="O36" si="13">+O37+O193</f>
        <v>1490</v>
      </c>
    </row>
    <row r="37" spans="1:15" s="141" customFormat="1" ht="17.25" x14ac:dyDescent="0.3">
      <c r="A37" s="155" t="s">
        <v>101</v>
      </c>
      <c r="B37" s="142">
        <f t="shared" ref="B37:N37" si="14">+B38+B95+B139+B172+B188</f>
        <v>0</v>
      </c>
      <c r="C37" s="142">
        <v>1410</v>
      </c>
      <c r="D37" s="142"/>
      <c r="E37" s="142"/>
      <c r="F37" s="142"/>
      <c r="G37" s="142"/>
      <c r="H37" s="142">
        <f t="shared" si="14"/>
        <v>0</v>
      </c>
      <c r="I37" s="142">
        <f t="shared" si="14"/>
        <v>0</v>
      </c>
      <c r="J37" s="142">
        <f t="shared" si="14"/>
        <v>0</v>
      </c>
      <c r="K37" s="142">
        <f t="shared" si="14"/>
        <v>0</v>
      </c>
      <c r="L37" s="142">
        <f t="shared" si="14"/>
        <v>0</v>
      </c>
      <c r="M37" s="142">
        <f t="shared" si="14"/>
        <v>0</v>
      </c>
      <c r="N37" s="142">
        <f t="shared" si="14"/>
        <v>0</v>
      </c>
      <c r="O37" s="156">
        <f t="shared" ref="O37" si="15">+O38+O95+O139+O172+O188</f>
        <v>1410</v>
      </c>
    </row>
    <row r="38" spans="1:15" s="140" customFormat="1" ht="15.75" x14ac:dyDescent="0.25">
      <c r="A38" s="157" t="s">
        <v>60</v>
      </c>
      <c r="B38" s="139">
        <f t="shared" ref="B38:N38" si="16">+SUM(B39:B94)</f>
        <v>0</v>
      </c>
      <c r="C38" s="139">
        <v>540</v>
      </c>
      <c r="D38" s="139"/>
      <c r="E38" s="139"/>
      <c r="F38" s="139"/>
      <c r="G38" s="139"/>
      <c r="H38" s="139">
        <f t="shared" si="16"/>
        <v>0</v>
      </c>
      <c r="I38" s="139">
        <f t="shared" si="16"/>
        <v>0</v>
      </c>
      <c r="J38" s="139">
        <f t="shared" si="16"/>
        <v>0</v>
      </c>
      <c r="K38" s="139">
        <f t="shared" si="16"/>
        <v>0</v>
      </c>
      <c r="L38" s="139">
        <f t="shared" si="16"/>
        <v>0</v>
      </c>
      <c r="M38" s="139">
        <f t="shared" si="16"/>
        <v>0</v>
      </c>
      <c r="N38" s="139">
        <f t="shared" si="16"/>
        <v>0</v>
      </c>
      <c r="O38" s="158">
        <f t="shared" ref="O38" si="17">+SUM(O39:O94)</f>
        <v>540</v>
      </c>
    </row>
    <row r="39" spans="1:15" outlineLevel="1" x14ac:dyDescent="0.25">
      <c r="A39" s="151" t="s">
        <v>61</v>
      </c>
      <c r="B39" s="84"/>
      <c r="C39" s="84">
        <v>10</v>
      </c>
      <c r="D39" s="84"/>
      <c r="E39" s="84"/>
      <c r="F39" s="84"/>
      <c r="G39" s="84"/>
      <c r="H39" s="84"/>
      <c r="I39" s="84"/>
      <c r="J39" s="84"/>
      <c r="K39" s="84"/>
      <c r="L39" s="84"/>
      <c r="M39" s="84"/>
      <c r="N39" s="84"/>
      <c r="O39" s="145">
        <f t="shared" si="4"/>
        <v>10</v>
      </c>
    </row>
    <row r="40" spans="1:15" outlineLevel="1" x14ac:dyDescent="0.25">
      <c r="A40" s="151" t="s">
        <v>3</v>
      </c>
      <c r="B40" s="84"/>
      <c r="C40" s="84">
        <v>10</v>
      </c>
      <c r="D40" s="84"/>
      <c r="E40" s="84"/>
      <c r="F40" s="84"/>
      <c r="G40" s="84"/>
      <c r="H40" s="84"/>
      <c r="I40" s="84"/>
      <c r="J40" s="84"/>
      <c r="K40" s="84"/>
      <c r="L40" s="84"/>
      <c r="M40" s="84"/>
      <c r="N40" s="84"/>
      <c r="O40" s="145">
        <f t="shared" si="4"/>
        <v>10</v>
      </c>
    </row>
    <row r="41" spans="1:15" outlineLevel="1" x14ac:dyDescent="0.25">
      <c r="A41" s="151" t="s">
        <v>4</v>
      </c>
      <c r="B41" s="84"/>
      <c r="C41" s="84">
        <v>10</v>
      </c>
      <c r="D41" s="84"/>
      <c r="E41" s="84"/>
      <c r="F41" s="84"/>
      <c r="G41" s="84"/>
      <c r="H41" s="84"/>
      <c r="I41" s="84"/>
      <c r="J41" s="84"/>
      <c r="K41" s="84"/>
      <c r="L41" s="84"/>
      <c r="M41" s="84"/>
      <c r="N41" s="84"/>
      <c r="O41" s="145">
        <f t="shared" si="4"/>
        <v>10</v>
      </c>
    </row>
    <row r="42" spans="1:15" outlineLevel="1" x14ac:dyDescent="0.25">
      <c r="A42" s="151" t="s">
        <v>5</v>
      </c>
      <c r="B42" s="84"/>
      <c r="C42" s="84">
        <v>10</v>
      </c>
      <c r="D42" s="84"/>
      <c r="E42" s="84"/>
      <c r="F42" s="84"/>
      <c r="G42" s="84"/>
      <c r="H42" s="84"/>
      <c r="I42" s="84"/>
      <c r="J42" s="84"/>
      <c r="K42" s="84"/>
      <c r="L42" s="84"/>
      <c r="M42" s="84"/>
      <c r="N42" s="84"/>
      <c r="O42" s="145">
        <f t="shared" si="4"/>
        <v>10</v>
      </c>
    </row>
    <row r="43" spans="1:15" outlineLevel="1" x14ac:dyDescent="0.25">
      <c r="A43" s="151" t="s">
        <v>243</v>
      </c>
      <c r="B43" s="84"/>
      <c r="C43" s="84">
        <v>10</v>
      </c>
      <c r="D43" s="84"/>
      <c r="E43" s="84"/>
      <c r="F43" s="84"/>
      <c r="G43" s="84"/>
      <c r="H43" s="84"/>
      <c r="I43" s="84"/>
      <c r="J43" s="84"/>
      <c r="K43" s="84"/>
      <c r="L43" s="84"/>
      <c r="M43" s="84"/>
      <c r="N43" s="84"/>
      <c r="O43" s="145">
        <f t="shared" si="4"/>
        <v>10</v>
      </c>
    </row>
    <row r="44" spans="1:15" outlineLevel="1" x14ac:dyDescent="0.25">
      <c r="A44" s="151" t="s">
        <v>7</v>
      </c>
      <c r="B44" s="84"/>
      <c r="C44" s="84">
        <v>10</v>
      </c>
      <c r="D44" s="84"/>
      <c r="E44" s="84"/>
      <c r="F44" s="84"/>
      <c r="G44" s="84"/>
      <c r="H44" s="84"/>
      <c r="I44" s="84"/>
      <c r="J44" s="84"/>
      <c r="K44" s="84"/>
      <c r="L44" s="84"/>
      <c r="M44" s="84"/>
      <c r="N44" s="84"/>
      <c r="O44" s="145">
        <f t="shared" si="4"/>
        <v>10</v>
      </c>
    </row>
    <row r="45" spans="1:15" outlineLevel="1" x14ac:dyDescent="0.25">
      <c r="A45" s="151" t="s">
        <v>8</v>
      </c>
      <c r="B45" s="84"/>
      <c r="C45" s="84">
        <v>10</v>
      </c>
      <c r="D45" s="84"/>
      <c r="E45" s="84"/>
      <c r="F45" s="84"/>
      <c r="G45" s="84"/>
      <c r="H45" s="84"/>
      <c r="I45" s="84"/>
      <c r="J45" s="84"/>
      <c r="K45" s="84"/>
      <c r="L45" s="84"/>
      <c r="M45" s="84"/>
      <c r="N45" s="84"/>
      <c r="O45" s="145">
        <f t="shared" si="4"/>
        <v>10</v>
      </c>
    </row>
    <row r="46" spans="1:15" outlineLevel="1" x14ac:dyDescent="0.25">
      <c r="A46" s="151" t="s">
        <v>9</v>
      </c>
      <c r="B46" s="84"/>
      <c r="C46" s="84">
        <v>10</v>
      </c>
      <c r="D46" s="84"/>
      <c r="E46" s="84"/>
      <c r="F46" s="84"/>
      <c r="G46" s="84"/>
      <c r="H46" s="84"/>
      <c r="I46" s="84"/>
      <c r="J46" s="84"/>
      <c r="K46" s="84"/>
      <c r="L46" s="84"/>
      <c r="M46" s="84"/>
      <c r="N46" s="84"/>
      <c r="O46" s="145">
        <f t="shared" si="4"/>
        <v>10</v>
      </c>
    </row>
    <row r="47" spans="1:15" outlineLevel="1" x14ac:dyDescent="0.25">
      <c r="A47" s="151" t="s">
        <v>10</v>
      </c>
      <c r="B47" s="84"/>
      <c r="C47" s="84">
        <v>10</v>
      </c>
      <c r="D47" s="84"/>
      <c r="E47" s="84"/>
      <c r="F47" s="84"/>
      <c r="G47" s="84"/>
      <c r="H47" s="84"/>
      <c r="I47" s="84"/>
      <c r="J47" s="84"/>
      <c r="K47" s="84"/>
      <c r="L47" s="84"/>
      <c r="M47" s="84"/>
      <c r="N47" s="84"/>
      <c r="O47" s="145">
        <f t="shared" si="4"/>
        <v>10</v>
      </c>
    </row>
    <row r="48" spans="1:15" outlineLevel="1" x14ac:dyDescent="0.25">
      <c r="A48" s="151" t="s">
        <v>11</v>
      </c>
      <c r="B48" s="84"/>
      <c r="C48" s="84">
        <v>10</v>
      </c>
      <c r="D48" s="84"/>
      <c r="E48" s="84"/>
      <c r="F48" s="84"/>
      <c r="G48" s="84"/>
      <c r="H48" s="84"/>
      <c r="I48" s="84"/>
      <c r="J48" s="84"/>
      <c r="K48" s="84"/>
      <c r="L48" s="84"/>
      <c r="M48" s="84"/>
      <c r="N48" s="84"/>
      <c r="O48" s="145">
        <f t="shared" si="4"/>
        <v>10</v>
      </c>
    </row>
    <row r="49" spans="1:15" outlineLevel="1" x14ac:dyDescent="0.25">
      <c r="A49" s="151" t="s">
        <v>12</v>
      </c>
      <c r="B49" s="84"/>
      <c r="C49" s="84">
        <v>10</v>
      </c>
      <c r="D49" s="84"/>
      <c r="E49" s="84"/>
      <c r="F49" s="84"/>
      <c r="G49" s="84"/>
      <c r="H49" s="84"/>
      <c r="I49" s="84"/>
      <c r="J49" s="84"/>
      <c r="K49" s="84"/>
      <c r="L49" s="84"/>
      <c r="M49" s="84"/>
      <c r="N49" s="84"/>
      <c r="O49" s="145">
        <f t="shared" si="4"/>
        <v>10</v>
      </c>
    </row>
    <row r="50" spans="1:15" outlineLevel="1" x14ac:dyDescent="0.25">
      <c r="A50" s="151" t="s">
        <v>13</v>
      </c>
      <c r="B50" s="84"/>
      <c r="C50" s="84">
        <v>10</v>
      </c>
      <c r="D50" s="84"/>
      <c r="E50" s="84"/>
      <c r="F50" s="84"/>
      <c r="G50" s="84"/>
      <c r="H50" s="84"/>
      <c r="I50" s="84"/>
      <c r="J50" s="84"/>
      <c r="K50" s="84"/>
      <c r="L50" s="84"/>
      <c r="M50" s="84"/>
      <c r="N50" s="84"/>
      <c r="O50" s="145">
        <f t="shared" si="4"/>
        <v>10</v>
      </c>
    </row>
    <row r="51" spans="1:15" outlineLevel="1" x14ac:dyDescent="0.25">
      <c r="A51" s="151" t="s">
        <v>14</v>
      </c>
      <c r="B51" s="84"/>
      <c r="C51" s="84">
        <v>10</v>
      </c>
      <c r="D51" s="84"/>
      <c r="E51" s="84"/>
      <c r="F51" s="84"/>
      <c r="G51" s="84"/>
      <c r="H51" s="84"/>
      <c r="I51" s="84"/>
      <c r="J51" s="84"/>
      <c r="K51" s="84"/>
      <c r="L51" s="84"/>
      <c r="M51" s="84"/>
      <c r="N51" s="84"/>
      <c r="O51" s="145">
        <f t="shared" si="4"/>
        <v>10</v>
      </c>
    </row>
    <row r="52" spans="1:15" outlineLevel="1" x14ac:dyDescent="0.25">
      <c r="A52" s="151" t="s">
        <v>15</v>
      </c>
      <c r="B52" s="84"/>
      <c r="C52" s="84">
        <v>10</v>
      </c>
      <c r="D52" s="84"/>
      <c r="E52" s="84"/>
      <c r="F52" s="84"/>
      <c r="G52" s="84"/>
      <c r="H52" s="84"/>
      <c r="I52" s="84"/>
      <c r="J52" s="84"/>
      <c r="K52" s="84"/>
      <c r="L52" s="84"/>
      <c r="M52" s="84"/>
      <c r="N52" s="84"/>
      <c r="O52" s="145">
        <f t="shared" si="4"/>
        <v>10</v>
      </c>
    </row>
    <row r="53" spans="1:15" outlineLevel="1" x14ac:dyDescent="0.25">
      <c r="A53" s="151" t="s">
        <v>16</v>
      </c>
      <c r="B53" s="84"/>
      <c r="C53" s="84">
        <v>10</v>
      </c>
      <c r="D53" s="84"/>
      <c r="E53" s="84"/>
      <c r="F53" s="84"/>
      <c r="G53" s="84"/>
      <c r="H53" s="84"/>
      <c r="I53" s="84"/>
      <c r="J53" s="84"/>
      <c r="K53" s="84"/>
      <c r="L53" s="84"/>
      <c r="M53" s="84"/>
      <c r="N53" s="84"/>
      <c r="O53" s="145">
        <f t="shared" si="4"/>
        <v>10</v>
      </c>
    </row>
    <row r="54" spans="1:15" outlineLevel="1" x14ac:dyDescent="0.25">
      <c r="A54" s="151" t="s">
        <v>17</v>
      </c>
      <c r="B54" s="84"/>
      <c r="C54" s="84">
        <v>10</v>
      </c>
      <c r="D54" s="84"/>
      <c r="E54" s="84"/>
      <c r="F54" s="84"/>
      <c r="G54" s="84"/>
      <c r="H54" s="84"/>
      <c r="I54" s="84"/>
      <c r="J54" s="84"/>
      <c r="K54" s="84"/>
      <c r="L54" s="84"/>
      <c r="M54" s="84"/>
      <c r="N54" s="84"/>
      <c r="O54" s="145">
        <f t="shared" si="4"/>
        <v>10</v>
      </c>
    </row>
    <row r="55" spans="1:15" outlineLevel="1" x14ac:dyDescent="0.25">
      <c r="A55" s="151" t="s">
        <v>18</v>
      </c>
      <c r="B55" s="84"/>
      <c r="C55" s="84">
        <v>10</v>
      </c>
      <c r="D55" s="84"/>
      <c r="E55" s="84"/>
      <c r="F55" s="84"/>
      <c r="G55" s="84"/>
      <c r="H55" s="84"/>
      <c r="I55" s="84"/>
      <c r="J55" s="84"/>
      <c r="K55" s="84"/>
      <c r="L55" s="84"/>
      <c r="M55" s="84"/>
      <c r="N55" s="84"/>
      <c r="O55" s="145">
        <f t="shared" si="4"/>
        <v>10</v>
      </c>
    </row>
    <row r="56" spans="1:15" outlineLevel="1" x14ac:dyDescent="0.25">
      <c r="A56" s="151" t="s">
        <v>19</v>
      </c>
      <c r="B56" s="84"/>
      <c r="C56" s="84">
        <v>10</v>
      </c>
      <c r="D56" s="84"/>
      <c r="E56" s="84"/>
      <c r="F56" s="84"/>
      <c r="G56" s="84"/>
      <c r="H56" s="84"/>
      <c r="I56" s="84"/>
      <c r="J56" s="84"/>
      <c r="K56" s="84"/>
      <c r="L56" s="84"/>
      <c r="M56" s="84"/>
      <c r="N56" s="84"/>
      <c r="O56" s="145">
        <f t="shared" si="4"/>
        <v>10</v>
      </c>
    </row>
    <row r="57" spans="1:15" outlineLevel="1" x14ac:dyDescent="0.25">
      <c r="A57" s="151" t="s">
        <v>20</v>
      </c>
      <c r="B57" s="84"/>
      <c r="C57" s="84">
        <v>10</v>
      </c>
      <c r="D57" s="84"/>
      <c r="E57" s="84"/>
      <c r="F57" s="84"/>
      <c r="G57" s="84"/>
      <c r="H57" s="84"/>
      <c r="I57" s="84"/>
      <c r="J57" s="84"/>
      <c r="K57" s="84"/>
      <c r="L57" s="84"/>
      <c r="M57" s="84"/>
      <c r="N57" s="84"/>
      <c r="O57" s="145">
        <f t="shared" si="4"/>
        <v>10</v>
      </c>
    </row>
    <row r="58" spans="1:15" outlineLevel="1" x14ac:dyDescent="0.25">
      <c r="A58" s="151" t="s">
        <v>21</v>
      </c>
      <c r="B58" s="84"/>
      <c r="C58" s="84">
        <v>10</v>
      </c>
      <c r="D58" s="84"/>
      <c r="E58" s="84"/>
      <c r="F58" s="84"/>
      <c r="G58" s="84"/>
      <c r="H58" s="84"/>
      <c r="I58" s="84"/>
      <c r="J58" s="84"/>
      <c r="K58" s="84"/>
      <c r="L58" s="84"/>
      <c r="M58" s="84"/>
      <c r="N58" s="84"/>
      <c r="O58" s="145">
        <f t="shared" si="4"/>
        <v>10</v>
      </c>
    </row>
    <row r="59" spans="1:15" outlineLevel="1" x14ac:dyDescent="0.25">
      <c r="A59" s="151" t="s">
        <v>244</v>
      </c>
      <c r="B59" s="84"/>
      <c r="C59" s="84">
        <v>10</v>
      </c>
      <c r="D59" s="84"/>
      <c r="E59" s="84"/>
      <c r="F59" s="84"/>
      <c r="G59" s="84"/>
      <c r="H59" s="84"/>
      <c r="I59" s="84"/>
      <c r="J59" s="84"/>
      <c r="K59" s="84"/>
      <c r="L59" s="84"/>
      <c r="M59" s="84"/>
      <c r="N59" s="84"/>
      <c r="O59" s="145">
        <f t="shared" si="4"/>
        <v>10</v>
      </c>
    </row>
    <row r="60" spans="1:15" outlineLevel="1" x14ac:dyDescent="0.25">
      <c r="A60" s="151" t="s">
        <v>245</v>
      </c>
      <c r="B60" s="84"/>
      <c r="C60" s="84">
        <v>10</v>
      </c>
      <c r="D60" s="84"/>
      <c r="E60" s="84"/>
      <c r="F60" s="84"/>
      <c r="G60" s="84"/>
      <c r="H60" s="84"/>
      <c r="I60" s="84"/>
      <c r="J60" s="84"/>
      <c r="K60" s="84"/>
      <c r="L60" s="84"/>
      <c r="M60" s="84"/>
      <c r="N60" s="84"/>
      <c r="O60" s="145">
        <f t="shared" si="4"/>
        <v>10</v>
      </c>
    </row>
    <row r="61" spans="1:15" outlineLevel="1" x14ac:dyDescent="0.25">
      <c r="A61" s="151" t="s">
        <v>246</v>
      </c>
      <c r="B61" s="84"/>
      <c r="C61" s="84">
        <v>10</v>
      </c>
      <c r="D61" s="84"/>
      <c r="E61" s="84"/>
      <c r="F61" s="84"/>
      <c r="G61" s="84"/>
      <c r="H61" s="84"/>
      <c r="I61" s="84"/>
      <c r="J61" s="84"/>
      <c r="K61" s="84"/>
      <c r="L61" s="84"/>
      <c r="M61" s="84"/>
      <c r="N61" s="84"/>
      <c r="O61" s="145">
        <f t="shared" si="4"/>
        <v>10</v>
      </c>
    </row>
    <row r="62" spans="1:15" outlineLevel="1" x14ac:dyDescent="0.25">
      <c r="A62" s="151" t="s">
        <v>247</v>
      </c>
      <c r="B62" s="84"/>
      <c r="C62" s="84">
        <v>10</v>
      </c>
      <c r="D62" s="84"/>
      <c r="E62" s="84"/>
      <c r="F62" s="84"/>
      <c r="G62" s="84"/>
      <c r="H62" s="84"/>
      <c r="I62" s="84"/>
      <c r="J62" s="84"/>
      <c r="K62" s="84"/>
      <c r="L62" s="84"/>
      <c r="M62" s="84"/>
      <c r="N62" s="84"/>
      <c r="O62" s="145">
        <f t="shared" si="4"/>
        <v>10</v>
      </c>
    </row>
    <row r="63" spans="1:15" outlineLevel="1" x14ac:dyDescent="0.25">
      <c r="A63" s="151" t="s">
        <v>248</v>
      </c>
      <c r="B63" s="84"/>
      <c r="C63" s="84">
        <v>10</v>
      </c>
      <c r="D63" s="84"/>
      <c r="E63" s="84"/>
      <c r="F63" s="84"/>
      <c r="G63" s="84"/>
      <c r="H63" s="84"/>
      <c r="I63" s="84"/>
      <c r="J63" s="84"/>
      <c r="K63" s="84"/>
      <c r="L63" s="84"/>
      <c r="M63" s="84"/>
      <c r="N63" s="84"/>
      <c r="O63" s="145">
        <f t="shared" si="4"/>
        <v>10</v>
      </c>
    </row>
    <row r="64" spans="1:15" outlineLevel="1" x14ac:dyDescent="0.25">
      <c r="A64" s="151" t="s">
        <v>249</v>
      </c>
      <c r="B64" s="84"/>
      <c r="C64" s="84">
        <v>10</v>
      </c>
      <c r="D64" s="84"/>
      <c r="E64" s="84"/>
      <c r="F64" s="84"/>
      <c r="G64" s="84"/>
      <c r="H64" s="84"/>
      <c r="I64" s="84"/>
      <c r="J64" s="84"/>
      <c r="K64" s="84"/>
      <c r="L64" s="84"/>
      <c r="M64" s="84"/>
      <c r="N64" s="84"/>
      <c r="O64" s="145">
        <f t="shared" si="4"/>
        <v>10</v>
      </c>
    </row>
    <row r="65" spans="1:15" outlineLevel="1" x14ac:dyDescent="0.25">
      <c r="A65" s="151" t="s">
        <v>250</v>
      </c>
      <c r="B65" s="84"/>
      <c r="C65" s="84">
        <v>10</v>
      </c>
      <c r="D65" s="84"/>
      <c r="E65" s="84"/>
      <c r="F65" s="84"/>
      <c r="G65" s="84"/>
      <c r="H65" s="84"/>
      <c r="I65" s="84"/>
      <c r="J65" s="84"/>
      <c r="K65" s="84"/>
      <c r="L65" s="84"/>
      <c r="M65" s="84"/>
      <c r="N65" s="84"/>
      <c r="O65" s="145">
        <f t="shared" si="4"/>
        <v>10</v>
      </c>
    </row>
    <row r="66" spans="1:15" outlineLevel="1" x14ac:dyDescent="0.25">
      <c r="A66" s="151" t="s">
        <v>251</v>
      </c>
      <c r="B66" s="84"/>
      <c r="C66" s="84">
        <v>10</v>
      </c>
      <c r="D66" s="84"/>
      <c r="E66" s="84"/>
      <c r="F66" s="84"/>
      <c r="G66" s="84"/>
      <c r="H66" s="84"/>
      <c r="I66" s="84"/>
      <c r="J66" s="84"/>
      <c r="K66" s="84"/>
      <c r="L66" s="84"/>
      <c r="M66" s="84"/>
      <c r="N66" s="84"/>
      <c r="O66" s="145">
        <f t="shared" si="4"/>
        <v>10</v>
      </c>
    </row>
    <row r="67" spans="1:15" outlineLevel="1" x14ac:dyDescent="0.25">
      <c r="A67" s="151" t="s">
        <v>252</v>
      </c>
      <c r="B67" s="84"/>
      <c r="C67" s="84">
        <v>10</v>
      </c>
      <c r="D67" s="84"/>
      <c r="E67" s="84"/>
      <c r="F67" s="84"/>
      <c r="G67" s="84"/>
      <c r="H67" s="84"/>
      <c r="I67" s="84"/>
      <c r="J67" s="84"/>
      <c r="K67" s="84"/>
      <c r="L67" s="84"/>
      <c r="M67" s="84"/>
      <c r="N67" s="84"/>
      <c r="O67" s="145">
        <f t="shared" si="4"/>
        <v>10</v>
      </c>
    </row>
    <row r="68" spans="1:15" outlineLevel="1" x14ac:dyDescent="0.25">
      <c r="A68" s="151" t="s">
        <v>253</v>
      </c>
      <c r="B68" s="84"/>
      <c r="C68" s="84">
        <v>10</v>
      </c>
      <c r="D68" s="84"/>
      <c r="E68" s="84"/>
      <c r="F68" s="84"/>
      <c r="G68" s="84"/>
      <c r="H68" s="84"/>
      <c r="I68" s="84"/>
      <c r="J68" s="84"/>
      <c r="K68" s="84"/>
      <c r="L68" s="84"/>
      <c r="M68" s="84"/>
      <c r="N68" s="84"/>
      <c r="O68" s="145">
        <f t="shared" si="4"/>
        <v>10</v>
      </c>
    </row>
    <row r="69" spans="1:15" outlineLevel="1" x14ac:dyDescent="0.25">
      <c r="A69" s="151" t="s">
        <v>254</v>
      </c>
      <c r="B69" s="84"/>
      <c r="C69" s="84">
        <v>10</v>
      </c>
      <c r="D69" s="84"/>
      <c r="E69" s="84"/>
      <c r="F69" s="84"/>
      <c r="G69" s="84"/>
      <c r="H69" s="84"/>
      <c r="I69" s="84"/>
      <c r="J69" s="84"/>
      <c r="K69" s="84"/>
      <c r="L69" s="84"/>
      <c r="M69" s="84"/>
      <c r="N69" s="84"/>
      <c r="O69" s="145">
        <f t="shared" si="4"/>
        <v>10</v>
      </c>
    </row>
    <row r="70" spans="1:15" outlineLevel="1" x14ac:dyDescent="0.25">
      <c r="A70" s="151" t="s">
        <v>255</v>
      </c>
      <c r="B70" s="84"/>
      <c r="C70" s="84">
        <v>10</v>
      </c>
      <c r="D70" s="84"/>
      <c r="E70" s="84"/>
      <c r="F70" s="84"/>
      <c r="G70" s="84"/>
      <c r="H70" s="84"/>
      <c r="I70" s="84"/>
      <c r="J70" s="84"/>
      <c r="K70" s="84"/>
      <c r="L70" s="84"/>
      <c r="M70" s="84"/>
      <c r="N70" s="84"/>
      <c r="O70" s="145">
        <f t="shared" si="4"/>
        <v>10</v>
      </c>
    </row>
    <row r="71" spans="1:15" outlineLevel="1" x14ac:dyDescent="0.25">
      <c r="A71" s="151" t="s">
        <v>256</v>
      </c>
      <c r="B71" s="84"/>
      <c r="C71" s="84">
        <v>10</v>
      </c>
      <c r="D71" s="84"/>
      <c r="E71" s="84"/>
      <c r="F71" s="84"/>
      <c r="G71" s="84"/>
      <c r="H71" s="84"/>
      <c r="I71" s="84"/>
      <c r="J71" s="84"/>
      <c r="K71" s="84"/>
      <c r="L71" s="84"/>
      <c r="M71" s="84"/>
      <c r="N71" s="84"/>
      <c r="O71" s="145">
        <f t="shared" si="4"/>
        <v>10</v>
      </c>
    </row>
    <row r="72" spans="1:15" outlineLevel="1" x14ac:dyDescent="0.25">
      <c r="A72" s="151" t="s">
        <v>257</v>
      </c>
      <c r="B72" s="84"/>
      <c r="C72" s="84">
        <v>10</v>
      </c>
      <c r="D72" s="84"/>
      <c r="E72" s="84"/>
      <c r="F72" s="84"/>
      <c r="G72" s="84"/>
      <c r="H72" s="84"/>
      <c r="I72" s="84"/>
      <c r="J72" s="84"/>
      <c r="K72" s="84"/>
      <c r="L72" s="84"/>
      <c r="M72" s="84"/>
      <c r="N72" s="84"/>
      <c r="O72" s="145">
        <f t="shared" si="4"/>
        <v>10</v>
      </c>
    </row>
    <row r="73" spans="1:15" outlineLevel="1" x14ac:dyDescent="0.25">
      <c r="A73" s="151" t="s">
        <v>258</v>
      </c>
      <c r="B73" s="84"/>
      <c r="C73" s="84">
        <v>10</v>
      </c>
      <c r="D73" s="84"/>
      <c r="E73" s="84"/>
      <c r="F73" s="84"/>
      <c r="G73" s="84"/>
      <c r="H73" s="84"/>
      <c r="I73" s="84"/>
      <c r="J73" s="84"/>
      <c r="K73" s="84"/>
      <c r="L73" s="84"/>
      <c r="M73" s="84"/>
      <c r="N73" s="84"/>
      <c r="O73" s="145">
        <f t="shared" si="4"/>
        <v>10</v>
      </c>
    </row>
    <row r="74" spans="1:15" outlineLevel="1" x14ac:dyDescent="0.25">
      <c r="A74" s="151" t="s">
        <v>259</v>
      </c>
      <c r="B74" s="84"/>
      <c r="C74" s="84">
        <v>10</v>
      </c>
      <c r="D74" s="84"/>
      <c r="E74" s="84"/>
      <c r="F74" s="84"/>
      <c r="G74" s="84"/>
      <c r="H74" s="84"/>
      <c r="I74" s="84"/>
      <c r="J74" s="84"/>
      <c r="K74" s="84"/>
      <c r="L74" s="84"/>
      <c r="M74" s="84"/>
      <c r="N74" s="84"/>
      <c r="O74" s="145">
        <f t="shared" si="4"/>
        <v>10</v>
      </c>
    </row>
    <row r="75" spans="1:15" outlineLevel="1" x14ac:dyDescent="0.25">
      <c r="A75" s="151" t="s">
        <v>260</v>
      </c>
      <c r="B75" s="84"/>
      <c r="C75" s="84">
        <v>10</v>
      </c>
      <c r="D75" s="84"/>
      <c r="E75" s="84"/>
      <c r="F75" s="84"/>
      <c r="G75" s="84"/>
      <c r="H75" s="84"/>
      <c r="I75" s="84"/>
      <c r="J75" s="84"/>
      <c r="K75" s="84"/>
      <c r="L75" s="84"/>
      <c r="M75" s="84"/>
      <c r="N75" s="84"/>
      <c r="O75" s="145">
        <f t="shared" si="4"/>
        <v>10</v>
      </c>
    </row>
    <row r="76" spans="1:15" outlineLevel="1" x14ac:dyDescent="0.25">
      <c r="A76" s="151" t="s">
        <v>261</v>
      </c>
      <c r="B76" s="84"/>
      <c r="C76" s="84">
        <v>10</v>
      </c>
      <c r="D76" s="84"/>
      <c r="E76" s="84"/>
      <c r="F76" s="84"/>
      <c r="G76" s="84"/>
      <c r="H76" s="84"/>
      <c r="I76" s="84"/>
      <c r="J76" s="84"/>
      <c r="K76" s="84"/>
      <c r="L76" s="84"/>
      <c r="M76" s="84"/>
      <c r="N76" s="84"/>
      <c r="O76" s="145">
        <f t="shared" si="4"/>
        <v>10</v>
      </c>
    </row>
    <row r="77" spans="1:15" outlineLevel="1" x14ac:dyDescent="0.25">
      <c r="A77" s="151" t="s">
        <v>262</v>
      </c>
      <c r="B77" s="84"/>
      <c r="C77" s="84">
        <v>10</v>
      </c>
      <c r="D77" s="84"/>
      <c r="E77" s="84"/>
      <c r="F77" s="84"/>
      <c r="G77" s="84"/>
      <c r="H77" s="84"/>
      <c r="I77" s="84"/>
      <c r="J77" s="84"/>
      <c r="K77" s="84"/>
      <c r="L77" s="84"/>
      <c r="M77" s="84"/>
      <c r="N77" s="84"/>
      <c r="O77" s="145">
        <f t="shared" si="4"/>
        <v>10</v>
      </c>
    </row>
    <row r="78" spans="1:15" outlineLevel="1" x14ac:dyDescent="0.25">
      <c r="A78" s="151" t="s">
        <v>263</v>
      </c>
      <c r="B78" s="84"/>
      <c r="C78" s="84">
        <v>10</v>
      </c>
      <c r="D78" s="84"/>
      <c r="E78" s="84"/>
      <c r="F78" s="84"/>
      <c r="G78" s="84"/>
      <c r="H78" s="84"/>
      <c r="I78" s="84"/>
      <c r="J78" s="84"/>
      <c r="K78" s="84"/>
      <c r="L78" s="84"/>
      <c r="M78" s="84"/>
      <c r="N78" s="84"/>
      <c r="O78" s="145">
        <f t="shared" si="4"/>
        <v>10</v>
      </c>
    </row>
    <row r="79" spans="1:15" outlineLevel="1" x14ac:dyDescent="0.25">
      <c r="A79" s="151" t="s">
        <v>264</v>
      </c>
      <c r="B79" s="84"/>
      <c r="C79" s="84">
        <v>10</v>
      </c>
      <c r="D79" s="84"/>
      <c r="E79" s="84"/>
      <c r="F79" s="84"/>
      <c r="G79" s="84"/>
      <c r="H79" s="84"/>
      <c r="I79" s="84"/>
      <c r="J79" s="84"/>
      <c r="K79" s="84"/>
      <c r="L79" s="84"/>
      <c r="M79" s="84"/>
      <c r="N79" s="84"/>
      <c r="O79" s="145">
        <f t="shared" si="4"/>
        <v>10</v>
      </c>
    </row>
    <row r="80" spans="1:15" outlineLevel="1" x14ac:dyDescent="0.25">
      <c r="A80" s="151" t="s">
        <v>265</v>
      </c>
      <c r="B80" s="84"/>
      <c r="C80" s="84">
        <v>10</v>
      </c>
      <c r="D80" s="84"/>
      <c r="E80" s="84"/>
      <c r="F80" s="84"/>
      <c r="G80" s="84"/>
      <c r="H80" s="84"/>
      <c r="I80" s="84"/>
      <c r="J80" s="84"/>
      <c r="K80" s="84"/>
      <c r="L80" s="84"/>
      <c r="M80" s="84"/>
      <c r="N80" s="84"/>
      <c r="O80" s="145">
        <f t="shared" si="4"/>
        <v>10</v>
      </c>
    </row>
    <row r="81" spans="1:15" outlineLevel="1" x14ac:dyDescent="0.25">
      <c r="A81" s="151" t="s">
        <v>266</v>
      </c>
      <c r="B81" s="84"/>
      <c r="C81" s="84">
        <v>10</v>
      </c>
      <c r="D81" s="84"/>
      <c r="E81" s="84"/>
      <c r="F81" s="84"/>
      <c r="G81" s="84"/>
      <c r="H81" s="84"/>
      <c r="I81" s="84"/>
      <c r="J81" s="84"/>
      <c r="K81" s="84"/>
      <c r="L81" s="84"/>
      <c r="M81" s="84"/>
      <c r="N81" s="84"/>
      <c r="O81" s="145">
        <f t="shared" si="4"/>
        <v>10</v>
      </c>
    </row>
    <row r="82" spans="1:15" outlineLevel="1" x14ac:dyDescent="0.25">
      <c r="A82" s="151" t="s">
        <v>267</v>
      </c>
      <c r="B82" s="84"/>
      <c r="C82" s="84">
        <v>10</v>
      </c>
      <c r="D82" s="84"/>
      <c r="E82" s="84"/>
      <c r="F82" s="84"/>
      <c r="G82" s="84"/>
      <c r="H82" s="84"/>
      <c r="I82" s="84"/>
      <c r="J82" s="84"/>
      <c r="K82" s="84"/>
      <c r="L82" s="84"/>
      <c r="M82" s="84"/>
      <c r="N82" s="84"/>
      <c r="O82" s="145">
        <f t="shared" si="4"/>
        <v>10</v>
      </c>
    </row>
    <row r="83" spans="1:15" outlineLevel="1" x14ac:dyDescent="0.25">
      <c r="A83" s="151" t="s">
        <v>268</v>
      </c>
      <c r="B83" s="84"/>
      <c r="C83" s="84">
        <v>10</v>
      </c>
      <c r="D83" s="84"/>
      <c r="E83" s="84"/>
      <c r="F83" s="84"/>
      <c r="G83" s="84"/>
      <c r="H83" s="84"/>
      <c r="I83" s="84"/>
      <c r="J83" s="84"/>
      <c r="K83" s="84"/>
      <c r="L83" s="84"/>
      <c r="M83" s="84"/>
      <c r="N83" s="84"/>
      <c r="O83" s="145">
        <f t="shared" si="4"/>
        <v>10</v>
      </c>
    </row>
    <row r="84" spans="1:15" outlineLevel="1" x14ac:dyDescent="0.25">
      <c r="A84" s="151" t="s">
        <v>269</v>
      </c>
      <c r="B84" s="84"/>
      <c r="C84" s="84">
        <v>10</v>
      </c>
      <c r="D84" s="84"/>
      <c r="E84" s="84"/>
      <c r="F84" s="84"/>
      <c r="G84" s="84"/>
      <c r="H84" s="84"/>
      <c r="I84" s="84"/>
      <c r="J84" s="84"/>
      <c r="K84" s="84"/>
      <c r="L84" s="84"/>
      <c r="M84" s="84"/>
      <c r="N84" s="84"/>
      <c r="O84" s="145">
        <f t="shared" si="4"/>
        <v>10</v>
      </c>
    </row>
    <row r="85" spans="1:15" outlineLevel="1" x14ac:dyDescent="0.25">
      <c r="A85" s="151" t="s">
        <v>270</v>
      </c>
      <c r="B85" s="84"/>
      <c r="C85" s="84">
        <v>10</v>
      </c>
      <c r="D85" s="84"/>
      <c r="E85" s="84"/>
      <c r="F85" s="84"/>
      <c r="G85" s="84"/>
      <c r="H85" s="84"/>
      <c r="I85" s="84"/>
      <c r="J85" s="84"/>
      <c r="K85" s="84"/>
      <c r="L85" s="84"/>
      <c r="M85" s="84"/>
      <c r="N85" s="84"/>
      <c r="O85" s="145">
        <f t="shared" si="4"/>
        <v>10</v>
      </c>
    </row>
    <row r="86" spans="1:15" outlineLevel="1" x14ac:dyDescent="0.25">
      <c r="A86" s="151" t="s">
        <v>271</v>
      </c>
      <c r="B86" s="84"/>
      <c r="C86" s="84">
        <v>10</v>
      </c>
      <c r="D86" s="84"/>
      <c r="E86" s="84"/>
      <c r="F86" s="84"/>
      <c r="G86" s="84"/>
      <c r="H86" s="84"/>
      <c r="I86" s="84"/>
      <c r="J86" s="84"/>
      <c r="K86" s="84"/>
      <c r="L86" s="84"/>
      <c r="M86" s="84"/>
      <c r="N86" s="84"/>
      <c r="O86" s="145">
        <f t="shared" si="4"/>
        <v>10</v>
      </c>
    </row>
    <row r="87" spans="1:15" outlineLevel="1" x14ac:dyDescent="0.25">
      <c r="A87" s="151" t="s">
        <v>272</v>
      </c>
      <c r="B87" s="84"/>
      <c r="C87" s="84">
        <v>10</v>
      </c>
      <c r="D87" s="84"/>
      <c r="E87" s="84"/>
      <c r="F87" s="84"/>
      <c r="G87" s="84"/>
      <c r="H87" s="84"/>
      <c r="I87" s="84"/>
      <c r="J87" s="84"/>
      <c r="K87" s="84"/>
      <c r="L87" s="84"/>
      <c r="M87" s="84"/>
      <c r="N87" s="84"/>
      <c r="O87" s="145">
        <f t="shared" si="4"/>
        <v>10</v>
      </c>
    </row>
    <row r="88" spans="1:15" outlineLevel="1" x14ac:dyDescent="0.25">
      <c r="A88" s="151" t="s">
        <v>273</v>
      </c>
      <c r="B88" s="84"/>
      <c r="C88" s="84">
        <v>10</v>
      </c>
      <c r="D88" s="84"/>
      <c r="E88" s="84"/>
      <c r="F88" s="84"/>
      <c r="G88" s="84"/>
      <c r="H88" s="84"/>
      <c r="I88" s="84"/>
      <c r="J88" s="84"/>
      <c r="K88" s="84"/>
      <c r="L88" s="84"/>
      <c r="M88" s="84"/>
      <c r="N88" s="84"/>
      <c r="O88" s="145">
        <f t="shared" si="4"/>
        <v>10</v>
      </c>
    </row>
    <row r="89" spans="1:15" outlineLevel="1" x14ac:dyDescent="0.25">
      <c r="A89" s="151" t="s">
        <v>274</v>
      </c>
      <c r="B89" s="84"/>
      <c r="C89" s="84">
        <v>10</v>
      </c>
      <c r="D89" s="84"/>
      <c r="E89" s="84"/>
      <c r="F89" s="84"/>
      <c r="G89" s="84"/>
      <c r="H89" s="84"/>
      <c r="I89" s="84"/>
      <c r="J89" s="84"/>
      <c r="K89" s="84"/>
      <c r="L89" s="84"/>
      <c r="M89" s="84"/>
      <c r="N89" s="84"/>
      <c r="O89" s="145">
        <f t="shared" si="4"/>
        <v>10</v>
      </c>
    </row>
    <row r="90" spans="1:15" outlineLevel="1" x14ac:dyDescent="0.25">
      <c r="A90" s="151" t="s">
        <v>275</v>
      </c>
      <c r="B90" s="84"/>
      <c r="C90" s="84">
        <v>10</v>
      </c>
      <c r="D90" s="84"/>
      <c r="E90" s="84"/>
      <c r="F90" s="84"/>
      <c r="G90" s="84"/>
      <c r="H90" s="84"/>
      <c r="I90" s="84"/>
      <c r="J90" s="84"/>
      <c r="K90" s="84"/>
      <c r="L90" s="84"/>
      <c r="M90" s="84"/>
      <c r="N90" s="84"/>
      <c r="O90" s="145">
        <f t="shared" si="4"/>
        <v>10</v>
      </c>
    </row>
    <row r="91" spans="1:15" outlineLevel="1" x14ac:dyDescent="0.25">
      <c r="A91" s="151" t="s">
        <v>276</v>
      </c>
      <c r="B91" s="84"/>
      <c r="C91" s="84">
        <v>10</v>
      </c>
      <c r="D91" s="84"/>
      <c r="E91" s="84"/>
      <c r="F91" s="84"/>
      <c r="G91" s="84"/>
      <c r="H91" s="84"/>
      <c r="I91" s="84"/>
      <c r="J91" s="84"/>
      <c r="K91" s="84"/>
      <c r="L91" s="84"/>
      <c r="M91" s="84"/>
      <c r="N91" s="84"/>
      <c r="O91" s="145">
        <f t="shared" si="4"/>
        <v>10</v>
      </c>
    </row>
    <row r="92" spans="1:15" outlineLevel="1" x14ac:dyDescent="0.25">
      <c r="A92" s="151" t="s">
        <v>277</v>
      </c>
      <c r="B92" s="84"/>
      <c r="C92" s="84">
        <v>10</v>
      </c>
      <c r="D92" s="84"/>
      <c r="E92" s="84"/>
      <c r="F92" s="84"/>
      <c r="G92" s="84"/>
      <c r="H92" s="84"/>
      <c r="I92" s="84"/>
      <c r="J92" s="84"/>
      <c r="K92" s="84"/>
      <c r="L92" s="84"/>
      <c r="M92" s="84"/>
      <c r="N92" s="84"/>
      <c r="O92" s="145">
        <f t="shared" si="4"/>
        <v>10</v>
      </c>
    </row>
    <row r="93" spans="1:15" outlineLevel="1" x14ac:dyDescent="0.25">
      <c r="A93" s="151"/>
      <c r="B93" s="84"/>
      <c r="C93" s="84">
        <v>0</v>
      </c>
      <c r="D93" s="84"/>
      <c r="E93" s="84"/>
      <c r="F93" s="84"/>
      <c r="G93" s="84"/>
      <c r="H93" s="84"/>
      <c r="I93" s="84"/>
      <c r="J93" s="84"/>
      <c r="K93" s="84"/>
      <c r="L93" s="84"/>
      <c r="M93" s="84"/>
      <c r="N93" s="84"/>
      <c r="O93" s="145">
        <f t="shared" si="4"/>
        <v>0</v>
      </c>
    </row>
    <row r="94" spans="1:15" outlineLevel="1" x14ac:dyDescent="0.25">
      <c r="A94" s="151"/>
      <c r="B94" s="84"/>
      <c r="C94" s="84"/>
      <c r="D94" s="84"/>
      <c r="E94" s="84"/>
      <c r="F94" s="84"/>
      <c r="G94" s="84"/>
      <c r="H94" s="84"/>
      <c r="I94" s="84"/>
      <c r="J94" s="84"/>
      <c r="K94" s="84"/>
      <c r="L94" s="84"/>
      <c r="M94" s="84"/>
      <c r="N94" s="84"/>
      <c r="O94" s="145">
        <f t="shared" si="4"/>
        <v>0</v>
      </c>
    </row>
    <row r="95" spans="1:15" s="140" customFormat="1" ht="15.75" x14ac:dyDescent="0.25">
      <c r="A95" s="157" t="s">
        <v>62</v>
      </c>
      <c r="B95" s="139">
        <f t="shared" ref="B95:N95" si="18">SUM(B96:B138)</f>
        <v>0</v>
      </c>
      <c r="C95" s="139">
        <v>410</v>
      </c>
      <c r="D95" s="139"/>
      <c r="E95" s="139"/>
      <c r="F95" s="139"/>
      <c r="G95" s="139"/>
      <c r="H95" s="139">
        <f t="shared" si="18"/>
        <v>0</v>
      </c>
      <c r="I95" s="139">
        <f t="shared" si="18"/>
        <v>0</v>
      </c>
      <c r="J95" s="139">
        <f t="shared" si="18"/>
        <v>0</v>
      </c>
      <c r="K95" s="139">
        <f t="shared" si="18"/>
        <v>0</v>
      </c>
      <c r="L95" s="139">
        <f t="shared" si="18"/>
        <v>0</v>
      </c>
      <c r="M95" s="139">
        <f t="shared" si="18"/>
        <v>0</v>
      </c>
      <c r="N95" s="139">
        <f t="shared" si="18"/>
        <v>0</v>
      </c>
      <c r="O95" s="158">
        <f t="shared" ref="O95" si="19">SUM(O96:O138)</f>
        <v>410</v>
      </c>
    </row>
    <row r="96" spans="1:15" outlineLevel="1" x14ac:dyDescent="0.25">
      <c r="A96" s="151" t="s">
        <v>278</v>
      </c>
      <c r="B96" s="84"/>
      <c r="C96" s="84">
        <v>10</v>
      </c>
      <c r="D96" s="84"/>
      <c r="E96" s="84"/>
      <c r="F96" s="84"/>
      <c r="G96" s="84"/>
      <c r="H96" s="84"/>
      <c r="I96" s="84"/>
      <c r="J96" s="84"/>
      <c r="K96" s="84"/>
      <c r="L96" s="84"/>
      <c r="M96" s="84"/>
      <c r="N96" s="84"/>
      <c r="O96" s="145">
        <f t="shared" ref="O96:O203" si="20">+SUM(C96:N96)</f>
        <v>10</v>
      </c>
    </row>
    <row r="97" spans="1:15" outlineLevel="1" x14ac:dyDescent="0.25">
      <c r="A97" s="151" t="s">
        <v>279</v>
      </c>
      <c r="B97" s="84"/>
      <c r="C97" s="84">
        <v>10</v>
      </c>
      <c r="D97" s="84"/>
      <c r="E97" s="84"/>
      <c r="F97" s="84"/>
      <c r="G97" s="84"/>
      <c r="H97" s="84"/>
      <c r="I97" s="84"/>
      <c r="J97" s="84"/>
      <c r="K97" s="84"/>
      <c r="L97" s="84"/>
      <c r="M97" s="84"/>
      <c r="N97" s="84"/>
      <c r="O97" s="145">
        <f t="shared" si="20"/>
        <v>10</v>
      </c>
    </row>
    <row r="98" spans="1:15" outlineLevel="1" x14ac:dyDescent="0.25">
      <c r="A98" s="151" t="s">
        <v>280</v>
      </c>
      <c r="B98" s="84"/>
      <c r="C98" s="84">
        <v>10</v>
      </c>
      <c r="D98" s="84"/>
      <c r="E98" s="84"/>
      <c r="F98" s="84"/>
      <c r="G98" s="84"/>
      <c r="H98" s="84"/>
      <c r="I98" s="84"/>
      <c r="J98" s="84"/>
      <c r="K98" s="84"/>
      <c r="L98" s="84"/>
      <c r="M98" s="84"/>
      <c r="N98" s="84"/>
      <c r="O98" s="145">
        <f t="shared" si="20"/>
        <v>10</v>
      </c>
    </row>
    <row r="99" spans="1:15" outlineLevel="1" x14ac:dyDescent="0.25">
      <c r="A99" s="151" t="s">
        <v>281</v>
      </c>
      <c r="B99" s="84"/>
      <c r="C99" s="84">
        <v>10</v>
      </c>
      <c r="D99" s="84"/>
      <c r="E99" s="84"/>
      <c r="F99" s="84"/>
      <c r="G99" s="84"/>
      <c r="H99" s="84"/>
      <c r="I99" s="84"/>
      <c r="J99" s="84"/>
      <c r="K99" s="84"/>
      <c r="L99" s="84"/>
      <c r="M99" s="84"/>
      <c r="N99" s="84"/>
      <c r="O99" s="145">
        <f t="shared" si="20"/>
        <v>10</v>
      </c>
    </row>
    <row r="100" spans="1:15" outlineLevel="1" x14ac:dyDescent="0.25">
      <c r="A100" s="151" t="s">
        <v>282</v>
      </c>
      <c r="B100" s="84"/>
      <c r="C100" s="84">
        <v>10</v>
      </c>
      <c r="D100" s="84"/>
      <c r="E100" s="84"/>
      <c r="F100" s="84"/>
      <c r="G100" s="84"/>
      <c r="H100" s="84"/>
      <c r="I100" s="84"/>
      <c r="J100" s="84"/>
      <c r="K100" s="84"/>
      <c r="L100" s="84"/>
      <c r="M100" s="84"/>
      <c r="N100" s="84"/>
      <c r="O100" s="145">
        <f t="shared" si="20"/>
        <v>10</v>
      </c>
    </row>
    <row r="101" spans="1:15" outlineLevel="1" x14ac:dyDescent="0.25">
      <c r="A101" s="151" t="s">
        <v>283</v>
      </c>
      <c r="B101" s="84"/>
      <c r="C101" s="84">
        <v>10</v>
      </c>
      <c r="D101" s="84"/>
      <c r="E101" s="84"/>
      <c r="F101" s="84"/>
      <c r="G101" s="84"/>
      <c r="H101" s="84"/>
      <c r="I101" s="84"/>
      <c r="J101" s="84"/>
      <c r="K101" s="84"/>
      <c r="L101" s="84"/>
      <c r="M101" s="84"/>
      <c r="N101" s="84"/>
      <c r="O101" s="145">
        <f t="shared" si="20"/>
        <v>10</v>
      </c>
    </row>
    <row r="102" spans="1:15" outlineLevel="1" x14ac:dyDescent="0.25">
      <c r="A102" s="151" t="s">
        <v>284</v>
      </c>
      <c r="B102" s="84"/>
      <c r="C102" s="84">
        <v>10</v>
      </c>
      <c r="D102" s="84"/>
      <c r="E102" s="84"/>
      <c r="F102" s="84"/>
      <c r="G102" s="84"/>
      <c r="H102" s="84"/>
      <c r="I102" s="84"/>
      <c r="J102" s="84"/>
      <c r="K102" s="84"/>
      <c r="L102" s="84"/>
      <c r="M102" s="84"/>
      <c r="N102" s="84"/>
      <c r="O102" s="145">
        <f t="shared" si="20"/>
        <v>10</v>
      </c>
    </row>
    <row r="103" spans="1:15" outlineLevel="1" x14ac:dyDescent="0.25">
      <c r="A103" s="151" t="s">
        <v>285</v>
      </c>
      <c r="B103" s="84"/>
      <c r="C103" s="84">
        <v>10</v>
      </c>
      <c r="D103" s="84"/>
      <c r="E103" s="84"/>
      <c r="F103" s="84"/>
      <c r="G103" s="84"/>
      <c r="H103" s="84"/>
      <c r="I103" s="84"/>
      <c r="J103" s="84"/>
      <c r="K103" s="84"/>
      <c r="L103" s="84"/>
      <c r="M103" s="84"/>
      <c r="N103" s="84"/>
      <c r="O103" s="145">
        <f t="shared" si="20"/>
        <v>10</v>
      </c>
    </row>
    <row r="104" spans="1:15" outlineLevel="1" x14ac:dyDescent="0.25">
      <c r="A104" s="151" t="s">
        <v>286</v>
      </c>
      <c r="B104" s="84"/>
      <c r="C104" s="84">
        <v>10</v>
      </c>
      <c r="D104" s="84"/>
      <c r="E104" s="84"/>
      <c r="F104" s="84"/>
      <c r="G104" s="84"/>
      <c r="H104" s="84"/>
      <c r="I104" s="84"/>
      <c r="J104" s="84"/>
      <c r="K104" s="84"/>
      <c r="L104" s="84"/>
      <c r="M104" s="84"/>
      <c r="N104" s="84"/>
      <c r="O104" s="145">
        <f t="shared" si="20"/>
        <v>10</v>
      </c>
    </row>
    <row r="105" spans="1:15" outlineLevel="1" x14ac:dyDescent="0.25">
      <c r="A105" s="151" t="s">
        <v>287</v>
      </c>
      <c r="B105" s="84"/>
      <c r="C105" s="84">
        <v>10</v>
      </c>
      <c r="D105" s="84"/>
      <c r="E105" s="84"/>
      <c r="F105" s="84"/>
      <c r="G105" s="84"/>
      <c r="H105" s="84"/>
      <c r="I105" s="84"/>
      <c r="J105" s="84"/>
      <c r="K105" s="84"/>
      <c r="L105" s="84"/>
      <c r="M105" s="84"/>
      <c r="N105" s="84"/>
      <c r="O105" s="145">
        <f t="shared" si="20"/>
        <v>10</v>
      </c>
    </row>
    <row r="106" spans="1:15" outlineLevel="1" x14ac:dyDescent="0.25">
      <c r="A106" s="151" t="s">
        <v>288</v>
      </c>
      <c r="B106" s="84"/>
      <c r="C106" s="84">
        <v>10</v>
      </c>
      <c r="D106" s="84"/>
      <c r="E106" s="84"/>
      <c r="F106" s="84"/>
      <c r="G106" s="84"/>
      <c r="H106" s="84"/>
      <c r="I106" s="84"/>
      <c r="J106" s="84"/>
      <c r="K106" s="84"/>
      <c r="L106" s="84"/>
      <c r="M106" s="84"/>
      <c r="N106" s="84"/>
      <c r="O106" s="145">
        <f t="shared" si="20"/>
        <v>10</v>
      </c>
    </row>
    <row r="107" spans="1:15" outlineLevel="1" x14ac:dyDescent="0.25">
      <c r="A107" s="151" t="s">
        <v>289</v>
      </c>
      <c r="B107" s="84"/>
      <c r="C107" s="84">
        <v>10</v>
      </c>
      <c r="D107" s="84"/>
      <c r="E107" s="84"/>
      <c r="F107" s="84"/>
      <c r="G107" s="84"/>
      <c r="H107" s="84"/>
      <c r="I107" s="84"/>
      <c r="J107" s="84"/>
      <c r="K107" s="84"/>
      <c r="L107" s="84"/>
      <c r="M107" s="84"/>
      <c r="N107" s="84"/>
      <c r="O107" s="145">
        <f t="shared" si="20"/>
        <v>10</v>
      </c>
    </row>
    <row r="108" spans="1:15" outlineLevel="1" x14ac:dyDescent="0.25">
      <c r="A108" s="151" t="s">
        <v>290</v>
      </c>
      <c r="B108" s="84"/>
      <c r="C108" s="84">
        <v>10</v>
      </c>
      <c r="D108" s="84"/>
      <c r="E108" s="84"/>
      <c r="F108" s="84"/>
      <c r="G108" s="84"/>
      <c r="H108" s="84"/>
      <c r="I108" s="84"/>
      <c r="J108" s="84"/>
      <c r="K108" s="84"/>
      <c r="L108" s="84"/>
      <c r="M108" s="84"/>
      <c r="N108" s="84"/>
      <c r="O108" s="145">
        <f t="shared" si="20"/>
        <v>10</v>
      </c>
    </row>
    <row r="109" spans="1:15" outlineLevel="1" x14ac:dyDescent="0.25">
      <c r="A109" s="151" t="s">
        <v>291</v>
      </c>
      <c r="B109" s="84"/>
      <c r="C109" s="84">
        <v>10</v>
      </c>
      <c r="D109" s="84"/>
      <c r="E109" s="84"/>
      <c r="F109" s="84"/>
      <c r="G109" s="84"/>
      <c r="H109" s="84"/>
      <c r="I109" s="84"/>
      <c r="J109" s="84"/>
      <c r="K109" s="84"/>
      <c r="L109" s="84"/>
      <c r="M109" s="84"/>
      <c r="N109" s="84"/>
      <c r="O109" s="145">
        <f t="shared" si="20"/>
        <v>10</v>
      </c>
    </row>
    <row r="110" spans="1:15" outlineLevel="1" x14ac:dyDescent="0.25">
      <c r="A110" s="151" t="s">
        <v>292</v>
      </c>
      <c r="B110" s="84"/>
      <c r="C110" s="84">
        <v>10</v>
      </c>
      <c r="D110" s="84"/>
      <c r="E110" s="84"/>
      <c r="F110" s="84"/>
      <c r="G110" s="84"/>
      <c r="H110" s="84"/>
      <c r="I110" s="84"/>
      <c r="J110" s="84"/>
      <c r="K110" s="84"/>
      <c r="L110" s="84"/>
      <c r="M110" s="84"/>
      <c r="N110" s="84"/>
      <c r="O110" s="145">
        <f t="shared" si="20"/>
        <v>10</v>
      </c>
    </row>
    <row r="111" spans="1:15" outlineLevel="1" x14ac:dyDescent="0.25">
      <c r="A111" s="151" t="s">
        <v>293</v>
      </c>
      <c r="B111" s="84"/>
      <c r="C111" s="84">
        <v>10</v>
      </c>
      <c r="D111" s="84"/>
      <c r="E111" s="84"/>
      <c r="F111" s="84"/>
      <c r="G111" s="84"/>
      <c r="H111" s="84"/>
      <c r="I111" s="84"/>
      <c r="J111" s="84"/>
      <c r="K111" s="84"/>
      <c r="L111" s="84"/>
      <c r="M111" s="84"/>
      <c r="N111" s="84"/>
      <c r="O111" s="145">
        <f t="shared" si="20"/>
        <v>10</v>
      </c>
    </row>
    <row r="112" spans="1:15" outlineLevel="1" x14ac:dyDescent="0.25">
      <c r="A112" s="151" t="s">
        <v>294</v>
      </c>
      <c r="B112" s="84"/>
      <c r="C112" s="84">
        <v>10</v>
      </c>
      <c r="D112" s="84"/>
      <c r="E112" s="84"/>
      <c r="F112" s="84"/>
      <c r="G112" s="84"/>
      <c r="H112" s="84"/>
      <c r="I112" s="84"/>
      <c r="J112" s="84"/>
      <c r="K112" s="84"/>
      <c r="L112" s="84"/>
      <c r="M112" s="84"/>
      <c r="N112" s="84"/>
      <c r="O112" s="145">
        <f t="shared" si="20"/>
        <v>10</v>
      </c>
    </row>
    <row r="113" spans="1:15" outlineLevel="1" x14ac:dyDescent="0.25">
      <c r="A113" s="151" t="s">
        <v>295</v>
      </c>
      <c r="B113" s="84"/>
      <c r="C113" s="84">
        <v>10</v>
      </c>
      <c r="D113" s="84"/>
      <c r="E113" s="84"/>
      <c r="F113" s="84"/>
      <c r="G113" s="84"/>
      <c r="H113" s="84"/>
      <c r="I113" s="84"/>
      <c r="J113" s="84"/>
      <c r="K113" s="84"/>
      <c r="L113" s="84"/>
      <c r="M113" s="84"/>
      <c r="N113" s="84"/>
      <c r="O113" s="145">
        <f t="shared" si="20"/>
        <v>10</v>
      </c>
    </row>
    <row r="114" spans="1:15" outlineLevel="1" x14ac:dyDescent="0.25">
      <c r="A114" s="151" t="s">
        <v>296</v>
      </c>
      <c r="B114" s="84"/>
      <c r="C114" s="84">
        <v>10</v>
      </c>
      <c r="D114" s="84"/>
      <c r="E114" s="84"/>
      <c r="F114" s="84"/>
      <c r="G114" s="84"/>
      <c r="H114" s="84"/>
      <c r="I114" s="84"/>
      <c r="J114" s="84"/>
      <c r="K114" s="84"/>
      <c r="L114" s="84"/>
      <c r="M114" s="84"/>
      <c r="N114" s="84"/>
      <c r="O114" s="145">
        <f t="shared" si="20"/>
        <v>10</v>
      </c>
    </row>
    <row r="115" spans="1:15" outlineLevel="1" x14ac:dyDescent="0.25">
      <c r="A115" s="151" t="s">
        <v>297</v>
      </c>
      <c r="B115" s="84"/>
      <c r="C115" s="84">
        <v>10</v>
      </c>
      <c r="D115" s="84"/>
      <c r="E115" s="84"/>
      <c r="F115" s="84"/>
      <c r="G115" s="84"/>
      <c r="H115" s="84"/>
      <c r="I115" s="84"/>
      <c r="J115" s="84"/>
      <c r="K115" s="84"/>
      <c r="L115" s="84"/>
      <c r="M115" s="84"/>
      <c r="N115" s="84"/>
      <c r="O115" s="145">
        <f t="shared" si="20"/>
        <v>10</v>
      </c>
    </row>
    <row r="116" spans="1:15" outlineLevel="1" x14ac:dyDescent="0.25">
      <c r="A116" s="151" t="s">
        <v>298</v>
      </c>
      <c r="B116" s="84"/>
      <c r="C116" s="84">
        <v>10</v>
      </c>
      <c r="D116" s="84"/>
      <c r="E116" s="84"/>
      <c r="F116" s="84"/>
      <c r="G116" s="84"/>
      <c r="H116" s="84"/>
      <c r="I116" s="84"/>
      <c r="J116" s="84"/>
      <c r="K116" s="84"/>
      <c r="L116" s="84"/>
      <c r="M116" s="84"/>
      <c r="N116" s="84"/>
      <c r="O116" s="145">
        <f t="shared" si="20"/>
        <v>10</v>
      </c>
    </row>
    <row r="117" spans="1:15" outlineLevel="1" x14ac:dyDescent="0.25">
      <c r="A117" s="151" t="s">
        <v>299</v>
      </c>
      <c r="B117" s="84"/>
      <c r="C117" s="84">
        <v>10</v>
      </c>
      <c r="D117" s="84"/>
      <c r="E117" s="84"/>
      <c r="F117" s="84"/>
      <c r="G117" s="84"/>
      <c r="H117" s="84"/>
      <c r="I117" s="84"/>
      <c r="J117" s="84"/>
      <c r="K117" s="84"/>
      <c r="L117" s="84"/>
      <c r="M117" s="84"/>
      <c r="N117" s="84"/>
      <c r="O117" s="145">
        <f t="shared" si="20"/>
        <v>10</v>
      </c>
    </row>
    <row r="118" spans="1:15" outlineLevel="1" x14ac:dyDescent="0.25">
      <c r="A118" s="151" t="s">
        <v>300</v>
      </c>
      <c r="B118" s="84"/>
      <c r="C118" s="84">
        <v>10</v>
      </c>
      <c r="D118" s="84"/>
      <c r="E118" s="84"/>
      <c r="F118" s="84"/>
      <c r="G118" s="84"/>
      <c r="H118" s="84"/>
      <c r="I118" s="84"/>
      <c r="J118" s="84"/>
      <c r="K118" s="84"/>
      <c r="L118" s="84"/>
      <c r="M118" s="84"/>
      <c r="N118" s="84"/>
      <c r="O118" s="145">
        <f t="shared" si="20"/>
        <v>10</v>
      </c>
    </row>
    <row r="119" spans="1:15" outlineLevel="1" x14ac:dyDescent="0.25">
      <c r="A119" s="151" t="s">
        <v>301</v>
      </c>
      <c r="B119" s="84"/>
      <c r="C119" s="84">
        <v>10</v>
      </c>
      <c r="D119" s="84"/>
      <c r="E119" s="84"/>
      <c r="F119" s="84"/>
      <c r="G119" s="84"/>
      <c r="H119" s="84"/>
      <c r="I119" s="84"/>
      <c r="J119" s="84"/>
      <c r="K119" s="84"/>
      <c r="L119" s="84"/>
      <c r="M119" s="84"/>
      <c r="N119" s="84"/>
      <c r="O119" s="145">
        <f t="shared" si="20"/>
        <v>10</v>
      </c>
    </row>
    <row r="120" spans="1:15" outlineLevel="1" x14ac:dyDescent="0.25">
      <c r="A120" s="151" t="s">
        <v>302</v>
      </c>
      <c r="B120" s="84"/>
      <c r="C120" s="84">
        <v>10</v>
      </c>
      <c r="D120" s="84"/>
      <c r="E120" s="84"/>
      <c r="F120" s="84"/>
      <c r="G120" s="84"/>
      <c r="H120" s="84"/>
      <c r="I120" s="84"/>
      <c r="J120" s="84"/>
      <c r="K120" s="84"/>
      <c r="L120" s="84"/>
      <c r="M120" s="84"/>
      <c r="N120" s="84"/>
      <c r="O120" s="145">
        <f t="shared" si="20"/>
        <v>10</v>
      </c>
    </row>
    <row r="121" spans="1:15" outlineLevel="1" x14ac:dyDescent="0.25">
      <c r="A121" s="151" t="s">
        <v>303</v>
      </c>
      <c r="B121" s="84"/>
      <c r="C121" s="84">
        <v>10</v>
      </c>
      <c r="D121" s="84"/>
      <c r="E121" s="84"/>
      <c r="F121" s="84"/>
      <c r="G121" s="84"/>
      <c r="H121" s="84"/>
      <c r="I121" s="84"/>
      <c r="J121" s="84"/>
      <c r="K121" s="84"/>
      <c r="L121" s="84"/>
      <c r="M121" s="84"/>
      <c r="N121" s="84"/>
      <c r="O121" s="145">
        <f t="shared" si="20"/>
        <v>10</v>
      </c>
    </row>
    <row r="122" spans="1:15" outlineLevel="1" x14ac:dyDescent="0.25">
      <c r="A122" s="151" t="s">
        <v>304</v>
      </c>
      <c r="B122" s="84"/>
      <c r="C122" s="84">
        <v>10</v>
      </c>
      <c r="D122" s="84"/>
      <c r="E122" s="84"/>
      <c r="F122" s="84"/>
      <c r="G122" s="84"/>
      <c r="H122" s="84"/>
      <c r="I122" s="84"/>
      <c r="J122" s="84"/>
      <c r="K122" s="84"/>
      <c r="L122" s="84"/>
      <c r="M122" s="84"/>
      <c r="N122" s="84"/>
      <c r="O122" s="145">
        <f t="shared" si="20"/>
        <v>10</v>
      </c>
    </row>
    <row r="123" spans="1:15" outlineLevel="1" x14ac:dyDescent="0.25">
      <c r="A123" s="151" t="s">
        <v>305</v>
      </c>
      <c r="B123" s="84"/>
      <c r="C123" s="84">
        <v>10</v>
      </c>
      <c r="D123" s="84"/>
      <c r="E123" s="84"/>
      <c r="F123" s="84"/>
      <c r="G123" s="84"/>
      <c r="H123" s="84"/>
      <c r="I123" s="84"/>
      <c r="J123" s="84"/>
      <c r="K123" s="84"/>
      <c r="L123" s="84"/>
      <c r="M123" s="84"/>
      <c r="N123" s="84"/>
      <c r="O123" s="145">
        <f t="shared" si="20"/>
        <v>10</v>
      </c>
    </row>
    <row r="124" spans="1:15" outlineLevel="1" x14ac:dyDescent="0.25">
      <c r="A124" s="151" t="s">
        <v>306</v>
      </c>
      <c r="B124" s="84"/>
      <c r="C124" s="84">
        <v>10</v>
      </c>
      <c r="D124" s="84"/>
      <c r="E124" s="84"/>
      <c r="F124" s="84"/>
      <c r="G124" s="84"/>
      <c r="H124" s="84"/>
      <c r="I124" s="84"/>
      <c r="J124" s="84"/>
      <c r="K124" s="84"/>
      <c r="L124" s="84"/>
      <c r="M124" s="84"/>
      <c r="N124" s="84"/>
      <c r="O124" s="145">
        <f t="shared" si="20"/>
        <v>10</v>
      </c>
    </row>
    <row r="125" spans="1:15" outlineLevel="1" x14ac:dyDescent="0.25">
      <c r="A125" s="151" t="s">
        <v>307</v>
      </c>
      <c r="B125" s="84"/>
      <c r="C125" s="84">
        <v>10</v>
      </c>
      <c r="D125" s="84"/>
      <c r="E125" s="84"/>
      <c r="F125" s="84"/>
      <c r="G125" s="84"/>
      <c r="H125" s="84"/>
      <c r="I125" s="84"/>
      <c r="J125" s="84"/>
      <c r="K125" s="84"/>
      <c r="L125" s="84"/>
      <c r="M125" s="84"/>
      <c r="N125" s="84"/>
      <c r="O125" s="145">
        <f t="shared" si="20"/>
        <v>10</v>
      </c>
    </row>
    <row r="126" spans="1:15" outlineLevel="1" x14ac:dyDescent="0.25">
      <c r="A126" s="151" t="s">
        <v>308</v>
      </c>
      <c r="B126" s="84"/>
      <c r="C126" s="84">
        <v>10</v>
      </c>
      <c r="D126" s="84"/>
      <c r="E126" s="84"/>
      <c r="F126" s="84"/>
      <c r="G126" s="84"/>
      <c r="H126" s="84"/>
      <c r="I126" s="84"/>
      <c r="J126" s="84"/>
      <c r="K126" s="84"/>
      <c r="L126" s="84"/>
      <c r="M126" s="84"/>
      <c r="N126" s="84"/>
      <c r="O126" s="145">
        <f t="shared" si="20"/>
        <v>10</v>
      </c>
    </row>
    <row r="127" spans="1:15" outlineLevel="1" x14ac:dyDescent="0.25">
      <c r="A127" s="151" t="s">
        <v>309</v>
      </c>
      <c r="B127" s="84"/>
      <c r="C127" s="84">
        <v>10</v>
      </c>
      <c r="D127" s="84"/>
      <c r="E127" s="84"/>
      <c r="F127" s="84"/>
      <c r="G127" s="84"/>
      <c r="H127" s="84"/>
      <c r="I127" s="84"/>
      <c r="J127" s="84"/>
      <c r="K127" s="84"/>
      <c r="L127" s="84"/>
      <c r="M127" s="84"/>
      <c r="N127" s="84"/>
      <c r="O127" s="145">
        <f t="shared" si="20"/>
        <v>10</v>
      </c>
    </row>
    <row r="128" spans="1:15" outlineLevel="1" x14ac:dyDescent="0.25">
      <c r="A128" s="151" t="s">
        <v>310</v>
      </c>
      <c r="B128" s="84"/>
      <c r="C128" s="84">
        <v>10</v>
      </c>
      <c r="D128" s="84"/>
      <c r="E128" s="84"/>
      <c r="F128" s="84"/>
      <c r="G128" s="84"/>
      <c r="H128" s="84"/>
      <c r="I128" s="84"/>
      <c r="J128" s="84"/>
      <c r="K128" s="84"/>
      <c r="L128" s="84"/>
      <c r="M128" s="84"/>
      <c r="N128" s="84"/>
      <c r="O128" s="145">
        <f t="shared" si="20"/>
        <v>10</v>
      </c>
    </row>
    <row r="129" spans="1:15" outlineLevel="1" x14ac:dyDescent="0.25">
      <c r="A129" s="151" t="s">
        <v>311</v>
      </c>
      <c r="B129" s="84"/>
      <c r="C129" s="84">
        <v>10</v>
      </c>
      <c r="D129" s="84"/>
      <c r="E129" s="84"/>
      <c r="F129" s="84"/>
      <c r="G129" s="84"/>
      <c r="H129" s="84"/>
      <c r="I129" s="84"/>
      <c r="J129" s="84"/>
      <c r="K129" s="84"/>
      <c r="L129" s="84"/>
      <c r="M129" s="84"/>
      <c r="N129" s="84"/>
      <c r="O129" s="145">
        <f t="shared" si="20"/>
        <v>10</v>
      </c>
    </row>
    <row r="130" spans="1:15" outlineLevel="1" x14ac:dyDescent="0.25">
      <c r="A130" s="151" t="s">
        <v>312</v>
      </c>
      <c r="B130" s="84"/>
      <c r="C130" s="84">
        <v>10</v>
      </c>
      <c r="D130" s="84"/>
      <c r="E130" s="84"/>
      <c r="F130" s="84"/>
      <c r="G130" s="84"/>
      <c r="H130" s="84"/>
      <c r="I130" s="84"/>
      <c r="J130" s="84"/>
      <c r="K130" s="84"/>
      <c r="L130" s="84"/>
      <c r="M130" s="84"/>
      <c r="N130" s="84"/>
      <c r="O130" s="145">
        <f t="shared" si="20"/>
        <v>10</v>
      </c>
    </row>
    <row r="131" spans="1:15" outlineLevel="1" x14ac:dyDescent="0.25">
      <c r="A131" s="151" t="s">
        <v>313</v>
      </c>
      <c r="B131" s="84"/>
      <c r="C131" s="84">
        <v>10</v>
      </c>
      <c r="D131" s="84"/>
      <c r="E131" s="84"/>
      <c r="F131" s="84"/>
      <c r="G131" s="84"/>
      <c r="H131" s="84"/>
      <c r="I131" s="84"/>
      <c r="J131" s="84"/>
      <c r="K131" s="84"/>
      <c r="L131" s="84"/>
      <c r="M131" s="84"/>
      <c r="N131" s="84"/>
      <c r="O131" s="145">
        <f t="shared" si="20"/>
        <v>10</v>
      </c>
    </row>
    <row r="132" spans="1:15" outlineLevel="1" x14ac:dyDescent="0.25">
      <c r="A132" s="151" t="s">
        <v>314</v>
      </c>
      <c r="B132" s="84"/>
      <c r="C132" s="84">
        <v>10</v>
      </c>
      <c r="D132" s="84"/>
      <c r="E132" s="84"/>
      <c r="F132" s="84"/>
      <c r="G132" s="84"/>
      <c r="H132" s="84"/>
      <c r="I132" s="84"/>
      <c r="J132" s="84"/>
      <c r="K132" s="84"/>
      <c r="L132" s="84"/>
      <c r="M132" s="84"/>
      <c r="N132" s="84"/>
      <c r="O132" s="145">
        <f t="shared" si="20"/>
        <v>10</v>
      </c>
    </row>
    <row r="133" spans="1:15" outlineLevel="1" x14ac:dyDescent="0.25">
      <c r="A133" s="151" t="s">
        <v>315</v>
      </c>
      <c r="B133" s="84"/>
      <c r="C133" s="84">
        <v>10</v>
      </c>
      <c r="D133" s="84"/>
      <c r="E133" s="84"/>
      <c r="F133" s="84"/>
      <c r="G133" s="84"/>
      <c r="H133" s="84"/>
      <c r="I133" s="84"/>
      <c r="J133" s="84"/>
      <c r="K133" s="84"/>
      <c r="L133" s="84"/>
      <c r="M133" s="84"/>
      <c r="N133" s="84"/>
      <c r="O133" s="145">
        <f t="shared" si="20"/>
        <v>10</v>
      </c>
    </row>
    <row r="134" spans="1:15" outlineLevel="1" x14ac:dyDescent="0.25">
      <c r="A134" s="151" t="s">
        <v>316</v>
      </c>
      <c r="B134" s="84"/>
      <c r="C134" s="84">
        <v>10</v>
      </c>
      <c r="D134" s="84"/>
      <c r="E134" s="84"/>
      <c r="F134" s="84"/>
      <c r="G134" s="84"/>
      <c r="H134" s="84"/>
      <c r="I134" s="84"/>
      <c r="J134" s="84"/>
      <c r="K134" s="84"/>
      <c r="L134" s="84"/>
      <c r="M134" s="84"/>
      <c r="N134" s="84"/>
      <c r="O134" s="145">
        <f t="shared" si="20"/>
        <v>10</v>
      </c>
    </row>
    <row r="135" spans="1:15" outlineLevel="1" x14ac:dyDescent="0.25">
      <c r="A135" s="151" t="s">
        <v>317</v>
      </c>
      <c r="B135" s="84"/>
      <c r="C135" s="84">
        <v>10</v>
      </c>
      <c r="D135" s="84"/>
      <c r="E135" s="84"/>
      <c r="F135" s="84"/>
      <c r="G135" s="84"/>
      <c r="H135" s="84"/>
      <c r="I135" s="84"/>
      <c r="J135" s="84"/>
      <c r="K135" s="84"/>
      <c r="L135" s="84"/>
      <c r="M135" s="84"/>
      <c r="N135" s="84"/>
      <c r="O135" s="145">
        <f t="shared" si="20"/>
        <v>10</v>
      </c>
    </row>
    <row r="136" spans="1:15" outlineLevel="1" x14ac:dyDescent="0.25">
      <c r="A136" s="151" t="s">
        <v>318</v>
      </c>
      <c r="B136" s="84"/>
      <c r="C136" s="84">
        <v>10</v>
      </c>
      <c r="D136" s="84"/>
      <c r="E136" s="84"/>
      <c r="F136" s="84"/>
      <c r="G136" s="84"/>
      <c r="H136" s="84"/>
      <c r="I136" s="84"/>
      <c r="J136" s="84"/>
      <c r="K136" s="84"/>
      <c r="L136" s="84"/>
      <c r="M136" s="84"/>
      <c r="N136" s="84"/>
      <c r="O136" s="145">
        <f t="shared" si="20"/>
        <v>10</v>
      </c>
    </row>
    <row r="137" spans="1:15" outlineLevel="1" x14ac:dyDescent="0.25">
      <c r="A137" s="151"/>
      <c r="B137" s="84"/>
      <c r="C137" s="84">
        <v>0</v>
      </c>
      <c r="D137" s="84"/>
      <c r="E137" s="84"/>
      <c r="F137" s="84"/>
      <c r="G137" s="84"/>
      <c r="H137" s="84"/>
      <c r="I137" s="84"/>
      <c r="J137" s="84"/>
      <c r="K137" s="84"/>
      <c r="L137" s="84"/>
      <c r="M137" s="84"/>
      <c r="N137" s="84"/>
      <c r="O137" s="145">
        <f t="shared" si="20"/>
        <v>0</v>
      </c>
    </row>
    <row r="138" spans="1:15" outlineLevel="1" x14ac:dyDescent="0.25">
      <c r="A138" s="151"/>
      <c r="B138" s="84"/>
      <c r="C138" s="84">
        <v>0</v>
      </c>
      <c r="D138" s="84"/>
      <c r="E138" s="84"/>
      <c r="F138" s="84"/>
      <c r="G138" s="84"/>
      <c r="H138" s="84"/>
      <c r="I138" s="84"/>
      <c r="J138" s="84"/>
      <c r="K138" s="84"/>
      <c r="L138" s="84"/>
      <c r="M138" s="84"/>
      <c r="N138" s="84"/>
      <c r="O138" s="145">
        <f t="shared" si="20"/>
        <v>0</v>
      </c>
    </row>
    <row r="139" spans="1:15" s="140" customFormat="1" ht="15.75" x14ac:dyDescent="0.25">
      <c r="A139" s="157" t="s">
        <v>75</v>
      </c>
      <c r="B139" s="139">
        <f t="shared" ref="B139:N139" si="21">SUM(B140:B171)</f>
        <v>0</v>
      </c>
      <c r="C139" s="139">
        <v>300</v>
      </c>
      <c r="D139" s="139"/>
      <c r="E139" s="139"/>
      <c r="F139" s="139"/>
      <c r="G139" s="139"/>
      <c r="H139" s="139">
        <f t="shared" si="21"/>
        <v>0</v>
      </c>
      <c r="I139" s="139">
        <f t="shared" si="21"/>
        <v>0</v>
      </c>
      <c r="J139" s="139">
        <f t="shared" si="21"/>
        <v>0</v>
      </c>
      <c r="K139" s="139">
        <f t="shared" si="21"/>
        <v>0</v>
      </c>
      <c r="L139" s="139">
        <f t="shared" si="21"/>
        <v>0</v>
      </c>
      <c r="M139" s="139">
        <f t="shared" si="21"/>
        <v>0</v>
      </c>
      <c r="N139" s="139">
        <f t="shared" si="21"/>
        <v>0</v>
      </c>
      <c r="O139" s="158">
        <f t="shared" ref="O139" si="22">SUM(O140:O171)</f>
        <v>300</v>
      </c>
    </row>
    <row r="140" spans="1:15" outlineLevel="2" x14ac:dyDescent="0.25">
      <c r="A140" s="151" t="s">
        <v>319</v>
      </c>
      <c r="B140" s="84"/>
      <c r="C140" s="84">
        <v>10</v>
      </c>
      <c r="D140" s="84"/>
      <c r="E140" s="84"/>
      <c r="F140" s="84"/>
      <c r="G140" s="84"/>
      <c r="H140" s="84"/>
      <c r="I140" s="84"/>
      <c r="J140" s="84"/>
      <c r="K140" s="84"/>
      <c r="L140" s="84"/>
      <c r="M140" s="84"/>
      <c r="N140" s="84"/>
      <c r="O140" s="145">
        <f t="shared" si="20"/>
        <v>10</v>
      </c>
    </row>
    <row r="141" spans="1:15" outlineLevel="2" x14ac:dyDescent="0.25">
      <c r="A141" s="151" t="s">
        <v>320</v>
      </c>
      <c r="B141" s="84"/>
      <c r="C141" s="84">
        <v>10</v>
      </c>
      <c r="D141" s="84"/>
      <c r="E141" s="84"/>
      <c r="F141" s="84"/>
      <c r="G141" s="84"/>
      <c r="H141" s="84"/>
      <c r="I141" s="84"/>
      <c r="J141" s="84"/>
      <c r="K141" s="84"/>
      <c r="L141" s="84"/>
      <c r="M141" s="84"/>
      <c r="N141" s="84"/>
      <c r="O141" s="145">
        <f t="shared" si="20"/>
        <v>10</v>
      </c>
    </row>
    <row r="142" spans="1:15" outlineLevel="2" x14ac:dyDescent="0.25">
      <c r="A142" s="151" t="s">
        <v>321</v>
      </c>
      <c r="B142" s="84"/>
      <c r="C142" s="84">
        <v>10</v>
      </c>
      <c r="D142" s="84"/>
      <c r="E142" s="84"/>
      <c r="F142" s="84"/>
      <c r="G142" s="84"/>
      <c r="H142" s="84"/>
      <c r="I142" s="84"/>
      <c r="J142" s="84"/>
      <c r="K142" s="84"/>
      <c r="L142" s="84"/>
      <c r="M142" s="84"/>
      <c r="N142" s="84"/>
      <c r="O142" s="145">
        <f t="shared" si="20"/>
        <v>10</v>
      </c>
    </row>
    <row r="143" spans="1:15" outlineLevel="2" x14ac:dyDescent="0.25">
      <c r="A143" s="151" t="s">
        <v>322</v>
      </c>
      <c r="B143" s="84"/>
      <c r="C143" s="84">
        <v>10</v>
      </c>
      <c r="D143" s="84"/>
      <c r="E143" s="84"/>
      <c r="F143" s="84"/>
      <c r="G143" s="84"/>
      <c r="H143" s="84"/>
      <c r="I143" s="84"/>
      <c r="J143" s="84"/>
      <c r="K143" s="84"/>
      <c r="L143" s="84"/>
      <c r="M143" s="84"/>
      <c r="N143" s="84"/>
      <c r="O143" s="145">
        <f t="shared" si="20"/>
        <v>10</v>
      </c>
    </row>
    <row r="144" spans="1:15" outlineLevel="2" x14ac:dyDescent="0.25">
      <c r="A144" s="151" t="s">
        <v>323</v>
      </c>
      <c r="B144" s="84"/>
      <c r="C144" s="84">
        <v>10</v>
      </c>
      <c r="D144" s="84"/>
      <c r="E144" s="84"/>
      <c r="F144" s="84"/>
      <c r="G144" s="84"/>
      <c r="H144" s="84"/>
      <c r="I144" s="84"/>
      <c r="J144" s="84"/>
      <c r="K144" s="84"/>
      <c r="L144" s="84"/>
      <c r="M144" s="84"/>
      <c r="N144" s="84"/>
      <c r="O144" s="145">
        <f t="shared" si="20"/>
        <v>10</v>
      </c>
    </row>
    <row r="145" spans="1:15" outlineLevel="2" x14ac:dyDescent="0.25">
      <c r="A145" s="151" t="s">
        <v>324</v>
      </c>
      <c r="B145" s="84"/>
      <c r="C145" s="84">
        <v>10</v>
      </c>
      <c r="D145" s="84"/>
      <c r="E145" s="84"/>
      <c r="F145" s="84"/>
      <c r="G145" s="84"/>
      <c r="H145" s="84"/>
      <c r="I145" s="84"/>
      <c r="J145" s="84"/>
      <c r="K145" s="84"/>
      <c r="L145" s="84"/>
      <c r="M145" s="84"/>
      <c r="N145" s="84"/>
      <c r="O145" s="145">
        <f t="shared" si="20"/>
        <v>10</v>
      </c>
    </row>
    <row r="146" spans="1:15" outlineLevel="2" x14ac:dyDescent="0.25">
      <c r="A146" s="151" t="s">
        <v>325</v>
      </c>
      <c r="B146" s="84"/>
      <c r="C146" s="84">
        <v>10</v>
      </c>
      <c r="D146" s="84"/>
      <c r="E146" s="84"/>
      <c r="F146" s="84"/>
      <c r="G146" s="84"/>
      <c r="H146" s="84"/>
      <c r="I146" s="84"/>
      <c r="J146" s="84"/>
      <c r="K146" s="84"/>
      <c r="L146" s="84"/>
      <c r="M146" s="84"/>
      <c r="N146" s="84"/>
      <c r="O146" s="145">
        <f t="shared" si="20"/>
        <v>10</v>
      </c>
    </row>
    <row r="147" spans="1:15" outlineLevel="2" x14ac:dyDescent="0.25">
      <c r="A147" s="151" t="s">
        <v>326</v>
      </c>
      <c r="B147" s="84"/>
      <c r="C147" s="84">
        <v>10</v>
      </c>
      <c r="D147" s="84"/>
      <c r="E147" s="84"/>
      <c r="F147" s="84"/>
      <c r="G147" s="84"/>
      <c r="H147" s="84"/>
      <c r="I147" s="84"/>
      <c r="J147" s="84"/>
      <c r="K147" s="84"/>
      <c r="L147" s="84"/>
      <c r="M147" s="84"/>
      <c r="N147" s="84"/>
      <c r="O147" s="145">
        <f t="shared" si="20"/>
        <v>10</v>
      </c>
    </row>
    <row r="148" spans="1:15" outlineLevel="2" x14ac:dyDescent="0.25">
      <c r="A148" s="151" t="s">
        <v>327</v>
      </c>
      <c r="B148" s="84"/>
      <c r="C148" s="84">
        <v>10</v>
      </c>
      <c r="D148" s="84"/>
      <c r="E148" s="84"/>
      <c r="F148" s="84"/>
      <c r="G148" s="84"/>
      <c r="H148" s="84"/>
      <c r="I148" s="84"/>
      <c r="J148" s="84"/>
      <c r="K148" s="84"/>
      <c r="L148" s="84"/>
      <c r="M148" s="84"/>
      <c r="N148" s="84"/>
      <c r="O148" s="145">
        <f t="shared" si="20"/>
        <v>10</v>
      </c>
    </row>
    <row r="149" spans="1:15" outlineLevel="2" x14ac:dyDescent="0.25">
      <c r="A149" s="151" t="s">
        <v>328</v>
      </c>
      <c r="B149" s="84"/>
      <c r="C149" s="84">
        <v>10</v>
      </c>
      <c r="D149" s="84"/>
      <c r="E149" s="84"/>
      <c r="F149" s="84"/>
      <c r="G149" s="84"/>
      <c r="H149" s="84"/>
      <c r="I149" s="84"/>
      <c r="J149" s="84"/>
      <c r="K149" s="84"/>
      <c r="L149" s="84"/>
      <c r="M149" s="84"/>
      <c r="N149" s="84"/>
      <c r="O149" s="145">
        <f t="shared" si="20"/>
        <v>10</v>
      </c>
    </row>
    <row r="150" spans="1:15" outlineLevel="2" x14ac:dyDescent="0.25">
      <c r="A150" s="151" t="s">
        <v>329</v>
      </c>
      <c r="B150" s="84"/>
      <c r="C150" s="84">
        <v>10</v>
      </c>
      <c r="D150" s="84"/>
      <c r="E150" s="84"/>
      <c r="F150" s="84"/>
      <c r="G150" s="84"/>
      <c r="H150" s="84"/>
      <c r="I150" s="84"/>
      <c r="J150" s="84"/>
      <c r="K150" s="84"/>
      <c r="L150" s="84"/>
      <c r="M150" s="84"/>
      <c r="N150" s="84"/>
      <c r="O150" s="145">
        <f t="shared" si="20"/>
        <v>10</v>
      </c>
    </row>
    <row r="151" spans="1:15" outlineLevel="2" x14ac:dyDescent="0.25">
      <c r="A151" s="151" t="s">
        <v>330</v>
      </c>
      <c r="B151" s="84"/>
      <c r="C151" s="84">
        <v>10</v>
      </c>
      <c r="D151" s="84"/>
      <c r="E151" s="84"/>
      <c r="F151" s="84"/>
      <c r="G151" s="84"/>
      <c r="H151" s="84"/>
      <c r="I151" s="84"/>
      <c r="J151" s="84"/>
      <c r="K151" s="84"/>
      <c r="L151" s="84"/>
      <c r="M151" s="84"/>
      <c r="N151" s="84"/>
      <c r="O151" s="145">
        <f t="shared" si="20"/>
        <v>10</v>
      </c>
    </row>
    <row r="152" spans="1:15" outlineLevel="2" x14ac:dyDescent="0.25">
      <c r="A152" s="151" t="s">
        <v>331</v>
      </c>
      <c r="B152" s="84"/>
      <c r="C152" s="84">
        <v>10</v>
      </c>
      <c r="D152" s="84"/>
      <c r="E152" s="84"/>
      <c r="F152" s="84"/>
      <c r="G152" s="84"/>
      <c r="H152" s="84"/>
      <c r="I152" s="84"/>
      <c r="J152" s="84"/>
      <c r="K152" s="84"/>
      <c r="L152" s="84"/>
      <c r="M152" s="84"/>
      <c r="N152" s="84"/>
      <c r="O152" s="145">
        <f t="shared" si="20"/>
        <v>10</v>
      </c>
    </row>
    <row r="153" spans="1:15" outlineLevel="2" x14ac:dyDescent="0.25">
      <c r="A153" s="151" t="s">
        <v>332</v>
      </c>
      <c r="B153" s="84"/>
      <c r="C153" s="84">
        <v>10</v>
      </c>
      <c r="D153" s="84"/>
      <c r="E153" s="84"/>
      <c r="F153" s="84"/>
      <c r="G153" s="84"/>
      <c r="H153" s="84"/>
      <c r="I153" s="84"/>
      <c r="J153" s="84"/>
      <c r="K153" s="84"/>
      <c r="L153" s="84"/>
      <c r="M153" s="84"/>
      <c r="N153" s="84"/>
      <c r="O153" s="145">
        <f t="shared" si="20"/>
        <v>10</v>
      </c>
    </row>
    <row r="154" spans="1:15" outlineLevel="2" x14ac:dyDescent="0.25">
      <c r="A154" s="151" t="s">
        <v>333</v>
      </c>
      <c r="B154" s="84"/>
      <c r="C154" s="84">
        <v>10</v>
      </c>
      <c r="D154" s="84"/>
      <c r="E154" s="84"/>
      <c r="F154" s="84"/>
      <c r="G154" s="84"/>
      <c r="H154" s="84"/>
      <c r="I154" s="84"/>
      <c r="J154" s="84"/>
      <c r="K154" s="84"/>
      <c r="L154" s="84"/>
      <c r="M154" s="84"/>
      <c r="N154" s="84"/>
      <c r="O154" s="145">
        <f t="shared" si="20"/>
        <v>10</v>
      </c>
    </row>
    <row r="155" spans="1:15" outlineLevel="2" x14ac:dyDescent="0.25">
      <c r="A155" s="151" t="s">
        <v>334</v>
      </c>
      <c r="B155" s="84"/>
      <c r="C155" s="84">
        <v>10</v>
      </c>
      <c r="D155" s="84"/>
      <c r="E155" s="84"/>
      <c r="F155" s="84"/>
      <c r="G155" s="84"/>
      <c r="H155" s="84"/>
      <c r="I155" s="84"/>
      <c r="J155" s="84"/>
      <c r="K155" s="84"/>
      <c r="L155" s="84"/>
      <c r="M155" s="84"/>
      <c r="N155" s="84"/>
      <c r="O155" s="145">
        <f t="shared" si="20"/>
        <v>10</v>
      </c>
    </row>
    <row r="156" spans="1:15" outlineLevel="2" x14ac:dyDescent="0.25">
      <c r="A156" s="151" t="s">
        <v>335</v>
      </c>
      <c r="B156" s="84"/>
      <c r="C156" s="84">
        <v>10</v>
      </c>
      <c r="D156" s="84"/>
      <c r="E156" s="84"/>
      <c r="F156" s="84"/>
      <c r="G156" s="84"/>
      <c r="H156" s="84"/>
      <c r="I156" s="84"/>
      <c r="J156" s="84"/>
      <c r="K156" s="84"/>
      <c r="L156" s="84"/>
      <c r="M156" s="84"/>
      <c r="N156" s="84"/>
      <c r="O156" s="145">
        <f t="shared" si="20"/>
        <v>10</v>
      </c>
    </row>
    <row r="157" spans="1:15" outlineLevel="2" x14ac:dyDescent="0.25">
      <c r="A157" s="151" t="s">
        <v>336</v>
      </c>
      <c r="B157" s="84"/>
      <c r="C157" s="84">
        <v>10</v>
      </c>
      <c r="D157" s="84"/>
      <c r="E157" s="84"/>
      <c r="F157" s="84"/>
      <c r="G157" s="84"/>
      <c r="H157" s="84"/>
      <c r="I157" s="84"/>
      <c r="J157" s="84"/>
      <c r="K157" s="84"/>
      <c r="L157" s="84"/>
      <c r="M157" s="84"/>
      <c r="N157" s="84"/>
      <c r="O157" s="145">
        <f t="shared" si="20"/>
        <v>10</v>
      </c>
    </row>
    <row r="158" spans="1:15" outlineLevel="2" x14ac:dyDescent="0.25">
      <c r="A158" s="151" t="s">
        <v>337</v>
      </c>
      <c r="B158" s="84"/>
      <c r="C158" s="84">
        <v>10</v>
      </c>
      <c r="D158" s="84"/>
      <c r="E158" s="84"/>
      <c r="F158" s="84"/>
      <c r="G158" s="84"/>
      <c r="H158" s="84"/>
      <c r="I158" s="84"/>
      <c r="J158" s="84"/>
      <c r="K158" s="84"/>
      <c r="L158" s="84"/>
      <c r="M158" s="84"/>
      <c r="N158" s="84"/>
      <c r="O158" s="145">
        <f t="shared" si="20"/>
        <v>10</v>
      </c>
    </row>
    <row r="159" spans="1:15" outlineLevel="2" x14ac:dyDescent="0.25">
      <c r="A159" s="151" t="s">
        <v>80</v>
      </c>
      <c r="B159" s="84"/>
      <c r="C159" s="84">
        <v>10</v>
      </c>
      <c r="D159" s="84"/>
      <c r="E159" s="84"/>
      <c r="F159" s="84"/>
      <c r="G159" s="84"/>
      <c r="H159" s="84"/>
      <c r="I159" s="84"/>
      <c r="J159" s="84"/>
      <c r="K159" s="84"/>
      <c r="L159" s="84"/>
      <c r="M159" s="84"/>
      <c r="N159" s="84"/>
      <c r="O159" s="145">
        <f t="shared" si="20"/>
        <v>10</v>
      </c>
    </row>
    <row r="160" spans="1:15" outlineLevel="2" x14ac:dyDescent="0.25">
      <c r="A160" s="151" t="s">
        <v>338</v>
      </c>
      <c r="B160" s="84"/>
      <c r="C160" s="84">
        <v>10</v>
      </c>
      <c r="D160" s="84"/>
      <c r="E160" s="84"/>
      <c r="F160" s="84"/>
      <c r="G160" s="84"/>
      <c r="H160" s="84"/>
      <c r="I160" s="84"/>
      <c r="J160" s="84"/>
      <c r="K160" s="84"/>
      <c r="L160" s="84"/>
      <c r="M160" s="84"/>
      <c r="N160" s="84"/>
      <c r="O160" s="145">
        <f t="shared" si="20"/>
        <v>10</v>
      </c>
    </row>
    <row r="161" spans="1:15" outlineLevel="2" x14ac:dyDescent="0.25">
      <c r="A161" s="151" t="s">
        <v>339</v>
      </c>
      <c r="B161" s="84"/>
      <c r="C161" s="84">
        <v>10</v>
      </c>
      <c r="D161" s="84"/>
      <c r="E161" s="84"/>
      <c r="F161" s="84"/>
      <c r="G161" s="84"/>
      <c r="H161" s="84"/>
      <c r="I161" s="84"/>
      <c r="J161" s="84"/>
      <c r="K161" s="84"/>
      <c r="L161" s="84"/>
      <c r="M161" s="84"/>
      <c r="N161" s="84"/>
      <c r="O161" s="145">
        <f t="shared" si="20"/>
        <v>10</v>
      </c>
    </row>
    <row r="162" spans="1:15" outlineLevel="2" x14ac:dyDescent="0.25">
      <c r="A162" s="151" t="s">
        <v>340</v>
      </c>
      <c r="B162" s="84"/>
      <c r="C162" s="84">
        <v>10</v>
      </c>
      <c r="D162" s="84"/>
      <c r="E162" s="84"/>
      <c r="F162" s="84"/>
      <c r="G162" s="84"/>
      <c r="H162" s="84"/>
      <c r="I162" s="84"/>
      <c r="J162" s="84"/>
      <c r="K162" s="84"/>
      <c r="L162" s="84"/>
      <c r="M162" s="84"/>
      <c r="N162" s="84"/>
      <c r="O162" s="145">
        <f t="shared" si="20"/>
        <v>10</v>
      </c>
    </row>
    <row r="163" spans="1:15" outlineLevel="2" x14ac:dyDescent="0.25">
      <c r="A163" s="151" t="s">
        <v>341</v>
      </c>
      <c r="B163" s="84"/>
      <c r="C163" s="84">
        <v>10</v>
      </c>
      <c r="D163" s="84"/>
      <c r="E163" s="84"/>
      <c r="F163" s="84"/>
      <c r="G163" s="84"/>
      <c r="H163" s="84"/>
      <c r="I163" s="84"/>
      <c r="J163" s="84"/>
      <c r="K163" s="84"/>
      <c r="L163" s="84"/>
      <c r="M163" s="84"/>
      <c r="N163" s="84"/>
      <c r="O163" s="145">
        <f t="shared" si="20"/>
        <v>10</v>
      </c>
    </row>
    <row r="164" spans="1:15" outlineLevel="2" x14ac:dyDescent="0.25">
      <c r="A164" s="151" t="s">
        <v>342</v>
      </c>
      <c r="B164" s="84"/>
      <c r="C164" s="84">
        <v>10</v>
      </c>
      <c r="D164" s="84"/>
      <c r="E164" s="84"/>
      <c r="F164" s="84"/>
      <c r="G164" s="84"/>
      <c r="H164" s="84"/>
      <c r="I164" s="84"/>
      <c r="J164" s="84"/>
      <c r="K164" s="84"/>
      <c r="L164" s="84"/>
      <c r="M164" s="84"/>
      <c r="N164" s="84"/>
      <c r="O164" s="145">
        <f t="shared" si="20"/>
        <v>10</v>
      </c>
    </row>
    <row r="165" spans="1:15" outlineLevel="2" x14ac:dyDescent="0.25">
      <c r="A165" s="151" t="s">
        <v>343</v>
      </c>
      <c r="B165" s="84"/>
      <c r="C165" s="84">
        <v>10</v>
      </c>
      <c r="D165" s="84"/>
      <c r="E165" s="84"/>
      <c r="F165" s="84"/>
      <c r="G165" s="84"/>
      <c r="H165" s="84"/>
      <c r="I165" s="84"/>
      <c r="J165" s="84"/>
      <c r="K165" s="84"/>
      <c r="L165" s="84"/>
      <c r="M165" s="84"/>
      <c r="N165" s="84"/>
      <c r="O165" s="145">
        <f t="shared" si="20"/>
        <v>10</v>
      </c>
    </row>
    <row r="166" spans="1:15" outlineLevel="2" x14ac:dyDescent="0.25">
      <c r="A166" s="151" t="s">
        <v>344</v>
      </c>
      <c r="B166" s="84"/>
      <c r="C166" s="84">
        <v>10</v>
      </c>
      <c r="D166" s="84"/>
      <c r="E166" s="84"/>
      <c r="F166" s="84"/>
      <c r="G166" s="84"/>
      <c r="H166" s="84"/>
      <c r="I166" s="84"/>
      <c r="J166" s="84"/>
      <c r="K166" s="84"/>
      <c r="L166" s="84"/>
      <c r="M166" s="84"/>
      <c r="N166" s="84"/>
      <c r="O166" s="145">
        <f t="shared" si="20"/>
        <v>10</v>
      </c>
    </row>
    <row r="167" spans="1:15" outlineLevel="2" x14ac:dyDescent="0.25">
      <c r="A167" s="151" t="s">
        <v>345</v>
      </c>
      <c r="B167" s="84"/>
      <c r="C167" s="84">
        <v>10</v>
      </c>
      <c r="D167" s="84"/>
      <c r="E167" s="84"/>
      <c r="F167" s="84"/>
      <c r="G167" s="84"/>
      <c r="H167" s="84"/>
      <c r="I167" s="84"/>
      <c r="J167" s="84"/>
      <c r="K167" s="84"/>
      <c r="L167" s="84"/>
      <c r="M167" s="84"/>
      <c r="N167" s="84"/>
      <c r="O167" s="145">
        <f t="shared" si="20"/>
        <v>10</v>
      </c>
    </row>
    <row r="168" spans="1:15" outlineLevel="2" x14ac:dyDescent="0.25">
      <c r="A168" s="151" t="s">
        <v>346</v>
      </c>
      <c r="B168" s="84"/>
      <c r="C168" s="84">
        <v>10</v>
      </c>
      <c r="D168" s="84"/>
      <c r="E168" s="84"/>
      <c r="F168" s="84"/>
      <c r="G168" s="84"/>
      <c r="H168" s="84"/>
      <c r="I168" s="84"/>
      <c r="J168" s="84"/>
      <c r="K168" s="84"/>
      <c r="L168" s="84"/>
      <c r="M168" s="84"/>
      <c r="N168" s="84"/>
      <c r="O168" s="145">
        <f t="shared" si="20"/>
        <v>10</v>
      </c>
    </row>
    <row r="169" spans="1:15" outlineLevel="2" x14ac:dyDescent="0.25">
      <c r="A169" s="151" t="s">
        <v>347</v>
      </c>
      <c r="B169" s="84"/>
      <c r="C169" s="84">
        <v>10</v>
      </c>
      <c r="D169" s="84"/>
      <c r="E169" s="84"/>
      <c r="F169" s="84"/>
      <c r="G169" s="84"/>
      <c r="H169" s="84"/>
      <c r="I169" s="84"/>
      <c r="J169" s="84"/>
      <c r="K169" s="84"/>
      <c r="L169" s="84"/>
      <c r="M169" s="84"/>
      <c r="N169" s="84"/>
      <c r="O169" s="145">
        <f t="shared" si="20"/>
        <v>10</v>
      </c>
    </row>
    <row r="170" spans="1:15" outlineLevel="2" x14ac:dyDescent="0.25">
      <c r="A170" s="151"/>
      <c r="B170" s="84"/>
      <c r="C170" s="84"/>
      <c r="D170" s="84"/>
      <c r="E170" s="84"/>
      <c r="F170" s="84"/>
      <c r="G170" s="84"/>
      <c r="H170" s="84"/>
      <c r="I170" s="84"/>
      <c r="J170" s="84"/>
      <c r="K170" s="84"/>
      <c r="L170" s="84"/>
      <c r="M170" s="84"/>
      <c r="N170" s="84"/>
      <c r="O170" s="145">
        <f t="shared" si="20"/>
        <v>0</v>
      </c>
    </row>
    <row r="171" spans="1:15" outlineLevel="2" x14ac:dyDescent="0.25">
      <c r="A171" s="151"/>
      <c r="B171" s="84"/>
      <c r="C171" s="84"/>
      <c r="D171" s="84"/>
      <c r="E171" s="84"/>
      <c r="F171" s="84"/>
      <c r="G171" s="84"/>
      <c r="H171" s="84"/>
      <c r="I171" s="84"/>
      <c r="J171" s="84"/>
      <c r="K171" s="84"/>
      <c r="L171" s="84"/>
      <c r="M171" s="84"/>
      <c r="N171" s="84"/>
      <c r="O171" s="145">
        <f t="shared" si="20"/>
        <v>0</v>
      </c>
    </row>
    <row r="172" spans="1:15" s="140" customFormat="1" ht="15.75" x14ac:dyDescent="0.25">
      <c r="A172" s="157" t="s">
        <v>82</v>
      </c>
      <c r="B172" s="139">
        <f t="shared" ref="B172:N172" si="23">SUM(B173:B187)</f>
        <v>0</v>
      </c>
      <c r="C172" s="139">
        <v>130</v>
      </c>
      <c r="D172" s="139"/>
      <c r="E172" s="139"/>
      <c r="F172" s="139"/>
      <c r="G172" s="139"/>
      <c r="H172" s="139">
        <f t="shared" si="23"/>
        <v>0</v>
      </c>
      <c r="I172" s="139">
        <f t="shared" si="23"/>
        <v>0</v>
      </c>
      <c r="J172" s="139">
        <f t="shared" si="23"/>
        <v>0</v>
      </c>
      <c r="K172" s="139">
        <f t="shared" si="23"/>
        <v>0</v>
      </c>
      <c r="L172" s="139">
        <f t="shared" si="23"/>
        <v>0</v>
      </c>
      <c r="M172" s="139">
        <f t="shared" si="23"/>
        <v>0</v>
      </c>
      <c r="N172" s="139">
        <f t="shared" si="23"/>
        <v>0</v>
      </c>
      <c r="O172" s="158">
        <f t="shared" ref="O172" si="24">SUM(O173:O187)</f>
        <v>130</v>
      </c>
    </row>
    <row r="173" spans="1:15" outlineLevel="1" x14ac:dyDescent="0.25">
      <c r="A173" s="151" t="s">
        <v>83</v>
      </c>
      <c r="B173" s="84"/>
      <c r="C173" s="84">
        <v>10</v>
      </c>
      <c r="D173" s="84"/>
      <c r="E173" s="84"/>
      <c r="F173" s="84"/>
      <c r="G173" s="84"/>
      <c r="H173" s="84"/>
      <c r="I173" s="84"/>
      <c r="J173" s="84"/>
      <c r="K173" s="84"/>
      <c r="L173" s="84"/>
      <c r="M173" s="84"/>
      <c r="N173" s="84"/>
      <c r="O173" s="145">
        <f t="shared" si="20"/>
        <v>10</v>
      </c>
    </row>
    <row r="174" spans="1:15" outlineLevel="1" x14ac:dyDescent="0.25">
      <c r="A174" s="151" t="s">
        <v>84</v>
      </c>
      <c r="B174" s="84"/>
      <c r="C174" s="84">
        <v>10</v>
      </c>
      <c r="D174" s="84"/>
      <c r="E174" s="84"/>
      <c r="F174" s="84"/>
      <c r="G174" s="84"/>
      <c r="H174" s="84"/>
      <c r="I174" s="84"/>
      <c r="J174" s="84"/>
      <c r="K174" s="84"/>
      <c r="L174" s="84"/>
      <c r="M174" s="84"/>
      <c r="N174" s="84"/>
      <c r="O174" s="145">
        <f t="shared" si="20"/>
        <v>10</v>
      </c>
    </row>
    <row r="175" spans="1:15" outlineLevel="1" x14ac:dyDescent="0.25">
      <c r="A175" s="151" t="s">
        <v>349</v>
      </c>
      <c r="B175" s="84"/>
      <c r="C175" s="84">
        <v>10</v>
      </c>
      <c r="D175" s="84"/>
      <c r="E175" s="84"/>
      <c r="F175" s="84"/>
      <c r="G175" s="84"/>
      <c r="H175" s="84"/>
      <c r="I175" s="84"/>
      <c r="J175" s="84"/>
      <c r="K175" s="84"/>
      <c r="L175" s="84"/>
      <c r="M175" s="84"/>
      <c r="N175" s="84"/>
      <c r="O175" s="145">
        <f t="shared" si="20"/>
        <v>10</v>
      </c>
    </row>
    <row r="176" spans="1:15" outlineLevel="1" x14ac:dyDescent="0.25">
      <c r="A176" s="151" t="s">
        <v>350</v>
      </c>
      <c r="B176" s="84"/>
      <c r="C176" s="84">
        <v>10</v>
      </c>
      <c r="D176" s="84"/>
      <c r="E176" s="84"/>
      <c r="F176" s="84"/>
      <c r="G176" s="84"/>
      <c r="H176" s="84"/>
      <c r="I176" s="84"/>
      <c r="J176" s="84"/>
      <c r="K176" s="84"/>
      <c r="L176" s="84"/>
      <c r="M176" s="84"/>
      <c r="N176" s="84"/>
      <c r="O176" s="145">
        <f t="shared" si="20"/>
        <v>10</v>
      </c>
    </row>
    <row r="177" spans="1:15" outlineLevel="1" x14ac:dyDescent="0.25">
      <c r="A177" s="151" t="s">
        <v>351</v>
      </c>
      <c r="B177" s="84"/>
      <c r="C177" s="84">
        <v>10</v>
      </c>
      <c r="D177" s="84"/>
      <c r="E177" s="84"/>
      <c r="F177" s="84"/>
      <c r="G177" s="84"/>
      <c r="H177" s="84"/>
      <c r="I177" s="84"/>
      <c r="J177" s="84"/>
      <c r="K177" s="84"/>
      <c r="L177" s="84"/>
      <c r="M177" s="84"/>
      <c r="N177" s="84"/>
      <c r="O177" s="145">
        <f t="shared" si="20"/>
        <v>10</v>
      </c>
    </row>
    <row r="178" spans="1:15" outlineLevel="1" x14ac:dyDescent="0.25">
      <c r="A178" s="151" t="s">
        <v>352</v>
      </c>
      <c r="B178" s="84"/>
      <c r="C178" s="84">
        <v>10</v>
      </c>
      <c r="D178" s="84"/>
      <c r="E178" s="84"/>
      <c r="F178" s="84"/>
      <c r="G178" s="84"/>
      <c r="H178" s="84"/>
      <c r="I178" s="84"/>
      <c r="J178" s="84"/>
      <c r="K178" s="84"/>
      <c r="L178" s="84"/>
      <c r="M178" s="84"/>
      <c r="N178" s="84"/>
      <c r="O178" s="145">
        <f t="shared" si="20"/>
        <v>10</v>
      </c>
    </row>
    <row r="179" spans="1:15" outlineLevel="1" x14ac:dyDescent="0.25">
      <c r="A179" s="151" t="s">
        <v>353</v>
      </c>
      <c r="B179" s="84"/>
      <c r="C179" s="84">
        <v>10</v>
      </c>
      <c r="D179" s="84"/>
      <c r="E179" s="84"/>
      <c r="F179" s="84"/>
      <c r="G179" s="84"/>
      <c r="H179" s="84"/>
      <c r="I179" s="84"/>
      <c r="J179" s="84"/>
      <c r="K179" s="84"/>
      <c r="L179" s="84"/>
      <c r="M179" s="84"/>
      <c r="N179" s="84"/>
      <c r="O179" s="145">
        <f t="shared" si="20"/>
        <v>10</v>
      </c>
    </row>
    <row r="180" spans="1:15" outlineLevel="1" x14ac:dyDescent="0.25">
      <c r="A180" s="151" t="s">
        <v>354</v>
      </c>
      <c r="B180" s="84"/>
      <c r="C180" s="84">
        <v>10</v>
      </c>
      <c r="D180" s="84"/>
      <c r="E180" s="84"/>
      <c r="F180" s="84"/>
      <c r="G180" s="84"/>
      <c r="H180" s="84"/>
      <c r="I180" s="84"/>
      <c r="J180" s="84"/>
      <c r="K180" s="84"/>
      <c r="L180" s="84"/>
      <c r="M180" s="84"/>
      <c r="N180" s="84"/>
      <c r="O180" s="145">
        <f t="shared" si="20"/>
        <v>10</v>
      </c>
    </row>
    <row r="181" spans="1:15" outlineLevel="1" x14ac:dyDescent="0.25">
      <c r="A181" s="151" t="s">
        <v>355</v>
      </c>
      <c r="B181" s="84"/>
      <c r="C181" s="84">
        <v>10</v>
      </c>
      <c r="D181" s="84"/>
      <c r="E181" s="84"/>
      <c r="F181" s="84"/>
      <c r="G181" s="84"/>
      <c r="H181" s="84"/>
      <c r="I181" s="84"/>
      <c r="J181" s="84"/>
      <c r="K181" s="84"/>
      <c r="L181" s="84"/>
      <c r="M181" s="84"/>
      <c r="N181" s="84"/>
      <c r="O181" s="145">
        <f t="shared" si="20"/>
        <v>10</v>
      </c>
    </row>
    <row r="182" spans="1:15" outlineLevel="1" x14ac:dyDescent="0.25">
      <c r="A182" s="151" t="s">
        <v>87</v>
      </c>
      <c r="B182" s="84"/>
      <c r="C182" s="84">
        <v>10</v>
      </c>
      <c r="D182" s="84"/>
      <c r="E182" s="84"/>
      <c r="F182" s="84"/>
      <c r="G182" s="84"/>
      <c r="H182" s="84"/>
      <c r="I182" s="84"/>
      <c r="J182" s="84"/>
      <c r="K182" s="84"/>
      <c r="L182" s="84"/>
      <c r="M182" s="84"/>
      <c r="N182" s="84"/>
      <c r="O182" s="145">
        <f t="shared" si="20"/>
        <v>10</v>
      </c>
    </row>
    <row r="183" spans="1:15" outlineLevel="1" x14ac:dyDescent="0.25">
      <c r="A183" s="151" t="s">
        <v>88</v>
      </c>
      <c r="B183" s="84"/>
      <c r="C183" s="84">
        <v>10</v>
      </c>
      <c r="D183" s="84"/>
      <c r="E183" s="84"/>
      <c r="F183" s="84"/>
      <c r="G183" s="84"/>
      <c r="H183" s="84"/>
      <c r="I183" s="84"/>
      <c r="J183" s="84"/>
      <c r="K183" s="84"/>
      <c r="L183" s="84"/>
      <c r="M183" s="84"/>
      <c r="N183" s="84"/>
      <c r="O183" s="145">
        <f t="shared" si="20"/>
        <v>10</v>
      </c>
    </row>
    <row r="184" spans="1:15" outlineLevel="1" x14ac:dyDescent="0.25">
      <c r="A184" s="151" t="s">
        <v>89</v>
      </c>
      <c r="B184" s="84"/>
      <c r="C184" s="84">
        <v>10</v>
      </c>
      <c r="D184" s="84"/>
      <c r="E184" s="84"/>
      <c r="F184" s="84"/>
      <c r="G184" s="84"/>
      <c r="H184" s="84"/>
      <c r="I184" s="84"/>
      <c r="J184" s="84"/>
      <c r="K184" s="84"/>
      <c r="L184" s="84"/>
      <c r="M184" s="84"/>
      <c r="N184" s="84"/>
      <c r="O184" s="145">
        <f t="shared" si="20"/>
        <v>10</v>
      </c>
    </row>
    <row r="185" spans="1:15" outlineLevel="1" x14ac:dyDescent="0.25">
      <c r="A185" s="151" t="s">
        <v>356</v>
      </c>
      <c r="B185" s="84"/>
      <c r="C185" s="84">
        <v>10</v>
      </c>
      <c r="D185" s="84"/>
      <c r="E185" s="84"/>
      <c r="F185" s="84"/>
      <c r="G185" s="84"/>
      <c r="H185" s="84"/>
      <c r="I185" s="84"/>
      <c r="J185" s="84"/>
      <c r="K185" s="84"/>
      <c r="L185" s="84"/>
      <c r="M185" s="84"/>
      <c r="N185" s="84"/>
      <c r="O185" s="145">
        <f t="shared" si="20"/>
        <v>10</v>
      </c>
    </row>
    <row r="186" spans="1:15" outlineLevel="1" x14ac:dyDescent="0.25">
      <c r="A186" s="151"/>
      <c r="B186" s="84"/>
      <c r="C186" s="84">
        <v>0</v>
      </c>
      <c r="D186" s="84"/>
      <c r="E186" s="84"/>
      <c r="F186" s="84"/>
      <c r="G186" s="84"/>
      <c r="H186" s="84"/>
      <c r="I186" s="84"/>
      <c r="J186" s="84"/>
      <c r="K186" s="84"/>
      <c r="L186" s="84"/>
      <c r="M186" s="84"/>
      <c r="N186" s="84"/>
      <c r="O186" s="145">
        <f t="shared" si="20"/>
        <v>0</v>
      </c>
    </row>
    <row r="187" spans="1:15" outlineLevel="1" x14ac:dyDescent="0.25">
      <c r="A187" s="151"/>
      <c r="B187" s="84"/>
      <c r="C187" s="84"/>
      <c r="D187" s="84"/>
      <c r="E187" s="84"/>
      <c r="F187" s="84"/>
      <c r="G187" s="84"/>
      <c r="H187" s="84"/>
      <c r="I187" s="84"/>
      <c r="J187" s="84"/>
      <c r="K187" s="84"/>
      <c r="L187" s="84"/>
      <c r="M187" s="84"/>
      <c r="N187" s="84"/>
      <c r="O187" s="145">
        <f t="shared" si="20"/>
        <v>0</v>
      </c>
    </row>
    <row r="188" spans="1:15" s="140" customFormat="1" ht="15.75" x14ac:dyDescent="0.25">
      <c r="A188" s="157" t="s">
        <v>35</v>
      </c>
      <c r="B188" s="139">
        <f t="shared" ref="B188:N188" si="25">SUM(B189:B192)</f>
        <v>0</v>
      </c>
      <c r="C188" s="139">
        <v>30</v>
      </c>
      <c r="D188" s="139"/>
      <c r="E188" s="139"/>
      <c r="F188" s="139"/>
      <c r="G188" s="139"/>
      <c r="H188" s="139">
        <f t="shared" si="25"/>
        <v>0</v>
      </c>
      <c r="I188" s="139">
        <f t="shared" si="25"/>
        <v>0</v>
      </c>
      <c r="J188" s="139">
        <f t="shared" si="25"/>
        <v>0</v>
      </c>
      <c r="K188" s="139">
        <f t="shared" si="25"/>
        <v>0</v>
      </c>
      <c r="L188" s="139">
        <f t="shared" si="25"/>
        <v>0</v>
      </c>
      <c r="M188" s="139">
        <f t="shared" si="25"/>
        <v>0</v>
      </c>
      <c r="N188" s="139">
        <f t="shared" si="25"/>
        <v>0</v>
      </c>
      <c r="O188" s="158">
        <f t="shared" ref="O188" si="26">SUM(O189:O192)</f>
        <v>30</v>
      </c>
    </row>
    <row r="189" spans="1:15" outlineLevel="1" x14ac:dyDescent="0.25">
      <c r="A189" s="151" t="s">
        <v>357</v>
      </c>
      <c r="B189" s="84"/>
      <c r="C189" s="84">
        <v>10</v>
      </c>
      <c r="D189" s="84"/>
      <c r="E189" s="84"/>
      <c r="F189" s="84"/>
      <c r="G189" s="84"/>
      <c r="H189" s="84">
        <v>0</v>
      </c>
      <c r="I189" s="84"/>
      <c r="J189" s="84"/>
      <c r="K189" s="84"/>
      <c r="L189" s="84">
        <v>0</v>
      </c>
      <c r="M189" s="84">
        <v>0</v>
      </c>
      <c r="N189" s="84">
        <v>0</v>
      </c>
      <c r="O189" s="145">
        <f t="shared" si="20"/>
        <v>10</v>
      </c>
    </row>
    <row r="190" spans="1:15" outlineLevel="1" x14ac:dyDescent="0.25">
      <c r="A190" s="151" t="s">
        <v>358</v>
      </c>
      <c r="B190" s="84"/>
      <c r="C190" s="84">
        <v>10</v>
      </c>
      <c r="D190" s="84"/>
      <c r="E190" s="84"/>
      <c r="F190" s="84"/>
      <c r="G190" s="84"/>
      <c r="H190" s="84">
        <v>0</v>
      </c>
      <c r="I190" s="84"/>
      <c r="J190" s="84"/>
      <c r="K190" s="84"/>
      <c r="L190" s="84">
        <v>0</v>
      </c>
      <c r="M190" s="84">
        <v>0</v>
      </c>
      <c r="N190" s="84">
        <v>0</v>
      </c>
      <c r="O190" s="145">
        <f t="shared" si="20"/>
        <v>10</v>
      </c>
    </row>
    <row r="191" spans="1:15" outlineLevel="1" x14ac:dyDescent="0.25">
      <c r="A191" s="151" t="s">
        <v>359</v>
      </c>
      <c r="B191" s="84"/>
      <c r="C191" s="84">
        <v>10</v>
      </c>
      <c r="D191" s="84"/>
      <c r="E191" s="84"/>
      <c r="F191" s="84"/>
      <c r="G191" s="84"/>
      <c r="H191" s="84">
        <v>0</v>
      </c>
      <c r="I191" s="84"/>
      <c r="J191" s="84"/>
      <c r="K191" s="84"/>
      <c r="L191" s="84">
        <v>0</v>
      </c>
      <c r="M191" s="84">
        <v>0</v>
      </c>
      <c r="N191" s="84">
        <v>0</v>
      </c>
      <c r="O191" s="145">
        <f t="shared" si="20"/>
        <v>10</v>
      </c>
    </row>
    <row r="192" spans="1:15" s="3" customFormat="1" outlineLevel="1" x14ac:dyDescent="0.25">
      <c r="A192" s="159"/>
      <c r="B192" s="86"/>
      <c r="C192" s="86"/>
      <c r="D192" s="86"/>
      <c r="E192" s="86"/>
      <c r="F192" s="86"/>
      <c r="G192" s="86"/>
      <c r="H192" s="86">
        <v>0</v>
      </c>
      <c r="I192" s="86"/>
      <c r="J192" s="86"/>
      <c r="K192" s="86"/>
      <c r="L192" s="84"/>
      <c r="M192" s="84"/>
      <c r="N192" s="84"/>
      <c r="O192" s="154">
        <f t="shared" si="20"/>
        <v>0</v>
      </c>
    </row>
    <row r="193" spans="1:132" s="141" customFormat="1" ht="17.25" x14ac:dyDescent="0.3">
      <c r="A193" s="155" t="s">
        <v>102</v>
      </c>
      <c r="B193" s="142">
        <f t="shared" ref="B193:N193" si="27">SUM(B194:B203)</f>
        <v>0</v>
      </c>
      <c r="C193" s="142">
        <v>80</v>
      </c>
      <c r="D193" s="142"/>
      <c r="E193" s="142"/>
      <c r="F193" s="142"/>
      <c r="G193" s="142"/>
      <c r="H193" s="142">
        <f t="shared" si="27"/>
        <v>0</v>
      </c>
      <c r="I193" s="142">
        <f t="shared" si="27"/>
        <v>0</v>
      </c>
      <c r="J193" s="142">
        <f t="shared" si="27"/>
        <v>0</v>
      </c>
      <c r="K193" s="142">
        <f t="shared" si="27"/>
        <v>0</v>
      </c>
      <c r="L193" s="142">
        <f t="shared" si="27"/>
        <v>0</v>
      </c>
      <c r="M193" s="142">
        <f t="shared" si="27"/>
        <v>0</v>
      </c>
      <c r="N193" s="142">
        <f t="shared" si="27"/>
        <v>0</v>
      </c>
      <c r="O193" s="156">
        <f t="shared" ref="O193" si="28">SUM(O194:O203)</f>
        <v>80</v>
      </c>
    </row>
    <row r="194" spans="1:132" outlineLevel="1" x14ac:dyDescent="0.25">
      <c r="A194" s="150" t="s">
        <v>95</v>
      </c>
      <c r="B194" s="143"/>
      <c r="C194" s="143">
        <v>10</v>
      </c>
      <c r="D194" s="143"/>
      <c r="E194" s="143"/>
      <c r="F194" s="143"/>
      <c r="G194" s="143"/>
      <c r="H194" s="143"/>
      <c r="I194" s="143"/>
      <c r="J194" s="143"/>
      <c r="K194" s="143"/>
      <c r="L194" s="84"/>
      <c r="M194" s="84"/>
      <c r="N194" s="144"/>
      <c r="O194" s="145">
        <f t="shared" si="20"/>
        <v>10</v>
      </c>
    </row>
    <row r="195" spans="1:132" outlineLevel="1" x14ac:dyDescent="0.25">
      <c r="A195" s="150" t="s">
        <v>96</v>
      </c>
      <c r="B195" s="84"/>
      <c r="C195" s="84">
        <v>10</v>
      </c>
      <c r="D195" s="84"/>
      <c r="E195" s="84"/>
      <c r="F195" s="84"/>
      <c r="G195" s="84"/>
      <c r="H195" s="84"/>
      <c r="I195" s="84"/>
      <c r="J195" s="84"/>
      <c r="K195" s="84"/>
      <c r="L195" s="84"/>
      <c r="M195" s="84"/>
      <c r="N195" s="145"/>
      <c r="O195" s="145">
        <f t="shared" si="20"/>
        <v>10</v>
      </c>
    </row>
    <row r="196" spans="1:132" outlineLevel="1" x14ac:dyDescent="0.25">
      <c r="A196" s="150" t="s">
        <v>97</v>
      </c>
      <c r="B196" s="84"/>
      <c r="C196" s="84">
        <v>10</v>
      </c>
      <c r="D196" s="84"/>
      <c r="E196" s="84"/>
      <c r="F196" s="84"/>
      <c r="G196" s="84"/>
      <c r="H196" s="84"/>
      <c r="I196" s="84"/>
      <c r="J196" s="84"/>
      <c r="K196" s="84"/>
      <c r="L196" s="84"/>
      <c r="M196" s="84"/>
      <c r="N196" s="145"/>
      <c r="O196" s="145">
        <f t="shared" si="20"/>
        <v>10</v>
      </c>
    </row>
    <row r="197" spans="1:132" outlineLevel="1" x14ac:dyDescent="0.25">
      <c r="A197" s="150" t="s">
        <v>31</v>
      </c>
      <c r="B197" s="84"/>
      <c r="C197" s="84">
        <v>10</v>
      </c>
      <c r="D197" s="84"/>
      <c r="E197" s="84"/>
      <c r="F197" s="84"/>
      <c r="G197" s="84"/>
      <c r="H197" s="84"/>
      <c r="I197" s="84"/>
      <c r="J197" s="84"/>
      <c r="K197" s="84"/>
      <c r="L197" s="84"/>
      <c r="M197" s="84"/>
      <c r="N197" s="145"/>
      <c r="O197" s="145">
        <f t="shared" si="20"/>
        <v>10</v>
      </c>
    </row>
    <row r="198" spans="1:132" outlineLevel="1" x14ac:dyDescent="0.25">
      <c r="A198" s="150" t="s">
        <v>98</v>
      </c>
      <c r="B198" s="84"/>
      <c r="C198" s="84">
        <v>10</v>
      </c>
      <c r="D198" s="84"/>
      <c r="E198" s="84"/>
      <c r="F198" s="84"/>
      <c r="G198" s="84"/>
      <c r="H198" s="84"/>
      <c r="I198" s="84"/>
      <c r="J198" s="84"/>
      <c r="K198" s="84"/>
      <c r="L198" s="84"/>
      <c r="M198" s="84"/>
      <c r="N198" s="145"/>
      <c r="O198" s="145">
        <f t="shared" si="20"/>
        <v>10</v>
      </c>
    </row>
    <row r="199" spans="1:132" outlineLevel="1" x14ac:dyDescent="0.25">
      <c r="A199" s="150" t="s">
        <v>32</v>
      </c>
      <c r="B199" s="84"/>
      <c r="C199" s="84">
        <v>10</v>
      </c>
      <c r="D199" s="84"/>
      <c r="E199" s="84"/>
      <c r="F199" s="84"/>
      <c r="G199" s="84"/>
      <c r="H199" s="84"/>
      <c r="I199" s="84"/>
      <c r="J199" s="84"/>
      <c r="K199" s="84"/>
      <c r="L199" s="84"/>
      <c r="M199" s="84"/>
      <c r="N199" s="145"/>
      <c r="O199" s="145">
        <f t="shared" si="20"/>
        <v>10</v>
      </c>
    </row>
    <row r="200" spans="1:132" outlineLevel="1" x14ac:dyDescent="0.25">
      <c r="A200" s="150" t="s">
        <v>99</v>
      </c>
      <c r="B200" s="84"/>
      <c r="C200" s="84">
        <v>10</v>
      </c>
      <c r="D200" s="84"/>
      <c r="E200" s="84"/>
      <c r="F200" s="84"/>
      <c r="G200" s="84"/>
      <c r="H200" s="84"/>
      <c r="I200" s="84"/>
      <c r="J200" s="84"/>
      <c r="K200" s="84"/>
      <c r="L200" s="84"/>
      <c r="M200" s="84"/>
      <c r="N200" s="145"/>
      <c r="O200" s="145">
        <f t="shared" si="20"/>
        <v>10</v>
      </c>
    </row>
    <row r="201" spans="1:132" outlineLevel="1" x14ac:dyDescent="0.25">
      <c r="A201" s="150" t="s">
        <v>361</v>
      </c>
      <c r="B201" s="84"/>
      <c r="C201" s="84">
        <v>10</v>
      </c>
      <c r="D201" s="84"/>
      <c r="E201" s="84"/>
      <c r="F201" s="84"/>
      <c r="G201" s="84"/>
      <c r="H201" s="84"/>
      <c r="I201" s="84"/>
      <c r="J201" s="84"/>
      <c r="K201" s="84"/>
      <c r="L201" s="84"/>
      <c r="M201" s="84"/>
      <c r="N201" s="145"/>
      <c r="O201" s="145">
        <f t="shared" si="20"/>
        <v>10</v>
      </c>
    </row>
    <row r="202" spans="1:132" outlineLevel="1" x14ac:dyDescent="0.25">
      <c r="A202" s="150"/>
      <c r="B202" s="84"/>
      <c r="C202" s="84"/>
      <c r="D202" s="84"/>
      <c r="E202" s="84"/>
      <c r="F202" s="84"/>
      <c r="G202" s="84"/>
      <c r="H202" s="84"/>
      <c r="I202" s="84"/>
      <c r="J202" s="84"/>
      <c r="K202" s="84"/>
      <c r="L202" s="84"/>
      <c r="M202" s="84"/>
      <c r="N202" s="145"/>
      <c r="O202" s="145">
        <f t="shared" si="20"/>
        <v>0</v>
      </c>
    </row>
    <row r="203" spans="1:132" s="8" customFormat="1" ht="18" customHeight="1" x14ac:dyDescent="0.25">
      <c r="A203" s="160"/>
      <c r="B203" s="84"/>
      <c r="C203" s="84"/>
      <c r="D203" s="84"/>
      <c r="E203" s="84"/>
      <c r="F203" s="84"/>
      <c r="G203" s="84"/>
      <c r="H203" s="84"/>
      <c r="I203" s="84"/>
      <c r="J203" s="84"/>
      <c r="K203" s="84"/>
      <c r="L203" s="84"/>
      <c r="M203" s="84"/>
      <c r="N203" s="207"/>
      <c r="O203" s="145">
        <f t="shared" si="20"/>
        <v>0</v>
      </c>
    </row>
    <row r="204" spans="1:132" s="136" customFormat="1" ht="19.5" thickBot="1" x14ac:dyDescent="0.35">
      <c r="A204" s="165" t="s">
        <v>113</v>
      </c>
      <c r="B204" s="134">
        <f>+B34-B36</f>
        <v>0</v>
      </c>
      <c r="C204" s="134">
        <f>+C34-C36</f>
        <v>3710</v>
      </c>
      <c r="D204" s="134">
        <f t="shared" ref="D204:K204" si="29">+D34-D36</f>
        <v>0</v>
      </c>
      <c r="E204" s="134">
        <f t="shared" si="29"/>
        <v>0</v>
      </c>
      <c r="F204" s="134">
        <f t="shared" si="29"/>
        <v>0</v>
      </c>
      <c r="G204" s="134">
        <f t="shared" si="29"/>
        <v>0</v>
      </c>
      <c r="H204" s="134">
        <f t="shared" si="29"/>
        <v>0</v>
      </c>
      <c r="I204" s="134">
        <f t="shared" si="29"/>
        <v>0</v>
      </c>
      <c r="J204" s="134">
        <f t="shared" si="29"/>
        <v>0</v>
      </c>
      <c r="K204" s="134">
        <f t="shared" si="29"/>
        <v>0</v>
      </c>
      <c r="L204" s="134">
        <f t="shared" ref="L204:O204" si="30">+L34-L36</f>
        <v>0</v>
      </c>
      <c r="M204" s="134">
        <f t="shared" si="30"/>
        <v>0</v>
      </c>
      <c r="N204" s="134">
        <f t="shared" si="30"/>
        <v>0</v>
      </c>
      <c r="O204" s="166">
        <f t="shared" si="30"/>
        <v>3710</v>
      </c>
      <c r="P204" s="135"/>
      <c r="Q204" s="135"/>
      <c r="R204" s="135"/>
      <c r="S204" s="135"/>
      <c r="T204" s="135"/>
      <c r="U204" s="135"/>
      <c r="V204" s="135"/>
      <c r="W204" s="135"/>
      <c r="X204" s="135"/>
      <c r="Y204" s="135"/>
      <c r="Z204" s="135"/>
      <c r="AA204" s="135"/>
      <c r="AB204" s="135"/>
      <c r="AC204" s="135"/>
      <c r="AD204" s="135"/>
      <c r="AE204" s="135"/>
      <c r="AF204" s="135"/>
      <c r="AG204" s="135"/>
      <c r="AH204" s="135"/>
      <c r="AI204" s="135"/>
      <c r="AJ204" s="135"/>
      <c r="AK204" s="135"/>
      <c r="AL204" s="135"/>
      <c r="AM204" s="135"/>
      <c r="AN204" s="135"/>
      <c r="AO204" s="135"/>
      <c r="AP204" s="135"/>
      <c r="AQ204" s="135"/>
      <c r="AR204" s="135"/>
      <c r="AS204" s="135"/>
      <c r="AT204" s="135"/>
      <c r="AU204" s="135"/>
      <c r="AV204" s="135"/>
      <c r="AW204" s="135"/>
      <c r="AX204" s="135"/>
      <c r="AY204" s="135"/>
      <c r="AZ204" s="135"/>
      <c r="BA204" s="135"/>
      <c r="BB204" s="135"/>
      <c r="BC204" s="135"/>
      <c r="BD204" s="135"/>
      <c r="BE204" s="135"/>
      <c r="BF204" s="135"/>
      <c r="BG204" s="135"/>
      <c r="BH204" s="135"/>
      <c r="BI204" s="135"/>
      <c r="BJ204" s="135"/>
      <c r="BK204" s="135"/>
      <c r="BL204" s="135"/>
      <c r="BM204" s="135"/>
      <c r="BN204" s="135"/>
      <c r="BO204" s="135"/>
      <c r="BP204" s="135"/>
      <c r="BQ204" s="135"/>
      <c r="BR204" s="135"/>
      <c r="BS204" s="135"/>
      <c r="BT204" s="135"/>
      <c r="BU204" s="135"/>
      <c r="BV204" s="135"/>
      <c r="BW204" s="135"/>
      <c r="BX204" s="135"/>
      <c r="BY204" s="135"/>
      <c r="BZ204" s="135"/>
      <c r="CA204" s="135"/>
      <c r="CB204" s="135"/>
      <c r="CC204" s="135"/>
      <c r="CD204" s="135"/>
      <c r="CE204" s="135"/>
      <c r="CF204" s="135"/>
      <c r="CG204" s="135"/>
      <c r="CH204" s="135"/>
      <c r="CI204" s="135"/>
      <c r="CJ204" s="135"/>
      <c r="CK204" s="135"/>
      <c r="CL204" s="135"/>
      <c r="CM204" s="135"/>
      <c r="CN204" s="135"/>
      <c r="CO204" s="135"/>
      <c r="CP204" s="135"/>
      <c r="CQ204" s="135"/>
      <c r="CR204" s="135"/>
      <c r="CS204" s="135"/>
      <c r="CT204" s="135"/>
      <c r="CU204" s="135"/>
      <c r="CV204" s="135"/>
      <c r="CW204" s="135"/>
      <c r="CX204" s="135"/>
      <c r="CY204" s="135"/>
      <c r="CZ204" s="135"/>
      <c r="DA204" s="135"/>
      <c r="DB204" s="135"/>
      <c r="DC204" s="135"/>
      <c r="DD204" s="135"/>
      <c r="DE204" s="135"/>
      <c r="DF204" s="135"/>
      <c r="DG204" s="135"/>
      <c r="DH204" s="135"/>
      <c r="DI204" s="135"/>
      <c r="DJ204" s="135"/>
      <c r="DK204" s="135"/>
      <c r="DL204" s="135"/>
      <c r="DM204" s="135"/>
      <c r="DN204" s="135"/>
      <c r="DO204" s="135"/>
      <c r="DP204" s="135"/>
      <c r="DQ204" s="135"/>
      <c r="DR204" s="135"/>
      <c r="DS204" s="135"/>
      <c r="DT204" s="135"/>
      <c r="DU204" s="135"/>
      <c r="DV204" s="135"/>
      <c r="DW204" s="135"/>
      <c r="DX204" s="135"/>
      <c r="DY204" s="135"/>
      <c r="DZ204" s="135"/>
      <c r="EA204" s="135"/>
      <c r="EB204" s="135"/>
    </row>
    <row r="205" spans="1:132" s="8" customFormat="1" ht="18" customHeight="1" collapsed="1" thickTop="1" x14ac:dyDescent="0.25">
      <c r="A205" s="160" t="s">
        <v>28</v>
      </c>
      <c r="B205" s="128"/>
      <c r="C205" s="128"/>
      <c r="D205" s="128"/>
      <c r="E205" s="128"/>
      <c r="F205" s="128"/>
      <c r="G205" s="128"/>
      <c r="H205" s="128"/>
      <c r="I205" s="128"/>
      <c r="J205" s="128"/>
      <c r="K205" s="128"/>
      <c r="L205" s="84"/>
      <c r="M205" s="84"/>
      <c r="N205" s="84"/>
      <c r="O205" s="161">
        <f>+SUM(C205:N205)</f>
        <v>0</v>
      </c>
    </row>
    <row r="206" spans="1:132" s="136" customFormat="1" ht="19.5" thickBot="1" x14ac:dyDescent="0.35">
      <c r="A206" s="162" t="s">
        <v>114</v>
      </c>
      <c r="B206" s="163">
        <f>+B204-B205</f>
        <v>0</v>
      </c>
      <c r="C206" s="163">
        <f t="shared" ref="C206:K206" si="31">+C204-C205</f>
        <v>3710</v>
      </c>
      <c r="D206" s="163">
        <f t="shared" si="31"/>
        <v>0</v>
      </c>
      <c r="E206" s="163">
        <f t="shared" si="31"/>
        <v>0</v>
      </c>
      <c r="F206" s="163">
        <f t="shared" si="31"/>
        <v>0</v>
      </c>
      <c r="G206" s="163">
        <f t="shared" si="31"/>
        <v>0</v>
      </c>
      <c r="H206" s="163">
        <f t="shared" si="31"/>
        <v>0</v>
      </c>
      <c r="I206" s="163">
        <f t="shared" si="31"/>
        <v>0</v>
      </c>
      <c r="J206" s="163">
        <f t="shared" si="31"/>
        <v>0</v>
      </c>
      <c r="K206" s="163">
        <f t="shared" si="31"/>
        <v>0</v>
      </c>
      <c r="L206" s="163">
        <f t="shared" ref="L206:O206" si="32">+L204-L205</f>
        <v>0</v>
      </c>
      <c r="M206" s="163">
        <f t="shared" si="32"/>
        <v>0</v>
      </c>
      <c r="N206" s="163">
        <f t="shared" si="32"/>
        <v>0</v>
      </c>
      <c r="O206" s="164">
        <f t="shared" si="32"/>
        <v>3710</v>
      </c>
      <c r="P206" s="135"/>
      <c r="Q206" s="135"/>
      <c r="R206" s="135"/>
      <c r="S206" s="135"/>
      <c r="T206" s="135"/>
      <c r="U206" s="135"/>
      <c r="V206" s="135"/>
      <c r="W206" s="135"/>
      <c r="X206" s="135"/>
      <c r="Y206" s="135"/>
      <c r="Z206" s="135"/>
      <c r="AA206" s="135"/>
      <c r="AB206" s="135"/>
      <c r="AC206" s="135"/>
      <c r="AD206" s="135"/>
      <c r="AE206" s="135"/>
      <c r="AF206" s="135"/>
      <c r="AG206" s="135"/>
      <c r="AH206" s="135"/>
      <c r="AI206" s="135"/>
      <c r="AJ206" s="135"/>
      <c r="AK206" s="135"/>
      <c r="AL206" s="135"/>
      <c r="AM206" s="135"/>
      <c r="AN206" s="135"/>
      <c r="AO206" s="135"/>
      <c r="AP206" s="135"/>
      <c r="AQ206" s="135"/>
      <c r="AR206" s="135"/>
      <c r="AS206" s="135"/>
      <c r="AT206" s="135"/>
      <c r="AU206" s="135"/>
      <c r="AV206" s="135"/>
      <c r="AW206" s="135"/>
      <c r="AX206" s="135"/>
      <c r="AY206" s="135"/>
      <c r="AZ206" s="135"/>
      <c r="BA206" s="135"/>
      <c r="BB206" s="135"/>
      <c r="BC206" s="135"/>
      <c r="BD206" s="135"/>
      <c r="BE206" s="135"/>
      <c r="BF206" s="135"/>
      <c r="BG206" s="135"/>
      <c r="BH206" s="135"/>
      <c r="BI206" s="135"/>
      <c r="BJ206" s="135"/>
      <c r="BK206" s="135"/>
      <c r="BL206" s="135"/>
      <c r="BM206" s="135"/>
      <c r="BN206" s="135"/>
      <c r="BO206" s="135"/>
      <c r="BP206" s="135"/>
      <c r="BQ206" s="135"/>
      <c r="BR206" s="135"/>
      <c r="BS206" s="135"/>
      <c r="BT206" s="135"/>
      <c r="BU206" s="135"/>
      <c r="BV206" s="135"/>
      <c r="BW206" s="135"/>
      <c r="BX206" s="135"/>
      <c r="BY206" s="135"/>
      <c r="BZ206" s="135"/>
      <c r="CA206" s="135"/>
      <c r="CB206" s="135"/>
      <c r="CC206" s="135"/>
      <c r="CD206" s="135"/>
      <c r="CE206" s="135"/>
      <c r="CF206" s="135"/>
      <c r="CG206" s="135"/>
      <c r="CH206" s="135"/>
      <c r="CI206" s="135"/>
      <c r="CJ206" s="135"/>
      <c r="CK206" s="135"/>
      <c r="CL206" s="135"/>
      <c r="CM206" s="135"/>
      <c r="CN206" s="135"/>
      <c r="CO206" s="135"/>
      <c r="CP206" s="135"/>
      <c r="CQ206" s="135"/>
      <c r="CR206" s="135"/>
      <c r="CS206" s="135"/>
      <c r="CT206" s="135"/>
      <c r="CU206" s="135"/>
      <c r="CV206" s="135"/>
      <c r="CW206" s="135"/>
      <c r="CX206" s="135"/>
      <c r="CY206" s="135"/>
      <c r="CZ206" s="135"/>
      <c r="DA206" s="135"/>
      <c r="DB206" s="135"/>
      <c r="DC206" s="135"/>
      <c r="DD206" s="135"/>
      <c r="DE206" s="135"/>
      <c r="DF206" s="135"/>
      <c r="DG206" s="135"/>
      <c r="DH206" s="135"/>
      <c r="DI206" s="135"/>
      <c r="DJ206" s="135"/>
      <c r="DK206" s="135"/>
      <c r="DL206" s="135"/>
      <c r="DM206" s="135"/>
      <c r="DN206" s="135"/>
      <c r="DO206" s="135"/>
      <c r="DP206" s="135"/>
      <c r="DQ206" s="135"/>
      <c r="DR206" s="135"/>
      <c r="DS206" s="135"/>
      <c r="DT206" s="135"/>
      <c r="DU206" s="135"/>
      <c r="DV206" s="135"/>
      <c r="DW206" s="135"/>
      <c r="DX206" s="135"/>
      <c r="DY206" s="135"/>
      <c r="DZ206" s="135"/>
      <c r="EA206" s="135"/>
      <c r="EB206" s="135"/>
    </row>
    <row r="207" spans="1:132" s="3" customFormat="1" ht="15.75" thickTop="1" x14ac:dyDescent="0.25">
      <c r="B207" s="71"/>
      <c r="C207" s="71"/>
      <c r="D207" s="71"/>
      <c r="E207" s="71"/>
      <c r="F207" s="71"/>
      <c r="G207" s="71"/>
      <c r="H207" s="71"/>
      <c r="I207" s="71"/>
      <c r="J207" s="71"/>
      <c r="K207" s="71"/>
      <c r="L207" s="71"/>
      <c r="M207" s="71"/>
      <c r="N207" s="71"/>
      <c r="O207" s="71"/>
    </row>
    <row r="208" spans="1:132" s="3" customFormat="1" x14ac:dyDescent="0.25">
      <c r="B208" s="71"/>
      <c r="C208" s="71"/>
      <c r="D208" s="71"/>
      <c r="E208" s="71"/>
      <c r="F208" s="71"/>
      <c r="G208" s="71"/>
      <c r="H208" s="71"/>
      <c r="I208" s="71"/>
      <c r="J208" s="71"/>
      <c r="K208" s="71"/>
      <c r="L208" s="71"/>
      <c r="M208" s="71"/>
      <c r="N208" s="71"/>
      <c r="O208" s="71"/>
    </row>
    <row r="209" spans="2:15" s="3" customFormat="1" x14ac:dyDescent="0.25">
      <c r="B209" s="71"/>
      <c r="C209" s="71"/>
      <c r="D209" s="71"/>
      <c r="E209" s="71"/>
      <c r="F209" s="71"/>
      <c r="G209" s="71"/>
      <c r="H209" s="71"/>
      <c r="I209" s="71"/>
      <c r="J209" s="71"/>
      <c r="K209" s="71"/>
      <c r="L209" s="71"/>
      <c r="M209" s="71"/>
      <c r="N209" s="71"/>
      <c r="O209" s="71"/>
    </row>
    <row r="210" spans="2:15" x14ac:dyDescent="0.25">
      <c r="O210" s="71"/>
    </row>
    <row r="211" spans="2:15" x14ac:dyDescent="0.25">
      <c r="O211" s="71"/>
    </row>
    <row r="212" spans="2:15" x14ac:dyDescent="0.25">
      <c r="O212" s="71"/>
    </row>
    <row r="213" spans="2:15" x14ac:dyDescent="0.25">
      <c r="O213" s="71"/>
    </row>
    <row r="214" spans="2:15" x14ac:dyDescent="0.25">
      <c r="O214" s="71"/>
    </row>
    <row r="215" spans="2:15" x14ac:dyDescent="0.25">
      <c r="O215" s="71"/>
    </row>
    <row r="216" spans="2:15" x14ac:dyDescent="0.25">
      <c r="O216" s="71"/>
    </row>
    <row r="217" spans="2:15" x14ac:dyDescent="0.25">
      <c r="O217" s="71"/>
    </row>
    <row r="218" spans="2:15" x14ac:dyDescent="0.25">
      <c r="O218" s="71"/>
    </row>
    <row r="219" spans="2:15" x14ac:dyDescent="0.25">
      <c r="O219" s="71"/>
    </row>
    <row r="220" spans="2:15" x14ac:dyDescent="0.25">
      <c r="O220" s="71"/>
    </row>
    <row r="221" spans="2:15" x14ac:dyDescent="0.25">
      <c r="O221" s="71"/>
    </row>
    <row r="222" spans="2:15" x14ac:dyDescent="0.25">
      <c r="O222" s="71"/>
    </row>
    <row r="223" spans="2:15" x14ac:dyDescent="0.25">
      <c r="O223" s="71"/>
    </row>
    <row r="224" spans="2:15" x14ac:dyDescent="0.25">
      <c r="O224" s="71"/>
    </row>
    <row r="225" spans="15:15" x14ac:dyDescent="0.25">
      <c r="O225" s="71"/>
    </row>
    <row r="226" spans="15:15" x14ac:dyDescent="0.25">
      <c r="O226" s="71"/>
    </row>
    <row r="227" spans="15:15" x14ac:dyDescent="0.25">
      <c r="O227" s="71"/>
    </row>
    <row r="228" spans="15:15" x14ac:dyDescent="0.25">
      <c r="O228" s="71"/>
    </row>
    <row r="229" spans="15:15" x14ac:dyDescent="0.25">
      <c r="O229" s="71"/>
    </row>
    <row r="230" spans="15:15" x14ac:dyDescent="0.25">
      <c r="O230" s="71"/>
    </row>
    <row r="231" spans="15:15" x14ac:dyDescent="0.25">
      <c r="O231" s="71"/>
    </row>
    <row r="232" spans="15:15" x14ac:dyDescent="0.25">
      <c r="O232" s="71"/>
    </row>
    <row r="233" spans="15:15" x14ac:dyDescent="0.25">
      <c r="O233" s="71"/>
    </row>
    <row r="234" spans="15:15" x14ac:dyDescent="0.25">
      <c r="O234" s="71"/>
    </row>
    <row r="235" spans="15:15" x14ac:dyDescent="0.25">
      <c r="O235" s="71"/>
    </row>
    <row r="236" spans="15:15" x14ac:dyDescent="0.25">
      <c r="O236" s="71"/>
    </row>
    <row r="237" spans="15:15" x14ac:dyDescent="0.25">
      <c r="O237" s="71"/>
    </row>
    <row r="238" spans="15:15" x14ac:dyDescent="0.25">
      <c r="O238" s="71"/>
    </row>
    <row r="239" spans="15:15" x14ac:dyDescent="0.25">
      <c r="O239" s="71"/>
    </row>
    <row r="240" spans="15:15" x14ac:dyDescent="0.25">
      <c r="O240" s="71"/>
    </row>
    <row r="241" spans="15:15" x14ac:dyDescent="0.25">
      <c r="O241" s="71"/>
    </row>
    <row r="242" spans="15:15" x14ac:dyDescent="0.25">
      <c r="O242" s="71"/>
    </row>
    <row r="243" spans="15:15" x14ac:dyDescent="0.25">
      <c r="O243" s="71"/>
    </row>
    <row r="244" spans="15:15" x14ac:dyDescent="0.25">
      <c r="O244" s="71"/>
    </row>
    <row r="245" spans="15:15" x14ac:dyDescent="0.25">
      <c r="O245" s="71"/>
    </row>
    <row r="246" spans="15:15" x14ac:dyDescent="0.25">
      <c r="O246" s="71"/>
    </row>
    <row r="247" spans="15:15" x14ac:dyDescent="0.25">
      <c r="O247" s="71"/>
    </row>
    <row r="248" spans="15:15" x14ac:dyDescent="0.25">
      <c r="O248" s="71"/>
    </row>
    <row r="249" spans="15:15" x14ac:dyDescent="0.25">
      <c r="O249" s="71"/>
    </row>
    <row r="250" spans="15:15" x14ac:dyDescent="0.25">
      <c r="O250" s="71"/>
    </row>
    <row r="251" spans="15:15" x14ac:dyDescent="0.25">
      <c r="O251" s="71"/>
    </row>
    <row r="252" spans="15:15" x14ac:dyDescent="0.25">
      <c r="O252" s="71"/>
    </row>
    <row r="253" spans="15:15" x14ac:dyDescent="0.25">
      <c r="O253" s="71"/>
    </row>
    <row r="254" spans="15:15" x14ac:dyDescent="0.25">
      <c r="O254" s="71"/>
    </row>
    <row r="255" spans="15:15" x14ac:dyDescent="0.25">
      <c r="O255" s="71"/>
    </row>
    <row r="256" spans="15:15" x14ac:dyDescent="0.25">
      <c r="O256" s="71"/>
    </row>
    <row r="257" spans="15:15" x14ac:dyDescent="0.25">
      <c r="O257" s="71"/>
    </row>
    <row r="258" spans="15:15" x14ac:dyDescent="0.25">
      <c r="O258" s="71"/>
    </row>
    <row r="259" spans="15:15" x14ac:dyDescent="0.25">
      <c r="O259" s="71"/>
    </row>
    <row r="260" spans="15:15" x14ac:dyDescent="0.25">
      <c r="O260" s="71"/>
    </row>
    <row r="261" spans="15:15" x14ac:dyDescent="0.25">
      <c r="O261" s="71"/>
    </row>
    <row r="262" spans="15:15" x14ac:dyDescent="0.25">
      <c r="O262" s="71"/>
    </row>
    <row r="263" spans="15:15" x14ac:dyDescent="0.25">
      <c r="O263" s="71"/>
    </row>
    <row r="264" spans="15:15" x14ac:dyDescent="0.25">
      <c r="O264" s="71"/>
    </row>
    <row r="265" spans="15:15" x14ac:dyDescent="0.25">
      <c r="O265" s="71"/>
    </row>
    <row r="266" spans="15:15" x14ac:dyDescent="0.25">
      <c r="O266" s="71"/>
    </row>
    <row r="267" spans="15:15" x14ac:dyDescent="0.25">
      <c r="O267" s="71"/>
    </row>
    <row r="268" spans="15:15" x14ac:dyDescent="0.25">
      <c r="O268" s="71"/>
    </row>
    <row r="269" spans="15:15" x14ac:dyDescent="0.25">
      <c r="O269" s="71"/>
    </row>
    <row r="270" spans="15:15" x14ac:dyDescent="0.25">
      <c r="O270" s="71"/>
    </row>
    <row r="271" spans="15:15" x14ac:dyDescent="0.25">
      <c r="O271" s="71"/>
    </row>
    <row r="272" spans="15:15" x14ac:dyDescent="0.25">
      <c r="O272" s="71"/>
    </row>
    <row r="273" spans="15:15" x14ac:dyDescent="0.25">
      <c r="O273" s="71"/>
    </row>
    <row r="274" spans="15:15" x14ac:dyDescent="0.25">
      <c r="O274" s="71"/>
    </row>
    <row r="275" spans="15:15" x14ac:dyDescent="0.25">
      <c r="O275" s="71"/>
    </row>
    <row r="276" spans="15:15" x14ac:dyDescent="0.25">
      <c r="O276" s="71"/>
    </row>
    <row r="277" spans="15:15" x14ac:dyDescent="0.25">
      <c r="O277" s="71"/>
    </row>
    <row r="278" spans="15:15" x14ac:dyDescent="0.25">
      <c r="O278" s="71"/>
    </row>
    <row r="279" spans="15:15" x14ac:dyDescent="0.25">
      <c r="O279" s="71"/>
    </row>
    <row r="280" spans="15:15" x14ac:dyDescent="0.25">
      <c r="O280" s="71"/>
    </row>
    <row r="281" spans="15:15" x14ac:dyDescent="0.25">
      <c r="O281" s="71"/>
    </row>
    <row r="282" spans="15:15" x14ac:dyDescent="0.25">
      <c r="O282" s="71"/>
    </row>
    <row r="283" spans="15:15" x14ac:dyDescent="0.25">
      <c r="O283" s="71"/>
    </row>
    <row r="284" spans="15:15" x14ac:dyDescent="0.25">
      <c r="O284" s="71"/>
    </row>
    <row r="285" spans="15:15" x14ac:dyDescent="0.25">
      <c r="O285" s="71"/>
    </row>
    <row r="286" spans="15:15" x14ac:dyDescent="0.25">
      <c r="O286" s="71"/>
    </row>
    <row r="287" spans="15:15" x14ac:dyDescent="0.25">
      <c r="O287" s="71"/>
    </row>
    <row r="288" spans="15:15" x14ac:dyDescent="0.25">
      <c r="O288" s="71"/>
    </row>
    <row r="289" spans="15:15" x14ac:dyDescent="0.25">
      <c r="O289" s="71"/>
    </row>
    <row r="290" spans="15:15" x14ac:dyDescent="0.25">
      <c r="O290" s="71"/>
    </row>
    <row r="291" spans="15:15" x14ac:dyDescent="0.25">
      <c r="O291" s="71"/>
    </row>
    <row r="292" spans="15:15" x14ac:dyDescent="0.25">
      <c r="O292" s="71"/>
    </row>
    <row r="293" spans="15:15" x14ac:dyDescent="0.25">
      <c r="O293" s="71"/>
    </row>
    <row r="294" spans="15:15" x14ac:dyDescent="0.25">
      <c r="O294" s="71"/>
    </row>
    <row r="295" spans="15:15" x14ac:dyDescent="0.25">
      <c r="O295" s="71"/>
    </row>
    <row r="296" spans="15:15" x14ac:dyDescent="0.25">
      <c r="O296" s="71"/>
    </row>
    <row r="297" spans="15:15" x14ac:dyDescent="0.25">
      <c r="O297" s="71"/>
    </row>
    <row r="298" spans="15:15" x14ac:dyDescent="0.25">
      <c r="O298" s="71"/>
    </row>
    <row r="299" spans="15:15" x14ac:dyDescent="0.25">
      <c r="O299" s="71"/>
    </row>
    <row r="300" spans="15:15" x14ac:dyDescent="0.25">
      <c r="O300" s="71"/>
    </row>
    <row r="301" spans="15:15" x14ac:dyDescent="0.25">
      <c r="O301" s="71"/>
    </row>
    <row r="302" spans="15:15" x14ac:dyDescent="0.25">
      <c r="O302" s="71"/>
    </row>
    <row r="303" spans="15:15" x14ac:dyDescent="0.25">
      <c r="O303" s="71"/>
    </row>
    <row r="304" spans="15:15" x14ac:dyDescent="0.25">
      <c r="O304" s="71"/>
    </row>
    <row r="305" spans="15:15" x14ac:dyDescent="0.25">
      <c r="O305" s="71"/>
    </row>
    <row r="306" spans="15:15" x14ac:dyDescent="0.25">
      <c r="O306" s="71"/>
    </row>
    <row r="307" spans="15:15" x14ac:dyDescent="0.25">
      <c r="O307" s="71"/>
    </row>
    <row r="308" spans="15:15" x14ac:dyDescent="0.25">
      <c r="O308" s="71"/>
    </row>
    <row r="309" spans="15:15" x14ac:dyDescent="0.25">
      <c r="O309" s="71"/>
    </row>
    <row r="310" spans="15:15" x14ac:dyDescent="0.25">
      <c r="O310" s="71"/>
    </row>
    <row r="311" spans="15:15" x14ac:dyDescent="0.25">
      <c r="O311" s="71"/>
    </row>
    <row r="312" spans="15:15" x14ac:dyDescent="0.25">
      <c r="O312" s="71"/>
    </row>
    <row r="313" spans="15:15" x14ac:dyDescent="0.25">
      <c r="O313" s="71"/>
    </row>
    <row r="314" spans="15:15" x14ac:dyDescent="0.25">
      <c r="O314" s="71"/>
    </row>
  </sheetData>
  <mergeCells count="1">
    <mergeCell ref="C2:O2"/>
  </mergeCells>
  <pageMargins left="0.7" right="0.7" top="0.75" bottom="0.75" header="0.3" footer="0.3"/>
  <pageSetup paperSize="9" orientation="portrait" r:id="rId1"/>
  <headerFooter>
    <oddHeader>&amp;LElaborado por:&amp;CCarmen Eugenia Quintero Q.</oddHead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N468"/>
  <sheetViews>
    <sheetView showGridLines="0" zoomScale="70" zoomScaleNormal="70" workbookViewId="0">
      <pane xSplit="1" ySplit="3" topLeftCell="B439" activePane="bottomRight" state="frozen"/>
      <selection activeCell="P199" sqref="P199"/>
      <selection pane="topRight" activeCell="P199" sqref="P199"/>
      <selection pane="bottomLeft" activeCell="P199" sqref="P199"/>
      <selection pane="bottomRight" activeCell="A25" sqref="A25"/>
    </sheetView>
  </sheetViews>
  <sheetFormatPr baseColWidth="10" defaultRowHeight="15" outlineLevelRow="1" x14ac:dyDescent="0.25"/>
  <cols>
    <col min="1" max="1" width="74.5703125" style="4" bestFit="1" customWidth="1"/>
    <col min="2" max="2" width="14.7109375" style="83" customWidth="1"/>
    <col min="3" max="3" width="12.42578125" style="83" bestFit="1" customWidth="1"/>
    <col min="4" max="4" width="12.85546875" style="83" customWidth="1"/>
    <col min="5" max="5" width="15" style="83" customWidth="1"/>
    <col min="6" max="6" width="12.28515625" style="83" customWidth="1"/>
    <col min="7" max="7" width="13.42578125" style="83" customWidth="1"/>
    <col min="8" max="8" width="14.42578125" style="83" customWidth="1"/>
    <col min="9" max="9" width="11.28515625" style="83" bestFit="1" customWidth="1"/>
    <col min="10" max="10" width="11.42578125" style="83" bestFit="1" customWidth="1"/>
    <col min="11" max="11" width="15.28515625" style="83" customWidth="1"/>
    <col min="12" max="12" width="11.28515625" style="83" bestFit="1" customWidth="1"/>
    <col min="13" max="13" width="11.42578125" style="83" bestFit="1" customWidth="1"/>
    <col min="14" max="14" width="14.140625" style="83" bestFit="1" customWidth="1"/>
    <col min="15" max="140" width="11.5703125" style="4"/>
    <col min="141" max="141" width="39.28515625" style="4" customWidth="1"/>
    <col min="142" max="396" width="11.5703125" style="4"/>
    <col min="397" max="397" width="39.28515625" style="4" customWidth="1"/>
    <col min="398" max="652" width="11.5703125" style="4"/>
    <col min="653" max="653" width="39.28515625" style="4" customWidth="1"/>
    <col min="654" max="908" width="11.5703125" style="4"/>
    <col min="909" max="909" width="39.28515625" style="4" customWidth="1"/>
    <col min="910" max="1164" width="11.5703125" style="4"/>
    <col min="1165" max="1165" width="39.28515625" style="4" customWidth="1"/>
    <col min="1166" max="1420" width="11.5703125" style="4"/>
    <col min="1421" max="1421" width="39.28515625" style="4" customWidth="1"/>
    <col min="1422" max="1676" width="11.5703125" style="4"/>
    <col min="1677" max="1677" width="39.28515625" style="4" customWidth="1"/>
    <col min="1678" max="1932" width="11.5703125" style="4"/>
    <col min="1933" max="1933" width="39.28515625" style="4" customWidth="1"/>
    <col min="1934" max="2188" width="11.5703125" style="4"/>
    <col min="2189" max="2189" width="39.28515625" style="4" customWidth="1"/>
    <col min="2190" max="2444" width="11.5703125" style="4"/>
    <col min="2445" max="2445" width="39.28515625" style="4" customWidth="1"/>
    <col min="2446" max="2700" width="11.5703125" style="4"/>
    <col min="2701" max="2701" width="39.28515625" style="4" customWidth="1"/>
    <col min="2702" max="2956" width="11.5703125" style="4"/>
    <col min="2957" max="2957" width="39.28515625" style="4" customWidth="1"/>
    <col min="2958" max="3212" width="11.5703125" style="4"/>
    <col min="3213" max="3213" width="39.28515625" style="4" customWidth="1"/>
    <col min="3214" max="3468" width="11.5703125" style="4"/>
    <col min="3469" max="3469" width="39.28515625" style="4" customWidth="1"/>
    <col min="3470" max="3724" width="11.5703125" style="4"/>
    <col min="3725" max="3725" width="39.28515625" style="4" customWidth="1"/>
    <col min="3726" max="3980" width="11.5703125" style="4"/>
    <col min="3981" max="3981" width="39.28515625" style="4" customWidth="1"/>
    <col min="3982" max="4236" width="11.5703125" style="4"/>
    <col min="4237" max="4237" width="39.28515625" style="4" customWidth="1"/>
    <col min="4238" max="4492" width="11.5703125" style="4"/>
    <col min="4493" max="4493" width="39.28515625" style="4" customWidth="1"/>
    <col min="4494" max="4748" width="11.5703125" style="4"/>
    <col min="4749" max="4749" width="39.28515625" style="4" customWidth="1"/>
    <col min="4750" max="5004" width="11.5703125" style="4"/>
    <col min="5005" max="5005" width="39.28515625" style="4" customWidth="1"/>
    <col min="5006" max="5260" width="11.5703125" style="4"/>
    <col min="5261" max="5261" width="39.28515625" style="4" customWidth="1"/>
    <col min="5262" max="5516" width="11.5703125" style="4"/>
    <col min="5517" max="5517" width="39.28515625" style="4" customWidth="1"/>
    <col min="5518" max="5772" width="11.5703125" style="4"/>
    <col min="5773" max="5773" width="39.28515625" style="4" customWidth="1"/>
    <col min="5774" max="6028" width="11.5703125" style="4"/>
    <col min="6029" max="6029" width="39.28515625" style="4" customWidth="1"/>
    <col min="6030" max="6284" width="11.5703125" style="4"/>
    <col min="6285" max="6285" width="39.28515625" style="4" customWidth="1"/>
    <col min="6286" max="6540" width="11.5703125" style="4"/>
    <col min="6541" max="6541" width="39.28515625" style="4" customWidth="1"/>
    <col min="6542" max="6796" width="11.5703125" style="4"/>
    <col min="6797" max="6797" width="39.28515625" style="4" customWidth="1"/>
    <col min="6798" max="7052" width="11.5703125" style="4"/>
    <col min="7053" max="7053" width="39.28515625" style="4" customWidth="1"/>
    <col min="7054" max="7308" width="11.5703125" style="4"/>
    <col min="7309" max="7309" width="39.28515625" style="4" customWidth="1"/>
    <col min="7310" max="7564" width="11.5703125" style="4"/>
    <col min="7565" max="7565" width="39.28515625" style="4" customWidth="1"/>
    <col min="7566" max="7820" width="11.5703125" style="4"/>
    <col min="7821" max="7821" width="39.28515625" style="4" customWidth="1"/>
    <col min="7822" max="8076" width="11.5703125" style="4"/>
    <col min="8077" max="8077" width="39.28515625" style="4" customWidth="1"/>
    <col min="8078" max="8332" width="11.5703125" style="4"/>
    <col min="8333" max="8333" width="39.28515625" style="4" customWidth="1"/>
    <col min="8334" max="8588" width="11.5703125" style="4"/>
    <col min="8589" max="8589" width="39.28515625" style="4" customWidth="1"/>
    <col min="8590" max="8844" width="11.5703125" style="4"/>
    <col min="8845" max="8845" width="39.28515625" style="4" customWidth="1"/>
    <col min="8846" max="9100" width="11.5703125" style="4"/>
    <col min="9101" max="9101" width="39.28515625" style="4" customWidth="1"/>
    <col min="9102" max="9356" width="11.5703125" style="4"/>
    <col min="9357" max="9357" width="39.28515625" style="4" customWidth="1"/>
    <col min="9358" max="9612" width="11.5703125" style="4"/>
    <col min="9613" max="9613" width="39.28515625" style="4" customWidth="1"/>
    <col min="9614" max="9868" width="11.5703125" style="4"/>
    <col min="9869" max="9869" width="39.28515625" style="4" customWidth="1"/>
    <col min="9870" max="10124" width="11.5703125" style="4"/>
    <col min="10125" max="10125" width="39.28515625" style="4" customWidth="1"/>
    <col min="10126" max="10380" width="11.5703125" style="4"/>
    <col min="10381" max="10381" width="39.28515625" style="4" customWidth="1"/>
    <col min="10382" max="10636" width="11.5703125" style="4"/>
    <col min="10637" max="10637" width="39.28515625" style="4" customWidth="1"/>
    <col min="10638" max="10892" width="11.5703125" style="4"/>
    <col min="10893" max="10893" width="39.28515625" style="4" customWidth="1"/>
    <col min="10894" max="11148" width="11.5703125" style="4"/>
    <col min="11149" max="11149" width="39.28515625" style="4" customWidth="1"/>
    <col min="11150" max="11404" width="11.5703125" style="4"/>
    <col min="11405" max="11405" width="39.28515625" style="4" customWidth="1"/>
    <col min="11406" max="11660" width="11.5703125" style="4"/>
    <col min="11661" max="11661" width="39.28515625" style="4" customWidth="1"/>
    <col min="11662" max="11916" width="11.5703125" style="4"/>
    <col min="11917" max="11917" width="39.28515625" style="4" customWidth="1"/>
    <col min="11918" max="12172" width="11.5703125" style="4"/>
    <col min="12173" max="12173" width="39.28515625" style="4" customWidth="1"/>
    <col min="12174" max="12428" width="11.5703125" style="4"/>
    <col min="12429" max="12429" width="39.28515625" style="4" customWidth="1"/>
    <col min="12430" max="12684" width="11.5703125" style="4"/>
    <col min="12685" max="12685" width="39.28515625" style="4" customWidth="1"/>
    <col min="12686" max="12940" width="11.5703125" style="4"/>
    <col min="12941" max="12941" width="39.28515625" style="4" customWidth="1"/>
    <col min="12942" max="13196" width="11.5703125" style="4"/>
    <col min="13197" max="13197" width="39.28515625" style="4" customWidth="1"/>
    <col min="13198" max="13452" width="11.5703125" style="4"/>
    <col min="13453" max="13453" width="39.28515625" style="4" customWidth="1"/>
    <col min="13454" max="13708" width="11.5703125" style="4"/>
    <col min="13709" max="13709" width="39.28515625" style="4" customWidth="1"/>
    <col min="13710" max="13964" width="11.5703125" style="4"/>
    <col min="13965" max="13965" width="39.28515625" style="4" customWidth="1"/>
    <col min="13966" max="14220" width="11.5703125" style="4"/>
    <col min="14221" max="14221" width="39.28515625" style="4" customWidth="1"/>
    <col min="14222" max="14476" width="11.5703125" style="4"/>
    <col min="14477" max="14477" width="39.28515625" style="4" customWidth="1"/>
    <col min="14478" max="14732" width="11.5703125" style="4"/>
    <col min="14733" max="14733" width="39.28515625" style="4" customWidth="1"/>
    <col min="14734" max="14988" width="11.5703125" style="4"/>
    <col min="14989" max="14989" width="39.28515625" style="4" customWidth="1"/>
    <col min="14990" max="15244" width="11.5703125" style="4"/>
    <col min="15245" max="15245" width="39.28515625" style="4" customWidth="1"/>
    <col min="15246" max="15470" width="11.5703125" style="4"/>
    <col min="15471" max="16384" width="11.42578125" style="4" customWidth="1"/>
  </cols>
  <sheetData>
    <row r="1" spans="1:14" s="3" customFormat="1" x14ac:dyDescent="0.25">
      <c r="B1" s="71"/>
      <c r="C1" s="71"/>
      <c r="D1" s="71"/>
      <c r="E1" s="71"/>
      <c r="F1" s="71"/>
      <c r="G1" s="71"/>
      <c r="H1" s="71"/>
      <c r="I1" s="71"/>
      <c r="J1" s="71"/>
      <c r="K1" s="71"/>
      <c r="L1" s="71"/>
      <c r="M1" s="71"/>
      <c r="N1" s="71"/>
    </row>
    <row r="2" spans="1:14" s="3" customFormat="1" ht="18.75" x14ac:dyDescent="0.25">
      <c r="A2" s="146" t="s">
        <v>362</v>
      </c>
      <c r="B2" s="167"/>
      <c r="C2" s="223"/>
      <c r="D2" s="223"/>
      <c r="E2" s="223"/>
      <c r="F2" s="223"/>
      <c r="G2" s="223"/>
      <c r="H2" s="223"/>
      <c r="I2" s="223"/>
      <c r="J2" s="223"/>
      <c r="K2" s="223"/>
      <c r="L2" s="223"/>
      <c r="M2" s="223"/>
      <c r="N2" s="223"/>
    </row>
    <row r="3" spans="1:14" s="3" customFormat="1" x14ac:dyDescent="0.25">
      <c r="A3" s="147" t="s">
        <v>33</v>
      </c>
      <c r="B3" s="168">
        <f ca="1">IF(ISBLANK(A2),"",YEAR(TODAY())-1)</f>
        <v>2025</v>
      </c>
      <c r="C3" s="74" t="s">
        <v>119</v>
      </c>
      <c r="D3" s="74" t="s">
        <v>120</v>
      </c>
      <c r="E3" s="74" t="s">
        <v>122</v>
      </c>
      <c r="F3" s="74" t="s">
        <v>211</v>
      </c>
      <c r="G3" s="74" t="s">
        <v>219</v>
      </c>
      <c r="H3" s="74" t="s">
        <v>220</v>
      </c>
      <c r="I3" s="74" t="s">
        <v>223</v>
      </c>
      <c r="J3" s="74" t="s">
        <v>224</v>
      </c>
      <c r="K3" s="74" t="s">
        <v>225</v>
      </c>
      <c r="L3" s="74" t="s">
        <v>226</v>
      </c>
      <c r="M3" s="74" t="s">
        <v>227</v>
      </c>
      <c r="N3" s="74" t="s">
        <v>228</v>
      </c>
    </row>
    <row r="4" spans="1:14" s="3" customFormat="1" ht="18.75" x14ac:dyDescent="0.25">
      <c r="A4" s="148" t="s">
        <v>363</v>
      </c>
      <c r="B4" s="137">
        <f>+B5+B7+B11+B17+B35+B48+B62+B67</f>
        <v>0</v>
      </c>
      <c r="C4" s="137">
        <f t="shared" ref="C4:K4" si="0">+C5+C7+C11+C17+C35+C48+C62+C67</f>
        <v>0</v>
      </c>
      <c r="D4" s="137">
        <f t="shared" si="0"/>
        <v>0</v>
      </c>
      <c r="E4" s="137">
        <f t="shared" ref="E4:H4" si="1">+E5+E7+E11+E17+E35+E48+E62+E67</f>
        <v>17700</v>
      </c>
      <c r="F4" s="137">
        <f t="shared" si="1"/>
        <v>0</v>
      </c>
      <c r="G4" s="137">
        <f t="shared" si="1"/>
        <v>0</v>
      </c>
      <c r="H4" s="137">
        <f t="shared" si="1"/>
        <v>0</v>
      </c>
      <c r="I4" s="137">
        <f t="shared" si="0"/>
        <v>0</v>
      </c>
      <c r="J4" s="137">
        <f t="shared" si="0"/>
        <v>0</v>
      </c>
      <c r="K4" s="137">
        <f t="shared" si="0"/>
        <v>0</v>
      </c>
      <c r="L4" s="137">
        <f t="shared" ref="L4:N4" si="2">+L5+L7+L11+L17+L35+L48+L62+L67</f>
        <v>0</v>
      </c>
      <c r="M4" s="137">
        <f t="shared" si="2"/>
        <v>0</v>
      </c>
      <c r="N4" s="137">
        <f t="shared" si="2"/>
        <v>0</v>
      </c>
    </row>
    <row r="5" spans="1:14" s="140" customFormat="1" ht="15.75" outlineLevel="1" x14ac:dyDescent="0.25">
      <c r="A5" s="171" t="s">
        <v>741</v>
      </c>
      <c r="B5" s="139">
        <f>+SUM(B6)</f>
        <v>0</v>
      </c>
      <c r="C5" s="139">
        <f t="shared" ref="C5:K5" si="3">+SUM(C6)</f>
        <v>0</v>
      </c>
      <c r="D5" s="139">
        <f t="shared" si="3"/>
        <v>0</v>
      </c>
      <c r="E5" s="139">
        <f t="shared" si="3"/>
        <v>10</v>
      </c>
      <c r="F5" s="139">
        <f t="shared" si="3"/>
        <v>0</v>
      </c>
      <c r="G5" s="139">
        <f t="shared" si="3"/>
        <v>0</v>
      </c>
      <c r="H5" s="139">
        <f t="shared" si="3"/>
        <v>0</v>
      </c>
      <c r="I5" s="139">
        <f t="shared" si="3"/>
        <v>0</v>
      </c>
      <c r="J5" s="139">
        <f t="shared" si="3"/>
        <v>0</v>
      </c>
      <c r="K5" s="139">
        <f t="shared" si="3"/>
        <v>0</v>
      </c>
      <c r="L5" s="139">
        <f t="shared" ref="L5:N5" si="4">+SUM(L6)</f>
        <v>0</v>
      </c>
      <c r="M5" s="139">
        <f t="shared" si="4"/>
        <v>0</v>
      </c>
      <c r="N5" s="139">
        <f t="shared" si="4"/>
        <v>0</v>
      </c>
    </row>
    <row r="6" spans="1:14" s="3" customFormat="1" outlineLevel="1" x14ac:dyDescent="0.25">
      <c r="A6" s="169" t="s">
        <v>364</v>
      </c>
      <c r="B6" s="71"/>
      <c r="C6" s="71"/>
      <c r="D6" s="71"/>
      <c r="E6" s="71">
        <v>10</v>
      </c>
      <c r="F6" s="71"/>
      <c r="G6" s="71"/>
      <c r="H6" s="71"/>
      <c r="I6" s="71"/>
      <c r="J6" s="71"/>
      <c r="K6" s="71"/>
      <c r="L6" s="71"/>
      <c r="M6" s="71"/>
      <c r="N6" s="71"/>
    </row>
    <row r="7" spans="1:14" s="140" customFormat="1" ht="15.75" outlineLevel="1" x14ac:dyDescent="0.25">
      <c r="A7" s="171" t="s">
        <v>128</v>
      </c>
      <c r="B7" s="139">
        <f>+SUM(B8:B10)</f>
        <v>0</v>
      </c>
      <c r="C7" s="139">
        <f t="shared" ref="C7:K7" si="5">+SUM(C8:C10)</f>
        <v>0</v>
      </c>
      <c r="D7" s="139">
        <f t="shared" si="5"/>
        <v>0</v>
      </c>
      <c r="E7" s="139">
        <f t="shared" si="5"/>
        <v>90</v>
      </c>
      <c r="F7" s="139">
        <f t="shared" si="5"/>
        <v>0</v>
      </c>
      <c r="G7" s="139">
        <f t="shared" si="5"/>
        <v>0</v>
      </c>
      <c r="H7" s="139">
        <f t="shared" si="5"/>
        <v>0</v>
      </c>
      <c r="I7" s="139">
        <f t="shared" si="5"/>
        <v>0</v>
      </c>
      <c r="J7" s="139">
        <f t="shared" si="5"/>
        <v>0</v>
      </c>
      <c r="K7" s="139">
        <f t="shared" si="5"/>
        <v>0</v>
      </c>
      <c r="L7" s="139">
        <f t="shared" ref="L7:N7" si="6">+SUM(L8:L10)</f>
        <v>0</v>
      </c>
      <c r="M7" s="139">
        <f t="shared" si="6"/>
        <v>0</v>
      </c>
      <c r="N7" s="139">
        <f t="shared" si="6"/>
        <v>0</v>
      </c>
    </row>
    <row r="8" spans="1:14" s="3" customFormat="1" outlineLevel="1" x14ac:dyDescent="0.25">
      <c r="A8" s="169" t="s">
        <v>365</v>
      </c>
      <c r="B8" s="71"/>
      <c r="C8" s="71"/>
      <c r="D8" s="71"/>
      <c r="E8" s="71">
        <v>20</v>
      </c>
      <c r="F8" s="71"/>
      <c r="G8" s="71"/>
      <c r="H8" s="71"/>
      <c r="I8" s="71"/>
      <c r="J8" s="71"/>
      <c r="K8" s="71"/>
      <c r="L8" s="71"/>
      <c r="M8" s="71"/>
      <c r="N8" s="71"/>
    </row>
    <row r="9" spans="1:14" s="3" customFormat="1" outlineLevel="1" x14ac:dyDescent="0.25">
      <c r="A9" s="169" t="s">
        <v>367</v>
      </c>
      <c r="B9" s="71"/>
      <c r="C9" s="71"/>
      <c r="D9" s="71"/>
      <c r="E9" s="71">
        <v>30</v>
      </c>
      <c r="F9" s="71"/>
      <c r="G9" s="71"/>
      <c r="H9" s="71"/>
      <c r="I9" s="71"/>
      <c r="J9" s="71"/>
      <c r="K9" s="71"/>
      <c r="L9" s="71"/>
      <c r="M9" s="71"/>
      <c r="N9" s="71"/>
    </row>
    <row r="10" spans="1:14" s="3" customFormat="1" outlineLevel="1" x14ac:dyDescent="0.25">
      <c r="A10" s="169" t="s">
        <v>366</v>
      </c>
      <c r="B10" s="71"/>
      <c r="C10" s="71"/>
      <c r="D10" s="71"/>
      <c r="E10" s="71">
        <v>40</v>
      </c>
      <c r="F10" s="71"/>
      <c r="G10" s="71"/>
      <c r="H10" s="71">
        <v>0</v>
      </c>
      <c r="I10" s="71"/>
      <c r="J10" s="71"/>
      <c r="K10" s="71"/>
      <c r="L10" s="71"/>
      <c r="M10" s="71"/>
      <c r="N10" s="71"/>
    </row>
    <row r="11" spans="1:14" s="140" customFormat="1" ht="15.75" outlineLevel="1" x14ac:dyDescent="0.25">
      <c r="A11" s="171" t="s">
        <v>742</v>
      </c>
      <c r="B11" s="139">
        <f>+SUM(B12:B16)</f>
        <v>0</v>
      </c>
      <c r="C11" s="139">
        <f t="shared" ref="C11:K11" si="7">+SUM(C12:C16)</f>
        <v>0</v>
      </c>
      <c r="D11" s="139">
        <f t="shared" si="7"/>
        <v>0</v>
      </c>
      <c r="E11" s="139">
        <f t="shared" si="7"/>
        <v>350</v>
      </c>
      <c r="F11" s="139">
        <f t="shared" si="7"/>
        <v>0</v>
      </c>
      <c r="G11" s="139">
        <f t="shared" si="7"/>
        <v>0</v>
      </c>
      <c r="H11" s="139">
        <f t="shared" si="7"/>
        <v>0</v>
      </c>
      <c r="I11" s="139">
        <f t="shared" si="7"/>
        <v>0</v>
      </c>
      <c r="J11" s="139">
        <f t="shared" si="7"/>
        <v>0</v>
      </c>
      <c r="K11" s="139">
        <f t="shared" si="7"/>
        <v>0</v>
      </c>
      <c r="L11" s="139">
        <f t="shared" ref="L11:N11" si="8">+SUM(L12:L16)</f>
        <v>0</v>
      </c>
      <c r="M11" s="139">
        <f t="shared" si="8"/>
        <v>0</v>
      </c>
      <c r="N11" s="139">
        <f t="shared" si="8"/>
        <v>0</v>
      </c>
    </row>
    <row r="12" spans="1:14" s="3" customFormat="1" outlineLevel="1" x14ac:dyDescent="0.25">
      <c r="A12" s="169" t="s">
        <v>769</v>
      </c>
      <c r="B12" s="71"/>
      <c r="C12" s="71"/>
      <c r="D12" s="71"/>
      <c r="E12" s="71">
        <v>50</v>
      </c>
      <c r="F12" s="71"/>
      <c r="G12" s="71"/>
      <c r="H12" s="71">
        <v>0</v>
      </c>
      <c r="I12" s="71"/>
      <c r="J12" s="71"/>
      <c r="K12" s="71"/>
      <c r="L12" s="71"/>
      <c r="M12" s="71"/>
      <c r="N12" s="71"/>
    </row>
    <row r="13" spans="1:14" s="3" customFormat="1" outlineLevel="1" x14ac:dyDescent="0.25">
      <c r="A13" s="169" t="s">
        <v>368</v>
      </c>
      <c r="B13" s="71"/>
      <c r="C13" s="71"/>
      <c r="D13" s="71"/>
      <c r="E13" s="71">
        <v>60</v>
      </c>
      <c r="F13" s="71"/>
      <c r="G13" s="71"/>
      <c r="H13" s="71">
        <v>0</v>
      </c>
      <c r="I13" s="71"/>
      <c r="J13" s="71"/>
      <c r="K13" s="71"/>
      <c r="L13" s="71"/>
      <c r="M13" s="71"/>
      <c r="N13" s="71"/>
    </row>
    <row r="14" spans="1:14" s="3" customFormat="1" outlineLevel="1" x14ac:dyDescent="0.25">
      <c r="A14" s="169" t="s">
        <v>369</v>
      </c>
      <c r="B14" s="71"/>
      <c r="C14" s="71"/>
      <c r="D14" s="71"/>
      <c r="E14" s="71">
        <v>70</v>
      </c>
      <c r="F14" s="71"/>
      <c r="G14" s="71"/>
      <c r="H14" s="71">
        <v>0</v>
      </c>
      <c r="I14" s="71"/>
      <c r="J14" s="71"/>
      <c r="K14" s="71"/>
      <c r="L14" s="71"/>
      <c r="M14" s="71"/>
      <c r="N14" s="71"/>
    </row>
    <row r="15" spans="1:14" s="3" customFormat="1" outlineLevel="1" x14ac:dyDescent="0.25">
      <c r="A15" s="169" t="s">
        <v>370</v>
      </c>
      <c r="B15" s="71"/>
      <c r="C15" s="71"/>
      <c r="D15" s="71"/>
      <c r="E15" s="71">
        <v>80</v>
      </c>
      <c r="F15" s="71"/>
      <c r="G15" s="71"/>
      <c r="H15" s="71">
        <v>0</v>
      </c>
      <c r="I15" s="71"/>
      <c r="J15" s="71"/>
      <c r="K15" s="71"/>
      <c r="L15" s="71"/>
      <c r="M15" s="71"/>
      <c r="N15" s="71"/>
    </row>
    <row r="16" spans="1:14" s="3" customFormat="1" outlineLevel="1" x14ac:dyDescent="0.25">
      <c r="A16" s="169" t="s">
        <v>371</v>
      </c>
      <c r="B16" s="71"/>
      <c r="C16" s="71"/>
      <c r="D16" s="71"/>
      <c r="E16" s="71">
        <v>90</v>
      </c>
      <c r="F16" s="71"/>
      <c r="G16" s="71"/>
      <c r="H16" s="71">
        <v>0</v>
      </c>
      <c r="I16" s="71"/>
      <c r="J16" s="71"/>
      <c r="K16" s="71"/>
      <c r="L16" s="71"/>
      <c r="M16" s="71"/>
      <c r="N16" s="71"/>
    </row>
    <row r="17" spans="1:14" s="140" customFormat="1" ht="15.75" outlineLevel="1" x14ac:dyDescent="0.25">
      <c r="A17" s="171" t="s">
        <v>129</v>
      </c>
      <c r="B17" s="139">
        <f>+SUM(B18:B34)</f>
        <v>0</v>
      </c>
      <c r="C17" s="139">
        <f t="shared" ref="C17:K17" si="9">+SUM(C18:C34)</f>
        <v>0</v>
      </c>
      <c r="D17" s="139">
        <f t="shared" si="9"/>
        <v>0</v>
      </c>
      <c r="E17" s="139">
        <f t="shared" si="9"/>
        <v>3060</v>
      </c>
      <c r="F17" s="139">
        <f t="shared" si="9"/>
        <v>0</v>
      </c>
      <c r="G17" s="139">
        <f t="shared" si="9"/>
        <v>0</v>
      </c>
      <c r="H17" s="139">
        <f t="shared" si="9"/>
        <v>0</v>
      </c>
      <c r="I17" s="139">
        <f t="shared" si="9"/>
        <v>0</v>
      </c>
      <c r="J17" s="139">
        <f t="shared" si="9"/>
        <v>0</v>
      </c>
      <c r="K17" s="139">
        <f t="shared" si="9"/>
        <v>0</v>
      </c>
      <c r="L17" s="139">
        <f t="shared" ref="L17:N17" si="10">+SUM(L18:L34)</f>
        <v>0</v>
      </c>
      <c r="M17" s="139">
        <f t="shared" si="10"/>
        <v>0</v>
      </c>
      <c r="N17" s="139">
        <f t="shared" si="10"/>
        <v>0</v>
      </c>
    </row>
    <row r="18" spans="1:14" s="3" customFormat="1" outlineLevel="1" x14ac:dyDescent="0.25">
      <c r="A18" s="170" t="s">
        <v>798</v>
      </c>
      <c r="B18" s="71"/>
      <c r="C18" s="71"/>
      <c r="D18" s="71"/>
      <c r="E18" s="71">
        <v>100</v>
      </c>
      <c r="F18" s="71"/>
      <c r="G18" s="71"/>
      <c r="H18" s="71"/>
      <c r="I18" s="71"/>
      <c r="J18" s="71"/>
      <c r="K18" s="71"/>
      <c r="L18" s="71"/>
      <c r="M18" s="71"/>
      <c r="N18" s="71"/>
    </row>
    <row r="19" spans="1:14" s="3" customFormat="1" outlineLevel="1" x14ac:dyDescent="0.25">
      <c r="A19" s="170" t="s">
        <v>372</v>
      </c>
      <c r="B19" s="71"/>
      <c r="C19" s="71"/>
      <c r="D19" s="71"/>
      <c r="E19" s="71">
        <v>110</v>
      </c>
      <c r="F19" s="71"/>
      <c r="G19" s="71"/>
      <c r="H19" s="71"/>
      <c r="I19" s="71"/>
      <c r="J19" s="71"/>
      <c r="K19" s="71"/>
      <c r="L19" s="71"/>
      <c r="M19" s="71"/>
      <c r="N19" s="71"/>
    </row>
    <row r="20" spans="1:14" s="3" customFormat="1" outlineLevel="1" x14ac:dyDescent="0.25">
      <c r="A20" s="170" t="s">
        <v>373</v>
      </c>
      <c r="B20" s="71"/>
      <c r="C20" s="71"/>
      <c r="D20" s="71"/>
      <c r="E20" s="71">
        <v>120</v>
      </c>
      <c r="F20" s="71"/>
      <c r="G20" s="71"/>
      <c r="H20" s="71"/>
      <c r="I20" s="71"/>
      <c r="J20" s="71"/>
      <c r="K20" s="71"/>
      <c r="L20" s="71"/>
      <c r="M20" s="71"/>
      <c r="N20" s="71"/>
    </row>
    <row r="21" spans="1:14" s="3" customFormat="1" outlineLevel="1" x14ac:dyDescent="0.25">
      <c r="A21" s="170" t="s">
        <v>374</v>
      </c>
      <c r="B21" s="71"/>
      <c r="C21" s="71"/>
      <c r="D21" s="71"/>
      <c r="E21" s="71">
        <v>130</v>
      </c>
      <c r="F21" s="71"/>
      <c r="G21" s="71"/>
      <c r="H21" s="71"/>
      <c r="I21" s="71"/>
      <c r="J21" s="71"/>
      <c r="K21" s="71"/>
      <c r="L21" s="71"/>
      <c r="M21" s="71"/>
      <c r="N21" s="71"/>
    </row>
    <row r="22" spans="1:14" s="3" customFormat="1" outlineLevel="1" x14ac:dyDescent="0.25">
      <c r="A22" s="170" t="s">
        <v>375</v>
      </c>
      <c r="B22" s="71"/>
      <c r="C22" s="71"/>
      <c r="D22" s="71"/>
      <c r="E22" s="71">
        <v>140</v>
      </c>
      <c r="F22" s="71"/>
      <c r="G22" s="71"/>
      <c r="H22" s="71"/>
      <c r="I22" s="71"/>
      <c r="J22" s="71"/>
      <c r="K22" s="71"/>
      <c r="L22" s="71"/>
      <c r="M22" s="71"/>
      <c r="N22" s="71"/>
    </row>
    <row r="23" spans="1:14" s="3" customFormat="1" outlineLevel="1" x14ac:dyDescent="0.25">
      <c r="A23" s="170" t="s">
        <v>766</v>
      </c>
      <c r="B23" s="71"/>
      <c r="C23" s="71"/>
      <c r="D23" s="71"/>
      <c r="E23" s="71">
        <v>150</v>
      </c>
      <c r="F23" s="71"/>
      <c r="G23" s="71"/>
      <c r="H23" s="71"/>
      <c r="I23" s="71"/>
      <c r="J23" s="71"/>
      <c r="K23" s="71"/>
      <c r="L23" s="71"/>
      <c r="M23" s="71"/>
      <c r="N23" s="71"/>
    </row>
    <row r="24" spans="1:14" s="3" customFormat="1" outlineLevel="1" x14ac:dyDescent="0.25">
      <c r="A24" s="170" t="s">
        <v>376</v>
      </c>
      <c r="B24" s="71"/>
      <c r="C24" s="71"/>
      <c r="D24" s="71"/>
      <c r="E24" s="71">
        <v>160</v>
      </c>
      <c r="F24" s="71"/>
      <c r="G24" s="71"/>
      <c r="H24" s="71"/>
      <c r="I24" s="71"/>
      <c r="J24" s="71"/>
      <c r="K24" s="71"/>
      <c r="L24" s="71"/>
      <c r="M24" s="71"/>
      <c r="N24" s="71"/>
    </row>
    <row r="25" spans="1:14" s="3" customFormat="1" outlineLevel="1" x14ac:dyDescent="0.25">
      <c r="A25" s="170" t="s">
        <v>377</v>
      </c>
      <c r="B25" s="71"/>
      <c r="C25" s="71"/>
      <c r="D25" s="71"/>
      <c r="E25" s="71">
        <v>170</v>
      </c>
      <c r="F25" s="71"/>
      <c r="G25" s="71"/>
      <c r="H25" s="71"/>
      <c r="I25" s="71"/>
      <c r="J25" s="71"/>
      <c r="K25" s="71"/>
      <c r="L25" s="71"/>
      <c r="M25" s="71"/>
      <c r="N25" s="71"/>
    </row>
    <row r="26" spans="1:14" s="3" customFormat="1" outlineLevel="1" x14ac:dyDescent="0.25">
      <c r="A26" s="170" t="s">
        <v>378</v>
      </c>
      <c r="B26" s="71"/>
      <c r="C26" s="71"/>
      <c r="D26" s="71"/>
      <c r="E26" s="71">
        <v>180</v>
      </c>
      <c r="F26" s="71"/>
      <c r="G26" s="71"/>
      <c r="H26" s="71"/>
      <c r="I26" s="71"/>
      <c r="J26" s="71"/>
      <c r="K26" s="71"/>
      <c r="L26" s="71"/>
      <c r="M26" s="71"/>
      <c r="N26" s="71"/>
    </row>
    <row r="27" spans="1:14" s="3" customFormat="1" outlineLevel="1" x14ac:dyDescent="0.25">
      <c r="A27" s="170" t="s">
        <v>379</v>
      </c>
      <c r="B27" s="71"/>
      <c r="C27" s="71"/>
      <c r="D27" s="71"/>
      <c r="E27" s="71">
        <v>190</v>
      </c>
      <c r="F27" s="71"/>
      <c r="G27" s="71"/>
      <c r="H27" s="71"/>
      <c r="I27" s="71"/>
      <c r="J27" s="71"/>
      <c r="K27" s="71"/>
      <c r="L27" s="71"/>
      <c r="M27" s="71"/>
      <c r="N27" s="71"/>
    </row>
    <row r="28" spans="1:14" s="3" customFormat="1" outlineLevel="1" x14ac:dyDescent="0.25">
      <c r="A28" s="170" t="s">
        <v>767</v>
      </c>
      <c r="B28" s="71"/>
      <c r="C28" s="71"/>
      <c r="D28" s="71"/>
      <c r="E28" s="71">
        <v>200</v>
      </c>
      <c r="F28" s="71"/>
      <c r="G28" s="71"/>
      <c r="H28" s="71"/>
      <c r="I28" s="71"/>
      <c r="J28" s="71"/>
      <c r="K28" s="71"/>
      <c r="L28" s="71"/>
      <c r="M28" s="71"/>
      <c r="N28" s="71"/>
    </row>
    <row r="29" spans="1:14" s="3" customFormat="1" outlineLevel="1" x14ac:dyDescent="0.25">
      <c r="A29" s="170" t="s">
        <v>380</v>
      </c>
      <c r="B29" s="71"/>
      <c r="C29" s="71"/>
      <c r="D29" s="71"/>
      <c r="E29" s="71">
        <v>210</v>
      </c>
      <c r="F29" s="71"/>
      <c r="G29" s="71"/>
      <c r="H29" s="71"/>
      <c r="I29" s="71"/>
      <c r="J29" s="71"/>
      <c r="K29" s="71"/>
      <c r="L29" s="71"/>
      <c r="M29" s="71"/>
      <c r="N29" s="71"/>
    </row>
    <row r="30" spans="1:14" s="3" customFormat="1" outlineLevel="1" x14ac:dyDescent="0.25">
      <c r="A30" s="170" t="s">
        <v>381</v>
      </c>
      <c r="B30" s="71"/>
      <c r="C30" s="71"/>
      <c r="D30" s="71"/>
      <c r="E30" s="71">
        <v>220</v>
      </c>
      <c r="F30" s="71"/>
      <c r="G30" s="71"/>
      <c r="H30" s="71"/>
      <c r="I30" s="71"/>
      <c r="J30" s="71"/>
      <c r="K30" s="71"/>
      <c r="L30" s="71"/>
      <c r="M30" s="71"/>
      <c r="N30" s="71"/>
    </row>
    <row r="31" spans="1:14" s="3" customFormat="1" outlineLevel="1" x14ac:dyDescent="0.25">
      <c r="A31" s="170" t="s">
        <v>382</v>
      </c>
      <c r="B31" s="71"/>
      <c r="C31" s="71"/>
      <c r="D31" s="71"/>
      <c r="E31" s="71">
        <v>230</v>
      </c>
      <c r="F31" s="71"/>
      <c r="G31" s="71"/>
      <c r="H31" s="71"/>
      <c r="I31" s="71"/>
      <c r="J31" s="71"/>
      <c r="K31" s="71"/>
      <c r="L31" s="71"/>
      <c r="M31" s="71"/>
      <c r="N31" s="71"/>
    </row>
    <row r="32" spans="1:14" s="3" customFormat="1" outlineLevel="1" x14ac:dyDescent="0.25">
      <c r="A32" s="170" t="s">
        <v>383</v>
      </c>
      <c r="B32" s="71"/>
      <c r="C32" s="71"/>
      <c r="D32" s="71"/>
      <c r="E32" s="71">
        <v>240</v>
      </c>
      <c r="F32" s="71"/>
      <c r="G32" s="71"/>
      <c r="H32" s="71"/>
      <c r="I32" s="71"/>
      <c r="J32" s="71"/>
      <c r="K32" s="71"/>
      <c r="L32" s="71"/>
      <c r="M32" s="71"/>
      <c r="N32" s="71"/>
    </row>
    <row r="33" spans="1:14" s="3" customFormat="1" outlineLevel="1" x14ac:dyDescent="0.25">
      <c r="A33" s="170" t="s">
        <v>765</v>
      </c>
      <c r="B33" s="71"/>
      <c r="C33" s="71"/>
      <c r="D33" s="71"/>
      <c r="E33" s="71">
        <v>250</v>
      </c>
      <c r="F33" s="71"/>
      <c r="G33" s="71"/>
      <c r="H33" s="71"/>
      <c r="I33" s="71"/>
      <c r="J33" s="71"/>
      <c r="K33" s="71"/>
      <c r="L33" s="71"/>
      <c r="M33" s="71"/>
      <c r="N33" s="71"/>
    </row>
    <row r="34" spans="1:14" s="3" customFormat="1" outlineLevel="1" x14ac:dyDescent="0.25">
      <c r="A34" s="170" t="s">
        <v>768</v>
      </c>
      <c r="B34" s="71"/>
      <c r="C34" s="71"/>
      <c r="D34" s="71"/>
      <c r="E34" s="71">
        <v>260</v>
      </c>
      <c r="F34" s="71"/>
      <c r="G34" s="71"/>
      <c r="H34" s="71"/>
      <c r="I34" s="71"/>
      <c r="J34" s="71"/>
      <c r="K34" s="71"/>
      <c r="L34" s="71"/>
      <c r="M34" s="71"/>
      <c r="N34" s="71"/>
    </row>
    <row r="35" spans="1:14" s="140" customFormat="1" ht="15.75" outlineLevel="1" x14ac:dyDescent="0.25">
      <c r="A35" s="171" t="s">
        <v>739</v>
      </c>
      <c r="B35" s="139">
        <f>+SUM(B36:B47)</f>
        <v>0</v>
      </c>
      <c r="C35" s="139">
        <f t="shared" ref="C35:K35" si="11">+SUM(C36:C47)</f>
        <v>0</v>
      </c>
      <c r="D35" s="139">
        <f t="shared" si="11"/>
        <v>0</v>
      </c>
      <c r="E35" s="139">
        <f t="shared" si="11"/>
        <v>3900</v>
      </c>
      <c r="F35" s="139">
        <f t="shared" si="11"/>
        <v>0</v>
      </c>
      <c r="G35" s="139">
        <f t="shared" si="11"/>
        <v>0</v>
      </c>
      <c r="H35" s="139">
        <f t="shared" si="11"/>
        <v>0</v>
      </c>
      <c r="I35" s="139">
        <f t="shared" si="11"/>
        <v>0</v>
      </c>
      <c r="J35" s="139">
        <f t="shared" si="11"/>
        <v>0</v>
      </c>
      <c r="K35" s="139">
        <f t="shared" si="11"/>
        <v>0</v>
      </c>
      <c r="L35" s="139">
        <f t="shared" ref="L35:N35" si="12">+SUM(L36:L47)</f>
        <v>0</v>
      </c>
      <c r="M35" s="139">
        <f t="shared" si="12"/>
        <v>0</v>
      </c>
      <c r="N35" s="139">
        <f t="shared" si="12"/>
        <v>0</v>
      </c>
    </row>
    <row r="36" spans="1:14" s="3" customFormat="1" outlineLevel="1" x14ac:dyDescent="0.25">
      <c r="A36" s="170" t="s">
        <v>384</v>
      </c>
      <c r="B36" s="71"/>
      <c r="C36" s="71"/>
      <c r="D36" s="71"/>
      <c r="E36" s="71">
        <v>270</v>
      </c>
      <c r="F36" s="71"/>
      <c r="G36" s="71"/>
      <c r="H36" s="71"/>
      <c r="I36" s="71"/>
      <c r="J36" s="71"/>
      <c r="K36" s="71"/>
      <c r="L36" s="71"/>
      <c r="M36" s="71"/>
      <c r="N36" s="71"/>
    </row>
    <row r="37" spans="1:14" s="3" customFormat="1" outlineLevel="1" x14ac:dyDescent="0.25">
      <c r="A37" s="170" t="s">
        <v>385</v>
      </c>
      <c r="B37" s="71"/>
      <c r="C37" s="71"/>
      <c r="D37" s="71"/>
      <c r="E37" s="71">
        <v>280</v>
      </c>
      <c r="F37" s="71"/>
      <c r="G37" s="71"/>
      <c r="H37" s="71"/>
      <c r="I37" s="71"/>
      <c r="J37" s="71"/>
      <c r="K37" s="71"/>
      <c r="L37" s="71"/>
      <c r="M37" s="71"/>
      <c r="N37" s="71"/>
    </row>
    <row r="38" spans="1:14" s="3" customFormat="1" outlineLevel="1" x14ac:dyDescent="0.25">
      <c r="A38" s="170" t="s">
        <v>386</v>
      </c>
      <c r="B38" s="71"/>
      <c r="C38" s="71"/>
      <c r="D38" s="71"/>
      <c r="E38" s="71">
        <v>290</v>
      </c>
      <c r="F38" s="71"/>
      <c r="G38" s="71"/>
      <c r="H38" s="71"/>
      <c r="I38" s="71"/>
      <c r="J38" s="71"/>
      <c r="K38" s="71"/>
      <c r="L38" s="71"/>
      <c r="M38" s="71"/>
      <c r="N38" s="71"/>
    </row>
    <row r="39" spans="1:14" s="3" customFormat="1" outlineLevel="1" x14ac:dyDescent="0.25">
      <c r="A39" s="170" t="s">
        <v>387</v>
      </c>
      <c r="B39" s="71"/>
      <c r="C39" s="71"/>
      <c r="D39" s="71"/>
      <c r="E39" s="71">
        <v>300</v>
      </c>
      <c r="F39" s="71"/>
      <c r="G39" s="71"/>
      <c r="H39" s="71"/>
      <c r="I39" s="71"/>
      <c r="J39" s="71"/>
      <c r="K39" s="71"/>
      <c r="L39" s="71"/>
      <c r="M39" s="71"/>
      <c r="N39" s="71"/>
    </row>
    <row r="40" spans="1:14" s="3" customFormat="1" outlineLevel="1" x14ac:dyDescent="0.25">
      <c r="A40" s="170" t="s">
        <v>388</v>
      </c>
      <c r="B40" s="71"/>
      <c r="C40" s="71"/>
      <c r="D40" s="71"/>
      <c r="E40" s="71">
        <v>310</v>
      </c>
      <c r="F40" s="71"/>
      <c r="G40" s="71"/>
      <c r="H40" s="71"/>
      <c r="I40" s="71"/>
      <c r="J40" s="71"/>
      <c r="K40" s="71"/>
      <c r="L40" s="71"/>
      <c r="M40" s="71"/>
      <c r="N40" s="71"/>
    </row>
    <row r="41" spans="1:14" s="3" customFormat="1" outlineLevel="1" x14ac:dyDescent="0.25">
      <c r="A41" s="170" t="s">
        <v>389</v>
      </c>
      <c r="B41" s="71"/>
      <c r="C41" s="71"/>
      <c r="D41" s="71"/>
      <c r="E41" s="71">
        <v>320</v>
      </c>
      <c r="F41" s="71"/>
      <c r="G41" s="71"/>
      <c r="H41" s="71"/>
      <c r="I41" s="71"/>
      <c r="J41" s="71"/>
      <c r="K41" s="71"/>
      <c r="L41" s="71"/>
      <c r="M41" s="71"/>
      <c r="N41" s="71"/>
    </row>
    <row r="42" spans="1:14" s="3" customFormat="1" outlineLevel="1" x14ac:dyDescent="0.25">
      <c r="A42" s="170" t="s">
        <v>390</v>
      </c>
      <c r="B42" s="71"/>
      <c r="C42" s="71"/>
      <c r="D42" s="71"/>
      <c r="E42" s="71">
        <v>330</v>
      </c>
      <c r="F42" s="71"/>
      <c r="G42" s="71"/>
      <c r="H42" s="71"/>
      <c r="I42" s="71"/>
      <c r="J42" s="71"/>
      <c r="K42" s="71"/>
      <c r="L42" s="71"/>
      <c r="M42" s="71"/>
      <c r="N42" s="71"/>
    </row>
    <row r="43" spans="1:14" s="3" customFormat="1" outlineLevel="1" x14ac:dyDescent="0.25">
      <c r="A43" s="170" t="s">
        <v>391</v>
      </c>
      <c r="B43" s="71"/>
      <c r="C43" s="71"/>
      <c r="D43" s="71"/>
      <c r="E43" s="71">
        <v>340</v>
      </c>
      <c r="F43" s="71"/>
      <c r="G43" s="71"/>
      <c r="H43" s="71"/>
      <c r="I43" s="71"/>
      <c r="J43" s="71"/>
      <c r="K43" s="71"/>
      <c r="L43" s="71"/>
      <c r="M43" s="71"/>
      <c r="N43" s="71"/>
    </row>
    <row r="44" spans="1:14" s="3" customFormat="1" outlineLevel="1" x14ac:dyDescent="0.25">
      <c r="A44" s="170" t="s">
        <v>392</v>
      </c>
      <c r="B44" s="71"/>
      <c r="C44" s="71"/>
      <c r="D44" s="71"/>
      <c r="E44" s="71">
        <v>350</v>
      </c>
      <c r="F44" s="71"/>
      <c r="G44" s="71"/>
      <c r="H44" s="71"/>
      <c r="I44" s="71"/>
      <c r="J44" s="71"/>
      <c r="K44" s="71"/>
      <c r="L44" s="71"/>
      <c r="M44" s="71"/>
      <c r="N44" s="71"/>
    </row>
    <row r="45" spans="1:14" s="3" customFormat="1" outlineLevel="1" x14ac:dyDescent="0.25">
      <c r="A45" s="220" t="s">
        <v>785</v>
      </c>
      <c r="B45" s="71"/>
      <c r="C45" s="71"/>
      <c r="D45" s="71"/>
      <c r="E45" s="71">
        <v>360</v>
      </c>
      <c r="F45" s="71"/>
      <c r="G45" s="71"/>
      <c r="H45" s="71"/>
      <c r="I45" s="71"/>
      <c r="J45" s="71"/>
      <c r="K45" s="71"/>
      <c r="L45" s="71"/>
      <c r="M45" s="71"/>
      <c r="N45" s="71"/>
    </row>
    <row r="46" spans="1:14" s="3" customFormat="1" outlineLevel="1" x14ac:dyDescent="0.25">
      <c r="A46" s="170" t="s">
        <v>393</v>
      </c>
      <c r="B46" s="71"/>
      <c r="C46" s="71"/>
      <c r="D46" s="71"/>
      <c r="E46" s="71">
        <v>370</v>
      </c>
      <c r="F46" s="71"/>
      <c r="G46" s="71"/>
      <c r="H46" s="71"/>
      <c r="I46" s="71"/>
      <c r="J46" s="71"/>
      <c r="K46" s="71"/>
      <c r="L46" s="71"/>
      <c r="M46" s="71"/>
      <c r="N46" s="71"/>
    </row>
    <row r="47" spans="1:14" s="3" customFormat="1" outlineLevel="1" x14ac:dyDescent="0.25">
      <c r="A47" s="170" t="s">
        <v>394</v>
      </c>
      <c r="B47" s="71"/>
      <c r="C47" s="71"/>
      <c r="D47" s="71"/>
      <c r="E47" s="71">
        <v>380</v>
      </c>
      <c r="F47" s="71"/>
      <c r="G47" s="71"/>
      <c r="H47" s="71"/>
      <c r="I47" s="71"/>
      <c r="J47" s="71"/>
      <c r="K47" s="71"/>
      <c r="L47" s="71"/>
      <c r="M47" s="71"/>
      <c r="N47" s="71"/>
    </row>
    <row r="48" spans="1:14" s="140" customFormat="1" ht="15.75" outlineLevel="1" x14ac:dyDescent="0.25">
      <c r="A48" s="171" t="s">
        <v>427</v>
      </c>
      <c r="B48" s="139">
        <f>+SUM(B49:B61)</f>
        <v>0</v>
      </c>
      <c r="C48" s="139">
        <f t="shared" ref="C48:K48" si="13">+SUM(C49:C61)</f>
        <v>0</v>
      </c>
      <c r="D48" s="139">
        <f t="shared" si="13"/>
        <v>0</v>
      </c>
      <c r="E48" s="139">
        <f t="shared" si="13"/>
        <v>5850</v>
      </c>
      <c r="F48" s="139">
        <f t="shared" si="13"/>
        <v>0</v>
      </c>
      <c r="G48" s="139">
        <f t="shared" si="13"/>
        <v>0</v>
      </c>
      <c r="H48" s="139">
        <f t="shared" si="13"/>
        <v>0</v>
      </c>
      <c r="I48" s="139">
        <f t="shared" si="13"/>
        <v>0</v>
      </c>
      <c r="J48" s="139">
        <f t="shared" si="13"/>
        <v>0</v>
      </c>
      <c r="K48" s="139">
        <f t="shared" si="13"/>
        <v>0</v>
      </c>
      <c r="L48" s="139">
        <f t="shared" ref="L48:N48" si="14">+SUM(L49:L61)</f>
        <v>0</v>
      </c>
      <c r="M48" s="139">
        <f t="shared" si="14"/>
        <v>0</v>
      </c>
      <c r="N48" s="139">
        <f t="shared" si="14"/>
        <v>0</v>
      </c>
    </row>
    <row r="49" spans="1:14" s="3" customFormat="1" outlineLevel="1" x14ac:dyDescent="0.25">
      <c r="A49" s="170" t="s">
        <v>395</v>
      </c>
      <c r="B49" s="71"/>
      <c r="C49" s="71"/>
      <c r="D49" s="71"/>
      <c r="E49" s="71">
        <v>390</v>
      </c>
      <c r="F49" s="71"/>
      <c r="G49" s="71"/>
      <c r="H49" s="71"/>
      <c r="I49" s="71"/>
      <c r="J49" s="71"/>
      <c r="K49" s="71"/>
      <c r="L49" s="71"/>
      <c r="M49" s="71"/>
      <c r="N49" s="71"/>
    </row>
    <row r="50" spans="1:14" s="3" customFormat="1" outlineLevel="1" x14ac:dyDescent="0.25">
      <c r="A50" s="170" t="s">
        <v>396</v>
      </c>
      <c r="B50" s="71"/>
      <c r="C50" s="71"/>
      <c r="D50" s="71"/>
      <c r="E50" s="71">
        <v>400</v>
      </c>
      <c r="F50" s="71"/>
      <c r="G50" s="71"/>
      <c r="H50" s="71"/>
      <c r="I50" s="71"/>
      <c r="J50" s="71"/>
      <c r="K50" s="71"/>
      <c r="L50" s="71"/>
      <c r="M50" s="71"/>
      <c r="N50" s="71"/>
    </row>
    <row r="51" spans="1:14" s="3" customFormat="1" outlineLevel="1" x14ac:dyDescent="0.25">
      <c r="A51" s="170" t="s">
        <v>397</v>
      </c>
      <c r="B51" s="71"/>
      <c r="C51" s="71"/>
      <c r="D51" s="71"/>
      <c r="E51" s="71">
        <v>410</v>
      </c>
      <c r="F51" s="71"/>
      <c r="G51" s="71"/>
      <c r="H51" s="71"/>
      <c r="I51" s="71"/>
      <c r="J51" s="71"/>
      <c r="K51" s="71"/>
      <c r="L51" s="71"/>
      <c r="M51" s="71"/>
      <c r="N51" s="71"/>
    </row>
    <row r="52" spans="1:14" s="3" customFormat="1" outlineLevel="1" x14ac:dyDescent="0.25">
      <c r="A52" s="170" t="s">
        <v>398</v>
      </c>
      <c r="B52" s="71"/>
      <c r="C52" s="71"/>
      <c r="D52" s="71"/>
      <c r="E52" s="71">
        <v>420</v>
      </c>
      <c r="F52" s="71"/>
      <c r="G52" s="71"/>
      <c r="H52" s="71"/>
      <c r="I52" s="71"/>
      <c r="J52" s="71"/>
      <c r="K52" s="71"/>
      <c r="L52" s="71"/>
      <c r="M52" s="71"/>
      <c r="N52" s="71"/>
    </row>
    <row r="53" spans="1:14" s="3" customFormat="1" outlineLevel="1" x14ac:dyDescent="0.25">
      <c r="A53" s="170" t="s">
        <v>399</v>
      </c>
      <c r="B53" s="71"/>
      <c r="C53" s="71"/>
      <c r="D53" s="71"/>
      <c r="E53" s="71">
        <v>430</v>
      </c>
      <c r="F53" s="71"/>
      <c r="G53" s="71"/>
      <c r="H53" s="71"/>
      <c r="I53" s="71"/>
      <c r="J53" s="71"/>
      <c r="K53" s="71"/>
      <c r="L53" s="71"/>
      <c r="M53" s="71"/>
      <c r="N53" s="71"/>
    </row>
    <row r="54" spans="1:14" s="3" customFormat="1" outlineLevel="1" x14ac:dyDescent="0.25">
      <c r="A54" s="170" t="s">
        <v>400</v>
      </c>
      <c r="B54" s="71"/>
      <c r="C54" s="71"/>
      <c r="D54" s="71"/>
      <c r="E54" s="71">
        <v>440</v>
      </c>
      <c r="F54" s="71"/>
      <c r="G54" s="71"/>
      <c r="H54" s="71"/>
      <c r="I54" s="71"/>
      <c r="J54" s="71"/>
      <c r="K54" s="71"/>
      <c r="L54" s="71"/>
      <c r="M54" s="71"/>
      <c r="N54" s="71"/>
    </row>
    <row r="55" spans="1:14" s="3" customFormat="1" outlineLevel="1" x14ac:dyDescent="0.25">
      <c r="A55" s="170" t="s">
        <v>401</v>
      </c>
      <c r="B55" s="71"/>
      <c r="C55" s="71"/>
      <c r="D55" s="71"/>
      <c r="E55" s="71">
        <v>450</v>
      </c>
      <c r="F55" s="71"/>
      <c r="G55" s="71"/>
      <c r="H55" s="71"/>
      <c r="I55" s="71"/>
      <c r="J55" s="71"/>
      <c r="K55" s="71"/>
      <c r="L55" s="71"/>
      <c r="M55" s="71"/>
      <c r="N55" s="71"/>
    </row>
    <row r="56" spans="1:14" s="3" customFormat="1" outlineLevel="1" x14ac:dyDescent="0.25">
      <c r="A56" s="170" t="s">
        <v>402</v>
      </c>
      <c r="B56" s="71"/>
      <c r="C56" s="71"/>
      <c r="D56" s="71"/>
      <c r="E56" s="71">
        <v>460</v>
      </c>
      <c r="F56" s="71"/>
      <c r="G56" s="71"/>
      <c r="H56" s="71"/>
      <c r="I56" s="71"/>
      <c r="J56" s="71"/>
      <c r="K56" s="71"/>
      <c r="L56" s="71"/>
      <c r="M56" s="71"/>
      <c r="N56" s="71"/>
    </row>
    <row r="57" spans="1:14" s="3" customFormat="1" outlineLevel="1" x14ac:dyDescent="0.25">
      <c r="A57" s="170" t="s">
        <v>403</v>
      </c>
      <c r="B57" s="71"/>
      <c r="C57" s="71"/>
      <c r="D57" s="71"/>
      <c r="E57" s="71">
        <v>470</v>
      </c>
      <c r="F57" s="71"/>
      <c r="G57" s="71"/>
      <c r="H57" s="71"/>
      <c r="I57" s="71"/>
      <c r="J57" s="71"/>
      <c r="K57" s="71"/>
      <c r="L57" s="71"/>
      <c r="M57" s="71"/>
      <c r="N57" s="71"/>
    </row>
    <row r="58" spans="1:14" s="3" customFormat="1" outlineLevel="1" x14ac:dyDescent="0.25">
      <c r="A58" s="170" t="s">
        <v>404</v>
      </c>
      <c r="B58" s="71"/>
      <c r="C58" s="71"/>
      <c r="D58" s="71"/>
      <c r="E58" s="71">
        <v>480</v>
      </c>
      <c r="F58" s="71"/>
      <c r="G58" s="71"/>
      <c r="H58" s="71"/>
      <c r="I58" s="71"/>
      <c r="J58" s="71"/>
      <c r="K58" s="71"/>
      <c r="L58" s="71"/>
      <c r="M58" s="71"/>
      <c r="N58" s="71"/>
    </row>
    <row r="59" spans="1:14" s="3" customFormat="1" outlineLevel="1" x14ac:dyDescent="0.25">
      <c r="A59" s="170" t="s">
        <v>405</v>
      </c>
      <c r="B59" s="71"/>
      <c r="C59" s="71"/>
      <c r="D59" s="71"/>
      <c r="E59" s="71">
        <v>490</v>
      </c>
      <c r="F59" s="71"/>
      <c r="G59" s="71"/>
      <c r="H59" s="71"/>
      <c r="I59" s="71"/>
      <c r="J59" s="71"/>
      <c r="K59" s="71"/>
      <c r="L59" s="71"/>
      <c r="M59" s="71"/>
      <c r="N59" s="71"/>
    </row>
    <row r="60" spans="1:14" s="3" customFormat="1" outlineLevel="1" x14ac:dyDescent="0.25">
      <c r="A60" s="220" t="s">
        <v>786</v>
      </c>
      <c r="B60" s="71"/>
      <c r="C60" s="71"/>
      <c r="D60" s="71"/>
      <c r="E60" s="71">
        <v>500</v>
      </c>
      <c r="F60" s="71"/>
      <c r="G60" s="71"/>
      <c r="H60" s="71"/>
      <c r="I60" s="71"/>
      <c r="J60" s="71"/>
      <c r="K60" s="71"/>
      <c r="L60" s="71"/>
      <c r="M60" s="71"/>
      <c r="N60" s="71"/>
    </row>
    <row r="61" spans="1:14" s="3" customFormat="1" outlineLevel="1" x14ac:dyDescent="0.25">
      <c r="A61" s="170" t="s">
        <v>406</v>
      </c>
      <c r="B61" s="71"/>
      <c r="C61" s="71"/>
      <c r="D61" s="71"/>
      <c r="E61" s="71">
        <v>510</v>
      </c>
      <c r="F61" s="71"/>
      <c r="G61" s="71"/>
      <c r="H61" s="71"/>
      <c r="I61" s="71"/>
      <c r="J61" s="71"/>
      <c r="K61" s="71"/>
      <c r="L61" s="71"/>
      <c r="M61" s="71"/>
      <c r="N61" s="71"/>
    </row>
    <row r="62" spans="1:14" s="140" customFormat="1" ht="15.75" outlineLevel="1" x14ac:dyDescent="0.25">
      <c r="A62" s="171" t="s">
        <v>740</v>
      </c>
      <c r="B62" s="139">
        <f>+SUM(B63:B66)</f>
        <v>0</v>
      </c>
      <c r="C62" s="139">
        <f t="shared" ref="C62:K62" si="15">+SUM(C63:C66)</f>
        <v>0</v>
      </c>
      <c r="D62" s="139">
        <f t="shared" si="15"/>
        <v>0</v>
      </c>
      <c r="E62" s="139">
        <f t="shared" si="15"/>
        <v>2140</v>
      </c>
      <c r="F62" s="139">
        <f t="shared" si="15"/>
        <v>0</v>
      </c>
      <c r="G62" s="139">
        <f t="shared" si="15"/>
        <v>0</v>
      </c>
      <c r="H62" s="139">
        <f t="shared" si="15"/>
        <v>0</v>
      </c>
      <c r="I62" s="139">
        <f t="shared" si="15"/>
        <v>0</v>
      </c>
      <c r="J62" s="139">
        <f t="shared" si="15"/>
        <v>0</v>
      </c>
      <c r="K62" s="139">
        <f t="shared" si="15"/>
        <v>0</v>
      </c>
      <c r="L62" s="139">
        <f t="shared" ref="L62:N62" si="16">+SUM(L63:L66)</f>
        <v>0</v>
      </c>
      <c r="M62" s="139">
        <f t="shared" si="16"/>
        <v>0</v>
      </c>
      <c r="N62" s="139">
        <f t="shared" si="16"/>
        <v>0</v>
      </c>
    </row>
    <row r="63" spans="1:14" s="3" customFormat="1" outlineLevel="1" x14ac:dyDescent="0.25">
      <c r="A63" s="170" t="s">
        <v>407</v>
      </c>
      <c r="B63" s="71"/>
      <c r="C63" s="71"/>
      <c r="D63" s="71"/>
      <c r="E63" s="71">
        <v>520</v>
      </c>
      <c r="F63" s="71"/>
      <c r="G63" s="71"/>
      <c r="H63" s="71"/>
      <c r="I63" s="71"/>
      <c r="J63" s="71"/>
      <c r="K63" s="71"/>
      <c r="L63" s="71"/>
      <c r="M63" s="71"/>
      <c r="N63" s="71"/>
    </row>
    <row r="64" spans="1:14" s="3" customFormat="1" outlineLevel="1" x14ac:dyDescent="0.25">
      <c r="A64" s="170" t="s">
        <v>408</v>
      </c>
      <c r="B64" s="71"/>
      <c r="C64" s="71"/>
      <c r="D64" s="71"/>
      <c r="E64" s="71">
        <v>530</v>
      </c>
      <c r="F64" s="71"/>
      <c r="G64" s="71"/>
      <c r="H64" s="71"/>
      <c r="I64" s="71"/>
      <c r="J64" s="71"/>
      <c r="K64" s="71"/>
      <c r="L64" s="71"/>
      <c r="M64" s="71"/>
      <c r="N64" s="71"/>
    </row>
    <row r="65" spans="1:14" s="3" customFormat="1" outlineLevel="1" x14ac:dyDescent="0.25">
      <c r="A65" s="170" t="s">
        <v>409</v>
      </c>
      <c r="B65" s="71"/>
      <c r="C65" s="71"/>
      <c r="D65" s="71"/>
      <c r="E65" s="71">
        <v>540</v>
      </c>
      <c r="F65" s="71"/>
      <c r="G65" s="71"/>
      <c r="H65" s="71"/>
      <c r="I65" s="71"/>
      <c r="J65" s="71"/>
      <c r="K65" s="71"/>
      <c r="L65" s="71"/>
      <c r="M65" s="71"/>
      <c r="N65" s="71"/>
    </row>
    <row r="66" spans="1:14" s="3" customFormat="1" outlineLevel="1" x14ac:dyDescent="0.25">
      <c r="A66" s="170" t="s">
        <v>410</v>
      </c>
      <c r="B66" s="71"/>
      <c r="C66" s="71"/>
      <c r="D66" s="71"/>
      <c r="E66" s="71">
        <v>550</v>
      </c>
      <c r="F66" s="71"/>
      <c r="G66" s="71"/>
      <c r="H66" s="71"/>
      <c r="I66" s="71"/>
      <c r="J66" s="71"/>
      <c r="K66" s="71"/>
      <c r="L66" s="71"/>
      <c r="M66" s="71"/>
      <c r="N66" s="71"/>
    </row>
    <row r="67" spans="1:14" s="140" customFormat="1" ht="15.75" outlineLevel="1" x14ac:dyDescent="0.25">
      <c r="A67" s="171" t="s">
        <v>736</v>
      </c>
      <c r="B67" s="139">
        <f>+SUM(B68:B71)</f>
        <v>0</v>
      </c>
      <c r="C67" s="139">
        <f t="shared" ref="C67:K67" si="17">+SUM(C68:C71)</f>
        <v>0</v>
      </c>
      <c r="D67" s="139">
        <f t="shared" si="17"/>
        <v>0</v>
      </c>
      <c r="E67" s="139">
        <f t="shared" si="17"/>
        <v>2300</v>
      </c>
      <c r="F67" s="139">
        <f t="shared" si="17"/>
        <v>0</v>
      </c>
      <c r="G67" s="139">
        <f t="shared" si="17"/>
        <v>0</v>
      </c>
      <c r="H67" s="139">
        <f t="shared" si="17"/>
        <v>0</v>
      </c>
      <c r="I67" s="139">
        <f t="shared" si="17"/>
        <v>0</v>
      </c>
      <c r="J67" s="139">
        <f t="shared" si="17"/>
        <v>0</v>
      </c>
      <c r="K67" s="139">
        <f t="shared" si="17"/>
        <v>0</v>
      </c>
      <c r="L67" s="139">
        <f t="shared" ref="L67:N67" si="18">+SUM(L68:L71)</f>
        <v>0</v>
      </c>
      <c r="M67" s="139">
        <f t="shared" si="18"/>
        <v>0</v>
      </c>
      <c r="N67" s="139">
        <f t="shared" si="18"/>
        <v>0</v>
      </c>
    </row>
    <row r="68" spans="1:14" s="3" customFormat="1" outlineLevel="1" x14ac:dyDescent="0.25">
      <c r="A68" s="169" t="s">
        <v>411</v>
      </c>
      <c r="B68" s="71"/>
      <c r="C68" s="71"/>
      <c r="D68" s="71"/>
      <c r="E68" s="71">
        <v>560</v>
      </c>
      <c r="F68" s="71"/>
      <c r="G68" s="71"/>
      <c r="H68" s="71">
        <v>0</v>
      </c>
      <c r="I68" s="71"/>
      <c r="J68" s="71"/>
      <c r="K68" s="71"/>
      <c r="L68" s="71"/>
      <c r="M68" s="71"/>
      <c r="N68" s="71"/>
    </row>
    <row r="69" spans="1:14" s="3" customFormat="1" outlineLevel="1" x14ac:dyDescent="0.25">
      <c r="A69" s="169" t="s">
        <v>412</v>
      </c>
      <c r="B69" s="71"/>
      <c r="C69" s="71"/>
      <c r="D69" s="71"/>
      <c r="E69" s="71">
        <v>570</v>
      </c>
      <c r="F69" s="71"/>
      <c r="G69" s="71"/>
      <c r="H69" s="71">
        <v>0</v>
      </c>
      <c r="I69" s="71"/>
      <c r="J69" s="71"/>
      <c r="K69" s="71"/>
      <c r="L69" s="71"/>
      <c r="M69" s="71"/>
      <c r="N69" s="71"/>
    </row>
    <row r="70" spans="1:14" s="3" customFormat="1" outlineLevel="1" x14ac:dyDescent="0.25">
      <c r="A70" s="169" t="s">
        <v>413</v>
      </c>
      <c r="B70" s="71"/>
      <c r="C70" s="71"/>
      <c r="D70" s="71"/>
      <c r="E70" s="71">
        <v>580</v>
      </c>
      <c r="F70" s="71"/>
      <c r="G70" s="71"/>
      <c r="H70" s="71">
        <v>0</v>
      </c>
      <c r="I70" s="71"/>
      <c r="J70" s="71"/>
      <c r="K70" s="71"/>
      <c r="L70" s="71"/>
      <c r="M70" s="71"/>
      <c r="N70" s="71"/>
    </row>
    <row r="71" spans="1:14" s="3" customFormat="1" outlineLevel="1" x14ac:dyDescent="0.25">
      <c r="A71" s="169" t="s">
        <v>414</v>
      </c>
      <c r="B71" s="71"/>
      <c r="C71" s="71"/>
      <c r="D71" s="71"/>
      <c r="E71" s="71">
        <v>590</v>
      </c>
      <c r="F71" s="71"/>
      <c r="G71" s="71"/>
      <c r="H71" s="71">
        <v>0</v>
      </c>
      <c r="I71" s="71"/>
      <c r="J71" s="71"/>
      <c r="K71" s="71"/>
      <c r="L71" s="71"/>
      <c r="M71" s="71"/>
      <c r="N71" s="71"/>
    </row>
    <row r="72" spans="1:14" s="3" customFormat="1" ht="18.75" x14ac:dyDescent="0.25">
      <c r="A72" s="148" t="s">
        <v>130</v>
      </c>
      <c r="B72" s="137">
        <f>+B73+B86+B92+B98+B102</f>
        <v>0</v>
      </c>
      <c r="C72" s="137">
        <f t="shared" ref="C72:K72" si="19">+C73+C86+C92+C98+C102</f>
        <v>0</v>
      </c>
      <c r="D72" s="137">
        <f t="shared" si="19"/>
        <v>0</v>
      </c>
      <c r="E72" s="137">
        <f t="shared" ref="E72:I72" si="20">+E73+E86+E92+E98+E102</f>
        <v>21460</v>
      </c>
      <c r="F72" s="137">
        <f t="shared" si="20"/>
        <v>0</v>
      </c>
      <c r="G72" s="137">
        <f t="shared" si="20"/>
        <v>0</v>
      </c>
      <c r="H72" s="137">
        <f t="shared" si="20"/>
        <v>0</v>
      </c>
      <c r="I72" s="137">
        <f t="shared" si="20"/>
        <v>0</v>
      </c>
      <c r="J72" s="137">
        <f t="shared" si="19"/>
        <v>0</v>
      </c>
      <c r="K72" s="137">
        <f t="shared" si="19"/>
        <v>0</v>
      </c>
      <c r="L72" s="137">
        <f t="shared" ref="L72:N72" si="21">+L73+L86+L92+L98+L102</f>
        <v>0</v>
      </c>
      <c r="M72" s="137">
        <f t="shared" si="21"/>
        <v>0</v>
      </c>
      <c r="N72" s="137">
        <f t="shared" si="21"/>
        <v>0</v>
      </c>
    </row>
    <row r="73" spans="1:14" s="140" customFormat="1" ht="15.75" outlineLevel="1" x14ac:dyDescent="0.25">
      <c r="A73" s="171" t="s">
        <v>415</v>
      </c>
      <c r="B73" s="139">
        <f>+SUM(B74:B85)</f>
        <v>0</v>
      </c>
      <c r="C73" s="139">
        <f t="shared" ref="C73:K73" si="22">+SUM(C74:C85)</f>
        <v>0</v>
      </c>
      <c r="D73" s="139">
        <f t="shared" si="22"/>
        <v>0</v>
      </c>
      <c r="E73" s="139">
        <f t="shared" ref="E73:I73" si="23">+SUM(E74:E85)</f>
        <v>7860</v>
      </c>
      <c r="F73" s="139">
        <f t="shared" si="23"/>
        <v>0</v>
      </c>
      <c r="G73" s="139">
        <f t="shared" si="23"/>
        <v>0</v>
      </c>
      <c r="H73" s="139">
        <f t="shared" si="23"/>
        <v>0</v>
      </c>
      <c r="I73" s="139">
        <f t="shared" si="23"/>
        <v>0</v>
      </c>
      <c r="J73" s="139">
        <f t="shared" si="22"/>
        <v>0</v>
      </c>
      <c r="K73" s="139">
        <f t="shared" si="22"/>
        <v>0</v>
      </c>
      <c r="L73" s="139">
        <f t="shared" ref="L73:N73" si="24">+SUM(L74:L85)</f>
        <v>0</v>
      </c>
      <c r="M73" s="139">
        <f t="shared" si="24"/>
        <v>0</v>
      </c>
      <c r="N73" s="139">
        <f t="shared" si="24"/>
        <v>0</v>
      </c>
    </row>
    <row r="74" spans="1:14" s="3" customFormat="1" outlineLevel="1" x14ac:dyDescent="0.25">
      <c r="A74" s="170" t="s">
        <v>415</v>
      </c>
      <c r="B74" s="71"/>
      <c r="C74" s="71"/>
      <c r="D74" s="71"/>
      <c r="E74" s="71">
        <v>600</v>
      </c>
      <c r="F74" s="71"/>
      <c r="G74" s="71"/>
      <c r="H74" s="71"/>
      <c r="I74" s="71"/>
      <c r="J74" s="71"/>
      <c r="K74" s="71"/>
      <c r="L74" s="71"/>
      <c r="M74" s="71"/>
      <c r="N74" s="71"/>
    </row>
    <row r="75" spans="1:14" s="3" customFormat="1" outlineLevel="1" x14ac:dyDescent="0.25">
      <c r="A75" s="170" t="s">
        <v>416</v>
      </c>
      <c r="B75" s="71"/>
      <c r="C75" s="71"/>
      <c r="D75" s="71"/>
      <c r="E75" s="71">
        <v>610</v>
      </c>
      <c r="F75" s="71"/>
      <c r="G75" s="71"/>
      <c r="H75" s="71"/>
      <c r="I75" s="71"/>
      <c r="J75" s="71"/>
      <c r="K75" s="71"/>
      <c r="L75" s="71"/>
      <c r="M75" s="71"/>
      <c r="N75" s="71"/>
    </row>
    <row r="76" spans="1:14" s="3" customFormat="1" outlineLevel="1" x14ac:dyDescent="0.25">
      <c r="A76" s="170" t="s">
        <v>417</v>
      </c>
      <c r="B76" s="71"/>
      <c r="C76" s="71"/>
      <c r="D76" s="71"/>
      <c r="E76" s="71">
        <v>620</v>
      </c>
      <c r="F76" s="71"/>
      <c r="G76" s="71"/>
      <c r="H76" s="71"/>
      <c r="I76" s="71"/>
      <c r="J76" s="71"/>
      <c r="K76" s="71"/>
      <c r="L76" s="71"/>
      <c r="M76" s="71"/>
      <c r="N76" s="71"/>
    </row>
    <row r="77" spans="1:14" s="3" customFormat="1" outlineLevel="1" x14ac:dyDescent="0.25">
      <c r="A77" s="170" t="s">
        <v>418</v>
      </c>
      <c r="B77" s="71"/>
      <c r="C77" s="71"/>
      <c r="D77" s="71"/>
      <c r="E77" s="71">
        <v>630</v>
      </c>
      <c r="F77" s="71"/>
      <c r="G77" s="71"/>
      <c r="H77" s="71"/>
      <c r="I77" s="71"/>
      <c r="J77" s="71"/>
      <c r="K77" s="71"/>
      <c r="L77" s="71"/>
      <c r="M77" s="71"/>
      <c r="N77" s="71"/>
    </row>
    <row r="78" spans="1:14" s="3" customFormat="1" outlineLevel="1" x14ac:dyDescent="0.25">
      <c r="A78" s="170" t="s">
        <v>419</v>
      </c>
      <c r="B78" s="71"/>
      <c r="C78" s="71"/>
      <c r="D78" s="71"/>
      <c r="E78" s="71">
        <v>640</v>
      </c>
      <c r="F78" s="71"/>
      <c r="G78" s="71"/>
      <c r="H78" s="71"/>
      <c r="I78" s="71"/>
      <c r="J78" s="71"/>
      <c r="K78" s="71"/>
      <c r="L78" s="71"/>
      <c r="M78" s="71"/>
      <c r="N78" s="71"/>
    </row>
    <row r="79" spans="1:14" s="3" customFormat="1" outlineLevel="1" x14ac:dyDescent="0.25">
      <c r="A79" s="170" t="s">
        <v>420</v>
      </c>
      <c r="B79" s="71"/>
      <c r="C79" s="71"/>
      <c r="D79" s="71"/>
      <c r="E79" s="71">
        <v>650</v>
      </c>
      <c r="F79" s="71"/>
      <c r="G79" s="71"/>
      <c r="H79" s="71"/>
      <c r="I79" s="71"/>
      <c r="J79" s="71"/>
      <c r="K79" s="71"/>
      <c r="L79" s="71"/>
      <c r="M79" s="71"/>
      <c r="N79" s="71"/>
    </row>
    <row r="80" spans="1:14" s="3" customFormat="1" outlineLevel="1" x14ac:dyDescent="0.25">
      <c r="A80" s="170" t="s">
        <v>421</v>
      </c>
      <c r="B80" s="71"/>
      <c r="C80" s="71"/>
      <c r="D80" s="71"/>
      <c r="E80" s="71">
        <v>660</v>
      </c>
      <c r="F80" s="71"/>
      <c r="G80" s="71"/>
      <c r="H80" s="71"/>
      <c r="I80" s="71"/>
      <c r="J80" s="71"/>
      <c r="K80" s="71"/>
      <c r="L80" s="71"/>
      <c r="M80" s="71"/>
      <c r="N80" s="71"/>
    </row>
    <row r="81" spans="1:14" s="3" customFormat="1" outlineLevel="1" x14ac:dyDescent="0.25">
      <c r="A81" s="170" t="s">
        <v>422</v>
      </c>
      <c r="B81" s="71"/>
      <c r="C81" s="71"/>
      <c r="D81" s="71"/>
      <c r="E81" s="71">
        <v>670</v>
      </c>
      <c r="F81" s="71"/>
      <c r="G81" s="71"/>
      <c r="H81" s="71"/>
      <c r="I81" s="71"/>
      <c r="J81" s="71"/>
      <c r="K81" s="71"/>
      <c r="L81" s="71"/>
      <c r="M81" s="71"/>
      <c r="N81" s="71"/>
    </row>
    <row r="82" spans="1:14" s="3" customFormat="1" outlineLevel="1" x14ac:dyDescent="0.25">
      <c r="A82" s="170" t="s">
        <v>423</v>
      </c>
      <c r="B82" s="71"/>
      <c r="C82" s="71"/>
      <c r="D82" s="71"/>
      <c r="E82" s="71">
        <v>680</v>
      </c>
      <c r="F82" s="71"/>
      <c r="G82" s="71"/>
      <c r="H82" s="71"/>
      <c r="I82" s="71"/>
      <c r="J82" s="71"/>
      <c r="K82" s="71"/>
      <c r="L82" s="71"/>
      <c r="M82" s="71"/>
      <c r="N82" s="71"/>
    </row>
    <row r="83" spans="1:14" s="3" customFormat="1" outlineLevel="1" x14ac:dyDescent="0.25">
      <c r="A83" s="170" t="s">
        <v>424</v>
      </c>
      <c r="B83" s="71"/>
      <c r="C83" s="71"/>
      <c r="D83" s="71"/>
      <c r="E83" s="71">
        <v>690</v>
      </c>
      <c r="F83" s="71"/>
      <c r="G83" s="71"/>
      <c r="H83" s="71"/>
      <c r="I83" s="71"/>
      <c r="J83" s="71"/>
      <c r="K83" s="71"/>
      <c r="L83" s="71"/>
      <c r="M83" s="71"/>
      <c r="N83" s="71"/>
    </row>
    <row r="84" spans="1:14" s="3" customFormat="1" outlineLevel="1" x14ac:dyDescent="0.25">
      <c r="A84" s="170" t="s">
        <v>425</v>
      </c>
      <c r="B84" s="71"/>
      <c r="C84" s="71"/>
      <c r="D84" s="71"/>
      <c r="E84" s="71">
        <v>700</v>
      </c>
      <c r="F84" s="71"/>
      <c r="G84" s="71"/>
      <c r="H84" s="71"/>
      <c r="I84" s="71"/>
      <c r="J84" s="71"/>
      <c r="K84" s="71"/>
      <c r="L84" s="71"/>
      <c r="M84" s="71"/>
      <c r="N84" s="71"/>
    </row>
    <row r="85" spans="1:14" s="3" customFormat="1" outlineLevel="1" x14ac:dyDescent="0.25">
      <c r="A85" s="170" t="s">
        <v>426</v>
      </c>
      <c r="B85" s="71"/>
      <c r="C85" s="71"/>
      <c r="D85" s="71"/>
      <c r="E85" s="71">
        <v>710</v>
      </c>
      <c r="F85" s="71"/>
      <c r="G85" s="71"/>
      <c r="H85" s="71"/>
      <c r="I85" s="71"/>
      <c r="J85" s="71"/>
      <c r="K85" s="71"/>
      <c r="L85" s="71"/>
      <c r="M85" s="71"/>
      <c r="N85" s="71"/>
    </row>
    <row r="86" spans="1:14" s="140" customFormat="1" ht="15.75" outlineLevel="1" x14ac:dyDescent="0.25">
      <c r="A86" s="171" t="s">
        <v>428</v>
      </c>
      <c r="B86" s="139">
        <f>+SUM(B87:B91)</f>
        <v>0</v>
      </c>
      <c r="C86" s="139">
        <f t="shared" ref="C86:K86" si="25">+SUM(C87:C91)</f>
        <v>0</v>
      </c>
      <c r="D86" s="139">
        <f t="shared" si="25"/>
        <v>0</v>
      </c>
      <c r="E86" s="139">
        <f t="shared" si="25"/>
        <v>2940</v>
      </c>
      <c r="F86" s="139">
        <f t="shared" si="25"/>
        <v>0</v>
      </c>
      <c r="G86" s="139">
        <f t="shared" si="25"/>
        <v>0</v>
      </c>
      <c r="H86" s="139">
        <f t="shared" si="25"/>
        <v>0</v>
      </c>
      <c r="I86" s="139">
        <f t="shared" si="25"/>
        <v>0</v>
      </c>
      <c r="J86" s="139">
        <f t="shared" si="25"/>
        <v>0</v>
      </c>
      <c r="K86" s="139">
        <f t="shared" si="25"/>
        <v>0</v>
      </c>
      <c r="L86" s="139">
        <f t="shared" ref="L86:N86" si="26">+SUM(L87:L91)</f>
        <v>0</v>
      </c>
      <c r="M86" s="139">
        <f t="shared" si="26"/>
        <v>0</v>
      </c>
      <c r="N86" s="139">
        <f t="shared" si="26"/>
        <v>0</v>
      </c>
    </row>
    <row r="87" spans="1:14" s="3" customFormat="1" outlineLevel="1" x14ac:dyDescent="0.25">
      <c r="A87" s="169" t="s">
        <v>787</v>
      </c>
      <c r="B87" s="71"/>
      <c r="C87" s="71"/>
      <c r="D87" s="71"/>
      <c r="E87" s="71">
        <v>720</v>
      </c>
      <c r="F87" s="71"/>
      <c r="G87" s="71"/>
      <c r="H87" s="71"/>
      <c r="I87" s="71"/>
      <c r="J87" s="71"/>
      <c r="K87" s="71"/>
      <c r="L87" s="71"/>
      <c r="M87" s="71"/>
      <c r="N87" s="71"/>
    </row>
    <row r="88" spans="1:14" s="3" customFormat="1" outlineLevel="1" x14ac:dyDescent="0.25">
      <c r="A88" s="169" t="s">
        <v>758</v>
      </c>
      <c r="B88" s="71"/>
      <c r="C88" s="71"/>
      <c r="D88" s="71"/>
      <c r="E88" s="71">
        <v>0</v>
      </c>
      <c r="F88" s="71"/>
      <c r="G88" s="71"/>
      <c r="H88" s="71"/>
      <c r="I88" s="71"/>
      <c r="J88" s="71"/>
      <c r="K88" s="71"/>
      <c r="L88" s="71"/>
      <c r="M88" s="71"/>
      <c r="N88" s="71"/>
    </row>
    <row r="89" spans="1:14" s="3" customFormat="1" outlineLevel="1" x14ac:dyDescent="0.25">
      <c r="A89" s="169" t="s">
        <v>770</v>
      </c>
      <c r="B89" s="71"/>
      <c r="C89" s="71"/>
      <c r="D89" s="71"/>
      <c r="E89" s="71">
        <v>730</v>
      </c>
      <c r="F89" s="71"/>
      <c r="G89" s="71"/>
      <c r="H89" s="71"/>
      <c r="I89" s="71"/>
      <c r="J89" s="71"/>
      <c r="K89" s="71"/>
      <c r="L89" s="71"/>
      <c r="M89" s="71"/>
      <c r="N89" s="71"/>
    </row>
    <row r="90" spans="1:14" s="3" customFormat="1" outlineLevel="1" x14ac:dyDescent="0.25">
      <c r="A90" s="169" t="s">
        <v>429</v>
      </c>
      <c r="B90" s="71"/>
      <c r="C90" s="71"/>
      <c r="D90" s="71"/>
      <c r="E90" s="71">
        <v>740</v>
      </c>
      <c r="F90" s="71"/>
      <c r="G90" s="71"/>
      <c r="H90" s="71"/>
      <c r="I90" s="71"/>
      <c r="J90" s="71"/>
      <c r="K90" s="71"/>
      <c r="L90" s="71"/>
      <c r="M90" s="71"/>
      <c r="N90" s="71"/>
    </row>
    <row r="91" spans="1:14" s="3" customFormat="1" outlineLevel="1" x14ac:dyDescent="0.25">
      <c r="A91" s="169" t="s">
        <v>430</v>
      </c>
      <c r="B91" s="71"/>
      <c r="C91" s="71"/>
      <c r="D91" s="71"/>
      <c r="E91" s="71">
        <v>750</v>
      </c>
      <c r="F91" s="71"/>
      <c r="G91" s="71"/>
      <c r="H91" s="71"/>
      <c r="I91" s="71"/>
      <c r="J91" s="71"/>
      <c r="K91" s="71"/>
      <c r="L91" s="71"/>
      <c r="M91" s="71"/>
      <c r="N91" s="71"/>
    </row>
    <row r="92" spans="1:14" s="140" customFormat="1" ht="15.75" outlineLevel="1" x14ac:dyDescent="0.25">
      <c r="A92" s="171" t="s">
        <v>431</v>
      </c>
      <c r="B92" s="139">
        <f>+SUM(B93:B97)</f>
        <v>0</v>
      </c>
      <c r="C92" s="139">
        <f t="shared" ref="C92:K92" si="27">+SUM(C93:C97)</f>
        <v>0</v>
      </c>
      <c r="D92" s="139">
        <f t="shared" si="27"/>
        <v>0</v>
      </c>
      <c r="E92" s="139">
        <f t="shared" si="27"/>
        <v>3900</v>
      </c>
      <c r="F92" s="139">
        <f t="shared" si="27"/>
        <v>0</v>
      </c>
      <c r="G92" s="139">
        <f t="shared" si="27"/>
        <v>0</v>
      </c>
      <c r="H92" s="139">
        <f t="shared" si="27"/>
        <v>0</v>
      </c>
      <c r="I92" s="139">
        <f t="shared" si="27"/>
        <v>0</v>
      </c>
      <c r="J92" s="139">
        <f t="shared" si="27"/>
        <v>0</v>
      </c>
      <c r="K92" s="139">
        <f t="shared" si="27"/>
        <v>0</v>
      </c>
      <c r="L92" s="139">
        <f t="shared" ref="L92:N92" si="28">+SUM(L93:L97)</f>
        <v>0</v>
      </c>
      <c r="M92" s="139">
        <f t="shared" si="28"/>
        <v>0</v>
      </c>
      <c r="N92" s="139">
        <f t="shared" si="28"/>
        <v>0</v>
      </c>
    </row>
    <row r="93" spans="1:14" s="3" customFormat="1" outlineLevel="1" x14ac:dyDescent="0.25">
      <c r="A93" s="169" t="s">
        <v>432</v>
      </c>
      <c r="B93" s="71"/>
      <c r="C93" s="71"/>
      <c r="D93" s="71"/>
      <c r="E93" s="71">
        <v>760</v>
      </c>
      <c r="F93" s="71"/>
      <c r="G93" s="71"/>
      <c r="H93" s="71"/>
      <c r="I93" s="71"/>
      <c r="J93" s="71"/>
      <c r="K93" s="71"/>
      <c r="L93" s="71"/>
      <c r="M93" s="71"/>
      <c r="N93" s="71"/>
    </row>
    <row r="94" spans="1:14" outlineLevel="1" x14ac:dyDescent="0.25">
      <c r="A94" s="172" t="s">
        <v>433</v>
      </c>
      <c r="E94" s="83">
        <v>770</v>
      </c>
    </row>
    <row r="95" spans="1:14" outlineLevel="1" x14ac:dyDescent="0.25">
      <c r="A95" s="172" t="s">
        <v>434</v>
      </c>
      <c r="E95" s="83">
        <v>780</v>
      </c>
    </row>
    <row r="96" spans="1:14" outlineLevel="1" x14ac:dyDescent="0.25">
      <c r="A96" s="172" t="s">
        <v>435</v>
      </c>
      <c r="E96" s="83">
        <v>790</v>
      </c>
    </row>
    <row r="97" spans="1:14" outlineLevel="1" x14ac:dyDescent="0.25">
      <c r="A97" s="172" t="s">
        <v>436</v>
      </c>
      <c r="E97" s="83">
        <v>800</v>
      </c>
    </row>
    <row r="98" spans="1:14" s="140" customFormat="1" ht="15.75" outlineLevel="1" x14ac:dyDescent="0.25">
      <c r="A98" s="171" t="s">
        <v>437</v>
      </c>
      <c r="B98" s="139">
        <f>+SUM(B99:B101)</f>
        <v>0</v>
      </c>
      <c r="C98" s="139">
        <f t="shared" ref="C98:K98" si="29">+SUM(C99:C101)</f>
        <v>0</v>
      </c>
      <c r="D98" s="139">
        <f t="shared" si="29"/>
        <v>0</v>
      </c>
      <c r="E98" s="139">
        <f t="shared" si="29"/>
        <v>2460</v>
      </c>
      <c r="F98" s="139">
        <f t="shared" si="29"/>
        <v>0</v>
      </c>
      <c r="G98" s="139">
        <f t="shared" si="29"/>
        <v>0</v>
      </c>
      <c r="H98" s="139">
        <f t="shared" si="29"/>
        <v>0</v>
      </c>
      <c r="I98" s="139">
        <f t="shared" si="29"/>
        <v>0</v>
      </c>
      <c r="J98" s="139">
        <f t="shared" si="29"/>
        <v>0</v>
      </c>
      <c r="K98" s="139">
        <f t="shared" si="29"/>
        <v>0</v>
      </c>
      <c r="L98" s="139">
        <f t="shared" ref="L98:N98" si="30">+SUM(L99:L101)</f>
        <v>0</v>
      </c>
      <c r="M98" s="139">
        <f t="shared" si="30"/>
        <v>0</v>
      </c>
      <c r="N98" s="139">
        <f t="shared" si="30"/>
        <v>0</v>
      </c>
    </row>
    <row r="99" spans="1:14" outlineLevel="1" x14ac:dyDescent="0.25">
      <c r="A99" s="170" t="s">
        <v>438</v>
      </c>
      <c r="E99" s="83">
        <v>810</v>
      </c>
      <c r="H99" s="83">
        <v>0</v>
      </c>
    </row>
    <row r="100" spans="1:14" outlineLevel="1" x14ac:dyDescent="0.25">
      <c r="A100" s="170" t="s">
        <v>439</v>
      </c>
      <c r="E100" s="83">
        <v>820</v>
      </c>
      <c r="H100" s="83">
        <v>0</v>
      </c>
    </row>
    <row r="101" spans="1:14" outlineLevel="1" x14ac:dyDescent="0.25">
      <c r="A101" s="170" t="s">
        <v>440</v>
      </c>
      <c r="E101" s="83">
        <v>830</v>
      </c>
      <c r="H101" s="83">
        <v>0</v>
      </c>
    </row>
    <row r="102" spans="1:14" s="140" customFormat="1" ht="15.75" outlineLevel="1" x14ac:dyDescent="0.25">
      <c r="A102" s="171" t="s">
        <v>441</v>
      </c>
      <c r="B102" s="139">
        <f>+SUM(B103:B108)</f>
        <v>0</v>
      </c>
      <c r="C102" s="139">
        <f t="shared" ref="C102:K102" si="31">+SUM(C103:C108)</f>
        <v>0</v>
      </c>
      <c r="D102" s="139">
        <f t="shared" si="31"/>
        <v>0</v>
      </c>
      <c r="E102" s="139">
        <f t="shared" si="31"/>
        <v>4300</v>
      </c>
      <c r="F102" s="139">
        <f t="shared" si="31"/>
        <v>0</v>
      </c>
      <c r="G102" s="139">
        <f t="shared" si="31"/>
        <v>0</v>
      </c>
      <c r="H102" s="139">
        <f t="shared" si="31"/>
        <v>0</v>
      </c>
      <c r="I102" s="139">
        <f t="shared" si="31"/>
        <v>0</v>
      </c>
      <c r="J102" s="139">
        <f t="shared" si="31"/>
        <v>0</v>
      </c>
      <c r="K102" s="139">
        <f t="shared" si="31"/>
        <v>0</v>
      </c>
      <c r="L102" s="139">
        <f t="shared" ref="L102:N102" si="32">+SUM(L103:L108)</f>
        <v>0</v>
      </c>
      <c r="M102" s="139">
        <f t="shared" si="32"/>
        <v>0</v>
      </c>
      <c r="N102" s="139">
        <f t="shared" si="32"/>
        <v>0</v>
      </c>
    </row>
    <row r="103" spans="1:14" outlineLevel="1" x14ac:dyDescent="0.25">
      <c r="A103" s="170" t="s">
        <v>441</v>
      </c>
      <c r="E103" s="83">
        <v>840</v>
      </c>
      <c r="H103" s="83">
        <v>0</v>
      </c>
    </row>
    <row r="104" spans="1:14" outlineLevel="1" x14ac:dyDescent="0.25">
      <c r="A104" s="170" t="s">
        <v>442</v>
      </c>
      <c r="E104" s="83">
        <v>850</v>
      </c>
      <c r="H104" s="83">
        <v>0</v>
      </c>
    </row>
    <row r="105" spans="1:14" outlineLevel="1" x14ac:dyDescent="0.25">
      <c r="A105" s="170" t="s">
        <v>788</v>
      </c>
      <c r="E105" s="83">
        <v>0</v>
      </c>
    </row>
    <row r="106" spans="1:14" outlineLevel="1" x14ac:dyDescent="0.25">
      <c r="A106" s="170" t="s">
        <v>443</v>
      </c>
      <c r="E106" s="83">
        <v>860</v>
      </c>
      <c r="H106" s="83">
        <v>0</v>
      </c>
    </row>
    <row r="107" spans="1:14" outlineLevel="1" x14ac:dyDescent="0.25">
      <c r="A107" s="170" t="s">
        <v>444</v>
      </c>
      <c r="E107" s="83">
        <v>870</v>
      </c>
      <c r="H107" s="83">
        <v>0</v>
      </c>
    </row>
    <row r="108" spans="1:14" outlineLevel="1" x14ac:dyDescent="0.25">
      <c r="A108" s="170" t="s">
        <v>445</v>
      </c>
      <c r="E108" s="83">
        <v>880</v>
      </c>
      <c r="H108" s="83">
        <v>0</v>
      </c>
    </row>
    <row r="109" spans="1:14" s="3" customFormat="1" ht="18.75" x14ac:dyDescent="0.25">
      <c r="A109" s="148" t="s">
        <v>131</v>
      </c>
      <c r="B109" s="137">
        <f>+B110+B114</f>
        <v>0</v>
      </c>
      <c r="C109" s="137">
        <f t="shared" ref="C109:K109" si="33">+C110+C114</f>
        <v>0</v>
      </c>
      <c r="D109" s="137">
        <f t="shared" si="33"/>
        <v>0</v>
      </c>
      <c r="E109" s="137">
        <f t="shared" ref="E109:H109" si="34">+E110+E114</f>
        <v>5490</v>
      </c>
      <c r="F109" s="137">
        <f t="shared" si="34"/>
        <v>0</v>
      </c>
      <c r="G109" s="137">
        <f t="shared" si="34"/>
        <v>0</v>
      </c>
      <c r="H109" s="137">
        <f t="shared" si="34"/>
        <v>0</v>
      </c>
      <c r="I109" s="137">
        <f t="shared" si="33"/>
        <v>0</v>
      </c>
      <c r="J109" s="137">
        <f t="shared" si="33"/>
        <v>0</v>
      </c>
      <c r="K109" s="137">
        <f t="shared" si="33"/>
        <v>0</v>
      </c>
      <c r="L109" s="137">
        <f t="shared" ref="L109:N109" si="35">+L110+L114</f>
        <v>0</v>
      </c>
      <c r="M109" s="137">
        <f t="shared" si="35"/>
        <v>0</v>
      </c>
      <c r="N109" s="137">
        <f t="shared" si="35"/>
        <v>0</v>
      </c>
    </row>
    <row r="110" spans="1:14" s="140" customFormat="1" ht="15.75" outlineLevel="1" x14ac:dyDescent="0.25">
      <c r="A110" s="171" t="s">
        <v>446</v>
      </c>
      <c r="B110" s="139">
        <f>+SUM(B111:B113)</f>
        <v>0</v>
      </c>
      <c r="C110" s="139">
        <f t="shared" ref="C110:K110" si="36">+SUM(C111:C113)</f>
        <v>0</v>
      </c>
      <c r="D110" s="139">
        <f t="shared" si="36"/>
        <v>0</v>
      </c>
      <c r="E110" s="139">
        <f t="shared" ref="E110:H110" si="37">+SUM(E111:E113)</f>
        <v>2700</v>
      </c>
      <c r="F110" s="139">
        <f t="shared" si="37"/>
        <v>0</v>
      </c>
      <c r="G110" s="139">
        <f t="shared" si="37"/>
        <v>0</v>
      </c>
      <c r="H110" s="139">
        <f t="shared" si="37"/>
        <v>0</v>
      </c>
      <c r="I110" s="139">
        <f t="shared" si="36"/>
        <v>0</v>
      </c>
      <c r="J110" s="139">
        <f t="shared" si="36"/>
        <v>0</v>
      </c>
      <c r="K110" s="139">
        <f t="shared" si="36"/>
        <v>0</v>
      </c>
      <c r="L110" s="139">
        <f t="shared" ref="L110:N110" si="38">+SUM(L111:L113)</f>
        <v>0</v>
      </c>
      <c r="M110" s="139">
        <f t="shared" si="38"/>
        <v>0</v>
      </c>
      <c r="N110" s="139">
        <f t="shared" si="38"/>
        <v>0</v>
      </c>
    </row>
    <row r="111" spans="1:14" outlineLevel="1" x14ac:dyDescent="0.25">
      <c r="A111" s="172" t="s">
        <v>447</v>
      </c>
      <c r="E111" s="83">
        <v>890</v>
      </c>
    </row>
    <row r="112" spans="1:14" outlineLevel="1" x14ac:dyDescent="0.25">
      <c r="A112" s="172" t="s">
        <v>132</v>
      </c>
      <c r="E112" s="83">
        <v>900</v>
      </c>
    </row>
    <row r="113" spans="1:14" outlineLevel="1" x14ac:dyDescent="0.25">
      <c r="A113" s="172" t="s">
        <v>448</v>
      </c>
      <c r="E113" s="83">
        <v>910</v>
      </c>
    </row>
    <row r="114" spans="1:14" s="140" customFormat="1" ht="15.75" outlineLevel="1" x14ac:dyDescent="0.25">
      <c r="A114" s="171" t="s">
        <v>449</v>
      </c>
      <c r="B114" s="139">
        <f>+SUM(B115:B117)</f>
        <v>0</v>
      </c>
      <c r="C114" s="139">
        <f t="shared" ref="C114:K114" si="39">+SUM(C115:C117)</f>
        <v>0</v>
      </c>
      <c r="D114" s="139">
        <f t="shared" si="39"/>
        <v>0</v>
      </c>
      <c r="E114" s="139">
        <f t="shared" si="39"/>
        <v>2790</v>
      </c>
      <c r="F114" s="139">
        <f t="shared" si="39"/>
        <v>0</v>
      </c>
      <c r="G114" s="139">
        <f t="shared" si="39"/>
        <v>0</v>
      </c>
      <c r="H114" s="139">
        <f t="shared" si="39"/>
        <v>0</v>
      </c>
      <c r="I114" s="139">
        <f t="shared" si="39"/>
        <v>0</v>
      </c>
      <c r="J114" s="139">
        <f t="shared" si="39"/>
        <v>0</v>
      </c>
      <c r="K114" s="139">
        <f t="shared" si="39"/>
        <v>0</v>
      </c>
      <c r="L114" s="139">
        <f t="shared" ref="L114:N114" si="40">+SUM(L115:L117)</f>
        <v>0</v>
      </c>
      <c r="M114" s="139">
        <f t="shared" si="40"/>
        <v>0</v>
      </c>
      <c r="N114" s="139">
        <f t="shared" si="40"/>
        <v>0</v>
      </c>
    </row>
    <row r="115" spans="1:14" outlineLevel="1" x14ac:dyDescent="0.25">
      <c r="A115" s="172" t="s">
        <v>450</v>
      </c>
      <c r="E115" s="83">
        <v>920</v>
      </c>
      <c r="H115" s="83">
        <v>0</v>
      </c>
    </row>
    <row r="116" spans="1:14" outlineLevel="1" x14ac:dyDescent="0.25">
      <c r="A116" s="172" t="s">
        <v>451</v>
      </c>
      <c r="E116" s="83">
        <v>930</v>
      </c>
      <c r="H116" s="83">
        <v>0</v>
      </c>
    </row>
    <row r="117" spans="1:14" outlineLevel="1" x14ac:dyDescent="0.25">
      <c r="A117" s="172" t="s">
        <v>452</v>
      </c>
      <c r="E117" s="83">
        <v>940</v>
      </c>
      <c r="H117" s="83">
        <v>0</v>
      </c>
    </row>
    <row r="118" spans="1:14" s="3" customFormat="1" ht="18.75" x14ac:dyDescent="0.25">
      <c r="A118" s="148" t="s">
        <v>134</v>
      </c>
      <c r="B118" s="137">
        <f>+B119+B125+B131+B135+B137</f>
        <v>0</v>
      </c>
      <c r="C118" s="137">
        <f t="shared" ref="C118:K118" si="41">+C119+C125+C131+C135+C137</f>
        <v>0</v>
      </c>
      <c r="D118" s="137">
        <f t="shared" si="41"/>
        <v>0</v>
      </c>
      <c r="E118" s="137">
        <f t="shared" ref="E118:H118" si="42">+E119+E125+E131+E135+E137</f>
        <v>15300</v>
      </c>
      <c r="F118" s="137">
        <f t="shared" si="42"/>
        <v>0</v>
      </c>
      <c r="G118" s="137">
        <f t="shared" si="42"/>
        <v>0</v>
      </c>
      <c r="H118" s="137">
        <f t="shared" si="42"/>
        <v>0</v>
      </c>
      <c r="I118" s="137">
        <f t="shared" si="41"/>
        <v>0</v>
      </c>
      <c r="J118" s="137">
        <f t="shared" si="41"/>
        <v>0</v>
      </c>
      <c r="K118" s="137">
        <f t="shared" si="41"/>
        <v>0</v>
      </c>
      <c r="L118" s="137">
        <f t="shared" ref="L118:N118" si="43">+L119+L125+L131+L135+L137</f>
        <v>0</v>
      </c>
      <c r="M118" s="137">
        <f t="shared" si="43"/>
        <v>0</v>
      </c>
      <c r="N118" s="137">
        <f t="shared" si="43"/>
        <v>0</v>
      </c>
    </row>
    <row r="119" spans="1:14" s="140" customFormat="1" ht="15.75" outlineLevel="1" x14ac:dyDescent="0.25">
      <c r="A119" s="171" t="s">
        <v>453</v>
      </c>
      <c r="B119" s="139">
        <f>+SUM(B120:B124)</f>
        <v>0</v>
      </c>
      <c r="C119" s="139">
        <f t="shared" ref="C119:K119" si="44">+SUM(C120:C124)</f>
        <v>0</v>
      </c>
      <c r="D119" s="139">
        <f t="shared" si="44"/>
        <v>0</v>
      </c>
      <c r="E119" s="139">
        <f t="shared" ref="E119:H119" si="45">+SUM(E120:E124)</f>
        <v>4850</v>
      </c>
      <c r="F119" s="139">
        <f t="shared" si="45"/>
        <v>0</v>
      </c>
      <c r="G119" s="139">
        <f t="shared" si="45"/>
        <v>0</v>
      </c>
      <c r="H119" s="139">
        <f t="shared" si="45"/>
        <v>0</v>
      </c>
      <c r="I119" s="139">
        <f t="shared" si="44"/>
        <v>0</v>
      </c>
      <c r="J119" s="139">
        <f t="shared" si="44"/>
        <v>0</v>
      </c>
      <c r="K119" s="139">
        <f t="shared" si="44"/>
        <v>0</v>
      </c>
      <c r="L119" s="139">
        <f t="shared" ref="L119:N119" si="46">+SUM(L120:L124)</f>
        <v>0</v>
      </c>
      <c r="M119" s="139">
        <f t="shared" si="46"/>
        <v>0</v>
      </c>
      <c r="N119" s="139">
        <f t="shared" si="46"/>
        <v>0</v>
      </c>
    </row>
    <row r="120" spans="1:14" outlineLevel="1" x14ac:dyDescent="0.25">
      <c r="A120" s="170" t="s">
        <v>454</v>
      </c>
      <c r="E120" s="83">
        <v>950</v>
      </c>
      <c r="H120" s="83">
        <v>0</v>
      </c>
    </row>
    <row r="121" spans="1:14" outlineLevel="1" x14ac:dyDescent="0.25">
      <c r="A121" s="170" t="s">
        <v>455</v>
      </c>
      <c r="E121" s="83">
        <v>960</v>
      </c>
      <c r="H121" s="83">
        <v>0</v>
      </c>
    </row>
    <row r="122" spans="1:14" outlineLevel="1" x14ac:dyDescent="0.25">
      <c r="A122" s="170" t="s">
        <v>456</v>
      </c>
      <c r="E122" s="83">
        <v>970</v>
      </c>
      <c r="H122" s="83">
        <v>0</v>
      </c>
    </row>
    <row r="123" spans="1:14" outlineLevel="1" x14ac:dyDescent="0.25">
      <c r="A123" s="170" t="s">
        <v>457</v>
      </c>
      <c r="E123" s="83">
        <v>980</v>
      </c>
      <c r="H123" s="83">
        <v>0</v>
      </c>
    </row>
    <row r="124" spans="1:14" outlineLevel="1" x14ac:dyDescent="0.25">
      <c r="A124" s="170" t="s">
        <v>458</v>
      </c>
      <c r="E124" s="83">
        <v>990</v>
      </c>
      <c r="H124" s="83">
        <v>0</v>
      </c>
    </row>
    <row r="125" spans="1:14" s="140" customFormat="1" ht="15.75" outlineLevel="1" x14ac:dyDescent="0.25">
      <c r="A125" s="171" t="s">
        <v>459</v>
      </c>
      <c r="B125" s="139">
        <f>+SUM(B126:B130)</f>
        <v>0</v>
      </c>
      <c r="C125" s="139">
        <f t="shared" ref="C125:K125" si="47">+SUM(C126:C130)</f>
        <v>0</v>
      </c>
      <c r="D125" s="139">
        <f t="shared" si="47"/>
        <v>0</v>
      </c>
      <c r="E125" s="139">
        <f t="shared" si="47"/>
        <v>5100</v>
      </c>
      <c r="F125" s="139">
        <f t="shared" si="47"/>
        <v>0</v>
      </c>
      <c r="G125" s="139">
        <f t="shared" si="47"/>
        <v>0</v>
      </c>
      <c r="H125" s="139">
        <f t="shared" si="47"/>
        <v>0</v>
      </c>
      <c r="I125" s="139">
        <f t="shared" si="47"/>
        <v>0</v>
      </c>
      <c r="J125" s="139">
        <f t="shared" si="47"/>
        <v>0</v>
      </c>
      <c r="K125" s="139">
        <f t="shared" si="47"/>
        <v>0</v>
      </c>
      <c r="L125" s="139">
        <f t="shared" ref="L125:N125" si="48">+SUM(L126:L130)</f>
        <v>0</v>
      </c>
      <c r="M125" s="139">
        <f t="shared" si="48"/>
        <v>0</v>
      </c>
      <c r="N125" s="139">
        <f t="shared" si="48"/>
        <v>0</v>
      </c>
    </row>
    <row r="126" spans="1:14" outlineLevel="1" x14ac:dyDescent="0.25">
      <c r="A126" s="170" t="s">
        <v>460</v>
      </c>
      <c r="E126" s="83">
        <v>1000</v>
      </c>
      <c r="H126" s="83">
        <v>0</v>
      </c>
    </row>
    <row r="127" spans="1:14" outlineLevel="1" x14ac:dyDescent="0.25">
      <c r="A127" s="170" t="s">
        <v>461</v>
      </c>
      <c r="E127" s="83">
        <v>1010</v>
      </c>
      <c r="H127" s="83">
        <v>0</v>
      </c>
    </row>
    <row r="128" spans="1:14" outlineLevel="1" x14ac:dyDescent="0.25">
      <c r="A128" s="170" t="s">
        <v>462</v>
      </c>
      <c r="E128" s="83">
        <v>1020</v>
      </c>
      <c r="H128" s="83">
        <v>0</v>
      </c>
    </row>
    <row r="129" spans="1:14" outlineLevel="1" x14ac:dyDescent="0.25">
      <c r="A129" s="170" t="s">
        <v>463</v>
      </c>
      <c r="E129" s="83">
        <v>1030</v>
      </c>
      <c r="H129" s="83">
        <v>0</v>
      </c>
    </row>
    <row r="130" spans="1:14" outlineLevel="1" x14ac:dyDescent="0.25">
      <c r="A130" s="170" t="s">
        <v>464</v>
      </c>
      <c r="E130" s="83">
        <v>1040</v>
      </c>
      <c r="H130" s="83">
        <v>0</v>
      </c>
    </row>
    <row r="131" spans="1:14" s="140" customFormat="1" ht="15.75" outlineLevel="1" x14ac:dyDescent="0.25">
      <c r="A131" s="171" t="s">
        <v>465</v>
      </c>
      <c r="B131" s="139">
        <f>+SUM(B132:B134)</f>
        <v>0</v>
      </c>
      <c r="C131" s="139">
        <f t="shared" ref="C131:K131" si="49">+SUM(C132:C134)</f>
        <v>0</v>
      </c>
      <c r="D131" s="139">
        <f t="shared" si="49"/>
        <v>0</v>
      </c>
      <c r="E131" s="139">
        <f t="shared" si="49"/>
        <v>3180</v>
      </c>
      <c r="F131" s="139">
        <f t="shared" si="49"/>
        <v>0</v>
      </c>
      <c r="G131" s="139">
        <f t="shared" si="49"/>
        <v>0</v>
      </c>
      <c r="H131" s="139">
        <f t="shared" si="49"/>
        <v>0</v>
      </c>
      <c r="I131" s="139">
        <f t="shared" si="49"/>
        <v>0</v>
      </c>
      <c r="J131" s="139">
        <f t="shared" si="49"/>
        <v>0</v>
      </c>
      <c r="K131" s="139">
        <f t="shared" si="49"/>
        <v>0</v>
      </c>
      <c r="L131" s="139">
        <f t="shared" ref="L131:N131" si="50">+SUM(L132:L134)</f>
        <v>0</v>
      </c>
      <c r="M131" s="139">
        <f t="shared" si="50"/>
        <v>0</v>
      </c>
      <c r="N131" s="139">
        <f t="shared" si="50"/>
        <v>0</v>
      </c>
    </row>
    <row r="132" spans="1:14" outlineLevel="1" x14ac:dyDescent="0.25">
      <c r="A132" s="170" t="s">
        <v>466</v>
      </c>
      <c r="E132" s="83">
        <v>1050</v>
      </c>
      <c r="H132" s="83">
        <v>0</v>
      </c>
    </row>
    <row r="133" spans="1:14" outlineLevel="1" x14ac:dyDescent="0.25">
      <c r="A133" s="170" t="s">
        <v>467</v>
      </c>
      <c r="E133" s="83">
        <v>1060</v>
      </c>
      <c r="H133" s="83">
        <v>0</v>
      </c>
    </row>
    <row r="134" spans="1:14" outlineLevel="1" x14ac:dyDescent="0.25">
      <c r="A134" s="170" t="s">
        <v>468</v>
      </c>
      <c r="E134" s="83">
        <v>1070</v>
      </c>
      <c r="H134" s="83">
        <v>0</v>
      </c>
    </row>
    <row r="135" spans="1:14" s="140" customFormat="1" ht="15.75" outlineLevel="1" x14ac:dyDescent="0.25">
      <c r="A135" s="171" t="s">
        <v>469</v>
      </c>
      <c r="B135" s="139">
        <f>+SUM(B136:B136)</f>
        <v>0</v>
      </c>
      <c r="C135" s="139">
        <f t="shared" ref="C135:K135" si="51">+SUM(C136:C136)</f>
        <v>0</v>
      </c>
      <c r="D135" s="139">
        <f t="shared" si="51"/>
        <v>0</v>
      </c>
      <c r="E135" s="139">
        <f t="shared" si="51"/>
        <v>1080</v>
      </c>
      <c r="F135" s="139">
        <f t="shared" si="51"/>
        <v>0</v>
      </c>
      <c r="G135" s="139">
        <f t="shared" si="51"/>
        <v>0</v>
      </c>
      <c r="H135" s="139">
        <f t="shared" si="51"/>
        <v>0</v>
      </c>
      <c r="I135" s="139">
        <f t="shared" si="51"/>
        <v>0</v>
      </c>
      <c r="J135" s="139">
        <f t="shared" si="51"/>
        <v>0</v>
      </c>
      <c r="K135" s="139">
        <f t="shared" si="51"/>
        <v>0</v>
      </c>
      <c r="L135" s="139">
        <f t="shared" ref="L135:N135" si="52">+SUM(L136:L136)</f>
        <v>0</v>
      </c>
      <c r="M135" s="139">
        <f t="shared" si="52"/>
        <v>0</v>
      </c>
      <c r="N135" s="139">
        <f t="shared" si="52"/>
        <v>0</v>
      </c>
    </row>
    <row r="136" spans="1:14" outlineLevel="1" x14ac:dyDescent="0.25">
      <c r="A136" s="170" t="s">
        <v>469</v>
      </c>
      <c r="E136" s="83">
        <v>1080</v>
      </c>
    </row>
    <row r="137" spans="1:14" s="140" customFormat="1" ht="15.75" outlineLevel="1" x14ac:dyDescent="0.25">
      <c r="A137" s="171" t="s">
        <v>470</v>
      </c>
      <c r="B137" s="139">
        <f>+SUM(B138:B138)</f>
        <v>0</v>
      </c>
      <c r="C137" s="139">
        <f t="shared" ref="C137:K137" si="53">+SUM(C138:C138)</f>
        <v>0</v>
      </c>
      <c r="D137" s="139">
        <f t="shared" si="53"/>
        <v>0</v>
      </c>
      <c r="E137" s="139">
        <f t="shared" si="53"/>
        <v>1090</v>
      </c>
      <c r="F137" s="139">
        <f t="shared" si="53"/>
        <v>0</v>
      </c>
      <c r="G137" s="139">
        <f t="shared" si="53"/>
        <v>0</v>
      </c>
      <c r="H137" s="139">
        <f t="shared" si="53"/>
        <v>0</v>
      </c>
      <c r="I137" s="139">
        <f t="shared" si="53"/>
        <v>0</v>
      </c>
      <c r="J137" s="139">
        <f t="shared" si="53"/>
        <v>0</v>
      </c>
      <c r="K137" s="139">
        <f t="shared" si="53"/>
        <v>0</v>
      </c>
      <c r="L137" s="139">
        <f t="shared" ref="L137:N137" si="54">+SUM(L138:L138)</f>
        <v>0</v>
      </c>
      <c r="M137" s="139">
        <f t="shared" si="54"/>
        <v>0</v>
      </c>
      <c r="N137" s="139">
        <f t="shared" si="54"/>
        <v>0</v>
      </c>
    </row>
    <row r="138" spans="1:14" outlineLevel="1" x14ac:dyDescent="0.25">
      <c r="A138" s="170" t="s">
        <v>471</v>
      </c>
      <c r="E138" s="83">
        <v>1090</v>
      </c>
    </row>
    <row r="139" spans="1:14" s="3" customFormat="1" ht="18.75" x14ac:dyDescent="0.25">
      <c r="A139" s="148" t="s">
        <v>135</v>
      </c>
      <c r="B139" s="137">
        <f>+B140+B143+B148</f>
        <v>0</v>
      </c>
      <c r="C139" s="137">
        <f t="shared" ref="C139:K139" si="55">+C140+C143+C148</f>
        <v>0</v>
      </c>
      <c r="D139" s="137">
        <f t="shared" si="55"/>
        <v>0</v>
      </c>
      <c r="E139" s="137">
        <f t="shared" ref="E139:H139" si="56">+E140+E143+E148</f>
        <v>7910</v>
      </c>
      <c r="F139" s="137">
        <f t="shared" si="56"/>
        <v>0</v>
      </c>
      <c r="G139" s="137">
        <f t="shared" si="56"/>
        <v>0</v>
      </c>
      <c r="H139" s="137">
        <f t="shared" si="56"/>
        <v>0</v>
      </c>
      <c r="I139" s="137">
        <f t="shared" si="55"/>
        <v>0</v>
      </c>
      <c r="J139" s="137">
        <f t="shared" si="55"/>
        <v>0</v>
      </c>
      <c r="K139" s="137">
        <f t="shared" si="55"/>
        <v>0</v>
      </c>
      <c r="L139" s="137">
        <f t="shared" ref="L139:N139" si="57">+L140+L143+L148</f>
        <v>0</v>
      </c>
      <c r="M139" s="137">
        <f t="shared" si="57"/>
        <v>0</v>
      </c>
      <c r="N139" s="137">
        <f t="shared" si="57"/>
        <v>0</v>
      </c>
    </row>
    <row r="140" spans="1:14" s="140" customFormat="1" ht="15.75" outlineLevel="1" x14ac:dyDescent="0.25">
      <c r="A140" s="171" t="s">
        <v>472</v>
      </c>
      <c r="B140" s="139">
        <f>+SUM(B141:B142)</f>
        <v>0</v>
      </c>
      <c r="C140" s="139">
        <f t="shared" ref="C140:K140" si="58">+SUM(C141:C142)</f>
        <v>0</v>
      </c>
      <c r="D140" s="139">
        <f t="shared" si="58"/>
        <v>0</v>
      </c>
      <c r="E140" s="139">
        <f t="shared" ref="E140:H140" si="59">+SUM(E141:E142)</f>
        <v>2210</v>
      </c>
      <c r="F140" s="139">
        <f t="shared" si="59"/>
        <v>0</v>
      </c>
      <c r="G140" s="139">
        <f t="shared" si="59"/>
        <v>0</v>
      </c>
      <c r="H140" s="139">
        <f t="shared" si="59"/>
        <v>0</v>
      </c>
      <c r="I140" s="139">
        <f t="shared" si="58"/>
        <v>0</v>
      </c>
      <c r="J140" s="139">
        <f t="shared" si="58"/>
        <v>0</v>
      </c>
      <c r="K140" s="139">
        <f t="shared" si="58"/>
        <v>0</v>
      </c>
      <c r="L140" s="139">
        <f t="shared" ref="L140:N140" si="60">+SUM(L141:L142)</f>
        <v>0</v>
      </c>
      <c r="M140" s="139">
        <f t="shared" si="60"/>
        <v>0</v>
      </c>
      <c r="N140" s="139">
        <f t="shared" si="60"/>
        <v>0</v>
      </c>
    </row>
    <row r="141" spans="1:14" outlineLevel="1" x14ac:dyDescent="0.25">
      <c r="A141" s="170" t="s">
        <v>472</v>
      </c>
      <c r="E141" s="83">
        <v>1100</v>
      </c>
      <c r="H141" s="83">
        <v>0</v>
      </c>
    </row>
    <row r="142" spans="1:14" outlineLevel="1" x14ac:dyDescent="0.25">
      <c r="A142" s="170" t="s">
        <v>473</v>
      </c>
      <c r="E142" s="83">
        <v>1110</v>
      </c>
      <c r="H142" s="83">
        <v>0</v>
      </c>
    </row>
    <row r="143" spans="1:14" s="140" customFormat="1" ht="15.75" outlineLevel="1" x14ac:dyDescent="0.25">
      <c r="A143" s="171" t="s">
        <v>474</v>
      </c>
      <c r="B143" s="139">
        <f>+SUM(B144:B147)</f>
        <v>0</v>
      </c>
      <c r="C143" s="139">
        <f t="shared" ref="C143:N143" si="61">+SUM(C144:C147)</f>
        <v>0</v>
      </c>
      <c r="D143" s="139">
        <f t="shared" si="61"/>
        <v>0</v>
      </c>
      <c r="E143" s="139">
        <f t="shared" si="61"/>
        <v>4540</v>
      </c>
      <c r="F143" s="139">
        <f t="shared" si="61"/>
        <v>0</v>
      </c>
      <c r="G143" s="139">
        <f t="shared" si="61"/>
        <v>0</v>
      </c>
      <c r="H143" s="139">
        <f t="shared" si="61"/>
        <v>0</v>
      </c>
      <c r="I143" s="139">
        <f t="shared" si="61"/>
        <v>0</v>
      </c>
      <c r="J143" s="139">
        <f t="shared" si="61"/>
        <v>0</v>
      </c>
      <c r="K143" s="139">
        <f t="shared" si="61"/>
        <v>0</v>
      </c>
      <c r="L143" s="139">
        <f t="shared" si="61"/>
        <v>0</v>
      </c>
      <c r="M143" s="139">
        <f t="shared" si="61"/>
        <v>0</v>
      </c>
      <c r="N143" s="139">
        <f t="shared" si="61"/>
        <v>0</v>
      </c>
    </row>
    <row r="144" spans="1:14" outlineLevel="1" x14ac:dyDescent="0.25">
      <c r="A144" s="170" t="s">
        <v>475</v>
      </c>
      <c r="E144" s="83">
        <v>1120</v>
      </c>
      <c r="H144" s="83">
        <v>0</v>
      </c>
    </row>
    <row r="145" spans="1:14" outlineLevel="1" x14ac:dyDescent="0.25">
      <c r="A145" s="170" t="s">
        <v>476</v>
      </c>
      <c r="E145" s="83">
        <v>1130</v>
      </c>
      <c r="H145" s="83">
        <v>0</v>
      </c>
    </row>
    <row r="146" spans="1:14" outlineLevel="1" x14ac:dyDescent="0.25">
      <c r="A146" s="170" t="s">
        <v>477</v>
      </c>
      <c r="E146" s="83">
        <v>1140</v>
      </c>
      <c r="H146" s="83">
        <v>0</v>
      </c>
    </row>
    <row r="147" spans="1:14" outlineLevel="1" x14ac:dyDescent="0.25">
      <c r="A147" s="170" t="s">
        <v>478</v>
      </c>
      <c r="E147" s="83">
        <v>1150</v>
      </c>
      <c r="H147" s="83">
        <v>0</v>
      </c>
    </row>
    <row r="148" spans="1:14" s="140" customFormat="1" ht="15.75" outlineLevel="1" x14ac:dyDescent="0.25">
      <c r="A148" s="171" t="s">
        <v>479</v>
      </c>
      <c r="B148" s="139">
        <f>+SUM(B149:B149)</f>
        <v>0</v>
      </c>
      <c r="C148" s="139">
        <f t="shared" ref="C148:K148" si="62">+SUM(C149:C149)</f>
        <v>0</v>
      </c>
      <c r="D148" s="139">
        <f t="shared" si="62"/>
        <v>0</v>
      </c>
      <c r="E148" s="139">
        <f t="shared" si="62"/>
        <v>1160</v>
      </c>
      <c r="F148" s="139">
        <f t="shared" si="62"/>
        <v>0</v>
      </c>
      <c r="G148" s="139">
        <f t="shared" si="62"/>
        <v>0</v>
      </c>
      <c r="H148" s="139">
        <f t="shared" si="62"/>
        <v>0</v>
      </c>
      <c r="I148" s="139">
        <f t="shared" si="62"/>
        <v>0</v>
      </c>
      <c r="J148" s="139">
        <f t="shared" si="62"/>
        <v>0</v>
      </c>
      <c r="K148" s="139">
        <f t="shared" si="62"/>
        <v>0</v>
      </c>
      <c r="L148" s="139">
        <f t="shared" ref="L148:N148" si="63">+SUM(L149:L149)</f>
        <v>0</v>
      </c>
      <c r="M148" s="139">
        <f t="shared" si="63"/>
        <v>0</v>
      </c>
      <c r="N148" s="139">
        <f t="shared" si="63"/>
        <v>0</v>
      </c>
    </row>
    <row r="149" spans="1:14" outlineLevel="1" x14ac:dyDescent="0.25">
      <c r="A149" s="170" t="s">
        <v>479</v>
      </c>
      <c r="E149" s="83">
        <v>1160</v>
      </c>
      <c r="H149" s="83">
        <v>0</v>
      </c>
    </row>
    <row r="150" spans="1:14" s="3" customFormat="1" ht="18.75" x14ac:dyDescent="0.25">
      <c r="A150" s="148" t="s">
        <v>143</v>
      </c>
      <c r="B150" s="137">
        <f>+B151+B153+B155+B158</f>
        <v>0</v>
      </c>
      <c r="C150" s="137">
        <f t="shared" ref="C150:K150" si="64">+C151+C153+C155+C158</f>
        <v>0</v>
      </c>
      <c r="D150" s="137">
        <f t="shared" si="64"/>
        <v>0</v>
      </c>
      <c r="E150" s="137">
        <f t="shared" ref="E150:H150" si="65">+E151+E153+E155+E158</f>
        <v>7170</v>
      </c>
      <c r="F150" s="137">
        <f t="shared" si="65"/>
        <v>0</v>
      </c>
      <c r="G150" s="137">
        <f t="shared" si="65"/>
        <v>0</v>
      </c>
      <c r="H150" s="137">
        <f t="shared" si="65"/>
        <v>0</v>
      </c>
      <c r="I150" s="137">
        <f t="shared" si="64"/>
        <v>0</v>
      </c>
      <c r="J150" s="137">
        <f t="shared" si="64"/>
        <v>0</v>
      </c>
      <c r="K150" s="137">
        <f t="shared" si="64"/>
        <v>0</v>
      </c>
      <c r="L150" s="137">
        <f t="shared" ref="L150:N150" si="66">+L151+L153+L155+L158</f>
        <v>0</v>
      </c>
      <c r="M150" s="137">
        <f t="shared" si="66"/>
        <v>0</v>
      </c>
      <c r="N150" s="137">
        <f t="shared" si="66"/>
        <v>0</v>
      </c>
    </row>
    <row r="151" spans="1:14" s="140" customFormat="1" ht="15.75" outlineLevel="1" x14ac:dyDescent="0.25">
      <c r="A151" s="171" t="s">
        <v>480</v>
      </c>
      <c r="B151" s="139">
        <f>+SUM(B152)</f>
        <v>0</v>
      </c>
      <c r="C151" s="139">
        <f t="shared" ref="C151:K151" si="67">+SUM(C152)</f>
        <v>0</v>
      </c>
      <c r="D151" s="139">
        <f t="shared" si="67"/>
        <v>0</v>
      </c>
      <c r="E151" s="139">
        <f t="shared" si="67"/>
        <v>1170</v>
      </c>
      <c r="F151" s="139">
        <f t="shared" si="67"/>
        <v>0</v>
      </c>
      <c r="G151" s="139">
        <f t="shared" si="67"/>
        <v>0</v>
      </c>
      <c r="H151" s="139">
        <f t="shared" si="67"/>
        <v>0</v>
      </c>
      <c r="I151" s="139">
        <f t="shared" si="67"/>
        <v>0</v>
      </c>
      <c r="J151" s="139">
        <f t="shared" si="67"/>
        <v>0</v>
      </c>
      <c r="K151" s="139">
        <f t="shared" si="67"/>
        <v>0</v>
      </c>
      <c r="L151" s="139">
        <f t="shared" ref="L151:N151" si="68">+SUM(L152)</f>
        <v>0</v>
      </c>
      <c r="M151" s="139">
        <f t="shared" si="68"/>
        <v>0</v>
      </c>
      <c r="N151" s="139">
        <f t="shared" si="68"/>
        <v>0</v>
      </c>
    </row>
    <row r="152" spans="1:14" outlineLevel="1" x14ac:dyDescent="0.25">
      <c r="A152" s="172" t="s">
        <v>480</v>
      </c>
      <c r="E152" s="83">
        <v>1170</v>
      </c>
    </row>
    <row r="153" spans="1:14" s="140" customFormat="1" ht="15.75" outlineLevel="1" x14ac:dyDescent="0.25">
      <c r="A153" s="171" t="s">
        <v>481</v>
      </c>
      <c r="B153" s="139">
        <f>+SUM(B154)</f>
        <v>0</v>
      </c>
      <c r="C153" s="139">
        <f t="shared" ref="C153:K153" si="69">+SUM(C154)</f>
        <v>0</v>
      </c>
      <c r="D153" s="139">
        <f t="shared" si="69"/>
        <v>0</v>
      </c>
      <c r="E153" s="139">
        <f t="shared" si="69"/>
        <v>1180</v>
      </c>
      <c r="F153" s="139">
        <f t="shared" si="69"/>
        <v>0</v>
      </c>
      <c r="G153" s="139">
        <f t="shared" si="69"/>
        <v>0</v>
      </c>
      <c r="H153" s="139">
        <f t="shared" si="69"/>
        <v>0</v>
      </c>
      <c r="I153" s="139">
        <f t="shared" si="69"/>
        <v>0</v>
      </c>
      <c r="J153" s="139">
        <f t="shared" si="69"/>
        <v>0</v>
      </c>
      <c r="K153" s="139">
        <f t="shared" si="69"/>
        <v>0</v>
      </c>
      <c r="L153" s="139">
        <f t="shared" ref="L153:N153" si="70">+SUM(L154)</f>
        <v>0</v>
      </c>
      <c r="M153" s="139">
        <f t="shared" si="70"/>
        <v>0</v>
      </c>
      <c r="N153" s="139">
        <f t="shared" si="70"/>
        <v>0</v>
      </c>
    </row>
    <row r="154" spans="1:14" outlineLevel="1" x14ac:dyDescent="0.25">
      <c r="A154" s="170" t="s">
        <v>482</v>
      </c>
      <c r="E154" s="83">
        <v>1180</v>
      </c>
      <c r="H154" s="83">
        <v>0</v>
      </c>
    </row>
    <row r="155" spans="1:14" s="140" customFormat="1" ht="15.75" outlineLevel="1" x14ac:dyDescent="0.25">
      <c r="A155" s="171" t="s">
        <v>483</v>
      </c>
      <c r="B155" s="139">
        <f>+SUM(B156:B157)</f>
        <v>0</v>
      </c>
      <c r="C155" s="139">
        <f t="shared" ref="C155:K155" si="71">+SUM(C156:C157)</f>
        <v>0</v>
      </c>
      <c r="D155" s="139">
        <f t="shared" si="71"/>
        <v>0</v>
      </c>
      <c r="E155" s="139">
        <f t="shared" si="71"/>
        <v>2390</v>
      </c>
      <c r="F155" s="139">
        <f t="shared" si="71"/>
        <v>0</v>
      </c>
      <c r="G155" s="139">
        <f t="shared" si="71"/>
        <v>0</v>
      </c>
      <c r="H155" s="139">
        <f t="shared" si="71"/>
        <v>0</v>
      </c>
      <c r="I155" s="139">
        <f t="shared" si="71"/>
        <v>0</v>
      </c>
      <c r="J155" s="139">
        <f t="shared" si="71"/>
        <v>0</v>
      </c>
      <c r="K155" s="139">
        <f t="shared" si="71"/>
        <v>0</v>
      </c>
      <c r="L155" s="139">
        <f t="shared" ref="L155:N155" si="72">+SUM(L156:L157)</f>
        <v>0</v>
      </c>
      <c r="M155" s="139">
        <f t="shared" si="72"/>
        <v>0</v>
      </c>
      <c r="N155" s="139">
        <f t="shared" si="72"/>
        <v>0</v>
      </c>
    </row>
    <row r="156" spans="1:14" outlineLevel="1" x14ac:dyDescent="0.25">
      <c r="A156" s="170" t="s">
        <v>484</v>
      </c>
      <c r="E156" s="83">
        <v>1190</v>
      </c>
    </row>
    <row r="157" spans="1:14" outlineLevel="1" x14ac:dyDescent="0.25">
      <c r="A157" s="170" t="s">
        <v>485</v>
      </c>
      <c r="E157" s="83">
        <v>1200</v>
      </c>
    </row>
    <row r="158" spans="1:14" s="140" customFormat="1" ht="15.75" outlineLevel="1" x14ac:dyDescent="0.25">
      <c r="A158" s="171" t="s">
        <v>486</v>
      </c>
      <c r="B158" s="139">
        <f t="shared" ref="B158:K158" si="73">+SUM(B159:B160)</f>
        <v>0</v>
      </c>
      <c r="C158" s="139">
        <f t="shared" si="73"/>
        <v>0</v>
      </c>
      <c r="D158" s="139">
        <f t="shared" si="73"/>
        <v>0</v>
      </c>
      <c r="E158" s="139">
        <f t="shared" si="73"/>
        <v>2430</v>
      </c>
      <c r="F158" s="139">
        <f t="shared" si="73"/>
        <v>0</v>
      </c>
      <c r="G158" s="139">
        <f t="shared" si="73"/>
        <v>0</v>
      </c>
      <c r="H158" s="139">
        <f t="shared" si="73"/>
        <v>0</v>
      </c>
      <c r="I158" s="139">
        <f t="shared" si="73"/>
        <v>0</v>
      </c>
      <c r="J158" s="139">
        <f t="shared" si="73"/>
        <v>0</v>
      </c>
      <c r="K158" s="139">
        <f t="shared" si="73"/>
        <v>0</v>
      </c>
      <c r="L158" s="139">
        <f t="shared" ref="L158:N158" si="74">+SUM(L159:L160)</f>
        <v>0</v>
      </c>
      <c r="M158" s="139">
        <f t="shared" si="74"/>
        <v>0</v>
      </c>
      <c r="N158" s="139">
        <f t="shared" si="74"/>
        <v>0</v>
      </c>
    </row>
    <row r="159" spans="1:14" outlineLevel="1" x14ac:dyDescent="0.25">
      <c r="A159" s="170" t="s">
        <v>487</v>
      </c>
      <c r="E159" s="83">
        <v>1210</v>
      </c>
      <c r="H159" s="83">
        <v>0</v>
      </c>
    </row>
    <row r="160" spans="1:14" outlineLevel="1" x14ac:dyDescent="0.25">
      <c r="A160" s="170" t="s">
        <v>743</v>
      </c>
      <c r="E160" s="83">
        <v>1220</v>
      </c>
      <c r="H160" s="83">
        <v>0</v>
      </c>
    </row>
    <row r="161" spans="1:14" s="3" customFormat="1" ht="18.75" x14ac:dyDescent="0.25">
      <c r="A161" s="148" t="s">
        <v>488</v>
      </c>
      <c r="B161" s="137">
        <f>+B162+B168</f>
        <v>0</v>
      </c>
      <c r="C161" s="137">
        <f t="shared" ref="C161:K161" si="75">+C162+C168</f>
        <v>0</v>
      </c>
      <c r="D161" s="137">
        <f t="shared" si="75"/>
        <v>0</v>
      </c>
      <c r="E161" s="137">
        <f t="shared" ref="E161:H161" si="76">+E162+E168</f>
        <v>10120</v>
      </c>
      <c r="F161" s="137">
        <f t="shared" si="76"/>
        <v>0</v>
      </c>
      <c r="G161" s="137">
        <f t="shared" si="76"/>
        <v>0</v>
      </c>
      <c r="H161" s="137">
        <f t="shared" si="76"/>
        <v>0</v>
      </c>
      <c r="I161" s="137">
        <f t="shared" si="75"/>
        <v>0</v>
      </c>
      <c r="J161" s="137">
        <f t="shared" si="75"/>
        <v>0</v>
      </c>
      <c r="K161" s="137">
        <f t="shared" si="75"/>
        <v>0</v>
      </c>
      <c r="L161" s="137">
        <f t="shared" ref="L161:N161" si="77">+L162+L168</f>
        <v>0</v>
      </c>
      <c r="M161" s="137">
        <f t="shared" si="77"/>
        <v>0</v>
      </c>
      <c r="N161" s="137">
        <f t="shared" si="77"/>
        <v>0</v>
      </c>
    </row>
    <row r="162" spans="1:14" s="140" customFormat="1" ht="15.75" outlineLevel="1" x14ac:dyDescent="0.25">
      <c r="A162" s="171" t="s">
        <v>489</v>
      </c>
      <c r="B162" s="139">
        <f>+SUM(B163:B167)</f>
        <v>0</v>
      </c>
      <c r="C162" s="139">
        <f t="shared" ref="C162:K162" si="78">+SUM(C163:C167)</f>
        <v>0</v>
      </c>
      <c r="D162" s="139">
        <f t="shared" si="78"/>
        <v>0</v>
      </c>
      <c r="E162" s="139">
        <f t="shared" ref="E162:H162" si="79">+SUM(E163:E167)</f>
        <v>6250</v>
      </c>
      <c r="F162" s="139">
        <f t="shared" si="79"/>
        <v>0</v>
      </c>
      <c r="G162" s="139">
        <f t="shared" si="79"/>
        <v>0</v>
      </c>
      <c r="H162" s="139">
        <f t="shared" si="79"/>
        <v>0</v>
      </c>
      <c r="I162" s="139">
        <f t="shared" si="78"/>
        <v>0</v>
      </c>
      <c r="J162" s="139">
        <f t="shared" si="78"/>
        <v>0</v>
      </c>
      <c r="K162" s="139">
        <f t="shared" si="78"/>
        <v>0</v>
      </c>
      <c r="L162" s="139">
        <f t="shared" ref="L162:N162" si="80">+SUM(L163:L167)</f>
        <v>0</v>
      </c>
      <c r="M162" s="139">
        <f t="shared" si="80"/>
        <v>0</v>
      </c>
      <c r="N162" s="139">
        <f t="shared" si="80"/>
        <v>0</v>
      </c>
    </row>
    <row r="163" spans="1:14" outlineLevel="1" x14ac:dyDescent="0.25">
      <c r="A163" s="170" t="s">
        <v>490</v>
      </c>
      <c r="E163" s="83">
        <v>1230</v>
      </c>
    </row>
    <row r="164" spans="1:14" outlineLevel="1" x14ac:dyDescent="0.25">
      <c r="A164" s="170" t="s">
        <v>491</v>
      </c>
      <c r="E164" s="83">
        <v>1240</v>
      </c>
    </row>
    <row r="165" spans="1:14" outlineLevel="1" x14ac:dyDescent="0.25">
      <c r="A165" s="170" t="s">
        <v>492</v>
      </c>
      <c r="E165" s="83">
        <v>1250</v>
      </c>
    </row>
    <row r="166" spans="1:14" outlineLevel="1" x14ac:dyDescent="0.25">
      <c r="A166" s="170" t="s">
        <v>493</v>
      </c>
      <c r="E166" s="83">
        <v>1260</v>
      </c>
    </row>
    <row r="167" spans="1:14" outlineLevel="1" x14ac:dyDescent="0.25">
      <c r="A167" s="170" t="s">
        <v>494</v>
      </c>
      <c r="E167" s="83">
        <v>1270</v>
      </c>
    </row>
    <row r="168" spans="1:14" s="140" customFormat="1" ht="15.75" outlineLevel="1" x14ac:dyDescent="0.25">
      <c r="A168" s="171" t="s">
        <v>149</v>
      </c>
      <c r="B168" s="139">
        <f>+SUM(B169:B171)</f>
        <v>0</v>
      </c>
      <c r="C168" s="139">
        <f t="shared" ref="C168:K168" si="81">+SUM(C169:C171)</f>
        <v>0</v>
      </c>
      <c r="D168" s="139">
        <f t="shared" si="81"/>
        <v>0</v>
      </c>
      <c r="E168" s="139">
        <f t="shared" si="81"/>
        <v>3870</v>
      </c>
      <c r="F168" s="139">
        <f t="shared" si="81"/>
        <v>0</v>
      </c>
      <c r="G168" s="139">
        <f t="shared" si="81"/>
        <v>0</v>
      </c>
      <c r="H168" s="139">
        <f t="shared" si="81"/>
        <v>0</v>
      </c>
      <c r="I168" s="139">
        <f t="shared" si="81"/>
        <v>0</v>
      </c>
      <c r="J168" s="139">
        <f t="shared" si="81"/>
        <v>0</v>
      </c>
      <c r="K168" s="139">
        <f t="shared" si="81"/>
        <v>0</v>
      </c>
      <c r="L168" s="139">
        <f t="shared" ref="L168:N168" si="82">+SUM(L169:L171)</f>
        <v>0</v>
      </c>
      <c r="M168" s="139">
        <f t="shared" si="82"/>
        <v>0</v>
      </c>
      <c r="N168" s="139">
        <f t="shared" si="82"/>
        <v>0</v>
      </c>
    </row>
    <row r="169" spans="1:14" outlineLevel="1" x14ac:dyDescent="0.25">
      <c r="A169" s="170" t="s">
        <v>495</v>
      </c>
      <c r="E169" s="83">
        <v>1280</v>
      </c>
      <c r="H169" s="83">
        <v>0</v>
      </c>
    </row>
    <row r="170" spans="1:14" outlineLevel="1" x14ac:dyDescent="0.25">
      <c r="A170" s="170" t="s">
        <v>496</v>
      </c>
      <c r="E170" s="83">
        <v>1290</v>
      </c>
      <c r="H170" s="83">
        <v>0</v>
      </c>
    </row>
    <row r="171" spans="1:14" outlineLevel="1" x14ac:dyDescent="0.25">
      <c r="A171" s="170" t="s">
        <v>497</v>
      </c>
      <c r="E171" s="83">
        <v>1300</v>
      </c>
    </row>
    <row r="172" spans="1:14" s="135" customFormat="1" ht="19.5" thickBot="1" x14ac:dyDescent="0.35">
      <c r="A172" s="165" t="s">
        <v>498</v>
      </c>
      <c r="B172" s="134">
        <f t="shared" ref="B172:K172" si="83">+B4+B72+B109+B118+B139+B150+B161</f>
        <v>0</v>
      </c>
      <c r="C172" s="134">
        <f t="shared" si="83"/>
        <v>0</v>
      </c>
      <c r="D172" s="134">
        <f t="shared" si="83"/>
        <v>0</v>
      </c>
      <c r="E172" s="134">
        <f t="shared" si="83"/>
        <v>85150</v>
      </c>
      <c r="F172" s="134">
        <f t="shared" si="83"/>
        <v>0</v>
      </c>
      <c r="G172" s="134">
        <f t="shared" si="83"/>
        <v>0</v>
      </c>
      <c r="H172" s="134">
        <f t="shared" si="83"/>
        <v>0</v>
      </c>
      <c r="I172" s="134">
        <f t="shared" si="83"/>
        <v>0</v>
      </c>
      <c r="J172" s="134">
        <f t="shared" si="83"/>
        <v>0</v>
      </c>
      <c r="K172" s="134">
        <f t="shared" si="83"/>
        <v>0</v>
      </c>
      <c r="L172" s="134">
        <f t="shared" ref="L172:N172" si="84">+L4+L72+L109+L118+L139+L150+L161</f>
        <v>0</v>
      </c>
      <c r="M172" s="134">
        <f t="shared" si="84"/>
        <v>0</v>
      </c>
      <c r="N172" s="134">
        <f t="shared" si="84"/>
        <v>0</v>
      </c>
    </row>
    <row r="173" spans="1:14" ht="15.75" thickTop="1" x14ac:dyDescent="0.25"/>
    <row r="174" spans="1:14" s="3" customFormat="1" ht="18.75" x14ac:dyDescent="0.25">
      <c r="A174" s="148" t="s">
        <v>153</v>
      </c>
      <c r="B174" s="137">
        <f>+B175+B194+B201+B218+B227</f>
        <v>0</v>
      </c>
      <c r="C174" s="137">
        <f t="shared" ref="C174:K174" si="85">+C175+C194+C201+C218+C227</f>
        <v>0</v>
      </c>
      <c r="D174" s="137">
        <f t="shared" si="85"/>
        <v>0</v>
      </c>
      <c r="E174" s="137">
        <f t="shared" ref="E174:H174" si="86">+E175+E194+E201+E218+E227</f>
        <v>74160</v>
      </c>
      <c r="F174" s="137">
        <f t="shared" si="86"/>
        <v>0</v>
      </c>
      <c r="G174" s="137">
        <f t="shared" si="86"/>
        <v>0</v>
      </c>
      <c r="H174" s="137">
        <f t="shared" si="86"/>
        <v>0</v>
      </c>
      <c r="I174" s="137">
        <f t="shared" si="85"/>
        <v>0</v>
      </c>
      <c r="J174" s="137">
        <f t="shared" si="85"/>
        <v>0</v>
      </c>
      <c r="K174" s="137">
        <f t="shared" si="85"/>
        <v>0</v>
      </c>
      <c r="L174" s="137">
        <f t="shared" ref="L174:N174" si="87">+L175+L194+L201+L218+L227</f>
        <v>0</v>
      </c>
      <c r="M174" s="137">
        <f t="shared" si="87"/>
        <v>0</v>
      </c>
      <c r="N174" s="137">
        <f t="shared" si="87"/>
        <v>0</v>
      </c>
    </row>
    <row r="175" spans="1:14" s="140" customFormat="1" ht="15.75" outlineLevel="1" x14ac:dyDescent="0.25">
      <c r="A175" s="171" t="s">
        <v>499</v>
      </c>
      <c r="B175" s="139">
        <f>+SUM(B176:B193)</f>
        <v>0</v>
      </c>
      <c r="C175" s="139">
        <f t="shared" ref="C175:K175" si="88">+SUM(C176:C193)</f>
        <v>0</v>
      </c>
      <c r="D175" s="139">
        <f t="shared" si="88"/>
        <v>0</v>
      </c>
      <c r="E175" s="139">
        <f t="shared" ref="E175:H175" si="89">+SUM(E176:E193)</f>
        <v>25110</v>
      </c>
      <c r="F175" s="139">
        <f t="shared" si="89"/>
        <v>0</v>
      </c>
      <c r="G175" s="139">
        <f t="shared" si="89"/>
        <v>0</v>
      </c>
      <c r="H175" s="139">
        <f t="shared" si="89"/>
        <v>0</v>
      </c>
      <c r="I175" s="139">
        <f t="shared" si="88"/>
        <v>0</v>
      </c>
      <c r="J175" s="139">
        <f t="shared" si="88"/>
        <v>0</v>
      </c>
      <c r="K175" s="139">
        <f t="shared" si="88"/>
        <v>0</v>
      </c>
      <c r="L175" s="139">
        <f t="shared" ref="L175:N175" si="90">+SUM(L176:L193)</f>
        <v>0</v>
      </c>
      <c r="M175" s="139">
        <f t="shared" si="90"/>
        <v>0</v>
      </c>
      <c r="N175" s="139">
        <f t="shared" si="90"/>
        <v>0</v>
      </c>
    </row>
    <row r="176" spans="1:14" outlineLevel="1" x14ac:dyDescent="0.25">
      <c r="A176" s="170" t="s">
        <v>500</v>
      </c>
      <c r="E176" s="83">
        <v>1310</v>
      </c>
      <c r="H176" s="83">
        <v>0</v>
      </c>
    </row>
    <row r="177" spans="1:8" outlineLevel="1" x14ac:dyDescent="0.25">
      <c r="A177" s="170" t="s">
        <v>501</v>
      </c>
      <c r="E177" s="83">
        <v>1320</v>
      </c>
      <c r="H177" s="83">
        <v>0</v>
      </c>
    </row>
    <row r="178" spans="1:8" outlineLevel="1" x14ac:dyDescent="0.25">
      <c r="A178" s="170" t="s">
        <v>502</v>
      </c>
      <c r="E178" s="83">
        <v>1330</v>
      </c>
      <c r="H178" s="83">
        <v>0</v>
      </c>
    </row>
    <row r="179" spans="1:8" outlineLevel="1" x14ac:dyDescent="0.25">
      <c r="A179" s="170" t="s">
        <v>503</v>
      </c>
      <c r="E179" s="83">
        <v>1340</v>
      </c>
      <c r="H179" s="83">
        <v>0</v>
      </c>
    </row>
    <row r="180" spans="1:8" outlineLevel="1" x14ac:dyDescent="0.25">
      <c r="A180" s="170" t="s">
        <v>504</v>
      </c>
      <c r="E180" s="83">
        <v>1350</v>
      </c>
      <c r="H180" s="83">
        <v>0</v>
      </c>
    </row>
    <row r="181" spans="1:8" outlineLevel="1" x14ac:dyDescent="0.25">
      <c r="A181" s="170" t="s">
        <v>505</v>
      </c>
      <c r="E181" s="83">
        <v>1360</v>
      </c>
      <c r="H181" s="83">
        <v>0</v>
      </c>
    </row>
    <row r="182" spans="1:8" outlineLevel="1" x14ac:dyDescent="0.25">
      <c r="A182" s="170" t="s">
        <v>506</v>
      </c>
      <c r="E182" s="83">
        <v>1370</v>
      </c>
      <c r="H182" s="83">
        <v>0</v>
      </c>
    </row>
    <row r="183" spans="1:8" outlineLevel="1" x14ac:dyDescent="0.25">
      <c r="A183" s="170" t="s">
        <v>507</v>
      </c>
      <c r="E183" s="83">
        <v>1380</v>
      </c>
      <c r="H183" s="83">
        <v>0</v>
      </c>
    </row>
    <row r="184" spans="1:8" outlineLevel="1" x14ac:dyDescent="0.25">
      <c r="A184" s="170" t="s">
        <v>508</v>
      </c>
      <c r="E184" s="83">
        <v>1390</v>
      </c>
      <c r="H184" s="83">
        <v>0</v>
      </c>
    </row>
    <row r="185" spans="1:8" outlineLevel="1" x14ac:dyDescent="0.25">
      <c r="A185" s="170" t="s">
        <v>509</v>
      </c>
      <c r="E185" s="83">
        <v>1400</v>
      </c>
      <c r="H185" s="83">
        <v>0</v>
      </c>
    </row>
    <row r="186" spans="1:8" outlineLevel="1" x14ac:dyDescent="0.25">
      <c r="A186" s="170" t="s">
        <v>510</v>
      </c>
      <c r="E186" s="83">
        <v>1410</v>
      </c>
      <c r="H186" s="83">
        <v>0</v>
      </c>
    </row>
    <row r="187" spans="1:8" outlineLevel="1" x14ac:dyDescent="0.25">
      <c r="A187" s="170" t="s">
        <v>511</v>
      </c>
      <c r="E187" s="83">
        <v>1420</v>
      </c>
      <c r="H187" s="83">
        <v>0</v>
      </c>
    </row>
    <row r="188" spans="1:8" outlineLevel="1" x14ac:dyDescent="0.25">
      <c r="A188" s="170" t="s">
        <v>512</v>
      </c>
      <c r="E188" s="83">
        <v>1430</v>
      </c>
      <c r="H188" s="83">
        <v>0</v>
      </c>
    </row>
    <row r="189" spans="1:8" outlineLevel="1" x14ac:dyDescent="0.25">
      <c r="A189" s="170" t="s">
        <v>513</v>
      </c>
      <c r="E189" s="83">
        <v>1440</v>
      </c>
      <c r="H189" s="83">
        <v>0</v>
      </c>
    </row>
    <row r="190" spans="1:8" outlineLevel="1" x14ac:dyDescent="0.25">
      <c r="A190" s="170" t="s">
        <v>514</v>
      </c>
      <c r="E190" s="83">
        <v>1450</v>
      </c>
      <c r="H190" s="83">
        <v>0</v>
      </c>
    </row>
    <row r="191" spans="1:8" outlineLevel="1" x14ac:dyDescent="0.25">
      <c r="A191" s="170" t="s">
        <v>515</v>
      </c>
      <c r="E191" s="83">
        <v>1460</v>
      </c>
      <c r="H191" s="83">
        <v>0</v>
      </c>
    </row>
    <row r="192" spans="1:8" outlineLevel="1" x14ac:dyDescent="0.25">
      <c r="A192" s="170" t="s">
        <v>516</v>
      </c>
      <c r="E192" s="83">
        <v>1470</v>
      </c>
      <c r="H192" s="83">
        <v>0</v>
      </c>
    </row>
    <row r="193" spans="1:14" outlineLevel="1" x14ac:dyDescent="0.25">
      <c r="A193" s="170" t="s">
        <v>517</v>
      </c>
      <c r="E193" s="83">
        <v>1480</v>
      </c>
      <c r="H193" s="83">
        <v>0</v>
      </c>
    </row>
    <row r="194" spans="1:14" s="140" customFormat="1" ht="15.75" outlineLevel="1" x14ac:dyDescent="0.25">
      <c r="A194" s="171" t="s">
        <v>518</v>
      </c>
      <c r="B194" s="139">
        <f>+SUM(B195:B200)</f>
        <v>0</v>
      </c>
      <c r="C194" s="139">
        <f t="shared" ref="C194:K194" si="91">+SUM(C195:C200)</f>
        <v>0</v>
      </c>
      <c r="D194" s="139">
        <f t="shared" si="91"/>
        <v>0</v>
      </c>
      <c r="E194" s="139">
        <f t="shared" si="91"/>
        <v>9090</v>
      </c>
      <c r="F194" s="139">
        <f t="shared" si="91"/>
        <v>0</v>
      </c>
      <c r="G194" s="139">
        <f t="shared" si="91"/>
        <v>0</v>
      </c>
      <c r="H194" s="139">
        <f t="shared" si="91"/>
        <v>0</v>
      </c>
      <c r="I194" s="139">
        <f t="shared" si="91"/>
        <v>0</v>
      </c>
      <c r="J194" s="139">
        <f t="shared" si="91"/>
        <v>0</v>
      </c>
      <c r="K194" s="139">
        <f t="shared" si="91"/>
        <v>0</v>
      </c>
      <c r="L194" s="139">
        <f t="shared" ref="L194:N194" si="92">+SUM(L195:L200)</f>
        <v>0</v>
      </c>
      <c r="M194" s="139">
        <f t="shared" si="92"/>
        <v>0</v>
      </c>
      <c r="N194" s="139">
        <f t="shared" si="92"/>
        <v>0</v>
      </c>
    </row>
    <row r="195" spans="1:14" outlineLevel="1" x14ac:dyDescent="0.25">
      <c r="A195" s="170" t="s">
        <v>519</v>
      </c>
      <c r="E195" s="83">
        <v>1490</v>
      </c>
      <c r="H195" s="83">
        <v>0</v>
      </c>
    </row>
    <row r="196" spans="1:14" outlineLevel="1" x14ac:dyDescent="0.25">
      <c r="A196" s="170" t="s">
        <v>520</v>
      </c>
      <c r="E196" s="83">
        <v>1500</v>
      </c>
      <c r="H196" s="83">
        <v>0</v>
      </c>
    </row>
    <row r="197" spans="1:14" outlineLevel="1" x14ac:dyDescent="0.25">
      <c r="A197" s="170" t="s">
        <v>521</v>
      </c>
      <c r="E197" s="83">
        <v>1510</v>
      </c>
      <c r="H197" s="83">
        <v>0</v>
      </c>
    </row>
    <row r="198" spans="1:14" outlineLevel="1" x14ac:dyDescent="0.25">
      <c r="A198" s="170" t="s">
        <v>522</v>
      </c>
      <c r="E198" s="83">
        <v>1520</v>
      </c>
      <c r="H198" s="83">
        <v>0</v>
      </c>
    </row>
    <row r="199" spans="1:14" outlineLevel="1" x14ac:dyDescent="0.25">
      <c r="A199" s="170" t="s">
        <v>523</v>
      </c>
      <c r="E199" s="83">
        <v>1530</v>
      </c>
      <c r="H199" s="83">
        <v>0</v>
      </c>
    </row>
    <row r="200" spans="1:14" outlineLevel="1" x14ac:dyDescent="0.25">
      <c r="A200" s="170" t="s">
        <v>524</v>
      </c>
      <c r="E200" s="83">
        <v>1540</v>
      </c>
      <c r="H200" s="83">
        <v>0</v>
      </c>
    </row>
    <row r="201" spans="1:14" s="140" customFormat="1" ht="15.75" outlineLevel="1" x14ac:dyDescent="0.25">
      <c r="A201" s="171" t="s">
        <v>525</v>
      </c>
      <c r="B201" s="139">
        <f>+SUM(B202:B217)</f>
        <v>0</v>
      </c>
      <c r="C201" s="139">
        <f t="shared" ref="C201:K201" si="93">+SUM(C202:C217)</f>
        <v>0</v>
      </c>
      <c r="D201" s="139">
        <f t="shared" si="93"/>
        <v>0</v>
      </c>
      <c r="E201" s="139">
        <f t="shared" si="93"/>
        <v>24300</v>
      </c>
      <c r="F201" s="139">
        <f t="shared" si="93"/>
        <v>0</v>
      </c>
      <c r="G201" s="139">
        <f t="shared" si="93"/>
        <v>0</v>
      </c>
      <c r="H201" s="139">
        <f t="shared" si="93"/>
        <v>0</v>
      </c>
      <c r="I201" s="139">
        <f t="shared" si="93"/>
        <v>0</v>
      </c>
      <c r="J201" s="139">
        <f t="shared" si="93"/>
        <v>0</v>
      </c>
      <c r="K201" s="139">
        <f t="shared" si="93"/>
        <v>0</v>
      </c>
      <c r="L201" s="139">
        <f t="shared" ref="L201:N201" si="94">+SUM(L202:L217)</f>
        <v>0</v>
      </c>
      <c r="M201" s="139">
        <f t="shared" si="94"/>
        <v>0</v>
      </c>
      <c r="N201" s="139">
        <f t="shared" si="94"/>
        <v>0</v>
      </c>
    </row>
    <row r="202" spans="1:14" outlineLevel="1" x14ac:dyDescent="0.25">
      <c r="A202" s="170" t="s">
        <v>526</v>
      </c>
      <c r="E202" s="83">
        <v>1550</v>
      </c>
      <c r="H202" s="83">
        <v>0</v>
      </c>
    </row>
    <row r="203" spans="1:14" outlineLevel="1" x14ac:dyDescent="0.25">
      <c r="A203" s="170" t="s">
        <v>789</v>
      </c>
      <c r="E203" s="83">
        <v>0</v>
      </c>
      <c r="H203" s="83">
        <v>0</v>
      </c>
    </row>
    <row r="204" spans="1:14" outlineLevel="1" x14ac:dyDescent="0.25">
      <c r="A204" s="170" t="s">
        <v>527</v>
      </c>
      <c r="E204" s="83">
        <v>1560</v>
      </c>
    </row>
    <row r="205" spans="1:14" outlineLevel="1" x14ac:dyDescent="0.25">
      <c r="A205" s="170" t="s">
        <v>528</v>
      </c>
      <c r="E205" s="83">
        <v>1570</v>
      </c>
      <c r="H205" s="83">
        <v>0</v>
      </c>
    </row>
    <row r="206" spans="1:14" outlineLevel="1" x14ac:dyDescent="0.25">
      <c r="A206" s="170" t="s">
        <v>529</v>
      </c>
      <c r="E206" s="83">
        <v>1580</v>
      </c>
      <c r="H206" s="83">
        <v>0</v>
      </c>
    </row>
    <row r="207" spans="1:14" outlineLevel="1" x14ac:dyDescent="0.25">
      <c r="A207" s="170" t="s">
        <v>530</v>
      </c>
      <c r="E207" s="83">
        <v>1590</v>
      </c>
      <c r="H207" s="83">
        <v>0</v>
      </c>
    </row>
    <row r="208" spans="1:14" outlineLevel="1" x14ac:dyDescent="0.25">
      <c r="A208" s="170" t="s">
        <v>531</v>
      </c>
      <c r="E208" s="83">
        <v>1600</v>
      </c>
      <c r="H208" s="83">
        <v>0</v>
      </c>
    </row>
    <row r="209" spans="1:14" outlineLevel="1" x14ac:dyDescent="0.25">
      <c r="A209" s="170" t="s">
        <v>532</v>
      </c>
      <c r="E209" s="83">
        <v>1610</v>
      </c>
      <c r="H209" s="83">
        <v>0</v>
      </c>
    </row>
    <row r="210" spans="1:14" outlineLevel="1" x14ac:dyDescent="0.25">
      <c r="A210" s="170" t="s">
        <v>533</v>
      </c>
      <c r="E210" s="83">
        <v>1620</v>
      </c>
      <c r="H210" s="83">
        <v>0</v>
      </c>
    </row>
    <row r="211" spans="1:14" outlineLevel="1" x14ac:dyDescent="0.25">
      <c r="A211" s="170" t="s">
        <v>534</v>
      </c>
      <c r="E211" s="83">
        <v>1630</v>
      </c>
      <c r="H211" s="83">
        <v>0</v>
      </c>
    </row>
    <row r="212" spans="1:14" outlineLevel="1" x14ac:dyDescent="0.25">
      <c r="A212" s="170" t="s">
        <v>535</v>
      </c>
      <c r="E212" s="83">
        <v>1640</v>
      </c>
      <c r="H212" s="83">
        <v>0</v>
      </c>
    </row>
    <row r="213" spans="1:14" outlineLevel="1" x14ac:dyDescent="0.25">
      <c r="A213" s="170" t="s">
        <v>536</v>
      </c>
      <c r="E213" s="83">
        <v>1650</v>
      </c>
      <c r="H213" s="83">
        <v>0</v>
      </c>
    </row>
    <row r="214" spans="1:14" outlineLevel="1" x14ac:dyDescent="0.25">
      <c r="A214" s="170" t="s">
        <v>537</v>
      </c>
      <c r="E214" s="83">
        <v>1660</v>
      </c>
      <c r="H214" s="83">
        <v>0</v>
      </c>
    </row>
    <row r="215" spans="1:14" outlineLevel="1" x14ac:dyDescent="0.25">
      <c r="A215" s="170" t="s">
        <v>538</v>
      </c>
      <c r="E215" s="83">
        <v>1670</v>
      </c>
      <c r="H215" s="83">
        <v>0</v>
      </c>
    </row>
    <row r="216" spans="1:14" outlineLevel="1" x14ac:dyDescent="0.25">
      <c r="A216" s="170" t="s">
        <v>539</v>
      </c>
      <c r="E216" s="83">
        <v>1680</v>
      </c>
      <c r="H216" s="83">
        <v>0</v>
      </c>
    </row>
    <row r="217" spans="1:14" outlineLevel="1" x14ac:dyDescent="0.25">
      <c r="A217" s="170" t="s">
        <v>540</v>
      </c>
      <c r="E217" s="83">
        <v>1690</v>
      </c>
      <c r="H217" s="83">
        <v>0</v>
      </c>
    </row>
    <row r="218" spans="1:14" s="140" customFormat="1" ht="15.75" outlineLevel="1" x14ac:dyDescent="0.25">
      <c r="A218" s="171" t="s">
        <v>541</v>
      </c>
      <c r="B218" s="139">
        <f>+SUM(B219:B226)</f>
        <v>0</v>
      </c>
      <c r="C218" s="139">
        <f t="shared" ref="C218:K218" si="95">+SUM(C219:C226)</f>
        <v>0</v>
      </c>
      <c r="D218" s="139">
        <f t="shared" si="95"/>
        <v>0</v>
      </c>
      <c r="E218" s="139">
        <f t="shared" si="95"/>
        <v>13880</v>
      </c>
      <c r="F218" s="139">
        <f t="shared" si="95"/>
        <v>0</v>
      </c>
      <c r="G218" s="139">
        <f t="shared" si="95"/>
        <v>0</v>
      </c>
      <c r="H218" s="139">
        <f t="shared" si="95"/>
        <v>0</v>
      </c>
      <c r="I218" s="139">
        <f t="shared" si="95"/>
        <v>0</v>
      </c>
      <c r="J218" s="139">
        <f t="shared" si="95"/>
        <v>0</v>
      </c>
      <c r="K218" s="139">
        <f t="shared" si="95"/>
        <v>0</v>
      </c>
      <c r="L218" s="139">
        <f t="shared" ref="L218:N218" si="96">+SUM(L219:L226)</f>
        <v>0</v>
      </c>
      <c r="M218" s="139">
        <f t="shared" si="96"/>
        <v>0</v>
      </c>
      <c r="N218" s="139">
        <f t="shared" si="96"/>
        <v>0</v>
      </c>
    </row>
    <row r="219" spans="1:14" outlineLevel="1" x14ac:dyDescent="0.25">
      <c r="A219" s="170" t="s">
        <v>542</v>
      </c>
      <c r="E219" s="83">
        <v>1700</v>
      </c>
      <c r="H219" s="83">
        <v>0</v>
      </c>
    </row>
    <row r="220" spans="1:14" outlineLevel="1" x14ac:dyDescent="0.25">
      <c r="A220" s="170" t="s">
        <v>543</v>
      </c>
      <c r="E220" s="83">
        <v>1710</v>
      </c>
      <c r="H220" s="83">
        <v>0</v>
      </c>
    </row>
    <row r="221" spans="1:14" outlineLevel="1" x14ac:dyDescent="0.25">
      <c r="A221" s="170" t="s">
        <v>544</v>
      </c>
      <c r="E221" s="83">
        <v>1720</v>
      </c>
      <c r="H221" s="83">
        <v>0</v>
      </c>
    </row>
    <row r="222" spans="1:14" outlineLevel="1" x14ac:dyDescent="0.25">
      <c r="A222" s="170" t="s">
        <v>545</v>
      </c>
      <c r="E222" s="83">
        <v>1730</v>
      </c>
      <c r="H222" s="83">
        <v>0</v>
      </c>
    </row>
    <row r="223" spans="1:14" outlineLevel="1" x14ac:dyDescent="0.25">
      <c r="A223" s="170" t="s">
        <v>546</v>
      </c>
      <c r="E223" s="83">
        <v>1740</v>
      </c>
      <c r="H223" s="83">
        <v>0</v>
      </c>
    </row>
    <row r="224" spans="1:14" outlineLevel="1" x14ac:dyDescent="0.25">
      <c r="A224" s="170" t="s">
        <v>547</v>
      </c>
      <c r="E224" s="83">
        <v>1750</v>
      </c>
      <c r="H224" s="83">
        <v>0</v>
      </c>
    </row>
    <row r="225" spans="1:14" outlineLevel="1" x14ac:dyDescent="0.25">
      <c r="A225" s="170" t="s">
        <v>548</v>
      </c>
      <c r="E225" s="83">
        <v>1760</v>
      </c>
      <c r="H225" s="83">
        <v>0</v>
      </c>
    </row>
    <row r="226" spans="1:14" outlineLevel="1" x14ac:dyDescent="0.25">
      <c r="A226" s="170" t="s">
        <v>549</v>
      </c>
      <c r="E226" s="83">
        <v>1770</v>
      </c>
      <c r="H226" s="83">
        <v>0</v>
      </c>
    </row>
    <row r="227" spans="1:14" s="140" customFormat="1" ht="15.75" outlineLevel="1" x14ac:dyDescent="0.25">
      <c r="A227" s="171" t="s">
        <v>550</v>
      </c>
      <c r="B227" s="139">
        <f>+SUM(B228)</f>
        <v>0</v>
      </c>
      <c r="C227" s="139">
        <f t="shared" ref="C227:K227" si="97">+SUM(C228)</f>
        <v>0</v>
      </c>
      <c r="D227" s="139">
        <f t="shared" si="97"/>
        <v>0</v>
      </c>
      <c r="E227" s="139">
        <f t="shared" si="97"/>
        <v>1780</v>
      </c>
      <c r="F227" s="139">
        <f t="shared" si="97"/>
        <v>0</v>
      </c>
      <c r="G227" s="139">
        <f t="shared" si="97"/>
        <v>0</v>
      </c>
      <c r="H227" s="139">
        <f t="shared" si="97"/>
        <v>0</v>
      </c>
      <c r="I227" s="139">
        <f t="shared" si="97"/>
        <v>0</v>
      </c>
      <c r="J227" s="139">
        <f t="shared" si="97"/>
        <v>0</v>
      </c>
      <c r="K227" s="139">
        <f t="shared" si="97"/>
        <v>0</v>
      </c>
      <c r="L227" s="139">
        <f t="shared" ref="L227:N227" si="98">+SUM(L228)</f>
        <v>0</v>
      </c>
      <c r="M227" s="139">
        <f t="shared" si="98"/>
        <v>0</v>
      </c>
      <c r="N227" s="139">
        <f t="shared" si="98"/>
        <v>0</v>
      </c>
    </row>
    <row r="228" spans="1:14" outlineLevel="1" x14ac:dyDescent="0.25">
      <c r="A228" s="170" t="s">
        <v>551</v>
      </c>
      <c r="E228" s="83">
        <v>1780</v>
      </c>
      <c r="H228" s="83">
        <v>0</v>
      </c>
    </row>
    <row r="229" spans="1:14" s="3" customFormat="1" ht="18.75" x14ac:dyDescent="0.25">
      <c r="A229" s="148" t="s">
        <v>552</v>
      </c>
      <c r="B229" s="137">
        <f>+B230+B233+B237+B241+B263+B270+B274+B278+B282+B286+B290</f>
        <v>0</v>
      </c>
      <c r="C229" s="137">
        <f t="shared" ref="C229:K229" si="99">+C230+C233+C237+C241+C263+C270+C274+C278+C282+C286+C290</f>
        <v>0</v>
      </c>
      <c r="D229" s="137">
        <f t="shared" si="99"/>
        <v>0</v>
      </c>
      <c r="E229" s="137">
        <f t="shared" ref="E229:G229" si="100">+E230+E233+E237+E241+E263+E270+E274+E278+E282+E286+E290</f>
        <v>113300</v>
      </c>
      <c r="F229" s="137">
        <f t="shared" si="100"/>
        <v>0</v>
      </c>
      <c r="G229" s="137">
        <f t="shared" si="100"/>
        <v>0</v>
      </c>
      <c r="H229" s="137">
        <f t="shared" si="99"/>
        <v>0</v>
      </c>
      <c r="I229" s="137">
        <f t="shared" si="99"/>
        <v>0</v>
      </c>
      <c r="J229" s="137">
        <f t="shared" si="99"/>
        <v>0</v>
      </c>
      <c r="K229" s="137">
        <f t="shared" si="99"/>
        <v>0</v>
      </c>
      <c r="L229" s="137">
        <f t="shared" ref="L229:N229" si="101">+L230+L233+L237+L241+L263+L270+L274+L278+L282+L286+L290</f>
        <v>0</v>
      </c>
      <c r="M229" s="137">
        <f t="shared" si="101"/>
        <v>0</v>
      </c>
      <c r="N229" s="137">
        <f t="shared" si="101"/>
        <v>0</v>
      </c>
    </row>
    <row r="230" spans="1:14" s="140" customFormat="1" ht="15.75" outlineLevel="1" x14ac:dyDescent="0.25">
      <c r="A230" s="171" t="s">
        <v>158</v>
      </c>
      <c r="B230" s="139">
        <f>+SUM(B231:B232)</f>
        <v>0</v>
      </c>
      <c r="C230" s="139">
        <f t="shared" ref="C230:K230" si="102">+SUM(C231:C232)</f>
        <v>0</v>
      </c>
      <c r="D230" s="139">
        <f t="shared" si="102"/>
        <v>0</v>
      </c>
      <c r="E230" s="139">
        <f t="shared" ref="E230:G230" si="103">+SUM(E231:E232)</f>
        <v>3590</v>
      </c>
      <c r="F230" s="139">
        <f t="shared" si="103"/>
        <v>0</v>
      </c>
      <c r="G230" s="139">
        <f t="shared" si="103"/>
        <v>0</v>
      </c>
      <c r="H230" s="139">
        <f t="shared" si="102"/>
        <v>0</v>
      </c>
      <c r="I230" s="139">
        <f t="shared" si="102"/>
        <v>0</v>
      </c>
      <c r="J230" s="139">
        <f t="shared" si="102"/>
        <v>0</v>
      </c>
      <c r="K230" s="139">
        <f t="shared" si="102"/>
        <v>0</v>
      </c>
      <c r="L230" s="139">
        <f t="shared" ref="L230:N230" si="104">+SUM(L231:L232)</f>
        <v>0</v>
      </c>
      <c r="M230" s="139">
        <f t="shared" si="104"/>
        <v>0</v>
      </c>
      <c r="N230" s="139">
        <f t="shared" si="104"/>
        <v>0</v>
      </c>
    </row>
    <row r="231" spans="1:14" outlineLevel="1" x14ac:dyDescent="0.25">
      <c r="A231" s="170" t="s">
        <v>553</v>
      </c>
      <c r="E231" s="83">
        <v>1790</v>
      </c>
      <c r="H231" s="83">
        <v>0</v>
      </c>
    </row>
    <row r="232" spans="1:14" outlineLevel="1" x14ac:dyDescent="0.25">
      <c r="A232" s="170" t="s">
        <v>554</v>
      </c>
      <c r="E232" s="83">
        <v>1800</v>
      </c>
      <c r="H232" s="83">
        <v>0</v>
      </c>
    </row>
    <row r="233" spans="1:14" s="140" customFormat="1" ht="15.75" outlineLevel="1" x14ac:dyDescent="0.25">
      <c r="A233" s="171" t="s">
        <v>159</v>
      </c>
      <c r="B233" s="139">
        <f>+SUM(B234:B236)</f>
        <v>0</v>
      </c>
      <c r="C233" s="139">
        <f t="shared" ref="C233:K233" si="105">+SUM(C234:C236)</f>
        <v>0</v>
      </c>
      <c r="D233" s="139">
        <f t="shared" si="105"/>
        <v>0</v>
      </c>
      <c r="E233" s="139">
        <f t="shared" si="105"/>
        <v>5460</v>
      </c>
      <c r="F233" s="139">
        <f t="shared" si="105"/>
        <v>0</v>
      </c>
      <c r="G233" s="139">
        <f t="shared" si="105"/>
        <v>0</v>
      </c>
      <c r="H233" s="139">
        <f t="shared" si="105"/>
        <v>0</v>
      </c>
      <c r="I233" s="139">
        <f t="shared" si="105"/>
        <v>0</v>
      </c>
      <c r="J233" s="139">
        <f t="shared" si="105"/>
        <v>0</v>
      </c>
      <c r="K233" s="139">
        <f t="shared" si="105"/>
        <v>0</v>
      </c>
      <c r="L233" s="139">
        <f t="shared" ref="L233:N233" si="106">+SUM(L234:L236)</f>
        <v>0</v>
      </c>
      <c r="M233" s="139">
        <f t="shared" si="106"/>
        <v>0</v>
      </c>
      <c r="N233" s="139">
        <f t="shared" si="106"/>
        <v>0</v>
      </c>
    </row>
    <row r="234" spans="1:14" outlineLevel="1" x14ac:dyDescent="0.25">
      <c r="A234" s="170" t="s">
        <v>159</v>
      </c>
      <c r="E234" s="83">
        <v>1810</v>
      </c>
    </row>
    <row r="235" spans="1:14" outlineLevel="1" x14ac:dyDescent="0.25">
      <c r="A235" s="170" t="s">
        <v>555</v>
      </c>
      <c r="E235" s="83">
        <v>1820</v>
      </c>
    </row>
    <row r="236" spans="1:14" outlineLevel="1" x14ac:dyDescent="0.25">
      <c r="A236" s="170" t="s">
        <v>556</v>
      </c>
      <c r="E236" s="83">
        <v>1830</v>
      </c>
    </row>
    <row r="237" spans="1:14" s="140" customFormat="1" ht="15.75" outlineLevel="1" x14ac:dyDescent="0.25">
      <c r="A237" s="171" t="s">
        <v>160</v>
      </c>
      <c r="B237" s="139">
        <f>+SUM(B238:B240)</f>
        <v>0</v>
      </c>
      <c r="C237" s="139">
        <f t="shared" ref="C237:K237" si="107">+SUM(C238:C240)</f>
        <v>0</v>
      </c>
      <c r="D237" s="139">
        <f t="shared" si="107"/>
        <v>0</v>
      </c>
      <c r="E237" s="139">
        <f t="shared" si="107"/>
        <v>5550</v>
      </c>
      <c r="F237" s="139">
        <f t="shared" si="107"/>
        <v>0</v>
      </c>
      <c r="G237" s="139">
        <f t="shared" si="107"/>
        <v>0</v>
      </c>
      <c r="H237" s="139">
        <f t="shared" si="107"/>
        <v>0</v>
      </c>
      <c r="I237" s="139">
        <f t="shared" si="107"/>
        <v>0</v>
      </c>
      <c r="J237" s="139">
        <f t="shared" si="107"/>
        <v>0</v>
      </c>
      <c r="K237" s="139">
        <f t="shared" si="107"/>
        <v>0</v>
      </c>
      <c r="L237" s="139">
        <f t="shared" ref="L237:N237" si="108">+SUM(L238:L240)</f>
        <v>0</v>
      </c>
      <c r="M237" s="139">
        <f t="shared" si="108"/>
        <v>0</v>
      </c>
      <c r="N237" s="139">
        <f t="shared" si="108"/>
        <v>0</v>
      </c>
    </row>
    <row r="238" spans="1:14" outlineLevel="1" x14ac:dyDescent="0.25">
      <c r="A238" s="170" t="s">
        <v>557</v>
      </c>
      <c r="E238" s="83">
        <v>1840</v>
      </c>
    </row>
    <row r="239" spans="1:14" outlineLevel="1" x14ac:dyDescent="0.25">
      <c r="A239" s="170" t="s">
        <v>558</v>
      </c>
      <c r="E239" s="83">
        <v>1850</v>
      </c>
    </row>
    <row r="240" spans="1:14" outlineLevel="1" x14ac:dyDescent="0.25">
      <c r="A240" s="170" t="s">
        <v>559</v>
      </c>
      <c r="E240" s="83">
        <v>1860</v>
      </c>
    </row>
    <row r="241" spans="1:14" s="140" customFormat="1" ht="15.75" outlineLevel="1" x14ac:dyDescent="0.25">
      <c r="A241" s="171" t="s">
        <v>161</v>
      </c>
      <c r="B241" s="139">
        <f>+SUM(B242:B262)</f>
        <v>0</v>
      </c>
      <c r="C241" s="139">
        <f t="shared" ref="C241:K241" si="109">+SUM(C242:C262)</f>
        <v>0</v>
      </c>
      <c r="D241" s="139">
        <f t="shared" si="109"/>
        <v>0</v>
      </c>
      <c r="E241" s="139">
        <f t="shared" si="109"/>
        <v>41370</v>
      </c>
      <c r="F241" s="139">
        <f t="shared" si="109"/>
        <v>0</v>
      </c>
      <c r="G241" s="139">
        <f t="shared" si="109"/>
        <v>0</v>
      </c>
      <c r="H241" s="139">
        <f t="shared" si="109"/>
        <v>0</v>
      </c>
      <c r="I241" s="139">
        <f t="shared" si="109"/>
        <v>0</v>
      </c>
      <c r="J241" s="139">
        <f t="shared" si="109"/>
        <v>0</v>
      </c>
      <c r="K241" s="139">
        <f t="shared" si="109"/>
        <v>0</v>
      </c>
      <c r="L241" s="139">
        <f t="shared" ref="L241:N241" si="110">+SUM(L242:L262)</f>
        <v>0</v>
      </c>
      <c r="M241" s="139">
        <f t="shared" si="110"/>
        <v>0</v>
      </c>
      <c r="N241" s="139">
        <f t="shared" si="110"/>
        <v>0</v>
      </c>
    </row>
    <row r="242" spans="1:14" outlineLevel="1" x14ac:dyDescent="0.25">
      <c r="A242" s="170" t="s">
        <v>560</v>
      </c>
      <c r="E242" s="83">
        <v>1870</v>
      </c>
      <c r="H242" s="83">
        <v>0</v>
      </c>
    </row>
    <row r="243" spans="1:14" outlineLevel="1" x14ac:dyDescent="0.25">
      <c r="A243" s="170" t="s">
        <v>759</v>
      </c>
      <c r="E243" s="83">
        <v>1880</v>
      </c>
      <c r="H243" s="83">
        <v>0</v>
      </c>
    </row>
    <row r="244" spans="1:14" outlineLevel="1" x14ac:dyDescent="0.25">
      <c r="A244" s="170" t="s">
        <v>561</v>
      </c>
      <c r="E244" s="83">
        <v>1890</v>
      </c>
      <c r="H244" s="83">
        <v>0</v>
      </c>
    </row>
    <row r="245" spans="1:14" outlineLevel="1" x14ac:dyDescent="0.25">
      <c r="A245" s="170" t="s">
        <v>562</v>
      </c>
      <c r="E245" s="83">
        <v>1900</v>
      </c>
      <c r="H245" s="83">
        <v>0</v>
      </c>
    </row>
    <row r="246" spans="1:14" outlineLevel="1" x14ac:dyDescent="0.25">
      <c r="A246" s="170" t="s">
        <v>563</v>
      </c>
      <c r="E246" s="83">
        <v>1910</v>
      </c>
      <c r="H246" s="83">
        <v>0</v>
      </c>
    </row>
    <row r="247" spans="1:14" outlineLevel="1" x14ac:dyDescent="0.25">
      <c r="A247" s="170" t="s">
        <v>564</v>
      </c>
      <c r="E247" s="83">
        <v>1920</v>
      </c>
      <c r="H247" s="83">
        <v>0</v>
      </c>
    </row>
    <row r="248" spans="1:14" outlineLevel="1" x14ac:dyDescent="0.25">
      <c r="A248" s="170" t="s">
        <v>565</v>
      </c>
      <c r="E248" s="83">
        <v>1930</v>
      </c>
      <c r="H248" s="83">
        <v>0</v>
      </c>
    </row>
    <row r="249" spans="1:14" outlineLevel="1" x14ac:dyDescent="0.25">
      <c r="A249" s="170" t="s">
        <v>566</v>
      </c>
      <c r="E249" s="83">
        <v>1940</v>
      </c>
      <c r="H249" s="83">
        <v>0</v>
      </c>
    </row>
    <row r="250" spans="1:14" outlineLevel="1" x14ac:dyDescent="0.25">
      <c r="A250" s="170" t="s">
        <v>567</v>
      </c>
      <c r="E250" s="83">
        <v>1950</v>
      </c>
      <c r="H250" s="83">
        <v>0</v>
      </c>
    </row>
    <row r="251" spans="1:14" outlineLevel="1" x14ac:dyDescent="0.25">
      <c r="A251" s="170" t="s">
        <v>568</v>
      </c>
      <c r="E251" s="83">
        <v>1960</v>
      </c>
      <c r="H251" s="83">
        <v>0</v>
      </c>
    </row>
    <row r="252" spans="1:14" outlineLevel="1" x14ac:dyDescent="0.25">
      <c r="A252" s="170" t="s">
        <v>569</v>
      </c>
      <c r="E252" s="83">
        <v>1970</v>
      </c>
      <c r="H252" s="83">
        <v>0</v>
      </c>
    </row>
    <row r="253" spans="1:14" outlineLevel="1" x14ac:dyDescent="0.25">
      <c r="A253" s="170" t="s">
        <v>570</v>
      </c>
      <c r="E253" s="83">
        <v>1980</v>
      </c>
      <c r="H253" s="83">
        <v>0</v>
      </c>
    </row>
    <row r="254" spans="1:14" outlineLevel="1" x14ac:dyDescent="0.25">
      <c r="A254" s="170" t="s">
        <v>571</v>
      </c>
      <c r="E254" s="83">
        <v>1990</v>
      </c>
      <c r="H254" s="83">
        <v>0</v>
      </c>
    </row>
    <row r="255" spans="1:14" outlineLevel="1" x14ac:dyDescent="0.25">
      <c r="A255" s="170" t="s">
        <v>572</v>
      </c>
      <c r="E255" s="83">
        <v>2000</v>
      </c>
      <c r="H255" s="83">
        <v>0</v>
      </c>
    </row>
    <row r="256" spans="1:14" outlineLevel="1" x14ac:dyDescent="0.25">
      <c r="A256" s="170" t="s">
        <v>573</v>
      </c>
      <c r="E256" s="83">
        <v>2010</v>
      </c>
      <c r="H256" s="83">
        <v>0</v>
      </c>
    </row>
    <row r="257" spans="1:14" outlineLevel="1" x14ac:dyDescent="0.25">
      <c r="A257" s="170" t="s">
        <v>574</v>
      </c>
      <c r="E257" s="83">
        <v>2020</v>
      </c>
      <c r="H257" s="83">
        <v>0</v>
      </c>
    </row>
    <row r="258" spans="1:14" outlineLevel="1" x14ac:dyDescent="0.25">
      <c r="A258" s="170" t="s">
        <v>575</v>
      </c>
      <c r="E258" s="83">
        <v>2030</v>
      </c>
      <c r="H258" s="83">
        <v>0</v>
      </c>
    </row>
    <row r="259" spans="1:14" outlineLevel="1" x14ac:dyDescent="0.25">
      <c r="A259" s="170" t="s">
        <v>576</v>
      </c>
      <c r="E259" s="83">
        <v>2040</v>
      </c>
      <c r="H259" s="83">
        <v>0</v>
      </c>
    </row>
    <row r="260" spans="1:14" outlineLevel="1" x14ac:dyDescent="0.25">
      <c r="A260" s="170" t="s">
        <v>577</v>
      </c>
      <c r="E260" s="83">
        <v>2050</v>
      </c>
      <c r="H260" s="83">
        <v>0</v>
      </c>
    </row>
    <row r="261" spans="1:14" outlineLevel="1" x14ac:dyDescent="0.25">
      <c r="A261" s="170" t="s">
        <v>578</v>
      </c>
      <c r="E261" s="83">
        <v>2060</v>
      </c>
      <c r="H261" s="83">
        <v>0</v>
      </c>
    </row>
    <row r="262" spans="1:14" outlineLevel="1" x14ac:dyDescent="0.25">
      <c r="A262" s="170" t="s">
        <v>579</v>
      </c>
      <c r="E262" s="83">
        <v>2070</v>
      </c>
      <c r="H262" s="83">
        <v>0</v>
      </c>
    </row>
    <row r="263" spans="1:14" s="140" customFormat="1" ht="15.75" outlineLevel="1" x14ac:dyDescent="0.25">
      <c r="A263" s="171" t="s">
        <v>162</v>
      </c>
      <c r="B263" s="139">
        <f>+SUM(B264:B269)</f>
        <v>0</v>
      </c>
      <c r="C263" s="139">
        <f t="shared" ref="C263:K263" si="111">+SUM(C264:C269)</f>
        <v>0</v>
      </c>
      <c r="D263" s="139">
        <f t="shared" si="111"/>
        <v>0</v>
      </c>
      <c r="E263" s="139">
        <f t="shared" si="111"/>
        <v>12630</v>
      </c>
      <c r="F263" s="139">
        <f t="shared" si="111"/>
        <v>0</v>
      </c>
      <c r="G263" s="139">
        <f t="shared" si="111"/>
        <v>0</v>
      </c>
      <c r="H263" s="139">
        <f t="shared" si="111"/>
        <v>0</v>
      </c>
      <c r="I263" s="139">
        <f t="shared" si="111"/>
        <v>0</v>
      </c>
      <c r="J263" s="139">
        <f t="shared" si="111"/>
        <v>0</v>
      </c>
      <c r="K263" s="139">
        <f t="shared" si="111"/>
        <v>0</v>
      </c>
      <c r="L263" s="139">
        <f t="shared" ref="L263:N263" si="112">+SUM(L264:L269)</f>
        <v>0</v>
      </c>
      <c r="M263" s="139">
        <f t="shared" si="112"/>
        <v>0</v>
      </c>
      <c r="N263" s="139">
        <f t="shared" si="112"/>
        <v>0</v>
      </c>
    </row>
    <row r="264" spans="1:14" outlineLevel="1" x14ac:dyDescent="0.25">
      <c r="A264" s="170" t="s">
        <v>580</v>
      </c>
      <c r="E264" s="83">
        <v>2080</v>
      </c>
      <c r="H264" s="83">
        <v>0</v>
      </c>
    </row>
    <row r="265" spans="1:14" outlineLevel="1" x14ac:dyDescent="0.25">
      <c r="A265" s="170" t="s">
        <v>581</v>
      </c>
      <c r="E265" s="83">
        <v>2090</v>
      </c>
      <c r="H265" s="83">
        <v>0</v>
      </c>
    </row>
    <row r="266" spans="1:14" outlineLevel="1" x14ac:dyDescent="0.25">
      <c r="A266" s="170" t="s">
        <v>582</v>
      </c>
      <c r="E266" s="83">
        <v>2100</v>
      </c>
      <c r="H266" s="83">
        <v>0</v>
      </c>
    </row>
    <row r="267" spans="1:14" outlineLevel="1" x14ac:dyDescent="0.25">
      <c r="A267" s="170" t="s">
        <v>583</v>
      </c>
      <c r="E267" s="83">
        <v>2110</v>
      </c>
      <c r="H267" s="83">
        <v>0</v>
      </c>
    </row>
    <row r="268" spans="1:14" outlineLevel="1" x14ac:dyDescent="0.25">
      <c r="A268" s="170" t="s">
        <v>584</v>
      </c>
      <c r="E268" s="83">
        <v>2120</v>
      </c>
      <c r="H268" s="83">
        <v>0</v>
      </c>
    </row>
    <row r="269" spans="1:14" outlineLevel="1" x14ac:dyDescent="0.25">
      <c r="A269" s="170" t="s">
        <v>585</v>
      </c>
      <c r="E269" s="83">
        <v>2130</v>
      </c>
      <c r="H269" s="83">
        <v>0</v>
      </c>
    </row>
    <row r="270" spans="1:14" s="140" customFormat="1" ht="15.75" outlineLevel="1" x14ac:dyDescent="0.25">
      <c r="A270" s="171" t="s">
        <v>163</v>
      </c>
      <c r="B270" s="139">
        <f>+SUM(B271:B273)</f>
        <v>0</v>
      </c>
      <c r="C270" s="139">
        <f t="shared" ref="C270:K270" si="113">+SUM(C271:C273)</f>
        <v>0</v>
      </c>
      <c r="D270" s="139">
        <f t="shared" si="113"/>
        <v>0</v>
      </c>
      <c r="E270" s="139">
        <f t="shared" si="113"/>
        <v>6450</v>
      </c>
      <c r="F270" s="139">
        <f t="shared" si="113"/>
        <v>0</v>
      </c>
      <c r="G270" s="139">
        <f t="shared" si="113"/>
        <v>0</v>
      </c>
      <c r="H270" s="139">
        <f t="shared" si="113"/>
        <v>0</v>
      </c>
      <c r="I270" s="139">
        <f t="shared" si="113"/>
        <v>0</v>
      </c>
      <c r="J270" s="139">
        <f t="shared" si="113"/>
        <v>0</v>
      </c>
      <c r="K270" s="139">
        <f t="shared" si="113"/>
        <v>0</v>
      </c>
      <c r="L270" s="139">
        <f t="shared" ref="L270:N270" si="114">+SUM(L271:L273)</f>
        <v>0</v>
      </c>
      <c r="M270" s="139">
        <f t="shared" si="114"/>
        <v>0</v>
      </c>
      <c r="N270" s="139">
        <f t="shared" si="114"/>
        <v>0</v>
      </c>
    </row>
    <row r="271" spans="1:14" outlineLevel="1" x14ac:dyDescent="0.25">
      <c r="A271" s="170" t="s">
        <v>586</v>
      </c>
      <c r="E271" s="83">
        <v>2140</v>
      </c>
      <c r="H271" s="83">
        <v>0</v>
      </c>
    </row>
    <row r="272" spans="1:14" outlineLevel="1" x14ac:dyDescent="0.25">
      <c r="A272" s="170" t="s">
        <v>587</v>
      </c>
      <c r="E272" s="83">
        <v>2150</v>
      </c>
      <c r="H272" s="83">
        <v>0</v>
      </c>
    </row>
    <row r="273" spans="1:14" outlineLevel="1" x14ac:dyDescent="0.25">
      <c r="A273" s="170" t="s">
        <v>588</v>
      </c>
      <c r="E273" s="83">
        <v>2160</v>
      </c>
      <c r="H273" s="83">
        <v>0</v>
      </c>
    </row>
    <row r="274" spans="1:14" s="140" customFormat="1" ht="15.75" outlineLevel="1" x14ac:dyDescent="0.25">
      <c r="A274" s="171" t="s">
        <v>164</v>
      </c>
      <c r="B274" s="139">
        <f>+SUM(B275:B277)</f>
        <v>0</v>
      </c>
      <c r="C274" s="139">
        <f t="shared" ref="C274:K274" si="115">+SUM(C275:C277)</f>
        <v>0</v>
      </c>
      <c r="D274" s="139">
        <f t="shared" si="115"/>
        <v>0</v>
      </c>
      <c r="E274" s="139">
        <f t="shared" si="115"/>
        <v>6540</v>
      </c>
      <c r="F274" s="139">
        <f t="shared" si="115"/>
        <v>0</v>
      </c>
      <c r="G274" s="139">
        <f t="shared" si="115"/>
        <v>0</v>
      </c>
      <c r="H274" s="139">
        <f t="shared" si="115"/>
        <v>0</v>
      </c>
      <c r="I274" s="139">
        <f t="shared" si="115"/>
        <v>0</v>
      </c>
      <c r="J274" s="139">
        <f t="shared" si="115"/>
        <v>0</v>
      </c>
      <c r="K274" s="139">
        <f t="shared" si="115"/>
        <v>0</v>
      </c>
      <c r="L274" s="139">
        <f t="shared" ref="L274:N274" si="116">+SUM(L275:L277)</f>
        <v>0</v>
      </c>
      <c r="M274" s="139">
        <f t="shared" si="116"/>
        <v>0</v>
      </c>
      <c r="N274" s="139">
        <f t="shared" si="116"/>
        <v>0</v>
      </c>
    </row>
    <row r="275" spans="1:14" outlineLevel="1" x14ac:dyDescent="0.25">
      <c r="A275" s="170" t="s">
        <v>164</v>
      </c>
      <c r="E275" s="83">
        <v>2170</v>
      </c>
    </row>
    <row r="276" spans="1:14" outlineLevel="1" x14ac:dyDescent="0.25">
      <c r="A276" s="170" t="s">
        <v>589</v>
      </c>
      <c r="E276" s="83">
        <v>2180</v>
      </c>
      <c r="H276" s="83">
        <v>0</v>
      </c>
    </row>
    <row r="277" spans="1:14" outlineLevel="1" x14ac:dyDescent="0.25">
      <c r="A277" s="170" t="s">
        <v>590</v>
      </c>
      <c r="E277" s="83">
        <v>2190</v>
      </c>
      <c r="H277" s="83">
        <v>0</v>
      </c>
    </row>
    <row r="278" spans="1:14" s="140" customFormat="1" ht="15.75" outlineLevel="1" x14ac:dyDescent="0.25">
      <c r="A278" s="171" t="s">
        <v>165</v>
      </c>
      <c r="B278" s="139">
        <f>+SUM(B279:B281)</f>
        <v>0</v>
      </c>
      <c r="C278" s="139">
        <f t="shared" ref="C278:K278" si="117">+SUM(C279:C281)</f>
        <v>0</v>
      </c>
      <c r="D278" s="139">
        <f t="shared" si="117"/>
        <v>0</v>
      </c>
      <c r="E278" s="139">
        <f t="shared" si="117"/>
        <v>6630</v>
      </c>
      <c r="F278" s="139">
        <f t="shared" si="117"/>
        <v>0</v>
      </c>
      <c r="G278" s="139">
        <f t="shared" si="117"/>
        <v>0</v>
      </c>
      <c r="H278" s="139">
        <f t="shared" si="117"/>
        <v>0</v>
      </c>
      <c r="I278" s="139">
        <f t="shared" si="117"/>
        <v>0</v>
      </c>
      <c r="J278" s="139">
        <f t="shared" si="117"/>
        <v>0</v>
      </c>
      <c r="K278" s="139">
        <f t="shared" si="117"/>
        <v>0</v>
      </c>
      <c r="L278" s="139">
        <f t="shared" ref="L278:N278" si="118">+SUM(L279:L281)</f>
        <v>0</v>
      </c>
      <c r="M278" s="139">
        <f t="shared" si="118"/>
        <v>0</v>
      </c>
      <c r="N278" s="139">
        <f t="shared" si="118"/>
        <v>0</v>
      </c>
    </row>
    <row r="279" spans="1:14" outlineLevel="1" x14ac:dyDescent="0.25">
      <c r="A279" s="170" t="s">
        <v>165</v>
      </c>
      <c r="E279" s="83">
        <v>2200</v>
      </c>
      <c r="H279" s="83">
        <v>0</v>
      </c>
    </row>
    <row r="280" spans="1:14" outlineLevel="1" x14ac:dyDescent="0.25">
      <c r="A280" s="170" t="s">
        <v>591</v>
      </c>
      <c r="E280" s="83">
        <v>2210</v>
      </c>
      <c r="H280" s="83">
        <v>0</v>
      </c>
    </row>
    <row r="281" spans="1:14" outlineLevel="1" x14ac:dyDescent="0.25">
      <c r="A281" s="170" t="s">
        <v>592</v>
      </c>
      <c r="E281" s="83">
        <v>2220</v>
      </c>
      <c r="H281" s="83">
        <v>0</v>
      </c>
    </row>
    <row r="282" spans="1:14" s="140" customFormat="1" ht="15.75" outlineLevel="1" x14ac:dyDescent="0.25">
      <c r="A282" s="171" t="s">
        <v>166</v>
      </c>
      <c r="B282" s="139">
        <f>+SUM(B283:B285)</f>
        <v>0</v>
      </c>
      <c r="C282" s="139">
        <f t="shared" ref="C282:K282" si="119">+SUM(C283:C285)</f>
        <v>0</v>
      </c>
      <c r="D282" s="139">
        <f t="shared" si="119"/>
        <v>0</v>
      </c>
      <c r="E282" s="139">
        <f t="shared" si="119"/>
        <v>6720</v>
      </c>
      <c r="F282" s="139">
        <f t="shared" si="119"/>
        <v>0</v>
      </c>
      <c r="G282" s="139">
        <f t="shared" si="119"/>
        <v>0</v>
      </c>
      <c r="H282" s="139">
        <f t="shared" si="119"/>
        <v>0</v>
      </c>
      <c r="I282" s="139">
        <f t="shared" si="119"/>
        <v>0</v>
      </c>
      <c r="J282" s="139">
        <f t="shared" si="119"/>
        <v>0</v>
      </c>
      <c r="K282" s="139">
        <f t="shared" si="119"/>
        <v>0</v>
      </c>
      <c r="L282" s="139">
        <f t="shared" ref="L282:N282" si="120">+SUM(L283:L285)</f>
        <v>0</v>
      </c>
      <c r="M282" s="139">
        <f t="shared" si="120"/>
        <v>0</v>
      </c>
      <c r="N282" s="139">
        <f t="shared" si="120"/>
        <v>0</v>
      </c>
    </row>
    <row r="283" spans="1:14" outlineLevel="1" x14ac:dyDescent="0.25">
      <c r="A283" s="170" t="s">
        <v>166</v>
      </c>
      <c r="E283" s="83">
        <v>2230</v>
      </c>
      <c r="H283" s="83">
        <v>0</v>
      </c>
    </row>
    <row r="284" spans="1:14" outlineLevel="1" x14ac:dyDescent="0.25">
      <c r="A284" s="170" t="s">
        <v>593</v>
      </c>
      <c r="E284" s="83">
        <v>2240</v>
      </c>
      <c r="H284" s="83">
        <v>0</v>
      </c>
    </row>
    <row r="285" spans="1:14" outlineLevel="1" x14ac:dyDescent="0.25">
      <c r="A285" s="170" t="s">
        <v>594</v>
      </c>
      <c r="E285" s="83">
        <v>2250</v>
      </c>
      <c r="H285" s="83">
        <v>0</v>
      </c>
    </row>
    <row r="286" spans="1:14" s="140" customFormat="1" ht="15.75" outlineLevel="1" x14ac:dyDescent="0.25">
      <c r="A286" s="171" t="s">
        <v>595</v>
      </c>
      <c r="B286" s="139">
        <f>+SUM(B287:B289)</f>
        <v>0</v>
      </c>
      <c r="C286" s="139">
        <f t="shared" ref="C286:K286" si="121">+SUM(C287:C289)</f>
        <v>0</v>
      </c>
      <c r="D286" s="139">
        <f t="shared" si="121"/>
        <v>0</v>
      </c>
      <c r="E286" s="139">
        <f t="shared" si="121"/>
        <v>6810</v>
      </c>
      <c r="F286" s="139">
        <f t="shared" si="121"/>
        <v>0</v>
      </c>
      <c r="G286" s="139">
        <f t="shared" si="121"/>
        <v>0</v>
      </c>
      <c r="H286" s="139">
        <f t="shared" si="121"/>
        <v>0</v>
      </c>
      <c r="I286" s="139">
        <f t="shared" si="121"/>
        <v>0</v>
      </c>
      <c r="J286" s="139">
        <f t="shared" si="121"/>
        <v>0</v>
      </c>
      <c r="K286" s="139">
        <f t="shared" si="121"/>
        <v>0</v>
      </c>
      <c r="L286" s="139">
        <f t="shared" ref="L286:N286" si="122">+SUM(L287:L289)</f>
        <v>0</v>
      </c>
      <c r="M286" s="139">
        <f t="shared" si="122"/>
        <v>0</v>
      </c>
      <c r="N286" s="139">
        <f t="shared" si="122"/>
        <v>0</v>
      </c>
    </row>
    <row r="287" spans="1:14" outlineLevel="1" x14ac:dyDescent="0.25">
      <c r="A287" s="170" t="s">
        <v>595</v>
      </c>
      <c r="E287" s="83">
        <v>2260</v>
      </c>
      <c r="H287" s="83">
        <v>0</v>
      </c>
    </row>
    <row r="288" spans="1:14" outlineLevel="1" x14ac:dyDescent="0.25">
      <c r="A288" s="170" t="s">
        <v>596</v>
      </c>
      <c r="E288" s="83">
        <v>2270</v>
      </c>
      <c r="H288" s="83">
        <v>0</v>
      </c>
    </row>
    <row r="289" spans="1:14" outlineLevel="1" x14ac:dyDescent="0.25">
      <c r="A289" s="170" t="s">
        <v>597</v>
      </c>
      <c r="E289" s="83">
        <v>2280</v>
      </c>
      <c r="H289" s="83">
        <v>0</v>
      </c>
    </row>
    <row r="290" spans="1:14" s="140" customFormat="1" ht="15.75" outlineLevel="1" x14ac:dyDescent="0.25">
      <c r="A290" s="171" t="s">
        <v>167</v>
      </c>
      <c r="B290" s="139">
        <f t="shared" ref="B290:N290" si="123">+SUM(B291:B294)</f>
        <v>0</v>
      </c>
      <c r="C290" s="139">
        <f t="shared" si="123"/>
        <v>0</v>
      </c>
      <c r="D290" s="139">
        <f t="shared" si="123"/>
        <v>0</v>
      </c>
      <c r="E290" s="139">
        <f t="shared" si="123"/>
        <v>11550</v>
      </c>
      <c r="F290" s="139">
        <f t="shared" si="123"/>
        <v>0</v>
      </c>
      <c r="G290" s="139">
        <f t="shared" si="123"/>
        <v>0</v>
      </c>
      <c r="H290" s="139">
        <f t="shared" si="123"/>
        <v>0</v>
      </c>
      <c r="I290" s="139">
        <f t="shared" si="123"/>
        <v>0</v>
      </c>
      <c r="J290" s="139">
        <f t="shared" si="123"/>
        <v>0</v>
      </c>
      <c r="K290" s="139">
        <f t="shared" si="123"/>
        <v>0</v>
      </c>
      <c r="L290" s="139">
        <f t="shared" si="123"/>
        <v>0</v>
      </c>
      <c r="M290" s="139">
        <f t="shared" si="123"/>
        <v>0</v>
      </c>
      <c r="N290" s="139">
        <f t="shared" si="123"/>
        <v>0</v>
      </c>
    </row>
    <row r="291" spans="1:14" outlineLevel="1" x14ac:dyDescent="0.25">
      <c r="A291" s="170" t="s">
        <v>167</v>
      </c>
      <c r="E291" s="83">
        <v>2290</v>
      </c>
      <c r="H291" s="83">
        <v>0</v>
      </c>
    </row>
    <row r="292" spans="1:14" outlineLevel="1" x14ac:dyDescent="0.25">
      <c r="A292" s="170" t="s">
        <v>598</v>
      </c>
      <c r="E292" s="83">
        <v>4610</v>
      </c>
      <c r="H292" s="83">
        <v>0</v>
      </c>
    </row>
    <row r="293" spans="1:14" outlineLevel="1" x14ac:dyDescent="0.25">
      <c r="A293" s="170" t="s">
        <v>599</v>
      </c>
      <c r="E293" s="83">
        <v>2320</v>
      </c>
      <c r="H293" s="83">
        <v>0</v>
      </c>
    </row>
    <row r="294" spans="1:14" outlineLevel="1" x14ac:dyDescent="0.25">
      <c r="A294" s="170" t="s">
        <v>600</v>
      </c>
      <c r="E294" s="83">
        <v>2330</v>
      </c>
      <c r="H294" s="83">
        <v>0</v>
      </c>
    </row>
    <row r="295" spans="1:14" s="135" customFormat="1" ht="19.5" thickBot="1" x14ac:dyDescent="0.35">
      <c r="A295" s="165" t="s">
        <v>604</v>
      </c>
      <c r="B295" s="134">
        <f t="shared" ref="B295:N295" si="124">+B229+B174</f>
        <v>0</v>
      </c>
      <c r="C295" s="134">
        <f t="shared" si="124"/>
        <v>0</v>
      </c>
      <c r="D295" s="134">
        <f t="shared" si="124"/>
        <v>0</v>
      </c>
      <c r="E295" s="134">
        <f t="shared" ref="E295:G295" si="125">+E229+E174</f>
        <v>187460</v>
      </c>
      <c r="F295" s="134">
        <f t="shared" si="125"/>
        <v>0</v>
      </c>
      <c r="G295" s="134">
        <f t="shared" si="125"/>
        <v>0</v>
      </c>
      <c r="H295" s="134">
        <f t="shared" si="124"/>
        <v>0</v>
      </c>
      <c r="I295" s="134">
        <f t="shared" si="124"/>
        <v>0</v>
      </c>
      <c r="J295" s="134">
        <f t="shared" si="124"/>
        <v>0</v>
      </c>
      <c r="K295" s="134">
        <f t="shared" si="124"/>
        <v>0</v>
      </c>
      <c r="L295" s="134">
        <f t="shared" si="124"/>
        <v>0</v>
      </c>
      <c r="M295" s="134">
        <f t="shared" si="124"/>
        <v>0</v>
      </c>
      <c r="N295" s="134">
        <f t="shared" si="124"/>
        <v>0</v>
      </c>
    </row>
    <row r="296" spans="1:14" s="135" customFormat="1" ht="20.25" thickTop="1" thickBot="1" x14ac:dyDescent="0.35">
      <c r="A296" s="165" t="s">
        <v>605</v>
      </c>
      <c r="B296" s="134">
        <f t="shared" ref="B296:N296" si="126">+B172+B295</f>
        <v>0</v>
      </c>
      <c r="C296" s="134">
        <f t="shared" si="126"/>
        <v>0</v>
      </c>
      <c r="D296" s="134">
        <f t="shared" si="126"/>
        <v>0</v>
      </c>
      <c r="E296" s="134">
        <f t="shared" ref="E296:G296" si="127">+E172+E295</f>
        <v>272610</v>
      </c>
      <c r="F296" s="134">
        <f t="shared" si="127"/>
        <v>0</v>
      </c>
      <c r="G296" s="134">
        <f t="shared" si="127"/>
        <v>0</v>
      </c>
      <c r="H296" s="134">
        <f t="shared" si="126"/>
        <v>0</v>
      </c>
      <c r="I296" s="134">
        <f t="shared" si="126"/>
        <v>0</v>
      </c>
      <c r="J296" s="134">
        <f t="shared" si="126"/>
        <v>0</v>
      </c>
      <c r="K296" s="134">
        <f t="shared" si="126"/>
        <v>0</v>
      </c>
      <c r="L296" s="134">
        <f t="shared" si="126"/>
        <v>0</v>
      </c>
      <c r="M296" s="134">
        <f t="shared" si="126"/>
        <v>0</v>
      </c>
      <c r="N296" s="134">
        <f t="shared" si="126"/>
        <v>0</v>
      </c>
    </row>
    <row r="297" spans="1:14" ht="15.75" thickTop="1" x14ac:dyDescent="0.25"/>
    <row r="298" spans="1:14" s="3" customFormat="1" ht="18.75" x14ac:dyDescent="0.25">
      <c r="A298" s="148" t="s">
        <v>610</v>
      </c>
      <c r="B298" s="137">
        <f>+B299+B303+B308+B314+B318+B324</f>
        <v>0</v>
      </c>
      <c r="C298" s="137">
        <f t="shared" ref="C298:K298" si="128">+C299+C303+C308+C314+C318+C324</f>
        <v>0</v>
      </c>
      <c r="D298" s="137">
        <f t="shared" si="128"/>
        <v>0</v>
      </c>
      <c r="E298" s="137">
        <f t="shared" ref="E298:H298" si="129">+E299+E303+E308+E314+E318+E324</f>
        <v>198010</v>
      </c>
      <c r="F298" s="137">
        <f t="shared" si="129"/>
        <v>0</v>
      </c>
      <c r="G298" s="137">
        <f t="shared" si="129"/>
        <v>0</v>
      </c>
      <c r="H298" s="137">
        <f t="shared" si="129"/>
        <v>0</v>
      </c>
      <c r="I298" s="137">
        <f t="shared" si="128"/>
        <v>0</v>
      </c>
      <c r="J298" s="137">
        <f t="shared" si="128"/>
        <v>0</v>
      </c>
      <c r="K298" s="137">
        <f t="shared" si="128"/>
        <v>0</v>
      </c>
      <c r="L298" s="137">
        <f t="shared" ref="L298:N298" si="130">+L299+L303+L308+L314+L318+L324</f>
        <v>0</v>
      </c>
      <c r="M298" s="137">
        <f t="shared" si="130"/>
        <v>0</v>
      </c>
      <c r="N298" s="137">
        <f t="shared" si="130"/>
        <v>0</v>
      </c>
    </row>
    <row r="299" spans="1:14" s="140" customFormat="1" ht="15.75" outlineLevel="1" x14ac:dyDescent="0.25">
      <c r="A299" s="171" t="s">
        <v>606</v>
      </c>
      <c r="B299" s="139">
        <f>+SUM(B300:B302)</f>
        <v>0</v>
      </c>
      <c r="C299" s="139">
        <f t="shared" ref="C299:K299" si="131">+SUM(C300:C302)</f>
        <v>0</v>
      </c>
      <c r="D299" s="139">
        <f t="shared" si="131"/>
        <v>0</v>
      </c>
      <c r="E299" s="139">
        <f t="shared" ref="E299:H299" si="132">+SUM(E300:E302)</f>
        <v>120000</v>
      </c>
      <c r="F299" s="139">
        <f t="shared" si="132"/>
        <v>0</v>
      </c>
      <c r="G299" s="139">
        <f t="shared" si="132"/>
        <v>0</v>
      </c>
      <c r="H299" s="139">
        <f t="shared" si="132"/>
        <v>0</v>
      </c>
      <c r="I299" s="139">
        <f t="shared" si="131"/>
        <v>0</v>
      </c>
      <c r="J299" s="139">
        <f t="shared" si="131"/>
        <v>0</v>
      </c>
      <c r="K299" s="139">
        <f t="shared" si="131"/>
        <v>0</v>
      </c>
      <c r="L299" s="139">
        <f t="shared" ref="L299:N299" si="133">+SUM(L300:L302)</f>
        <v>0</v>
      </c>
      <c r="M299" s="139">
        <f t="shared" si="133"/>
        <v>0</v>
      </c>
      <c r="N299" s="139">
        <f t="shared" si="133"/>
        <v>0</v>
      </c>
    </row>
    <row r="300" spans="1:14" outlineLevel="1" x14ac:dyDescent="0.25">
      <c r="A300" s="172" t="s">
        <v>607</v>
      </c>
      <c r="E300" s="83">
        <v>50000</v>
      </c>
    </row>
    <row r="301" spans="1:14" outlineLevel="1" x14ac:dyDescent="0.25">
      <c r="A301" s="172" t="s">
        <v>608</v>
      </c>
      <c r="E301" s="83">
        <v>40000</v>
      </c>
    </row>
    <row r="302" spans="1:14" outlineLevel="1" x14ac:dyDescent="0.25">
      <c r="A302" s="172" t="s">
        <v>609</v>
      </c>
      <c r="E302" s="83">
        <v>30000</v>
      </c>
    </row>
    <row r="303" spans="1:14" s="140" customFormat="1" ht="15.75" outlineLevel="1" x14ac:dyDescent="0.25">
      <c r="A303" s="171" t="s">
        <v>611</v>
      </c>
      <c r="B303" s="139">
        <f>+SUM(B304:B307)</f>
        <v>0</v>
      </c>
      <c r="C303" s="139">
        <f t="shared" ref="C303:K303" si="134">+SUM(C304:C307)</f>
        <v>0</v>
      </c>
      <c r="D303" s="139">
        <f t="shared" si="134"/>
        <v>0</v>
      </c>
      <c r="E303" s="139">
        <f t="shared" si="134"/>
        <v>76400</v>
      </c>
      <c r="F303" s="139">
        <f t="shared" si="134"/>
        <v>0</v>
      </c>
      <c r="G303" s="139">
        <f t="shared" si="134"/>
        <v>0</v>
      </c>
      <c r="H303" s="139">
        <f t="shared" si="134"/>
        <v>0</v>
      </c>
      <c r="I303" s="139">
        <f t="shared" si="134"/>
        <v>0</v>
      </c>
      <c r="J303" s="139">
        <f t="shared" si="134"/>
        <v>0</v>
      </c>
      <c r="K303" s="139">
        <f t="shared" si="134"/>
        <v>0</v>
      </c>
      <c r="L303" s="139">
        <f t="shared" ref="L303:N303" si="135">+SUM(L304:L307)</f>
        <v>0</v>
      </c>
      <c r="M303" s="139">
        <f t="shared" si="135"/>
        <v>0</v>
      </c>
      <c r="N303" s="139">
        <f t="shared" si="135"/>
        <v>0</v>
      </c>
    </row>
    <row r="304" spans="1:14" outlineLevel="1" x14ac:dyDescent="0.25">
      <c r="A304" s="170" t="s">
        <v>760</v>
      </c>
      <c r="E304" s="83">
        <v>76310</v>
      </c>
    </row>
    <row r="305" spans="1:14" outlineLevel="1" x14ac:dyDescent="0.25">
      <c r="A305" s="170" t="s">
        <v>771</v>
      </c>
      <c r="E305" s="83">
        <v>20</v>
      </c>
    </row>
    <row r="306" spans="1:14" outlineLevel="1" x14ac:dyDescent="0.25">
      <c r="A306" s="170" t="s">
        <v>776</v>
      </c>
      <c r="E306" s="83">
        <v>30</v>
      </c>
    </row>
    <row r="307" spans="1:14" outlineLevel="1" x14ac:dyDescent="0.25">
      <c r="A307" s="170" t="s">
        <v>612</v>
      </c>
      <c r="E307" s="83">
        <v>40</v>
      </c>
    </row>
    <row r="308" spans="1:14" s="140" customFormat="1" ht="15.75" outlineLevel="1" x14ac:dyDescent="0.25">
      <c r="A308" s="171" t="s">
        <v>613</v>
      </c>
      <c r="B308" s="139">
        <f>+SUM(B309:B313)</f>
        <v>0</v>
      </c>
      <c r="C308" s="139">
        <f t="shared" ref="C308:K308" si="136">+SUM(C309:C313)</f>
        <v>0</v>
      </c>
      <c r="D308" s="139">
        <f t="shared" si="136"/>
        <v>0</v>
      </c>
      <c r="E308" s="139">
        <f t="shared" si="136"/>
        <v>350</v>
      </c>
      <c r="F308" s="139">
        <f t="shared" si="136"/>
        <v>0</v>
      </c>
      <c r="G308" s="139">
        <f t="shared" si="136"/>
        <v>0</v>
      </c>
      <c r="H308" s="139">
        <f t="shared" si="136"/>
        <v>0</v>
      </c>
      <c r="I308" s="139">
        <f t="shared" si="136"/>
        <v>0</v>
      </c>
      <c r="J308" s="139">
        <f t="shared" si="136"/>
        <v>0</v>
      </c>
      <c r="K308" s="139">
        <f t="shared" si="136"/>
        <v>0</v>
      </c>
      <c r="L308" s="139">
        <f t="shared" ref="L308:N308" si="137">+SUM(L309:L313)</f>
        <v>0</v>
      </c>
      <c r="M308" s="139">
        <f t="shared" si="137"/>
        <v>0</v>
      </c>
      <c r="N308" s="139">
        <f t="shared" si="137"/>
        <v>0</v>
      </c>
    </row>
    <row r="309" spans="1:14" outlineLevel="1" x14ac:dyDescent="0.25">
      <c r="A309" s="170" t="s">
        <v>614</v>
      </c>
      <c r="E309" s="83">
        <v>50</v>
      </c>
      <c r="H309" s="83">
        <v>0</v>
      </c>
    </row>
    <row r="310" spans="1:14" outlineLevel="1" x14ac:dyDescent="0.25">
      <c r="A310" s="170" t="s">
        <v>615</v>
      </c>
      <c r="E310" s="83">
        <v>60</v>
      </c>
      <c r="H310" s="83">
        <v>0</v>
      </c>
    </row>
    <row r="311" spans="1:14" outlineLevel="1" x14ac:dyDescent="0.25">
      <c r="A311" s="170" t="s">
        <v>616</v>
      </c>
      <c r="E311" s="83">
        <v>70</v>
      </c>
      <c r="H311" s="83">
        <v>0</v>
      </c>
    </row>
    <row r="312" spans="1:14" outlineLevel="1" x14ac:dyDescent="0.25">
      <c r="A312" s="170" t="s">
        <v>617</v>
      </c>
      <c r="E312" s="83">
        <v>80</v>
      </c>
      <c r="H312" s="83">
        <v>0</v>
      </c>
    </row>
    <row r="313" spans="1:14" outlineLevel="1" x14ac:dyDescent="0.25">
      <c r="A313" s="170" t="s">
        <v>618</v>
      </c>
      <c r="E313" s="83">
        <v>90</v>
      </c>
      <c r="H313" s="83">
        <v>0</v>
      </c>
    </row>
    <row r="314" spans="1:14" s="140" customFormat="1" ht="15.75" outlineLevel="1" x14ac:dyDescent="0.25">
      <c r="A314" s="171" t="s">
        <v>619</v>
      </c>
      <c r="B314" s="139">
        <f>+SUM(B315:B317)</f>
        <v>0</v>
      </c>
      <c r="C314" s="139">
        <f t="shared" ref="C314:K314" si="138">+SUM(C315:C317)</f>
        <v>0</v>
      </c>
      <c r="D314" s="139">
        <f t="shared" si="138"/>
        <v>0</v>
      </c>
      <c r="E314" s="139">
        <f t="shared" si="138"/>
        <v>330</v>
      </c>
      <c r="F314" s="139">
        <f t="shared" si="138"/>
        <v>0</v>
      </c>
      <c r="G314" s="139">
        <f t="shared" si="138"/>
        <v>0</v>
      </c>
      <c r="H314" s="139">
        <f t="shared" si="138"/>
        <v>0</v>
      </c>
      <c r="I314" s="139">
        <f t="shared" si="138"/>
        <v>0</v>
      </c>
      <c r="J314" s="139">
        <f t="shared" si="138"/>
        <v>0</v>
      </c>
      <c r="K314" s="139">
        <f t="shared" si="138"/>
        <v>0</v>
      </c>
      <c r="L314" s="139">
        <f t="shared" ref="L314:N314" si="139">+SUM(L315:L317)</f>
        <v>0</v>
      </c>
      <c r="M314" s="139">
        <f t="shared" si="139"/>
        <v>0</v>
      </c>
      <c r="N314" s="139">
        <f t="shared" si="139"/>
        <v>0</v>
      </c>
    </row>
    <row r="315" spans="1:14" outlineLevel="1" x14ac:dyDescent="0.25">
      <c r="A315" s="170" t="s">
        <v>620</v>
      </c>
      <c r="E315" s="83">
        <v>100</v>
      </c>
      <c r="H315" s="83">
        <v>0</v>
      </c>
    </row>
    <row r="316" spans="1:14" outlineLevel="1" x14ac:dyDescent="0.25">
      <c r="A316" s="170" t="s">
        <v>621</v>
      </c>
      <c r="E316" s="83">
        <v>110</v>
      </c>
      <c r="H316" s="83">
        <v>0</v>
      </c>
    </row>
    <row r="317" spans="1:14" outlineLevel="1" x14ac:dyDescent="0.25">
      <c r="A317" s="170" t="s">
        <v>622</v>
      </c>
      <c r="E317" s="83">
        <v>120</v>
      </c>
      <c r="H317" s="83">
        <v>0</v>
      </c>
    </row>
    <row r="318" spans="1:14" s="140" customFormat="1" ht="15.75" outlineLevel="1" x14ac:dyDescent="0.25">
      <c r="A318" s="171" t="s">
        <v>171</v>
      </c>
      <c r="B318" s="139">
        <f>+SUM(B319:B323)</f>
        <v>0</v>
      </c>
      <c r="C318" s="139">
        <f t="shared" ref="C318:K318" si="140">+SUM(C319:C323)</f>
        <v>0</v>
      </c>
      <c r="D318" s="139">
        <f t="shared" si="140"/>
        <v>0</v>
      </c>
      <c r="E318" s="139">
        <f t="shared" si="140"/>
        <v>750</v>
      </c>
      <c r="F318" s="139">
        <f t="shared" si="140"/>
        <v>0</v>
      </c>
      <c r="G318" s="139">
        <f t="shared" si="140"/>
        <v>0</v>
      </c>
      <c r="H318" s="139">
        <f t="shared" si="140"/>
        <v>0</v>
      </c>
      <c r="I318" s="139">
        <f t="shared" si="140"/>
        <v>0</v>
      </c>
      <c r="J318" s="139">
        <f t="shared" si="140"/>
        <v>0</v>
      </c>
      <c r="K318" s="139">
        <f t="shared" si="140"/>
        <v>0</v>
      </c>
      <c r="L318" s="139">
        <f t="shared" ref="L318:N318" si="141">+SUM(L319:L323)</f>
        <v>0</v>
      </c>
      <c r="M318" s="139">
        <f t="shared" si="141"/>
        <v>0</v>
      </c>
      <c r="N318" s="139">
        <f t="shared" si="141"/>
        <v>0</v>
      </c>
    </row>
    <row r="319" spans="1:14" outlineLevel="1" x14ac:dyDescent="0.25">
      <c r="A319" s="170" t="s">
        <v>623</v>
      </c>
      <c r="E319" s="83">
        <v>130</v>
      </c>
      <c r="H319" s="83">
        <v>0</v>
      </c>
    </row>
    <row r="320" spans="1:14" outlineLevel="1" x14ac:dyDescent="0.25">
      <c r="A320" s="170" t="s">
        <v>624</v>
      </c>
      <c r="E320" s="83">
        <v>140</v>
      </c>
      <c r="H320" s="83">
        <v>0</v>
      </c>
    </row>
    <row r="321" spans="1:14" outlineLevel="1" x14ac:dyDescent="0.25">
      <c r="A321" s="170" t="s">
        <v>625</v>
      </c>
      <c r="E321" s="83">
        <v>150</v>
      </c>
    </row>
    <row r="322" spans="1:14" outlineLevel="1" x14ac:dyDescent="0.25">
      <c r="A322" s="170" t="s">
        <v>626</v>
      </c>
      <c r="E322" s="83">
        <v>160</v>
      </c>
      <c r="H322" s="83">
        <v>0</v>
      </c>
    </row>
    <row r="323" spans="1:14" outlineLevel="1" x14ac:dyDescent="0.25">
      <c r="A323" s="220" t="s">
        <v>790</v>
      </c>
      <c r="E323" s="83">
        <v>170</v>
      </c>
      <c r="H323" s="83">
        <v>0</v>
      </c>
    </row>
    <row r="324" spans="1:14" s="140" customFormat="1" ht="15.75" outlineLevel="1" x14ac:dyDescent="0.25">
      <c r="A324" s="171" t="s">
        <v>627</v>
      </c>
      <c r="B324" s="139">
        <f>+SUM(B325)</f>
        <v>0</v>
      </c>
      <c r="C324" s="139">
        <f t="shared" ref="C324:K324" si="142">+SUM(C325)</f>
        <v>0</v>
      </c>
      <c r="D324" s="139">
        <f t="shared" si="142"/>
        <v>0</v>
      </c>
      <c r="E324" s="139">
        <f t="shared" si="142"/>
        <v>180</v>
      </c>
      <c r="F324" s="139">
        <f t="shared" si="142"/>
        <v>0</v>
      </c>
      <c r="G324" s="139">
        <f t="shared" si="142"/>
        <v>0</v>
      </c>
      <c r="H324" s="139">
        <f t="shared" si="142"/>
        <v>0</v>
      </c>
      <c r="I324" s="139">
        <f t="shared" si="142"/>
        <v>0</v>
      </c>
      <c r="J324" s="139">
        <f t="shared" si="142"/>
        <v>0</v>
      </c>
      <c r="K324" s="139">
        <f t="shared" si="142"/>
        <v>0</v>
      </c>
      <c r="L324" s="139">
        <f t="shared" ref="L324:N324" si="143">+SUM(L325)</f>
        <v>0</v>
      </c>
      <c r="M324" s="139">
        <f t="shared" si="143"/>
        <v>0</v>
      </c>
      <c r="N324" s="139">
        <f t="shared" si="143"/>
        <v>0</v>
      </c>
    </row>
    <row r="325" spans="1:14" outlineLevel="1" x14ac:dyDescent="0.25">
      <c r="A325" s="170" t="s">
        <v>627</v>
      </c>
      <c r="E325" s="83">
        <v>180</v>
      </c>
      <c r="H325" s="83">
        <v>0</v>
      </c>
    </row>
    <row r="326" spans="1:14" s="3" customFormat="1" ht="18.75" x14ac:dyDescent="0.25">
      <c r="A326" s="148" t="s">
        <v>173</v>
      </c>
      <c r="B326" s="137">
        <f>+B327+B331+B336+B339+B345+B350+B353+B363</f>
        <v>0</v>
      </c>
      <c r="C326" s="137">
        <f t="shared" ref="C326:K326" si="144">+C327+C331+C336+C339+C345+C350+C353+C363</f>
        <v>0</v>
      </c>
      <c r="D326" s="137">
        <f t="shared" si="144"/>
        <v>0</v>
      </c>
      <c r="E326" s="137">
        <f t="shared" ref="E326:G326" si="145">+E327+E331+E336+E339+E345+E350+E353+E363</f>
        <v>12600</v>
      </c>
      <c r="F326" s="137">
        <f t="shared" si="145"/>
        <v>0</v>
      </c>
      <c r="G326" s="137">
        <f t="shared" si="145"/>
        <v>0</v>
      </c>
      <c r="H326" s="137">
        <f t="shared" si="144"/>
        <v>0</v>
      </c>
      <c r="I326" s="137">
        <f t="shared" si="144"/>
        <v>0</v>
      </c>
      <c r="J326" s="137">
        <f t="shared" si="144"/>
        <v>0</v>
      </c>
      <c r="K326" s="137">
        <f t="shared" si="144"/>
        <v>0</v>
      </c>
      <c r="L326" s="137">
        <f t="shared" ref="L326:N326" si="146">+L327+L331+L336+L339+L345+L350+L353+L363</f>
        <v>0</v>
      </c>
      <c r="M326" s="137">
        <f t="shared" si="146"/>
        <v>0</v>
      </c>
      <c r="N326" s="137">
        <f t="shared" si="146"/>
        <v>0</v>
      </c>
    </row>
    <row r="327" spans="1:14" s="140" customFormat="1" ht="15.75" outlineLevel="1" x14ac:dyDescent="0.25">
      <c r="A327" s="171" t="s">
        <v>173</v>
      </c>
      <c r="B327" s="139">
        <f>+SUM(B328:B330)</f>
        <v>0</v>
      </c>
      <c r="C327" s="139">
        <f t="shared" ref="C327:K327" si="147">+SUM(C328:C330)</f>
        <v>0</v>
      </c>
      <c r="D327" s="139">
        <f t="shared" si="147"/>
        <v>0</v>
      </c>
      <c r="E327" s="139">
        <f t="shared" ref="E327:G327" si="148">+SUM(E328:E330)</f>
        <v>600</v>
      </c>
      <c r="F327" s="139">
        <f t="shared" si="148"/>
        <v>0</v>
      </c>
      <c r="G327" s="139">
        <f t="shared" si="148"/>
        <v>0</v>
      </c>
      <c r="H327" s="139">
        <f t="shared" si="147"/>
        <v>0</v>
      </c>
      <c r="I327" s="139">
        <f t="shared" si="147"/>
        <v>0</v>
      </c>
      <c r="J327" s="139">
        <f t="shared" si="147"/>
        <v>0</v>
      </c>
      <c r="K327" s="139">
        <f t="shared" si="147"/>
        <v>0</v>
      </c>
      <c r="L327" s="139">
        <f t="shared" ref="L327:N327" si="149">+SUM(L328:L330)</f>
        <v>0</v>
      </c>
      <c r="M327" s="139">
        <f t="shared" si="149"/>
        <v>0</v>
      </c>
      <c r="N327" s="139">
        <f t="shared" si="149"/>
        <v>0</v>
      </c>
    </row>
    <row r="328" spans="1:14" outlineLevel="1" x14ac:dyDescent="0.25">
      <c r="A328" s="172" t="s">
        <v>628</v>
      </c>
      <c r="E328" s="83">
        <v>190</v>
      </c>
      <c r="H328" s="83">
        <v>0</v>
      </c>
    </row>
    <row r="329" spans="1:14" outlineLevel="1" x14ac:dyDescent="0.25">
      <c r="A329" s="172" t="s">
        <v>629</v>
      </c>
      <c r="E329" s="83">
        <v>200</v>
      </c>
      <c r="H329" s="83">
        <v>0</v>
      </c>
    </row>
    <row r="330" spans="1:14" outlineLevel="1" x14ac:dyDescent="0.25">
      <c r="A330" s="172" t="s">
        <v>630</v>
      </c>
      <c r="E330" s="83">
        <v>210</v>
      </c>
      <c r="H330" s="83">
        <v>0</v>
      </c>
    </row>
    <row r="331" spans="1:14" s="140" customFormat="1" ht="15.75" outlineLevel="1" x14ac:dyDescent="0.25">
      <c r="A331" s="171" t="s">
        <v>174</v>
      </c>
      <c r="B331" s="139">
        <f>+SUM(B332:B335)</f>
        <v>0</v>
      </c>
      <c r="C331" s="139">
        <f t="shared" ref="C331:K331" si="150">+SUM(C332:C335)</f>
        <v>0</v>
      </c>
      <c r="D331" s="139">
        <f t="shared" si="150"/>
        <v>0</v>
      </c>
      <c r="E331" s="139">
        <f t="shared" si="150"/>
        <v>940</v>
      </c>
      <c r="F331" s="139">
        <f t="shared" si="150"/>
        <v>0</v>
      </c>
      <c r="G331" s="139">
        <f t="shared" si="150"/>
        <v>0</v>
      </c>
      <c r="H331" s="139">
        <f t="shared" si="150"/>
        <v>0</v>
      </c>
      <c r="I331" s="139">
        <f t="shared" si="150"/>
        <v>0</v>
      </c>
      <c r="J331" s="139">
        <f t="shared" si="150"/>
        <v>0</v>
      </c>
      <c r="K331" s="139">
        <f t="shared" si="150"/>
        <v>0</v>
      </c>
      <c r="L331" s="139">
        <f t="shared" ref="L331:N331" si="151">+SUM(L332:L335)</f>
        <v>0</v>
      </c>
      <c r="M331" s="139">
        <f t="shared" si="151"/>
        <v>0</v>
      </c>
      <c r="N331" s="139">
        <f t="shared" si="151"/>
        <v>0</v>
      </c>
    </row>
    <row r="332" spans="1:14" outlineLevel="1" x14ac:dyDescent="0.25">
      <c r="A332" s="172" t="s">
        <v>631</v>
      </c>
      <c r="E332" s="83">
        <v>220</v>
      </c>
      <c r="H332" s="83">
        <v>0</v>
      </c>
    </row>
    <row r="333" spans="1:14" outlineLevel="1" x14ac:dyDescent="0.25">
      <c r="A333" s="172" t="s">
        <v>632</v>
      </c>
      <c r="E333" s="83">
        <v>230</v>
      </c>
      <c r="H333" s="83">
        <v>0</v>
      </c>
    </row>
    <row r="334" spans="1:14" outlineLevel="1" x14ac:dyDescent="0.25">
      <c r="A334" s="172" t="s">
        <v>633</v>
      </c>
      <c r="E334" s="83">
        <v>240</v>
      </c>
      <c r="H334" s="83">
        <v>0</v>
      </c>
    </row>
    <row r="335" spans="1:14" outlineLevel="1" x14ac:dyDescent="0.25">
      <c r="A335" s="172" t="s">
        <v>634</v>
      </c>
      <c r="E335" s="83">
        <v>250</v>
      </c>
      <c r="H335" s="83">
        <v>0</v>
      </c>
    </row>
    <row r="336" spans="1:14" s="140" customFormat="1" ht="15.75" outlineLevel="1" x14ac:dyDescent="0.25">
      <c r="A336" s="171" t="s">
        <v>635</v>
      </c>
      <c r="B336" s="139">
        <f>+SUM(B337:B338)</f>
        <v>0</v>
      </c>
      <c r="C336" s="139">
        <f t="shared" ref="C336:K336" si="152">+SUM(C337:C338)</f>
        <v>0</v>
      </c>
      <c r="D336" s="139">
        <f t="shared" si="152"/>
        <v>0</v>
      </c>
      <c r="E336" s="139">
        <f t="shared" si="152"/>
        <v>530</v>
      </c>
      <c r="F336" s="139">
        <f t="shared" si="152"/>
        <v>0</v>
      </c>
      <c r="G336" s="139">
        <f t="shared" si="152"/>
        <v>0</v>
      </c>
      <c r="H336" s="139">
        <f t="shared" si="152"/>
        <v>0</v>
      </c>
      <c r="I336" s="139">
        <f t="shared" si="152"/>
        <v>0</v>
      </c>
      <c r="J336" s="139">
        <f t="shared" si="152"/>
        <v>0</v>
      </c>
      <c r="K336" s="139">
        <f t="shared" si="152"/>
        <v>0</v>
      </c>
      <c r="L336" s="139">
        <f t="shared" ref="L336:N336" si="153">+SUM(L337:L338)</f>
        <v>0</v>
      </c>
      <c r="M336" s="139">
        <f t="shared" si="153"/>
        <v>0</v>
      </c>
      <c r="N336" s="139">
        <f t="shared" si="153"/>
        <v>0</v>
      </c>
    </row>
    <row r="337" spans="1:14" outlineLevel="1" x14ac:dyDescent="0.25">
      <c r="A337" s="172" t="s">
        <v>635</v>
      </c>
      <c r="E337" s="83">
        <v>260</v>
      </c>
    </row>
    <row r="338" spans="1:14" outlineLevel="1" x14ac:dyDescent="0.25">
      <c r="A338" s="172" t="s">
        <v>636</v>
      </c>
      <c r="E338" s="83">
        <v>270</v>
      </c>
    </row>
    <row r="339" spans="1:14" s="140" customFormat="1" ht="15.75" outlineLevel="1" x14ac:dyDescent="0.25">
      <c r="A339" s="171" t="s">
        <v>175</v>
      </c>
      <c r="B339" s="139">
        <f>+SUM(B340:B344)</f>
        <v>0</v>
      </c>
      <c r="C339" s="139">
        <f t="shared" ref="C339:K339" si="154">+SUM(C340:C344)</f>
        <v>0</v>
      </c>
      <c r="D339" s="139">
        <f t="shared" si="154"/>
        <v>0</v>
      </c>
      <c r="E339" s="139">
        <f t="shared" si="154"/>
        <v>1500</v>
      </c>
      <c r="F339" s="139">
        <f t="shared" si="154"/>
        <v>0</v>
      </c>
      <c r="G339" s="139">
        <f t="shared" si="154"/>
        <v>0</v>
      </c>
      <c r="H339" s="139">
        <f t="shared" si="154"/>
        <v>0</v>
      </c>
      <c r="I339" s="139">
        <f t="shared" si="154"/>
        <v>0</v>
      </c>
      <c r="J339" s="139">
        <f t="shared" si="154"/>
        <v>0</v>
      </c>
      <c r="K339" s="139">
        <f t="shared" si="154"/>
        <v>0</v>
      </c>
      <c r="L339" s="139">
        <f t="shared" ref="L339:N339" si="155">+SUM(L340:L344)</f>
        <v>0</v>
      </c>
      <c r="M339" s="139">
        <f t="shared" si="155"/>
        <v>0</v>
      </c>
      <c r="N339" s="139">
        <f t="shared" si="155"/>
        <v>0</v>
      </c>
    </row>
    <row r="340" spans="1:14" outlineLevel="1" x14ac:dyDescent="0.25">
      <c r="A340" s="172" t="s">
        <v>637</v>
      </c>
      <c r="E340" s="83">
        <v>280</v>
      </c>
    </row>
    <row r="341" spans="1:14" outlineLevel="1" x14ac:dyDescent="0.25">
      <c r="A341" s="172" t="s">
        <v>638</v>
      </c>
      <c r="E341" s="83">
        <v>290</v>
      </c>
    </row>
    <row r="342" spans="1:14" outlineLevel="1" x14ac:dyDescent="0.25">
      <c r="A342" s="172" t="s">
        <v>639</v>
      </c>
      <c r="E342" s="83">
        <v>300</v>
      </c>
    </row>
    <row r="343" spans="1:14" outlineLevel="1" x14ac:dyDescent="0.25">
      <c r="A343" s="172" t="s">
        <v>640</v>
      </c>
      <c r="E343" s="83">
        <v>310</v>
      </c>
    </row>
    <row r="344" spans="1:14" outlineLevel="1" x14ac:dyDescent="0.25">
      <c r="A344" s="172" t="s">
        <v>641</v>
      </c>
      <c r="E344" s="83">
        <v>320</v>
      </c>
      <c r="H344" s="83">
        <v>0</v>
      </c>
    </row>
    <row r="345" spans="1:14" s="140" customFormat="1" ht="15.75" outlineLevel="1" x14ac:dyDescent="0.25">
      <c r="A345" s="171" t="s">
        <v>176</v>
      </c>
      <c r="B345" s="139">
        <f>+SUM(B346:B349)</f>
        <v>0</v>
      </c>
      <c r="C345" s="139">
        <f t="shared" ref="C345:K345" si="156">+SUM(C346:C349)</f>
        <v>0</v>
      </c>
      <c r="D345" s="139">
        <f t="shared" si="156"/>
        <v>0</v>
      </c>
      <c r="E345" s="139">
        <f t="shared" si="156"/>
        <v>1380</v>
      </c>
      <c r="F345" s="139">
        <f t="shared" si="156"/>
        <v>0</v>
      </c>
      <c r="G345" s="139">
        <f t="shared" si="156"/>
        <v>0</v>
      </c>
      <c r="H345" s="139">
        <f t="shared" si="156"/>
        <v>0</v>
      </c>
      <c r="I345" s="139">
        <f t="shared" si="156"/>
        <v>0</v>
      </c>
      <c r="J345" s="139">
        <f t="shared" si="156"/>
        <v>0</v>
      </c>
      <c r="K345" s="139">
        <f t="shared" si="156"/>
        <v>0</v>
      </c>
      <c r="L345" s="139">
        <f t="shared" ref="L345:N345" si="157">+SUM(L346:L349)</f>
        <v>0</v>
      </c>
      <c r="M345" s="139">
        <f t="shared" si="157"/>
        <v>0</v>
      </c>
      <c r="N345" s="139">
        <f t="shared" si="157"/>
        <v>0</v>
      </c>
    </row>
    <row r="346" spans="1:14" outlineLevel="1" x14ac:dyDescent="0.25">
      <c r="A346" s="172" t="s">
        <v>642</v>
      </c>
      <c r="E346" s="83">
        <v>330</v>
      </c>
      <c r="H346" s="83">
        <v>0</v>
      </c>
    </row>
    <row r="347" spans="1:14" outlineLevel="1" x14ac:dyDescent="0.25">
      <c r="A347" s="172" t="s">
        <v>643</v>
      </c>
      <c r="E347" s="83">
        <v>340</v>
      </c>
      <c r="H347" s="83">
        <v>0</v>
      </c>
    </row>
    <row r="348" spans="1:14" outlineLevel="1" x14ac:dyDescent="0.25">
      <c r="A348" s="172" t="s">
        <v>644</v>
      </c>
      <c r="E348" s="83">
        <v>350</v>
      </c>
      <c r="H348" s="83">
        <v>0</v>
      </c>
    </row>
    <row r="349" spans="1:14" outlineLevel="1" x14ac:dyDescent="0.25">
      <c r="A349" s="172" t="s">
        <v>645</v>
      </c>
      <c r="E349" s="83">
        <v>360</v>
      </c>
      <c r="H349" s="83">
        <v>0</v>
      </c>
    </row>
    <row r="350" spans="1:14" s="140" customFormat="1" ht="15.75" outlineLevel="1" x14ac:dyDescent="0.25">
      <c r="A350" s="171" t="s">
        <v>177</v>
      </c>
      <c r="B350" s="139">
        <f>+SUM(B351:B352)</f>
        <v>0</v>
      </c>
      <c r="C350" s="139">
        <f t="shared" ref="C350:K350" si="158">+SUM(C351:C352)</f>
        <v>0</v>
      </c>
      <c r="D350" s="139">
        <f t="shared" si="158"/>
        <v>0</v>
      </c>
      <c r="E350" s="139">
        <f t="shared" si="158"/>
        <v>750</v>
      </c>
      <c r="F350" s="139">
        <f t="shared" si="158"/>
        <v>0</v>
      </c>
      <c r="G350" s="139">
        <f t="shared" si="158"/>
        <v>0</v>
      </c>
      <c r="H350" s="139">
        <f t="shared" si="158"/>
        <v>0</v>
      </c>
      <c r="I350" s="139">
        <f t="shared" si="158"/>
        <v>0</v>
      </c>
      <c r="J350" s="139">
        <f t="shared" si="158"/>
        <v>0</v>
      </c>
      <c r="K350" s="139">
        <f t="shared" si="158"/>
        <v>0</v>
      </c>
      <c r="L350" s="139">
        <f t="shared" ref="L350:N350" si="159">+SUM(L351:L352)</f>
        <v>0</v>
      </c>
      <c r="M350" s="139">
        <f t="shared" si="159"/>
        <v>0</v>
      </c>
      <c r="N350" s="139">
        <f t="shared" si="159"/>
        <v>0</v>
      </c>
    </row>
    <row r="351" spans="1:14" outlineLevel="1" x14ac:dyDescent="0.25">
      <c r="A351" s="172" t="s">
        <v>646</v>
      </c>
      <c r="E351" s="83">
        <v>370</v>
      </c>
      <c r="H351" s="83">
        <v>0</v>
      </c>
    </row>
    <row r="352" spans="1:14" outlineLevel="1" x14ac:dyDescent="0.25">
      <c r="A352" s="172" t="s">
        <v>647</v>
      </c>
      <c r="E352" s="83">
        <v>380</v>
      </c>
      <c r="H352" s="83">
        <v>0</v>
      </c>
    </row>
    <row r="353" spans="1:14" s="140" customFormat="1" ht="15.75" outlineLevel="1" x14ac:dyDescent="0.25">
      <c r="A353" s="171" t="s">
        <v>178</v>
      </c>
      <c r="B353" s="139">
        <f>+SUM(B354:B362)</f>
        <v>0</v>
      </c>
      <c r="C353" s="139">
        <f t="shared" ref="C353:K353" si="160">+SUM(C354:C362)</f>
        <v>0</v>
      </c>
      <c r="D353" s="139">
        <f t="shared" si="160"/>
        <v>0</v>
      </c>
      <c r="E353" s="139">
        <f t="shared" si="160"/>
        <v>3870</v>
      </c>
      <c r="F353" s="139">
        <f t="shared" si="160"/>
        <v>0</v>
      </c>
      <c r="G353" s="139">
        <f t="shared" si="160"/>
        <v>0</v>
      </c>
      <c r="H353" s="139">
        <f t="shared" si="160"/>
        <v>0</v>
      </c>
      <c r="I353" s="139">
        <f t="shared" si="160"/>
        <v>0</v>
      </c>
      <c r="J353" s="139">
        <f t="shared" si="160"/>
        <v>0</v>
      </c>
      <c r="K353" s="139">
        <f t="shared" si="160"/>
        <v>0</v>
      </c>
      <c r="L353" s="139">
        <f t="shared" ref="L353:N353" si="161">+SUM(L354:L362)</f>
        <v>0</v>
      </c>
      <c r="M353" s="139">
        <f t="shared" si="161"/>
        <v>0</v>
      </c>
      <c r="N353" s="139">
        <f t="shared" si="161"/>
        <v>0</v>
      </c>
    </row>
    <row r="354" spans="1:14" outlineLevel="1" x14ac:dyDescent="0.25">
      <c r="A354" s="172" t="s">
        <v>648</v>
      </c>
      <c r="E354" s="83">
        <v>390</v>
      </c>
    </row>
    <row r="355" spans="1:14" outlineLevel="1" x14ac:dyDescent="0.25">
      <c r="A355" s="172" t="s">
        <v>649</v>
      </c>
      <c r="E355" s="83">
        <v>400</v>
      </c>
    </row>
    <row r="356" spans="1:14" outlineLevel="1" x14ac:dyDescent="0.25">
      <c r="A356" s="172" t="s">
        <v>650</v>
      </c>
      <c r="E356" s="83">
        <v>410</v>
      </c>
    </row>
    <row r="357" spans="1:14" outlineLevel="1" x14ac:dyDescent="0.25">
      <c r="A357" s="172" t="s">
        <v>651</v>
      </c>
      <c r="E357" s="83">
        <v>420</v>
      </c>
    </row>
    <row r="358" spans="1:14" outlineLevel="1" x14ac:dyDescent="0.25">
      <c r="A358" s="172" t="s">
        <v>652</v>
      </c>
      <c r="E358" s="83">
        <v>430</v>
      </c>
    </row>
    <row r="359" spans="1:14" outlineLevel="1" x14ac:dyDescent="0.25">
      <c r="A359" s="172" t="s">
        <v>653</v>
      </c>
      <c r="E359" s="83">
        <v>440</v>
      </c>
    </row>
    <row r="360" spans="1:14" outlineLevel="1" x14ac:dyDescent="0.25">
      <c r="A360" s="172" t="s">
        <v>654</v>
      </c>
      <c r="E360" s="83">
        <v>450</v>
      </c>
    </row>
    <row r="361" spans="1:14" outlineLevel="1" x14ac:dyDescent="0.25">
      <c r="A361" s="172" t="s">
        <v>655</v>
      </c>
      <c r="E361" s="83">
        <v>460</v>
      </c>
    </row>
    <row r="362" spans="1:14" outlineLevel="1" x14ac:dyDescent="0.25">
      <c r="A362" s="172" t="s">
        <v>656</v>
      </c>
      <c r="E362" s="83">
        <v>470</v>
      </c>
    </row>
    <row r="363" spans="1:14" s="140" customFormat="1" ht="15.75" outlineLevel="1" x14ac:dyDescent="0.25">
      <c r="A363" s="171" t="s">
        <v>179</v>
      </c>
      <c r="B363" s="139">
        <f>+SUM(B364:B369)</f>
        <v>0</v>
      </c>
      <c r="C363" s="139">
        <f t="shared" ref="C363:K363" si="162">+SUM(C364:C369)</f>
        <v>0</v>
      </c>
      <c r="D363" s="139">
        <f t="shared" si="162"/>
        <v>0</v>
      </c>
      <c r="E363" s="139">
        <f t="shared" si="162"/>
        <v>3030</v>
      </c>
      <c r="F363" s="139">
        <f t="shared" si="162"/>
        <v>0</v>
      </c>
      <c r="G363" s="139">
        <f t="shared" si="162"/>
        <v>0</v>
      </c>
      <c r="H363" s="139">
        <f t="shared" si="162"/>
        <v>0</v>
      </c>
      <c r="I363" s="139">
        <f t="shared" si="162"/>
        <v>0</v>
      </c>
      <c r="J363" s="139">
        <f t="shared" si="162"/>
        <v>0</v>
      </c>
      <c r="K363" s="139">
        <f t="shared" si="162"/>
        <v>0</v>
      </c>
      <c r="L363" s="139">
        <f t="shared" ref="L363:N363" si="163">+SUM(L364:L369)</f>
        <v>0</v>
      </c>
      <c r="M363" s="139">
        <f t="shared" si="163"/>
        <v>0</v>
      </c>
      <c r="N363" s="139">
        <f t="shared" si="163"/>
        <v>0</v>
      </c>
    </row>
    <row r="364" spans="1:14" outlineLevel="1" x14ac:dyDescent="0.25">
      <c r="A364" s="172" t="s">
        <v>657</v>
      </c>
      <c r="E364" s="83">
        <v>480</v>
      </c>
    </row>
    <row r="365" spans="1:14" outlineLevel="1" x14ac:dyDescent="0.25">
      <c r="A365" s="172" t="s">
        <v>658</v>
      </c>
      <c r="E365" s="83">
        <v>490</v>
      </c>
    </row>
    <row r="366" spans="1:14" outlineLevel="1" x14ac:dyDescent="0.25">
      <c r="A366" s="172" t="s">
        <v>659</v>
      </c>
      <c r="E366" s="83">
        <v>500</v>
      </c>
    </row>
    <row r="367" spans="1:14" outlineLevel="1" x14ac:dyDescent="0.25">
      <c r="A367" s="172" t="s">
        <v>660</v>
      </c>
      <c r="E367" s="83">
        <v>510</v>
      </c>
    </row>
    <row r="368" spans="1:14" outlineLevel="1" x14ac:dyDescent="0.25">
      <c r="A368" s="172" t="s">
        <v>661</v>
      </c>
      <c r="E368" s="83">
        <v>520</v>
      </c>
    </row>
    <row r="369" spans="1:14" outlineLevel="1" x14ac:dyDescent="0.25">
      <c r="A369" s="172" t="s">
        <v>763</v>
      </c>
      <c r="E369" s="83">
        <v>530</v>
      </c>
    </row>
    <row r="370" spans="1:14" s="3" customFormat="1" ht="18.75" x14ac:dyDescent="0.25">
      <c r="A370" s="148" t="s">
        <v>662</v>
      </c>
      <c r="B370" s="137">
        <f>+B371+B376+B382+B386+B388+B398</f>
        <v>0</v>
      </c>
      <c r="C370" s="137">
        <f t="shared" ref="C370:K370" si="164">+C371+C376+C382+C386+C388+C398</f>
        <v>0</v>
      </c>
      <c r="D370" s="137">
        <f t="shared" si="164"/>
        <v>0</v>
      </c>
      <c r="E370" s="137">
        <f t="shared" ref="E370:G370" si="165">+E371+E376+E382+E386+E388+E398</f>
        <v>14950</v>
      </c>
      <c r="F370" s="137">
        <f t="shared" si="165"/>
        <v>0</v>
      </c>
      <c r="G370" s="137">
        <f t="shared" si="165"/>
        <v>0</v>
      </c>
      <c r="H370" s="137">
        <f t="shared" si="164"/>
        <v>0</v>
      </c>
      <c r="I370" s="137">
        <f t="shared" si="164"/>
        <v>0</v>
      </c>
      <c r="J370" s="137">
        <f t="shared" si="164"/>
        <v>0</v>
      </c>
      <c r="K370" s="137">
        <f t="shared" si="164"/>
        <v>0</v>
      </c>
      <c r="L370" s="137">
        <f t="shared" ref="L370:N370" si="166">+L371+L376+L382+L386+L388+L398</f>
        <v>0</v>
      </c>
      <c r="M370" s="137">
        <f t="shared" si="166"/>
        <v>0</v>
      </c>
      <c r="N370" s="137">
        <f t="shared" si="166"/>
        <v>0</v>
      </c>
    </row>
    <row r="371" spans="1:14" s="140" customFormat="1" ht="15.75" outlineLevel="1" x14ac:dyDescent="0.25">
      <c r="A371" s="171" t="s">
        <v>663</v>
      </c>
      <c r="B371" s="139">
        <f>+SUM(B372:B375)</f>
        <v>0</v>
      </c>
      <c r="C371" s="139">
        <f t="shared" ref="C371:K371" si="167">+SUM(C372:C375)</f>
        <v>0</v>
      </c>
      <c r="D371" s="139">
        <f t="shared" si="167"/>
        <v>0</v>
      </c>
      <c r="E371" s="139">
        <f t="shared" ref="E371:G371" si="168">+SUM(E372:E375)</f>
        <v>2220</v>
      </c>
      <c r="F371" s="139">
        <f t="shared" si="168"/>
        <v>0</v>
      </c>
      <c r="G371" s="139">
        <f t="shared" si="168"/>
        <v>0</v>
      </c>
      <c r="H371" s="139">
        <f t="shared" si="167"/>
        <v>0</v>
      </c>
      <c r="I371" s="139">
        <f t="shared" si="167"/>
        <v>0</v>
      </c>
      <c r="J371" s="139">
        <f t="shared" si="167"/>
        <v>0</v>
      </c>
      <c r="K371" s="139">
        <f t="shared" si="167"/>
        <v>0</v>
      </c>
      <c r="L371" s="139">
        <f t="shared" ref="L371:N371" si="169">+SUM(L372:L375)</f>
        <v>0</v>
      </c>
      <c r="M371" s="139">
        <f t="shared" si="169"/>
        <v>0</v>
      </c>
      <c r="N371" s="139">
        <f t="shared" si="169"/>
        <v>0</v>
      </c>
    </row>
    <row r="372" spans="1:14" outlineLevel="1" x14ac:dyDescent="0.25">
      <c r="A372" s="172" t="s">
        <v>664</v>
      </c>
      <c r="E372" s="83">
        <v>540</v>
      </c>
      <c r="H372" s="83">
        <v>0</v>
      </c>
    </row>
    <row r="373" spans="1:14" outlineLevel="1" x14ac:dyDescent="0.25">
      <c r="A373" s="172" t="s">
        <v>665</v>
      </c>
      <c r="E373" s="83">
        <v>550</v>
      </c>
      <c r="H373" s="83">
        <v>0</v>
      </c>
    </row>
    <row r="374" spans="1:14" outlineLevel="1" x14ac:dyDescent="0.25">
      <c r="A374" s="172" t="s">
        <v>666</v>
      </c>
      <c r="E374" s="83">
        <v>560</v>
      </c>
      <c r="H374" s="83">
        <v>0</v>
      </c>
    </row>
    <row r="375" spans="1:14" outlineLevel="1" x14ac:dyDescent="0.25">
      <c r="A375" s="172" t="s">
        <v>667</v>
      </c>
      <c r="E375" s="83">
        <v>570</v>
      </c>
      <c r="H375" s="83">
        <v>0</v>
      </c>
    </row>
    <row r="376" spans="1:14" s="140" customFormat="1" ht="15.75" outlineLevel="1" x14ac:dyDescent="0.25">
      <c r="A376" s="171" t="s">
        <v>668</v>
      </c>
      <c r="B376" s="139">
        <f>+SUM(B377:B381)</f>
        <v>0</v>
      </c>
      <c r="C376" s="139">
        <f t="shared" ref="C376:K376" si="170">+SUM(C377:C381)</f>
        <v>0</v>
      </c>
      <c r="D376" s="139">
        <f t="shared" si="170"/>
        <v>0</v>
      </c>
      <c r="E376" s="139">
        <f t="shared" si="170"/>
        <v>3000</v>
      </c>
      <c r="F376" s="139">
        <f t="shared" si="170"/>
        <v>0</v>
      </c>
      <c r="G376" s="139">
        <f t="shared" si="170"/>
        <v>0</v>
      </c>
      <c r="H376" s="139">
        <f t="shared" si="170"/>
        <v>0</v>
      </c>
      <c r="I376" s="139">
        <f t="shared" si="170"/>
        <v>0</v>
      </c>
      <c r="J376" s="139">
        <f t="shared" si="170"/>
        <v>0</v>
      </c>
      <c r="K376" s="139">
        <f t="shared" si="170"/>
        <v>0</v>
      </c>
      <c r="L376" s="139">
        <f t="shared" ref="L376:N376" si="171">+SUM(L377:L381)</f>
        <v>0</v>
      </c>
      <c r="M376" s="139">
        <f t="shared" si="171"/>
        <v>0</v>
      </c>
      <c r="N376" s="139">
        <f t="shared" si="171"/>
        <v>0</v>
      </c>
    </row>
    <row r="377" spans="1:14" outlineLevel="1" x14ac:dyDescent="0.25">
      <c r="A377" s="172" t="s">
        <v>669</v>
      </c>
      <c r="E377" s="83">
        <v>580</v>
      </c>
      <c r="H377" s="83">
        <v>0</v>
      </c>
    </row>
    <row r="378" spans="1:14" outlineLevel="1" x14ac:dyDescent="0.25">
      <c r="A378" s="172" t="s">
        <v>670</v>
      </c>
      <c r="E378" s="83">
        <v>590</v>
      </c>
      <c r="H378" s="83">
        <v>0</v>
      </c>
    </row>
    <row r="379" spans="1:14" outlineLevel="1" x14ac:dyDescent="0.25">
      <c r="A379" s="172" t="s">
        <v>671</v>
      </c>
      <c r="E379" s="83">
        <v>600</v>
      </c>
      <c r="H379" s="83">
        <v>0</v>
      </c>
    </row>
    <row r="380" spans="1:14" outlineLevel="1" x14ac:dyDescent="0.25">
      <c r="A380" s="172" t="s">
        <v>672</v>
      </c>
      <c r="E380" s="83">
        <v>610</v>
      </c>
      <c r="H380" s="83">
        <v>0</v>
      </c>
    </row>
    <row r="381" spans="1:14" outlineLevel="1" x14ac:dyDescent="0.25">
      <c r="A381" s="172" t="s">
        <v>673</v>
      </c>
      <c r="E381" s="83">
        <v>620</v>
      </c>
      <c r="H381" s="83">
        <v>0</v>
      </c>
    </row>
    <row r="382" spans="1:14" s="140" customFormat="1" ht="15.75" outlineLevel="1" x14ac:dyDescent="0.25">
      <c r="A382" s="171" t="s">
        <v>674</v>
      </c>
      <c r="B382" s="139">
        <f>+SUM(B383:B385)</f>
        <v>0</v>
      </c>
      <c r="C382" s="139">
        <f t="shared" ref="C382:K382" si="172">+SUM(C383:C385)</f>
        <v>0</v>
      </c>
      <c r="D382" s="139">
        <f t="shared" si="172"/>
        <v>0</v>
      </c>
      <c r="E382" s="139">
        <f t="shared" si="172"/>
        <v>1920</v>
      </c>
      <c r="F382" s="139">
        <f t="shared" si="172"/>
        <v>0</v>
      </c>
      <c r="G382" s="139">
        <f t="shared" si="172"/>
        <v>0</v>
      </c>
      <c r="H382" s="139">
        <f t="shared" si="172"/>
        <v>0</v>
      </c>
      <c r="I382" s="139">
        <f t="shared" si="172"/>
        <v>0</v>
      </c>
      <c r="J382" s="139">
        <f t="shared" si="172"/>
        <v>0</v>
      </c>
      <c r="K382" s="139">
        <f t="shared" si="172"/>
        <v>0</v>
      </c>
      <c r="L382" s="139">
        <f t="shared" ref="L382:N382" si="173">+SUM(L383:L385)</f>
        <v>0</v>
      </c>
      <c r="M382" s="139">
        <f t="shared" si="173"/>
        <v>0</v>
      </c>
      <c r="N382" s="139">
        <f t="shared" si="173"/>
        <v>0</v>
      </c>
    </row>
    <row r="383" spans="1:14" outlineLevel="1" x14ac:dyDescent="0.25">
      <c r="A383" s="172" t="s">
        <v>675</v>
      </c>
      <c r="E383" s="83">
        <v>630</v>
      </c>
      <c r="H383" s="83">
        <v>0</v>
      </c>
    </row>
    <row r="384" spans="1:14" outlineLevel="1" x14ac:dyDescent="0.25">
      <c r="A384" s="172" t="s">
        <v>676</v>
      </c>
      <c r="E384" s="83">
        <v>640</v>
      </c>
      <c r="H384" s="83">
        <v>0</v>
      </c>
    </row>
    <row r="385" spans="1:14" outlineLevel="1" x14ac:dyDescent="0.25">
      <c r="A385" s="172" t="s">
        <v>677</v>
      </c>
      <c r="E385" s="83">
        <v>650</v>
      </c>
      <c r="H385" s="83">
        <v>0</v>
      </c>
    </row>
    <row r="386" spans="1:14" s="140" customFormat="1" ht="15.75" outlineLevel="1" x14ac:dyDescent="0.25">
      <c r="A386" s="171" t="s">
        <v>678</v>
      </c>
      <c r="B386" s="139">
        <f>+SUM(B387)</f>
        <v>0</v>
      </c>
      <c r="C386" s="139">
        <f t="shared" ref="C386:K386" si="174">+SUM(C387)</f>
        <v>0</v>
      </c>
      <c r="D386" s="139">
        <f t="shared" si="174"/>
        <v>0</v>
      </c>
      <c r="E386" s="139">
        <f t="shared" si="174"/>
        <v>660</v>
      </c>
      <c r="F386" s="139">
        <f t="shared" si="174"/>
        <v>0</v>
      </c>
      <c r="G386" s="139">
        <f t="shared" si="174"/>
        <v>0</v>
      </c>
      <c r="H386" s="139">
        <f t="shared" si="174"/>
        <v>0</v>
      </c>
      <c r="I386" s="139">
        <f t="shared" si="174"/>
        <v>0</v>
      </c>
      <c r="J386" s="139">
        <f t="shared" si="174"/>
        <v>0</v>
      </c>
      <c r="K386" s="139">
        <f t="shared" si="174"/>
        <v>0</v>
      </c>
      <c r="L386" s="139">
        <f t="shared" ref="L386:N386" si="175">+SUM(L387)</f>
        <v>0</v>
      </c>
      <c r="M386" s="139">
        <f t="shared" si="175"/>
        <v>0</v>
      </c>
      <c r="N386" s="139">
        <f t="shared" si="175"/>
        <v>0</v>
      </c>
    </row>
    <row r="387" spans="1:14" outlineLevel="1" x14ac:dyDescent="0.25">
      <c r="A387" s="172" t="s">
        <v>678</v>
      </c>
      <c r="E387" s="83">
        <v>660</v>
      </c>
      <c r="H387" s="83">
        <v>0</v>
      </c>
    </row>
    <row r="388" spans="1:14" s="140" customFormat="1" ht="15.75" outlineLevel="1" x14ac:dyDescent="0.25">
      <c r="A388" s="171" t="s">
        <v>181</v>
      </c>
      <c r="B388" s="139">
        <f>+SUM(B389:B397)</f>
        <v>0</v>
      </c>
      <c r="C388" s="139">
        <f t="shared" ref="C388:K388" si="176">+SUM(C389:C397)</f>
        <v>0</v>
      </c>
      <c r="D388" s="139">
        <f t="shared" si="176"/>
        <v>0</v>
      </c>
      <c r="E388" s="139">
        <f t="shared" si="176"/>
        <v>6390</v>
      </c>
      <c r="F388" s="139">
        <f t="shared" si="176"/>
        <v>0</v>
      </c>
      <c r="G388" s="139">
        <f t="shared" si="176"/>
        <v>0</v>
      </c>
      <c r="H388" s="139">
        <f t="shared" si="176"/>
        <v>0</v>
      </c>
      <c r="I388" s="139">
        <f t="shared" si="176"/>
        <v>0</v>
      </c>
      <c r="J388" s="139">
        <f t="shared" si="176"/>
        <v>0</v>
      </c>
      <c r="K388" s="139">
        <f t="shared" si="176"/>
        <v>0</v>
      </c>
      <c r="L388" s="139">
        <f t="shared" ref="L388:N388" si="177">+SUM(L389:L397)</f>
        <v>0</v>
      </c>
      <c r="M388" s="139">
        <f t="shared" si="177"/>
        <v>0</v>
      </c>
      <c r="N388" s="139">
        <f t="shared" si="177"/>
        <v>0</v>
      </c>
    </row>
    <row r="389" spans="1:14" outlineLevel="1" x14ac:dyDescent="0.25">
      <c r="A389" s="172" t="s">
        <v>679</v>
      </c>
      <c r="E389" s="83">
        <v>670</v>
      </c>
      <c r="H389" s="83">
        <v>0</v>
      </c>
    </row>
    <row r="390" spans="1:14" outlineLevel="1" x14ac:dyDescent="0.25">
      <c r="A390" s="172" t="s">
        <v>680</v>
      </c>
      <c r="E390" s="83">
        <v>680</v>
      </c>
      <c r="H390" s="83">
        <v>0</v>
      </c>
    </row>
    <row r="391" spans="1:14" outlineLevel="1" x14ac:dyDescent="0.25">
      <c r="A391" s="172" t="s">
        <v>681</v>
      </c>
      <c r="E391" s="83">
        <v>690</v>
      </c>
      <c r="H391" s="83">
        <v>0</v>
      </c>
    </row>
    <row r="392" spans="1:14" outlineLevel="1" x14ac:dyDescent="0.25">
      <c r="A392" s="172" t="s">
        <v>682</v>
      </c>
      <c r="E392" s="83">
        <v>700</v>
      </c>
      <c r="H392" s="83">
        <v>0</v>
      </c>
    </row>
    <row r="393" spans="1:14" outlineLevel="1" x14ac:dyDescent="0.25">
      <c r="A393" s="172" t="s">
        <v>683</v>
      </c>
      <c r="E393" s="83">
        <v>710</v>
      </c>
      <c r="H393" s="83">
        <v>0</v>
      </c>
    </row>
    <row r="394" spans="1:14" outlineLevel="1" x14ac:dyDescent="0.25">
      <c r="A394" s="172" t="s">
        <v>684</v>
      </c>
      <c r="E394" s="83">
        <v>720</v>
      </c>
      <c r="H394" s="83">
        <v>0</v>
      </c>
    </row>
    <row r="395" spans="1:14" outlineLevel="1" x14ac:dyDescent="0.25">
      <c r="A395" s="172" t="s">
        <v>685</v>
      </c>
      <c r="E395" s="83">
        <v>730</v>
      </c>
      <c r="H395" s="83">
        <v>0</v>
      </c>
    </row>
    <row r="396" spans="1:14" outlineLevel="1" x14ac:dyDescent="0.25">
      <c r="A396" s="172" t="s">
        <v>686</v>
      </c>
      <c r="E396" s="83">
        <v>740</v>
      </c>
      <c r="H396" s="83">
        <v>0</v>
      </c>
    </row>
    <row r="397" spans="1:14" outlineLevel="1" x14ac:dyDescent="0.25">
      <c r="A397" s="172" t="s">
        <v>687</v>
      </c>
      <c r="E397" s="83">
        <v>750</v>
      </c>
      <c r="H397" s="83">
        <v>0</v>
      </c>
    </row>
    <row r="398" spans="1:14" s="140" customFormat="1" ht="15.75" outlineLevel="1" x14ac:dyDescent="0.25">
      <c r="A398" s="171" t="s">
        <v>182</v>
      </c>
      <c r="B398" s="139">
        <f>+SUM(B399)</f>
        <v>0</v>
      </c>
      <c r="C398" s="139">
        <f t="shared" ref="C398:K398" si="178">+SUM(C399)</f>
        <v>0</v>
      </c>
      <c r="D398" s="139">
        <f t="shared" si="178"/>
        <v>0</v>
      </c>
      <c r="E398" s="139">
        <f t="shared" si="178"/>
        <v>760</v>
      </c>
      <c r="F398" s="139">
        <f t="shared" si="178"/>
        <v>0</v>
      </c>
      <c r="G398" s="139">
        <f t="shared" si="178"/>
        <v>0</v>
      </c>
      <c r="H398" s="139">
        <f t="shared" si="178"/>
        <v>0</v>
      </c>
      <c r="I398" s="139">
        <f t="shared" si="178"/>
        <v>0</v>
      </c>
      <c r="J398" s="139">
        <f t="shared" si="178"/>
        <v>0</v>
      </c>
      <c r="K398" s="139">
        <f t="shared" si="178"/>
        <v>0</v>
      </c>
      <c r="L398" s="139">
        <f t="shared" ref="L398:N398" si="179">+SUM(L399)</f>
        <v>0</v>
      </c>
      <c r="M398" s="139">
        <f t="shared" si="179"/>
        <v>0</v>
      </c>
      <c r="N398" s="139">
        <f t="shared" si="179"/>
        <v>0</v>
      </c>
    </row>
    <row r="399" spans="1:14" outlineLevel="1" x14ac:dyDescent="0.25">
      <c r="A399" s="172" t="s">
        <v>688</v>
      </c>
      <c r="E399" s="83">
        <v>760</v>
      </c>
      <c r="H399" s="83">
        <v>0</v>
      </c>
    </row>
    <row r="400" spans="1:14" s="3" customFormat="1" ht="18.75" x14ac:dyDescent="0.25">
      <c r="A400" s="148" t="s">
        <v>135</v>
      </c>
      <c r="B400" s="137">
        <f>+B401+B403+B408</f>
        <v>0</v>
      </c>
      <c r="C400" s="137">
        <f t="shared" ref="C400:K400" si="180">+C401+C403+C408</f>
        <v>0</v>
      </c>
      <c r="D400" s="137">
        <f t="shared" si="180"/>
        <v>0</v>
      </c>
      <c r="E400" s="137">
        <f t="shared" ref="E400:G400" si="181">+E401+E403+E408</f>
        <v>4770</v>
      </c>
      <c r="F400" s="137">
        <f t="shared" si="181"/>
        <v>0</v>
      </c>
      <c r="G400" s="137">
        <f t="shared" si="181"/>
        <v>0</v>
      </c>
      <c r="H400" s="137">
        <f t="shared" si="180"/>
        <v>0</v>
      </c>
      <c r="I400" s="137">
        <f t="shared" si="180"/>
        <v>0</v>
      </c>
      <c r="J400" s="137">
        <f t="shared" si="180"/>
        <v>0</v>
      </c>
      <c r="K400" s="137">
        <f t="shared" si="180"/>
        <v>0</v>
      </c>
      <c r="L400" s="137">
        <f t="shared" ref="L400:N400" si="182">+L401+L403+L408</f>
        <v>0</v>
      </c>
      <c r="M400" s="137">
        <f t="shared" si="182"/>
        <v>0</v>
      </c>
      <c r="N400" s="137">
        <f t="shared" si="182"/>
        <v>0</v>
      </c>
    </row>
    <row r="401" spans="1:14" s="140" customFormat="1" ht="15.75" outlineLevel="1" x14ac:dyDescent="0.25">
      <c r="A401" s="171" t="s">
        <v>689</v>
      </c>
      <c r="B401" s="139">
        <f>+SUM(B402)</f>
        <v>0</v>
      </c>
      <c r="C401" s="139">
        <f t="shared" ref="C401:K401" si="183">+SUM(C402)</f>
        <v>0</v>
      </c>
      <c r="D401" s="139">
        <f t="shared" si="183"/>
        <v>0</v>
      </c>
      <c r="E401" s="139">
        <f t="shared" si="183"/>
        <v>770</v>
      </c>
      <c r="F401" s="139">
        <f t="shared" si="183"/>
        <v>0</v>
      </c>
      <c r="G401" s="139">
        <f t="shared" si="183"/>
        <v>0</v>
      </c>
      <c r="H401" s="139">
        <f t="shared" si="183"/>
        <v>0</v>
      </c>
      <c r="I401" s="139">
        <f t="shared" si="183"/>
        <v>0</v>
      </c>
      <c r="J401" s="139">
        <f t="shared" si="183"/>
        <v>0</v>
      </c>
      <c r="K401" s="139">
        <f t="shared" si="183"/>
        <v>0</v>
      </c>
      <c r="L401" s="139">
        <f t="shared" ref="L401:N401" si="184">+SUM(L402)</f>
        <v>0</v>
      </c>
      <c r="M401" s="139">
        <f t="shared" si="184"/>
        <v>0</v>
      </c>
      <c r="N401" s="139">
        <f t="shared" si="184"/>
        <v>0</v>
      </c>
    </row>
    <row r="402" spans="1:14" outlineLevel="1" x14ac:dyDescent="0.25">
      <c r="A402" s="172" t="s">
        <v>689</v>
      </c>
      <c r="E402" s="83">
        <v>770</v>
      </c>
    </row>
    <row r="403" spans="1:14" s="140" customFormat="1" ht="15.75" outlineLevel="1" x14ac:dyDescent="0.25">
      <c r="A403" s="171" t="s">
        <v>690</v>
      </c>
      <c r="B403" s="139">
        <f>+SUM(B404:B407)</f>
        <v>0</v>
      </c>
      <c r="C403" s="139">
        <f t="shared" ref="C403:K403" si="185">+SUM(C404:C407)</f>
        <v>0</v>
      </c>
      <c r="D403" s="139">
        <f t="shared" si="185"/>
        <v>0</v>
      </c>
      <c r="E403" s="139">
        <f t="shared" si="185"/>
        <v>3180</v>
      </c>
      <c r="F403" s="139">
        <f t="shared" si="185"/>
        <v>0</v>
      </c>
      <c r="G403" s="139">
        <f t="shared" si="185"/>
        <v>0</v>
      </c>
      <c r="H403" s="139">
        <f t="shared" si="185"/>
        <v>0</v>
      </c>
      <c r="I403" s="139">
        <f t="shared" si="185"/>
        <v>0</v>
      </c>
      <c r="J403" s="139">
        <f t="shared" si="185"/>
        <v>0</v>
      </c>
      <c r="K403" s="139">
        <f t="shared" si="185"/>
        <v>0</v>
      </c>
      <c r="L403" s="139">
        <f t="shared" ref="L403:N403" si="186">+SUM(L404:L407)</f>
        <v>0</v>
      </c>
      <c r="M403" s="139">
        <f t="shared" si="186"/>
        <v>0</v>
      </c>
      <c r="N403" s="139">
        <f t="shared" si="186"/>
        <v>0</v>
      </c>
    </row>
    <row r="404" spans="1:14" outlineLevel="1" x14ac:dyDescent="0.25">
      <c r="A404" s="172" t="s">
        <v>691</v>
      </c>
      <c r="E404" s="83">
        <v>780</v>
      </c>
      <c r="H404" s="83">
        <v>0</v>
      </c>
    </row>
    <row r="405" spans="1:14" outlineLevel="1" x14ac:dyDescent="0.25">
      <c r="A405" s="172" t="s">
        <v>692</v>
      </c>
      <c r="E405" s="83">
        <v>790</v>
      </c>
      <c r="H405" s="83">
        <v>0</v>
      </c>
    </row>
    <row r="406" spans="1:14" outlineLevel="1" x14ac:dyDescent="0.25">
      <c r="A406" s="172" t="s">
        <v>693</v>
      </c>
      <c r="E406" s="83">
        <v>800</v>
      </c>
      <c r="H406" s="83">
        <v>0</v>
      </c>
    </row>
    <row r="407" spans="1:14" outlineLevel="1" x14ac:dyDescent="0.25">
      <c r="A407" s="172" t="s">
        <v>694</v>
      </c>
      <c r="E407" s="83">
        <v>810</v>
      </c>
      <c r="H407" s="83">
        <v>0</v>
      </c>
    </row>
    <row r="408" spans="1:14" s="140" customFormat="1" ht="15.75" outlineLevel="1" x14ac:dyDescent="0.25">
      <c r="A408" s="171" t="s">
        <v>695</v>
      </c>
      <c r="B408" s="139">
        <f>+SUM(B409)</f>
        <v>0</v>
      </c>
      <c r="C408" s="139">
        <f t="shared" ref="C408:K408" si="187">+SUM(C409)</f>
        <v>0</v>
      </c>
      <c r="D408" s="139">
        <f t="shared" si="187"/>
        <v>0</v>
      </c>
      <c r="E408" s="139">
        <f t="shared" si="187"/>
        <v>820</v>
      </c>
      <c r="F408" s="139">
        <f t="shared" si="187"/>
        <v>0</v>
      </c>
      <c r="G408" s="139">
        <f t="shared" si="187"/>
        <v>0</v>
      </c>
      <c r="H408" s="139">
        <f t="shared" si="187"/>
        <v>0</v>
      </c>
      <c r="I408" s="139">
        <f t="shared" si="187"/>
        <v>0</v>
      </c>
      <c r="J408" s="139">
        <f t="shared" si="187"/>
        <v>0</v>
      </c>
      <c r="K408" s="139">
        <f t="shared" si="187"/>
        <v>0</v>
      </c>
      <c r="L408" s="139">
        <f t="shared" ref="L408:N408" si="188">+SUM(L409)</f>
        <v>0</v>
      </c>
      <c r="M408" s="139">
        <f t="shared" si="188"/>
        <v>0</v>
      </c>
      <c r="N408" s="139">
        <f t="shared" si="188"/>
        <v>0</v>
      </c>
    </row>
    <row r="409" spans="1:14" outlineLevel="1" x14ac:dyDescent="0.25">
      <c r="A409" s="172" t="s">
        <v>696</v>
      </c>
      <c r="E409" s="83">
        <v>820</v>
      </c>
    </row>
    <row r="410" spans="1:14" s="3" customFormat="1" ht="18.75" x14ac:dyDescent="0.25">
      <c r="A410" s="148" t="s">
        <v>186</v>
      </c>
      <c r="B410" s="137">
        <f>+B411</f>
        <v>0</v>
      </c>
      <c r="C410" s="137">
        <f t="shared" ref="C410:K410" si="189">+C411</f>
        <v>0</v>
      </c>
      <c r="D410" s="137">
        <f t="shared" si="189"/>
        <v>0</v>
      </c>
      <c r="E410" s="137">
        <f t="shared" si="189"/>
        <v>1670</v>
      </c>
      <c r="F410" s="137">
        <f t="shared" si="189"/>
        <v>0</v>
      </c>
      <c r="G410" s="137">
        <f t="shared" si="189"/>
        <v>0</v>
      </c>
      <c r="H410" s="137">
        <f t="shared" si="189"/>
        <v>0</v>
      </c>
      <c r="I410" s="137">
        <f t="shared" si="189"/>
        <v>0</v>
      </c>
      <c r="J410" s="137">
        <f t="shared" si="189"/>
        <v>0</v>
      </c>
      <c r="K410" s="137">
        <f t="shared" si="189"/>
        <v>0</v>
      </c>
      <c r="L410" s="137">
        <f t="shared" ref="L410:N410" si="190">+L411</f>
        <v>0</v>
      </c>
      <c r="M410" s="137">
        <f t="shared" si="190"/>
        <v>0</v>
      </c>
      <c r="N410" s="137">
        <f t="shared" si="190"/>
        <v>0</v>
      </c>
    </row>
    <row r="411" spans="1:14" s="140" customFormat="1" ht="15.75" outlineLevel="1" x14ac:dyDescent="0.25">
      <c r="A411" s="171" t="s">
        <v>744</v>
      </c>
      <c r="B411" s="139">
        <f>+SUM(B412:B413)</f>
        <v>0</v>
      </c>
      <c r="C411" s="139">
        <f t="shared" ref="C411:K411" si="191">+SUM(C412:C413)</f>
        <v>0</v>
      </c>
      <c r="D411" s="139">
        <f t="shared" si="191"/>
        <v>0</v>
      </c>
      <c r="E411" s="139">
        <f t="shared" ref="E411:G411" si="192">+SUM(E412:E413)</f>
        <v>1670</v>
      </c>
      <c r="F411" s="139">
        <f t="shared" si="192"/>
        <v>0</v>
      </c>
      <c r="G411" s="139">
        <f t="shared" si="192"/>
        <v>0</v>
      </c>
      <c r="H411" s="139">
        <f t="shared" si="191"/>
        <v>0</v>
      </c>
      <c r="I411" s="139">
        <f t="shared" si="191"/>
        <v>0</v>
      </c>
      <c r="J411" s="139">
        <f t="shared" si="191"/>
        <v>0</v>
      </c>
      <c r="K411" s="139">
        <f t="shared" si="191"/>
        <v>0</v>
      </c>
      <c r="L411" s="139">
        <f t="shared" ref="L411:N411" si="193">+SUM(L412:L413)</f>
        <v>0</v>
      </c>
      <c r="M411" s="139">
        <f t="shared" si="193"/>
        <v>0</v>
      </c>
      <c r="N411" s="139">
        <f t="shared" si="193"/>
        <v>0</v>
      </c>
    </row>
    <row r="412" spans="1:14" outlineLevel="1" x14ac:dyDescent="0.25">
      <c r="A412" s="172" t="s">
        <v>697</v>
      </c>
      <c r="E412" s="83">
        <v>830</v>
      </c>
    </row>
    <row r="413" spans="1:14" outlineLevel="1" x14ac:dyDescent="0.25">
      <c r="A413" s="172" t="s">
        <v>764</v>
      </c>
      <c r="E413" s="83">
        <v>840</v>
      </c>
    </row>
    <row r="414" spans="1:14" s="135" customFormat="1" ht="19.5" thickBot="1" x14ac:dyDescent="0.35">
      <c r="A414" s="177" t="s">
        <v>699</v>
      </c>
      <c r="B414" s="178">
        <f>+B298+B326+B370+B400+B410</f>
        <v>0</v>
      </c>
      <c r="C414" s="178">
        <f t="shared" ref="C414:K414" si="194">+C298+C326+C370+C400+C410</f>
        <v>0</v>
      </c>
      <c r="D414" s="178">
        <f t="shared" si="194"/>
        <v>0</v>
      </c>
      <c r="E414" s="178">
        <f t="shared" si="194"/>
        <v>232000</v>
      </c>
      <c r="F414" s="178">
        <f t="shared" si="194"/>
        <v>0</v>
      </c>
      <c r="G414" s="178">
        <f t="shared" si="194"/>
        <v>0</v>
      </c>
      <c r="H414" s="178">
        <f t="shared" si="194"/>
        <v>0</v>
      </c>
      <c r="I414" s="178">
        <f t="shared" si="194"/>
        <v>0</v>
      </c>
      <c r="J414" s="178">
        <f t="shared" si="194"/>
        <v>0</v>
      </c>
      <c r="K414" s="178">
        <f t="shared" si="194"/>
        <v>0</v>
      </c>
      <c r="L414" s="178">
        <f t="shared" ref="L414:N414" si="195">+L298+L326+L370+L400+L410</f>
        <v>0</v>
      </c>
      <c r="M414" s="178">
        <f t="shared" si="195"/>
        <v>0</v>
      </c>
      <c r="N414" s="178">
        <f t="shared" si="195"/>
        <v>0</v>
      </c>
    </row>
    <row r="415" spans="1:14" ht="15.75" thickTop="1" x14ac:dyDescent="0.25">
      <c r="A415" s="172"/>
    </row>
    <row r="416" spans="1:14" s="3" customFormat="1" ht="18.75" x14ac:dyDescent="0.25">
      <c r="A416" s="148" t="s">
        <v>700</v>
      </c>
      <c r="B416" s="137">
        <f>+B417+B420+B445</f>
        <v>0</v>
      </c>
      <c r="C416" s="137">
        <f t="shared" ref="C416:K416" si="196">+C417+C420+C445</f>
        <v>0</v>
      </c>
      <c r="D416" s="137">
        <f t="shared" si="196"/>
        <v>0</v>
      </c>
      <c r="E416" s="137">
        <f t="shared" ref="E416" si="197">+E417+E420+E445</f>
        <v>28710</v>
      </c>
      <c r="F416" s="137">
        <f t="shared" si="196"/>
        <v>0</v>
      </c>
      <c r="G416" s="137">
        <f t="shared" si="196"/>
        <v>0</v>
      </c>
      <c r="H416" s="137">
        <f t="shared" si="196"/>
        <v>0</v>
      </c>
      <c r="I416" s="137">
        <f t="shared" si="196"/>
        <v>0</v>
      </c>
      <c r="J416" s="137">
        <f t="shared" si="196"/>
        <v>0</v>
      </c>
      <c r="K416" s="137">
        <f t="shared" si="196"/>
        <v>0</v>
      </c>
      <c r="L416" s="137">
        <f t="shared" ref="L416:N416" si="198">+L417+L420+L445</f>
        <v>0</v>
      </c>
      <c r="M416" s="137">
        <f t="shared" si="198"/>
        <v>0</v>
      </c>
      <c r="N416" s="137">
        <f t="shared" si="198"/>
        <v>0</v>
      </c>
    </row>
    <row r="417" spans="1:14" s="140" customFormat="1" ht="15.75" outlineLevel="1" x14ac:dyDescent="0.25">
      <c r="A417" s="171" t="s">
        <v>701</v>
      </c>
      <c r="B417" s="139">
        <f>+SUM(B418:B419)</f>
        <v>0</v>
      </c>
      <c r="C417" s="139">
        <f t="shared" ref="C417:K417" si="199">+SUM(C418:C419)</f>
        <v>0</v>
      </c>
      <c r="D417" s="139">
        <f t="shared" si="199"/>
        <v>0</v>
      </c>
      <c r="E417" s="139">
        <f t="shared" ref="E417" si="200">+SUM(E418:E419)</f>
        <v>1710</v>
      </c>
      <c r="F417" s="139">
        <f t="shared" si="199"/>
        <v>0</v>
      </c>
      <c r="G417" s="139">
        <f t="shared" si="199"/>
        <v>0</v>
      </c>
      <c r="H417" s="139">
        <f t="shared" si="199"/>
        <v>0</v>
      </c>
      <c r="I417" s="139">
        <f t="shared" si="199"/>
        <v>0</v>
      </c>
      <c r="J417" s="139">
        <f t="shared" si="199"/>
        <v>0</v>
      </c>
      <c r="K417" s="139">
        <f t="shared" si="199"/>
        <v>0</v>
      </c>
      <c r="L417" s="139">
        <f t="shared" ref="L417:N417" si="201">+SUM(L418:L419)</f>
        <v>0</v>
      </c>
      <c r="M417" s="139">
        <f t="shared" si="201"/>
        <v>0</v>
      </c>
      <c r="N417" s="139">
        <f t="shared" si="201"/>
        <v>0</v>
      </c>
    </row>
    <row r="418" spans="1:14" outlineLevel="1" x14ac:dyDescent="0.25">
      <c r="A418" s="170" t="s">
        <v>702</v>
      </c>
      <c r="E418" s="83">
        <v>850</v>
      </c>
      <c r="H418" s="83">
        <v>0</v>
      </c>
    </row>
    <row r="419" spans="1:14" outlineLevel="1" x14ac:dyDescent="0.25">
      <c r="A419" s="170" t="s">
        <v>703</v>
      </c>
      <c r="E419" s="83">
        <v>860</v>
      </c>
      <c r="H419" s="83">
        <v>0</v>
      </c>
    </row>
    <row r="420" spans="1:14" s="140" customFormat="1" ht="15.75" outlineLevel="1" x14ac:dyDescent="0.25">
      <c r="A420" s="171" t="s">
        <v>704</v>
      </c>
      <c r="B420" s="139">
        <f>+SUM(B421:B444)</f>
        <v>0</v>
      </c>
      <c r="C420" s="139">
        <f t="shared" ref="C420:K420" si="202">+SUM(C421:C444)</f>
        <v>0</v>
      </c>
      <c r="D420" s="139">
        <f t="shared" si="202"/>
        <v>0</v>
      </c>
      <c r="E420" s="139">
        <f t="shared" si="202"/>
        <v>23640</v>
      </c>
      <c r="F420" s="139">
        <f t="shared" si="202"/>
        <v>0</v>
      </c>
      <c r="G420" s="139">
        <f t="shared" si="202"/>
        <v>0</v>
      </c>
      <c r="H420" s="139">
        <f t="shared" si="202"/>
        <v>0</v>
      </c>
      <c r="I420" s="139">
        <f t="shared" si="202"/>
        <v>0</v>
      </c>
      <c r="J420" s="139">
        <f t="shared" si="202"/>
        <v>0</v>
      </c>
      <c r="K420" s="139">
        <f t="shared" si="202"/>
        <v>0</v>
      </c>
      <c r="L420" s="139">
        <f t="shared" ref="L420:N420" si="203">+SUM(L421:L444)</f>
        <v>0</v>
      </c>
      <c r="M420" s="139">
        <f t="shared" si="203"/>
        <v>0</v>
      </c>
      <c r="N420" s="139">
        <f t="shared" si="203"/>
        <v>0</v>
      </c>
    </row>
    <row r="421" spans="1:14" outlineLevel="1" x14ac:dyDescent="0.25">
      <c r="A421" s="170" t="s">
        <v>705</v>
      </c>
      <c r="E421" s="83">
        <v>870</v>
      </c>
    </row>
    <row r="422" spans="1:14" outlineLevel="1" x14ac:dyDescent="0.25">
      <c r="A422" s="170" t="s">
        <v>706</v>
      </c>
      <c r="E422" s="83">
        <v>880</v>
      </c>
      <c r="H422" s="83">
        <v>0</v>
      </c>
    </row>
    <row r="423" spans="1:14" outlineLevel="1" x14ac:dyDescent="0.25">
      <c r="A423" s="170" t="s">
        <v>707</v>
      </c>
      <c r="E423" s="83">
        <v>890</v>
      </c>
      <c r="H423" s="83">
        <v>0</v>
      </c>
    </row>
    <row r="424" spans="1:14" outlineLevel="1" x14ac:dyDescent="0.25">
      <c r="A424" s="170" t="s">
        <v>708</v>
      </c>
      <c r="E424" s="83">
        <v>900</v>
      </c>
      <c r="H424" s="83">
        <v>0</v>
      </c>
    </row>
    <row r="425" spans="1:14" outlineLevel="1" x14ac:dyDescent="0.25">
      <c r="A425" s="170" t="s">
        <v>709</v>
      </c>
      <c r="E425" s="83">
        <v>910</v>
      </c>
      <c r="H425" s="83">
        <v>0</v>
      </c>
    </row>
    <row r="426" spans="1:14" outlineLevel="1" x14ac:dyDescent="0.25">
      <c r="A426" s="170" t="s">
        <v>710</v>
      </c>
      <c r="E426" s="83">
        <v>920</v>
      </c>
      <c r="H426" s="83">
        <v>0</v>
      </c>
    </row>
    <row r="427" spans="1:14" outlineLevel="1" x14ac:dyDescent="0.25">
      <c r="A427" s="170" t="s">
        <v>711</v>
      </c>
      <c r="E427" s="83">
        <v>930</v>
      </c>
      <c r="H427" s="83">
        <v>0</v>
      </c>
    </row>
    <row r="428" spans="1:14" outlineLevel="1" x14ac:dyDescent="0.25">
      <c r="A428" s="170" t="s">
        <v>712</v>
      </c>
      <c r="E428" s="83">
        <v>940</v>
      </c>
      <c r="H428" s="83">
        <v>0</v>
      </c>
    </row>
    <row r="429" spans="1:14" outlineLevel="1" x14ac:dyDescent="0.25">
      <c r="A429" s="170" t="s">
        <v>713</v>
      </c>
      <c r="E429" s="83">
        <v>950</v>
      </c>
      <c r="H429" s="83">
        <v>0</v>
      </c>
    </row>
    <row r="430" spans="1:14" outlineLevel="1" x14ac:dyDescent="0.25">
      <c r="A430" s="170" t="s">
        <v>714</v>
      </c>
      <c r="E430" s="83">
        <v>960</v>
      </c>
      <c r="H430" s="83">
        <v>0</v>
      </c>
    </row>
    <row r="431" spans="1:14" outlineLevel="1" x14ac:dyDescent="0.25">
      <c r="A431" s="170" t="s">
        <v>715</v>
      </c>
      <c r="E431" s="83">
        <v>970</v>
      </c>
      <c r="H431" s="83">
        <v>0</v>
      </c>
    </row>
    <row r="432" spans="1:14" outlineLevel="1" x14ac:dyDescent="0.25">
      <c r="A432" s="170" t="s">
        <v>716</v>
      </c>
      <c r="E432" s="83">
        <v>980</v>
      </c>
      <c r="H432" s="83">
        <v>0</v>
      </c>
    </row>
    <row r="433" spans="1:14" outlineLevel="1" x14ac:dyDescent="0.25">
      <c r="A433" s="170" t="s">
        <v>717</v>
      </c>
      <c r="E433" s="83">
        <v>990</v>
      </c>
      <c r="H433" s="83">
        <v>0</v>
      </c>
    </row>
    <row r="434" spans="1:14" outlineLevel="1" x14ac:dyDescent="0.25">
      <c r="A434" s="170" t="s">
        <v>718</v>
      </c>
      <c r="E434" s="83">
        <v>1000</v>
      </c>
      <c r="H434" s="83">
        <v>0</v>
      </c>
    </row>
    <row r="435" spans="1:14" outlineLevel="1" x14ac:dyDescent="0.25">
      <c r="A435" s="170" t="s">
        <v>719</v>
      </c>
      <c r="E435" s="83">
        <v>1010</v>
      </c>
      <c r="H435" s="83">
        <v>0</v>
      </c>
    </row>
    <row r="436" spans="1:14" outlineLevel="1" x14ac:dyDescent="0.25">
      <c r="A436" s="170" t="s">
        <v>720</v>
      </c>
      <c r="E436" s="83">
        <v>1020</v>
      </c>
      <c r="H436" s="83">
        <v>0</v>
      </c>
    </row>
    <row r="437" spans="1:14" outlineLevel="1" x14ac:dyDescent="0.25">
      <c r="A437" s="170" t="s">
        <v>721</v>
      </c>
      <c r="E437" s="83">
        <v>1030</v>
      </c>
      <c r="H437" s="83">
        <v>0</v>
      </c>
    </row>
    <row r="438" spans="1:14" outlineLevel="1" x14ac:dyDescent="0.25">
      <c r="A438" s="170" t="s">
        <v>722</v>
      </c>
      <c r="E438" s="83">
        <v>1040</v>
      </c>
      <c r="H438" s="83">
        <v>0</v>
      </c>
    </row>
    <row r="439" spans="1:14" outlineLevel="1" x14ac:dyDescent="0.25">
      <c r="A439" s="170" t="s">
        <v>723</v>
      </c>
      <c r="E439" s="83">
        <v>1050</v>
      </c>
      <c r="H439" s="83">
        <v>0</v>
      </c>
    </row>
    <row r="440" spans="1:14" outlineLevel="1" x14ac:dyDescent="0.25">
      <c r="A440" s="170" t="s">
        <v>724</v>
      </c>
      <c r="E440" s="83">
        <v>1060</v>
      </c>
      <c r="H440" s="83">
        <v>0</v>
      </c>
    </row>
    <row r="441" spans="1:14" outlineLevel="1" x14ac:dyDescent="0.25">
      <c r="A441" s="170" t="s">
        <v>725</v>
      </c>
      <c r="E441" s="83">
        <v>1070</v>
      </c>
      <c r="H441" s="83">
        <v>0</v>
      </c>
    </row>
    <row r="442" spans="1:14" outlineLevel="1" x14ac:dyDescent="0.25">
      <c r="A442" s="170" t="s">
        <v>726</v>
      </c>
      <c r="E442" s="83">
        <v>1080</v>
      </c>
      <c r="H442" s="83">
        <v>0</v>
      </c>
    </row>
    <row r="443" spans="1:14" outlineLevel="1" x14ac:dyDescent="0.25">
      <c r="A443" s="170" t="s">
        <v>727</v>
      </c>
      <c r="E443" s="83">
        <v>1090</v>
      </c>
      <c r="H443" s="83">
        <v>0</v>
      </c>
    </row>
    <row r="444" spans="1:14" outlineLevel="1" x14ac:dyDescent="0.25">
      <c r="A444" s="170" t="s">
        <v>728</v>
      </c>
      <c r="E444" s="83">
        <v>1100</v>
      </c>
      <c r="H444" s="83">
        <v>0</v>
      </c>
    </row>
    <row r="445" spans="1:14" s="140" customFormat="1" ht="15.75" outlineLevel="1" x14ac:dyDescent="0.25">
      <c r="A445" s="171" t="s">
        <v>729</v>
      </c>
      <c r="B445" s="139">
        <f>+SUM(B446:B448)</f>
        <v>0</v>
      </c>
      <c r="C445" s="139">
        <f t="shared" ref="C445:K445" si="204">+SUM(C446:C448)</f>
        <v>0</v>
      </c>
      <c r="D445" s="139">
        <f t="shared" si="204"/>
        <v>0</v>
      </c>
      <c r="E445" s="139">
        <f t="shared" si="204"/>
        <v>3360</v>
      </c>
      <c r="F445" s="139">
        <f t="shared" si="204"/>
        <v>0</v>
      </c>
      <c r="G445" s="139">
        <f t="shared" si="204"/>
        <v>0</v>
      </c>
      <c r="H445" s="139">
        <f t="shared" si="204"/>
        <v>0</v>
      </c>
      <c r="I445" s="139">
        <f t="shared" si="204"/>
        <v>0</v>
      </c>
      <c r="J445" s="139">
        <f t="shared" si="204"/>
        <v>0</v>
      </c>
      <c r="K445" s="139">
        <f t="shared" si="204"/>
        <v>0</v>
      </c>
      <c r="L445" s="139">
        <f t="shared" ref="L445:N445" si="205">+SUM(L446:L448)</f>
        <v>0</v>
      </c>
      <c r="M445" s="139">
        <f t="shared" si="205"/>
        <v>0</v>
      </c>
      <c r="N445" s="139">
        <f t="shared" si="205"/>
        <v>0</v>
      </c>
    </row>
    <row r="446" spans="1:14" outlineLevel="1" x14ac:dyDescent="0.25">
      <c r="A446" s="170" t="s">
        <v>730</v>
      </c>
      <c r="E446" s="83">
        <v>1110</v>
      </c>
      <c r="H446" s="83">
        <v>0</v>
      </c>
    </row>
    <row r="447" spans="1:14" outlineLevel="1" x14ac:dyDescent="0.25">
      <c r="A447" s="170" t="s">
        <v>731</v>
      </c>
      <c r="E447" s="83">
        <v>1120</v>
      </c>
      <c r="H447" s="83">
        <v>0</v>
      </c>
    </row>
    <row r="448" spans="1:14" outlineLevel="1" x14ac:dyDescent="0.25">
      <c r="A448" s="170" t="s">
        <v>732</v>
      </c>
      <c r="E448" s="83">
        <v>1130</v>
      </c>
      <c r="H448" s="83">
        <v>0</v>
      </c>
    </row>
    <row r="449" spans="1:14" s="135" customFormat="1" ht="19.5" thickBot="1" x14ac:dyDescent="0.35">
      <c r="A449" s="177" t="s">
        <v>746</v>
      </c>
      <c r="B449" s="178">
        <f>+B416</f>
        <v>0</v>
      </c>
      <c r="C449" s="178">
        <f t="shared" ref="C449:K449" si="206">+C416</f>
        <v>0</v>
      </c>
      <c r="D449" s="178">
        <f t="shared" si="206"/>
        <v>0</v>
      </c>
      <c r="E449" s="178">
        <f t="shared" ref="E449" si="207">+E416</f>
        <v>28710</v>
      </c>
      <c r="F449" s="178">
        <f t="shared" si="206"/>
        <v>0</v>
      </c>
      <c r="G449" s="178">
        <f t="shared" si="206"/>
        <v>0</v>
      </c>
      <c r="H449" s="178">
        <f t="shared" si="206"/>
        <v>0</v>
      </c>
      <c r="I449" s="178">
        <f t="shared" si="206"/>
        <v>0</v>
      </c>
      <c r="J449" s="178">
        <f t="shared" si="206"/>
        <v>0</v>
      </c>
      <c r="K449" s="178">
        <f t="shared" si="206"/>
        <v>0</v>
      </c>
      <c r="L449" s="178">
        <f t="shared" ref="L449:N449" si="208">+L416</f>
        <v>0</v>
      </c>
      <c r="M449" s="178">
        <f t="shared" si="208"/>
        <v>0</v>
      </c>
      <c r="N449" s="178">
        <f t="shared" si="208"/>
        <v>0</v>
      </c>
    </row>
    <row r="450" spans="1:14" s="135" customFormat="1" ht="20.25" thickTop="1" thickBot="1" x14ac:dyDescent="0.35">
      <c r="A450" s="177" t="s">
        <v>755</v>
      </c>
      <c r="B450" s="178">
        <f>+B414+B449</f>
        <v>0</v>
      </c>
      <c r="C450" s="178">
        <f t="shared" ref="C450:K450" si="209">+C414+C449</f>
        <v>0</v>
      </c>
      <c r="D450" s="178">
        <f t="shared" si="209"/>
        <v>0</v>
      </c>
      <c r="E450" s="178">
        <f t="shared" ref="E450" si="210">+E414+E449</f>
        <v>260710</v>
      </c>
      <c r="F450" s="178">
        <f t="shared" si="209"/>
        <v>0</v>
      </c>
      <c r="G450" s="178">
        <f t="shared" si="209"/>
        <v>0</v>
      </c>
      <c r="H450" s="178">
        <f t="shared" si="209"/>
        <v>0</v>
      </c>
      <c r="I450" s="178">
        <f t="shared" si="209"/>
        <v>0</v>
      </c>
      <c r="J450" s="178">
        <f t="shared" si="209"/>
        <v>0</v>
      </c>
      <c r="K450" s="178">
        <f t="shared" si="209"/>
        <v>0</v>
      </c>
      <c r="L450" s="178">
        <f t="shared" ref="L450:N450" si="211">+L414+L449</f>
        <v>0</v>
      </c>
      <c r="M450" s="178">
        <f t="shared" si="211"/>
        <v>0</v>
      </c>
      <c r="N450" s="178">
        <f t="shared" si="211"/>
        <v>0</v>
      </c>
    </row>
    <row r="451" spans="1:14" ht="15.75" thickTop="1" x14ac:dyDescent="0.25"/>
    <row r="452" spans="1:14" s="140" customFormat="1" ht="15.75" x14ac:dyDescent="0.25">
      <c r="A452" s="171" t="s">
        <v>192</v>
      </c>
      <c r="B452" s="139">
        <f>+SUM(B453)</f>
        <v>0</v>
      </c>
      <c r="C452" s="139">
        <f t="shared" ref="C452:K452" si="212">+SUM(C453)</f>
        <v>0</v>
      </c>
      <c r="D452" s="139">
        <f t="shared" si="212"/>
        <v>0</v>
      </c>
      <c r="E452" s="139">
        <f t="shared" si="212"/>
        <v>1140</v>
      </c>
      <c r="F452" s="139">
        <f t="shared" si="212"/>
        <v>0</v>
      </c>
      <c r="G452" s="139">
        <f t="shared" si="212"/>
        <v>0</v>
      </c>
      <c r="H452" s="139">
        <f t="shared" si="212"/>
        <v>0</v>
      </c>
      <c r="I452" s="139">
        <f t="shared" si="212"/>
        <v>0</v>
      </c>
      <c r="J452" s="139">
        <f t="shared" si="212"/>
        <v>0</v>
      </c>
      <c r="K452" s="139">
        <f t="shared" si="212"/>
        <v>0</v>
      </c>
      <c r="L452" s="139">
        <f t="shared" ref="L452:N452" si="213">+SUM(L453)</f>
        <v>0</v>
      </c>
      <c r="M452" s="139">
        <f t="shared" si="213"/>
        <v>0</v>
      </c>
      <c r="N452" s="139">
        <f t="shared" si="213"/>
        <v>0</v>
      </c>
    </row>
    <row r="453" spans="1:14" x14ac:dyDescent="0.25">
      <c r="A453" s="172" t="s">
        <v>747</v>
      </c>
      <c r="E453" s="83">
        <v>1140</v>
      </c>
      <c r="H453" s="83">
        <v>0</v>
      </c>
    </row>
    <row r="454" spans="1:14" s="140" customFormat="1" ht="15.75" x14ac:dyDescent="0.25">
      <c r="A454" s="171" t="s">
        <v>193</v>
      </c>
      <c r="B454" s="139">
        <f t="shared" ref="B454:K454" si="214">+SUM(B455)</f>
        <v>0</v>
      </c>
      <c r="C454" s="139">
        <f t="shared" si="214"/>
        <v>0</v>
      </c>
      <c r="D454" s="139">
        <f t="shared" si="214"/>
        <v>0</v>
      </c>
      <c r="E454" s="139">
        <f t="shared" si="214"/>
        <v>1150</v>
      </c>
      <c r="F454" s="139">
        <f t="shared" si="214"/>
        <v>0</v>
      </c>
      <c r="G454" s="139">
        <f t="shared" si="214"/>
        <v>0</v>
      </c>
      <c r="H454" s="139">
        <f t="shared" si="214"/>
        <v>0</v>
      </c>
      <c r="I454" s="139">
        <f t="shared" si="214"/>
        <v>0</v>
      </c>
      <c r="J454" s="139">
        <f t="shared" si="214"/>
        <v>0</v>
      </c>
      <c r="K454" s="139">
        <f t="shared" si="214"/>
        <v>0</v>
      </c>
      <c r="L454" s="139">
        <f t="shared" ref="L454:N454" si="215">+SUM(L455)</f>
        <v>0</v>
      </c>
      <c r="M454" s="139">
        <f t="shared" si="215"/>
        <v>0</v>
      </c>
      <c r="N454" s="139">
        <f t="shared" si="215"/>
        <v>0</v>
      </c>
    </row>
    <row r="455" spans="1:14" x14ac:dyDescent="0.25">
      <c r="A455" s="172" t="s">
        <v>748</v>
      </c>
      <c r="E455" s="83">
        <v>1150</v>
      </c>
      <c r="H455" s="83">
        <v>0</v>
      </c>
    </row>
    <row r="456" spans="1:14" s="140" customFormat="1" ht="15.75" x14ac:dyDescent="0.25">
      <c r="A456" s="171" t="s">
        <v>194</v>
      </c>
      <c r="B456" s="139">
        <f t="shared" ref="B456:N456" si="216">+SUM(B457:B459)</f>
        <v>0</v>
      </c>
      <c r="C456" s="139">
        <f t="shared" si="216"/>
        <v>0</v>
      </c>
      <c r="D456" s="139">
        <f t="shared" si="216"/>
        <v>0</v>
      </c>
      <c r="E456" s="139">
        <f t="shared" si="216"/>
        <v>3510</v>
      </c>
      <c r="F456" s="139">
        <f t="shared" si="216"/>
        <v>0</v>
      </c>
      <c r="G456" s="139">
        <f t="shared" si="216"/>
        <v>0</v>
      </c>
      <c r="H456" s="139">
        <f t="shared" si="216"/>
        <v>0</v>
      </c>
      <c r="I456" s="139">
        <f t="shared" si="216"/>
        <v>0</v>
      </c>
      <c r="J456" s="139">
        <f t="shared" si="216"/>
        <v>0</v>
      </c>
      <c r="K456" s="139">
        <f t="shared" si="216"/>
        <v>0</v>
      </c>
      <c r="L456" s="139">
        <f t="shared" si="216"/>
        <v>0</v>
      </c>
      <c r="M456" s="139">
        <f t="shared" si="216"/>
        <v>0</v>
      </c>
      <c r="N456" s="139">
        <f t="shared" si="216"/>
        <v>0</v>
      </c>
    </row>
    <row r="457" spans="1:14" x14ac:dyDescent="0.25">
      <c r="A457" s="172" t="s">
        <v>749</v>
      </c>
      <c r="E457" s="83">
        <v>1160</v>
      </c>
      <c r="H457" s="83">
        <v>0</v>
      </c>
    </row>
    <row r="458" spans="1:14" x14ac:dyDescent="0.25">
      <c r="A458" s="172" t="s">
        <v>750</v>
      </c>
      <c r="E458" s="83">
        <v>1170</v>
      </c>
      <c r="H458" s="83">
        <v>0</v>
      </c>
    </row>
    <row r="459" spans="1:14" x14ac:dyDescent="0.25">
      <c r="A459" s="172" t="s">
        <v>751</v>
      </c>
      <c r="E459" s="83">
        <v>1180</v>
      </c>
      <c r="H459" s="83">
        <v>0</v>
      </c>
    </row>
    <row r="460" spans="1:14" s="140" customFormat="1" ht="15.75" x14ac:dyDescent="0.25">
      <c r="A460" s="171" t="s">
        <v>195</v>
      </c>
      <c r="B460" s="139">
        <f t="shared" ref="B460:K460" si="217">+SUM(B461)</f>
        <v>0</v>
      </c>
      <c r="C460" s="139">
        <f t="shared" si="217"/>
        <v>0</v>
      </c>
      <c r="D460" s="139">
        <f t="shared" si="217"/>
        <v>0</v>
      </c>
      <c r="E460" s="139">
        <f t="shared" si="217"/>
        <v>390</v>
      </c>
      <c r="F460" s="139">
        <f t="shared" si="217"/>
        <v>0</v>
      </c>
      <c r="G460" s="139">
        <f t="shared" si="217"/>
        <v>0</v>
      </c>
      <c r="H460" s="139">
        <f t="shared" si="217"/>
        <v>0</v>
      </c>
      <c r="I460" s="139">
        <f t="shared" si="217"/>
        <v>0</v>
      </c>
      <c r="J460" s="139">
        <f t="shared" si="217"/>
        <v>0</v>
      </c>
      <c r="K460" s="139">
        <f t="shared" si="217"/>
        <v>0</v>
      </c>
      <c r="L460" s="139">
        <f t="shared" ref="L460:N460" si="218">+SUM(L461)</f>
        <v>0</v>
      </c>
      <c r="M460" s="139">
        <f t="shared" si="218"/>
        <v>0</v>
      </c>
      <c r="N460" s="139">
        <f t="shared" si="218"/>
        <v>0</v>
      </c>
    </row>
    <row r="461" spans="1:14" x14ac:dyDescent="0.25">
      <c r="A461" s="172" t="s">
        <v>752</v>
      </c>
      <c r="E461" s="83">
        <f>390</f>
        <v>390</v>
      </c>
    </row>
    <row r="462" spans="1:14" s="140" customFormat="1" ht="15.75" x14ac:dyDescent="0.25">
      <c r="A462" s="171" t="s">
        <v>196</v>
      </c>
      <c r="B462" s="139">
        <f t="shared" ref="B462:K462" si="219">+SUM(B463)</f>
        <v>0</v>
      </c>
      <c r="C462" s="139">
        <f t="shared" si="219"/>
        <v>0</v>
      </c>
      <c r="D462" s="139">
        <f t="shared" si="219"/>
        <v>0</v>
      </c>
      <c r="E462" s="139">
        <f t="shared" si="219"/>
        <v>3710</v>
      </c>
      <c r="F462" s="139">
        <f t="shared" si="219"/>
        <v>0</v>
      </c>
      <c r="G462" s="139">
        <f t="shared" si="219"/>
        <v>0</v>
      </c>
      <c r="H462" s="139">
        <f t="shared" si="219"/>
        <v>0</v>
      </c>
      <c r="I462" s="139">
        <f t="shared" si="219"/>
        <v>0</v>
      </c>
      <c r="J462" s="139">
        <f t="shared" si="219"/>
        <v>0</v>
      </c>
      <c r="K462" s="139">
        <f t="shared" si="219"/>
        <v>0</v>
      </c>
      <c r="L462" s="139">
        <f t="shared" ref="L462:N462" si="220">+SUM(L463)</f>
        <v>0</v>
      </c>
      <c r="M462" s="139">
        <f t="shared" si="220"/>
        <v>0</v>
      </c>
      <c r="N462" s="139">
        <f t="shared" si="220"/>
        <v>0</v>
      </c>
    </row>
    <row r="463" spans="1:14" x14ac:dyDescent="0.25">
      <c r="A463" s="172" t="s">
        <v>753</v>
      </c>
      <c r="E463" s="83">
        <f>+'EERR RODEO'!S137</f>
        <v>3710</v>
      </c>
    </row>
    <row r="464" spans="1:14" s="135" customFormat="1" ht="19.5" thickBot="1" x14ac:dyDescent="0.35">
      <c r="A464" s="177" t="s">
        <v>754</v>
      </c>
      <c r="B464" s="178">
        <f t="shared" ref="B464:N464" si="221">+B452+B454+B456+B460+B462</f>
        <v>0</v>
      </c>
      <c r="C464" s="178">
        <f t="shared" si="221"/>
        <v>0</v>
      </c>
      <c r="D464" s="178">
        <f t="shared" si="221"/>
        <v>0</v>
      </c>
      <c r="E464" s="178">
        <f t="shared" ref="E464" si="222">+E452+E454+E456+E460+E462</f>
        <v>9900</v>
      </c>
      <c r="F464" s="178">
        <f t="shared" si="221"/>
        <v>0</v>
      </c>
      <c r="G464" s="178">
        <f t="shared" si="221"/>
        <v>0</v>
      </c>
      <c r="H464" s="178">
        <f t="shared" si="221"/>
        <v>0</v>
      </c>
      <c r="I464" s="178">
        <f t="shared" si="221"/>
        <v>0</v>
      </c>
      <c r="J464" s="178">
        <f t="shared" si="221"/>
        <v>0</v>
      </c>
      <c r="K464" s="178">
        <f t="shared" si="221"/>
        <v>0</v>
      </c>
      <c r="L464" s="178">
        <f t="shared" si="221"/>
        <v>0</v>
      </c>
      <c r="M464" s="178">
        <f t="shared" si="221"/>
        <v>0</v>
      </c>
      <c r="N464" s="178">
        <f t="shared" si="221"/>
        <v>0</v>
      </c>
    </row>
    <row r="465" spans="1:14" ht="20.25" thickTop="1" thickBot="1" x14ac:dyDescent="0.3">
      <c r="A465" s="177" t="s">
        <v>756</v>
      </c>
      <c r="B465" s="178">
        <f t="shared" ref="B465:N465" si="223">+B450+B464</f>
        <v>0</v>
      </c>
      <c r="C465" s="178">
        <f t="shared" si="223"/>
        <v>0</v>
      </c>
      <c r="D465" s="178">
        <f t="shared" si="223"/>
        <v>0</v>
      </c>
      <c r="E465" s="178">
        <f t="shared" ref="E465" si="224">+E450+E464</f>
        <v>270610</v>
      </c>
      <c r="F465" s="178">
        <f t="shared" si="223"/>
        <v>0</v>
      </c>
      <c r="G465" s="178">
        <f t="shared" si="223"/>
        <v>0</v>
      </c>
      <c r="H465" s="178">
        <f t="shared" si="223"/>
        <v>0</v>
      </c>
      <c r="I465" s="178">
        <f t="shared" si="223"/>
        <v>0</v>
      </c>
      <c r="J465" s="178">
        <f t="shared" si="223"/>
        <v>0</v>
      </c>
      <c r="K465" s="178">
        <f t="shared" si="223"/>
        <v>0</v>
      </c>
      <c r="L465" s="178">
        <f t="shared" si="223"/>
        <v>0</v>
      </c>
      <c r="M465" s="178">
        <f t="shared" si="223"/>
        <v>0</v>
      </c>
      <c r="N465" s="178">
        <f t="shared" si="223"/>
        <v>0</v>
      </c>
    </row>
    <row r="466" spans="1:14" s="135" customFormat="1" ht="20.25" thickTop="1" thickBot="1" x14ac:dyDescent="0.35">
      <c r="A466" s="175" t="s">
        <v>757</v>
      </c>
      <c r="B466" s="176">
        <f t="shared" ref="B466:N466" si="225">+B296-B465</f>
        <v>0</v>
      </c>
      <c r="C466" s="176">
        <f t="shared" si="225"/>
        <v>0</v>
      </c>
      <c r="D466" s="176">
        <f t="shared" si="225"/>
        <v>0</v>
      </c>
      <c r="E466" s="176">
        <f>+E296-E465</f>
        <v>2000</v>
      </c>
      <c r="F466" s="176">
        <f t="shared" si="225"/>
        <v>0</v>
      </c>
      <c r="G466" s="176">
        <f t="shared" si="225"/>
        <v>0</v>
      </c>
      <c r="H466" s="176">
        <f t="shared" si="225"/>
        <v>0</v>
      </c>
      <c r="I466" s="176">
        <f t="shared" si="225"/>
        <v>0</v>
      </c>
      <c r="J466" s="176">
        <f t="shared" si="225"/>
        <v>0</v>
      </c>
      <c r="K466" s="176">
        <f t="shared" si="225"/>
        <v>0</v>
      </c>
      <c r="L466" s="176">
        <f t="shared" si="225"/>
        <v>0</v>
      </c>
      <c r="M466" s="176">
        <f t="shared" si="225"/>
        <v>0</v>
      </c>
      <c r="N466" s="176">
        <f t="shared" si="225"/>
        <v>0</v>
      </c>
    </row>
    <row r="467" spans="1:14" ht="16.5" thickTop="1" thickBot="1" x14ac:dyDescent="0.3"/>
    <row r="468" spans="1:14" ht="38.25" thickTop="1" x14ac:dyDescent="0.3">
      <c r="A468" s="222" t="s">
        <v>797</v>
      </c>
    </row>
  </sheetData>
  <mergeCells count="1">
    <mergeCell ref="C2:N2"/>
  </mergeCells>
  <pageMargins left="0.7" right="0.7" top="0.75" bottom="0.75" header="0.3" footer="0.3"/>
  <pageSetup paperSize="9" orientation="portrait" r:id="rId1"/>
  <headerFooter>
    <oddHeader>&amp;LElaborado por:&amp;CCarmen Eugenia Quintero Q.</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ESF RODEO</vt:lpstr>
      <vt:lpstr>EERR RODEO</vt:lpstr>
      <vt:lpstr>N EERR</vt:lpstr>
      <vt:lpstr>N ESF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Carmen Eugenia</dc:creator>
  <cp:lastModifiedBy>t89984</cp:lastModifiedBy>
  <cp:lastPrinted>2020-05-26T19:34:23Z</cp:lastPrinted>
  <dcterms:created xsi:type="dcterms:W3CDTF">2020-05-08T21:23:01Z</dcterms:created>
  <dcterms:modified xsi:type="dcterms:W3CDTF">2026-06-13T22:23:18Z</dcterms:modified>
</cp:coreProperties>
</file>